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codeName="ThisWorkbook" defaultThemeVersion="124226"/>
  <mc:AlternateContent xmlns:mc="http://schemas.openxmlformats.org/markup-compatibility/2006">
    <mc:Choice Requires="x15">
      <x15ac:absPath xmlns:x15ac="http://schemas.microsoft.com/office/spreadsheetml/2010/11/ac" url="C:\Users\TOTAL RWIZI\Desktop\Daily Data\April 2026\"/>
    </mc:Choice>
  </mc:AlternateContent>
  <xr:revisionPtr revIDLastSave="0" documentId="11_6D26EDCBE6693B8A21327DEE670BA64A591760C9" xr6:coauthVersionLast="47" xr6:coauthVersionMax="47" xr10:uidLastSave="{00000000-0000-0000-0000-000000000000}"/>
  <bookViews>
    <workbookView xWindow="-120" yWindow="-120" windowWidth="19440" windowHeight="14040" firstSheet="67" activeTab="67" xr2:uid="{00000000-000D-0000-FFFF-FFFF00000000}"/>
  </bookViews>
  <sheets>
    <sheet name="WEEKLY SALES REPORT MAR  20 (2" sheetId="82" r:id="rId1"/>
    <sheet name="DAILY  SALES REPORT MAR.202 (2" sheetId="81" r:id="rId2"/>
    <sheet name="Daily sales JULY 2023" sheetId="4" r:id="rId3"/>
    <sheet name="Weekly report JULY 2023" sheetId="2" r:id="rId4"/>
    <sheet name="DAILY SALES AUGUST 2023" sheetId="6" r:id="rId5"/>
    <sheet name="WEEKLY REPORT AUGUST 2023" sheetId="7" r:id="rId6"/>
    <sheet name="Daily sales for semp" sheetId="9" r:id="rId7"/>
    <sheet name="WEEKLY REPORT SEP 2023" sheetId="10" r:id="rId8"/>
    <sheet name="DAILY SALES OCT 2023" sheetId="12" r:id="rId9"/>
    <sheet name="WEEKLY REPORT OCT  2023 " sheetId="14" r:id="rId10"/>
    <sheet name="DAILY SALES NOV 2023" sheetId="16" r:id="rId11"/>
    <sheet name="WEEKLY REPORT NOV  2023  (2)" sheetId="17" r:id="rId12"/>
    <sheet name="DAILY SALES DEC 2023 " sheetId="19" r:id="rId13"/>
    <sheet name="WEEKLY REPORT DEC 2023  " sheetId="20" r:id="rId14"/>
    <sheet name="DAILY SALES JAN 2024  (2)" sheetId="21" r:id="rId15"/>
    <sheet name="WEEKLY REPORT JAN 2024  (2)" sheetId="22" r:id="rId16"/>
    <sheet name="DAILY SALES FEB 2024  (3)" sheetId="23" r:id="rId17"/>
    <sheet name="WEEKLY REPORT FEM 2024  (3)" sheetId="24" r:id="rId18"/>
    <sheet name="DAILY SALES FOR MARCH" sheetId="34" r:id="rId19"/>
    <sheet name="WEEKLY REPORT MARCH 2024  " sheetId="35" r:id="rId20"/>
    <sheet name="DAILY SALES FOR APRIL 2024 (2)" sheetId="36" r:id="rId21"/>
    <sheet name="WEEKLY REPORT APRIL 2024   (2)" sheetId="37" r:id="rId22"/>
    <sheet name="DAILY SALES FOR MAY.2024" sheetId="41" r:id="rId23"/>
    <sheet name="WEEKLY REPORT MAY.2024" sheetId="42" r:id="rId24"/>
    <sheet name="DAILY SALES FOR JUNE.2024 (2)" sheetId="45" r:id="rId25"/>
    <sheet name="WEEKLY REPORT JUNE.2024 (2)" sheetId="46" r:id="rId26"/>
    <sheet name="DAILY SALES FOR JULY.2024 (3)" sheetId="47" r:id="rId27"/>
    <sheet name="WEEKLY REPORT JULY.2024 (3)" sheetId="48" r:id="rId28"/>
    <sheet name="DAILY SALES FOR AUGUST.2024 " sheetId="49" r:id="rId29"/>
    <sheet name="WEEKLY REPORT AUGUST.2024 (4)" sheetId="50" r:id="rId30"/>
    <sheet name="DAILY SALES FOR SEPTEMB.2024 (2" sheetId="51" r:id="rId31"/>
    <sheet name="WEEKLY REPORT SEMPT.2024 (5)" sheetId="52" r:id="rId32"/>
    <sheet name="DAILY SALES FOR OCT.2024" sheetId="53" r:id="rId33"/>
    <sheet name="WEEKLY REPORT FOR OCT.2024" sheetId="54" r:id="rId34"/>
    <sheet name="DAILY SALES FOR NOV.2024 (2)" sheetId="55" r:id="rId35"/>
    <sheet name="WEEKLY REPORT FOR NOV.2024 (2)" sheetId="56" r:id="rId36"/>
    <sheet name="DAILY SALES REPORT DEC.2024" sheetId="57" r:id="rId37"/>
    <sheet name="WEEKLY SALES REPORT DEC.2024" sheetId="58" r:id="rId38"/>
    <sheet name="DAIRY SALES REPORT JAN 2025" sheetId="59" r:id="rId39"/>
    <sheet name="WEEKLY SHOP REPORT JAN 2025" sheetId="60" r:id="rId40"/>
    <sheet name="DAILY  SALES REPORT FEB.2025" sheetId="66" r:id="rId41"/>
    <sheet name="WEEKLY SALES REPORT FEB .2025" sheetId="62" r:id="rId42"/>
    <sheet name="DAILY  SALES REPORT MAR.2025" sheetId="79" r:id="rId43"/>
    <sheet name="WEEKLY SALES REPORT MARCH  2025" sheetId="80" r:id="rId44"/>
    <sheet name="DAILY SALES REPORT FOR APRIL 20" sheetId="83" r:id="rId45"/>
    <sheet name="WEEKLY SALES REPORT FOR APRRIL " sheetId="84" r:id="rId46"/>
    <sheet name="DAILY SALES REPORT FOR MAY.2025" sheetId="85" r:id="rId47"/>
    <sheet name="WEEKLY SALES REPORT FOR MAY.25" sheetId="86" r:id="rId48"/>
    <sheet name="DAILY SALES REPORT FOR JUNE2025" sheetId="87" r:id="rId49"/>
    <sheet name="WEEKLY SALES REPORT FORJUNE2025" sheetId="88" r:id="rId50"/>
    <sheet name="DAIRY REPORT JULY 2025" sheetId="91" r:id="rId51"/>
    <sheet name="WEEKLY SALES REPORT FORJULY 202" sheetId="92" r:id="rId52"/>
    <sheet name="DAIRY REPORT AUG.2025" sheetId="93" r:id="rId53"/>
    <sheet name="WEEKLY REPORT AUG.2025" sheetId="94" r:id="rId54"/>
    <sheet name="DAIRY REPORT SEPT 2025" sheetId="95" r:id="rId55"/>
    <sheet name="WEEKLY REPORT SEPT 2025" sheetId="96" r:id="rId56"/>
    <sheet name="DAIRY REPORT OCT.2025" sheetId="97" r:id="rId57"/>
    <sheet name="WEEKLY REPORT OCT.2025" sheetId="98" r:id="rId58"/>
    <sheet name="DAILY REPORT NOV.2025" sheetId="99" r:id="rId59"/>
    <sheet name="WEEKLY REPORT NOV 2025" sheetId="100" r:id="rId60"/>
    <sheet name="DAILY REPORT DEC 2025" sheetId="101" r:id="rId61"/>
    <sheet name="WEEKLY REPORT DEC 2025" sheetId="102" r:id="rId62"/>
    <sheet name="DAILY REPORT JAN 2026" sheetId="103" r:id="rId63"/>
    <sheet name="DAILY REPORT FEB 2026" sheetId="105" r:id="rId64"/>
    <sheet name="WEEKLY REPORT JAN 2026" sheetId="104" r:id="rId65"/>
    <sheet name="DAILY REPORT MAR 2026" sheetId="107" r:id="rId66"/>
    <sheet name="WEEKLY REPORT MAR 2026" sheetId="106" r:id="rId67"/>
    <sheet name="DAILY REPORT APRIL 2026" sheetId="108" r:id="rId68"/>
    <sheet name="WEEKLY REPORT APRIL 2026" sheetId="109" r:id="rId6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0" i="108" l="1"/>
  <c r="T21" i="108"/>
  <c r="T22" i="108"/>
  <c r="T23" i="108"/>
  <c r="T24" i="108"/>
  <c r="T25" i="108"/>
  <c r="T26" i="108"/>
  <c r="T27" i="108"/>
  <c r="T28" i="108"/>
  <c r="T29" i="108"/>
  <c r="T30" i="108"/>
  <c r="T31" i="108"/>
  <c r="T32" i="108"/>
  <c r="T33" i="108"/>
  <c r="T34" i="108"/>
  <c r="T35" i="108"/>
  <c r="T17" i="108"/>
  <c r="T18" i="108"/>
  <c r="F19" i="109"/>
  <c r="F18" i="109"/>
  <c r="F17" i="109"/>
  <c r="F16" i="109"/>
  <c r="F15" i="109"/>
  <c r="F14" i="109"/>
  <c r="F13" i="109"/>
  <c r="F12" i="109"/>
  <c r="F11" i="109"/>
  <c r="F10" i="109"/>
  <c r="F9" i="109"/>
  <c r="F8" i="109"/>
  <c r="F7" i="109"/>
  <c r="F6" i="109"/>
  <c r="F5" i="109"/>
  <c r="F4" i="109"/>
  <c r="F3" i="109"/>
  <c r="E19" i="109"/>
  <c r="E18" i="109"/>
  <c r="E17" i="109"/>
  <c r="E16" i="109"/>
  <c r="E15" i="109"/>
  <c r="E14" i="109"/>
  <c r="E13" i="109"/>
  <c r="E12" i="109"/>
  <c r="E11" i="109"/>
  <c r="E10" i="109"/>
  <c r="E9" i="109"/>
  <c r="E8" i="109"/>
  <c r="E7" i="109"/>
  <c r="E6" i="109"/>
  <c r="E5" i="109"/>
  <c r="E4" i="109"/>
  <c r="E3" i="109"/>
  <c r="D19" i="109"/>
  <c r="D18" i="109"/>
  <c r="D17" i="109"/>
  <c r="D16" i="109"/>
  <c r="D15" i="109"/>
  <c r="D14" i="109"/>
  <c r="D13" i="109"/>
  <c r="D12" i="109"/>
  <c r="D11" i="109"/>
  <c r="D10" i="109"/>
  <c r="D9" i="109"/>
  <c r="D8" i="109"/>
  <c r="D7" i="109"/>
  <c r="D6" i="109"/>
  <c r="D5" i="109"/>
  <c r="D4" i="109"/>
  <c r="D3" i="109"/>
  <c r="C18" i="109"/>
  <c r="C17" i="109"/>
  <c r="C16" i="109"/>
  <c r="C15" i="109"/>
  <c r="C14" i="109"/>
  <c r="C13" i="109"/>
  <c r="C12" i="109"/>
  <c r="C11" i="109"/>
  <c r="C10" i="109"/>
  <c r="C9" i="109"/>
  <c r="C8" i="109"/>
  <c r="C7" i="109"/>
  <c r="C6" i="109"/>
  <c r="C5" i="109"/>
  <c r="C4" i="109"/>
  <c r="C3" i="109"/>
  <c r="C19" i="109"/>
  <c r="B19" i="109"/>
  <c r="B18" i="109"/>
  <c r="B17" i="109"/>
  <c r="B16" i="109"/>
  <c r="B15" i="109"/>
  <c r="B14" i="109"/>
  <c r="B13" i="109"/>
  <c r="B12" i="109"/>
  <c r="B11" i="109"/>
  <c r="B10" i="109"/>
  <c r="B9" i="109"/>
  <c r="B8" i="109"/>
  <c r="B7" i="109"/>
  <c r="B6" i="109"/>
  <c r="B5" i="109"/>
  <c r="B4" i="109"/>
  <c r="B3" i="109"/>
  <c r="R36" i="108"/>
  <c r="O36" i="108"/>
  <c r="J36" i="108"/>
  <c r="I36" i="108"/>
  <c r="H36" i="108"/>
  <c r="G36" i="108"/>
  <c r="F36" i="108"/>
  <c r="E36" i="108"/>
  <c r="D36" i="108"/>
  <c r="C36" i="108"/>
  <c r="B36" i="108"/>
  <c r="T19" i="108"/>
  <c r="T16" i="108"/>
  <c r="T15" i="108"/>
  <c r="T14" i="108"/>
  <c r="T13" i="108"/>
  <c r="T12" i="108"/>
  <c r="T11" i="108"/>
  <c r="T10" i="108"/>
  <c r="T9" i="108"/>
  <c r="T8" i="108"/>
  <c r="T7" i="108"/>
  <c r="T6" i="108"/>
  <c r="T7" i="107"/>
  <c r="T8" i="107"/>
  <c r="T9" i="107"/>
  <c r="T10" i="107"/>
  <c r="T11" i="107"/>
  <c r="T12" i="107"/>
  <c r="T13" i="107"/>
  <c r="T14" i="107"/>
  <c r="T15" i="107"/>
  <c r="T16" i="107"/>
  <c r="T17" i="107"/>
  <c r="T18" i="107"/>
  <c r="T19" i="107"/>
  <c r="T20" i="107"/>
  <c r="T21" i="107"/>
  <c r="T22" i="107"/>
  <c r="T23" i="107"/>
  <c r="T24" i="107"/>
  <c r="T25" i="107"/>
  <c r="T26" i="107"/>
  <c r="T27" i="107"/>
  <c r="T28" i="107"/>
  <c r="T29" i="107"/>
  <c r="T30" i="107"/>
  <c r="T31" i="107"/>
  <c r="T32" i="107"/>
  <c r="T33" i="107"/>
  <c r="T34" i="107"/>
  <c r="T35" i="107"/>
  <c r="T36" i="107"/>
  <c r="T6" i="107"/>
  <c r="O37" i="107"/>
  <c r="J37" i="107"/>
  <c r="I37" i="107"/>
  <c r="T37" i="107" l="1"/>
  <c r="F20" i="109"/>
  <c r="T36" i="108"/>
  <c r="G10" i="109"/>
  <c r="G8" i="109"/>
  <c r="G4" i="109"/>
  <c r="G9" i="109"/>
  <c r="E20" i="109"/>
  <c r="G7" i="109"/>
  <c r="D20" i="109"/>
  <c r="C20" i="109"/>
  <c r="G16" i="109"/>
  <c r="G11" i="109"/>
  <c r="G6" i="109"/>
  <c r="G5" i="109"/>
  <c r="B20" i="109"/>
  <c r="G3" i="109"/>
  <c r="F19" i="106"/>
  <c r="F18" i="106"/>
  <c r="F17" i="106"/>
  <c r="F16" i="106"/>
  <c r="F15" i="106"/>
  <c r="F14" i="106"/>
  <c r="F13" i="106"/>
  <c r="F12" i="106"/>
  <c r="F10" i="106"/>
  <c r="F9" i="106"/>
  <c r="F8" i="106"/>
  <c r="F7" i="106"/>
  <c r="F6" i="106"/>
  <c r="F5" i="106"/>
  <c r="F4" i="106"/>
  <c r="E19" i="106"/>
  <c r="E18" i="106"/>
  <c r="E17" i="106"/>
  <c r="E16" i="106"/>
  <c r="E15" i="106"/>
  <c r="E14" i="106"/>
  <c r="E13" i="106"/>
  <c r="E12" i="106"/>
  <c r="E11" i="106"/>
  <c r="E10" i="106"/>
  <c r="E9" i="106"/>
  <c r="E8" i="106"/>
  <c r="E7" i="106"/>
  <c r="E6" i="106"/>
  <c r="E5" i="106"/>
  <c r="E4" i="106"/>
  <c r="D19" i="106"/>
  <c r="D18" i="106"/>
  <c r="D17" i="106"/>
  <c r="D16" i="106"/>
  <c r="D15" i="106"/>
  <c r="D14" i="106"/>
  <c r="D13" i="106"/>
  <c r="D12" i="106"/>
  <c r="D11" i="106"/>
  <c r="D10" i="106"/>
  <c r="D9" i="106"/>
  <c r="D8" i="106"/>
  <c r="D7" i="106"/>
  <c r="D6" i="106"/>
  <c r="D5" i="106"/>
  <c r="D4" i="106"/>
  <c r="C19" i="106"/>
  <c r="C18" i="106"/>
  <c r="C17" i="106"/>
  <c r="C16" i="106"/>
  <c r="C15" i="106"/>
  <c r="C14" i="106"/>
  <c r="C13" i="106"/>
  <c r="C12" i="106"/>
  <c r="C11" i="106"/>
  <c r="C10" i="106"/>
  <c r="C9" i="106"/>
  <c r="C8" i="106"/>
  <c r="C7" i="106"/>
  <c r="C6" i="106"/>
  <c r="C5" i="106"/>
  <c r="C4" i="106"/>
  <c r="C3" i="106"/>
  <c r="F3" i="106"/>
  <c r="E3" i="106"/>
  <c r="D3" i="106"/>
  <c r="B19" i="106"/>
  <c r="B18" i="106"/>
  <c r="B17" i="106"/>
  <c r="B15" i="106"/>
  <c r="B14" i="106"/>
  <c r="B13" i="106"/>
  <c r="B12" i="106"/>
  <c r="B11" i="106"/>
  <c r="B10" i="106"/>
  <c r="B9" i="106"/>
  <c r="B8" i="106"/>
  <c r="B7" i="106"/>
  <c r="B6" i="106"/>
  <c r="B5" i="106"/>
  <c r="B4" i="106"/>
  <c r="B3" i="106"/>
  <c r="R37" i="107"/>
  <c r="H37" i="107"/>
  <c r="G37" i="107"/>
  <c r="F37" i="107"/>
  <c r="E37" i="107"/>
  <c r="D37" i="107"/>
  <c r="C37" i="107"/>
  <c r="B37" i="107"/>
  <c r="O7" i="105"/>
  <c r="T7" i="105" s="1"/>
  <c r="O8" i="105"/>
  <c r="T8" i="105"/>
  <c r="O9" i="105"/>
  <c r="T9" i="105"/>
  <c r="O10" i="105"/>
  <c r="T10" i="105"/>
  <c r="O11" i="105"/>
  <c r="T11" i="105"/>
  <c r="O12" i="105"/>
  <c r="T12" i="105"/>
  <c r="O13" i="105"/>
  <c r="T13" i="105"/>
  <c r="O14" i="105"/>
  <c r="T14" i="105" s="1"/>
  <c r="O15" i="105"/>
  <c r="O16" i="105"/>
  <c r="T16" i="105" s="1"/>
  <c r="O17" i="105"/>
  <c r="O18" i="105"/>
  <c r="T18" i="105" s="1"/>
  <c r="O19" i="105"/>
  <c r="O20" i="105"/>
  <c r="O21" i="105"/>
  <c r="O22" i="105"/>
  <c r="O23" i="105"/>
  <c r="O24" i="105"/>
  <c r="O25" i="105"/>
  <c r="O26" i="105"/>
  <c r="T26" i="105" s="1"/>
  <c r="O27" i="105"/>
  <c r="O28" i="105"/>
  <c r="T28" i="105" s="1"/>
  <c r="O29" i="105"/>
  <c r="O30" i="105"/>
  <c r="O31" i="105"/>
  <c r="O32" i="105"/>
  <c r="O33" i="105"/>
  <c r="O34" i="105"/>
  <c r="O35" i="105"/>
  <c r="O36" i="105"/>
  <c r="O37" i="105"/>
  <c r="O6" i="105" s="1"/>
  <c r="T6" i="105" s="1"/>
  <c r="T30" i="105"/>
  <c r="T31" i="105"/>
  <c r="T32" i="105"/>
  <c r="I34" i="105"/>
  <c r="J34" i="105" s="1"/>
  <c r="I35" i="105"/>
  <c r="J35" i="105" s="1"/>
  <c r="T35" i="105" s="1"/>
  <c r="I36" i="105"/>
  <c r="J36" i="105" s="1"/>
  <c r="I37" i="105"/>
  <c r="J37" i="105" s="1"/>
  <c r="E37" i="105"/>
  <c r="R37" i="105"/>
  <c r="H37" i="105"/>
  <c r="G37" i="105"/>
  <c r="F37" i="105"/>
  <c r="D37" i="105"/>
  <c r="C37" i="105"/>
  <c r="B37" i="105"/>
  <c r="T33" i="105"/>
  <c r="T29" i="105"/>
  <c r="T27" i="105"/>
  <c r="T25" i="105"/>
  <c r="T23" i="105"/>
  <c r="T22" i="105"/>
  <c r="T21" i="105"/>
  <c r="T19" i="105"/>
  <c r="T17" i="105"/>
  <c r="T15" i="105"/>
  <c r="G20" i="109" l="1"/>
  <c r="G10" i="106"/>
  <c r="G6" i="106"/>
  <c r="E20" i="106"/>
  <c r="G8" i="106"/>
  <c r="C20" i="106"/>
  <c r="G7" i="106"/>
  <c r="G9" i="106"/>
  <c r="G5" i="106"/>
  <c r="D20" i="106"/>
  <c r="F11" i="106"/>
  <c r="F20" i="106" s="1"/>
  <c r="T36" i="105"/>
  <c r="T34" i="105"/>
  <c r="T38" i="105" s="1"/>
  <c r="F20" i="104"/>
  <c r="E20" i="104"/>
  <c r="D20" i="104"/>
  <c r="C20" i="104"/>
  <c r="G11" i="104"/>
  <c r="G10" i="104"/>
  <c r="G9" i="104"/>
  <c r="G8" i="104"/>
  <c r="G7" i="104"/>
  <c r="G6" i="104"/>
  <c r="G5" i="104"/>
  <c r="G4" i="104"/>
  <c r="G3" i="104"/>
  <c r="G11" i="106" l="1"/>
  <c r="D37" i="103"/>
  <c r="R37" i="103"/>
  <c r="J37" i="103"/>
  <c r="I37" i="103"/>
  <c r="H37" i="103"/>
  <c r="G37" i="103"/>
  <c r="F37" i="103"/>
  <c r="E37" i="103"/>
  <c r="T34" i="103"/>
  <c r="T33" i="103"/>
  <c r="T32" i="103"/>
  <c r="T31" i="103"/>
  <c r="T29" i="103"/>
  <c r="T27" i="103"/>
  <c r="T26" i="103"/>
  <c r="T25" i="103"/>
  <c r="T24" i="103"/>
  <c r="T23" i="103"/>
  <c r="T22" i="103"/>
  <c r="T21" i="103"/>
  <c r="T20" i="103"/>
  <c r="T19" i="103"/>
  <c r="T17" i="103"/>
  <c r="T16" i="103"/>
  <c r="T15" i="103"/>
  <c r="T14" i="103"/>
  <c r="T13" i="103"/>
  <c r="T12" i="103"/>
  <c r="T11" i="103"/>
  <c r="T10" i="103"/>
  <c r="T9" i="103"/>
  <c r="T7" i="103"/>
  <c r="T6" i="103"/>
  <c r="E20" i="102" l="1"/>
  <c r="F20" i="102"/>
  <c r="D20" i="102"/>
  <c r="C20" i="102"/>
  <c r="G11" i="102"/>
  <c r="G10" i="102"/>
  <c r="G9" i="102"/>
  <c r="G8" i="102"/>
  <c r="G7" i="102"/>
  <c r="G6" i="102"/>
  <c r="G5" i="102"/>
  <c r="G4" i="102"/>
  <c r="G3" i="102"/>
  <c r="T20" i="101"/>
  <c r="R37" i="101"/>
  <c r="J37" i="101"/>
  <c r="I37" i="101"/>
  <c r="H37" i="101"/>
  <c r="G37" i="101"/>
  <c r="F37" i="101"/>
  <c r="E37" i="101"/>
  <c r="D37" i="101"/>
  <c r="C37" i="101"/>
  <c r="B37" i="101"/>
  <c r="T34" i="101"/>
  <c r="T33" i="101"/>
  <c r="T32" i="101"/>
  <c r="T31" i="101"/>
  <c r="T30" i="101"/>
  <c r="T29" i="101"/>
  <c r="T28" i="101"/>
  <c r="T27" i="101"/>
  <c r="T26" i="101"/>
  <c r="T25" i="101"/>
  <c r="T24" i="101"/>
  <c r="T23" i="101"/>
  <c r="T22" i="101"/>
  <c r="T21" i="101"/>
  <c r="T19" i="101"/>
  <c r="T18" i="101"/>
  <c r="T17" i="101"/>
  <c r="T16" i="101"/>
  <c r="T15" i="101"/>
  <c r="T14" i="101"/>
  <c r="T13" i="101"/>
  <c r="T12" i="101"/>
  <c r="T11" i="101"/>
  <c r="T10" i="101"/>
  <c r="T9" i="101"/>
  <c r="T8" i="101"/>
  <c r="T7" i="101"/>
  <c r="T6" i="101"/>
  <c r="G3" i="100" l="1"/>
  <c r="G4" i="100"/>
  <c r="G5" i="100"/>
  <c r="G6" i="100"/>
  <c r="G7" i="100"/>
  <c r="G8" i="100"/>
  <c r="G9" i="100"/>
  <c r="G10" i="100"/>
  <c r="G11" i="100"/>
  <c r="G16" i="100"/>
  <c r="F20" i="100"/>
  <c r="E20" i="100"/>
  <c r="D20" i="100"/>
  <c r="C20" i="100"/>
  <c r="B20" i="100"/>
  <c r="T15" i="99"/>
  <c r="G20" i="100" l="1"/>
  <c r="R37" i="99"/>
  <c r="J37" i="99"/>
  <c r="I37" i="99"/>
  <c r="H37" i="99"/>
  <c r="G37" i="99"/>
  <c r="F37" i="99"/>
  <c r="E37" i="99"/>
  <c r="D37" i="99"/>
  <c r="C37" i="99"/>
  <c r="B37" i="99"/>
  <c r="T34" i="99"/>
  <c r="T33" i="99"/>
  <c r="T32" i="99"/>
  <c r="T31" i="99"/>
  <c r="T30" i="99"/>
  <c r="T29" i="99"/>
  <c r="T28" i="99"/>
  <c r="T27" i="99"/>
  <c r="T26" i="99"/>
  <c r="T25" i="99"/>
  <c r="T24" i="99"/>
  <c r="T23" i="99"/>
  <c r="T22" i="99"/>
  <c r="T21" i="99"/>
  <c r="T19" i="99"/>
  <c r="T18" i="99"/>
  <c r="T17" i="99"/>
  <c r="T16" i="99"/>
  <c r="T14" i="99"/>
  <c r="T13" i="99"/>
  <c r="T12" i="99"/>
  <c r="T11" i="99"/>
  <c r="T10" i="99"/>
  <c r="T9" i="99"/>
  <c r="T8" i="99"/>
  <c r="T7" i="99"/>
  <c r="T6" i="99"/>
  <c r="F20" i="98" l="1"/>
  <c r="E20" i="98"/>
  <c r="D20" i="98"/>
  <c r="C20" i="98"/>
  <c r="B20" i="98"/>
  <c r="G19" i="98"/>
  <c r="G18" i="98"/>
  <c r="G17" i="98"/>
  <c r="G16" i="98"/>
  <c r="G15" i="98"/>
  <c r="G14" i="98"/>
  <c r="G13" i="98"/>
  <c r="G12" i="98"/>
  <c r="G11" i="98"/>
  <c r="G10" i="98"/>
  <c r="G9" i="98"/>
  <c r="G8" i="98"/>
  <c r="G7" i="98"/>
  <c r="G6" i="98"/>
  <c r="G5" i="98"/>
  <c r="G4" i="98"/>
  <c r="G3" i="98"/>
  <c r="R37" i="97"/>
  <c r="J37" i="97"/>
  <c r="I37" i="97"/>
  <c r="H37" i="97"/>
  <c r="G37" i="97"/>
  <c r="F37" i="97"/>
  <c r="E37" i="97"/>
  <c r="D37" i="97"/>
  <c r="C37" i="97"/>
  <c r="B37" i="97"/>
  <c r="T36" i="97"/>
  <c r="T35" i="97"/>
  <c r="T34" i="97"/>
  <c r="T33" i="97"/>
  <c r="T32" i="97"/>
  <c r="T31" i="97"/>
  <c r="T30" i="97"/>
  <c r="T29" i="97"/>
  <c r="T28" i="97"/>
  <c r="T27" i="97"/>
  <c r="T26" i="97"/>
  <c r="T25" i="97"/>
  <c r="T24" i="97"/>
  <c r="T23" i="97"/>
  <c r="T22" i="97"/>
  <c r="T21" i="97"/>
  <c r="T19" i="97"/>
  <c r="T18" i="97"/>
  <c r="T17" i="97"/>
  <c r="T16" i="97"/>
  <c r="T15" i="97"/>
  <c r="T14" i="97"/>
  <c r="T13" i="97"/>
  <c r="T12" i="97"/>
  <c r="T11" i="97"/>
  <c r="T10" i="97"/>
  <c r="T9" i="97"/>
  <c r="T8" i="97"/>
  <c r="T7" i="97"/>
  <c r="T6" i="97"/>
  <c r="G20" i="98" l="1"/>
  <c r="T33" i="95"/>
  <c r="T26" i="95"/>
  <c r="I37" i="95"/>
  <c r="T19" i="95"/>
  <c r="T12" i="95"/>
  <c r="T28" i="95"/>
  <c r="T29" i="95"/>
  <c r="T30" i="95"/>
  <c r="T31" i="95"/>
  <c r="T32" i="95"/>
  <c r="T34" i="95"/>
  <c r="T35" i="95"/>
  <c r="T36" i="95"/>
  <c r="T27" i="95"/>
  <c r="T13" i="95"/>
  <c r="T14" i="95"/>
  <c r="T15" i="95"/>
  <c r="T16" i="95"/>
  <c r="T17" i="95"/>
  <c r="T18" i="95"/>
  <c r="T20" i="95"/>
  <c r="T21" i="95"/>
  <c r="T22" i="95"/>
  <c r="T23" i="95"/>
  <c r="T24" i="95"/>
  <c r="T25" i="95"/>
  <c r="T8" i="95"/>
  <c r="T9" i="95"/>
  <c r="T10" i="95"/>
  <c r="T11" i="95"/>
  <c r="B37" i="95"/>
  <c r="C37" i="95"/>
  <c r="D37" i="95"/>
  <c r="E37" i="95"/>
  <c r="F37" i="95"/>
  <c r="G37" i="95"/>
  <c r="H37" i="95"/>
  <c r="J37" i="95"/>
  <c r="O37" i="95"/>
  <c r="R37" i="95"/>
  <c r="T7" i="95"/>
  <c r="T6" i="95"/>
  <c r="J20" i="96"/>
  <c r="I20" i="96"/>
  <c r="H20" i="96"/>
  <c r="G20" i="96"/>
  <c r="F20" i="96"/>
  <c r="K19" i="96"/>
  <c r="K18" i="96"/>
  <c r="K17" i="96"/>
  <c r="K16" i="96"/>
  <c r="K15" i="96"/>
  <c r="K14" i="96"/>
  <c r="K13" i="96"/>
  <c r="K12" i="96"/>
  <c r="K11" i="96"/>
  <c r="K10" i="96"/>
  <c r="K9" i="96"/>
  <c r="K8" i="96"/>
  <c r="K7" i="96"/>
  <c r="K6" i="96"/>
  <c r="K5" i="96"/>
  <c r="K4" i="96"/>
  <c r="K3" i="96"/>
  <c r="T37" i="95" l="1"/>
  <c r="K20" i="96"/>
  <c r="B37" i="93"/>
  <c r="C37" i="93"/>
  <c r="D37" i="93"/>
  <c r="E37" i="93"/>
  <c r="F37" i="93"/>
  <c r="G37" i="93"/>
  <c r="H37" i="93"/>
  <c r="I37" i="93"/>
  <c r="J37" i="93"/>
  <c r="O37" i="93"/>
  <c r="R37" i="93"/>
  <c r="T37" i="93"/>
  <c r="T30" i="93"/>
  <c r="T23" i="93"/>
  <c r="T16" i="93"/>
  <c r="T9" i="93"/>
  <c r="G3" i="94"/>
  <c r="G4" i="94"/>
  <c r="G5" i="94"/>
  <c r="G6" i="94"/>
  <c r="G7" i="94"/>
  <c r="G8" i="94"/>
  <c r="G9" i="94"/>
  <c r="G10" i="94"/>
  <c r="G11" i="94"/>
  <c r="G12" i="94"/>
  <c r="G13" i="94"/>
  <c r="G14" i="94"/>
  <c r="G15" i="94"/>
  <c r="G16" i="94"/>
  <c r="F20" i="94"/>
  <c r="E20" i="94"/>
  <c r="D20" i="94"/>
  <c r="C20" i="94"/>
  <c r="B20" i="94"/>
  <c r="G19" i="94"/>
  <c r="G18" i="94"/>
  <c r="G17" i="94"/>
  <c r="T36" i="93"/>
  <c r="T35" i="93"/>
  <c r="T34" i="93"/>
  <c r="T33" i="93"/>
  <c r="T32" i="93"/>
  <c r="T31" i="93"/>
  <c r="T29" i="93"/>
  <c r="T28" i="93"/>
  <c r="T27" i="93"/>
  <c r="T26" i="93"/>
  <c r="T25" i="93"/>
  <c r="T24" i="93"/>
  <c r="T22" i="93"/>
  <c r="T21" i="93"/>
  <c r="T20" i="93"/>
  <c r="T19" i="93"/>
  <c r="T18" i="93"/>
  <c r="T17" i="93"/>
  <c r="T15" i="93"/>
  <c r="T14" i="93"/>
  <c r="T13" i="93"/>
  <c r="T12" i="93"/>
  <c r="T11" i="93"/>
  <c r="T10" i="93"/>
  <c r="T8" i="93"/>
  <c r="T7" i="93"/>
  <c r="T6" i="93"/>
  <c r="G20" i="94" l="1"/>
  <c r="T18" i="91"/>
  <c r="T11" i="91"/>
  <c r="F20" i="92"/>
  <c r="E20" i="92"/>
  <c r="D20" i="92"/>
  <c r="C20" i="92"/>
  <c r="B20" i="92"/>
  <c r="G19" i="92"/>
  <c r="G18" i="92"/>
  <c r="G17" i="92"/>
  <c r="G16" i="92"/>
  <c r="G15" i="92"/>
  <c r="G14" i="92"/>
  <c r="G13" i="92"/>
  <c r="G12" i="92"/>
  <c r="G11" i="92"/>
  <c r="G10" i="92"/>
  <c r="G9" i="92"/>
  <c r="G8" i="92"/>
  <c r="G7" i="92"/>
  <c r="G6" i="92"/>
  <c r="G5" i="92"/>
  <c r="G4" i="92"/>
  <c r="G3" i="92"/>
  <c r="R37" i="91"/>
  <c r="O37" i="91"/>
  <c r="J37" i="91"/>
  <c r="I37" i="91"/>
  <c r="H37" i="91"/>
  <c r="G37" i="91"/>
  <c r="F37" i="91"/>
  <c r="E37" i="91"/>
  <c r="D37" i="91"/>
  <c r="C37" i="91"/>
  <c r="B37" i="91"/>
  <c r="T36" i="91"/>
  <c r="T35" i="91"/>
  <c r="T34" i="91"/>
  <c r="T33" i="91"/>
  <c r="T32" i="91"/>
  <c r="T31" i="91"/>
  <c r="T30" i="91"/>
  <c r="T29" i="91"/>
  <c r="T28" i="91"/>
  <c r="T27" i="91"/>
  <c r="T26" i="91"/>
  <c r="T25" i="91"/>
  <c r="T24" i="91"/>
  <c r="T23" i="91"/>
  <c r="T22" i="91"/>
  <c r="T21" i="91"/>
  <c r="T20" i="91"/>
  <c r="T19" i="91"/>
  <c r="T17" i="91"/>
  <c r="T16" i="91"/>
  <c r="T15" i="91"/>
  <c r="T14" i="91"/>
  <c r="T13" i="91"/>
  <c r="T12" i="91"/>
  <c r="T10" i="91"/>
  <c r="T9" i="91"/>
  <c r="T8" i="91"/>
  <c r="T7" i="91"/>
  <c r="T6" i="91"/>
  <c r="T37" i="91" l="1"/>
  <c r="G20" i="92"/>
  <c r="T34" i="87"/>
  <c r="T27" i="87"/>
  <c r="T20" i="87"/>
  <c r="T13" i="87"/>
  <c r="Q37" i="87"/>
  <c r="O37" i="87" l="1"/>
  <c r="F37" i="87"/>
  <c r="F20" i="88"/>
  <c r="E20" i="88"/>
  <c r="D20" i="88"/>
  <c r="C20" i="88"/>
  <c r="B20" i="88"/>
  <c r="G19" i="88"/>
  <c r="G18" i="88"/>
  <c r="G17" i="88"/>
  <c r="G16" i="88"/>
  <c r="G15" i="88"/>
  <c r="G14" i="88"/>
  <c r="G13" i="88"/>
  <c r="G12" i="88"/>
  <c r="G11" i="88"/>
  <c r="G10" i="88"/>
  <c r="G9" i="88"/>
  <c r="G8" i="88"/>
  <c r="G7" i="88"/>
  <c r="G6" i="88"/>
  <c r="G5" i="88"/>
  <c r="G4" i="88"/>
  <c r="G3" i="88"/>
  <c r="R37" i="87"/>
  <c r="J37" i="87"/>
  <c r="I37" i="87"/>
  <c r="H37" i="87"/>
  <c r="G37" i="87"/>
  <c r="E37" i="87"/>
  <c r="D37" i="87"/>
  <c r="C37" i="87"/>
  <c r="B37" i="87"/>
  <c r="T36" i="87"/>
  <c r="T35" i="87"/>
  <c r="T33" i="87"/>
  <c r="T32" i="87"/>
  <c r="T31" i="87"/>
  <c r="T30" i="87"/>
  <c r="T29" i="87"/>
  <c r="T28" i="87"/>
  <c r="T26" i="87"/>
  <c r="T25" i="87"/>
  <c r="T24" i="87"/>
  <c r="T23" i="87"/>
  <c r="T22" i="87"/>
  <c r="T21" i="87"/>
  <c r="T19" i="87"/>
  <c r="T18" i="87"/>
  <c r="T17" i="87"/>
  <c r="T16" i="87"/>
  <c r="T15" i="87"/>
  <c r="T14" i="87"/>
  <c r="T12" i="87"/>
  <c r="T11" i="87"/>
  <c r="T10" i="87"/>
  <c r="T9" i="87"/>
  <c r="T8" i="87"/>
  <c r="T7" i="87"/>
  <c r="T6" i="87"/>
  <c r="G20" i="88" l="1"/>
  <c r="T37" i="87"/>
  <c r="B37" i="85"/>
  <c r="C37" i="85"/>
  <c r="D37" i="85"/>
  <c r="E37" i="85"/>
  <c r="F37" i="85"/>
  <c r="G37" i="85"/>
  <c r="H37" i="85"/>
  <c r="I37" i="85"/>
  <c r="J37" i="85"/>
  <c r="O37" i="85"/>
  <c r="Q37" i="85"/>
  <c r="R37" i="85"/>
  <c r="T30" i="85"/>
  <c r="T23" i="85"/>
  <c r="T16" i="85"/>
  <c r="T9" i="85"/>
  <c r="T33" i="85"/>
  <c r="F20" i="86"/>
  <c r="E20" i="86"/>
  <c r="D20" i="86"/>
  <c r="C20" i="86"/>
  <c r="B20" i="86"/>
  <c r="G19" i="86"/>
  <c r="G18" i="86"/>
  <c r="G17" i="86"/>
  <c r="G16" i="86"/>
  <c r="G15" i="86"/>
  <c r="G14" i="86"/>
  <c r="G13" i="86"/>
  <c r="G12" i="86"/>
  <c r="G11" i="86"/>
  <c r="G10" i="86"/>
  <c r="G9" i="86"/>
  <c r="G8" i="86"/>
  <c r="G7" i="86"/>
  <c r="G6" i="86"/>
  <c r="G5" i="86"/>
  <c r="G4" i="86"/>
  <c r="G3" i="86"/>
  <c r="T36" i="85"/>
  <c r="T35" i="85"/>
  <c r="T34" i="85"/>
  <c r="T32" i="85"/>
  <c r="T31" i="85"/>
  <c r="T29" i="85"/>
  <c r="T28" i="85"/>
  <c r="T27" i="85"/>
  <c r="T26" i="85"/>
  <c r="T25" i="85"/>
  <c r="T24" i="85"/>
  <c r="T22" i="85"/>
  <c r="T21" i="85"/>
  <c r="T20" i="85"/>
  <c r="T19" i="85"/>
  <c r="T18" i="85"/>
  <c r="T17" i="85"/>
  <c r="T15" i="85"/>
  <c r="T14" i="85"/>
  <c r="T13" i="85"/>
  <c r="T12" i="85"/>
  <c r="T11" i="85"/>
  <c r="T10" i="85"/>
  <c r="T8" i="85"/>
  <c r="T7" i="85"/>
  <c r="T6" i="85"/>
  <c r="T37" i="85" l="1"/>
  <c r="G20" i="86"/>
  <c r="T32" i="83"/>
  <c r="T25" i="83"/>
  <c r="T18" i="83"/>
  <c r="T11" i="83"/>
  <c r="F20" i="84" l="1"/>
  <c r="E20" i="84"/>
  <c r="D20" i="84"/>
  <c r="C20" i="84"/>
  <c r="B20" i="84"/>
  <c r="G19" i="84"/>
  <c r="G18" i="84"/>
  <c r="G17" i="84"/>
  <c r="G16" i="84"/>
  <c r="G15" i="84"/>
  <c r="G14" i="84"/>
  <c r="G13" i="84"/>
  <c r="G12" i="84"/>
  <c r="G11" i="84"/>
  <c r="G10" i="84"/>
  <c r="G9" i="84"/>
  <c r="G8" i="84"/>
  <c r="G7" i="84"/>
  <c r="G6" i="84"/>
  <c r="G5" i="84"/>
  <c r="G4" i="84"/>
  <c r="G3" i="84"/>
  <c r="R37" i="83"/>
  <c r="Q37" i="83"/>
  <c r="O37" i="83"/>
  <c r="J37" i="83"/>
  <c r="I37" i="83"/>
  <c r="H37" i="83"/>
  <c r="G37" i="83"/>
  <c r="F37" i="83"/>
  <c r="E37" i="83"/>
  <c r="D37" i="83"/>
  <c r="C37" i="83"/>
  <c r="B37" i="83"/>
  <c r="T36" i="83"/>
  <c r="T35" i="83"/>
  <c r="T34" i="83"/>
  <c r="T33" i="83"/>
  <c r="T31" i="83"/>
  <c r="T30" i="83"/>
  <c r="T29" i="83"/>
  <c r="T28" i="83"/>
  <c r="T27" i="83"/>
  <c r="T26" i="83"/>
  <c r="T24" i="83"/>
  <c r="T23" i="83"/>
  <c r="T22" i="83"/>
  <c r="T21" i="83"/>
  <c r="T20" i="83"/>
  <c r="T19" i="83"/>
  <c r="T17" i="83"/>
  <c r="T16" i="83"/>
  <c r="T15" i="83"/>
  <c r="T14" i="83"/>
  <c r="T13" i="83"/>
  <c r="T12" i="83"/>
  <c r="T10" i="83"/>
  <c r="T9" i="83"/>
  <c r="T8" i="83"/>
  <c r="T7" i="83"/>
  <c r="T6" i="83"/>
  <c r="F20" i="82"/>
  <c r="E20" i="82"/>
  <c r="D20" i="82"/>
  <c r="C20" i="82"/>
  <c r="B20" i="82"/>
  <c r="G19" i="82"/>
  <c r="G18" i="82"/>
  <c r="G17" i="82"/>
  <c r="G16" i="82"/>
  <c r="G15" i="82"/>
  <c r="G14" i="82"/>
  <c r="G13" i="82"/>
  <c r="G12" i="82"/>
  <c r="G11" i="82"/>
  <c r="G10" i="82"/>
  <c r="G9" i="82"/>
  <c r="G8" i="82"/>
  <c r="G7" i="82"/>
  <c r="G6" i="82"/>
  <c r="G5" i="82"/>
  <c r="G4" i="82"/>
  <c r="G3" i="82"/>
  <c r="R37" i="81"/>
  <c r="Q37" i="81"/>
  <c r="O37" i="81"/>
  <c r="J37" i="81"/>
  <c r="I37" i="81"/>
  <c r="H37" i="81"/>
  <c r="G37" i="81"/>
  <c r="F37" i="81"/>
  <c r="E37" i="81"/>
  <c r="D37" i="81"/>
  <c r="C37" i="81"/>
  <c r="B37" i="81"/>
  <c r="T36" i="81"/>
  <c r="T35" i="81"/>
  <c r="T34" i="81"/>
  <c r="T33" i="81"/>
  <c r="T32" i="81"/>
  <c r="T31" i="81"/>
  <c r="T30" i="81"/>
  <c r="T29" i="81"/>
  <c r="T28" i="81"/>
  <c r="T27" i="81"/>
  <c r="T26" i="81"/>
  <c r="T25" i="81"/>
  <c r="T24" i="81"/>
  <c r="T23" i="81"/>
  <c r="T22" i="81"/>
  <c r="T21" i="81"/>
  <c r="T20" i="81"/>
  <c r="T19" i="81"/>
  <c r="T18" i="81"/>
  <c r="T17" i="81"/>
  <c r="T16" i="81"/>
  <c r="T15" i="81"/>
  <c r="T14" i="81"/>
  <c r="T13" i="81"/>
  <c r="T12" i="81"/>
  <c r="T11" i="81"/>
  <c r="T10" i="81"/>
  <c r="T9" i="81"/>
  <c r="T8" i="81"/>
  <c r="T7" i="81"/>
  <c r="T6" i="81"/>
  <c r="T37" i="81" l="1"/>
  <c r="G20" i="82"/>
  <c r="G20" i="84"/>
  <c r="T37" i="83"/>
  <c r="T34" i="79"/>
  <c r="T27" i="79"/>
  <c r="T20" i="79"/>
  <c r="T13" i="79"/>
  <c r="F20" i="80" l="1"/>
  <c r="E20" i="80"/>
  <c r="D20" i="80"/>
  <c r="C20" i="80"/>
  <c r="B20" i="80"/>
  <c r="G19" i="80"/>
  <c r="G18" i="80"/>
  <c r="G17" i="80"/>
  <c r="G16" i="80"/>
  <c r="G15" i="80"/>
  <c r="G14" i="80"/>
  <c r="G13" i="80"/>
  <c r="G12" i="80"/>
  <c r="G11" i="80"/>
  <c r="G10" i="80"/>
  <c r="G9" i="80"/>
  <c r="G8" i="80"/>
  <c r="G7" i="80"/>
  <c r="G6" i="80"/>
  <c r="G5" i="80"/>
  <c r="G4" i="80"/>
  <c r="G3" i="80"/>
  <c r="R37" i="79"/>
  <c r="Q37" i="79"/>
  <c r="O37" i="79"/>
  <c r="J37" i="79"/>
  <c r="I37" i="79"/>
  <c r="H37" i="79"/>
  <c r="G37" i="79"/>
  <c r="F37" i="79"/>
  <c r="E37" i="79"/>
  <c r="D37" i="79"/>
  <c r="C37" i="79"/>
  <c r="B37" i="79"/>
  <c r="T36" i="79"/>
  <c r="T35" i="79"/>
  <c r="T33" i="79"/>
  <c r="T32" i="79"/>
  <c r="T31" i="79"/>
  <c r="T30" i="79"/>
  <c r="T29" i="79"/>
  <c r="T28" i="79"/>
  <c r="T26" i="79"/>
  <c r="T25" i="79"/>
  <c r="T24" i="79"/>
  <c r="T23" i="79"/>
  <c r="T22" i="79"/>
  <c r="T21" i="79"/>
  <c r="T19" i="79"/>
  <c r="T18" i="79"/>
  <c r="T17" i="79"/>
  <c r="T16" i="79"/>
  <c r="T15" i="79"/>
  <c r="T14" i="79"/>
  <c r="T12" i="79"/>
  <c r="T11" i="79"/>
  <c r="T10" i="79"/>
  <c r="T9" i="79"/>
  <c r="T8" i="79"/>
  <c r="T7" i="79"/>
  <c r="T6" i="79"/>
  <c r="R37" i="66"/>
  <c r="Q37" i="66"/>
  <c r="O37" i="66"/>
  <c r="J37" i="66"/>
  <c r="I37" i="66"/>
  <c r="H37" i="66"/>
  <c r="G37" i="66"/>
  <c r="F37" i="66"/>
  <c r="E37" i="66"/>
  <c r="D37" i="66"/>
  <c r="C37" i="66"/>
  <c r="B37" i="66"/>
  <c r="T36" i="66"/>
  <c r="T35" i="66"/>
  <c r="T34" i="66"/>
  <c r="T33" i="66"/>
  <c r="T32" i="66"/>
  <c r="T31" i="66"/>
  <c r="T30" i="66"/>
  <c r="T29" i="66"/>
  <c r="T28" i="66"/>
  <c r="T27" i="66"/>
  <c r="T26" i="66"/>
  <c r="T25" i="66"/>
  <c r="T24" i="66"/>
  <c r="T23" i="66"/>
  <c r="T22" i="66"/>
  <c r="T21" i="66"/>
  <c r="T20" i="66"/>
  <c r="T19" i="66"/>
  <c r="T18" i="66"/>
  <c r="T17" i="66"/>
  <c r="T16" i="66"/>
  <c r="T15" i="66"/>
  <c r="T14" i="66"/>
  <c r="T13" i="66"/>
  <c r="T12" i="66"/>
  <c r="T11" i="66"/>
  <c r="T10" i="66"/>
  <c r="T9" i="66"/>
  <c r="T8" i="66"/>
  <c r="T7" i="66"/>
  <c r="T6" i="66"/>
  <c r="T37" i="66" l="1"/>
  <c r="G20" i="80"/>
  <c r="T37" i="79"/>
  <c r="F20" i="62"/>
  <c r="E20" i="62"/>
  <c r="D20" i="62"/>
  <c r="C20" i="62"/>
  <c r="B20" i="62"/>
  <c r="G19" i="62"/>
  <c r="G18" i="62"/>
  <c r="G17" i="62"/>
  <c r="G16" i="62"/>
  <c r="G15" i="62"/>
  <c r="G14" i="62"/>
  <c r="G13" i="62"/>
  <c r="G12" i="62"/>
  <c r="G11" i="62"/>
  <c r="G10" i="62"/>
  <c r="G9" i="62"/>
  <c r="G8" i="62"/>
  <c r="G7" i="62"/>
  <c r="G6" i="62"/>
  <c r="G5" i="62"/>
  <c r="G4" i="62"/>
  <c r="G3" i="62"/>
  <c r="G20" i="62" l="1"/>
  <c r="T31" i="59"/>
  <c r="T24" i="59"/>
  <c r="T17" i="59"/>
  <c r="T10" i="59"/>
  <c r="G37" i="59"/>
  <c r="F20" i="60"/>
  <c r="E20" i="60"/>
  <c r="D20" i="60"/>
  <c r="C20" i="60"/>
  <c r="B20" i="60"/>
  <c r="G19" i="60"/>
  <c r="G18" i="60"/>
  <c r="G17" i="60"/>
  <c r="G16" i="60"/>
  <c r="G15" i="60"/>
  <c r="G14" i="60"/>
  <c r="G13" i="60"/>
  <c r="G12" i="60"/>
  <c r="G11" i="60"/>
  <c r="G10" i="60"/>
  <c r="G9" i="60"/>
  <c r="G8" i="60"/>
  <c r="G7" i="60"/>
  <c r="G6" i="60"/>
  <c r="G5" i="60"/>
  <c r="G4" i="60"/>
  <c r="G3" i="60"/>
  <c r="R37" i="59"/>
  <c r="Q37" i="59"/>
  <c r="O37" i="59"/>
  <c r="J37" i="59"/>
  <c r="I37" i="59"/>
  <c r="H37" i="59"/>
  <c r="F37" i="59"/>
  <c r="E37" i="59"/>
  <c r="D37" i="59"/>
  <c r="C37" i="59"/>
  <c r="B37" i="59"/>
  <c r="T36" i="59"/>
  <c r="T35" i="59"/>
  <c r="T34" i="59"/>
  <c r="T33" i="59"/>
  <c r="T32" i="59"/>
  <c r="T30" i="59"/>
  <c r="T29" i="59"/>
  <c r="T28" i="59"/>
  <c r="T27" i="59"/>
  <c r="T26" i="59"/>
  <c r="T25" i="59"/>
  <c r="T23" i="59"/>
  <c r="T22" i="59"/>
  <c r="T21" i="59"/>
  <c r="T20" i="59"/>
  <c r="T19" i="59"/>
  <c r="T18" i="59"/>
  <c r="T16" i="59"/>
  <c r="T15" i="59"/>
  <c r="T14" i="59"/>
  <c r="T13" i="59"/>
  <c r="T12" i="59"/>
  <c r="T11" i="59"/>
  <c r="T9" i="59"/>
  <c r="T8" i="59"/>
  <c r="T7" i="59"/>
  <c r="T6" i="59"/>
  <c r="G20" i="60" l="1"/>
  <c r="T37" i="59"/>
  <c r="G5" i="58"/>
  <c r="XFD5" i="58" s="1"/>
  <c r="T35" i="57"/>
  <c r="T28" i="57"/>
  <c r="T21" i="57"/>
  <c r="T14" i="57"/>
  <c r="T13" i="57"/>
  <c r="O37" i="57"/>
  <c r="C37" i="57"/>
  <c r="R37" i="57"/>
  <c r="T36" i="57"/>
  <c r="T34" i="57"/>
  <c r="T33" i="57"/>
  <c r="T32" i="57"/>
  <c r="T30" i="57"/>
  <c r="T27" i="57"/>
  <c r="T26" i="57"/>
  <c r="T25" i="57"/>
  <c r="T24" i="57"/>
  <c r="T23" i="57"/>
  <c r="T20" i="57"/>
  <c r="T18" i="57"/>
  <c r="T17" i="57"/>
  <c r="T16" i="57"/>
  <c r="T15" i="57"/>
  <c r="T7" i="57"/>
  <c r="T9" i="57"/>
  <c r="T11" i="57"/>
  <c r="T12" i="57"/>
  <c r="T8" i="57"/>
  <c r="T10" i="57"/>
  <c r="T19" i="57"/>
  <c r="T22" i="57"/>
  <c r="B37" i="57"/>
  <c r="T6" i="57"/>
  <c r="T29" i="57"/>
  <c r="T31" i="57"/>
  <c r="Q37" i="57"/>
  <c r="D37" i="57"/>
  <c r="E37" i="57"/>
  <c r="F37" i="57"/>
  <c r="G37" i="57"/>
  <c r="H37" i="57"/>
  <c r="I37" i="57"/>
  <c r="J37" i="57"/>
  <c r="F20" i="58"/>
  <c r="E20" i="58"/>
  <c r="D20" i="58"/>
  <c r="C20" i="58"/>
  <c r="B20" i="58"/>
  <c r="G19" i="58"/>
  <c r="G18" i="58"/>
  <c r="G17" i="58"/>
  <c r="G16" i="58"/>
  <c r="G15" i="58"/>
  <c r="G14" i="58"/>
  <c r="G13" i="58"/>
  <c r="G12" i="58"/>
  <c r="G11" i="58"/>
  <c r="G10" i="58"/>
  <c r="G9" i="58"/>
  <c r="G8" i="58"/>
  <c r="G7" i="58"/>
  <c r="G6" i="58"/>
  <c r="G4" i="58"/>
  <c r="G3" i="58"/>
  <c r="G20" i="58" l="1"/>
  <c r="T37" i="57"/>
  <c r="G16" i="56"/>
  <c r="R37" i="55"/>
  <c r="C37" i="55"/>
  <c r="E37" i="55"/>
  <c r="G37" i="55"/>
  <c r="I37" i="55"/>
  <c r="T9" i="55"/>
  <c r="F20" i="56"/>
  <c r="E20" i="56"/>
  <c r="D20" i="56"/>
  <c r="C20" i="56"/>
  <c r="B20" i="56"/>
  <c r="G19" i="56"/>
  <c r="G18" i="56"/>
  <c r="G17" i="56"/>
  <c r="G15" i="56"/>
  <c r="G14" i="56"/>
  <c r="G13" i="56"/>
  <c r="G12" i="56"/>
  <c r="G11" i="56"/>
  <c r="G10" i="56"/>
  <c r="G9" i="56"/>
  <c r="G8" i="56"/>
  <c r="G7" i="56"/>
  <c r="G6" i="56"/>
  <c r="G5" i="56"/>
  <c r="G4" i="56"/>
  <c r="G3" i="56"/>
  <c r="Q37" i="55"/>
  <c r="O37" i="55"/>
  <c r="J37" i="55"/>
  <c r="H37" i="55"/>
  <c r="F37" i="55"/>
  <c r="D37" i="55"/>
  <c r="B37" i="55"/>
  <c r="T36" i="55"/>
  <c r="T35" i="55"/>
  <c r="T34" i="55"/>
  <c r="T33" i="55"/>
  <c r="T32" i="55"/>
  <c r="T31" i="55"/>
  <c r="T30" i="55"/>
  <c r="T29" i="55"/>
  <c r="T28" i="55"/>
  <c r="T27" i="55"/>
  <c r="T26" i="55"/>
  <c r="T25" i="55"/>
  <c r="T24" i="55"/>
  <c r="T23" i="55"/>
  <c r="T22" i="55"/>
  <c r="T21" i="55"/>
  <c r="T20" i="55"/>
  <c r="T19" i="55"/>
  <c r="T18" i="55"/>
  <c r="T17" i="55"/>
  <c r="T16" i="55"/>
  <c r="T15" i="55"/>
  <c r="T14" i="55"/>
  <c r="T13" i="55"/>
  <c r="T12" i="55"/>
  <c r="T11" i="55"/>
  <c r="T10" i="55"/>
  <c r="T8" i="55"/>
  <c r="T7" i="55"/>
  <c r="T6" i="55"/>
  <c r="G20" i="56" l="1"/>
  <c r="T37" i="55"/>
  <c r="R37" i="53"/>
  <c r="Q37" i="53"/>
  <c r="O37" i="53"/>
  <c r="F20" i="54" l="1"/>
  <c r="E20" i="54"/>
  <c r="D20" i="54"/>
  <c r="C20" i="54"/>
  <c r="B20" i="54"/>
  <c r="G19" i="54"/>
  <c r="G18" i="54"/>
  <c r="G17" i="54"/>
  <c r="G15" i="54"/>
  <c r="G14" i="54"/>
  <c r="G13" i="54"/>
  <c r="G12" i="54"/>
  <c r="G11" i="54"/>
  <c r="G10" i="54"/>
  <c r="G9" i="54"/>
  <c r="G8" i="54"/>
  <c r="G7" i="54"/>
  <c r="G6" i="54"/>
  <c r="G5" i="54"/>
  <c r="G4" i="54"/>
  <c r="G3" i="54"/>
  <c r="J37" i="53"/>
  <c r="I37" i="53"/>
  <c r="G37" i="53"/>
  <c r="F37" i="53"/>
  <c r="E37" i="53"/>
  <c r="D37" i="53"/>
  <c r="C37" i="53"/>
  <c r="B37" i="53"/>
  <c r="T36" i="53"/>
  <c r="T35" i="53"/>
  <c r="T34" i="53"/>
  <c r="T33" i="53"/>
  <c r="T32" i="53"/>
  <c r="T31" i="53"/>
  <c r="T30" i="53"/>
  <c r="T29" i="53"/>
  <c r="T28" i="53"/>
  <c r="T27" i="53"/>
  <c r="T26" i="53"/>
  <c r="T24" i="53"/>
  <c r="T23" i="53"/>
  <c r="T22" i="53"/>
  <c r="T21" i="53"/>
  <c r="T20" i="53"/>
  <c r="T19" i="53"/>
  <c r="T18" i="53"/>
  <c r="T17" i="53"/>
  <c r="T16" i="53"/>
  <c r="T15" i="53"/>
  <c r="T14" i="53"/>
  <c r="T13" i="53"/>
  <c r="T12" i="53"/>
  <c r="T11" i="53"/>
  <c r="T10" i="53"/>
  <c r="T9" i="53"/>
  <c r="T8" i="53"/>
  <c r="T7" i="53"/>
  <c r="T6" i="53"/>
  <c r="G20" i="54" l="1"/>
  <c r="H37" i="53"/>
  <c r="T37" i="53" s="1"/>
  <c r="T25" i="53"/>
  <c r="R38" i="51"/>
  <c r="O38" i="51"/>
  <c r="F21" i="52" l="1"/>
  <c r="E21" i="52"/>
  <c r="D21" i="52"/>
  <c r="C21" i="52"/>
  <c r="B21" i="52"/>
  <c r="G20" i="52"/>
  <c r="G19" i="52"/>
  <c r="G18" i="52"/>
  <c r="G17" i="52"/>
  <c r="G16" i="52"/>
  <c r="G15" i="52"/>
  <c r="G14" i="52"/>
  <c r="G13" i="52"/>
  <c r="G12" i="52"/>
  <c r="G11" i="52"/>
  <c r="G10" i="52"/>
  <c r="G9" i="52"/>
  <c r="G8" i="52"/>
  <c r="G7" i="52"/>
  <c r="G6" i="52"/>
  <c r="G5" i="52"/>
  <c r="G4" i="52"/>
  <c r="J38" i="51"/>
  <c r="I38" i="51"/>
  <c r="H38" i="51"/>
  <c r="G38" i="51"/>
  <c r="F38" i="51"/>
  <c r="E38" i="51"/>
  <c r="D38" i="51"/>
  <c r="C38" i="51"/>
  <c r="B38" i="51"/>
  <c r="T37" i="51"/>
  <c r="T36" i="51"/>
  <c r="T35" i="51"/>
  <c r="T34" i="51"/>
  <c r="T33" i="51"/>
  <c r="T32" i="51"/>
  <c r="T31" i="51"/>
  <c r="T30" i="51"/>
  <c r="T29" i="51"/>
  <c r="T28" i="51"/>
  <c r="T27" i="51"/>
  <c r="T26" i="51"/>
  <c r="T25" i="51"/>
  <c r="T24" i="51"/>
  <c r="T23" i="51"/>
  <c r="T22" i="51"/>
  <c r="T21" i="51"/>
  <c r="T20" i="51"/>
  <c r="T19" i="51"/>
  <c r="T18" i="51"/>
  <c r="T17" i="51"/>
  <c r="T16" i="51"/>
  <c r="T15" i="51"/>
  <c r="T14" i="51"/>
  <c r="T13" i="51"/>
  <c r="T12" i="51"/>
  <c r="T11" i="51"/>
  <c r="T10" i="51"/>
  <c r="T9" i="51"/>
  <c r="T8" i="51"/>
  <c r="T7" i="51"/>
  <c r="G21" i="52" l="1"/>
  <c r="T38" i="51"/>
  <c r="R38" i="49"/>
  <c r="B38" i="49" l="1"/>
  <c r="C38" i="49"/>
  <c r="D38" i="49"/>
  <c r="E38" i="49"/>
  <c r="F38" i="49"/>
  <c r="G38" i="49"/>
  <c r="H38" i="49"/>
  <c r="I38" i="49"/>
  <c r="J38" i="49"/>
  <c r="O38" i="49"/>
  <c r="F21" i="50" l="1"/>
  <c r="E21" i="50"/>
  <c r="D21" i="50"/>
  <c r="C21" i="50"/>
  <c r="B21" i="50"/>
  <c r="G20" i="50"/>
  <c r="G19" i="50"/>
  <c r="G18" i="50"/>
  <c r="G17" i="50"/>
  <c r="G16" i="50"/>
  <c r="G15" i="50"/>
  <c r="G14" i="50"/>
  <c r="G13" i="50"/>
  <c r="G12" i="50"/>
  <c r="G11" i="50"/>
  <c r="G10" i="50"/>
  <c r="G9" i="50"/>
  <c r="G8" i="50"/>
  <c r="G7" i="50"/>
  <c r="G6" i="50"/>
  <c r="G5" i="50"/>
  <c r="G4" i="50"/>
  <c r="T37" i="49"/>
  <c r="T36" i="49"/>
  <c r="T35" i="49"/>
  <c r="T34" i="49"/>
  <c r="T33" i="49"/>
  <c r="T32" i="49"/>
  <c r="T31" i="49"/>
  <c r="T30" i="49"/>
  <c r="T29" i="49"/>
  <c r="T28" i="49"/>
  <c r="T27" i="49"/>
  <c r="T26" i="49"/>
  <c r="T25" i="49"/>
  <c r="T24" i="49"/>
  <c r="T23" i="49"/>
  <c r="T22" i="49"/>
  <c r="T21" i="49"/>
  <c r="T20" i="49"/>
  <c r="T19" i="49"/>
  <c r="T18" i="49"/>
  <c r="T17" i="49"/>
  <c r="T16" i="49"/>
  <c r="T15" i="49"/>
  <c r="T14" i="49"/>
  <c r="T13" i="49"/>
  <c r="T12" i="49"/>
  <c r="T11" i="49"/>
  <c r="T10" i="49"/>
  <c r="T9" i="49"/>
  <c r="T8" i="49"/>
  <c r="T7" i="49"/>
  <c r="G21" i="50" l="1"/>
  <c r="T38" i="49"/>
  <c r="T13" i="47"/>
  <c r="F21" i="48" l="1"/>
  <c r="E21" i="48"/>
  <c r="D21" i="48"/>
  <c r="C21" i="48"/>
  <c r="B21" i="48"/>
  <c r="G20" i="48"/>
  <c r="G19" i="48"/>
  <c r="G18" i="48"/>
  <c r="G17" i="48"/>
  <c r="G16" i="48"/>
  <c r="G15" i="48"/>
  <c r="G14" i="48"/>
  <c r="G13" i="48"/>
  <c r="G12" i="48"/>
  <c r="G11" i="48"/>
  <c r="G10" i="48"/>
  <c r="G9" i="48"/>
  <c r="G8" i="48"/>
  <c r="G7" i="48"/>
  <c r="G6" i="48"/>
  <c r="G5" i="48"/>
  <c r="G4" i="48"/>
  <c r="R38" i="47"/>
  <c r="O38" i="47"/>
  <c r="J38" i="47"/>
  <c r="I38" i="47"/>
  <c r="H38" i="47"/>
  <c r="G38" i="47"/>
  <c r="F38" i="47"/>
  <c r="E38" i="47"/>
  <c r="D38" i="47"/>
  <c r="C38" i="47"/>
  <c r="B38" i="47"/>
  <c r="T37" i="47"/>
  <c r="T36" i="47"/>
  <c r="T35" i="47"/>
  <c r="T34" i="47"/>
  <c r="T33" i="47"/>
  <c r="T32" i="47"/>
  <c r="T31" i="47"/>
  <c r="T30" i="47"/>
  <c r="T29" i="47"/>
  <c r="T28" i="47"/>
  <c r="T27" i="47"/>
  <c r="T26" i="47"/>
  <c r="T25" i="47"/>
  <c r="T24" i="47"/>
  <c r="T23" i="47"/>
  <c r="T22" i="47"/>
  <c r="T21" i="47"/>
  <c r="T20" i="47"/>
  <c r="T19" i="47"/>
  <c r="T18" i="47"/>
  <c r="T17" i="47"/>
  <c r="T16" i="47"/>
  <c r="T15" i="47"/>
  <c r="T14" i="47"/>
  <c r="T12" i="47"/>
  <c r="T11" i="47"/>
  <c r="T10" i="47"/>
  <c r="T9" i="47"/>
  <c r="T8" i="47"/>
  <c r="T7" i="47"/>
  <c r="G21" i="48" l="1"/>
  <c r="T38" i="47"/>
  <c r="G17" i="46"/>
  <c r="R38" i="45"/>
  <c r="E38" i="45"/>
  <c r="I38" i="45"/>
  <c r="T30" i="45"/>
  <c r="F38" i="45"/>
  <c r="J38" i="45"/>
  <c r="T23" i="45"/>
  <c r="H38" i="45"/>
  <c r="D38" i="45"/>
  <c r="T16" i="45"/>
  <c r="T9" i="45"/>
  <c r="C38" i="45"/>
  <c r="G38" i="45"/>
  <c r="O38" i="45"/>
  <c r="T7" i="45"/>
  <c r="F21" i="46"/>
  <c r="E21" i="46"/>
  <c r="D21" i="46"/>
  <c r="C21" i="46"/>
  <c r="B21" i="46"/>
  <c r="G20" i="46"/>
  <c r="G19" i="46"/>
  <c r="G18" i="46"/>
  <c r="G16" i="46"/>
  <c r="G15" i="46"/>
  <c r="G14" i="46"/>
  <c r="G13" i="46"/>
  <c r="G12" i="46"/>
  <c r="G11" i="46"/>
  <c r="G10" i="46"/>
  <c r="G9" i="46"/>
  <c r="G8" i="46"/>
  <c r="G7" i="46"/>
  <c r="G6" i="46"/>
  <c r="G5" i="46"/>
  <c r="G4" i="46"/>
  <c r="T37" i="45"/>
  <c r="T36" i="45"/>
  <c r="T35" i="45"/>
  <c r="T34" i="45"/>
  <c r="T33" i="45"/>
  <c r="T32" i="45"/>
  <c r="T31" i="45"/>
  <c r="T29" i="45"/>
  <c r="T28" i="45"/>
  <c r="T27" i="45"/>
  <c r="T26" i="45"/>
  <c r="T25" i="45"/>
  <c r="T24" i="45"/>
  <c r="T22" i="45"/>
  <c r="T21" i="45"/>
  <c r="T20" i="45"/>
  <c r="T19" i="45"/>
  <c r="T18" i="45"/>
  <c r="T17" i="45"/>
  <c r="T15" i="45"/>
  <c r="T14" i="45"/>
  <c r="T13" i="45"/>
  <c r="T12" i="45"/>
  <c r="T11" i="45"/>
  <c r="T10" i="45"/>
  <c r="T8" i="45"/>
  <c r="B38" i="45" l="1"/>
  <c r="T38" i="45" s="1"/>
  <c r="G21" i="46"/>
  <c r="G5" i="42"/>
  <c r="F21" i="42" l="1"/>
  <c r="E21" i="42"/>
  <c r="D21" i="42"/>
  <c r="C21" i="42"/>
  <c r="B21" i="42"/>
  <c r="G20" i="42"/>
  <c r="G19" i="42"/>
  <c r="G18" i="42"/>
  <c r="G16" i="42"/>
  <c r="G15" i="42"/>
  <c r="G14" i="42"/>
  <c r="G13" i="42"/>
  <c r="G12" i="42"/>
  <c r="G11" i="42"/>
  <c r="G10" i="42"/>
  <c r="G9" i="42"/>
  <c r="G8" i="42"/>
  <c r="G7" i="42"/>
  <c r="G6" i="42"/>
  <c r="G4" i="42"/>
  <c r="U38" i="41"/>
  <c r="R38" i="41"/>
  <c r="O38" i="41"/>
  <c r="J38" i="41"/>
  <c r="I38" i="41"/>
  <c r="H38" i="41"/>
  <c r="G38" i="41"/>
  <c r="F38" i="41"/>
  <c r="E38" i="41"/>
  <c r="D38" i="41"/>
  <c r="C38" i="41"/>
  <c r="B38" i="41"/>
  <c r="T37" i="41"/>
  <c r="T36" i="41"/>
  <c r="T35" i="41"/>
  <c r="T34" i="41"/>
  <c r="T33" i="41"/>
  <c r="T32" i="41"/>
  <c r="T31" i="41"/>
  <c r="T30" i="41"/>
  <c r="T29" i="41"/>
  <c r="T28" i="41"/>
  <c r="T27" i="41"/>
  <c r="T26" i="41"/>
  <c r="T25" i="41"/>
  <c r="T24" i="41"/>
  <c r="T23" i="41"/>
  <c r="T22" i="41"/>
  <c r="T21" i="41"/>
  <c r="T20" i="41"/>
  <c r="T19" i="41"/>
  <c r="T18" i="41"/>
  <c r="T17" i="41"/>
  <c r="T16" i="41"/>
  <c r="T15" i="41"/>
  <c r="T14" i="41"/>
  <c r="T13" i="41"/>
  <c r="T12" i="41"/>
  <c r="T11" i="41"/>
  <c r="T10" i="41"/>
  <c r="T9" i="41"/>
  <c r="T8" i="41"/>
  <c r="G21" i="42" l="1"/>
  <c r="T38" i="41"/>
  <c r="U38" i="36"/>
  <c r="T37" i="36"/>
  <c r="H38" i="36"/>
  <c r="J38" i="36"/>
  <c r="T35" i="36"/>
  <c r="T28" i="36"/>
  <c r="D38" i="36"/>
  <c r="O38" i="36"/>
  <c r="T21" i="36"/>
  <c r="C38" i="36"/>
  <c r="G38" i="36"/>
  <c r="T14" i="36"/>
  <c r="F38" i="36"/>
  <c r="E38" i="36"/>
  <c r="I38" i="36"/>
  <c r="R38" i="36"/>
  <c r="T7" i="36"/>
  <c r="T11" i="36"/>
  <c r="T13" i="36"/>
  <c r="T19" i="36"/>
  <c r="T27" i="36"/>
  <c r="T29" i="36"/>
  <c r="T15" i="36"/>
  <c r="T23" i="36"/>
  <c r="T31" i="36"/>
  <c r="T9" i="36"/>
  <c r="T17" i="36"/>
  <c r="T25" i="36"/>
  <c r="T33" i="36"/>
  <c r="T8" i="36"/>
  <c r="T12" i="36"/>
  <c r="T16" i="36"/>
  <c r="T18" i="36"/>
  <c r="T20" i="36"/>
  <c r="T22" i="36"/>
  <c r="T24" i="36"/>
  <c r="T26" i="36"/>
  <c r="T30" i="36"/>
  <c r="T32" i="36"/>
  <c r="T34" i="36"/>
  <c r="T36" i="36"/>
  <c r="G28" i="37"/>
  <c r="F28" i="37"/>
  <c r="E28" i="37"/>
  <c r="D28" i="37"/>
  <c r="C28" i="37"/>
  <c r="H27" i="37"/>
  <c r="H26" i="37"/>
  <c r="H25" i="37"/>
  <c r="H23" i="37"/>
  <c r="H22" i="37"/>
  <c r="H21" i="37"/>
  <c r="H20" i="37"/>
  <c r="H19" i="37"/>
  <c r="H18" i="37"/>
  <c r="H17" i="37"/>
  <c r="H16" i="37"/>
  <c r="H15" i="37"/>
  <c r="H14" i="37"/>
  <c r="H13" i="37"/>
  <c r="H12" i="37"/>
  <c r="H11" i="37"/>
  <c r="K10" i="36"/>
  <c r="T10" i="36" s="1"/>
  <c r="C28" i="35"/>
  <c r="D28" i="35"/>
  <c r="E28" i="35"/>
  <c r="F28" i="35"/>
  <c r="G28" i="35"/>
  <c r="B38" i="36" l="1"/>
  <c r="K38" i="36" s="1"/>
  <c r="T38" i="36"/>
  <c r="H28" i="37"/>
  <c r="I10" i="34"/>
  <c r="R10" i="34"/>
  <c r="O10" i="34"/>
  <c r="K10" i="34"/>
  <c r="J10" i="34"/>
  <c r="H10" i="34"/>
  <c r="G10" i="34"/>
  <c r="F10" i="34"/>
  <c r="E10" i="34"/>
  <c r="D10" i="34"/>
  <c r="C10" i="34"/>
  <c r="B10" i="34"/>
  <c r="B38" i="34"/>
  <c r="C38" i="34"/>
  <c r="D38" i="34"/>
  <c r="E38" i="34"/>
  <c r="F38" i="34"/>
  <c r="G38" i="34"/>
  <c r="H38" i="34"/>
  <c r="I38" i="34"/>
  <c r="J38" i="34"/>
  <c r="K38" i="34"/>
  <c r="O38" i="34"/>
  <c r="R38" i="34"/>
  <c r="T31" i="34"/>
  <c r="T24" i="34"/>
  <c r="T17" i="34"/>
  <c r="T14" i="34"/>
  <c r="H27" i="35"/>
  <c r="H26" i="35"/>
  <c r="H25" i="35"/>
  <c r="H23" i="35"/>
  <c r="H22" i="35"/>
  <c r="H21" i="35"/>
  <c r="H20" i="35"/>
  <c r="H19" i="35"/>
  <c r="H18" i="35"/>
  <c r="H17" i="35"/>
  <c r="H16" i="35"/>
  <c r="H15" i="35"/>
  <c r="H14" i="35"/>
  <c r="H13" i="35"/>
  <c r="H12" i="35"/>
  <c r="H11" i="35"/>
  <c r="T37" i="34"/>
  <c r="T36" i="34"/>
  <c r="T35" i="34"/>
  <c r="T34" i="34"/>
  <c r="T33" i="34"/>
  <c r="T32" i="34"/>
  <c r="T30" i="34"/>
  <c r="T29" i="34"/>
  <c r="T28" i="34"/>
  <c r="T27" i="34"/>
  <c r="T26" i="34"/>
  <c r="T25" i="34"/>
  <c r="T23" i="34"/>
  <c r="T22" i="34"/>
  <c r="T21" i="34"/>
  <c r="T20" i="34"/>
  <c r="T19" i="34"/>
  <c r="T18" i="34"/>
  <c r="T16" i="34"/>
  <c r="T15" i="34"/>
  <c r="T13" i="34"/>
  <c r="T12" i="34"/>
  <c r="T11" i="34"/>
  <c r="T9" i="34"/>
  <c r="U9" i="34" s="1"/>
  <c r="T8" i="34"/>
  <c r="U8" i="34" s="1"/>
  <c r="T7" i="34"/>
  <c r="U7" i="34" s="1"/>
  <c r="T10" i="34" l="1"/>
  <c r="U10" i="34" s="1"/>
  <c r="T38" i="34"/>
  <c r="H28" i="35"/>
  <c r="O38" i="23"/>
  <c r="G28" i="24"/>
  <c r="F28" i="24"/>
  <c r="E28" i="24"/>
  <c r="D28" i="24"/>
  <c r="C28" i="24"/>
  <c r="H27" i="24"/>
  <c r="H26" i="24"/>
  <c r="H25" i="24"/>
  <c r="H24" i="24"/>
  <c r="H23" i="24"/>
  <c r="H22" i="24"/>
  <c r="H21" i="24"/>
  <c r="H20" i="24"/>
  <c r="H19" i="24"/>
  <c r="H18" i="24"/>
  <c r="H17" i="24"/>
  <c r="H16" i="24"/>
  <c r="H15" i="24"/>
  <c r="H14" i="24"/>
  <c r="H13" i="24"/>
  <c r="H12" i="24"/>
  <c r="H11" i="24"/>
  <c r="S38" i="23"/>
  <c r="R38" i="23"/>
  <c r="Q38" i="23"/>
  <c r="P38" i="23"/>
  <c r="N38" i="23"/>
  <c r="M38" i="23"/>
  <c r="L38" i="23"/>
  <c r="K38" i="23"/>
  <c r="J38" i="23"/>
  <c r="I38" i="23"/>
  <c r="H38" i="23"/>
  <c r="G38" i="23"/>
  <c r="F38" i="23"/>
  <c r="E38" i="23"/>
  <c r="D38" i="23"/>
  <c r="C38" i="23"/>
  <c r="B38" i="23"/>
  <c r="T37" i="23"/>
  <c r="T36" i="23"/>
  <c r="T35" i="23"/>
  <c r="T34" i="23"/>
  <c r="T33" i="23"/>
  <c r="T32" i="23"/>
  <c r="T31" i="23"/>
  <c r="T30" i="23"/>
  <c r="T29" i="23"/>
  <c r="T28" i="23"/>
  <c r="T27" i="23"/>
  <c r="T26" i="23"/>
  <c r="T25" i="23"/>
  <c r="T24" i="23"/>
  <c r="T23" i="23"/>
  <c r="T22" i="23"/>
  <c r="T21" i="23"/>
  <c r="T20" i="23"/>
  <c r="T19" i="23"/>
  <c r="T18" i="23"/>
  <c r="T17" i="23"/>
  <c r="T16" i="23"/>
  <c r="T15" i="23"/>
  <c r="T14" i="23"/>
  <c r="T13" i="23"/>
  <c r="T12" i="23"/>
  <c r="T11" i="23"/>
  <c r="T10" i="23"/>
  <c r="T9" i="23"/>
  <c r="T8" i="23"/>
  <c r="T7" i="23"/>
  <c r="T38" i="23" l="1"/>
  <c r="H28" i="24"/>
  <c r="B38" i="21"/>
  <c r="C38" i="21"/>
  <c r="D38" i="21"/>
  <c r="E38" i="21"/>
  <c r="F38" i="21"/>
  <c r="G38" i="21"/>
  <c r="H38" i="21"/>
  <c r="I38" i="21"/>
  <c r="J38" i="21"/>
  <c r="K38" i="21"/>
  <c r="L38" i="21"/>
  <c r="M38" i="21"/>
  <c r="N38" i="21"/>
  <c r="O38" i="21"/>
  <c r="T35" i="21"/>
  <c r="P38" i="21"/>
  <c r="T9" i="21"/>
  <c r="T11" i="21"/>
  <c r="T13" i="21"/>
  <c r="G28" i="22"/>
  <c r="F28" i="22"/>
  <c r="E28" i="22"/>
  <c r="D28" i="22"/>
  <c r="C28" i="22"/>
  <c r="H27" i="22"/>
  <c r="H26" i="22"/>
  <c r="H25" i="22"/>
  <c r="H24" i="22"/>
  <c r="H23" i="22"/>
  <c r="H22" i="22"/>
  <c r="H21" i="22"/>
  <c r="H20" i="22"/>
  <c r="H19" i="22"/>
  <c r="H18" i="22"/>
  <c r="H17" i="22"/>
  <c r="H16" i="22"/>
  <c r="H15" i="22"/>
  <c r="H14" i="22"/>
  <c r="H13" i="22"/>
  <c r="H12" i="22"/>
  <c r="H11" i="22"/>
  <c r="S38" i="21"/>
  <c r="R38" i="21"/>
  <c r="Q38" i="21"/>
  <c r="T37" i="21"/>
  <c r="T36" i="21"/>
  <c r="T34" i="21"/>
  <c r="T33" i="21"/>
  <c r="T32" i="21"/>
  <c r="T31" i="21"/>
  <c r="T30" i="21"/>
  <c r="T29" i="21"/>
  <c r="T28" i="21"/>
  <c r="T27" i="21"/>
  <c r="T26" i="21"/>
  <c r="T25" i="21"/>
  <c r="T24" i="21"/>
  <c r="T23" i="21"/>
  <c r="T22" i="21"/>
  <c r="T21" i="21"/>
  <c r="T20" i="21"/>
  <c r="T19" i="21"/>
  <c r="T18" i="21"/>
  <c r="T17" i="21"/>
  <c r="T16" i="21"/>
  <c r="T15" i="21"/>
  <c r="T12" i="21"/>
  <c r="T10" i="21"/>
  <c r="T8" i="21"/>
  <c r="T14" i="21" l="1"/>
  <c r="H28" i="22"/>
  <c r="G28" i="20"/>
  <c r="F28" i="20"/>
  <c r="E28" i="20"/>
  <c r="D28" i="20"/>
  <c r="C28" i="20"/>
  <c r="H27" i="20"/>
  <c r="H26" i="20"/>
  <c r="H25" i="20"/>
  <c r="H24" i="20"/>
  <c r="H23" i="20"/>
  <c r="H22" i="20"/>
  <c r="H21" i="20"/>
  <c r="H20" i="20"/>
  <c r="H19" i="20"/>
  <c r="H18" i="20"/>
  <c r="H17" i="20"/>
  <c r="H16" i="20"/>
  <c r="H15" i="20"/>
  <c r="H14" i="20"/>
  <c r="H13" i="20"/>
  <c r="H12" i="20"/>
  <c r="H11" i="20"/>
  <c r="S38" i="19"/>
  <c r="R38" i="19"/>
  <c r="Q38" i="19"/>
  <c r="P38" i="19"/>
  <c r="O38" i="19"/>
  <c r="N38" i="19"/>
  <c r="M38" i="19"/>
  <c r="L38" i="19"/>
  <c r="K38" i="19"/>
  <c r="J38" i="19"/>
  <c r="I38" i="19"/>
  <c r="H38" i="19"/>
  <c r="G38" i="19"/>
  <c r="F38" i="19"/>
  <c r="E38" i="19"/>
  <c r="D38" i="19"/>
  <c r="C38" i="19"/>
  <c r="B38" i="19"/>
  <c r="T37" i="19"/>
  <c r="T36" i="19"/>
  <c r="T35" i="19"/>
  <c r="T34" i="19"/>
  <c r="T33" i="19"/>
  <c r="T32" i="19"/>
  <c r="T31" i="19"/>
  <c r="T30" i="19"/>
  <c r="T29" i="19"/>
  <c r="T28" i="19"/>
  <c r="T27" i="19"/>
  <c r="T26" i="19"/>
  <c r="T25" i="19"/>
  <c r="T24" i="19"/>
  <c r="T23" i="19"/>
  <c r="T22" i="19"/>
  <c r="T21" i="19"/>
  <c r="T20" i="19"/>
  <c r="T19" i="19"/>
  <c r="T18" i="19"/>
  <c r="T17" i="19"/>
  <c r="T16" i="19"/>
  <c r="T15" i="19"/>
  <c r="T14" i="19"/>
  <c r="T13" i="19"/>
  <c r="T12" i="19"/>
  <c r="T11" i="19"/>
  <c r="T10" i="19"/>
  <c r="T9" i="19"/>
  <c r="T8" i="19"/>
  <c r="T7" i="19"/>
  <c r="H28" i="20" l="1"/>
  <c r="T38" i="19"/>
  <c r="T19" i="16"/>
  <c r="G28" i="17" l="1"/>
  <c r="F28" i="17"/>
  <c r="E28" i="17"/>
  <c r="D28" i="17"/>
  <c r="C28" i="17"/>
  <c r="H27" i="17"/>
  <c r="H26" i="17"/>
  <c r="H25" i="17"/>
  <c r="H24" i="17"/>
  <c r="H23" i="17"/>
  <c r="H22" i="17"/>
  <c r="H21" i="17"/>
  <c r="H20" i="17"/>
  <c r="H19" i="17"/>
  <c r="H18" i="17"/>
  <c r="H17" i="17"/>
  <c r="H16" i="17"/>
  <c r="H15" i="17"/>
  <c r="H14" i="17"/>
  <c r="H13" i="17"/>
  <c r="H12" i="17"/>
  <c r="H11" i="17"/>
  <c r="S38" i="16"/>
  <c r="R38" i="16"/>
  <c r="Q38" i="16"/>
  <c r="P38" i="16"/>
  <c r="O38" i="16"/>
  <c r="N38" i="16"/>
  <c r="M38" i="16"/>
  <c r="L38" i="16"/>
  <c r="K38" i="16"/>
  <c r="J38" i="16"/>
  <c r="I38" i="16"/>
  <c r="H38" i="16"/>
  <c r="G38" i="16"/>
  <c r="F38" i="16"/>
  <c r="E38" i="16"/>
  <c r="D38" i="16"/>
  <c r="C38" i="16"/>
  <c r="B38" i="16"/>
  <c r="T37" i="16"/>
  <c r="T36" i="16"/>
  <c r="T35" i="16"/>
  <c r="T34" i="16"/>
  <c r="T33" i="16"/>
  <c r="T32" i="16"/>
  <c r="T31" i="16"/>
  <c r="T30" i="16"/>
  <c r="T29" i="16"/>
  <c r="T28" i="16"/>
  <c r="T27" i="16"/>
  <c r="T26" i="16"/>
  <c r="T25" i="16"/>
  <c r="T24" i="16"/>
  <c r="T23" i="16"/>
  <c r="T22" i="16"/>
  <c r="T21" i="16"/>
  <c r="T20" i="16"/>
  <c r="T18" i="16"/>
  <c r="T17" i="16"/>
  <c r="T16" i="16"/>
  <c r="T15" i="16"/>
  <c r="T14" i="16"/>
  <c r="T13" i="16"/>
  <c r="T12" i="16"/>
  <c r="T11" i="16"/>
  <c r="T10" i="16"/>
  <c r="T9" i="16"/>
  <c r="T8" i="16"/>
  <c r="T7" i="16"/>
  <c r="H28" i="17" l="1"/>
  <c r="T38" i="16"/>
  <c r="O38" i="12"/>
  <c r="T37" i="12" l="1"/>
  <c r="G28" i="14" l="1"/>
  <c r="F28" i="14"/>
  <c r="E28" i="14"/>
  <c r="D28" i="14"/>
  <c r="C28" i="14"/>
  <c r="H27" i="14"/>
  <c r="H26" i="14"/>
  <c r="H25" i="14"/>
  <c r="H24" i="14"/>
  <c r="H23" i="14"/>
  <c r="H22" i="14"/>
  <c r="H21" i="14"/>
  <c r="H20" i="14"/>
  <c r="H19" i="14"/>
  <c r="H18" i="14"/>
  <c r="H17" i="14"/>
  <c r="H16" i="14"/>
  <c r="H15" i="14"/>
  <c r="H14" i="14"/>
  <c r="H13" i="14"/>
  <c r="H12" i="14"/>
  <c r="H11" i="14"/>
  <c r="S38" i="12"/>
  <c r="R38" i="12"/>
  <c r="Q38" i="12"/>
  <c r="P38" i="12"/>
  <c r="N38" i="12"/>
  <c r="M38" i="12"/>
  <c r="L38" i="12"/>
  <c r="K38" i="12"/>
  <c r="J38" i="12"/>
  <c r="I38" i="12"/>
  <c r="H38" i="12"/>
  <c r="G38" i="12"/>
  <c r="F38" i="12"/>
  <c r="E38" i="12"/>
  <c r="D38" i="12"/>
  <c r="C38" i="12"/>
  <c r="B38" i="12"/>
  <c r="T36" i="12"/>
  <c r="T35" i="12"/>
  <c r="T34" i="12"/>
  <c r="T33" i="12"/>
  <c r="T32" i="12"/>
  <c r="T31" i="12"/>
  <c r="T30" i="12"/>
  <c r="T29" i="12"/>
  <c r="T28" i="12"/>
  <c r="T27" i="12"/>
  <c r="T26" i="12"/>
  <c r="T25" i="12"/>
  <c r="T24" i="12"/>
  <c r="T23" i="12"/>
  <c r="T22" i="12"/>
  <c r="T21" i="12"/>
  <c r="T20" i="12"/>
  <c r="T19" i="12"/>
  <c r="T18" i="12"/>
  <c r="T17" i="12"/>
  <c r="T16" i="12"/>
  <c r="T15" i="12"/>
  <c r="T14" i="12"/>
  <c r="T13" i="12"/>
  <c r="T12" i="12"/>
  <c r="T11" i="12"/>
  <c r="T10" i="12"/>
  <c r="T9" i="12"/>
  <c r="T8" i="12"/>
  <c r="T7" i="12"/>
  <c r="T38" i="12" l="1"/>
  <c r="H28" i="14"/>
  <c r="H16" i="10"/>
  <c r="T36" i="9" l="1"/>
  <c r="T35" i="9"/>
  <c r="T34" i="9"/>
  <c r="T33" i="9"/>
  <c r="T32" i="9"/>
  <c r="T31" i="9"/>
  <c r="T30" i="9"/>
  <c r="T29" i="9"/>
  <c r="T28" i="9"/>
  <c r="T27" i="9"/>
  <c r="T26" i="9"/>
  <c r="T25" i="9"/>
  <c r="T24" i="9"/>
  <c r="T23" i="9"/>
  <c r="T22" i="9"/>
  <c r="T21" i="9"/>
  <c r="T20" i="9"/>
  <c r="T19" i="9"/>
  <c r="T18" i="9"/>
  <c r="T17" i="9"/>
  <c r="T16" i="9"/>
  <c r="T15" i="9"/>
  <c r="T14" i="9"/>
  <c r="T7" i="9"/>
  <c r="T8" i="9"/>
  <c r="T9" i="9"/>
  <c r="T10" i="9"/>
  <c r="T11" i="9"/>
  <c r="T12" i="9"/>
  <c r="T13" i="9"/>
  <c r="R38" i="9"/>
  <c r="Q38" i="9"/>
  <c r="P38" i="9"/>
  <c r="O38" i="9"/>
  <c r="N38" i="9"/>
  <c r="M38" i="9"/>
  <c r="L38" i="9"/>
  <c r="K38" i="9"/>
  <c r="J38" i="9"/>
  <c r="I38" i="9"/>
  <c r="H38" i="9"/>
  <c r="G38" i="9"/>
  <c r="F38" i="9"/>
  <c r="E38" i="9"/>
  <c r="D38" i="9"/>
  <c r="C38" i="9"/>
  <c r="B38" i="9"/>
  <c r="S38" i="9"/>
  <c r="G28" i="10"/>
  <c r="F28" i="10"/>
  <c r="E28" i="10"/>
  <c r="D28" i="10"/>
  <c r="C28" i="10"/>
  <c r="H27" i="10"/>
  <c r="H26" i="10"/>
  <c r="H25" i="10"/>
  <c r="H24" i="10"/>
  <c r="H23" i="10"/>
  <c r="H22" i="10"/>
  <c r="H21" i="10"/>
  <c r="H20" i="10"/>
  <c r="H19" i="10"/>
  <c r="H18" i="10"/>
  <c r="H17" i="10"/>
  <c r="H15" i="10"/>
  <c r="H14" i="10"/>
  <c r="H13" i="10"/>
  <c r="H12" i="10"/>
  <c r="H11" i="10"/>
  <c r="H28" i="10" l="1"/>
  <c r="T38" i="9"/>
  <c r="C27" i="7"/>
  <c r="G27" i="7"/>
  <c r="F27" i="7"/>
  <c r="E27" i="7"/>
  <c r="D27" i="7"/>
  <c r="H26" i="7"/>
  <c r="H25" i="7"/>
  <c r="H24" i="7"/>
  <c r="H23" i="7"/>
  <c r="H22" i="7"/>
  <c r="H21" i="7"/>
  <c r="H20" i="7"/>
  <c r="H19" i="7"/>
  <c r="H18" i="7"/>
  <c r="H17" i="7"/>
  <c r="H16" i="7"/>
  <c r="H15" i="7"/>
  <c r="H14" i="7"/>
  <c r="H13" i="7"/>
  <c r="H12" i="7"/>
  <c r="H11" i="7"/>
  <c r="H10" i="7"/>
  <c r="H27" i="7" l="1"/>
  <c r="S13" i="6"/>
  <c r="R37" i="6" l="1"/>
  <c r="Q37" i="6"/>
  <c r="P37" i="6"/>
  <c r="O37" i="6"/>
  <c r="N37" i="6"/>
  <c r="M37" i="6"/>
  <c r="L37" i="6"/>
  <c r="K37" i="6"/>
  <c r="J37" i="6"/>
  <c r="I37" i="6"/>
  <c r="H37" i="6"/>
  <c r="G37" i="6"/>
  <c r="F37" i="6"/>
  <c r="E37" i="6"/>
  <c r="D37" i="6"/>
  <c r="C37" i="6"/>
  <c r="B37" i="6"/>
  <c r="S36" i="6"/>
  <c r="T35" i="6"/>
  <c r="S35" i="6"/>
  <c r="T34" i="6"/>
  <c r="S34" i="6"/>
  <c r="T33" i="6"/>
  <c r="S33" i="6"/>
  <c r="T32" i="6"/>
  <c r="S32" i="6"/>
  <c r="T31" i="6"/>
  <c r="S31" i="6"/>
  <c r="T30" i="6"/>
  <c r="S30" i="6"/>
  <c r="T29" i="6"/>
  <c r="S29" i="6"/>
  <c r="T28" i="6"/>
  <c r="S28" i="6"/>
  <c r="T27" i="6"/>
  <c r="S27" i="6"/>
  <c r="T26" i="6"/>
  <c r="S26" i="6"/>
  <c r="T25" i="6"/>
  <c r="S25" i="6"/>
  <c r="T24" i="6"/>
  <c r="S24" i="6"/>
  <c r="T23" i="6"/>
  <c r="S23" i="6"/>
  <c r="T22" i="6"/>
  <c r="S22" i="6"/>
  <c r="T21" i="6"/>
  <c r="S21" i="6"/>
  <c r="T20" i="6"/>
  <c r="S20" i="6"/>
  <c r="T19" i="6"/>
  <c r="S19" i="6"/>
  <c r="T18" i="6"/>
  <c r="S18" i="6"/>
  <c r="T17" i="6"/>
  <c r="S17" i="6"/>
  <c r="T16" i="6"/>
  <c r="S16" i="6"/>
  <c r="T15" i="6"/>
  <c r="S15" i="6"/>
  <c r="T14" i="6"/>
  <c r="S14" i="6"/>
  <c r="T13" i="6"/>
  <c r="T12" i="6"/>
  <c r="S12" i="6"/>
  <c r="T11" i="6"/>
  <c r="S11" i="6"/>
  <c r="T10" i="6"/>
  <c r="S10" i="6"/>
  <c r="T9" i="6"/>
  <c r="S9" i="6"/>
  <c r="T8" i="6"/>
  <c r="S8" i="6"/>
  <c r="T7" i="6"/>
  <c r="S7" i="6"/>
  <c r="T6" i="6"/>
  <c r="S6" i="6"/>
  <c r="S37" i="6" l="1"/>
  <c r="T37" i="6"/>
  <c r="S36" i="4"/>
  <c r="H23" i="2" l="1"/>
  <c r="H18" i="2"/>
  <c r="H17" i="2"/>
  <c r="H16" i="2"/>
  <c r="H14" i="2"/>
  <c r="H13" i="2"/>
  <c r="H12" i="2"/>
  <c r="H11" i="2"/>
  <c r="H10" i="2"/>
  <c r="C37" i="4" l="1"/>
  <c r="D37" i="4"/>
  <c r="E37" i="4"/>
  <c r="F37" i="4"/>
  <c r="G37" i="4"/>
  <c r="H37" i="4"/>
  <c r="I37" i="4"/>
  <c r="J37" i="4"/>
  <c r="K37" i="4"/>
  <c r="L37" i="4"/>
  <c r="M37" i="4"/>
  <c r="N37" i="4"/>
  <c r="O37" i="4"/>
  <c r="P37" i="4"/>
  <c r="Q37" i="4"/>
  <c r="R37" i="4"/>
  <c r="B37" i="4"/>
  <c r="T32" i="4"/>
  <c r="T33" i="4"/>
  <c r="S32" i="4"/>
  <c r="S33" i="4"/>
  <c r="T7" i="4" l="1"/>
  <c r="T8" i="4"/>
  <c r="T9" i="4"/>
  <c r="S7" i="4"/>
  <c r="S8" i="4"/>
  <c r="S9" i="4"/>
  <c r="T27" i="4" l="1"/>
  <c r="T26" i="4"/>
  <c r="T25" i="4"/>
  <c r="T24" i="4"/>
  <c r="T23" i="4"/>
  <c r="T22" i="4"/>
  <c r="S28" i="4"/>
  <c r="S27" i="4"/>
  <c r="S26" i="4"/>
  <c r="S25" i="4"/>
  <c r="S24" i="4"/>
  <c r="S23" i="4"/>
  <c r="S22" i="4"/>
  <c r="S35" i="4"/>
  <c r="T35" i="4"/>
  <c r="T34" i="4"/>
  <c r="S34" i="4"/>
  <c r="T31" i="4"/>
  <c r="S31" i="4"/>
  <c r="T30" i="4"/>
  <c r="S30" i="4"/>
  <c r="T29" i="4"/>
  <c r="S29" i="4"/>
  <c r="T28" i="4"/>
  <c r="T21" i="4"/>
  <c r="S21" i="4"/>
  <c r="T20" i="4"/>
  <c r="S20" i="4"/>
  <c r="T19" i="4"/>
  <c r="S19" i="4"/>
  <c r="T18" i="4"/>
  <c r="S18" i="4"/>
  <c r="T17" i="4"/>
  <c r="S17" i="4"/>
  <c r="T16" i="4"/>
  <c r="S16" i="4"/>
  <c r="T15" i="4"/>
  <c r="S15" i="4"/>
  <c r="T14" i="4"/>
  <c r="S14" i="4"/>
  <c r="T13" i="4"/>
  <c r="S13" i="4"/>
  <c r="T12" i="4"/>
  <c r="S12" i="4"/>
  <c r="T11" i="4"/>
  <c r="S11" i="4"/>
  <c r="T10" i="4"/>
  <c r="S10" i="4"/>
  <c r="T6" i="4"/>
  <c r="S6" i="4"/>
  <c r="S37" i="4" l="1"/>
  <c r="T37" i="4"/>
  <c r="F27" i="2"/>
  <c r="D27" i="2"/>
  <c r="H15" i="2"/>
  <c r="H21" i="2"/>
  <c r="H25" i="2"/>
  <c r="E27" i="2"/>
  <c r="G27" i="2"/>
  <c r="H20" i="2"/>
  <c r="H22" i="2"/>
  <c r="H24" i="2"/>
  <c r="H26" i="2"/>
  <c r="H19" i="2"/>
  <c r="H27" i="2" l="1"/>
  <c r="C27" i="2"/>
  <c r="T7" i="21" l="1"/>
  <c r="T38" i="21" s="1"/>
  <c r="G4" i="106" l="1"/>
  <c r="G3" i="106"/>
  <c r="B16" i="106" l="1"/>
  <c r="B20" i="106" l="1"/>
  <c r="G16" i="106"/>
  <c r="G20" i="106" s="1"/>
</calcChain>
</file>

<file path=xl/sharedStrings.xml><?xml version="1.0" encoding="utf-8"?>
<sst xmlns="http://schemas.openxmlformats.org/spreadsheetml/2006/main" count="3000" uniqueCount="140">
  <si>
    <t>SHOP WEEKLY REPORT (MTD)</t>
  </si>
  <si>
    <t>SHOP NAME</t>
  </si>
  <si>
    <t xml:space="preserve">MONTH </t>
  </si>
  <si>
    <t>DATE</t>
  </si>
  <si>
    <t>Non Alcholic</t>
  </si>
  <si>
    <t>Alcoholic</t>
  </si>
  <si>
    <t>Fresh products</t>
  </si>
  <si>
    <t>Ice cream</t>
  </si>
  <si>
    <t>Confectionery</t>
  </si>
  <si>
    <t>Tobacco</t>
  </si>
  <si>
    <t>Grocery</t>
  </si>
  <si>
    <t>Health &amp; beauty</t>
  </si>
  <si>
    <t>Bazaar</t>
  </si>
  <si>
    <t>Car Care</t>
  </si>
  <si>
    <t>Car wash</t>
  </si>
  <si>
    <t>Press</t>
  </si>
  <si>
    <t>Lottery</t>
  </si>
  <si>
    <t>Coffee</t>
  </si>
  <si>
    <t>Snacks</t>
  </si>
  <si>
    <t>Lubricants in shop</t>
  </si>
  <si>
    <t>Guichet</t>
  </si>
  <si>
    <t>Total T/O (Excluding Airtime, carwash,lubricants in shop)</t>
  </si>
  <si>
    <t>Global Total</t>
  </si>
  <si>
    <t>GRAND TOTAL</t>
  </si>
  <si>
    <t xml:space="preserve">DATE: </t>
  </si>
  <si>
    <t>Product category</t>
  </si>
  <si>
    <t>Week 1</t>
  </si>
  <si>
    <t>week 2</t>
  </si>
  <si>
    <t>Week 3</t>
  </si>
  <si>
    <t>Week 4</t>
  </si>
  <si>
    <t>Week 5</t>
  </si>
  <si>
    <t>TOTAL</t>
  </si>
  <si>
    <t>Fresh Products</t>
  </si>
  <si>
    <t>Ice creams</t>
  </si>
  <si>
    <t>Guichet unique</t>
  </si>
  <si>
    <t>Total</t>
  </si>
  <si>
    <t>Maintenance Issues &amp; Challenges</t>
  </si>
  <si>
    <t>2nd</t>
  </si>
  <si>
    <t>3rd</t>
  </si>
  <si>
    <t>4th</t>
  </si>
  <si>
    <t>5th</t>
  </si>
  <si>
    <t>6th</t>
  </si>
  <si>
    <t>7th</t>
  </si>
  <si>
    <t>8th</t>
  </si>
  <si>
    <t>9th</t>
  </si>
  <si>
    <t>10th</t>
  </si>
  <si>
    <t>11th</t>
  </si>
  <si>
    <t>12th</t>
  </si>
  <si>
    <t>13th</t>
  </si>
  <si>
    <t>14th</t>
  </si>
  <si>
    <t>15th</t>
  </si>
  <si>
    <t>16th</t>
  </si>
  <si>
    <t>17th</t>
  </si>
  <si>
    <t>18th</t>
  </si>
  <si>
    <t>19th</t>
  </si>
  <si>
    <t>20th</t>
  </si>
  <si>
    <t>21st</t>
  </si>
  <si>
    <t>22nd</t>
  </si>
  <si>
    <t>23rd</t>
  </si>
  <si>
    <t>24th</t>
  </si>
  <si>
    <t>25th</t>
  </si>
  <si>
    <t>26th</t>
  </si>
  <si>
    <t>27th</t>
  </si>
  <si>
    <t>28th</t>
  </si>
  <si>
    <t>29th</t>
  </si>
  <si>
    <t>30th</t>
  </si>
  <si>
    <t>31st</t>
  </si>
  <si>
    <t>1st</t>
  </si>
  <si>
    <t>TotalEnergies MARKETING UGANDA LIMITED</t>
  </si>
  <si>
    <t>TotalEnergies RWIZI</t>
  </si>
  <si>
    <t>31.07.2023</t>
  </si>
  <si>
    <t>BANKING</t>
  </si>
  <si>
    <t>01.08.2023</t>
  </si>
  <si>
    <t>16TH</t>
  </si>
  <si>
    <t>COFEE  MACHINE  FALTY</t>
  </si>
  <si>
    <t>01.10.2023</t>
  </si>
  <si>
    <t>DUE TO DAILY  HEAVY RAINS THIS HAS AFFECTED SALES BY DROPPING DOWN.</t>
  </si>
  <si>
    <t>01.11.2023</t>
  </si>
  <si>
    <t>01.12.2023</t>
  </si>
  <si>
    <t>DUE TO some  HEAVY RAINS THIS HAS AFFECTED SALES  as expeted and also had pump issues.</t>
  </si>
  <si>
    <t>12OOO</t>
  </si>
  <si>
    <t>01.02.2023  - 29TH.02.2024</t>
  </si>
  <si>
    <t>ONE FRIGDE IS FAULTY HENCE AFFECTING FLOW OF DRINKS</t>
  </si>
  <si>
    <t>30TH</t>
  </si>
  <si>
    <t>31ST</t>
  </si>
  <si>
    <t>01.04.2024  - 31ST.03.2024</t>
  </si>
  <si>
    <t>01.04.2024  - 30.04.2024</t>
  </si>
  <si>
    <t>GUICHEIT BANKINGS</t>
  </si>
  <si>
    <t>-</t>
  </si>
  <si>
    <t>1. We  are having achallege of suppliers most of them not issuing efris delivery invoices yet they required to enable us stock in using Efris though we are handling slow slowly.</t>
  </si>
  <si>
    <t xml:space="preserve"> 2.  shops sales move hand in hand with fuel but this months I had challeges On varoius days where pms reaches 5000 ltrs left in TANK and pumps cannotpump it out .but this was reported and hope they are looking for the solution. </t>
  </si>
  <si>
    <t>01.05.2024  - 31.05.2024</t>
  </si>
  <si>
    <t>01.06.2024  - 30.06.2024</t>
  </si>
  <si>
    <t>01.08.2024  - 31.08.2024</t>
  </si>
  <si>
    <t>01.09.2024  - 30.09.2024</t>
  </si>
  <si>
    <t xml:space="preserve"> 1.we have an issue of one fridge that has abnormal temperatures thus affecting our sales on both  non and soft drinks. Therefore we need support on handling this. Thank you.</t>
  </si>
  <si>
    <t>01.10.2024  - 30.10.2024</t>
  </si>
  <si>
    <t>1. Decline in sales was caused by daily heavy rainfall which hinders customers movement. THANK YOU</t>
  </si>
  <si>
    <t>01.11.2024  - 30.11.2024</t>
  </si>
  <si>
    <t>2. Decline in sales was caused by daily heavy rainfall which hinders customers movement. THANK YOU</t>
  </si>
  <si>
    <t>1.Station renovation also reduced our traffic of customers hence affecting our sales.</t>
  </si>
  <si>
    <t>1.12.2024  - 30.12.2024</t>
  </si>
  <si>
    <t>|</t>
  </si>
  <si>
    <t>The Totem has been on and off for 2 months and yet  fuels also supports abig % age on shop sales and this  has also lowered on perfomance the fact that people think the station has no fuel.</t>
  </si>
  <si>
    <t>GUICHET BANKING</t>
  </si>
  <si>
    <t>1.1.2025  - 31.1.2025</t>
  </si>
  <si>
    <t>In the first days of the months up to 20th.01.2025 we has achallege of TOTEM OFF and this affects all sales since our cliets of fuel are the ones that support shop . But this was resolved so hope for improvement.</t>
  </si>
  <si>
    <t>FEB.2025</t>
  </si>
  <si>
    <t>1.2.2025  - 28.2.2025</t>
  </si>
  <si>
    <t xml:space="preserve">The financial crysis has been so high and this affected us so much and more the months days were less. But we hope to perfom better other coming months </t>
  </si>
  <si>
    <t>March.2025</t>
  </si>
  <si>
    <t>1.3.2025  - 31.3.2025</t>
  </si>
  <si>
    <t>The shop prfomance has not been good due fasting season but we hope to improve.thank you.</t>
  </si>
  <si>
    <t>1.4.2025  - 30.4.2025</t>
  </si>
  <si>
    <t>APRIL .2025</t>
  </si>
  <si>
    <t>MAY .2025</t>
  </si>
  <si>
    <t>1.5.2025  - 31.5.2025</t>
  </si>
  <si>
    <t>JUNE .2025</t>
  </si>
  <si>
    <t>1.6.2025  - 30.6.2025</t>
  </si>
  <si>
    <t>JULY .2025</t>
  </si>
  <si>
    <t>1.7.2025  - 31.07.2025</t>
  </si>
  <si>
    <t xml:space="preserve">                                                                                                                </t>
  </si>
  <si>
    <t>1.8.2025  - 31.08.2025</t>
  </si>
  <si>
    <t>AUGT .2025</t>
  </si>
  <si>
    <t>SEPT .2025</t>
  </si>
  <si>
    <t>1.9.2025  - 30.09.2025</t>
  </si>
  <si>
    <t>1.10.2025  - 31.10.2025</t>
  </si>
  <si>
    <t>OCT .2025</t>
  </si>
  <si>
    <t>from 1st nov - 30th nov 2025</t>
  </si>
  <si>
    <t>week 3</t>
  </si>
  <si>
    <t>dec .2025</t>
  </si>
  <si>
    <t xml:space="preserve">                 </t>
  </si>
  <si>
    <t>JAN .2026</t>
  </si>
  <si>
    <t>FROM 1ST JAN - 31ST JAN 2026</t>
  </si>
  <si>
    <t>L.</t>
  </si>
  <si>
    <t>SHOP DAILY REPORT (MTD)</t>
  </si>
  <si>
    <t xml:space="preserve"> </t>
  </si>
  <si>
    <t>FROM 1ST MAR- 31ST MAR 2026</t>
  </si>
  <si>
    <t>FROM 1ST APRIL - 3OTH APRIL 2026</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</si>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</sst>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00_/_-_-;\-* #,##0.00_/_-_-;_-* &quot;-&quot;??_/_-_-;_-@_-"/>
    <numFmt numFmtId="166" formatCode="[$-409]mmm/yy;@"/>
    <numFmt numFmtId="167" formatCode="_(* #,##0_);_(* \(#,##0\);_(* &quot;-&quot;??_);_(@_)"/>
  </numFmts>
  <fonts count="2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20"/>
      <color theme="1"/>
      <name val="Calibri"/>
      <family val="2"/>
      <scheme val="minor"/>
    </font>
    <font>
      <b/>
      <sz val="12"/>
      <name val="Calibri"/>
      <family val="2"/>
      <scheme val="minor"/>
    </font>
    <font>
      <b/>
      <sz val="12"/>
      <color rgb="FFFF0000"/>
      <name val="Calibri"/>
      <family val="2"/>
      <scheme val="minor"/>
    </font>
    <font>
      <sz val="12"/>
      <color theme="1"/>
      <name val="Calibri"/>
      <family val="2"/>
      <scheme val="minor"/>
    </font>
    <font>
      <sz val="12"/>
      <name val="Calibri"/>
      <family val="2"/>
      <scheme val="minor"/>
    </font>
    <font>
      <b/>
      <sz val="16"/>
      <color theme="1"/>
      <name val="Calibri"/>
      <family val="2"/>
      <scheme val="minor"/>
    </font>
    <font>
      <sz val="16"/>
      <color theme="1"/>
      <name val="Calibri"/>
      <family val="2"/>
      <scheme val="minor"/>
    </font>
    <font>
      <b/>
      <sz val="14"/>
      <color theme="1"/>
      <name val="Calibri"/>
      <family val="2"/>
      <scheme val="minor"/>
    </font>
    <font>
      <sz val="11"/>
      <color theme="1"/>
      <name val="Calibri"/>
      <family val="2"/>
      <scheme val="minor"/>
    </font>
    <font>
      <sz val="10"/>
      <name val="Arial"/>
      <family val="2"/>
    </font>
    <font>
      <sz val="8"/>
      <name val="Calibri"/>
      <family val="2"/>
      <scheme val="minor"/>
    </font>
    <font>
      <sz val="8"/>
      <color theme="1"/>
      <name val="Calibri"/>
      <family val="2"/>
      <scheme val="minor"/>
    </font>
    <font>
      <b/>
      <sz val="8"/>
      <color theme="1"/>
      <name val="Calibri"/>
      <family val="2"/>
      <scheme val="minor"/>
    </font>
    <font>
      <b/>
      <sz val="8"/>
      <name val="Calibri"/>
      <family val="2"/>
      <scheme val="minor"/>
    </font>
    <font>
      <b/>
      <sz val="8"/>
      <color theme="1"/>
      <name val="Arial Black"/>
      <family val="2"/>
    </font>
  </fonts>
  <fills count="8">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0"/>
        <bgColor indexed="64"/>
      </patternFill>
    </fill>
    <fill>
      <patternFill patternType="solid">
        <fgColor theme="2" tint="-0.249977111117893"/>
        <bgColor indexed="64"/>
      </patternFill>
    </fill>
    <fill>
      <patternFill patternType="solid">
        <fgColor theme="2" tint="-0.499984740745262"/>
        <bgColor indexed="64"/>
      </patternFill>
    </fill>
  </fills>
  <borders count="32">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medium">
        <color auto="1"/>
      </left>
      <right style="medium">
        <color auto="1"/>
      </right>
      <top style="medium">
        <color auto="1"/>
      </top>
      <bottom/>
      <diagonal/>
    </border>
    <border>
      <left/>
      <right style="medium">
        <color auto="1"/>
      </right>
      <top style="medium">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s>
  <cellStyleXfs count="4">
    <xf numFmtId="0" fontId="0" fillId="0" borderId="0"/>
    <xf numFmtId="164" fontId="19" fillId="0" borderId="0" applyFont="0" applyFill="0" applyBorder="0" applyAlignment="0" applyProtection="0"/>
    <xf numFmtId="0" fontId="20" fillId="0" borderId="0"/>
    <xf numFmtId="165" fontId="19" fillId="0" borderId="0" applyFont="0" applyFill="0" applyBorder="0" applyAlignment="0" applyProtection="0"/>
  </cellStyleXfs>
  <cellXfs count="97">
    <xf numFmtId="0" fontId="0" fillId="0" borderId="0" xfId="0"/>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12" fillId="2" borderId="14" xfId="0" applyFont="1" applyFill="1" applyBorder="1"/>
    <xf numFmtId="0" fontId="13" fillId="3" borderId="0" xfId="0" applyFont="1" applyFill="1" applyAlignment="1">
      <alignment horizontal="center" wrapText="1"/>
    </xf>
    <xf numFmtId="0" fontId="14" fillId="0" borderId="13" xfId="0" applyFont="1" applyBorder="1"/>
    <xf numFmtId="0" fontId="12" fillId="0" borderId="12" xfId="0" applyFont="1" applyBorder="1"/>
    <xf numFmtId="0" fontId="14" fillId="0" borderId="0" xfId="0" applyFont="1"/>
    <xf numFmtId="0" fontId="13" fillId="3" borderId="10" xfId="0" applyFont="1" applyFill="1" applyBorder="1" applyAlignment="1">
      <alignment horizontal="center" wrapText="1"/>
    </xf>
    <xf numFmtId="0" fontId="14" fillId="0" borderId="11" xfId="0" applyFont="1" applyBorder="1"/>
    <xf numFmtId="0" fontId="12" fillId="4" borderId="1" xfId="0" applyFont="1" applyFill="1" applyBorder="1"/>
    <xf numFmtId="166" fontId="12" fillId="4" borderId="2" xfId="0" applyNumberFormat="1" applyFont="1" applyFill="1" applyBorder="1" applyAlignment="1">
      <alignment horizontal="center"/>
    </xf>
    <xf numFmtId="166" fontId="12" fillId="4" borderId="3" xfId="0" applyNumberFormat="1" applyFont="1" applyFill="1" applyBorder="1" applyAlignment="1">
      <alignment horizontal="center"/>
    </xf>
    <xf numFmtId="166" fontId="12" fillId="2" borderId="4" xfId="0" applyNumberFormat="1" applyFont="1" applyFill="1" applyBorder="1" applyAlignment="1">
      <alignment horizontal="center"/>
    </xf>
    <xf numFmtId="0" fontId="15" fillId="0" borderId="5" xfId="0" applyFont="1" applyBorder="1"/>
    <xf numFmtId="167" fontId="15" fillId="0" borderId="6" xfId="1" applyNumberFormat="1" applyFont="1" applyBorder="1"/>
    <xf numFmtId="167" fontId="15" fillId="0" borderId="7" xfId="1" applyNumberFormat="1" applyFont="1" applyBorder="1"/>
    <xf numFmtId="167" fontId="15" fillId="2" borderId="8" xfId="1" applyNumberFormat="1" applyFont="1" applyFill="1" applyBorder="1"/>
    <xf numFmtId="0" fontId="12" fillId="2" borderId="18" xfId="0" applyFont="1" applyFill="1" applyBorder="1"/>
    <xf numFmtId="167" fontId="12" fillId="2" borderId="19" xfId="1" applyNumberFormat="1" applyFont="1" applyFill="1" applyBorder="1"/>
    <xf numFmtId="167" fontId="12" fillId="2" borderId="20" xfId="1" applyNumberFormat="1" applyFont="1" applyFill="1" applyBorder="1"/>
    <xf numFmtId="0" fontId="0" fillId="0" borderId="22" xfId="0" applyBorder="1" applyAlignment="1">
      <alignment horizontal="left" wrapText="1"/>
    </xf>
    <xf numFmtId="0" fontId="0" fillId="0" borderId="23" xfId="0" applyBorder="1" applyAlignment="1">
      <alignment horizontal="left" wrapText="1"/>
    </xf>
    <xf numFmtId="0" fontId="0" fillId="0" borderId="24" xfId="0" applyBorder="1" applyAlignment="1">
      <alignment horizontal="left" wrapText="1"/>
    </xf>
    <xf numFmtId="0" fontId="0" fillId="5" borderId="0" xfId="0" applyFill="1"/>
    <xf numFmtId="0" fontId="0" fillId="0" borderId="22" xfId="0" applyBorder="1"/>
    <xf numFmtId="0" fontId="17" fillId="0" borderId="14" xfId="0" applyFont="1" applyBorder="1"/>
    <xf numFmtId="0" fontId="17" fillId="0" borderId="25" xfId="0" applyFont="1" applyBorder="1"/>
    <xf numFmtId="167" fontId="22" fillId="5" borderId="6" xfId="1" applyNumberFormat="1" applyFont="1" applyFill="1" applyBorder="1"/>
    <xf numFmtId="0" fontId="23" fillId="3" borderId="6" xfId="0" applyFont="1" applyFill="1" applyBorder="1" applyAlignment="1">
      <alignment horizontal="center" vertical="center"/>
    </xf>
    <xf numFmtId="0" fontId="24" fillId="4" borderId="6" xfId="2" applyFont="1" applyFill="1" applyBorder="1" applyAlignment="1">
      <alignment horizontal="center" vertical="center" wrapText="1"/>
    </xf>
    <xf numFmtId="0" fontId="22" fillId="0" borderId="0" xfId="0" applyFont="1"/>
    <xf numFmtId="16" fontId="22" fillId="0" borderId="5" xfId="0" applyNumberFormat="1" applyFont="1" applyBorder="1"/>
    <xf numFmtId="167" fontId="22" fillId="0" borderId="27" xfId="1" applyNumberFormat="1" applyFont="1" applyBorder="1"/>
    <xf numFmtId="167" fontId="22" fillId="0" borderId="6" xfId="1" applyNumberFormat="1" applyFont="1" applyBorder="1"/>
    <xf numFmtId="167" fontId="22" fillId="0" borderId="13" xfId="1" applyNumberFormat="1" applyFont="1" applyBorder="1"/>
    <xf numFmtId="0" fontId="22" fillId="5" borderId="0" xfId="0" applyFont="1" applyFill="1"/>
    <xf numFmtId="16" fontId="25" fillId="6" borderId="6" xfId="0" applyNumberFormat="1" applyFont="1" applyFill="1" applyBorder="1"/>
    <xf numFmtId="167" fontId="25" fillId="6" borderId="6" xfId="1" applyNumberFormat="1" applyFont="1" applyFill="1" applyBorder="1"/>
    <xf numFmtId="3" fontId="22" fillId="0" borderId="0" xfId="0" applyNumberFormat="1" applyFont="1"/>
    <xf numFmtId="3" fontId="22" fillId="5" borderId="0" xfId="0" applyNumberFormat="1" applyFont="1" applyFill="1"/>
    <xf numFmtId="0" fontId="8" fillId="0" borderId="22" xfId="0" applyFont="1" applyBorder="1" applyAlignment="1">
      <alignment horizontal="left" wrapText="1"/>
    </xf>
    <xf numFmtId="167" fontId="22" fillId="0" borderId="0" xfId="0" applyNumberFormat="1" applyFont="1"/>
    <xf numFmtId="167" fontId="22" fillId="5" borderId="28" xfId="1" applyNumberFormat="1" applyFont="1" applyFill="1" applyBorder="1"/>
    <xf numFmtId="167" fontId="0" fillId="0" borderId="0" xfId="0" applyNumberFormat="1"/>
    <xf numFmtId="0" fontId="5" fillId="0" borderId="0" xfId="0" applyFont="1"/>
    <xf numFmtId="0" fontId="24" fillId="4" borderId="28" xfId="2" applyFont="1" applyFill="1" applyBorder="1" applyAlignment="1">
      <alignment horizontal="center" vertical="center" wrapText="1"/>
    </xf>
    <xf numFmtId="0" fontId="0" fillId="3" borderId="0" xfId="0" applyFill="1"/>
    <xf numFmtId="17" fontId="0" fillId="0" borderId="0" xfId="0" applyNumberFormat="1"/>
    <xf numFmtId="17" fontId="0" fillId="3" borderId="0" xfId="0" applyNumberFormat="1" applyFill="1"/>
    <xf numFmtId="167" fontId="25" fillId="7" borderId="6" xfId="1" applyNumberFormat="1" applyFont="1" applyFill="1" applyBorder="1"/>
    <xf numFmtId="167" fontId="22" fillId="7" borderId="6" xfId="1" applyNumberFormat="1" applyFont="1" applyFill="1" applyBorder="1"/>
    <xf numFmtId="0" fontId="11" fillId="2" borderId="22" xfId="0" applyFont="1" applyFill="1" applyBorder="1" applyAlignment="1">
      <alignment horizontal="center" wrapText="1"/>
    </xf>
    <xf numFmtId="0" fontId="11" fillId="2" borderId="23" xfId="0" applyFont="1" applyFill="1" applyBorder="1" applyAlignment="1">
      <alignment horizontal="center" wrapText="1"/>
    </xf>
    <xf numFmtId="0" fontId="11" fillId="2" borderId="26" xfId="0" applyFont="1" applyFill="1" applyBorder="1" applyAlignment="1">
      <alignment horizontal="center" wrapText="1"/>
    </xf>
    <xf numFmtId="0" fontId="11" fillId="2" borderId="12" xfId="0" applyFont="1" applyFill="1" applyBorder="1" applyAlignment="1">
      <alignment horizontal="center"/>
    </xf>
    <xf numFmtId="0" fontId="11" fillId="2" borderId="0" xfId="0" applyFont="1" applyFill="1" applyAlignment="1">
      <alignment horizontal="center"/>
    </xf>
    <xf numFmtId="0" fontId="11" fillId="2" borderId="13" xfId="0" applyFont="1" applyFill="1" applyBorder="1" applyAlignment="1">
      <alignment horizontal="center"/>
    </xf>
    <xf numFmtId="0" fontId="11" fillId="3" borderId="15" xfId="0" applyFont="1" applyFill="1" applyBorder="1" applyAlignment="1">
      <alignment horizontal="center" wrapText="1"/>
    </xf>
    <xf numFmtId="0" fontId="11" fillId="3" borderId="16" xfId="0" applyFont="1" applyFill="1" applyBorder="1" applyAlignment="1">
      <alignment horizontal="center" wrapText="1"/>
    </xf>
    <xf numFmtId="0" fontId="11" fillId="3" borderId="17" xfId="0" applyFont="1" applyFill="1" applyBorder="1" applyAlignment="1">
      <alignment horizontal="center" wrapText="1"/>
    </xf>
    <xf numFmtId="17" fontId="18" fillId="0" borderId="29" xfId="0" applyNumberFormat="1" applyFont="1" applyBorder="1" applyAlignment="1">
      <alignment horizontal="center" wrapText="1"/>
    </xf>
    <xf numFmtId="17" fontId="18" fillId="0" borderId="30" xfId="0" applyNumberFormat="1" applyFont="1" applyBorder="1" applyAlignment="1">
      <alignment horizontal="center" wrapText="1"/>
    </xf>
    <xf numFmtId="17" fontId="18" fillId="0" borderId="31" xfId="0" applyNumberFormat="1" applyFont="1" applyBorder="1" applyAlignment="1">
      <alignment horizontal="center" wrapText="1"/>
    </xf>
    <xf numFmtId="0" fontId="0" fillId="0" borderId="15" xfId="0" applyBorder="1" applyAlignment="1">
      <alignment horizontal="left" wrapText="1"/>
    </xf>
    <xf numFmtId="0" fontId="0" fillId="0" borderId="16" xfId="0" applyBorder="1" applyAlignment="1">
      <alignment horizontal="left" wrapText="1"/>
    </xf>
    <xf numFmtId="0" fontId="0" fillId="0" borderId="21" xfId="0" applyBorder="1" applyAlignment="1">
      <alignment horizontal="left" wrapText="1"/>
    </xf>
    <xf numFmtId="17" fontId="13" fillId="3" borderId="15" xfId="0" applyNumberFormat="1" applyFont="1" applyFill="1" applyBorder="1" applyAlignment="1">
      <alignment horizontal="center" wrapText="1"/>
    </xf>
    <xf numFmtId="0" fontId="13" fillId="3" borderId="16" xfId="0" applyFont="1" applyFill="1" applyBorder="1" applyAlignment="1">
      <alignment horizontal="center" wrapText="1"/>
    </xf>
    <xf numFmtId="0" fontId="13" fillId="3" borderId="17" xfId="0" applyFont="1" applyFill="1" applyBorder="1" applyAlignment="1">
      <alignment horizontal="center" wrapText="1"/>
    </xf>
    <xf numFmtId="0" fontId="16" fillId="0" borderId="15" xfId="0" applyFont="1" applyBorder="1" applyAlignment="1">
      <alignment horizontal="center" vertical="top" wrapText="1"/>
    </xf>
    <xf numFmtId="0" fontId="16" fillId="0" borderId="16" xfId="0" applyFont="1" applyBorder="1" applyAlignment="1">
      <alignment horizontal="center" vertical="top" wrapText="1"/>
    </xf>
    <xf numFmtId="0" fontId="16" fillId="0" borderId="21" xfId="0" applyFont="1" applyBorder="1" applyAlignment="1">
      <alignment horizontal="center" vertical="top" wrapText="1"/>
    </xf>
    <xf numFmtId="0" fontId="1" fillId="0" borderId="15" xfId="0" applyFont="1" applyBorder="1" applyAlignment="1">
      <alignment horizontal="left" wrapText="1"/>
    </xf>
    <xf numFmtId="0" fontId="7" fillId="0" borderId="15" xfId="0" applyFont="1" applyBorder="1" applyAlignment="1">
      <alignment horizontal="left" wrapText="1"/>
    </xf>
    <xf numFmtId="17" fontId="18" fillId="0" borderId="22" xfId="0" applyNumberFormat="1" applyFont="1" applyBorder="1" applyAlignment="1">
      <alignment horizontal="center" wrapText="1"/>
    </xf>
    <xf numFmtId="0" fontId="18" fillId="0" borderId="23" xfId="0" applyFont="1" applyBorder="1" applyAlignment="1">
      <alignment horizontal="center" wrapText="1"/>
    </xf>
    <xf numFmtId="0" fontId="18" fillId="0" borderId="26" xfId="0" applyFont="1" applyBorder="1" applyAlignment="1">
      <alignment horizontal="center" wrapText="1"/>
    </xf>
    <xf numFmtId="0" fontId="0" fillId="0" borderId="23" xfId="0" applyBorder="1" applyAlignment="1">
      <alignment horizontal="left" wrapText="1"/>
    </xf>
    <xf numFmtId="0" fontId="11" fillId="2" borderId="1" xfId="0" applyFont="1" applyFill="1" applyBorder="1" applyAlignment="1">
      <alignment horizontal="center" wrapText="1"/>
    </xf>
    <xf numFmtId="0" fontId="11" fillId="2" borderId="2" xfId="0" applyFont="1" applyFill="1" applyBorder="1" applyAlignment="1">
      <alignment horizontal="center" wrapText="1"/>
    </xf>
    <xf numFmtId="0" fontId="11" fillId="2" borderId="3" xfId="0" applyFont="1" applyFill="1" applyBorder="1" applyAlignment="1">
      <alignment horizontal="center" wrapText="1"/>
    </xf>
    <xf numFmtId="0" fontId="11" fillId="2" borderId="4" xfId="0" applyFont="1" applyFill="1" applyBorder="1" applyAlignment="1">
      <alignment horizontal="center" wrapText="1"/>
    </xf>
    <xf numFmtId="0" fontId="11" fillId="2" borderId="5" xfId="0" applyFont="1" applyFill="1" applyBorder="1" applyAlignment="1">
      <alignment horizontal="center" wrapText="1"/>
    </xf>
    <xf numFmtId="0" fontId="11" fillId="2" borderId="6" xfId="0" applyFont="1" applyFill="1" applyBorder="1" applyAlignment="1">
      <alignment horizontal="center" wrapText="1"/>
    </xf>
    <xf numFmtId="0" fontId="11" fillId="2" borderId="7" xfId="0" applyFont="1" applyFill="1" applyBorder="1" applyAlignment="1">
      <alignment horizontal="center" wrapText="1"/>
    </xf>
    <xf numFmtId="0" fontId="11" fillId="2" borderId="8" xfId="0" applyFont="1" applyFill="1" applyBorder="1" applyAlignment="1">
      <alignment horizontal="center" wrapText="1"/>
    </xf>
    <xf numFmtId="0" fontId="13" fillId="3" borderId="15" xfId="0" applyFont="1" applyFill="1" applyBorder="1" applyAlignment="1">
      <alignment horizontal="center" wrapText="1"/>
    </xf>
    <xf numFmtId="0" fontId="10" fillId="0" borderId="15" xfId="0" applyFont="1" applyBorder="1" applyAlignment="1">
      <alignment horizontal="left" wrapText="1"/>
    </xf>
    <xf numFmtId="0" fontId="9" fillId="0" borderId="15" xfId="0" applyFont="1" applyBorder="1" applyAlignment="1">
      <alignment horizontal="left" wrapText="1"/>
    </xf>
    <xf numFmtId="0" fontId="6" fillId="0" borderId="15" xfId="0" applyFont="1" applyBorder="1" applyAlignment="1">
      <alignment horizontal="left" wrapText="1"/>
    </xf>
    <xf numFmtId="0" fontId="4" fillId="0" borderId="15" xfId="0" applyFont="1" applyBorder="1" applyAlignment="1">
      <alignment horizontal="left" wrapText="1"/>
    </xf>
    <xf numFmtId="0" fontId="3" fillId="0" borderId="15" xfId="0" applyFont="1" applyBorder="1" applyAlignment="1">
      <alignment horizontal="left" wrapText="1"/>
    </xf>
    <xf numFmtId="0" fontId="2" fillId="0" borderId="15" xfId="0" applyFont="1" applyBorder="1" applyAlignment="1">
      <alignment horizontal="left" wrapText="1"/>
    </xf>
  </cellXfs>
  <cellStyles count="4">
    <cellStyle name="Comma" xfId="1" builtinId="3"/>
    <cellStyle name="Comma 2" xfId="3" xr:uid="{00000000-0005-0000-0000-000001000000}"/>
    <cellStyle name="Normal" xfId="0" builtinId="0"/>
    <cellStyle name="Normal 5"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8"/>
  <sheetViews>
    <sheetView topLeftCell="A22" workbookViewId="0">
      <selection activeCell="C30" sqref="C30"/>
    </sheetView>
  </sheetViews>
  <sheetFormatPr defaultRowHeight="15"/>
  <cols>
    <col min="1" max="1" width="18.28515625" bestFit="1" customWidth="1"/>
    <col min="2" max="6" width="11.5703125" bestFit="1" customWidth="1"/>
    <col min="7" max="7" width="12.7109375" bestFit="1" customWidth="1"/>
  </cols>
  <sheetData>
    <row r="1" spans="1:7" ht="16.5" thickBot="1">
      <c r="A1" s="6" t="s">
        <v>24</v>
      </c>
      <c r="B1" s="70" t="s">
        <v>111</v>
      </c>
      <c r="C1" s="71"/>
      <c r="D1" s="72"/>
      <c r="E1" s="11"/>
      <c r="F1" s="11"/>
      <c r="G1" s="12"/>
    </row>
    <row r="2" spans="1:7" ht="15.75">
      <c r="A2" s="13" t="s">
        <v>25</v>
      </c>
      <c r="B2" s="14" t="s">
        <v>26</v>
      </c>
      <c r="C2" s="14" t="s">
        <v>27</v>
      </c>
      <c r="D2" s="14" t="s">
        <v>28</v>
      </c>
      <c r="E2" s="14" t="s">
        <v>29</v>
      </c>
      <c r="F2" s="15" t="s">
        <v>30</v>
      </c>
      <c r="G2" s="16" t="s">
        <v>31</v>
      </c>
    </row>
    <row r="3" spans="1:7" ht="15.75">
      <c r="A3" s="17" t="s">
        <v>4</v>
      </c>
      <c r="B3" s="18">
        <v>866000</v>
      </c>
      <c r="C3" s="18">
        <v>1166000</v>
      </c>
      <c r="D3" s="18">
        <v>977000</v>
      </c>
      <c r="E3" s="18">
        <v>1436500</v>
      </c>
      <c r="F3" s="19">
        <v>562000</v>
      </c>
      <c r="G3" s="20">
        <f t="shared" ref="G3:G11" si="0">SUM(B3:F3)</f>
        <v>5007500</v>
      </c>
    </row>
    <row r="4" spans="1:7" ht="15.75">
      <c r="A4" s="17" t="s">
        <v>5</v>
      </c>
      <c r="B4" s="18">
        <v>493000</v>
      </c>
      <c r="C4" s="18">
        <v>512000</v>
      </c>
      <c r="D4" s="18">
        <v>649000</v>
      </c>
      <c r="E4" s="18">
        <v>539000</v>
      </c>
      <c r="F4" s="19">
        <v>475000</v>
      </c>
      <c r="G4" s="20">
        <f>SUM(B4:F4)</f>
        <v>2668000</v>
      </c>
    </row>
    <row r="5" spans="1:7" ht="15.75">
      <c r="A5" s="17" t="s">
        <v>32</v>
      </c>
      <c r="B5" s="18">
        <v>712000</v>
      </c>
      <c r="C5" s="18">
        <v>534000</v>
      </c>
      <c r="D5" s="18">
        <v>685000</v>
      </c>
      <c r="E5" s="18">
        <v>630500</v>
      </c>
      <c r="F5" s="19">
        <v>264000</v>
      </c>
      <c r="G5" s="20">
        <f>SUM(B5:F5)</f>
        <v>2825500</v>
      </c>
    </row>
    <row r="6" spans="1:7" ht="15.75">
      <c r="A6" s="17" t="s">
        <v>33</v>
      </c>
      <c r="B6" s="18">
        <v>168000</v>
      </c>
      <c r="C6" s="18">
        <v>104000</v>
      </c>
      <c r="D6" s="18">
        <v>96000</v>
      </c>
      <c r="E6" s="18">
        <v>119500</v>
      </c>
      <c r="F6" s="19">
        <v>59000</v>
      </c>
      <c r="G6" s="20">
        <f t="shared" si="0"/>
        <v>546500</v>
      </c>
    </row>
    <row r="7" spans="1:7" ht="15.75">
      <c r="A7" s="17" t="s">
        <v>8</v>
      </c>
      <c r="B7" s="18">
        <v>746100</v>
      </c>
      <c r="C7" s="18">
        <v>654000</v>
      </c>
      <c r="D7" s="18">
        <v>711500</v>
      </c>
      <c r="E7" s="18">
        <v>713500</v>
      </c>
      <c r="F7" s="19">
        <v>256300</v>
      </c>
      <c r="G7" s="20">
        <f t="shared" si="0"/>
        <v>3081400</v>
      </c>
    </row>
    <row r="8" spans="1:7" ht="15.75">
      <c r="A8" s="17" t="s">
        <v>9</v>
      </c>
      <c r="B8" s="18">
        <v>36000</v>
      </c>
      <c r="C8" s="18">
        <v>48000</v>
      </c>
      <c r="D8" s="18">
        <v>105000</v>
      </c>
      <c r="E8" s="18">
        <v>43000</v>
      </c>
      <c r="F8" s="19">
        <v>98000</v>
      </c>
      <c r="G8" s="20">
        <f t="shared" si="0"/>
        <v>330000</v>
      </c>
    </row>
    <row r="9" spans="1:7" ht="15.75">
      <c r="A9" s="17" t="s">
        <v>10</v>
      </c>
      <c r="B9" s="18">
        <v>648000</v>
      </c>
      <c r="C9" s="18">
        <v>522000</v>
      </c>
      <c r="D9" s="18">
        <v>574000</v>
      </c>
      <c r="E9" s="18">
        <v>651000</v>
      </c>
      <c r="F9" s="19">
        <v>206000</v>
      </c>
      <c r="G9" s="20">
        <f t="shared" si="0"/>
        <v>2601000</v>
      </c>
    </row>
    <row r="10" spans="1:7" ht="15.75">
      <c r="A10" s="17" t="s">
        <v>11</v>
      </c>
      <c r="B10" s="18">
        <v>295000</v>
      </c>
      <c r="C10" s="18">
        <v>287000</v>
      </c>
      <c r="D10" s="18">
        <v>475000</v>
      </c>
      <c r="E10" s="18">
        <v>463000</v>
      </c>
      <c r="F10" s="19">
        <v>200000</v>
      </c>
      <c r="G10" s="20">
        <f t="shared" si="0"/>
        <v>1720000</v>
      </c>
    </row>
    <row r="11" spans="1:7" ht="15.75">
      <c r="A11" s="17" t="s">
        <v>12</v>
      </c>
      <c r="B11" s="18">
        <v>54000</v>
      </c>
      <c r="C11" s="18">
        <v>38000</v>
      </c>
      <c r="D11" s="18">
        <v>42000</v>
      </c>
      <c r="E11" s="18">
        <v>60000</v>
      </c>
      <c r="F11" s="19">
        <v>31000</v>
      </c>
      <c r="G11" s="20">
        <f t="shared" si="0"/>
        <v>225000</v>
      </c>
    </row>
    <row r="12" spans="1:7" ht="15.75">
      <c r="A12" s="17" t="s">
        <v>13</v>
      </c>
      <c r="B12" s="18"/>
      <c r="C12" s="18"/>
      <c r="D12" s="18"/>
      <c r="E12" s="18"/>
      <c r="F12" s="19"/>
      <c r="G12" s="20">
        <f t="shared" ref="G12:G19" si="1">SUM(B12:E12)</f>
        <v>0</v>
      </c>
    </row>
    <row r="13" spans="1:7" ht="15.75">
      <c r="A13" s="17" t="s">
        <v>14</v>
      </c>
      <c r="B13" s="18"/>
      <c r="C13" s="18"/>
      <c r="D13" s="18"/>
      <c r="E13" s="18"/>
      <c r="F13" s="19"/>
      <c r="G13" s="20">
        <f t="shared" si="1"/>
        <v>0</v>
      </c>
    </row>
    <row r="14" spans="1:7" ht="15.75">
      <c r="A14" s="17" t="s">
        <v>15</v>
      </c>
      <c r="B14" s="18"/>
      <c r="C14" s="18"/>
      <c r="D14" s="18"/>
      <c r="E14" s="18"/>
      <c r="F14" s="19"/>
      <c r="G14" s="20">
        <f t="shared" si="1"/>
        <v>0</v>
      </c>
    </row>
    <row r="15" spans="1:7" ht="15.75">
      <c r="A15" s="17" t="s">
        <v>16</v>
      </c>
      <c r="B15" s="18"/>
      <c r="C15" s="18"/>
      <c r="D15" s="18"/>
      <c r="E15" s="18"/>
      <c r="F15" s="19"/>
      <c r="G15" s="20">
        <f t="shared" si="1"/>
        <v>0</v>
      </c>
    </row>
    <row r="16" spans="1:7" ht="15.75">
      <c r="A16" s="17" t="s">
        <v>17</v>
      </c>
      <c r="B16" s="18">
        <v>25000</v>
      </c>
      <c r="C16" s="18">
        <v>6000</v>
      </c>
      <c r="D16" s="18">
        <v>11000</v>
      </c>
      <c r="E16" s="18">
        <v>16000</v>
      </c>
      <c r="F16" s="19">
        <v>7000</v>
      </c>
      <c r="G16" s="20">
        <f>SUM(B16:F16)</f>
        <v>65000</v>
      </c>
    </row>
    <row r="17" spans="1:7" ht="15.75">
      <c r="A17" s="17" t="s">
        <v>18</v>
      </c>
      <c r="B17" s="18"/>
      <c r="C17" s="18"/>
      <c r="D17" s="18"/>
      <c r="E17" s="18"/>
      <c r="F17" s="19"/>
      <c r="G17" s="20">
        <f t="shared" si="1"/>
        <v>0</v>
      </c>
    </row>
    <row r="18" spans="1:7" ht="15.75">
      <c r="A18" s="17" t="s">
        <v>19</v>
      </c>
      <c r="B18" s="18"/>
      <c r="C18" s="18"/>
      <c r="D18" s="18"/>
      <c r="E18" s="18"/>
      <c r="F18" s="19"/>
      <c r="G18" s="20">
        <f t="shared" si="1"/>
        <v>0</v>
      </c>
    </row>
    <row r="19" spans="1:7" ht="15.75">
      <c r="A19" s="17" t="s">
        <v>34</v>
      </c>
      <c r="B19" s="18"/>
      <c r="C19" s="18"/>
      <c r="D19" s="18"/>
      <c r="E19" s="18"/>
      <c r="F19" s="19"/>
      <c r="G19" s="20">
        <f t="shared" si="1"/>
        <v>0</v>
      </c>
    </row>
    <row r="20" spans="1:7" ht="16.5" thickBot="1">
      <c r="A20" s="21" t="s">
        <v>35</v>
      </c>
      <c r="B20" s="22">
        <f t="shared" ref="B20:G20" si="2">SUM(B3:B19)</f>
        <v>4043100</v>
      </c>
      <c r="C20" s="22">
        <f t="shared" si="2"/>
        <v>3871000</v>
      </c>
      <c r="D20" s="22">
        <f t="shared" si="2"/>
        <v>4325500</v>
      </c>
      <c r="E20" s="22">
        <f t="shared" si="2"/>
        <v>4672000</v>
      </c>
      <c r="F20" s="22">
        <f t="shared" si="2"/>
        <v>2158300</v>
      </c>
      <c r="G20" s="23">
        <f t="shared" si="2"/>
        <v>19069900</v>
      </c>
    </row>
    <row r="22" spans="1:7" ht="15.75" thickBot="1"/>
    <row r="23" spans="1:7" ht="21.75" thickBot="1">
      <c r="A23" s="73" t="s">
        <v>36</v>
      </c>
      <c r="B23" s="74"/>
      <c r="C23" s="74"/>
      <c r="D23" s="74"/>
      <c r="E23" s="74"/>
      <c r="F23" s="74"/>
      <c r="G23" s="75"/>
    </row>
    <row r="24" spans="1:7" ht="15.75" thickBot="1">
      <c r="A24" s="76" t="s">
        <v>112</v>
      </c>
      <c r="B24" s="68"/>
      <c r="C24" s="68"/>
      <c r="D24" s="68"/>
      <c r="E24" s="68"/>
      <c r="F24" s="68"/>
      <c r="G24" s="69"/>
    </row>
    <row r="25" spans="1:7" ht="15.75" thickBot="1">
      <c r="A25" s="24"/>
      <c r="B25" s="25"/>
      <c r="C25" s="25"/>
      <c r="D25" s="25"/>
      <c r="E25" s="25"/>
      <c r="F25" s="25"/>
      <c r="G25" s="26"/>
    </row>
    <row r="26" spans="1:7" ht="15.75" thickBot="1">
      <c r="A26" s="67"/>
      <c r="B26" s="68"/>
      <c r="C26" s="68"/>
      <c r="D26" s="68"/>
      <c r="E26" s="68"/>
      <c r="F26" s="68"/>
      <c r="G26" s="69"/>
    </row>
    <row r="27" spans="1:7" ht="15.75" thickBot="1">
      <c r="A27" s="77"/>
      <c r="B27" s="68"/>
      <c r="C27" s="68"/>
      <c r="D27" s="68"/>
      <c r="E27" s="68"/>
      <c r="F27" s="68"/>
      <c r="G27" s="69"/>
    </row>
    <row r="28" spans="1:7" ht="15.75" thickBot="1">
      <c r="A28" s="67"/>
      <c r="B28" s="68"/>
      <c r="C28" s="68"/>
      <c r="D28" s="68"/>
      <c r="E28" s="68"/>
      <c r="F28" s="68"/>
      <c r="G28" s="69"/>
    </row>
  </sheetData>
  <mergeCells count="6">
    <mergeCell ref="A28:G28"/>
    <mergeCell ref="B1:D1"/>
    <mergeCell ref="A23:G23"/>
    <mergeCell ref="A24:G24"/>
    <mergeCell ref="A26:G26"/>
    <mergeCell ref="A27:G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37"/>
  <sheetViews>
    <sheetView topLeftCell="J31" workbookViewId="0">
      <selection activeCell="X43" sqref="X43"/>
    </sheetView>
  </sheetViews>
  <sheetFormatPr defaultRowHeight="15"/>
  <cols>
    <col min="1" max="1" width="9" customWidth="1"/>
    <col min="2" max="2" width="10.5703125" customWidth="1"/>
    <col min="3" max="4" width="10.28515625" customWidth="1"/>
    <col min="5" max="5" width="10.42578125" customWidth="1"/>
    <col min="6" max="6" width="11.140625" customWidth="1"/>
    <col min="7" max="7" width="10.42578125" customWidth="1"/>
    <col min="8" max="8" width="10.5703125" customWidth="1"/>
    <col min="9" max="9" width="11.7109375" customWidth="1"/>
    <col min="10" max="10" width="10.5703125" customWidth="1"/>
    <col min="19" max="19" width="7.5703125" customWidth="1"/>
    <col min="20" max="20" width="10.5703125" customWidth="1"/>
  </cols>
  <sheetData>
    <row r="1" spans="1:21" ht="26.25">
      <c r="A1" s="28"/>
      <c r="B1" s="55" t="s">
        <v>68</v>
      </c>
      <c r="C1" s="56"/>
      <c r="D1" s="56"/>
      <c r="E1" s="56"/>
      <c r="F1" s="56"/>
      <c r="G1" s="56"/>
      <c r="H1" s="56"/>
      <c r="I1" s="56"/>
      <c r="J1" s="56"/>
      <c r="K1" s="56"/>
      <c r="L1" s="56"/>
      <c r="M1" s="56"/>
      <c r="N1" s="56"/>
      <c r="O1" s="56"/>
      <c r="P1" s="56"/>
      <c r="Q1" s="56"/>
      <c r="R1" s="56"/>
      <c r="S1" s="56"/>
      <c r="T1" s="57"/>
    </row>
    <row r="2" spans="1:21" ht="27" thickBot="1">
      <c r="A2" s="4"/>
      <c r="B2" s="58" t="s">
        <v>0</v>
      </c>
      <c r="C2" s="59"/>
      <c r="D2" s="59"/>
      <c r="E2" s="59"/>
      <c r="F2" s="59"/>
      <c r="G2" s="59"/>
      <c r="H2" s="59"/>
      <c r="I2" s="59"/>
      <c r="J2" s="59"/>
      <c r="K2" s="59"/>
      <c r="L2" s="59"/>
      <c r="M2" s="59"/>
      <c r="N2" s="59"/>
      <c r="O2" s="59"/>
      <c r="P2" s="59"/>
      <c r="Q2" s="59"/>
      <c r="R2" s="59"/>
      <c r="S2" s="59"/>
      <c r="T2" s="60"/>
    </row>
    <row r="3" spans="1:21" ht="27" thickBot="1">
      <c r="A3" s="4"/>
      <c r="B3" s="29" t="s">
        <v>1</v>
      </c>
      <c r="C3" s="61" t="s">
        <v>69</v>
      </c>
      <c r="D3" s="62"/>
      <c r="E3" s="62"/>
      <c r="F3" s="63"/>
      <c r="G3" s="50" t="s">
        <v>110</v>
      </c>
    </row>
    <row r="4" spans="1:21" ht="21">
      <c r="A4" s="4"/>
      <c r="B4" s="30" t="s">
        <v>2</v>
      </c>
      <c r="C4" s="78"/>
      <c r="D4" s="79"/>
      <c r="E4" s="79"/>
      <c r="F4" s="80"/>
    </row>
    <row r="5" spans="1:21" ht="67.5">
      <c r="A5" s="32" t="s">
        <v>3</v>
      </c>
      <c r="B5" s="33" t="s">
        <v>4</v>
      </c>
      <c r="C5" s="33" t="s">
        <v>5</v>
      </c>
      <c r="D5" s="33" t="s">
        <v>6</v>
      </c>
      <c r="E5" s="33" t="s">
        <v>7</v>
      </c>
      <c r="F5" s="33" t="s">
        <v>8</v>
      </c>
      <c r="G5" s="33" t="s">
        <v>9</v>
      </c>
      <c r="H5" s="33" t="s">
        <v>10</v>
      </c>
      <c r="I5" s="33" t="s">
        <v>11</v>
      </c>
      <c r="J5" s="33" t="s">
        <v>12</v>
      </c>
      <c r="K5" s="33" t="s">
        <v>13</v>
      </c>
      <c r="L5" s="33" t="s">
        <v>14</v>
      </c>
      <c r="M5" s="33" t="s">
        <v>15</v>
      </c>
      <c r="N5" s="33" t="s">
        <v>16</v>
      </c>
      <c r="O5" s="33" t="s">
        <v>17</v>
      </c>
      <c r="P5" s="33" t="s">
        <v>18</v>
      </c>
      <c r="Q5" s="33" t="s">
        <v>19</v>
      </c>
      <c r="R5" s="33" t="s">
        <v>20</v>
      </c>
      <c r="S5" s="33" t="s">
        <v>21</v>
      </c>
      <c r="T5" s="33" t="s">
        <v>22</v>
      </c>
      <c r="U5" s="49" t="s">
        <v>104</v>
      </c>
    </row>
    <row r="6" spans="1:21">
      <c r="A6" s="35" t="s">
        <v>67</v>
      </c>
      <c r="B6" s="36">
        <v>161000</v>
      </c>
      <c r="C6" s="36">
        <v>146000</v>
      </c>
      <c r="D6" s="36">
        <v>121000</v>
      </c>
      <c r="E6" s="36">
        <v>22000</v>
      </c>
      <c r="F6" s="36">
        <v>131000</v>
      </c>
      <c r="G6" s="36">
        <v>0</v>
      </c>
      <c r="H6" s="36">
        <v>106000</v>
      </c>
      <c r="I6" s="36">
        <v>30000</v>
      </c>
      <c r="J6" s="36">
        <v>0</v>
      </c>
      <c r="K6" s="36"/>
      <c r="L6" s="36"/>
      <c r="M6" s="36"/>
      <c r="N6" s="36"/>
      <c r="O6" s="36">
        <v>12000</v>
      </c>
      <c r="P6" s="36"/>
      <c r="Q6" s="36">
        <v>0</v>
      </c>
      <c r="R6" s="36">
        <v>0</v>
      </c>
      <c r="S6" s="37"/>
      <c r="T6" s="37">
        <f t="shared" ref="T6:T35" si="0">SUM(B6:S6)</f>
        <v>729000</v>
      </c>
    </row>
    <row r="7" spans="1:21">
      <c r="A7" s="35" t="s">
        <v>37</v>
      </c>
      <c r="B7" s="36">
        <v>133000</v>
      </c>
      <c r="C7" s="36">
        <v>44000</v>
      </c>
      <c r="D7" s="36">
        <v>109000</v>
      </c>
      <c r="E7" s="36">
        <v>28000</v>
      </c>
      <c r="F7" s="36">
        <v>103400</v>
      </c>
      <c r="G7" s="36">
        <v>12000</v>
      </c>
      <c r="H7" s="36">
        <v>92000</v>
      </c>
      <c r="I7" s="36">
        <v>38000</v>
      </c>
      <c r="J7" s="36">
        <v>6000</v>
      </c>
      <c r="K7" s="36"/>
      <c r="L7" s="36"/>
      <c r="M7" s="36"/>
      <c r="N7" s="36"/>
      <c r="O7" s="36">
        <v>0</v>
      </c>
      <c r="P7" s="36"/>
      <c r="Q7" s="36">
        <v>0</v>
      </c>
      <c r="R7" s="36">
        <v>0</v>
      </c>
      <c r="S7" s="37"/>
      <c r="T7" s="37">
        <f t="shared" si="0"/>
        <v>565400</v>
      </c>
    </row>
    <row r="8" spans="1:21">
      <c r="A8" s="35" t="s">
        <v>38</v>
      </c>
      <c r="B8" s="36">
        <v>113000</v>
      </c>
      <c r="C8" s="36">
        <v>36000</v>
      </c>
      <c r="D8" s="36">
        <v>70000</v>
      </c>
      <c r="E8" s="36">
        <v>16000</v>
      </c>
      <c r="F8" s="36">
        <v>103000</v>
      </c>
      <c r="G8" s="36">
        <v>24000</v>
      </c>
      <c r="H8" s="36">
        <v>79000</v>
      </c>
      <c r="I8" s="36">
        <v>52000</v>
      </c>
      <c r="J8" s="36">
        <v>20000</v>
      </c>
      <c r="K8" s="36"/>
      <c r="L8" s="36"/>
      <c r="M8" s="36"/>
      <c r="N8" s="36"/>
      <c r="O8" s="36">
        <v>0</v>
      </c>
      <c r="P8" s="36"/>
      <c r="Q8" s="36">
        <v>0</v>
      </c>
      <c r="R8" s="36">
        <v>2000</v>
      </c>
      <c r="S8" s="37"/>
      <c r="T8" s="37">
        <f t="shared" si="0"/>
        <v>515000</v>
      </c>
    </row>
    <row r="9" spans="1:21">
      <c r="A9" s="35" t="s">
        <v>39</v>
      </c>
      <c r="B9" s="36">
        <v>121000</v>
      </c>
      <c r="C9" s="36">
        <v>17000</v>
      </c>
      <c r="D9" s="36">
        <v>113000</v>
      </c>
      <c r="E9" s="36">
        <v>10000</v>
      </c>
      <c r="F9" s="36">
        <v>109000</v>
      </c>
      <c r="G9" s="36">
        <v>0</v>
      </c>
      <c r="H9" s="36">
        <v>112000</v>
      </c>
      <c r="I9" s="36">
        <v>35000</v>
      </c>
      <c r="J9" s="36">
        <v>13000</v>
      </c>
      <c r="K9" s="36"/>
      <c r="L9" s="36"/>
      <c r="M9" s="36"/>
      <c r="N9" s="36"/>
      <c r="O9" s="36">
        <v>0</v>
      </c>
      <c r="Q9" s="36">
        <v>0</v>
      </c>
      <c r="R9" s="36">
        <v>262000</v>
      </c>
      <c r="S9" s="37"/>
      <c r="T9" s="37">
        <f t="shared" si="0"/>
        <v>792000</v>
      </c>
    </row>
    <row r="10" spans="1:21">
      <c r="A10" s="35" t="s">
        <v>40</v>
      </c>
      <c r="B10" s="37">
        <v>103000</v>
      </c>
      <c r="C10" s="37">
        <v>55000</v>
      </c>
      <c r="D10" s="37">
        <v>80000</v>
      </c>
      <c r="E10" s="37">
        <v>22000</v>
      </c>
      <c r="F10" s="37">
        <v>105000</v>
      </c>
      <c r="G10" s="37">
        <v>0</v>
      </c>
      <c r="H10" s="37">
        <v>57000</v>
      </c>
      <c r="I10" s="37">
        <v>42000</v>
      </c>
      <c r="J10" s="37">
        <v>12000</v>
      </c>
      <c r="K10" s="37"/>
      <c r="L10" s="37"/>
      <c r="M10" s="37"/>
      <c r="N10" s="37"/>
      <c r="O10" s="37">
        <v>5000</v>
      </c>
      <c r="P10" s="37"/>
      <c r="Q10" s="37">
        <v>0</v>
      </c>
      <c r="R10" s="37">
        <v>126000</v>
      </c>
      <c r="S10" s="37"/>
      <c r="T10" s="37">
        <f t="shared" si="0"/>
        <v>607000</v>
      </c>
    </row>
    <row r="11" spans="1:21">
      <c r="A11" s="35" t="s">
        <v>41</v>
      </c>
      <c r="B11" s="37">
        <v>132000</v>
      </c>
      <c r="C11" s="37">
        <v>34000</v>
      </c>
      <c r="D11" s="37">
        <v>116000</v>
      </c>
      <c r="E11" s="37">
        <v>25000</v>
      </c>
      <c r="F11" s="37">
        <v>115700</v>
      </c>
      <c r="G11" s="37">
        <v>0</v>
      </c>
      <c r="H11" s="37">
        <v>117000</v>
      </c>
      <c r="I11" s="37">
        <v>51000</v>
      </c>
      <c r="J11" s="37">
        <v>3000</v>
      </c>
      <c r="K11" s="37"/>
      <c r="L11" s="37"/>
      <c r="M11" s="37"/>
      <c r="N11" s="37"/>
      <c r="O11" s="37">
        <v>0</v>
      </c>
      <c r="P11" s="37"/>
      <c r="Q11" s="37">
        <v>0</v>
      </c>
      <c r="R11" s="37">
        <v>765000</v>
      </c>
      <c r="S11" s="37"/>
      <c r="T11" s="37">
        <f t="shared" si="0"/>
        <v>1358700</v>
      </c>
      <c r="U11">
        <v>1000000</v>
      </c>
    </row>
    <row r="12" spans="1:21">
      <c r="A12" s="35" t="s">
        <v>42</v>
      </c>
      <c r="B12" s="37">
        <v>103000</v>
      </c>
      <c r="C12" s="37">
        <v>161000</v>
      </c>
      <c r="D12" s="37">
        <v>103000</v>
      </c>
      <c r="E12" s="37">
        <v>45000</v>
      </c>
      <c r="F12" s="37">
        <v>79000</v>
      </c>
      <c r="G12" s="37">
        <v>0</v>
      </c>
      <c r="H12" s="37">
        <v>85000</v>
      </c>
      <c r="I12" s="37">
        <v>47000</v>
      </c>
      <c r="J12" s="37">
        <v>0</v>
      </c>
      <c r="K12" s="37"/>
      <c r="L12" s="37"/>
      <c r="M12" s="37"/>
      <c r="N12" s="37"/>
      <c r="O12" s="37">
        <v>0</v>
      </c>
      <c r="P12" s="37"/>
      <c r="Q12" s="37">
        <v>0</v>
      </c>
      <c r="R12" s="37">
        <v>4000</v>
      </c>
      <c r="S12" s="37"/>
      <c r="T12" s="37">
        <f t="shared" si="0"/>
        <v>627000</v>
      </c>
    </row>
    <row r="13" spans="1:21">
      <c r="A13" s="35" t="s">
        <v>43</v>
      </c>
      <c r="B13" s="37">
        <v>135000</v>
      </c>
      <c r="C13" s="37">
        <v>52000</v>
      </c>
      <c r="D13" s="37">
        <v>136000</v>
      </c>
      <c r="E13" s="37">
        <v>16000</v>
      </c>
      <c r="F13" s="37">
        <v>107500</v>
      </c>
      <c r="G13" s="37">
        <v>0</v>
      </c>
      <c r="H13" s="37">
        <v>105000</v>
      </c>
      <c r="I13" s="37">
        <v>51000</v>
      </c>
      <c r="J13" s="37">
        <v>6000</v>
      </c>
      <c r="K13" s="37"/>
      <c r="L13" s="37"/>
      <c r="M13" s="37"/>
      <c r="N13" s="37"/>
      <c r="O13" s="37">
        <v>0</v>
      </c>
      <c r="P13" s="37"/>
      <c r="Q13" s="37">
        <v>195500</v>
      </c>
      <c r="R13" s="37">
        <v>150000</v>
      </c>
      <c r="S13" s="37"/>
      <c r="T13" s="37">
        <f t="shared" si="0"/>
        <v>954000</v>
      </c>
    </row>
    <row r="14" spans="1:21">
      <c r="A14" s="35" t="s">
        <v>44</v>
      </c>
      <c r="B14" s="37">
        <v>119000</v>
      </c>
      <c r="C14" s="37">
        <v>151000</v>
      </c>
      <c r="D14" s="37">
        <v>72000</v>
      </c>
      <c r="E14" s="37">
        <v>0</v>
      </c>
      <c r="F14" s="37">
        <v>101000</v>
      </c>
      <c r="G14" s="37">
        <v>0</v>
      </c>
      <c r="H14" s="37">
        <v>92000</v>
      </c>
      <c r="I14" s="37">
        <v>6000</v>
      </c>
      <c r="J14" s="37">
        <v>4000</v>
      </c>
      <c r="K14" s="37"/>
      <c r="L14" s="37"/>
      <c r="M14" s="37"/>
      <c r="N14" s="37"/>
      <c r="O14" s="37">
        <v>11000</v>
      </c>
      <c r="P14" s="37"/>
      <c r="Q14" s="37">
        <v>155000</v>
      </c>
      <c r="R14" s="37">
        <v>150000</v>
      </c>
      <c r="S14" s="37"/>
      <c r="T14" s="37">
        <f t="shared" si="0"/>
        <v>861000</v>
      </c>
    </row>
    <row r="15" spans="1:21">
      <c r="A15" s="35" t="s">
        <v>45</v>
      </c>
      <c r="B15" s="37">
        <v>224500</v>
      </c>
      <c r="C15" s="37">
        <v>96000</v>
      </c>
      <c r="D15" s="37">
        <v>63000</v>
      </c>
      <c r="E15" s="37">
        <v>20500</v>
      </c>
      <c r="F15" s="37">
        <v>93000</v>
      </c>
      <c r="G15" s="37">
        <v>24000</v>
      </c>
      <c r="H15" s="37">
        <v>82000</v>
      </c>
      <c r="I15" s="37">
        <v>41000</v>
      </c>
      <c r="J15" s="37">
        <v>6000</v>
      </c>
      <c r="K15" s="37"/>
      <c r="L15" s="37"/>
      <c r="M15" s="37"/>
      <c r="N15" s="37"/>
      <c r="O15" s="37">
        <v>0</v>
      </c>
      <c r="P15" s="37"/>
      <c r="Q15" s="37">
        <v>119000</v>
      </c>
      <c r="R15" s="37">
        <v>123000</v>
      </c>
      <c r="S15" s="37"/>
      <c r="T15" s="37">
        <f t="shared" si="0"/>
        <v>892000</v>
      </c>
    </row>
    <row r="16" spans="1:21">
      <c r="A16" s="35" t="s">
        <v>46</v>
      </c>
      <c r="B16" s="37">
        <v>153000</v>
      </c>
      <c r="C16" s="37">
        <v>29000</v>
      </c>
      <c r="D16" s="37">
        <v>62000</v>
      </c>
      <c r="E16" s="37">
        <v>15000</v>
      </c>
      <c r="F16" s="37">
        <v>56800</v>
      </c>
      <c r="G16" s="37">
        <v>0</v>
      </c>
      <c r="H16" s="37">
        <v>44000</v>
      </c>
      <c r="I16" s="37">
        <v>35000</v>
      </c>
      <c r="J16" s="37">
        <v>6000</v>
      </c>
      <c r="K16" s="37"/>
      <c r="L16" s="37"/>
      <c r="M16" s="37"/>
      <c r="N16" s="37"/>
      <c r="O16" s="37">
        <v>0</v>
      </c>
      <c r="P16" s="37"/>
      <c r="Q16" s="37">
        <v>102500</v>
      </c>
      <c r="R16" s="37">
        <v>0</v>
      </c>
      <c r="S16" s="37"/>
      <c r="T16" s="37">
        <f t="shared" si="0"/>
        <v>503300</v>
      </c>
    </row>
    <row r="17" spans="1:20">
      <c r="A17" s="35" t="s">
        <v>47</v>
      </c>
      <c r="B17" s="37">
        <v>177500</v>
      </c>
      <c r="C17" s="37">
        <v>90000</v>
      </c>
      <c r="D17" s="37">
        <v>62000</v>
      </c>
      <c r="E17" s="37">
        <v>7500</v>
      </c>
      <c r="F17" s="37">
        <v>93000</v>
      </c>
      <c r="G17" s="37">
        <v>0</v>
      </c>
      <c r="H17" s="37">
        <v>76000</v>
      </c>
      <c r="I17" s="37">
        <v>63000</v>
      </c>
      <c r="J17" s="37">
        <v>0</v>
      </c>
      <c r="K17" s="37"/>
      <c r="L17" s="37"/>
      <c r="M17" s="37"/>
      <c r="N17" s="37"/>
      <c r="O17" s="37">
        <v>0</v>
      </c>
      <c r="P17" s="37"/>
      <c r="Q17" s="37">
        <v>195500</v>
      </c>
      <c r="R17" s="37">
        <v>0</v>
      </c>
      <c r="S17" s="37"/>
      <c r="T17" s="37">
        <f t="shared" si="0"/>
        <v>764500</v>
      </c>
    </row>
    <row r="18" spans="1:20">
      <c r="A18" s="35" t="s">
        <v>48</v>
      </c>
      <c r="B18" s="37">
        <v>164000</v>
      </c>
      <c r="C18" s="37">
        <v>42000</v>
      </c>
      <c r="D18" s="37">
        <v>76000</v>
      </c>
      <c r="E18" s="37">
        <v>30000</v>
      </c>
      <c r="F18" s="37">
        <v>51700</v>
      </c>
      <c r="G18" s="37">
        <v>0</v>
      </c>
      <c r="H18" s="37">
        <v>82000</v>
      </c>
      <c r="I18" s="37">
        <v>41000</v>
      </c>
      <c r="J18" s="37">
        <v>0</v>
      </c>
      <c r="K18" s="37"/>
      <c r="L18" s="37"/>
      <c r="M18" s="37"/>
      <c r="N18" s="37"/>
      <c r="O18" s="37">
        <v>0</v>
      </c>
      <c r="P18" s="37"/>
      <c r="Q18" s="37">
        <v>119500</v>
      </c>
      <c r="R18" s="37">
        <v>13000</v>
      </c>
      <c r="S18" s="37"/>
      <c r="T18" s="37">
        <f t="shared" si="0"/>
        <v>619200</v>
      </c>
    </row>
    <row r="19" spans="1:20">
      <c r="A19" s="35" t="s">
        <v>49</v>
      </c>
      <c r="B19" s="37">
        <v>193000</v>
      </c>
      <c r="C19" s="37">
        <v>52000</v>
      </c>
      <c r="D19" s="37">
        <v>63000</v>
      </c>
      <c r="E19" s="37">
        <v>15000</v>
      </c>
      <c r="F19" s="37">
        <v>142000</v>
      </c>
      <c r="G19" s="37">
        <v>24000</v>
      </c>
      <c r="H19" s="37">
        <v>41000</v>
      </c>
      <c r="I19" s="37">
        <v>50000</v>
      </c>
      <c r="J19" s="37">
        <v>16000</v>
      </c>
      <c r="K19" s="37"/>
      <c r="L19" s="37"/>
      <c r="M19" s="37"/>
      <c r="N19" s="37"/>
      <c r="O19" s="37">
        <v>0</v>
      </c>
      <c r="P19" s="37"/>
      <c r="Q19" s="37">
        <v>156000</v>
      </c>
      <c r="R19" s="37">
        <v>225000</v>
      </c>
      <c r="S19" s="37"/>
      <c r="T19" s="37">
        <f t="shared" si="0"/>
        <v>977000</v>
      </c>
    </row>
    <row r="20" spans="1:20">
      <c r="A20" s="35" t="s">
        <v>50</v>
      </c>
      <c r="B20" s="37">
        <v>200000</v>
      </c>
      <c r="C20" s="37">
        <v>100000</v>
      </c>
      <c r="D20" s="37">
        <v>98000</v>
      </c>
      <c r="E20" s="37">
        <v>15000</v>
      </c>
      <c r="F20" s="37">
        <v>72000</v>
      </c>
      <c r="G20" s="37">
        <v>24000</v>
      </c>
      <c r="H20" s="37">
        <v>107000</v>
      </c>
      <c r="I20" s="37">
        <v>74000</v>
      </c>
      <c r="J20" s="37">
        <v>17000</v>
      </c>
      <c r="K20" s="37"/>
      <c r="L20" s="37"/>
      <c r="M20" s="37"/>
      <c r="N20" s="37"/>
      <c r="O20" s="37">
        <v>12000</v>
      </c>
      <c r="P20" s="37"/>
      <c r="Q20" s="37">
        <v>23000</v>
      </c>
      <c r="R20" s="37">
        <v>0</v>
      </c>
      <c r="S20" s="37"/>
      <c r="T20" s="37">
        <f t="shared" si="0"/>
        <v>742000</v>
      </c>
    </row>
    <row r="21" spans="1:20">
      <c r="A21" s="35" t="s">
        <v>73</v>
      </c>
      <c r="B21" s="37">
        <v>112000</v>
      </c>
      <c r="C21" s="37">
        <v>50000</v>
      </c>
      <c r="D21" s="37">
        <v>79000</v>
      </c>
      <c r="E21" s="37">
        <v>11000</v>
      </c>
      <c r="F21" s="37">
        <v>117000</v>
      </c>
      <c r="G21" s="37">
        <v>12000</v>
      </c>
      <c r="H21" s="37">
        <v>74000</v>
      </c>
      <c r="I21" s="37">
        <v>64000</v>
      </c>
      <c r="J21" s="37">
        <v>3000</v>
      </c>
      <c r="K21" s="37"/>
      <c r="L21" s="37"/>
      <c r="M21" s="37"/>
      <c r="N21" s="37"/>
      <c r="O21" s="37">
        <v>0</v>
      </c>
      <c r="P21" s="37"/>
      <c r="Q21" s="37">
        <v>78000</v>
      </c>
      <c r="R21" s="37">
        <v>0</v>
      </c>
      <c r="S21" s="37"/>
      <c r="T21" s="37">
        <f t="shared" si="0"/>
        <v>600000</v>
      </c>
    </row>
    <row r="22" spans="1:20">
      <c r="A22" s="35" t="s">
        <v>52</v>
      </c>
      <c r="B22" s="37">
        <v>113000</v>
      </c>
      <c r="C22" s="37">
        <v>169000</v>
      </c>
      <c r="D22" s="37">
        <v>113000</v>
      </c>
      <c r="E22" s="37">
        <v>19000</v>
      </c>
      <c r="F22" s="37">
        <v>117500</v>
      </c>
      <c r="G22" s="37">
        <v>12000</v>
      </c>
      <c r="H22" s="37">
        <v>80000</v>
      </c>
      <c r="I22" s="37">
        <v>51000</v>
      </c>
      <c r="J22" s="37">
        <v>3000</v>
      </c>
      <c r="K22" s="37"/>
      <c r="L22" s="37"/>
      <c r="M22" s="37"/>
      <c r="N22" s="37"/>
      <c r="O22" s="37">
        <v>0</v>
      </c>
      <c r="P22" s="37"/>
      <c r="Q22" s="37">
        <v>215500</v>
      </c>
      <c r="R22" s="37">
        <v>0</v>
      </c>
      <c r="S22" s="37"/>
      <c r="T22" s="37">
        <f t="shared" si="0"/>
        <v>893000</v>
      </c>
    </row>
    <row r="23" spans="1:20">
      <c r="A23" s="35" t="s">
        <v>53</v>
      </c>
      <c r="B23" s="37">
        <v>109000</v>
      </c>
      <c r="C23" s="37">
        <v>118000</v>
      </c>
      <c r="D23" s="37">
        <v>82000</v>
      </c>
      <c r="E23" s="37">
        <v>8500</v>
      </c>
      <c r="F23" s="37">
        <v>86000</v>
      </c>
      <c r="G23" s="37">
        <v>18000</v>
      </c>
      <c r="H23" s="37">
        <v>49000</v>
      </c>
      <c r="I23" s="37">
        <v>67000</v>
      </c>
      <c r="J23" s="37">
        <v>4000</v>
      </c>
      <c r="K23" s="37"/>
      <c r="L23" s="37"/>
      <c r="M23" s="37"/>
      <c r="N23" s="37"/>
      <c r="O23" s="37">
        <v>7000</v>
      </c>
      <c r="P23" s="37"/>
      <c r="Q23" s="37">
        <v>23000</v>
      </c>
      <c r="R23" s="37">
        <v>60000</v>
      </c>
      <c r="S23" s="37"/>
      <c r="T23" s="37">
        <f t="shared" si="0"/>
        <v>631500</v>
      </c>
    </row>
    <row r="24" spans="1:20">
      <c r="A24" s="35" t="s">
        <v>54</v>
      </c>
      <c r="B24" s="37">
        <v>122000</v>
      </c>
      <c r="C24" s="37">
        <v>77000</v>
      </c>
      <c r="D24" s="37">
        <v>114500</v>
      </c>
      <c r="E24" s="37">
        <v>4000</v>
      </c>
      <c r="F24" s="37">
        <v>96000</v>
      </c>
      <c r="G24" s="37">
        <v>12000</v>
      </c>
      <c r="H24" s="37">
        <v>79000</v>
      </c>
      <c r="I24" s="37">
        <v>37000</v>
      </c>
      <c r="J24" s="37">
        <v>6000</v>
      </c>
      <c r="K24" s="37"/>
      <c r="L24" s="37"/>
      <c r="M24" s="37"/>
      <c r="N24" s="37"/>
      <c r="O24" s="37">
        <v>6000</v>
      </c>
      <c r="P24" s="37"/>
      <c r="Q24" s="37">
        <v>23000</v>
      </c>
      <c r="R24" s="37">
        <v>0</v>
      </c>
      <c r="S24" s="37"/>
      <c r="T24" s="37">
        <f t="shared" si="0"/>
        <v>576500</v>
      </c>
    </row>
    <row r="25" spans="1:20">
      <c r="A25" s="35" t="s">
        <v>55</v>
      </c>
      <c r="B25" s="37">
        <v>114000</v>
      </c>
      <c r="C25" s="37">
        <v>17000</v>
      </c>
      <c r="D25" s="37">
        <v>75500</v>
      </c>
      <c r="E25" s="37">
        <v>6500</v>
      </c>
      <c r="F25" s="37">
        <v>88000</v>
      </c>
      <c r="G25" s="37">
        <v>12000</v>
      </c>
      <c r="H25" s="37">
        <v>50000</v>
      </c>
      <c r="I25" s="37">
        <v>40000</v>
      </c>
      <c r="J25" s="37">
        <v>0</v>
      </c>
      <c r="K25" s="37"/>
      <c r="L25" s="37"/>
      <c r="M25" s="37"/>
      <c r="N25" s="37"/>
      <c r="O25" s="37">
        <v>0</v>
      </c>
      <c r="P25" s="37"/>
      <c r="Q25" s="37">
        <v>0</v>
      </c>
      <c r="R25" s="37">
        <v>0</v>
      </c>
      <c r="S25" s="37"/>
      <c r="T25" s="37">
        <f t="shared" si="0"/>
        <v>403000</v>
      </c>
    </row>
    <row r="26" spans="1:20">
      <c r="A26" s="35" t="s">
        <v>56</v>
      </c>
      <c r="B26" s="37">
        <v>207000</v>
      </c>
      <c r="C26" s="37">
        <v>118000</v>
      </c>
      <c r="D26" s="37">
        <v>123000</v>
      </c>
      <c r="E26" s="37">
        <v>32000</v>
      </c>
      <c r="F26" s="37">
        <v>135000</v>
      </c>
      <c r="G26" s="37">
        <v>12000</v>
      </c>
      <c r="H26" s="37">
        <v>135000</v>
      </c>
      <c r="I26" s="37">
        <v>142000</v>
      </c>
      <c r="J26" s="37">
        <v>9000</v>
      </c>
      <c r="K26" s="37"/>
      <c r="L26" s="37"/>
      <c r="M26" s="37"/>
      <c r="N26" s="37"/>
      <c r="O26" s="37">
        <v>0</v>
      </c>
      <c r="P26" s="37"/>
      <c r="Q26" s="37">
        <v>23000</v>
      </c>
      <c r="R26" s="37">
        <v>116000</v>
      </c>
      <c r="S26" s="37"/>
      <c r="T26" s="37">
        <f t="shared" si="0"/>
        <v>1052000</v>
      </c>
    </row>
    <row r="27" spans="1:20">
      <c r="A27" s="35" t="s">
        <v>57</v>
      </c>
      <c r="B27" s="37">
        <v>333000</v>
      </c>
      <c r="C27" s="37">
        <v>112000</v>
      </c>
      <c r="D27" s="37">
        <v>202500</v>
      </c>
      <c r="E27" s="37">
        <v>43000</v>
      </c>
      <c r="F27" s="37">
        <v>243000</v>
      </c>
      <c r="G27" s="37">
        <v>18000</v>
      </c>
      <c r="H27" s="37">
        <v>268000</v>
      </c>
      <c r="I27" s="37">
        <v>168000</v>
      </c>
      <c r="J27" s="37">
        <v>33000</v>
      </c>
      <c r="K27" s="37"/>
      <c r="L27" s="37"/>
      <c r="M27" s="37"/>
      <c r="N27" s="37"/>
      <c r="O27" s="31">
        <v>0</v>
      </c>
      <c r="P27" s="37"/>
      <c r="Q27" s="37">
        <v>23000</v>
      </c>
      <c r="R27" s="37">
        <v>1321000</v>
      </c>
      <c r="S27" s="37"/>
      <c r="T27" s="37">
        <f t="shared" si="0"/>
        <v>2764500</v>
      </c>
    </row>
    <row r="28" spans="1:20">
      <c r="A28" s="35" t="s">
        <v>58</v>
      </c>
      <c r="B28" s="37">
        <v>233500</v>
      </c>
      <c r="C28" s="37">
        <v>134000</v>
      </c>
      <c r="D28" s="37">
        <v>87000</v>
      </c>
      <c r="E28" s="37">
        <v>20000</v>
      </c>
      <c r="F28" s="37">
        <v>109400</v>
      </c>
      <c r="G28" s="37">
        <v>0</v>
      </c>
      <c r="H28" s="37">
        <v>92000</v>
      </c>
      <c r="I28" s="37">
        <v>82000</v>
      </c>
      <c r="J28" s="37">
        <v>5000</v>
      </c>
      <c r="K28" s="37"/>
      <c r="L28" s="37"/>
      <c r="M28" s="37"/>
      <c r="N28" s="37"/>
      <c r="O28" s="37">
        <v>6000</v>
      </c>
      <c r="P28" s="37"/>
      <c r="Q28" s="37">
        <v>23000</v>
      </c>
      <c r="R28" s="37">
        <v>0</v>
      </c>
      <c r="S28" s="37"/>
      <c r="T28" s="37">
        <f t="shared" si="0"/>
        <v>791900</v>
      </c>
    </row>
    <row r="29" spans="1:20">
      <c r="A29" s="35" t="s">
        <v>59</v>
      </c>
      <c r="B29" s="37">
        <v>168000</v>
      </c>
      <c r="C29" s="37">
        <v>38000</v>
      </c>
      <c r="D29" s="37">
        <v>83000</v>
      </c>
      <c r="E29" s="37">
        <v>10500</v>
      </c>
      <c r="F29" s="37">
        <v>69000</v>
      </c>
      <c r="G29" s="37">
        <v>0</v>
      </c>
      <c r="H29" s="37">
        <v>61000</v>
      </c>
      <c r="I29" s="37">
        <v>36000</v>
      </c>
      <c r="J29" s="37">
        <v>5000</v>
      </c>
      <c r="K29" s="37"/>
      <c r="L29" s="37"/>
      <c r="M29" s="37"/>
      <c r="N29" s="37"/>
      <c r="O29" s="37">
        <v>0</v>
      </c>
      <c r="P29" s="37"/>
      <c r="Q29" s="37">
        <v>101000</v>
      </c>
      <c r="R29" s="37">
        <v>1087000</v>
      </c>
      <c r="S29" s="37"/>
      <c r="T29" s="37">
        <f t="shared" si="0"/>
        <v>1658500</v>
      </c>
    </row>
    <row r="30" spans="1:20">
      <c r="A30" s="35" t="s">
        <v>60</v>
      </c>
      <c r="B30" s="37">
        <v>197000</v>
      </c>
      <c r="C30" s="37">
        <v>69000</v>
      </c>
      <c r="D30" s="37">
        <v>61000</v>
      </c>
      <c r="E30" s="37">
        <v>24000</v>
      </c>
      <c r="F30" s="37">
        <v>95000</v>
      </c>
      <c r="G30" s="37">
        <v>6000</v>
      </c>
      <c r="H30" s="37">
        <v>85000</v>
      </c>
      <c r="I30" s="37">
        <v>67000</v>
      </c>
      <c r="J30" s="37">
        <v>6000</v>
      </c>
      <c r="K30" s="37"/>
      <c r="L30" s="37"/>
      <c r="M30" s="37"/>
      <c r="N30" s="37"/>
      <c r="O30" s="37">
        <v>6000</v>
      </c>
      <c r="P30" s="37"/>
      <c r="Q30" s="37">
        <v>0</v>
      </c>
      <c r="R30" s="37">
        <v>215000</v>
      </c>
      <c r="S30" s="37"/>
      <c r="T30" s="37">
        <f t="shared" si="0"/>
        <v>831000</v>
      </c>
    </row>
    <row r="31" spans="1:20">
      <c r="A31" s="35" t="s">
        <v>61</v>
      </c>
      <c r="B31" s="31">
        <v>175000</v>
      </c>
      <c r="C31" s="31">
        <v>53000</v>
      </c>
      <c r="D31" s="31">
        <v>62000</v>
      </c>
      <c r="E31" s="31">
        <v>13000</v>
      </c>
      <c r="F31" s="31">
        <v>68000</v>
      </c>
      <c r="G31" s="31">
        <v>13000</v>
      </c>
      <c r="H31" s="31">
        <v>56000</v>
      </c>
      <c r="I31" s="31">
        <v>43000</v>
      </c>
      <c r="J31" s="31">
        <v>3000</v>
      </c>
      <c r="K31" s="31"/>
      <c r="L31" s="31"/>
      <c r="M31" s="31"/>
      <c r="N31" s="31"/>
      <c r="O31" s="31">
        <v>0</v>
      </c>
      <c r="P31" s="31"/>
      <c r="Q31" s="31">
        <v>0</v>
      </c>
      <c r="R31" s="31">
        <v>1475000</v>
      </c>
      <c r="S31" s="31"/>
      <c r="T31" s="37">
        <f t="shared" si="0"/>
        <v>1961000</v>
      </c>
    </row>
    <row r="32" spans="1:20">
      <c r="A32" s="35" t="s">
        <v>62</v>
      </c>
      <c r="B32" s="31">
        <v>136000</v>
      </c>
      <c r="C32" s="31">
        <v>42000</v>
      </c>
      <c r="D32" s="31">
        <v>52000</v>
      </c>
      <c r="E32" s="31">
        <v>4000</v>
      </c>
      <c r="F32" s="31">
        <v>57000</v>
      </c>
      <c r="G32" s="31">
        <v>0</v>
      </c>
      <c r="H32" s="31">
        <v>38000</v>
      </c>
      <c r="I32" s="31">
        <v>36000</v>
      </c>
      <c r="J32" s="31">
        <v>0</v>
      </c>
      <c r="K32" s="31"/>
      <c r="L32" s="31"/>
      <c r="M32" s="31"/>
      <c r="N32" s="31"/>
      <c r="O32" s="31">
        <v>0</v>
      </c>
      <c r="P32" s="31"/>
      <c r="Q32" s="31">
        <v>200000</v>
      </c>
      <c r="R32" s="31">
        <v>385000</v>
      </c>
      <c r="S32" s="31"/>
      <c r="T32" s="37">
        <f t="shared" si="0"/>
        <v>950000</v>
      </c>
    </row>
    <row r="33" spans="1:21">
      <c r="A33" s="35" t="s">
        <v>63</v>
      </c>
      <c r="B33" s="31">
        <v>194000</v>
      </c>
      <c r="C33" s="31">
        <v>91000</v>
      </c>
      <c r="D33" s="31">
        <v>83000</v>
      </c>
      <c r="E33" s="31">
        <v>5000</v>
      </c>
      <c r="F33" s="31">
        <v>72100</v>
      </c>
      <c r="G33" s="31">
        <v>6000</v>
      </c>
      <c r="H33" s="31">
        <v>51000</v>
      </c>
      <c r="I33" s="31">
        <v>31000</v>
      </c>
      <c r="J33" s="31">
        <v>8000</v>
      </c>
      <c r="K33" s="31"/>
      <c r="L33" s="31"/>
      <c r="M33" s="31"/>
      <c r="N33" s="31"/>
      <c r="O33" s="31">
        <v>0</v>
      </c>
      <c r="P33" s="31"/>
      <c r="Q33" s="31">
        <v>0</v>
      </c>
      <c r="R33" s="31">
        <v>437000</v>
      </c>
      <c r="S33" s="31"/>
      <c r="T33" s="37">
        <f t="shared" si="0"/>
        <v>978100</v>
      </c>
    </row>
    <row r="34" spans="1:21">
      <c r="A34" s="35" t="s">
        <v>64</v>
      </c>
      <c r="B34" s="31">
        <v>251000</v>
      </c>
      <c r="C34" s="31">
        <v>302000</v>
      </c>
      <c r="D34" s="31">
        <v>67000</v>
      </c>
      <c r="E34" s="31">
        <v>16000</v>
      </c>
      <c r="F34" s="31">
        <v>92600</v>
      </c>
      <c r="G34" s="31">
        <v>16000</v>
      </c>
      <c r="H34" s="31">
        <v>62000</v>
      </c>
      <c r="I34" s="31">
        <v>94000</v>
      </c>
      <c r="J34" s="31">
        <v>13000</v>
      </c>
      <c r="K34" s="31"/>
      <c r="L34" s="31"/>
      <c r="M34" s="31"/>
      <c r="N34" s="31"/>
      <c r="O34" s="46">
        <v>0</v>
      </c>
      <c r="P34" s="31"/>
      <c r="Q34" s="31">
        <v>41000</v>
      </c>
      <c r="R34" s="31">
        <v>24000</v>
      </c>
      <c r="S34" s="31"/>
      <c r="T34" s="31">
        <f t="shared" si="0"/>
        <v>978600</v>
      </c>
    </row>
    <row r="35" spans="1:21">
      <c r="A35" s="35" t="s">
        <v>83</v>
      </c>
      <c r="B35" s="31">
        <v>170000</v>
      </c>
      <c r="C35" s="31">
        <v>75000</v>
      </c>
      <c r="D35" s="31">
        <v>81000</v>
      </c>
      <c r="E35" s="31">
        <v>15000</v>
      </c>
      <c r="F35" s="31">
        <v>60000</v>
      </c>
      <c r="G35" s="31">
        <v>12000</v>
      </c>
      <c r="H35" s="31">
        <v>61000</v>
      </c>
      <c r="I35" s="31">
        <v>31000</v>
      </c>
      <c r="J35" s="31">
        <v>0</v>
      </c>
      <c r="K35" s="31"/>
      <c r="L35" s="31"/>
      <c r="M35" s="31"/>
      <c r="N35" s="31"/>
      <c r="O35" s="31">
        <v>0</v>
      </c>
      <c r="P35" s="31"/>
      <c r="Q35" s="31">
        <v>0</v>
      </c>
      <c r="R35" s="31">
        <v>2962000</v>
      </c>
      <c r="S35" s="31"/>
      <c r="T35" s="31">
        <f t="shared" si="0"/>
        <v>3467000</v>
      </c>
      <c r="U35">
        <v>2000000</v>
      </c>
    </row>
    <row r="36" spans="1:21">
      <c r="A36" s="35" t="s">
        <v>84</v>
      </c>
      <c r="B36" s="31">
        <v>141000</v>
      </c>
      <c r="C36" s="31">
        <v>109000</v>
      </c>
      <c r="D36" s="31">
        <v>116000</v>
      </c>
      <c r="E36" s="31">
        <v>28000</v>
      </c>
      <c r="F36" s="31">
        <v>103700</v>
      </c>
      <c r="G36" s="31">
        <v>70000</v>
      </c>
      <c r="H36" s="31">
        <v>83000</v>
      </c>
      <c r="I36" s="31">
        <v>75000</v>
      </c>
      <c r="J36" s="31">
        <v>18000</v>
      </c>
      <c r="K36" s="31"/>
      <c r="L36" s="31"/>
      <c r="M36" s="31"/>
      <c r="N36" s="31"/>
      <c r="O36" s="31">
        <v>0</v>
      </c>
      <c r="P36" s="31"/>
      <c r="Q36" s="31">
        <v>0</v>
      </c>
      <c r="R36" s="31">
        <v>11000</v>
      </c>
      <c r="S36" s="31"/>
      <c r="T36" s="31">
        <f>SUM(B36:S36)</f>
        <v>754700</v>
      </c>
    </row>
    <row r="37" spans="1:21">
      <c r="A37" s="40" t="s">
        <v>23</v>
      </c>
      <c r="B37" s="41">
        <f t="shared" ref="B37:J37" si="1">SUM(B6:B36)</f>
        <v>5007500</v>
      </c>
      <c r="C37" s="41">
        <f t="shared" si="1"/>
        <v>2679000</v>
      </c>
      <c r="D37" s="41">
        <f t="shared" si="1"/>
        <v>2825500</v>
      </c>
      <c r="E37" s="41">
        <f t="shared" si="1"/>
        <v>546500</v>
      </c>
      <c r="F37" s="41">
        <f t="shared" si="1"/>
        <v>3072400</v>
      </c>
      <c r="G37" s="41">
        <f t="shared" si="1"/>
        <v>327000</v>
      </c>
      <c r="H37" s="41">
        <f t="shared" si="1"/>
        <v>2601000</v>
      </c>
      <c r="I37" s="41">
        <f t="shared" si="1"/>
        <v>1720000</v>
      </c>
      <c r="J37" s="41">
        <f t="shared" si="1"/>
        <v>225000</v>
      </c>
      <c r="K37" s="31"/>
      <c r="L37" s="31"/>
      <c r="M37" s="31"/>
      <c r="N37" s="31"/>
      <c r="O37" s="31">
        <f>SUM(O6:O36)</f>
        <v>65000</v>
      </c>
      <c r="P37" s="31"/>
      <c r="Q37" s="31">
        <f>SUM(Q6:Q36)</f>
        <v>1816500</v>
      </c>
      <c r="R37" s="31">
        <f>SUM(R6:R36)</f>
        <v>9913000</v>
      </c>
      <c r="S37" s="31"/>
      <c r="T37" s="31">
        <f>SUM(B37:S37)</f>
        <v>30798400</v>
      </c>
    </row>
  </sheetData>
  <mergeCells count="4">
    <mergeCell ref="B1:T1"/>
    <mergeCell ref="B2:T2"/>
    <mergeCell ref="C3:F3"/>
    <mergeCell ref="C4:F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U38"/>
  <sheetViews>
    <sheetView workbookViewId="0">
      <pane xSplit="1" ySplit="6" topLeftCell="P34" activePane="bottomRight" state="frozen"/>
      <selection pane="topRight"/>
      <selection pane="bottomLeft"/>
      <selection pane="bottomRight" sqref="A1:AB1048576"/>
    </sheetView>
  </sheetViews>
  <sheetFormatPr defaultColWidth="9" defaultRowHeight="15"/>
  <cols>
    <col min="1" max="1" width="21.28515625" customWidth="1"/>
    <col min="2" max="2" width="11.7109375" customWidth="1"/>
    <col min="3" max="3" width="10.7109375" customWidth="1"/>
    <col min="4" max="4" width="10.5703125" customWidth="1"/>
    <col min="5" max="5" width="10.28515625" customWidth="1"/>
    <col min="6" max="6" width="11.28515625" customWidth="1"/>
    <col min="7" max="7" width="7.7109375" customWidth="1"/>
    <col min="8" max="8" width="10.5703125" customWidth="1"/>
    <col min="9" max="9" width="11.7109375" customWidth="1"/>
    <col min="10" max="10" width="9.5703125" customWidth="1"/>
    <col min="11" max="11" width="10.42578125" customWidth="1"/>
    <col min="12" max="12" width="14" customWidth="1"/>
    <col min="13" max="13" width="12.7109375" customWidth="1"/>
    <col min="15" max="15" width="13.5703125" customWidth="1"/>
    <col min="16" max="16" width="9.7109375" customWidth="1"/>
    <col min="17" max="17" width="10.42578125" customWidth="1"/>
    <col min="18" max="18" width="16.85546875" customWidth="1"/>
    <col min="19" max="19" width="17.5703125" customWidth="1"/>
    <col min="20" max="20" width="19.42578125" customWidth="1"/>
  </cols>
  <sheetData>
    <row r="1" spans="1:21" ht="26.25">
      <c r="A1" s="28"/>
      <c r="B1" s="55" t="s">
        <v>68</v>
      </c>
      <c r="C1" s="56"/>
      <c r="D1" s="56"/>
      <c r="E1" s="56"/>
      <c r="F1" s="56"/>
      <c r="G1" s="56"/>
      <c r="H1" s="56"/>
      <c r="I1" s="56"/>
      <c r="J1" s="56"/>
      <c r="K1" s="56"/>
      <c r="L1" s="56"/>
      <c r="M1" s="56"/>
      <c r="N1" s="56"/>
      <c r="O1" s="56"/>
      <c r="P1" s="56"/>
      <c r="Q1" s="56"/>
      <c r="R1" s="56"/>
      <c r="S1" s="56"/>
      <c r="T1" s="57"/>
    </row>
    <row r="2" spans="1:21" ht="27" customHeight="1">
      <c r="A2" s="4"/>
      <c r="B2" s="58" t="s">
        <v>0</v>
      </c>
      <c r="C2" s="59"/>
      <c r="D2" s="59"/>
      <c r="E2" s="59"/>
      <c r="F2" s="59"/>
      <c r="G2" s="59"/>
      <c r="H2" s="59"/>
      <c r="I2" s="59"/>
      <c r="J2" s="59"/>
      <c r="K2" s="59"/>
      <c r="L2" s="59"/>
      <c r="M2" s="59"/>
      <c r="N2" s="59"/>
      <c r="O2" s="59"/>
      <c r="P2" s="59"/>
      <c r="Q2" s="59"/>
      <c r="R2" s="59"/>
      <c r="S2" s="59"/>
      <c r="T2" s="60"/>
    </row>
    <row r="3" spans="1:21" ht="26.25">
      <c r="A3" s="4"/>
      <c r="B3" s="29" t="s">
        <v>1</v>
      </c>
      <c r="C3" s="61" t="s">
        <v>69</v>
      </c>
      <c r="D3" s="62"/>
      <c r="E3" s="62"/>
      <c r="F3" s="63"/>
      <c r="T3" s="5"/>
    </row>
    <row r="4" spans="1:21" ht="21">
      <c r="A4" s="4"/>
      <c r="B4" s="30" t="s">
        <v>2</v>
      </c>
      <c r="C4" s="78">
        <v>45108</v>
      </c>
      <c r="D4" s="79"/>
      <c r="E4" s="79"/>
      <c r="F4" s="80"/>
      <c r="T4" s="5"/>
    </row>
    <row r="5" spans="1:21" ht="45">
      <c r="A5" s="32" t="s">
        <v>3</v>
      </c>
      <c r="B5" s="33" t="s">
        <v>4</v>
      </c>
      <c r="C5" s="33" t="s">
        <v>5</v>
      </c>
      <c r="D5" s="33" t="s">
        <v>6</v>
      </c>
      <c r="E5" s="33" t="s">
        <v>7</v>
      </c>
      <c r="F5" s="33" t="s">
        <v>8</v>
      </c>
      <c r="G5" s="33" t="s">
        <v>9</v>
      </c>
      <c r="H5" s="33" t="s">
        <v>10</v>
      </c>
      <c r="I5" s="33" t="s">
        <v>11</v>
      </c>
      <c r="J5" s="33" t="s">
        <v>12</v>
      </c>
      <c r="K5" s="33" t="s">
        <v>13</v>
      </c>
      <c r="L5" s="33" t="s">
        <v>14</v>
      </c>
      <c r="M5" s="33" t="s">
        <v>15</v>
      </c>
      <c r="N5" s="33" t="s">
        <v>16</v>
      </c>
      <c r="O5" s="33" t="s">
        <v>17</v>
      </c>
      <c r="P5" s="33" t="s">
        <v>18</v>
      </c>
      <c r="Q5" s="33" t="s">
        <v>19</v>
      </c>
      <c r="R5" s="33" t="s">
        <v>20</v>
      </c>
      <c r="S5" s="33" t="s">
        <v>21</v>
      </c>
      <c r="T5" s="33" t="s">
        <v>22</v>
      </c>
      <c r="U5" s="34"/>
    </row>
    <row r="6" spans="1:21">
      <c r="A6" s="35" t="s">
        <v>67</v>
      </c>
      <c r="B6" s="36">
        <v>231000</v>
      </c>
      <c r="C6" s="36">
        <v>85000</v>
      </c>
      <c r="D6" s="36">
        <v>69000</v>
      </c>
      <c r="E6" s="36">
        <v>11000</v>
      </c>
      <c r="F6" s="36">
        <v>201000</v>
      </c>
      <c r="G6" s="36"/>
      <c r="H6" s="36">
        <v>71000</v>
      </c>
      <c r="I6" s="36">
        <v>42000</v>
      </c>
      <c r="J6" s="36">
        <v>10000</v>
      </c>
      <c r="K6" s="36">
        <v>0</v>
      </c>
      <c r="L6" s="36"/>
      <c r="M6" s="36"/>
      <c r="N6" s="36"/>
      <c r="O6" s="36">
        <v>0</v>
      </c>
      <c r="P6" s="36"/>
      <c r="Q6" s="36"/>
      <c r="R6" s="36"/>
      <c r="S6" s="37">
        <f>(B6+C6+D6+E6+F6+G6+H6+I6+J6+K6+M6+N6+O6+P6)</f>
        <v>720000</v>
      </c>
      <c r="T6" s="38">
        <f>SUM(B6:R6)</f>
        <v>720000</v>
      </c>
      <c r="U6" s="34"/>
    </row>
    <row r="7" spans="1:21">
      <c r="A7" s="35" t="s">
        <v>37</v>
      </c>
      <c r="B7" s="36">
        <v>218500</v>
      </c>
      <c r="C7" s="36">
        <v>176000</v>
      </c>
      <c r="D7" s="36">
        <v>131000</v>
      </c>
      <c r="E7" s="36">
        <v>45500</v>
      </c>
      <c r="F7" s="36">
        <v>166000</v>
      </c>
      <c r="G7" s="36"/>
      <c r="H7" s="36">
        <v>63000</v>
      </c>
      <c r="I7" s="36">
        <v>69500</v>
      </c>
      <c r="J7" s="36">
        <v>25000</v>
      </c>
      <c r="K7" s="36">
        <v>0</v>
      </c>
      <c r="L7" s="36"/>
      <c r="M7" s="36"/>
      <c r="N7" s="36"/>
      <c r="O7" s="36">
        <v>0</v>
      </c>
      <c r="P7" s="36"/>
      <c r="Q7" s="36"/>
      <c r="R7" s="36"/>
      <c r="S7" s="37">
        <f>(B7+C7+D7+E7+F7+G7+H7+I7+J7+K7+M7+N7+O7+P7)</f>
        <v>894500</v>
      </c>
      <c r="T7" s="38">
        <f>SUM(B7:R7)</f>
        <v>894500</v>
      </c>
      <c r="U7" s="34"/>
    </row>
    <row r="8" spans="1:21">
      <c r="A8" s="35" t="s">
        <v>38</v>
      </c>
      <c r="B8" s="36">
        <v>227500</v>
      </c>
      <c r="C8" s="36">
        <v>40000</v>
      </c>
      <c r="D8" s="36">
        <v>134000</v>
      </c>
      <c r="E8" s="36">
        <v>22500</v>
      </c>
      <c r="F8" s="36">
        <v>175500</v>
      </c>
      <c r="G8" s="36"/>
      <c r="H8" s="36">
        <v>47000</v>
      </c>
      <c r="I8" s="36">
        <v>33500</v>
      </c>
      <c r="J8" s="36">
        <v>4000</v>
      </c>
      <c r="K8" s="36">
        <v>0</v>
      </c>
      <c r="L8" s="36"/>
      <c r="M8" s="36"/>
      <c r="N8" s="36"/>
      <c r="O8" s="36">
        <v>0</v>
      </c>
      <c r="P8" s="36"/>
      <c r="Q8" s="36"/>
      <c r="R8" s="36">
        <v>604000</v>
      </c>
      <c r="S8" s="37">
        <f>(B8+C8+D8+E8+F8+G8+H8+I8+J8+K8+M8+N8+O8+P8)</f>
        <v>684000</v>
      </c>
      <c r="T8" s="38">
        <f>SUM(B8:R8)</f>
        <v>1288000</v>
      </c>
      <c r="U8" s="34"/>
    </row>
    <row r="9" spans="1:21">
      <c r="A9" s="35" t="s">
        <v>39</v>
      </c>
      <c r="B9" s="36">
        <v>258000</v>
      </c>
      <c r="C9" s="36">
        <v>39000</v>
      </c>
      <c r="D9" s="36">
        <v>67500</v>
      </c>
      <c r="E9" s="36">
        <v>10000</v>
      </c>
      <c r="F9" s="36">
        <v>95500</v>
      </c>
      <c r="G9" s="36"/>
      <c r="H9" s="36">
        <v>30000</v>
      </c>
      <c r="I9" s="36">
        <v>5000</v>
      </c>
      <c r="J9" s="36">
        <v>17000</v>
      </c>
      <c r="K9" s="36">
        <v>0</v>
      </c>
      <c r="L9" s="36"/>
      <c r="M9" s="36"/>
      <c r="N9" s="36"/>
      <c r="O9" s="36">
        <v>0</v>
      </c>
      <c r="P9" s="36"/>
      <c r="Q9" s="36"/>
      <c r="R9" s="36">
        <v>160000</v>
      </c>
      <c r="S9" s="37">
        <f>(B9+C9+D9+E9+F9+G9+H9+I9+J9+K9+M9+N9+O9+P9)</f>
        <v>522000</v>
      </c>
      <c r="T9" s="38">
        <f>SUM(B9:R9)</f>
        <v>682000</v>
      </c>
      <c r="U9" s="34"/>
    </row>
    <row r="10" spans="1:21">
      <c r="A10" s="35" t="s">
        <v>40</v>
      </c>
      <c r="B10" s="37">
        <v>313500</v>
      </c>
      <c r="C10" s="37">
        <v>96000</v>
      </c>
      <c r="D10" s="37">
        <v>121500</v>
      </c>
      <c r="E10" s="37">
        <v>16000</v>
      </c>
      <c r="F10" s="37">
        <v>88500</v>
      </c>
      <c r="G10" s="37"/>
      <c r="H10" s="37">
        <v>114000</v>
      </c>
      <c r="I10" s="37">
        <v>56000</v>
      </c>
      <c r="J10" s="37">
        <v>31500</v>
      </c>
      <c r="K10" s="37">
        <v>0</v>
      </c>
      <c r="L10" s="37"/>
      <c r="M10" s="37"/>
      <c r="N10" s="37"/>
      <c r="O10" s="37">
        <v>9000</v>
      </c>
      <c r="P10" s="37"/>
      <c r="Q10" s="37"/>
      <c r="R10" s="37">
        <v>646000</v>
      </c>
      <c r="S10" s="37">
        <f>(B10+C10+D10+E10+F10+G10+H10+I10+J10+K10+M10+N10+O10+P10)</f>
        <v>846000</v>
      </c>
      <c r="T10" s="37">
        <f>SUM(B10:R10)</f>
        <v>1492000</v>
      </c>
      <c r="U10" s="34"/>
    </row>
    <row r="11" spans="1:21">
      <c r="A11" s="35" t="s">
        <v>41</v>
      </c>
      <c r="B11" s="37">
        <v>158000</v>
      </c>
      <c r="C11" s="37">
        <v>45000</v>
      </c>
      <c r="D11" s="37">
        <v>89000</v>
      </c>
      <c r="E11" s="37">
        <v>17000</v>
      </c>
      <c r="F11" s="37">
        <v>40000</v>
      </c>
      <c r="G11" s="37"/>
      <c r="H11" s="37">
        <v>83000</v>
      </c>
      <c r="I11" s="37">
        <v>66000</v>
      </c>
      <c r="J11" s="37">
        <v>20000</v>
      </c>
      <c r="K11" s="37">
        <v>0</v>
      </c>
      <c r="L11" s="37"/>
      <c r="M11" s="37"/>
      <c r="N11" s="37"/>
      <c r="O11" s="37">
        <v>5000</v>
      </c>
      <c r="P11" s="37"/>
      <c r="Q11" s="37"/>
      <c r="R11" s="37">
        <v>302000</v>
      </c>
      <c r="S11" s="37">
        <f t="shared" ref="S11:S28" si="0">(B11+C11+D11+E11+F11+G11+H11+I11+J11+K11+M11+N11+O11+P11)</f>
        <v>523000</v>
      </c>
      <c r="T11" s="37">
        <f t="shared" ref="T11:T27" si="1">SUM(B11:R11)</f>
        <v>825000</v>
      </c>
      <c r="U11" s="34"/>
    </row>
    <row r="12" spans="1:21">
      <c r="A12" s="35" t="s">
        <v>42</v>
      </c>
      <c r="B12" s="37">
        <v>315000</v>
      </c>
      <c r="C12" s="37">
        <v>330000</v>
      </c>
      <c r="D12" s="37">
        <v>76500</v>
      </c>
      <c r="E12" s="37">
        <v>18000</v>
      </c>
      <c r="F12" s="37">
        <v>128500</v>
      </c>
      <c r="G12" s="37"/>
      <c r="H12" s="37">
        <v>12000</v>
      </c>
      <c r="I12" s="37">
        <v>22500</v>
      </c>
      <c r="J12" s="37">
        <v>25500</v>
      </c>
      <c r="K12" s="37">
        <v>0</v>
      </c>
      <c r="L12" s="37"/>
      <c r="M12" s="37"/>
      <c r="N12" s="37"/>
      <c r="O12" s="37">
        <v>19000</v>
      </c>
      <c r="P12" s="37"/>
      <c r="Q12" s="37"/>
      <c r="R12" s="37">
        <v>1215000</v>
      </c>
      <c r="S12" s="37">
        <f t="shared" si="0"/>
        <v>947000</v>
      </c>
      <c r="T12" s="37">
        <f t="shared" si="1"/>
        <v>2162000</v>
      </c>
      <c r="U12" s="34"/>
    </row>
    <row r="13" spans="1:21">
      <c r="A13" s="35" t="s">
        <v>43</v>
      </c>
      <c r="B13" s="37">
        <v>165500</v>
      </c>
      <c r="C13" s="37">
        <v>105000</v>
      </c>
      <c r="D13" s="37">
        <v>101000</v>
      </c>
      <c r="E13" s="37">
        <v>22000</v>
      </c>
      <c r="F13" s="37">
        <v>102500</v>
      </c>
      <c r="G13" s="37"/>
      <c r="H13" s="37">
        <v>28000</v>
      </c>
      <c r="I13" s="37">
        <v>35000</v>
      </c>
      <c r="J13" s="37">
        <v>31000</v>
      </c>
      <c r="K13" s="37">
        <v>0</v>
      </c>
      <c r="L13" s="37"/>
      <c r="M13" s="37"/>
      <c r="N13" s="37"/>
      <c r="O13" s="37">
        <v>35000</v>
      </c>
      <c r="P13" s="37"/>
      <c r="Q13" s="37"/>
      <c r="R13" s="37">
        <v>0</v>
      </c>
      <c r="S13" s="37">
        <f t="shared" si="0"/>
        <v>625000</v>
      </c>
      <c r="T13" s="37">
        <f t="shared" si="1"/>
        <v>625000</v>
      </c>
      <c r="U13" s="34"/>
    </row>
    <row r="14" spans="1:21">
      <c r="A14" s="35" t="s">
        <v>44</v>
      </c>
      <c r="B14" s="37">
        <v>198000</v>
      </c>
      <c r="C14" s="37">
        <v>8000</v>
      </c>
      <c r="D14" s="37">
        <v>85500</v>
      </c>
      <c r="E14" s="37">
        <v>32000</v>
      </c>
      <c r="F14" s="37">
        <v>121000</v>
      </c>
      <c r="G14" s="37"/>
      <c r="H14" s="37">
        <v>12000</v>
      </c>
      <c r="I14" s="37">
        <v>18000</v>
      </c>
      <c r="J14" s="37">
        <v>5500</v>
      </c>
      <c r="K14" s="37">
        <v>0</v>
      </c>
      <c r="L14" s="37"/>
      <c r="M14" s="37"/>
      <c r="N14" s="37"/>
      <c r="O14" s="37">
        <v>14000</v>
      </c>
      <c r="P14" s="37"/>
      <c r="Q14" s="37"/>
      <c r="R14" s="37">
        <v>280000</v>
      </c>
      <c r="S14" s="37">
        <f t="shared" si="0"/>
        <v>494000</v>
      </c>
      <c r="T14" s="37">
        <f t="shared" si="1"/>
        <v>774000</v>
      </c>
      <c r="U14" s="34"/>
    </row>
    <row r="15" spans="1:21">
      <c r="A15" s="35" t="s">
        <v>45</v>
      </c>
      <c r="B15" s="37">
        <v>276500</v>
      </c>
      <c r="C15" s="37">
        <v>144000</v>
      </c>
      <c r="D15" s="37">
        <v>133000</v>
      </c>
      <c r="E15" s="37">
        <v>15500</v>
      </c>
      <c r="F15" s="37">
        <v>123000</v>
      </c>
      <c r="G15" s="37"/>
      <c r="H15" s="37">
        <v>66000</v>
      </c>
      <c r="I15" s="37">
        <v>6000</v>
      </c>
      <c r="J15" s="37">
        <v>34000</v>
      </c>
      <c r="K15" s="37">
        <v>0</v>
      </c>
      <c r="L15" s="37"/>
      <c r="M15" s="37"/>
      <c r="N15" s="37"/>
      <c r="O15" s="37">
        <v>10000</v>
      </c>
      <c r="P15" s="37"/>
      <c r="Q15" s="37"/>
      <c r="R15" s="37">
        <v>172000</v>
      </c>
      <c r="S15" s="37">
        <f t="shared" si="0"/>
        <v>808000</v>
      </c>
      <c r="T15" s="37">
        <f t="shared" si="1"/>
        <v>980000</v>
      </c>
      <c r="U15" s="34"/>
    </row>
    <row r="16" spans="1:21">
      <c r="A16" s="35" t="s">
        <v>46</v>
      </c>
      <c r="B16" s="37">
        <v>265000</v>
      </c>
      <c r="C16" s="37">
        <v>166000</v>
      </c>
      <c r="D16" s="37">
        <v>159000</v>
      </c>
      <c r="E16" s="37">
        <v>52500</v>
      </c>
      <c r="F16" s="37">
        <v>135000</v>
      </c>
      <c r="G16" s="37"/>
      <c r="H16" s="37">
        <v>95000</v>
      </c>
      <c r="I16" s="37">
        <v>123500</v>
      </c>
      <c r="J16" s="37">
        <v>5000</v>
      </c>
      <c r="K16" s="37">
        <v>0</v>
      </c>
      <c r="L16" s="37"/>
      <c r="M16" s="37"/>
      <c r="N16" s="37"/>
      <c r="O16" s="37">
        <v>19000</v>
      </c>
      <c r="P16" s="37"/>
      <c r="Q16" s="37"/>
      <c r="R16" s="37">
        <v>0</v>
      </c>
      <c r="S16" s="37">
        <f t="shared" si="0"/>
        <v>1020000</v>
      </c>
      <c r="T16" s="37">
        <f t="shared" si="1"/>
        <v>1020000</v>
      </c>
      <c r="U16" s="34"/>
    </row>
    <row r="17" spans="1:21">
      <c r="A17" s="35" t="s">
        <v>47</v>
      </c>
      <c r="B17" s="37">
        <v>145000</v>
      </c>
      <c r="C17" s="37">
        <v>65000</v>
      </c>
      <c r="D17" s="37">
        <v>63000</v>
      </c>
      <c r="E17" s="37">
        <v>25000</v>
      </c>
      <c r="F17" s="37">
        <v>103000</v>
      </c>
      <c r="G17" s="37"/>
      <c r="H17" s="37">
        <v>84000</v>
      </c>
      <c r="I17" s="37">
        <v>36000</v>
      </c>
      <c r="J17" s="37">
        <v>10000</v>
      </c>
      <c r="K17" s="37">
        <v>0</v>
      </c>
      <c r="L17" s="37"/>
      <c r="M17" s="37"/>
      <c r="N17" s="37"/>
      <c r="O17" s="37">
        <v>0</v>
      </c>
      <c r="P17" s="37"/>
      <c r="Q17" s="37"/>
      <c r="R17" s="37">
        <v>-3400000</v>
      </c>
      <c r="S17" s="37">
        <f t="shared" si="0"/>
        <v>531000</v>
      </c>
      <c r="T17" s="38">
        <f t="shared" si="1"/>
        <v>-2869000</v>
      </c>
      <c r="U17" s="34" t="s">
        <v>71</v>
      </c>
    </row>
    <row r="18" spans="1:21">
      <c r="A18" s="35" t="s">
        <v>48</v>
      </c>
      <c r="B18" s="37">
        <v>198500</v>
      </c>
      <c r="C18" s="37">
        <v>145000</v>
      </c>
      <c r="D18" s="37">
        <v>133500</v>
      </c>
      <c r="E18" s="37">
        <v>13000</v>
      </c>
      <c r="F18" s="37">
        <v>43000</v>
      </c>
      <c r="G18" s="37"/>
      <c r="H18" s="37">
        <v>82000</v>
      </c>
      <c r="I18" s="37">
        <v>40000</v>
      </c>
      <c r="J18" s="37">
        <v>3500</v>
      </c>
      <c r="K18" s="37">
        <v>0</v>
      </c>
      <c r="L18" s="37"/>
      <c r="M18" s="37"/>
      <c r="N18" s="37"/>
      <c r="O18" s="37">
        <v>8000</v>
      </c>
      <c r="P18" s="37"/>
      <c r="Q18" s="37"/>
      <c r="R18" s="37">
        <v>0</v>
      </c>
      <c r="S18" s="37">
        <f t="shared" si="0"/>
        <v>666500</v>
      </c>
      <c r="T18" s="38">
        <f t="shared" si="1"/>
        <v>666500</v>
      </c>
      <c r="U18" s="34"/>
    </row>
    <row r="19" spans="1:21">
      <c r="A19" s="35" t="s">
        <v>49</v>
      </c>
      <c r="B19" s="37">
        <v>166500</v>
      </c>
      <c r="C19" s="37">
        <v>210000</v>
      </c>
      <c r="D19" s="37">
        <v>147000</v>
      </c>
      <c r="E19" s="37">
        <v>9500</v>
      </c>
      <c r="F19" s="37">
        <v>140000</v>
      </c>
      <c r="G19" s="37"/>
      <c r="H19" s="37">
        <v>47000</v>
      </c>
      <c r="I19" s="37">
        <v>37000</v>
      </c>
      <c r="J19" s="37">
        <v>5000</v>
      </c>
      <c r="K19" s="37">
        <v>0</v>
      </c>
      <c r="L19" s="37"/>
      <c r="M19" s="37"/>
      <c r="N19" s="37"/>
      <c r="O19" s="37">
        <v>20000</v>
      </c>
      <c r="P19" s="37"/>
      <c r="Q19" s="37"/>
      <c r="R19" s="37">
        <v>205000</v>
      </c>
      <c r="S19" s="37">
        <f t="shared" si="0"/>
        <v>782000</v>
      </c>
      <c r="T19" s="38">
        <f t="shared" si="1"/>
        <v>987000</v>
      </c>
      <c r="U19" s="34"/>
    </row>
    <row r="20" spans="1:21">
      <c r="A20" s="35" t="s">
        <v>50</v>
      </c>
      <c r="B20" s="37">
        <v>403000</v>
      </c>
      <c r="C20" s="37">
        <v>560000</v>
      </c>
      <c r="D20" s="37">
        <v>202000</v>
      </c>
      <c r="E20" s="37">
        <v>30000</v>
      </c>
      <c r="F20" s="37">
        <v>279500</v>
      </c>
      <c r="G20" s="37"/>
      <c r="H20" s="37">
        <v>401000</v>
      </c>
      <c r="I20" s="37">
        <v>71000</v>
      </c>
      <c r="J20" s="37">
        <v>3000</v>
      </c>
      <c r="K20" s="37">
        <v>0</v>
      </c>
      <c r="L20" s="37"/>
      <c r="M20" s="37"/>
      <c r="N20" s="37"/>
      <c r="O20" s="37">
        <v>26000</v>
      </c>
      <c r="P20" s="37"/>
      <c r="Q20" s="37"/>
      <c r="R20" s="37">
        <v>1205000</v>
      </c>
      <c r="S20" s="37">
        <f t="shared" si="0"/>
        <v>1975500</v>
      </c>
      <c r="T20" s="38">
        <f t="shared" si="1"/>
        <v>3180500</v>
      </c>
      <c r="U20" s="34"/>
    </row>
    <row r="21" spans="1:21">
      <c r="A21" s="35" t="s">
        <v>51</v>
      </c>
      <c r="B21" s="37">
        <v>190000</v>
      </c>
      <c r="C21" s="37">
        <v>140000</v>
      </c>
      <c r="D21" s="37">
        <v>98000</v>
      </c>
      <c r="E21" s="37">
        <v>21000</v>
      </c>
      <c r="F21" s="37">
        <v>126000</v>
      </c>
      <c r="G21" s="37"/>
      <c r="H21" s="37">
        <v>163000</v>
      </c>
      <c r="I21" s="37">
        <v>2000</v>
      </c>
      <c r="J21" s="37">
        <v>4000</v>
      </c>
      <c r="K21" s="37">
        <v>0</v>
      </c>
      <c r="L21" s="37"/>
      <c r="M21" s="37"/>
      <c r="N21" s="37"/>
      <c r="O21" s="37">
        <v>16000</v>
      </c>
      <c r="P21" s="37"/>
      <c r="Q21" s="37"/>
      <c r="R21" s="37">
        <v>0</v>
      </c>
      <c r="S21" s="37">
        <f t="shared" si="0"/>
        <v>760000</v>
      </c>
      <c r="T21" s="38">
        <f t="shared" si="1"/>
        <v>760000</v>
      </c>
      <c r="U21" s="34"/>
    </row>
    <row r="22" spans="1:21">
      <c r="A22" s="35" t="s">
        <v>52</v>
      </c>
      <c r="B22" s="37">
        <v>221000</v>
      </c>
      <c r="C22" s="37">
        <v>82000</v>
      </c>
      <c r="D22" s="37">
        <v>118000</v>
      </c>
      <c r="E22" s="37">
        <v>40500</v>
      </c>
      <c r="F22" s="37">
        <v>50000</v>
      </c>
      <c r="G22" s="37"/>
      <c r="H22" s="37">
        <v>54000</v>
      </c>
      <c r="I22" s="37">
        <v>50000</v>
      </c>
      <c r="J22" s="37">
        <v>12000</v>
      </c>
      <c r="K22" s="37">
        <v>0</v>
      </c>
      <c r="L22" s="37"/>
      <c r="M22" s="37"/>
      <c r="N22" s="37"/>
      <c r="O22" s="37">
        <v>0</v>
      </c>
      <c r="P22" s="37"/>
      <c r="Q22" s="37"/>
      <c r="R22" s="37">
        <v>-1000000</v>
      </c>
      <c r="S22" s="37">
        <f t="shared" si="0"/>
        <v>627500</v>
      </c>
      <c r="T22" s="38">
        <f t="shared" si="1"/>
        <v>-372500</v>
      </c>
      <c r="U22" s="34" t="s">
        <v>71</v>
      </c>
    </row>
    <row r="23" spans="1:21">
      <c r="A23" s="35" t="s">
        <v>53</v>
      </c>
      <c r="B23" s="37">
        <v>183000</v>
      </c>
      <c r="C23" s="37">
        <v>114000</v>
      </c>
      <c r="D23" s="37">
        <v>105000</v>
      </c>
      <c r="E23" s="37">
        <v>12000</v>
      </c>
      <c r="F23" s="37">
        <v>65000</v>
      </c>
      <c r="G23" s="37"/>
      <c r="H23" s="37">
        <v>36000</v>
      </c>
      <c r="I23" s="37">
        <v>21000</v>
      </c>
      <c r="J23" s="37">
        <v>10000</v>
      </c>
      <c r="K23" s="37">
        <v>0</v>
      </c>
      <c r="L23" s="37"/>
      <c r="M23" s="37"/>
      <c r="N23" s="37"/>
      <c r="O23" s="37">
        <v>0</v>
      </c>
      <c r="P23" s="37"/>
      <c r="Q23" s="37"/>
      <c r="R23" s="37">
        <v>-82000</v>
      </c>
      <c r="S23" s="37">
        <f t="shared" si="0"/>
        <v>546000</v>
      </c>
      <c r="T23" s="38">
        <f t="shared" si="1"/>
        <v>464000</v>
      </c>
      <c r="U23" s="34"/>
    </row>
    <row r="24" spans="1:21">
      <c r="A24" s="35" t="s">
        <v>54</v>
      </c>
      <c r="B24" s="37">
        <v>130000</v>
      </c>
      <c r="C24" s="37">
        <v>77000</v>
      </c>
      <c r="D24" s="37">
        <v>71500</v>
      </c>
      <c r="E24" s="37">
        <v>11000</v>
      </c>
      <c r="F24" s="37">
        <v>62500</v>
      </c>
      <c r="G24" s="37"/>
      <c r="H24" s="37">
        <v>47500</v>
      </c>
      <c r="I24" s="37">
        <v>50000</v>
      </c>
      <c r="J24" s="37">
        <v>6000</v>
      </c>
      <c r="K24" s="37">
        <v>0</v>
      </c>
      <c r="L24" s="37"/>
      <c r="M24" s="37"/>
      <c r="N24" s="37"/>
      <c r="O24" s="37">
        <v>0</v>
      </c>
      <c r="P24" s="37"/>
      <c r="Q24" s="37"/>
      <c r="R24" s="37">
        <v>190000</v>
      </c>
      <c r="S24" s="37">
        <f t="shared" si="0"/>
        <v>455500</v>
      </c>
      <c r="T24" s="38">
        <f t="shared" si="1"/>
        <v>645500</v>
      </c>
      <c r="U24" s="34"/>
    </row>
    <row r="25" spans="1:21">
      <c r="A25" s="35" t="s">
        <v>55</v>
      </c>
      <c r="B25" s="37">
        <v>169000</v>
      </c>
      <c r="C25" s="37">
        <v>10000</v>
      </c>
      <c r="D25" s="37">
        <v>72000</v>
      </c>
      <c r="E25" s="37">
        <v>32000</v>
      </c>
      <c r="F25" s="37">
        <v>123000</v>
      </c>
      <c r="G25" s="37"/>
      <c r="H25" s="37">
        <v>35000</v>
      </c>
      <c r="I25" s="37">
        <v>14000</v>
      </c>
      <c r="J25" s="37">
        <v>32000</v>
      </c>
      <c r="K25" s="37">
        <v>0</v>
      </c>
      <c r="L25" s="37"/>
      <c r="M25" s="37"/>
      <c r="N25" s="37"/>
      <c r="O25" s="37">
        <v>12000</v>
      </c>
      <c r="P25" s="37"/>
      <c r="Q25" s="37"/>
      <c r="R25" s="37">
        <v>-24000</v>
      </c>
      <c r="S25" s="37">
        <f t="shared" si="0"/>
        <v>499000</v>
      </c>
      <c r="T25" s="38">
        <f t="shared" si="1"/>
        <v>475000</v>
      </c>
      <c r="U25" s="34"/>
    </row>
    <row r="26" spans="1:21">
      <c r="A26" s="35" t="s">
        <v>56</v>
      </c>
      <c r="B26" s="37">
        <v>210000</v>
      </c>
      <c r="C26" s="37">
        <v>167000</v>
      </c>
      <c r="D26" s="37">
        <v>80000</v>
      </c>
      <c r="E26" s="37">
        <v>10000</v>
      </c>
      <c r="F26" s="37">
        <v>118500</v>
      </c>
      <c r="G26" s="37"/>
      <c r="H26" s="37">
        <v>100000</v>
      </c>
      <c r="I26" s="37">
        <v>95000</v>
      </c>
      <c r="J26" s="37">
        <v>56000</v>
      </c>
      <c r="K26" s="37">
        <v>0</v>
      </c>
      <c r="L26" s="37"/>
      <c r="M26" s="37"/>
      <c r="N26" s="37"/>
      <c r="O26" s="37">
        <v>15000</v>
      </c>
      <c r="P26" s="37"/>
      <c r="Q26" s="37"/>
      <c r="R26" s="37">
        <v>0</v>
      </c>
      <c r="S26" s="37">
        <f t="shared" si="0"/>
        <v>851500</v>
      </c>
      <c r="T26" s="38">
        <f t="shared" si="1"/>
        <v>851500</v>
      </c>
      <c r="U26" s="34"/>
    </row>
    <row r="27" spans="1:21">
      <c r="A27" s="35" t="s">
        <v>57</v>
      </c>
      <c r="B27" s="37">
        <v>270000</v>
      </c>
      <c r="C27" s="37">
        <v>127000</v>
      </c>
      <c r="D27" s="37">
        <v>141000</v>
      </c>
      <c r="E27" s="37">
        <v>3000</v>
      </c>
      <c r="F27" s="37">
        <v>240300</v>
      </c>
      <c r="G27" s="37"/>
      <c r="H27" s="37">
        <v>79000</v>
      </c>
      <c r="I27" s="37">
        <v>58000</v>
      </c>
      <c r="J27" s="37">
        <v>45000</v>
      </c>
      <c r="K27" s="37">
        <v>0</v>
      </c>
      <c r="L27" s="37"/>
      <c r="M27" s="37"/>
      <c r="N27" s="37"/>
      <c r="O27" s="37">
        <v>8000</v>
      </c>
      <c r="P27" s="37"/>
      <c r="Q27" s="37"/>
      <c r="R27" s="37">
        <v>46000</v>
      </c>
      <c r="S27" s="37">
        <f t="shared" si="0"/>
        <v>971300</v>
      </c>
      <c r="T27" s="38">
        <f t="shared" si="1"/>
        <v>1017300</v>
      </c>
      <c r="U27" s="34"/>
    </row>
    <row r="28" spans="1:21">
      <c r="A28" s="35" t="s">
        <v>58</v>
      </c>
      <c r="B28" s="37">
        <v>220000</v>
      </c>
      <c r="C28" s="37">
        <v>187000</v>
      </c>
      <c r="D28" s="37">
        <v>80000</v>
      </c>
      <c r="E28" s="37">
        <v>16500</v>
      </c>
      <c r="F28" s="37">
        <v>149500</v>
      </c>
      <c r="G28" s="37"/>
      <c r="H28" s="37">
        <v>85000</v>
      </c>
      <c r="I28" s="37">
        <v>66000</v>
      </c>
      <c r="J28" s="37">
        <v>8000</v>
      </c>
      <c r="K28" s="37">
        <v>0</v>
      </c>
      <c r="L28" s="37"/>
      <c r="M28" s="37"/>
      <c r="N28" s="37"/>
      <c r="O28" s="37">
        <v>24000</v>
      </c>
      <c r="P28" s="37"/>
      <c r="Q28" s="37"/>
      <c r="R28" s="37">
        <v>424000</v>
      </c>
      <c r="S28" s="37">
        <f t="shared" si="0"/>
        <v>836000</v>
      </c>
      <c r="T28" s="38">
        <f t="shared" ref="T28:T35" si="2">SUM(B28:R28)</f>
        <v>1260000</v>
      </c>
      <c r="U28" s="34"/>
    </row>
    <row r="29" spans="1:21">
      <c r="A29" s="35" t="s">
        <v>59</v>
      </c>
      <c r="B29" s="37">
        <v>319500</v>
      </c>
      <c r="C29" s="37">
        <v>104000</v>
      </c>
      <c r="D29" s="37">
        <v>125000</v>
      </c>
      <c r="E29" s="37">
        <v>9000</v>
      </c>
      <c r="F29" s="37">
        <v>75900</v>
      </c>
      <c r="G29" s="37"/>
      <c r="H29" s="37">
        <v>45000</v>
      </c>
      <c r="I29" s="37">
        <v>35000</v>
      </c>
      <c r="J29" s="37">
        <v>6000</v>
      </c>
      <c r="K29" s="37">
        <v>0</v>
      </c>
      <c r="L29" s="37"/>
      <c r="M29" s="37"/>
      <c r="N29" s="37"/>
      <c r="O29" s="37">
        <v>0</v>
      </c>
      <c r="P29" s="37"/>
      <c r="Q29" s="37"/>
      <c r="R29" s="37">
        <v>882000</v>
      </c>
      <c r="S29" s="37">
        <f t="shared" ref="S29:S35" si="3">(B29+C29+D29+E29+F29+G29+H29+I29+J29+K29+M29+N29+O29+P29)</f>
        <v>719400</v>
      </c>
      <c r="T29" s="38">
        <f t="shared" si="2"/>
        <v>1601400</v>
      </c>
      <c r="U29" s="34"/>
    </row>
    <row r="30" spans="1:21">
      <c r="A30" s="35" t="s">
        <v>60</v>
      </c>
      <c r="B30" s="37">
        <v>286000</v>
      </c>
      <c r="C30" s="37">
        <v>111000</v>
      </c>
      <c r="D30" s="37">
        <v>131000</v>
      </c>
      <c r="E30" s="37">
        <v>3000</v>
      </c>
      <c r="F30" s="37">
        <v>84800</v>
      </c>
      <c r="G30" s="37"/>
      <c r="H30" s="37">
        <v>21000</v>
      </c>
      <c r="I30" s="37">
        <v>10000</v>
      </c>
      <c r="J30" s="37">
        <v>5500</v>
      </c>
      <c r="K30" s="37">
        <v>0</v>
      </c>
      <c r="L30" s="37"/>
      <c r="M30" s="37"/>
      <c r="N30" s="37"/>
      <c r="O30" s="37">
        <v>4000</v>
      </c>
      <c r="P30" s="37"/>
      <c r="Q30" s="37"/>
      <c r="R30" s="37">
        <v>0</v>
      </c>
      <c r="S30" s="37">
        <f t="shared" si="3"/>
        <v>656300</v>
      </c>
      <c r="T30" s="38">
        <f t="shared" si="2"/>
        <v>656300</v>
      </c>
      <c r="U30" s="34"/>
    </row>
    <row r="31" spans="1:21" s="27" customFormat="1">
      <c r="A31" s="35" t="s">
        <v>61</v>
      </c>
      <c r="B31" s="31">
        <v>210000</v>
      </c>
      <c r="C31" s="31">
        <v>51000</v>
      </c>
      <c r="D31" s="31">
        <v>40000</v>
      </c>
      <c r="E31" s="31">
        <v>30000</v>
      </c>
      <c r="F31" s="31">
        <v>64000</v>
      </c>
      <c r="G31" s="31"/>
      <c r="H31" s="31">
        <v>12000</v>
      </c>
      <c r="I31" s="31">
        <v>27000</v>
      </c>
      <c r="J31" s="31">
        <v>10000</v>
      </c>
      <c r="K31" s="31">
        <v>0</v>
      </c>
      <c r="L31" s="31"/>
      <c r="M31" s="31"/>
      <c r="N31" s="31"/>
      <c r="O31" s="31">
        <v>0</v>
      </c>
      <c r="P31" s="31"/>
      <c r="Q31" s="31"/>
      <c r="R31" s="31">
        <v>1459000</v>
      </c>
      <c r="S31" s="31">
        <f t="shared" si="3"/>
        <v>444000</v>
      </c>
      <c r="T31" s="31">
        <f t="shared" si="2"/>
        <v>1903000</v>
      </c>
      <c r="U31" s="39"/>
    </row>
    <row r="32" spans="1:21" s="27" customFormat="1">
      <c r="A32" s="35" t="s">
        <v>62</v>
      </c>
      <c r="B32" s="31">
        <v>267000</v>
      </c>
      <c r="C32" s="31">
        <v>276000</v>
      </c>
      <c r="D32" s="31">
        <v>141000</v>
      </c>
      <c r="E32" s="31">
        <v>10000</v>
      </c>
      <c r="F32" s="31">
        <v>121000</v>
      </c>
      <c r="G32" s="31"/>
      <c r="H32" s="31">
        <v>94000</v>
      </c>
      <c r="I32" s="31">
        <v>130000</v>
      </c>
      <c r="J32" s="31">
        <v>11000</v>
      </c>
      <c r="K32" s="31">
        <v>0</v>
      </c>
      <c r="L32" s="31"/>
      <c r="M32" s="31"/>
      <c r="N32" s="31"/>
      <c r="O32" s="31">
        <v>0</v>
      </c>
      <c r="P32" s="31"/>
      <c r="Q32" s="31"/>
      <c r="R32" s="31">
        <v>0</v>
      </c>
      <c r="S32" s="31">
        <f t="shared" si="3"/>
        <v>1050000</v>
      </c>
      <c r="T32" s="31">
        <f t="shared" si="2"/>
        <v>1050000</v>
      </c>
      <c r="U32" s="39"/>
    </row>
    <row r="33" spans="1:21" s="27" customFormat="1">
      <c r="A33" s="35" t="s">
        <v>63</v>
      </c>
      <c r="B33" s="31">
        <v>276000</v>
      </c>
      <c r="C33" s="31">
        <v>78000</v>
      </c>
      <c r="D33" s="31">
        <v>110000</v>
      </c>
      <c r="E33" s="31">
        <v>26000</v>
      </c>
      <c r="F33" s="31">
        <v>85000</v>
      </c>
      <c r="G33" s="31"/>
      <c r="H33" s="31">
        <v>70000</v>
      </c>
      <c r="I33" s="31">
        <v>71000</v>
      </c>
      <c r="J33" s="31">
        <v>42000</v>
      </c>
      <c r="K33" s="31">
        <v>0</v>
      </c>
      <c r="L33" s="31"/>
      <c r="M33" s="31"/>
      <c r="N33" s="31"/>
      <c r="O33" s="31">
        <v>8000</v>
      </c>
      <c r="P33" s="31"/>
      <c r="Q33" s="31"/>
      <c r="R33" s="31">
        <v>0</v>
      </c>
      <c r="S33" s="31">
        <f t="shared" si="3"/>
        <v>766000</v>
      </c>
      <c r="T33" s="31">
        <f t="shared" si="2"/>
        <v>766000</v>
      </c>
      <c r="U33" s="39"/>
    </row>
    <row r="34" spans="1:21" s="27" customFormat="1">
      <c r="A34" s="35" t="s">
        <v>64</v>
      </c>
      <c r="B34" s="31">
        <v>472000</v>
      </c>
      <c r="C34" s="31">
        <v>435000</v>
      </c>
      <c r="D34" s="31">
        <v>156000</v>
      </c>
      <c r="E34" s="31">
        <v>24000</v>
      </c>
      <c r="F34" s="31">
        <v>240000</v>
      </c>
      <c r="G34" s="31"/>
      <c r="H34" s="31">
        <v>150000</v>
      </c>
      <c r="I34" s="31">
        <v>60000</v>
      </c>
      <c r="J34" s="31">
        <v>37000</v>
      </c>
      <c r="K34" s="31">
        <v>0</v>
      </c>
      <c r="L34" s="31"/>
      <c r="M34" s="31"/>
      <c r="N34" s="31"/>
      <c r="O34" s="31">
        <v>28000</v>
      </c>
      <c r="P34" s="31"/>
      <c r="Q34" s="31"/>
      <c r="R34" s="31">
        <v>0</v>
      </c>
      <c r="S34" s="31">
        <f t="shared" si="3"/>
        <v>1602000</v>
      </c>
      <c r="T34" s="31">
        <f t="shared" si="2"/>
        <v>1602000</v>
      </c>
      <c r="U34" s="39"/>
    </row>
    <row r="35" spans="1:21" s="27" customFormat="1">
      <c r="A35" s="35" t="s">
        <v>65</v>
      </c>
      <c r="B35" s="31">
        <v>210000</v>
      </c>
      <c r="C35" s="31">
        <v>70000</v>
      </c>
      <c r="D35" s="31">
        <v>105000</v>
      </c>
      <c r="E35" s="31">
        <v>42000</v>
      </c>
      <c r="F35" s="31">
        <v>151200</v>
      </c>
      <c r="G35" s="31"/>
      <c r="H35" s="31">
        <v>78000</v>
      </c>
      <c r="I35" s="31">
        <v>75000</v>
      </c>
      <c r="J35" s="31">
        <v>20000</v>
      </c>
      <c r="K35" s="31">
        <v>0</v>
      </c>
      <c r="L35" s="31"/>
      <c r="M35" s="31"/>
      <c r="N35" s="31"/>
      <c r="O35" s="31">
        <v>6000</v>
      </c>
      <c r="P35" s="31"/>
      <c r="Q35" s="31"/>
      <c r="R35" s="31">
        <v>0</v>
      </c>
      <c r="S35" s="31">
        <f t="shared" si="3"/>
        <v>757200</v>
      </c>
      <c r="T35" s="31">
        <f t="shared" si="2"/>
        <v>757200</v>
      </c>
      <c r="U35" s="39"/>
    </row>
    <row r="36" spans="1:21" s="27" customFormat="1">
      <c r="A36" s="35" t="s">
        <v>66</v>
      </c>
      <c r="B36" s="31">
        <v>121000</v>
      </c>
      <c r="C36" s="31">
        <v>105000</v>
      </c>
      <c r="D36" s="31">
        <v>106000</v>
      </c>
      <c r="E36" s="31">
        <v>30000</v>
      </c>
      <c r="F36" s="31">
        <v>161500</v>
      </c>
      <c r="G36" s="31"/>
      <c r="H36" s="31">
        <v>105000</v>
      </c>
      <c r="I36" s="31">
        <v>55000</v>
      </c>
      <c r="J36" s="31">
        <v>28000</v>
      </c>
      <c r="K36" s="31"/>
      <c r="L36" s="31"/>
      <c r="M36" s="31"/>
      <c r="N36" s="31"/>
      <c r="O36" s="31">
        <v>8000</v>
      </c>
      <c r="P36" s="31"/>
      <c r="Q36" s="31"/>
      <c r="R36" s="31">
        <v>-3244000</v>
      </c>
      <c r="S36" s="31">
        <f>SUM(B36:R36)</f>
        <v>-2524500</v>
      </c>
      <c r="T36" s="31">
        <v>711500</v>
      </c>
      <c r="U36" s="39" t="s">
        <v>71</v>
      </c>
    </row>
    <row r="37" spans="1:21">
      <c r="A37" s="40" t="s">
        <v>23</v>
      </c>
      <c r="B37" s="41">
        <f>SUM(B6:B36)</f>
        <v>7294000</v>
      </c>
      <c r="C37" s="41">
        <f t="shared" ref="C37:T37" si="4">SUM(C6:C36)</f>
        <v>4348000</v>
      </c>
      <c r="D37" s="41">
        <f t="shared" si="4"/>
        <v>3392000</v>
      </c>
      <c r="E37" s="41">
        <f t="shared" si="4"/>
        <v>659500</v>
      </c>
      <c r="F37" s="41">
        <f t="shared" si="4"/>
        <v>3860200</v>
      </c>
      <c r="G37" s="41">
        <f t="shared" si="4"/>
        <v>0</v>
      </c>
      <c r="H37" s="41">
        <f t="shared" si="4"/>
        <v>2409500</v>
      </c>
      <c r="I37" s="41">
        <f t="shared" si="4"/>
        <v>1480000</v>
      </c>
      <c r="J37" s="41">
        <f t="shared" si="4"/>
        <v>562500</v>
      </c>
      <c r="K37" s="41">
        <f t="shared" si="4"/>
        <v>0</v>
      </c>
      <c r="L37" s="41">
        <f t="shared" si="4"/>
        <v>0</v>
      </c>
      <c r="M37" s="41">
        <f t="shared" si="4"/>
        <v>0</v>
      </c>
      <c r="N37" s="41">
        <f t="shared" si="4"/>
        <v>0</v>
      </c>
      <c r="O37" s="41">
        <f t="shared" si="4"/>
        <v>294000</v>
      </c>
      <c r="P37" s="41">
        <f t="shared" si="4"/>
        <v>0</v>
      </c>
      <c r="Q37" s="41">
        <f t="shared" si="4"/>
        <v>0</v>
      </c>
      <c r="R37" s="41">
        <f t="shared" si="4"/>
        <v>40000</v>
      </c>
      <c r="S37" s="41">
        <f t="shared" si="4"/>
        <v>21055700</v>
      </c>
      <c r="T37" s="41">
        <f t="shared" si="4"/>
        <v>27575700</v>
      </c>
      <c r="U37" s="34"/>
    </row>
    <row r="38" spans="1:21">
      <c r="A38" s="34"/>
      <c r="B38" s="34"/>
      <c r="C38" s="34"/>
      <c r="D38" s="34"/>
      <c r="E38" s="34"/>
      <c r="F38" s="34"/>
      <c r="G38" s="34"/>
      <c r="H38" s="34"/>
      <c r="I38" s="34"/>
      <c r="J38" s="34"/>
      <c r="K38" s="34"/>
      <c r="L38" s="34"/>
      <c r="M38" s="34"/>
      <c r="N38" s="34"/>
      <c r="O38" s="34"/>
      <c r="P38" s="34"/>
      <c r="Q38" s="34"/>
      <c r="R38" s="34"/>
      <c r="S38" s="34"/>
      <c r="T38" s="34"/>
      <c r="U38" s="34"/>
    </row>
  </sheetData>
  <mergeCells count="4">
    <mergeCell ref="B1:T1"/>
    <mergeCell ref="B2:T2"/>
    <mergeCell ref="C3:F3"/>
    <mergeCell ref="C4:F4"/>
  </mergeCells>
  <phoneticPr fontId="21" type="noConversion"/>
  <pageMargins left="0.7" right="0.7" top="0.75" bottom="0.75" header="0.3" footer="0.3"/>
  <pageSetup orientation="landscape" horizontalDpi="180" verticalDpi="18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2:H37"/>
  <sheetViews>
    <sheetView workbookViewId="0">
      <pane xSplit="2" ySplit="9" topLeftCell="C10" activePane="bottomRight" state="frozen"/>
      <selection pane="topRight"/>
      <selection pane="bottomLeft"/>
      <selection pane="bottomRight" activeCell="G11" sqref="G11"/>
    </sheetView>
  </sheetViews>
  <sheetFormatPr defaultColWidth="9" defaultRowHeight="15"/>
  <cols>
    <col min="1" max="1" width="9.140625" customWidth="1"/>
    <col min="2" max="2" width="16.140625" customWidth="1"/>
    <col min="3" max="4" width="12.85546875" customWidth="1"/>
    <col min="5" max="5" width="13.7109375" customWidth="1"/>
    <col min="6" max="6" width="12.5703125" customWidth="1"/>
    <col min="7" max="7" width="12.28515625" customWidth="1"/>
    <col min="8" max="8" width="18.7109375" customWidth="1"/>
    <col min="10" max="10" width="10.85546875" customWidth="1"/>
    <col min="11" max="11" width="8.85546875" customWidth="1"/>
    <col min="12" max="13" width="10.85546875" customWidth="1"/>
    <col min="14" max="14" width="11.5703125" customWidth="1"/>
    <col min="15" max="15" width="13.140625" customWidth="1"/>
    <col min="16" max="16" width="11.5703125" customWidth="1"/>
  </cols>
  <sheetData>
    <row r="2" spans="1:8" ht="26.25" customHeight="1">
      <c r="B2" s="82" t="s">
        <v>68</v>
      </c>
      <c r="C2" s="83"/>
      <c r="D2" s="83"/>
      <c r="E2" s="83"/>
      <c r="F2" s="83"/>
      <c r="G2" s="84"/>
      <c r="H2" s="85"/>
    </row>
    <row r="3" spans="1:8" ht="26.25">
      <c r="B3" s="86" t="s">
        <v>0</v>
      </c>
      <c r="C3" s="87"/>
      <c r="D3" s="87"/>
      <c r="E3" s="87"/>
      <c r="F3" s="87"/>
      <c r="G3" s="88"/>
      <c r="H3" s="89"/>
    </row>
    <row r="4" spans="1:8">
      <c r="B4" s="1"/>
      <c r="C4" s="2"/>
      <c r="D4" s="2"/>
      <c r="E4" s="2"/>
      <c r="F4" s="2"/>
      <c r="G4" s="2"/>
      <c r="H4" s="3"/>
    </row>
    <row r="5" spans="1:8">
      <c r="B5" s="4"/>
      <c r="H5" s="5"/>
    </row>
    <row r="6" spans="1:8" ht="15.75">
      <c r="B6" s="6" t="s">
        <v>1</v>
      </c>
      <c r="C6" s="90" t="s">
        <v>69</v>
      </c>
      <c r="D6" s="71"/>
      <c r="E6" s="72"/>
      <c r="F6" s="7"/>
      <c r="G6" s="7"/>
      <c r="H6" s="8"/>
    </row>
    <row r="7" spans="1:8" ht="15.75">
      <c r="B7" s="9"/>
      <c r="C7" s="10"/>
      <c r="D7" s="10"/>
      <c r="E7" s="10"/>
      <c r="F7" s="10"/>
      <c r="G7" s="10"/>
      <c r="H7" s="8"/>
    </row>
    <row r="8" spans="1:8" ht="15.75">
      <c r="B8" s="6" t="s">
        <v>24</v>
      </c>
      <c r="C8" s="70" t="s">
        <v>70</v>
      </c>
      <c r="D8" s="71"/>
      <c r="E8" s="72"/>
      <c r="F8" s="11"/>
      <c r="G8" s="11"/>
      <c r="H8" s="12"/>
    </row>
    <row r="9" spans="1:8" ht="15.75">
      <c r="B9" s="13" t="s">
        <v>25</v>
      </c>
      <c r="C9" s="14" t="s">
        <v>26</v>
      </c>
      <c r="D9" s="14" t="s">
        <v>27</v>
      </c>
      <c r="E9" s="14" t="s">
        <v>28</v>
      </c>
      <c r="F9" s="14" t="s">
        <v>29</v>
      </c>
      <c r="G9" s="15" t="s">
        <v>30</v>
      </c>
      <c r="H9" s="16" t="s">
        <v>31</v>
      </c>
    </row>
    <row r="10" spans="1:8" ht="15.75">
      <c r="A10">
        <v>1</v>
      </c>
      <c r="B10" s="17" t="s">
        <v>4</v>
      </c>
      <c r="C10" s="18">
        <v>1711500</v>
      </c>
      <c r="D10" s="18">
        <v>1355000</v>
      </c>
      <c r="E10" s="18">
        <v>1506000</v>
      </c>
      <c r="F10" s="18">
        <v>1848500</v>
      </c>
      <c r="G10" s="19">
        <v>803000</v>
      </c>
      <c r="H10" s="20">
        <f>SUM(C10:G10)</f>
        <v>7224000</v>
      </c>
    </row>
    <row r="11" spans="1:8" ht="15.75">
      <c r="A11">
        <v>2</v>
      </c>
      <c r="B11" s="17" t="s">
        <v>5</v>
      </c>
      <c r="C11" s="18">
        <v>910000</v>
      </c>
      <c r="D11" s="18">
        <v>843000</v>
      </c>
      <c r="E11" s="18">
        <v>1150000</v>
      </c>
      <c r="F11" s="18">
        <v>934000</v>
      </c>
      <c r="G11" s="19">
        <v>690000</v>
      </c>
      <c r="H11" s="20">
        <f>SUM(C11:G11)</f>
        <v>4527000</v>
      </c>
    </row>
    <row r="12" spans="1:8" ht="15.75">
      <c r="A12">
        <v>3</v>
      </c>
      <c r="B12" s="17" t="s">
        <v>32</v>
      </c>
      <c r="C12" s="18">
        <v>688500</v>
      </c>
      <c r="D12" s="18">
        <v>824000</v>
      </c>
      <c r="E12" s="18">
        <v>746500</v>
      </c>
      <c r="F12" s="18">
        <v>768000</v>
      </c>
      <c r="G12" s="19">
        <v>367000</v>
      </c>
      <c r="H12" s="20">
        <f>SUM(C12:G12)</f>
        <v>3394000</v>
      </c>
    </row>
    <row r="13" spans="1:8" ht="15.75">
      <c r="A13">
        <v>4</v>
      </c>
      <c r="B13" s="17" t="s">
        <v>33</v>
      </c>
      <c r="C13" s="18">
        <v>140000</v>
      </c>
      <c r="D13" s="18">
        <v>159500</v>
      </c>
      <c r="E13" s="18">
        <v>145500</v>
      </c>
      <c r="F13" s="18">
        <v>97500</v>
      </c>
      <c r="G13" s="19">
        <v>66000</v>
      </c>
      <c r="H13" s="20">
        <f>SUM(C13:G13)</f>
        <v>608500</v>
      </c>
    </row>
    <row r="14" spans="1:8" ht="15.75">
      <c r="A14">
        <v>5</v>
      </c>
      <c r="B14" s="17" t="s">
        <v>8</v>
      </c>
      <c r="C14" s="18">
        <v>792500</v>
      </c>
      <c r="D14" s="18">
        <v>767500</v>
      </c>
      <c r="E14" s="18">
        <v>796500</v>
      </c>
      <c r="F14" s="18">
        <v>781700</v>
      </c>
      <c r="G14" s="19">
        <v>552700</v>
      </c>
      <c r="H14" s="20">
        <f>SUM(C14:G14)</f>
        <v>3690900</v>
      </c>
    </row>
    <row r="15" spans="1:8" ht="15.75">
      <c r="A15">
        <v>6</v>
      </c>
      <c r="B15" s="17" t="s">
        <v>9</v>
      </c>
      <c r="C15" s="18"/>
      <c r="D15" s="18"/>
      <c r="E15" s="18"/>
      <c r="F15" s="18"/>
      <c r="G15" s="19"/>
      <c r="H15" s="20">
        <f t="shared" ref="H15:H26" si="0">SUM(C15:F15)</f>
        <v>0</v>
      </c>
    </row>
    <row r="16" spans="1:8" ht="15.75">
      <c r="A16">
        <v>7</v>
      </c>
      <c r="B16" s="17" t="s">
        <v>10</v>
      </c>
      <c r="C16" s="18">
        <v>420000</v>
      </c>
      <c r="D16" s="18">
        <v>409000</v>
      </c>
      <c r="E16" s="18">
        <v>937000</v>
      </c>
      <c r="F16" s="18">
        <v>406000</v>
      </c>
      <c r="G16" s="19">
        <v>333000</v>
      </c>
      <c r="H16" s="20">
        <f>SUM(C16:G16)</f>
        <v>2505000</v>
      </c>
    </row>
    <row r="17" spans="1:8" ht="15.75">
      <c r="A17">
        <v>8</v>
      </c>
      <c r="B17" s="17" t="s">
        <v>11</v>
      </c>
      <c r="C17" s="18">
        <v>294500</v>
      </c>
      <c r="D17" s="18">
        <v>284500</v>
      </c>
      <c r="E17" s="18">
        <v>321000</v>
      </c>
      <c r="F17" s="18">
        <v>390000</v>
      </c>
      <c r="G17" s="19">
        <v>190000</v>
      </c>
      <c r="H17" s="20">
        <f>SUM(C17:G17)</f>
        <v>1480000</v>
      </c>
    </row>
    <row r="18" spans="1:8" ht="15.75">
      <c r="A18">
        <v>9</v>
      </c>
      <c r="B18" s="17" t="s">
        <v>12</v>
      </c>
      <c r="C18" s="18">
        <v>140500</v>
      </c>
      <c r="D18" s="18">
        <v>105000</v>
      </c>
      <c r="E18" s="18">
        <v>117000</v>
      </c>
      <c r="F18" s="18">
        <v>155000</v>
      </c>
      <c r="G18" s="19">
        <v>83000</v>
      </c>
      <c r="H18" s="20">
        <f>SUM(C18:G18)</f>
        <v>600500</v>
      </c>
    </row>
    <row r="19" spans="1:8" ht="15.75">
      <c r="A19">
        <v>10</v>
      </c>
      <c r="B19" s="17" t="s">
        <v>13</v>
      </c>
      <c r="C19" s="18"/>
      <c r="D19" s="18"/>
      <c r="E19" s="18"/>
      <c r="F19" s="18"/>
      <c r="G19" s="19"/>
      <c r="H19" s="20">
        <f t="shared" si="0"/>
        <v>0</v>
      </c>
    </row>
    <row r="20" spans="1:8" ht="15.75">
      <c r="A20">
        <v>11</v>
      </c>
      <c r="B20" s="17" t="s">
        <v>14</v>
      </c>
      <c r="C20" s="18"/>
      <c r="D20" s="18"/>
      <c r="E20" s="18"/>
      <c r="F20" s="18"/>
      <c r="G20" s="19"/>
      <c r="H20" s="20">
        <f t="shared" si="0"/>
        <v>0</v>
      </c>
    </row>
    <row r="21" spans="1:8" ht="15.75">
      <c r="A21">
        <v>12</v>
      </c>
      <c r="B21" s="17" t="s">
        <v>15</v>
      </c>
      <c r="C21" s="18"/>
      <c r="D21" s="18"/>
      <c r="E21" s="18"/>
      <c r="F21" s="18"/>
      <c r="G21" s="19"/>
      <c r="H21" s="20">
        <f t="shared" si="0"/>
        <v>0</v>
      </c>
    </row>
    <row r="22" spans="1:8" ht="15.75">
      <c r="A22">
        <v>13</v>
      </c>
      <c r="B22" s="17" t="s">
        <v>16</v>
      </c>
      <c r="C22" s="18"/>
      <c r="D22" s="18"/>
      <c r="E22" s="18"/>
      <c r="F22" s="18"/>
      <c r="G22" s="19"/>
      <c r="H22" s="20">
        <f t="shared" si="0"/>
        <v>0</v>
      </c>
    </row>
    <row r="23" spans="1:8" ht="15.75">
      <c r="A23">
        <v>14</v>
      </c>
      <c r="B23" s="17" t="s">
        <v>17</v>
      </c>
      <c r="C23" s="18">
        <v>33000</v>
      </c>
      <c r="D23" s="18">
        <v>106000</v>
      </c>
      <c r="E23" s="18">
        <v>69000</v>
      </c>
      <c r="F23" s="18">
        <v>72000</v>
      </c>
      <c r="G23" s="19">
        <v>14000</v>
      </c>
      <c r="H23" s="20">
        <f>SUM(C23:G23)</f>
        <v>294000</v>
      </c>
    </row>
    <row r="24" spans="1:8" ht="15.75">
      <c r="A24">
        <v>15</v>
      </c>
      <c r="B24" s="17" t="s">
        <v>18</v>
      </c>
      <c r="C24" s="18"/>
      <c r="D24" s="18"/>
      <c r="E24" s="18"/>
      <c r="F24" s="18"/>
      <c r="G24" s="19"/>
      <c r="H24" s="20">
        <f t="shared" si="0"/>
        <v>0</v>
      </c>
    </row>
    <row r="25" spans="1:8" ht="15.75">
      <c r="A25">
        <v>16</v>
      </c>
      <c r="B25" s="17" t="s">
        <v>19</v>
      </c>
      <c r="C25" s="18"/>
      <c r="D25" s="18"/>
      <c r="E25" s="18"/>
      <c r="F25" s="18"/>
      <c r="G25" s="19"/>
      <c r="H25" s="20">
        <f t="shared" si="0"/>
        <v>0</v>
      </c>
    </row>
    <row r="26" spans="1:8" ht="15.75">
      <c r="A26">
        <v>17</v>
      </c>
      <c r="B26" s="17" t="s">
        <v>34</v>
      </c>
      <c r="C26" s="18"/>
      <c r="D26" s="18"/>
      <c r="E26" s="18"/>
      <c r="F26" s="18"/>
      <c r="G26" s="19"/>
      <c r="H26" s="20">
        <f t="shared" si="0"/>
        <v>0</v>
      </c>
    </row>
    <row r="27" spans="1:8" ht="15.75">
      <c r="B27" s="21" t="s">
        <v>35</v>
      </c>
      <c r="C27" s="22">
        <f t="shared" ref="C27:H27" si="1">SUM(C10:C26)</f>
        <v>5130500</v>
      </c>
      <c r="D27" s="22">
        <f t="shared" si="1"/>
        <v>4853500</v>
      </c>
      <c r="E27" s="22">
        <f t="shared" si="1"/>
        <v>5788500</v>
      </c>
      <c r="F27" s="22">
        <f t="shared" si="1"/>
        <v>5452700</v>
      </c>
      <c r="G27" s="22">
        <f t="shared" si="1"/>
        <v>3098700</v>
      </c>
      <c r="H27" s="23">
        <f t="shared" si="1"/>
        <v>24323900</v>
      </c>
    </row>
    <row r="30" spans="1:8" ht="30" customHeight="1">
      <c r="B30" s="73" t="s">
        <v>36</v>
      </c>
      <c r="C30" s="74"/>
      <c r="D30" s="74"/>
      <c r="E30" s="74"/>
      <c r="F30" s="74"/>
      <c r="G30" s="74"/>
      <c r="H30" s="75"/>
    </row>
    <row r="31" spans="1:8" ht="15.75" customHeight="1">
      <c r="A31">
        <v>1</v>
      </c>
      <c r="B31" s="67"/>
      <c r="C31" s="68"/>
      <c r="D31" s="68"/>
      <c r="E31" s="68"/>
      <c r="F31" s="68"/>
      <c r="G31" s="68"/>
      <c r="H31" s="69"/>
    </row>
    <row r="32" spans="1:8">
      <c r="A32">
        <v>2</v>
      </c>
      <c r="B32" s="24"/>
      <c r="C32" s="25"/>
      <c r="D32" s="25"/>
      <c r="E32" s="25"/>
      <c r="F32" s="25"/>
      <c r="G32" s="25"/>
      <c r="H32" s="26"/>
    </row>
    <row r="33" spans="1:8">
      <c r="A33">
        <v>3</v>
      </c>
      <c r="B33" s="67"/>
      <c r="C33" s="68"/>
      <c r="D33" s="68"/>
      <c r="E33" s="68"/>
      <c r="F33" s="68"/>
      <c r="G33" s="68"/>
      <c r="H33" s="69"/>
    </row>
    <row r="34" spans="1:8">
      <c r="A34">
        <v>4</v>
      </c>
      <c r="B34" s="67"/>
      <c r="C34" s="68"/>
      <c r="D34" s="68"/>
      <c r="E34" s="68"/>
      <c r="F34" s="68"/>
      <c r="G34" s="68"/>
      <c r="H34" s="69"/>
    </row>
    <row r="35" spans="1:8">
      <c r="A35">
        <v>5</v>
      </c>
      <c r="B35" s="67"/>
      <c r="C35" s="68"/>
      <c r="D35" s="68"/>
      <c r="E35" s="68"/>
      <c r="F35" s="68"/>
      <c r="G35" s="68"/>
      <c r="H35" s="69"/>
    </row>
    <row r="36" spans="1:8">
      <c r="A36">
        <v>6</v>
      </c>
      <c r="B36" s="67"/>
      <c r="C36" s="68"/>
      <c r="D36" s="68"/>
      <c r="E36" s="68"/>
      <c r="F36" s="68"/>
      <c r="G36" s="68"/>
      <c r="H36" s="69"/>
    </row>
    <row r="37" spans="1:8">
      <c r="B37" s="81"/>
      <c r="C37" s="81"/>
      <c r="D37" s="81"/>
      <c r="E37" s="81"/>
      <c r="F37" s="81"/>
      <c r="G37" s="81"/>
      <c r="H37" s="81"/>
    </row>
  </sheetData>
  <mergeCells count="11">
    <mergeCell ref="B2:H2"/>
    <mergeCell ref="B3:H3"/>
    <mergeCell ref="C6:E6"/>
    <mergeCell ref="C8:E8"/>
    <mergeCell ref="B30:H30"/>
    <mergeCell ref="B37:H37"/>
    <mergeCell ref="B31:H31"/>
    <mergeCell ref="B33:H33"/>
    <mergeCell ref="B34:H34"/>
    <mergeCell ref="B35:H35"/>
    <mergeCell ref="B36:H36"/>
  </mergeCells>
  <pageMargins left="0.7" right="0.7"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38"/>
  <sheetViews>
    <sheetView workbookViewId="0">
      <selection sqref="A1:AB38"/>
    </sheetView>
  </sheetViews>
  <sheetFormatPr defaultRowHeight="15"/>
  <cols>
    <col min="1" max="1" width="21.28515625" customWidth="1"/>
    <col min="2" max="2" width="11.7109375" customWidth="1"/>
    <col min="3" max="3" width="10.7109375" customWidth="1"/>
    <col min="4" max="4" width="10.5703125" customWidth="1"/>
    <col min="5" max="5" width="10.28515625" customWidth="1"/>
    <col min="6" max="6" width="11.28515625" customWidth="1"/>
    <col min="7" max="7" width="8.7109375" bestFit="1" customWidth="1"/>
    <col min="8" max="8" width="10.5703125" customWidth="1"/>
    <col min="9" max="9" width="11.7109375" customWidth="1"/>
    <col min="10" max="10" width="9.5703125" customWidth="1"/>
    <col min="11" max="11" width="10.42578125" customWidth="1"/>
    <col min="12" max="12" width="14" customWidth="1"/>
    <col min="13" max="13" width="12.7109375" customWidth="1"/>
    <col min="14" max="14" width="9"/>
    <col min="15" max="15" width="13.5703125" customWidth="1"/>
    <col min="16" max="16" width="9.7109375" customWidth="1"/>
    <col min="17" max="17" width="10.42578125" customWidth="1"/>
    <col min="18" max="18" width="16.85546875" customWidth="1"/>
    <col min="19" max="19" width="17.5703125" customWidth="1"/>
    <col min="20" max="20" width="19.42578125" customWidth="1"/>
  </cols>
  <sheetData>
    <row r="1" spans="1:21" ht="26.25">
      <c r="A1" s="28"/>
      <c r="B1" s="55" t="s">
        <v>68</v>
      </c>
      <c r="C1" s="56"/>
      <c r="D1" s="56"/>
      <c r="E1" s="56"/>
      <c r="F1" s="56"/>
      <c r="G1" s="56"/>
      <c r="H1" s="56"/>
      <c r="I1" s="56"/>
      <c r="J1" s="56"/>
      <c r="K1" s="56"/>
      <c r="L1" s="56"/>
      <c r="M1" s="56"/>
      <c r="N1" s="56"/>
      <c r="O1" s="56"/>
      <c r="P1" s="56"/>
      <c r="Q1" s="56"/>
      <c r="R1" s="56"/>
      <c r="S1" s="56"/>
      <c r="T1" s="57"/>
    </row>
    <row r="2" spans="1:21" ht="27" thickBot="1">
      <c r="A2" s="4"/>
      <c r="B2" s="58" t="s">
        <v>0</v>
      </c>
      <c r="C2" s="59"/>
      <c r="D2" s="59"/>
      <c r="E2" s="59"/>
      <c r="F2" s="59"/>
      <c r="G2" s="59"/>
      <c r="H2" s="59"/>
      <c r="I2" s="59"/>
      <c r="J2" s="59"/>
      <c r="K2" s="59"/>
      <c r="L2" s="59"/>
      <c r="M2" s="59"/>
      <c r="N2" s="59"/>
      <c r="O2" s="59"/>
      <c r="P2" s="59"/>
      <c r="Q2" s="59"/>
      <c r="R2" s="59"/>
      <c r="S2" s="59"/>
      <c r="T2" s="60"/>
    </row>
    <row r="3" spans="1:21" ht="27" thickBot="1">
      <c r="A3" s="4"/>
      <c r="B3" s="29" t="s">
        <v>1</v>
      </c>
      <c r="C3" s="61" t="s">
        <v>69</v>
      </c>
      <c r="D3" s="62"/>
      <c r="E3" s="62"/>
      <c r="F3" s="63"/>
      <c r="T3" s="5"/>
    </row>
    <row r="4" spans="1:21" ht="21">
      <c r="A4" s="4"/>
      <c r="B4" s="30" t="s">
        <v>2</v>
      </c>
      <c r="C4" s="78">
        <v>45139</v>
      </c>
      <c r="D4" s="79"/>
      <c r="E4" s="79"/>
      <c r="F4" s="80"/>
      <c r="T4" s="5"/>
    </row>
    <row r="5" spans="1:21" ht="45">
      <c r="A5" s="32" t="s">
        <v>3</v>
      </c>
      <c r="B5" s="33" t="s">
        <v>4</v>
      </c>
      <c r="C5" s="33" t="s">
        <v>5</v>
      </c>
      <c r="D5" s="33" t="s">
        <v>6</v>
      </c>
      <c r="E5" s="33" t="s">
        <v>7</v>
      </c>
      <c r="F5" s="33" t="s">
        <v>8</v>
      </c>
      <c r="G5" s="33" t="s">
        <v>9</v>
      </c>
      <c r="H5" s="33" t="s">
        <v>10</v>
      </c>
      <c r="I5" s="33" t="s">
        <v>11</v>
      </c>
      <c r="J5" s="33" t="s">
        <v>12</v>
      </c>
      <c r="K5" s="33" t="s">
        <v>13</v>
      </c>
      <c r="L5" s="33" t="s">
        <v>14</v>
      </c>
      <c r="M5" s="33" t="s">
        <v>15</v>
      </c>
      <c r="N5" s="33" t="s">
        <v>16</v>
      </c>
      <c r="O5" s="33" t="s">
        <v>17</v>
      </c>
      <c r="P5" s="33" t="s">
        <v>18</v>
      </c>
      <c r="Q5" s="33" t="s">
        <v>19</v>
      </c>
      <c r="R5" s="33" t="s">
        <v>20</v>
      </c>
      <c r="S5" s="33" t="s">
        <v>21</v>
      </c>
      <c r="T5" s="33" t="s">
        <v>22</v>
      </c>
      <c r="U5" s="34"/>
    </row>
    <row r="6" spans="1:21">
      <c r="A6" s="35" t="s">
        <v>67</v>
      </c>
      <c r="B6" s="36">
        <v>171000</v>
      </c>
      <c r="C6" s="36">
        <v>26000</v>
      </c>
      <c r="D6" s="36">
        <v>41000</v>
      </c>
      <c r="E6" s="36">
        <v>19000</v>
      </c>
      <c r="F6" s="36">
        <v>94000</v>
      </c>
      <c r="G6" s="36">
        <v>0</v>
      </c>
      <c r="H6" s="36">
        <v>56000</v>
      </c>
      <c r="I6" s="36">
        <v>29000</v>
      </c>
      <c r="J6" s="36">
        <v>3000</v>
      </c>
      <c r="K6" s="36">
        <v>0</v>
      </c>
      <c r="L6" s="36"/>
      <c r="M6" s="36"/>
      <c r="N6" s="36"/>
      <c r="O6" s="36">
        <v>0</v>
      </c>
      <c r="P6" s="36">
        <v>0</v>
      </c>
      <c r="Q6" s="36">
        <v>0</v>
      </c>
      <c r="R6" s="36"/>
      <c r="S6" s="37">
        <f t="shared" ref="S6:S35" si="0">(B6+C6+D6+E6+F6+G6+H6+I6+J6+K6+M6+N6+O6+P6)</f>
        <v>439000</v>
      </c>
      <c r="T6" s="38">
        <f t="shared" ref="T6:T35" si="1">SUM(B6:R6)</f>
        <v>439000</v>
      </c>
      <c r="U6" s="34"/>
    </row>
    <row r="7" spans="1:21">
      <c r="A7" s="35" t="s">
        <v>37</v>
      </c>
      <c r="B7" s="36">
        <v>154000</v>
      </c>
      <c r="C7" s="36">
        <v>87000</v>
      </c>
      <c r="D7" s="36">
        <v>89000</v>
      </c>
      <c r="E7" s="36">
        <v>17000</v>
      </c>
      <c r="F7" s="36">
        <v>84000</v>
      </c>
      <c r="G7" s="36">
        <v>0</v>
      </c>
      <c r="H7" s="36">
        <v>41000</v>
      </c>
      <c r="I7" s="36">
        <v>25000</v>
      </c>
      <c r="J7" s="36">
        <v>7000</v>
      </c>
      <c r="K7" s="36">
        <v>0</v>
      </c>
      <c r="L7" s="36"/>
      <c r="M7" s="36"/>
      <c r="N7" s="36"/>
      <c r="O7" s="36">
        <v>42000</v>
      </c>
      <c r="P7" s="36"/>
      <c r="Q7" s="36"/>
      <c r="R7" s="36"/>
      <c r="S7" s="37">
        <f t="shared" si="0"/>
        <v>546000</v>
      </c>
      <c r="T7" s="38">
        <f t="shared" si="1"/>
        <v>546000</v>
      </c>
      <c r="U7" s="34"/>
    </row>
    <row r="8" spans="1:21">
      <c r="A8" s="35" t="s">
        <v>38</v>
      </c>
      <c r="B8" s="36">
        <v>156000</v>
      </c>
      <c r="C8" s="36">
        <v>74000</v>
      </c>
      <c r="D8" s="36">
        <v>104000</v>
      </c>
      <c r="E8" s="36">
        <v>15000</v>
      </c>
      <c r="F8" s="36">
        <v>118000</v>
      </c>
      <c r="G8" s="36"/>
      <c r="H8" s="36">
        <v>29000</v>
      </c>
      <c r="I8" s="36">
        <v>60000</v>
      </c>
      <c r="J8" s="36">
        <v>4000</v>
      </c>
      <c r="K8" s="36">
        <v>0</v>
      </c>
      <c r="L8" s="36"/>
      <c r="M8" s="36"/>
      <c r="N8" s="36"/>
      <c r="O8" s="36">
        <v>0</v>
      </c>
      <c r="P8" s="36"/>
      <c r="Q8" s="36"/>
      <c r="R8" s="36">
        <v>1000</v>
      </c>
      <c r="S8" s="37">
        <f t="shared" si="0"/>
        <v>560000</v>
      </c>
      <c r="T8" s="38">
        <f t="shared" si="1"/>
        <v>561000</v>
      </c>
      <c r="U8" s="34"/>
    </row>
    <row r="9" spans="1:21">
      <c r="A9" s="35" t="s">
        <v>39</v>
      </c>
      <c r="B9" s="36">
        <v>250000</v>
      </c>
      <c r="C9" s="36">
        <v>149000</v>
      </c>
      <c r="D9" s="36">
        <v>137000</v>
      </c>
      <c r="E9" s="36">
        <v>30000</v>
      </c>
      <c r="F9" s="36">
        <v>138500</v>
      </c>
      <c r="G9" s="36">
        <v>0</v>
      </c>
      <c r="H9" s="36">
        <v>204000</v>
      </c>
      <c r="I9" s="36">
        <v>110000</v>
      </c>
      <c r="J9" s="36">
        <v>7000</v>
      </c>
      <c r="K9" s="36">
        <v>0</v>
      </c>
      <c r="L9" s="36"/>
      <c r="M9" s="36"/>
      <c r="N9" s="36"/>
      <c r="O9" s="36">
        <v>0</v>
      </c>
      <c r="P9" s="36"/>
      <c r="Q9" s="36"/>
      <c r="R9" s="36">
        <v>2063000</v>
      </c>
      <c r="S9" s="37">
        <f t="shared" si="0"/>
        <v>1025500</v>
      </c>
      <c r="T9" s="38">
        <f t="shared" si="1"/>
        <v>3088500</v>
      </c>
      <c r="U9" s="34"/>
    </row>
    <row r="10" spans="1:21">
      <c r="A10" s="35" t="s">
        <v>40</v>
      </c>
      <c r="B10" s="37">
        <v>346000</v>
      </c>
      <c r="C10" s="37">
        <v>391000</v>
      </c>
      <c r="D10" s="37">
        <v>175000</v>
      </c>
      <c r="E10" s="37">
        <v>19000</v>
      </c>
      <c r="F10" s="37">
        <v>190500</v>
      </c>
      <c r="G10" s="37"/>
      <c r="H10" s="37">
        <v>38000</v>
      </c>
      <c r="I10" s="37">
        <v>27000</v>
      </c>
      <c r="J10" s="37">
        <v>15000</v>
      </c>
      <c r="K10" s="37">
        <v>0</v>
      </c>
      <c r="L10" s="37"/>
      <c r="M10" s="37"/>
      <c r="N10" s="37"/>
      <c r="O10" s="37">
        <v>0</v>
      </c>
      <c r="P10" s="37"/>
      <c r="Q10" s="37"/>
      <c r="R10" s="37">
        <v>2810000</v>
      </c>
      <c r="S10" s="37">
        <f t="shared" si="0"/>
        <v>1201500</v>
      </c>
      <c r="T10" s="37">
        <f t="shared" si="1"/>
        <v>4011500</v>
      </c>
      <c r="U10" s="34"/>
    </row>
    <row r="11" spans="1:21">
      <c r="A11" s="35" t="s">
        <v>41</v>
      </c>
      <c r="B11" s="37">
        <v>301000</v>
      </c>
      <c r="C11" s="37">
        <v>36000</v>
      </c>
      <c r="D11" s="37">
        <v>260000</v>
      </c>
      <c r="E11" s="37">
        <v>153000</v>
      </c>
      <c r="F11" s="37">
        <v>38000</v>
      </c>
      <c r="G11" s="37">
        <v>96000</v>
      </c>
      <c r="H11" s="37">
        <v>41000</v>
      </c>
      <c r="I11" s="37">
        <v>12000</v>
      </c>
      <c r="J11" s="37">
        <v>23000</v>
      </c>
      <c r="K11" s="37">
        <v>0</v>
      </c>
      <c r="L11" s="37"/>
      <c r="M11" s="37"/>
      <c r="N11" s="37"/>
      <c r="O11" s="37">
        <v>0</v>
      </c>
      <c r="P11" s="37"/>
      <c r="Q11" s="37"/>
      <c r="R11" s="37">
        <v>397000</v>
      </c>
      <c r="S11" s="37">
        <f t="shared" si="0"/>
        <v>960000</v>
      </c>
      <c r="T11" s="37">
        <f t="shared" si="1"/>
        <v>1357000</v>
      </c>
      <c r="U11" s="34"/>
    </row>
    <row r="12" spans="1:21">
      <c r="A12" s="35" t="s">
        <v>42</v>
      </c>
      <c r="B12" s="37">
        <v>258000</v>
      </c>
      <c r="C12" s="37">
        <v>125000</v>
      </c>
      <c r="D12" s="37">
        <v>92500</v>
      </c>
      <c r="E12" s="37">
        <v>5000</v>
      </c>
      <c r="F12" s="37">
        <v>134500</v>
      </c>
      <c r="G12" s="37"/>
      <c r="H12" s="37">
        <v>18000</v>
      </c>
      <c r="I12" s="37">
        <v>73000</v>
      </c>
      <c r="J12" s="37">
        <v>4500</v>
      </c>
      <c r="K12" s="37">
        <v>0</v>
      </c>
      <c r="L12" s="37"/>
      <c r="M12" s="37"/>
      <c r="N12" s="37"/>
      <c r="O12" s="37">
        <v>12000</v>
      </c>
      <c r="P12" s="37"/>
      <c r="Q12" s="37"/>
      <c r="R12" s="37">
        <v>484000</v>
      </c>
      <c r="S12" s="37">
        <f t="shared" si="0"/>
        <v>722500</v>
      </c>
      <c r="T12" s="37">
        <f t="shared" si="1"/>
        <v>1206500</v>
      </c>
      <c r="U12" s="34"/>
    </row>
    <row r="13" spans="1:21">
      <c r="A13" s="35" t="s">
        <v>43</v>
      </c>
      <c r="B13" s="37">
        <v>170000</v>
      </c>
      <c r="C13" s="37">
        <v>15000</v>
      </c>
      <c r="D13" s="37">
        <v>75000</v>
      </c>
      <c r="E13" s="37">
        <v>5000</v>
      </c>
      <c r="F13" s="37">
        <v>75000</v>
      </c>
      <c r="G13" s="37">
        <v>0</v>
      </c>
      <c r="H13" s="37">
        <v>51000</v>
      </c>
      <c r="I13" s="37">
        <v>35000</v>
      </c>
      <c r="J13" s="37">
        <v>7000</v>
      </c>
      <c r="K13" s="37">
        <v>0</v>
      </c>
      <c r="L13" s="37"/>
      <c r="M13" s="37"/>
      <c r="N13" s="37"/>
      <c r="O13" s="37">
        <v>4000</v>
      </c>
      <c r="P13" s="37"/>
      <c r="Q13" s="37"/>
      <c r="R13" s="37">
        <v>12000</v>
      </c>
      <c r="S13" s="37">
        <f t="shared" si="0"/>
        <v>437000</v>
      </c>
      <c r="T13" s="37">
        <f t="shared" si="1"/>
        <v>449000</v>
      </c>
      <c r="U13" s="34"/>
    </row>
    <row r="14" spans="1:21">
      <c r="A14" s="35" t="s">
        <v>44</v>
      </c>
      <c r="B14" s="37">
        <v>192500</v>
      </c>
      <c r="C14" s="37">
        <v>39000</v>
      </c>
      <c r="D14" s="37">
        <v>69500</v>
      </c>
      <c r="E14" s="37">
        <v>4500</v>
      </c>
      <c r="F14" s="37">
        <v>73500</v>
      </c>
      <c r="G14" s="37">
        <v>12000</v>
      </c>
      <c r="H14" s="37">
        <v>79000</v>
      </c>
      <c r="I14" s="37">
        <v>85000</v>
      </c>
      <c r="J14" s="37">
        <v>9000</v>
      </c>
      <c r="K14" s="37">
        <v>0</v>
      </c>
      <c r="L14" s="37"/>
      <c r="M14" s="37"/>
      <c r="N14" s="37"/>
      <c r="O14" s="37">
        <v>8000</v>
      </c>
      <c r="P14" s="37"/>
      <c r="Q14" s="37"/>
      <c r="R14" s="37">
        <v>0</v>
      </c>
      <c r="S14" s="37">
        <f t="shared" si="0"/>
        <v>572000</v>
      </c>
      <c r="T14" s="37">
        <f t="shared" si="1"/>
        <v>572000</v>
      </c>
      <c r="U14" s="34"/>
    </row>
    <row r="15" spans="1:21">
      <c r="A15" s="35" t="s">
        <v>45</v>
      </c>
      <c r="B15" s="37">
        <v>248000</v>
      </c>
      <c r="C15" s="37">
        <v>62000</v>
      </c>
      <c r="D15" s="37">
        <v>93000</v>
      </c>
      <c r="E15" s="37">
        <v>30000</v>
      </c>
      <c r="F15" s="37">
        <v>130000</v>
      </c>
      <c r="G15" s="37"/>
      <c r="H15" s="37">
        <v>73000</v>
      </c>
      <c r="I15" s="37">
        <v>90000</v>
      </c>
      <c r="J15" s="37">
        <v>14000</v>
      </c>
      <c r="K15" s="37">
        <v>0</v>
      </c>
      <c r="L15" s="37"/>
      <c r="M15" s="37"/>
      <c r="N15" s="37"/>
      <c r="O15" s="37">
        <v>13000</v>
      </c>
      <c r="P15" s="37"/>
      <c r="Q15" s="37"/>
      <c r="R15" s="37">
        <v>0</v>
      </c>
      <c r="S15" s="37">
        <f t="shared" si="0"/>
        <v>753000</v>
      </c>
      <c r="T15" s="37">
        <f t="shared" si="1"/>
        <v>753000</v>
      </c>
      <c r="U15" s="34"/>
    </row>
    <row r="16" spans="1:21">
      <c r="A16" s="35" t="s">
        <v>46</v>
      </c>
      <c r="B16" s="37">
        <v>262000</v>
      </c>
      <c r="C16" s="37">
        <v>260000</v>
      </c>
      <c r="D16" s="37">
        <v>85000</v>
      </c>
      <c r="E16" s="37">
        <v>30000</v>
      </c>
      <c r="F16" s="37">
        <v>141000</v>
      </c>
      <c r="G16" s="37"/>
      <c r="H16" s="37">
        <v>70000</v>
      </c>
      <c r="I16" s="37">
        <v>95000</v>
      </c>
      <c r="J16" s="37">
        <v>20000</v>
      </c>
      <c r="K16" s="37">
        <v>0</v>
      </c>
      <c r="L16" s="37"/>
      <c r="M16" s="37"/>
      <c r="N16" s="37"/>
      <c r="O16" s="37">
        <v>10000</v>
      </c>
      <c r="P16" s="37"/>
      <c r="Q16" s="37"/>
      <c r="R16" s="37">
        <v>770000</v>
      </c>
      <c r="S16" s="37">
        <f t="shared" si="0"/>
        <v>973000</v>
      </c>
      <c r="T16" s="37">
        <f t="shared" si="1"/>
        <v>1743000</v>
      </c>
      <c r="U16" s="34"/>
    </row>
    <row r="17" spans="1:28">
      <c r="A17" s="35" t="s">
        <v>47</v>
      </c>
      <c r="B17" s="37">
        <v>316000</v>
      </c>
      <c r="C17" s="37">
        <v>217000</v>
      </c>
      <c r="D17" s="37">
        <v>106000</v>
      </c>
      <c r="E17" s="37">
        <v>32000</v>
      </c>
      <c r="F17" s="37">
        <v>121000</v>
      </c>
      <c r="G17" s="37"/>
      <c r="H17" s="37">
        <v>147000</v>
      </c>
      <c r="I17" s="37">
        <v>97000</v>
      </c>
      <c r="J17" s="37">
        <v>28000</v>
      </c>
      <c r="K17" s="37">
        <v>0</v>
      </c>
      <c r="L17" s="37"/>
      <c r="M17" s="37"/>
      <c r="N17" s="37"/>
      <c r="O17" s="37">
        <v>30000</v>
      </c>
      <c r="P17" s="37"/>
      <c r="Q17" s="37"/>
      <c r="R17" s="37">
        <v>1030000</v>
      </c>
      <c r="S17" s="37">
        <f t="shared" si="0"/>
        <v>1094000</v>
      </c>
      <c r="T17" s="38">
        <f t="shared" si="1"/>
        <v>2124000</v>
      </c>
      <c r="U17" s="34" t="s">
        <v>71</v>
      </c>
    </row>
    <row r="18" spans="1:28">
      <c r="A18" s="35" t="s">
        <v>48</v>
      </c>
      <c r="B18" s="37">
        <v>245000</v>
      </c>
      <c r="C18" s="37">
        <v>195000</v>
      </c>
      <c r="D18" s="37">
        <v>93000</v>
      </c>
      <c r="E18" s="37">
        <v>46000</v>
      </c>
      <c r="F18" s="37">
        <v>167000</v>
      </c>
      <c r="G18" s="37"/>
      <c r="H18" s="37">
        <v>41000</v>
      </c>
      <c r="I18" s="37">
        <v>48000</v>
      </c>
      <c r="J18" s="37">
        <v>6000</v>
      </c>
      <c r="K18" s="37">
        <v>0</v>
      </c>
      <c r="L18" s="37"/>
      <c r="M18" s="37"/>
      <c r="N18" s="37"/>
      <c r="O18" s="37">
        <v>22000</v>
      </c>
      <c r="P18" s="37"/>
      <c r="Q18" s="37"/>
      <c r="R18" s="37">
        <v>1000000</v>
      </c>
      <c r="S18" s="37">
        <f t="shared" si="0"/>
        <v>863000</v>
      </c>
      <c r="T18" s="38">
        <f t="shared" si="1"/>
        <v>1863000</v>
      </c>
      <c r="U18" s="34" t="s">
        <v>71</v>
      </c>
    </row>
    <row r="19" spans="1:28">
      <c r="A19" s="35" t="s">
        <v>49</v>
      </c>
      <c r="B19" s="37">
        <v>259000</v>
      </c>
      <c r="C19" s="37">
        <v>106000</v>
      </c>
      <c r="D19" s="37">
        <v>113500</v>
      </c>
      <c r="E19" s="37">
        <v>30000</v>
      </c>
      <c r="F19" s="37">
        <v>101900</v>
      </c>
      <c r="G19" s="37">
        <v>6000</v>
      </c>
      <c r="H19" s="37">
        <v>48000</v>
      </c>
      <c r="I19" s="37">
        <v>64000</v>
      </c>
      <c r="J19" s="37">
        <v>5000</v>
      </c>
      <c r="K19" s="37">
        <v>0</v>
      </c>
      <c r="L19" s="37"/>
      <c r="M19" s="37"/>
      <c r="N19" s="37"/>
      <c r="O19" s="37">
        <v>14000</v>
      </c>
      <c r="P19" s="37"/>
      <c r="Q19" s="37"/>
      <c r="R19" s="37">
        <v>920000</v>
      </c>
      <c r="S19" s="37">
        <f t="shared" si="0"/>
        <v>747400</v>
      </c>
      <c r="T19" s="38">
        <f t="shared" si="1"/>
        <v>1667400</v>
      </c>
      <c r="U19" s="34"/>
    </row>
    <row r="20" spans="1:28">
      <c r="A20" s="35" t="s">
        <v>50</v>
      </c>
      <c r="B20" s="37">
        <v>169500</v>
      </c>
      <c r="C20" s="37">
        <v>110000</v>
      </c>
      <c r="D20" s="37">
        <v>103500</v>
      </c>
      <c r="E20" s="37">
        <v>28000</v>
      </c>
      <c r="F20" s="37">
        <v>128500</v>
      </c>
      <c r="G20" s="37"/>
      <c r="H20" s="37">
        <v>29000</v>
      </c>
      <c r="I20" s="37">
        <v>28500</v>
      </c>
      <c r="J20" s="37">
        <v>5000</v>
      </c>
      <c r="K20" s="37">
        <v>0</v>
      </c>
      <c r="L20" s="37"/>
      <c r="M20" s="37"/>
      <c r="N20" s="37"/>
      <c r="O20" s="37">
        <v>4000</v>
      </c>
      <c r="P20" s="37"/>
      <c r="Q20" s="37"/>
      <c r="R20" s="37">
        <v>0</v>
      </c>
      <c r="S20" s="37">
        <f t="shared" si="0"/>
        <v>606000</v>
      </c>
      <c r="T20" s="38">
        <f t="shared" si="1"/>
        <v>606000</v>
      </c>
      <c r="U20" s="34"/>
    </row>
    <row r="21" spans="1:28">
      <c r="A21" s="35" t="s">
        <v>73</v>
      </c>
      <c r="B21" s="37">
        <v>174000</v>
      </c>
      <c r="C21" s="37">
        <v>84000</v>
      </c>
      <c r="D21" s="37">
        <v>139500</v>
      </c>
      <c r="E21" s="37">
        <v>36000</v>
      </c>
      <c r="F21" s="37">
        <v>76500</v>
      </c>
      <c r="G21" s="37"/>
      <c r="H21" s="37">
        <v>42000</v>
      </c>
      <c r="I21" s="37">
        <v>51000</v>
      </c>
      <c r="J21" s="37">
        <v>5000</v>
      </c>
      <c r="K21" s="37">
        <v>0</v>
      </c>
      <c r="L21" s="37"/>
      <c r="M21" s="37"/>
      <c r="N21" s="37"/>
      <c r="O21" s="37">
        <v>4000</v>
      </c>
      <c r="P21" s="37"/>
      <c r="Q21" s="37"/>
      <c r="R21" s="37">
        <v>3764000</v>
      </c>
      <c r="S21" s="37">
        <f t="shared" si="0"/>
        <v>612000</v>
      </c>
      <c r="T21" s="38">
        <f t="shared" si="1"/>
        <v>4376000</v>
      </c>
      <c r="U21" s="34"/>
    </row>
    <row r="22" spans="1:28">
      <c r="A22" s="35" t="s">
        <v>52</v>
      </c>
      <c r="B22" s="37">
        <v>200000</v>
      </c>
      <c r="C22" s="37">
        <v>120000</v>
      </c>
      <c r="D22" s="37">
        <v>78000</v>
      </c>
      <c r="E22" s="37">
        <v>12000</v>
      </c>
      <c r="F22" s="37">
        <v>153000</v>
      </c>
      <c r="G22" s="37"/>
      <c r="H22" s="37">
        <v>62000</v>
      </c>
      <c r="I22" s="37">
        <v>50000</v>
      </c>
      <c r="J22" s="37">
        <v>2000</v>
      </c>
      <c r="K22" s="37">
        <v>0</v>
      </c>
      <c r="L22" s="37"/>
      <c r="M22" s="37"/>
      <c r="N22" s="37"/>
      <c r="O22" s="37">
        <v>0</v>
      </c>
      <c r="P22" s="37"/>
      <c r="Q22" s="37"/>
      <c r="R22" s="37">
        <v>1709000</v>
      </c>
      <c r="S22" s="37">
        <f t="shared" si="0"/>
        <v>677000</v>
      </c>
      <c r="T22" s="38">
        <f t="shared" si="1"/>
        <v>2386000</v>
      </c>
      <c r="U22" s="34" t="s">
        <v>71</v>
      </c>
    </row>
    <row r="23" spans="1:28">
      <c r="A23" s="35" t="s">
        <v>53</v>
      </c>
      <c r="B23" s="37">
        <v>286500</v>
      </c>
      <c r="C23" s="37">
        <v>87000</v>
      </c>
      <c r="D23" s="37">
        <v>100000</v>
      </c>
      <c r="E23" s="37">
        <v>4500</v>
      </c>
      <c r="F23" s="37">
        <v>148000</v>
      </c>
      <c r="G23" s="37"/>
      <c r="H23" s="37">
        <v>96000</v>
      </c>
      <c r="I23" s="37">
        <v>43000</v>
      </c>
      <c r="J23" s="37">
        <v>46000</v>
      </c>
      <c r="K23" s="37">
        <v>0</v>
      </c>
      <c r="L23" s="37"/>
      <c r="M23" s="37"/>
      <c r="N23" s="37"/>
      <c r="O23" s="37">
        <v>16000</v>
      </c>
      <c r="P23" s="37"/>
      <c r="Q23" s="37"/>
      <c r="R23" s="37">
        <v>-11000</v>
      </c>
      <c r="S23" s="37">
        <f t="shared" si="0"/>
        <v>827000</v>
      </c>
      <c r="T23" s="38">
        <f t="shared" si="1"/>
        <v>816000</v>
      </c>
      <c r="U23" s="34"/>
    </row>
    <row r="24" spans="1:28">
      <c r="A24" s="35" t="s">
        <v>54</v>
      </c>
      <c r="B24" s="37">
        <v>294500</v>
      </c>
      <c r="C24" s="37">
        <v>175000</v>
      </c>
      <c r="D24" s="37">
        <v>160000</v>
      </c>
      <c r="E24" s="37">
        <v>19500</v>
      </c>
      <c r="F24" s="37">
        <v>147500</v>
      </c>
      <c r="G24" s="37"/>
      <c r="H24" s="37">
        <v>30000</v>
      </c>
      <c r="I24" s="37">
        <v>33000</v>
      </c>
      <c r="J24" s="37">
        <v>40300</v>
      </c>
      <c r="K24" s="37">
        <v>0</v>
      </c>
      <c r="L24" s="37"/>
      <c r="M24" s="37"/>
      <c r="N24" s="37"/>
      <c r="O24" s="37">
        <v>19000</v>
      </c>
      <c r="P24" s="37"/>
      <c r="Q24" s="37"/>
      <c r="R24" s="37">
        <v>140000</v>
      </c>
      <c r="S24" s="37">
        <f t="shared" si="0"/>
        <v>918800</v>
      </c>
      <c r="T24" s="38">
        <f t="shared" si="1"/>
        <v>1058800</v>
      </c>
      <c r="U24" s="34"/>
    </row>
    <row r="25" spans="1:28">
      <c r="A25" s="35" t="s">
        <v>55</v>
      </c>
      <c r="B25" s="37">
        <v>317000</v>
      </c>
      <c r="C25" s="37">
        <v>100000</v>
      </c>
      <c r="D25" s="37">
        <v>134000</v>
      </c>
      <c r="E25" s="37">
        <v>20000</v>
      </c>
      <c r="F25" s="37">
        <v>202500</v>
      </c>
      <c r="G25" s="37"/>
      <c r="H25" s="37">
        <v>71000</v>
      </c>
      <c r="I25" s="37">
        <v>30000</v>
      </c>
      <c r="J25" s="37">
        <v>10000</v>
      </c>
      <c r="K25" s="37">
        <v>0</v>
      </c>
      <c r="L25" s="37"/>
      <c r="M25" s="37"/>
      <c r="N25" s="37"/>
      <c r="O25" s="37">
        <v>6000</v>
      </c>
      <c r="P25" s="37"/>
      <c r="Q25" s="37"/>
      <c r="R25" s="37">
        <v>200000</v>
      </c>
      <c r="S25" s="37">
        <f t="shared" si="0"/>
        <v>890500</v>
      </c>
      <c r="T25" s="38">
        <f t="shared" si="1"/>
        <v>1090500</v>
      </c>
      <c r="U25" s="34"/>
    </row>
    <row r="26" spans="1:28">
      <c r="A26" s="35" t="s">
        <v>56</v>
      </c>
      <c r="B26" s="37">
        <v>246000</v>
      </c>
      <c r="C26" s="37">
        <v>224000</v>
      </c>
      <c r="D26" s="37">
        <v>84000</v>
      </c>
      <c r="E26" s="37">
        <v>16000</v>
      </c>
      <c r="F26" s="37">
        <v>142500</v>
      </c>
      <c r="G26" s="37">
        <v>12000</v>
      </c>
      <c r="H26" s="37">
        <v>194000</v>
      </c>
      <c r="I26" s="37">
        <v>85000</v>
      </c>
      <c r="J26" s="37">
        <v>17000</v>
      </c>
      <c r="K26" s="37">
        <v>0</v>
      </c>
      <c r="L26" s="37"/>
      <c r="M26" s="37"/>
      <c r="N26" s="37"/>
      <c r="O26" s="37">
        <v>0</v>
      </c>
      <c r="P26" s="37"/>
      <c r="Q26" s="37"/>
      <c r="R26" s="37">
        <v>191000</v>
      </c>
      <c r="S26" s="37">
        <f t="shared" si="0"/>
        <v>1020500</v>
      </c>
      <c r="T26" s="38">
        <f t="shared" si="1"/>
        <v>1211500</v>
      </c>
      <c r="U26" s="34"/>
    </row>
    <row r="27" spans="1:28">
      <c r="A27" s="35" t="s">
        <v>57</v>
      </c>
      <c r="B27" s="37">
        <v>211000</v>
      </c>
      <c r="C27" s="37">
        <v>59000</v>
      </c>
      <c r="D27" s="37">
        <v>133000</v>
      </c>
      <c r="E27" s="37">
        <v>7500</v>
      </c>
      <c r="F27" s="37">
        <v>115500</v>
      </c>
      <c r="G27" s="37">
        <v>12000</v>
      </c>
      <c r="H27" s="37">
        <v>109500</v>
      </c>
      <c r="I27" s="37">
        <v>71000</v>
      </c>
      <c r="J27" s="37">
        <v>6000</v>
      </c>
      <c r="K27" s="37">
        <v>0</v>
      </c>
      <c r="L27" s="37"/>
      <c r="M27" s="37"/>
      <c r="N27" s="37"/>
      <c r="O27" s="37">
        <v>0</v>
      </c>
      <c r="P27" s="37"/>
      <c r="Q27" s="37"/>
      <c r="R27" s="37">
        <v>243000</v>
      </c>
      <c r="S27" s="37">
        <f t="shared" si="0"/>
        <v>724500</v>
      </c>
      <c r="T27" s="38">
        <f t="shared" si="1"/>
        <v>967500</v>
      </c>
      <c r="U27" s="34"/>
    </row>
    <row r="28" spans="1:28">
      <c r="A28" s="35" t="s">
        <v>58</v>
      </c>
      <c r="B28" s="37">
        <v>278500</v>
      </c>
      <c r="C28" s="37">
        <v>172000</v>
      </c>
      <c r="D28" s="37">
        <v>95000</v>
      </c>
      <c r="E28" s="37">
        <v>32500</v>
      </c>
      <c r="F28" s="37">
        <v>120000</v>
      </c>
      <c r="G28" s="37">
        <v>12000</v>
      </c>
      <c r="H28" s="37">
        <v>47000</v>
      </c>
      <c r="I28" s="37">
        <v>202000</v>
      </c>
      <c r="J28" s="37">
        <v>22000</v>
      </c>
      <c r="K28" s="37">
        <v>0</v>
      </c>
      <c r="L28" s="37"/>
      <c r="M28" s="37"/>
      <c r="N28" s="37"/>
      <c r="O28" s="37">
        <v>6000</v>
      </c>
      <c r="P28" s="37"/>
      <c r="Q28" s="37"/>
      <c r="R28" s="37">
        <v>1340000</v>
      </c>
      <c r="S28" s="37">
        <f t="shared" si="0"/>
        <v>987000</v>
      </c>
      <c r="T28" s="38">
        <f t="shared" si="1"/>
        <v>2327000</v>
      </c>
      <c r="U28" s="34" t="s">
        <v>71</v>
      </c>
    </row>
    <row r="29" spans="1:28">
      <c r="A29" s="35" t="s">
        <v>59</v>
      </c>
      <c r="B29" s="37">
        <v>318500</v>
      </c>
      <c r="C29" s="37">
        <v>136000</v>
      </c>
      <c r="D29" s="37">
        <v>123000</v>
      </c>
      <c r="E29" s="37">
        <v>57500</v>
      </c>
      <c r="F29" s="37">
        <v>188500</v>
      </c>
      <c r="G29" s="37"/>
      <c r="H29" s="37">
        <v>57000</v>
      </c>
      <c r="I29" s="37">
        <v>65000</v>
      </c>
      <c r="J29" s="37">
        <v>12000</v>
      </c>
      <c r="K29" s="37">
        <v>0</v>
      </c>
      <c r="L29" s="37"/>
      <c r="M29" s="37"/>
      <c r="N29" s="37"/>
      <c r="O29" s="37">
        <v>0</v>
      </c>
      <c r="P29" s="37"/>
      <c r="Q29" s="37"/>
      <c r="R29" s="37">
        <v>0</v>
      </c>
      <c r="S29" s="37">
        <f t="shared" si="0"/>
        <v>957500</v>
      </c>
      <c r="T29" s="38">
        <f t="shared" si="1"/>
        <v>957500</v>
      </c>
      <c r="U29" s="34" t="s">
        <v>74</v>
      </c>
    </row>
    <row r="30" spans="1:28">
      <c r="A30" s="35" t="s">
        <v>60</v>
      </c>
      <c r="B30" s="37">
        <v>392000</v>
      </c>
      <c r="C30" s="37">
        <v>410000</v>
      </c>
      <c r="D30" s="37">
        <v>150000</v>
      </c>
      <c r="E30" s="37">
        <v>41000</v>
      </c>
      <c r="F30" s="37">
        <v>162500</v>
      </c>
      <c r="G30" s="37"/>
      <c r="H30" s="37">
        <v>157000</v>
      </c>
      <c r="I30" s="37">
        <v>110000</v>
      </c>
      <c r="J30" s="37">
        <v>30000</v>
      </c>
      <c r="K30" s="37">
        <v>0</v>
      </c>
      <c r="L30" s="37"/>
      <c r="M30" s="37"/>
      <c r="N30" s="37"/>
      <c r="O30" s="37">
        <v>0</v>
      </c>
      <c r="P30" s="37"/>
      <c r="Q30" s="37"/>
      <c r="R30" s="37">
        <v>0</v>
      </c>
      <c r="S30" s="37">
        <f t="shared" si="0"/>
        <v>1452500</v>
      </c>
      <c r="T30" s="38">
        <f t="shared" si="1"/>
        <v>1452500</v>
      </c>
      <c r="U30" s="34"/>
    </row>
    <row r="31" spans="1:28">
      <c r="A31" s="35" t="s">
        <v>61</v>
      </c>
      <c r="B31" s="31">
        <v>264000</v>
      </c>
      <c r="C31" s="31">
        <v>259000</v>
      </c>
      <c r="D31" s="31">
        <v>201000</v>
      </c>
      <c r="E31" s="31">
        <v>16500</v>
      </c>
      <c r="F31" s="31">
        <v>205200</v>
      </c>
      <c r="G31" s="31"/>
      <c r="H31" s="31">
        <v>139000</v>
      </c>
      <c r="I31" s="31">
        <v>157300</v>
      </c>
      <c r="J31" s="31">
        <v>16500</v>
      </c>
      <c r="K31" s="31">
        <v>0</v>
      </c>
      <c r="L31" s="31"/>
      <c r="M31" s="31"/>
      <c r="N31" s="31"/>
      <c r="O31" s="31">
        <v>0</v>
      </c>
      <c r="P31" s="31"/>
      <c r="Q31" s="31"/>
      <c r="R31" s="31">
        <v>17000</v>
      </c>
      <c r="S31" s="31">
        <f t="shared" si="0"/>
        <v>1258500</v>
      </c>
      <c r="T31" s="31">
        <f t="shared" si="1"/>
        <v>1275500</v>
      </c>
      <c r="U31" s="39"/>
      <c r="V31" s="27"/>
      <c r="W31" s="27"/>
      <c r="X31" s="27"/>
      <c r="Y31" s="27"/>
      <c r="Z31" s="27"/>
      <c r="AA31" s="27"/>
      <c r="AB31" s="27"/>
    </row>
    <row r="32" spans="1:28">
      <c r="A32" s="35" t="s">
        <v>62</v>
      </c>
      <c r="B32" s="31">
        <v>297500</v>
      </c>
      <c r="C32" s="31">
        <v>223000</v>
      </c>
      <c r="D32" s="31">
        <v>168000</v>
      </c>
      <c r="E32" s="31">
        <v>21000</v>
      </c>
      <c r="F32" s="31">
        <v>106700</v>
      </c>
      <c r="G32" s="31"/>
      <c r="H32" s="31">
        <v>68000</v>
      </c>
      <c r="I32" s="31">
        <v>71000</v>
      </c>
      <c r="J32" s="31">
        <v>9000</v>
      </c>
      <c r="K32" s="31">
        <v>0</v>
      </c>
      <c r="L32" s="31"/>
      <c r="M32" s="31"/>
      <c r="N32" s="31"/>
      <c r="O32" s="31">
        <v>0</v>
      </c>
      <c r="P32" s="31"/>
      <c r="Q32" s="31"/>
      <c r="R32" s="31">
        <v>0</v>
      </c>
      <c r="S32" s="31">
        <f t="shared" si="0"/>
        <v>964200</v>
      </c>
      <c r="T32" s="31">
        <f t="shared" si="1"/>
        <v>964200</v>
      </c>
      <c r="U32" s="39"/>
      <c r="V32" s="27"/>
      <c r="W32" s="27"/>
      <c r="X32" s="27"/>
      <c r="Y32" s="27"/>
      <c r="Z32" s="27"/>
      <c r="AA32" s="27"/>
      <c r="AB32" s="27"/>
    </row>
    <row r="33" spans="1:28">
      <c r="A33" s="35" t="s">
        <v>63</v>
      </c>
      <c r="B33" s="31">
        <v>223500</v>
      </c>
      <c r="C33" s="31">
        <v>45000</v>
      </c>
      <c r="D33" s="31">
        <v>128000</v>
      </c>
      <c r="E33" s="31">
        <v>34500</v>
      </c>
      <c r="F33" s="31">
        <v>108000</v>
      </c>
      <c r="G33" s="31"/>
      <c r="H33" s="31">
        <v>34000</v>
      </c>
      <c r="I33" s="31">
        <v>43000</v>
      </c>
      <c r="J33" s="31">
        <v>0</v>
      </c>
      <c r="K33" s="31">
        <v>0</v>
      </c>
      <c r="L33" s="31"/>
      <c r="M33" s="31"/>
      <c r="N33" s="31"/>
      <c r="O33" s="31">
        <v>0</v>
      </c>
      <c r="P33" s="31"/>
      <c r="Q33" s="31"/>
      <c r="R33" s="31">
        <v>26000</v>
      </c>
      <c r="S33" s="31">
        <f t="shared" si="0"/>
        <v>616000</v>
      </c>
      <c r="T33" s="31">
        <f t="shared" si="1"/>
        <v>642000</v>
      </c>
      <c r="U33" s="39"/>
      <c r="V33" s="27"/>
      <c r="W33" s="27"/>
      <c r="X33" s="27"/>
      <c r="Y33" s="27"/>
      <c r="Z33" s="27"/>
      <c r="AA33" s="27"/>
      <c r="AB33" s="27"/>
    </row>
    <row r="34" spans="1:28">
      <c r="A34" s="35" t="s">
        <v>64</v>
      </c>
      <c r="B34" s="31">
        <v>220500</v>
      </c>
      <c r="C34" s="31">
        <v>136000</v>
      </c>
      <c r="D34" s="31">
        <v>124500</v>
      </c>
      <c r="E34" s="31">
        <v>14000</v>
      </c>
      <c r="F34" s="31">
        <v>97000</v>
      </c>
      <c r="G34" s="31"/>
      <c r="H34" s="31">
        <v>42000</v>
      </c>
      <c r="I34" s="31">
        <v>88500</v>
      </c>
      <c r="J34" s="31">
        <v>85500</v>
      </c>
      <c r="K34" s="31">
        <v>0</v>
      </c>
      <c r="L34" s="31"/>
      <c r="M34" s="31"/>
      <c r="N34" s="31"/>
      <c r="O34" s="31">
        <v>0</v>
      </c>
      <c r="P34" s="31"/>
      <c r="Q34" s="31"/>
      <c r="R34" s="31">
        <v>0</v>
      </c>
      <c r="S34" s="31">
        <f t="shared" si="0"/>
        <v>808000</v>
      </c>
      <c r="T34" s="31">
        <f t="shared" si="1"/>
        <v>808000</v>
      </c>
      <c r="U34" s="39"/>
      <c r="V34" s="27"/>
      <c r="W34" s="27"/>
      <c r="X34" s="27"/>
      <c r="Y34" s="27"/>
      <c r="Z34" s="27"/>
      <c r="AA34" s="27"/>
      <c r="AB34" s="27"/>
    </row>
    <row r="35" spans="1:28">
      <c r="A35" s="35" t="s">
        <v>65</v>
      </c>
      <c r="B35" s="31">
        <v>225500</v>
      </c>
      <c r="C35" s="31">
        <v>123000</v>
      </c>
      <c r="D35" s="31">
        <v>153500</v>
      </c>
      <c r="E35" s="31">
        <v>57000</v>
      </c>
      <c r="F35" s="31">
        <v>138500</v>
      </c>
      <c r="G35" s="31">
        <v>12000</v>
      </c>
      <c r="H35" s="31">
        <v>237000</v>
      </c>
      <c r="I35" s="31">
        <v>143500</v>
      </c>
      <c r="J35" s="31">
        <v>15000</v>
      </c>
      <c r="K35" s="31">
        <v>0</v>
      </c>
      <c r="L35" s="31"/>
      <c r="M35" s="31"/>
      <c r="N35" s="31"/>
      <c r="O35" s="31">
        <v>0</v>
      </c>
      <c r="P35" s="31"/>
      <c r="Q35" s="31"/>
      <c r="R35" s="31">
        <v>0</v>
      </c>
      <c r="S35" s="31">
        <f t="shared" si="0"/>
        <v>1105000</v>
      </c>
      <c r="T35" s="31">
        <f t="shared" si="1"/>
        <v>1105000</v>
      </c>
      <c r="U35" s="39"/>
      <c r="V35" s="27"/>
      <c r="W35" s="27"/>
      <c r="X35" s="27"/>
      <c r="Y35" s="27"/>
      <c r="Z35" s="27"/>
      <c r="AA35" s="27"/>
      <c r="AB35" s="27"/>
    </row>
    <row r="36" spans="1:28">
      <c r="A36" s="35" t="s">
        <v>66</v>
      </c>
      <c r="B36" s="31">
        <v>236000</v>
      </c>
      <c r="C36" s="31">
        <v>60000</v>
      </c>
      <c r="D36" s="31">
        <v>141000</v>
      </c>
      <c r="E36" s="31">
        <v>25000</v>
      </c>
      <c r="F36" s="31">
        <v>160500</v>
      </c>
      <c r="G36" s="31">
        <v>12000</v>
      </c>
      <c r="H36" s="31">
        <v>157000</v>
      </c>
      <c r="I36" s="31">
        <v>76500</v>
      </c>
      <c r="J36" s="31">
        <v>13000</v>
      </c>
      <c r="K36" s="31"/>
      <c r="L36" s="31"/>
      <c r="M36" s="31"/>
      <c r="N36" s="31"/>
      <c r="O36" s="31">
        <v>0</v>
      </c>
      <c r="P36" s="31"/>
      <c r="Q36" s="31"/>
      <c r="R36" s="31">
        <v>0</v>
      </c>
      <c r="S36" s="31">
        <f>SUM(B36:R36)</f>
        <v>881000</v>
      </c>
      <c r="T36" s="31">
        <v>711500</v>
      </c>
      <c r="U36" s="39"/>
      <c r="V36" s="27"/>
      <c r="W36" s="27"/>
      <c r="X36" s="27"/>
      <c r="Y36" s="27"/>
      <c r="Z36" s="27"/>
      <c r="AA36" s="27"/>
      <c r="AB36" s="27"/>
    </row>
    <row r="37" spans="1:28">
      <c r="A37" s="40" t="s">
        <v>23</v>
      </c>
      <c r="B37" s="41">
        <f>SUM(B6:B36)</f>
        <v>7683000</v>
      </c>
      <c r="C37" s="41">
        <f t="shared" ref="C37:T37" si="2">SUM(C6:C36)</f>
        <v>4305000</v>
      </c>
      <c r="D37" s="41">
        <f t="shared" si="2"/>
        <v>3749500</v>
      </c>
      <c r="E37" s="41">
        <f t="shared" si="2"/>
        <v>878000</v>
      </c>
      <c r="F37" s="41">
        <f t="shared" si="2"/>
        <v>4007800</v>
      </c>
      <c r="G37" s="41">
        <f t="shared" si="2"/>
        <v>174000</v>
      </c>
      <c r="H37" s="41">
        <f t="shared" si="2"/>
        <v>2507500</v>
      </c>
      <c r="I37" s="41">
        <f t="shared" si="2"/>
        <v>2198300</v>
      </c>
      <c r="J37" s="41">
        <f t="shared" si="2"/>
        <v>486800</v>
      </c>
      <c r="K37" s="41">
        <f t="shared" si="2"/>
        <v>0</v>
      </c>
      <c r="L37" s="41">
        <f t="shared" si="2"/>
        <v>0</v>
      </c>
      <c r="M37" s="41">
        <f t="shared" si="2"/>
        <v>0</v>
      </c>
      <c r="N37" s="41">
        <f t="shared" si="2"/>
        <v>0</v>
      </c>
      <c r="O37" s="41">
        <f t="shared" si="2"/>
        <v>210000</v>
      </c>
      <c r="P37" s="41">
        <f t="shared" si="2"/>
        <v>0</v>
      </c>
      <c r="Q37" s="41">
        <f t="shared" si="2"/>
        <v>0</v>
      </c>
      <c r="R37" s="41">
        <f t="shared" si="2"/>
        <v>17106000</v>
      </c>
      <c r="S37" s="41">
        <f>SUM(S6:S36)</f>
        <v>26199900</v>
      </c>
      <c r="T37" s="41">
        <f t="shared" si="2"/>
        <v>43136400</v>
      </c>
      <c r="U37" s="34"/>
    </row>
    <row r="38" spans="1:28">
      <c r="A38" s="34"/>
      <c r="B38" s="34"/>
      <c r="C38" s="34"/>
      <c r="D38" s="34"/>
      <c r="E38" s="34"/>
      <c r="F38" s="34"/>
      <c r="G38" s="34"/>
      <c r="H38" s="34"/>
      <c r="I38" s="34"/>
      <c r="J38" s="34"/>
      <c r="K38" s="34"/>
      <c r="L38" s="34"/>
      <c r="M38" s="34"/>
      <c r="N38" s="34"/>
      <c r="O38" s="34"/>
      <c r="P38" s="34"/>
      <c r="Q38" s="34"/>
      <c r="R38" s="34"/>
      <c r="S38" s="34"/>
      <c r="T38" s="34"/>
      <c r="U38" s="34"/>
    </row>
  </sheetData>
  <mergeCells count="4">
    <mergeCell ref="B1:T1"/>
    <mergeCell ref="B2:T2"/>
    <mergeCell ref="C3:F3"/>
    <mergeCell ref="C4:F4"/>
  </mergeCells>
  <pageMargins left="0.7" right="0.7" top="0.75" bottom="0.75" header="0.3" footer="0.3"/>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H37"/>
  <sheetViews>
    <sheetView topLeftCell="A7" workbookViewId="0">
      <selection sqref="A1:I38"/>
    </sheetView>
  </sheetViews>
  <sheetFormatPr defaultRowHeight="15"/>
  <cols>
    <col min="2" max="2" width="17.85546875" customWidth="1"/>
    <col min="3" max="3" width="13.28515625" customWidth="1"/>
    <col min="4" max="4" width="12.28515625" customWidth="1"/>
    <col min="5" max="5" width="12.85546875" customWidth="1"/>
    <col min="6" max="6" width="13.42578125" customWidth="1"/>
    <col min="7" max="7" width="11.85546875" customWidth="1"/>
    <col min="8" max="8" width="13.5703125" customWidth="1"/>
  </cols>
  <sheetData>
    <row r="1" spans="2:8" ht="15.75" thickBot="1"/>
    <row r="2" spans="2:8" ht="26.25">
      <c r="B2" s="82" t="s">
        <v>68</v>
      </c>
      <c r="C2" s="83"/>
      <c r="D2" s="83"/>
      <c r="E2" s="83"/>
      <c r="F2" s="83"/>
      <c r="G2" s="84"/>
      <c r="H2" s="85"/>
    </row>
    <row r="3" spans="2:8" ht="26.25">
      <c r="B3" s="86" t="s">
        <v>0</v>
      </c>
      <c r="C3" s="87"/>
      <c r="D3" s="87"/>
      <c r="E3" s="87"/>
      <c r="F3" s="87"/>
      <c r="G3" s="88"/>
      <c r="H3" s="89"/>
    </row>
    <row r="4" spans="2:8" ht="15.75" thickBot="1">
      <c r="B4" s="1"/>
      <c r="C4" s="2"/>
      <c r="D4" s="2"/>
      <c r="E4" s="2"/>
      <c r="F4" s="2"/>
      <c r="G4" s="2"/>
      <c r="H4" s="3"/>
    </row>
    <row r="5" spans="2:8" ht="15.75" thickBot="1">
      <c r="B5" s="4"/>
      <c r="H5" s="5"/>
    </row>
    <row r="6" spans="2:8" ht="16.5" thickBot="1">
      <c r="B6" s="6" t="s">
        <v>1</v>
      </c>
      <c r="C6" s="90" t="s">
        <v>69</v>
      </c>
      <c r="D6" s="71"/>
      <c r="E6" s="72"/>
      <c r="F6" s="7"/>
      <c r="G6" s="7"/>
      <c r="H6" s="8"/>
    </row>
    <row r="7" spans="2:8" ht="16.5" thickBot="1">
      <c r="B7" s="9"/>
      <c r="C7" s="10"/>
      <c r="D7" s="10"/>
      <c r="E7" s="10"/>
      <c r="F7" s="10"/>
      <c r="G7" s="10"/>
      <c r="H7" s="8"/>
    </row>
    <row r="8" spans="2:8" ht="16.5" thickBot="1">
      <c r="B8" s="6" t="s">
        <v>24</v>
      </c>
      <c r="C8" s="70" t="s">
        <v>72</v>
      </c>
      <c r="D8" s="71"/>
      <c r="E8" s="72"/>
      <c r="F8" s="11"/>
      <c r="G8" s="11"/>
      <c r="H8" s="12"/>
    </row>
    <row r="9" spans="2:8" ht="15.75">
      <c r="B9" s="13" t="s">
        <v>25</v>
      </c>
      <c r="C9" s="14" t="s">
        <v>26</v>
      </c>
      <c r="D9" s="14" t="s">
        <v>27</v>
      </c>
      <c r="E9" s="14" t="s">
        <v>28</v>
      </c>
      <c r="F9" s="14" t="s">
        <v>29</v>
      </c>
      <c r="G9" s="15" t="s">
        <v>30</v>
      </c>
      <c r="H9" s="16" t="s">
        <v>31</v>
      </c>
    </row>
    <row r="10" spans="2:8" ht="15.75">
      <c r="B10" s="17" t="s">
        <v>4</v>
      </c>
      <c r="C10" s="18">
        <v>1636000</v>
      </c>
      <c r="D10" s="18"/>
      <c r="E10" s="18"/>
      <c r="F10" s="18"/>
      <c r="G10" s="19"/>
      <c r="H10" s="20">
        <f>SUM(C10:G10)</f>
        <v>1636000</v>
      </c>
    </row>
    <row r="11" spans="2:8" ht="15.75">
      <c r="B11" s="17" t="s">
        <v>5</v>
      </c>
      <c r="C11" s="18">
        <v>888000</v>
      </c>
      <c r="D11" s="18"/>
      <c r="E11" s="18"/>
      <c r="F11" s="18"/>
      <c r="G11" s="19"/>
      <c r="H11" s="20">
        <f>SUM(C11:G11)</f>
        <v>888000</v>
      </c>
    </row>
    <row r="12" spans="2:8" ht="15.75">
      <c r="B12" s="17" t="s">
        <v>32</v>
      </c>
      <c r="C12" s="18">
        <v>898500</v>
      </c>
      <c r="D12" s="18"/>
      <c r="E12" s="18"/>
      <c r="F12" s="18"/>
      <c r="G12" s="19"/>
      <c r="H12" s="20">
        <f>SUM(C12:G12)</f>
        <v>898500</v>
      </c>
    </row>
    <row r="13" spans="2:8" ht="15.75">
      <c r="B13" s="17" t="s">
        <v>33</v>
      </c>
      <c r="C13" s="18">
        <v>258000</v>
      </c>
      <c r="D13" s="18"/>
      <c r="E13" s="18"/>
      <c r="F13" s="18"/>
      <c r="G13" s="19"/>
      <c r="H13" s="20">
        <f>SUM(C13:G13)</f>
        <v>258000</v>
      </c>
    </row>
    <row r="14" spans="2:8" ht="15.75">
      <c r="B14" s="17" t="s">
        <v>8</v>
      </c>
      <c r="C14" s="18">
        <v>797500</v>
      </c>
      <c r="D14" s="18"/>
      <c r="E14" s="18"/>
      <c r="F14" s="18"/>
      <c r="G14" s="19"/>
      <c r="H14" s="20">
        <f>SUM(C14:G14)</f>
        <v>797500</v>
      </c>
    </row>
    <row r="15" spans="2:8" ht="15.75">
      <c r="B15" s="17" t="s">
        <v>9</v>
      </c>
      <c r="C15" s="18">
        <v>0</v>
      </c>
      <c r="D15" s="18"/>
      <c r="E15" s="18"/>
      <c r="F15" s="18"/>
      <c r="G15" s="19"/>
      <c r="H15" s="20">
        <f t="shared" ref="H15:H26" si="0">SUM(C15:F15)</f>
        <v>0</v>
      </c>
    </row>
    <row r="16" spans="2:8" ht="15.75">
      <c r="B16" s="17" t="s">
        <v>10</v>
      </c>
      <c r="C16" s="18">
        <v>427000</v>
      </c>
      <c r="D16" s="18"/>
      <c r="E16" s="18"/>
      <c r="F16" s="18"/>
      <c r="G16" s="19"/>
      <c r="H16" s="20">
        <f>SUM(C16:G16)</f>
        <v>427000</v>
      </c>
    </row>
    <row r="17" spans="2:8" ht="15.75">
      <c r="B17" s="17" t="s">
        <v>11</v>
      </c>
      <c r="C17" s="18">
        <v>336000</v>
      </c>
      <c r="D17" s="18"/>
      <c r="E17" s="18"/>
      <c r="F17" s="18"/>
      <c r="G17" s="19"/>
      <c r="H17" s="20">
        <f>SUM(C17:G17)</f>
        <v>336000</v>
      </c>
    </row>
    <row r="18" spans="2:8" ht="15.75">
      <c r="B18" s="17" t="s">
        <v>12</v>
      </c>
      <c r="C18" s="18">
        <v>63500</v>
      </c>
      <c r="D18" s="18"/>
      <c r="E18" s="18"/>
      <c r="F18" s="18"/>
      <c r="G18" s="19"/>
      <c r="H18" s="20">
        <f>SUM(C18:G18)</f>
        <v>63500</v>
      </c>
    </row>
    <row r="19" spans="2:8" ht="15.75">
      <c r="B19" s="17" t="s">
        <v>13</v>
      </c>
      <c r="C19" s="18"/>
      <c r="D19" s="18"/>
      <c r="E19" s="18"/>
      <c r="F19" s="18"/>
      <c r="G19" s="19"/>
      <c r="H19" s="20">
        <f t="shared" si="0"/>
        <v>0</v>
      </c>
    </row>
    <row r="20" spans="2:8" ht="15.75">
      <c r="B20" s="17" t="s">
        <v>14</v>
      </c>
      <c r="C20" s="18"/>
      <c r="D20" s="18"/>
      <c r="E20" s="18"/>
      <c r="F20" s="18"/>
      <c r="G20" s="19"/>
      <c r="H20" s="20">
        <f t="shared" si="0"/>
        <v>0</v>
      </c>
    </row>
    <row r="21" spans="2:8" ht="15.75">
      <c r="B21" s="17" t="s">
        <v>15</v>
      </c>
      <c r="C21" s="18"/>
      <c r="D21" s="18"/>
      <c r="E21" s="18"/>
      <c r="F21" s="18"/>
      <c r="G21" s="19"/>
      <c r="H21" s="20">
        <f t="shared" si="0"/>
        <v>0</v>
      </c>
    </row>
    <row r="22" spans="2:8" ht="15.75">
      <c r="B22" s="17" t="s">
        <v>16</v>
      </c>
      <c r="C22" s="18"/>
      <c r="D22" s="18"/>
      <c r="E22" s="18"/>
      <c r="F22" s="18"/>
      <c r="G22" s="19"/>
      <c r="H22" s="20">
        <f t="shared" si="0"/>
        <v>0</v>
      </c>
    </row>
    <row r="23" spans="2:8" ht="15.75">
      <c r="B23" s="17" t="s">
        <v>17</v>
      </c>
      <c r="C23" s="18">
        <v>54000</v>
      </c>
      <c r="D23" s="18"/>
      <c r="E23" s="18"/>
      <c r="F23" s="18"/>
      <c r="G23" s="19"/>
      <c r="H23" s="20">
        <f>SUM(C23:G23)</f>
        <v>54000</v>
      </c>
    </row>
    <row r="24" spans="2:8" ht="15.75">
      <c r="B24" s="17" t="s">
        <v>18</v>
      </c>
      <c r="C24" s="18"/>
      <c r="D24" s="18"/>
      <c r="E24" s="18"/>
      <c r="F24" s="18"/>
      <c r="G24" s="19"/>
      <c r="H24" s="20">
        <f t="shared" si="0"/>
        <v>0</v>
      </c>
    </row>
    <row r="25" spans="2:8" ht="15.75">
      <c r="B25" s="17" t="s">
        <v>19</v>
      </c>
      <c r="C25" s="18"/>
      <c r="D25" s="18"/>
      <c r="E25" s="18"/>
      <c r="F25" s="18"/>
      <c r="G25" s="19"/>
      <c r="H25" s="20">
        <f t="shared" si="0"/>
        <v>0</v>
      </c>
    </row>
    <row r="26" spans="2:8" ht="15.75">
      <c r="B26" s="17" t="s">
        <v>34</v>
      </c>
      <c r="C26" s="18"/>
      <c r="D26" s="18"/>
      <c r="E26" s="18"/>
      <c r="F26" s="18"/>
      <c r="G26" s="19"/>
      <c r="H26" s="20">
        <f t="shared" si="0"/>
        <v>0</v>
      </c>
    </row>
    <row r="27" spans="2:8" ht="16.5" thickBot="1">
      <c r="B27" s="21" t="s">
        <v>35</v>
      </c>
      <c r="C27" s="22">
        <f t="shared" ref="C27:H27" si="1">SUM(C10:C26)</f>
        <v>5358500</v>
      </c>
      <c r="D27" s="22">
        <f t="shared" si="1"/>
        <v>0</v>
      </c>
      <c r="E27" s="22">
        <f t="shared" si="1"/>
        <v>0</v>
      </c>
      <c r="F27" s="22">
        <f t="shared" si="1"/>
        <v>0</v>
      </c>
      <c r="G27" s="22">
        <f t="shared" si="1"/>
        <v>0</v>
      </c>
      <c r="H27" s="23">
        <f t="shared" si="1"/>
        <v>5358500</v>
      </c>
    </row>
    <row r="29" spans="2:8" ht="15.75" thickBot="1"/>
    <row r="30" spans="2:8" ht="21.75" thickBot="1">
      <c r="B30" s="73" t="s">
        <v>36</v>
      </c>
      <c r="C30" s="74"/>
      <c r="D30" s="74"/>
      <c r="E30" s="74"/>
      <c r="F30" s="74"/>
      <c r="G30" s="74"/>
      <c r="H30" s="75"/>
    </row>
    <row r="31" spans="2:8" ht="15.75" thickBot="1">
      <c r="B31" s="67"/>
      <c r="C31" s="68"/>
      <c r="D31" s="68"/>
      <c r="E31" s="68"/>
      <c r="F31" s="68"/>
      <c r="G31" s="68"/>
      <c r="H31" s="69"/>
    </row>
    <row r="32" spans="2:8" ht="15.75" thickBot="1">
      <c r="B32" s="24"/>
      <c r="C32" s="25"/>
      <c r="D32" s="25"/>
      <c r="E32" s="25"/>
      <c r="F32" s="25"/>
      <c r="G32" s="25"/>
      <c r="H32" s="26"/>
    </row>
    <row r="33" spans="2:8" ht="15.75" thickBot="1">
      <c r="B33" s="67"/>
      <c r="C33" s="68"/>
      <c r="D33" s="68"/>
      <c r="E33" s="68"/>
      <c r="F33" s="68"/>
      <c r="G33" s="68"/>
      <c r="H33" s="69"/>
    </row>
    <row r="34" spans="2:8" ht="15.75" thickBot="1">
      <c r="B34" s="67"/>
      <c r="C34" s="68"/>
      <c r="D34" s="68"/>
      <c r="E34" s="68"/>
      <c r="F34" s="68"/>
      <c r="G34" s="68"/>
      <c r="H34" s="69"/>
    </row>
    <row r="35" spans="2:8" ht="15.75" thickBot="1">
      <c r="B35" s="67"/>
      <c r="C35" s="68"/>
      <c r="D35" s="68"/>
      <c r="E35" s="68"/>
      <c r="F35" s="68"/>
      <c r="G35" s="68"/>
      <c r="H35" s="69"/>
    </row>
    <row r="36" spans="2:8" ht="15.75" thickBot="1">
      <c r="B36" s="67"/>
      <c r="C36" s="68"/>
      <c r="D36" s="68"/>
      <c r="E36" s="68"/>
      <c r="F36" s="68"/>
      <c r="G36" s="68"/>
      <c r="H36" s="69"/>
    </row>
    <row r="37" spans="2:8">
      <c r="B37" s="81"/>
      <c r="C37" s="81"/>
      <c r="D37" s="81"/>
      <c r="E37" s="81"/>
      <c r="F37" s="81"/>
      <c r="G37" s="81"/>
      <c r="H37" s="81"/>
    </row>
  </sheetData>
  <mergeCells count="11">
    <mergeCell ref="B33:H33"/>
    <mergeCell ref="B34:H34"/>
    <mergeCell ref="B35:H35"/>
    <mergeCell ref="B36:H36"/>
    <mergeCell ref="B37:H37"/>
    <mergeCell ref="B31:H31"/>
    <mergeCell ref="B2:H2"/>
    <mergeCell ref="B3:H3"/>
    <mergeCell ref="C6:E6"/>
    <mergeCell ref="C8:E8"/>
    <mergeCell ref="B30:H3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39"/>
  <sheetViews>
    <sheetView workbookViewId="0">
      <selection activeCell="X35" sqref="X35"/>
    </sheetView>
  </sheetViews>
  <sheetFormatPr defaultRowHeight="15"/>
  <cols>
    <col min="1" max="1" width="12.7109375" customWidth="1"/>
    <col min="2" max="2" width="11.140625" customWidth="1"/>
    <col min="3" max="3" width="14.5703125" customWidth="1"/>
    <col min="4" max="4" width="12.7109375" customWidth="1"/>
    <col min="5" max="5" width="13.140625" customWidth="1"/>
    <col min="6" max="6" width="12.42578125" customWidth="1"/>
    <col min="7" max="7" width="11.5703125" customWidth="1"/>
    <col min="8" max="8" width="12" customWidth="1"/>
    <col min="9" max="9" width="11.140625" customWidth="1"/>
    <col min="11" max="11" width="5.5703125" customWidth="1"/>
    <col min="12" max="12" width="5" customWidth="1"/>
    <col min="13" max="13" width="5.7109375" customWidth="1"/>
    <col min="14" max="14" width="5" customWidth="1"/>
    <col min="15" max="15" width="4.85546875" customWidth="1"/>
    <col min="16" max="16" width="5.5703125" customWidth="1"/>
    <col min="17" max="17" width="4.5703125" customWidth="1"/>
    <col min="18" max="18" width="10.140625" customWidth="1"/>
    <col min="19" max="19" width="6.85546875" customWidth="1"/>
    <col min="20" max="20" width="11.85546875" customWidth="1"/>
  </cols>
  <sheetData>
    <row r="1" spans="1:21" ht="15.75" thickBot="1"/>
    <row r="2" spans="1:21" ht="26.25" customHeight="1">
      <c r="A2" s="28"/>
      <c r="B2" s="55" t="s">
        <v>68</v>
      </c>
      <c r="C2" s="56"/>
      <c r="D2" s="56"/>
      <c r="E2" s="56"/>
      <c r="F2" s="56"/>
      <c r="G2" s="56"/>
      <c r="H2" s="56"/>
      <c r="I2" s="56"/>
      <c r="J2" s="56"/>
      <c r="K2" s="56"/>
      <c r="L2" s="56"/>
      <c r="M2" s="56"/>
      <c r="N2" s="56"/>
      <c r="O2" s="56"/>
      <c r="P2" s="56"/>
      <c r="Q2" s="56"/>
      <c r="R2" s="56"/>
      <c r="S2" s="56"/>
      <c r="T2" s="57"/>
    </row>
    <row r="3" spans="1:21" ht="27" thickBot="1">
      <c r="A3" s="4"/>
      <c r="B3" s="58" t="s">
        <v>0</v>
      </c>
      <c r="C3" s="59"/>
      <c r="D3" s="59"/>
      <c r="E3" s="59"/>
      <c r="F3" s="59"/>
      <c r="G3" s="59"/>
      <c r="H3" s="59"/>
      <c r="I3" s="59"/>
      <c r="J3" s="59"/>
      <c r="K3" s="59"/>
      <c r="L3" s="59"/>
      <c r="M3" s="59"/>
      <c r="N3" s="59"/>
      <c r="O3" s="59"/>
      <c r="P3" s="59"/>
      <c r="Q3" s="59"/>
      <c r="R3" s="59"/>
      <c r="S3" s="59"/>
      <c r="T3" s="60"/>
    </row>
    <row r="4" spans="1:21" ht="27" customHeight="1" thickBot="1">
      <c r="A4" s="4"/>
      <c r="B4" s="29" t="s">
        <v>1</v>
      </c>
      <c r="C4" s="61" t="s">
        <v>69</v>
      </c>
      <c r="D4" s="62"/>
      <c r="E4" s="62"/>
      <c r="F4" s="63"/>
      <c r="T4" s="5"/>
    </row>
    <row r="5" spans="1:21" ht="21">
      <c r="A5" s="4"/>
      <c r="B5" s="30" t="s">
        <v>2</v>
      </c>
      <c r="C5" s="78">
        <v>45170</v>
      </c>
      <c r="D5" s="79"/>
      <c r="E5" s="79"/>
      <c r="F5" s="80"/>
      <c r="T5" s="5"/>
    </row>
    <row r="6" spans="1:21" ht="101.25">
      <c r="A6" s="32" t="s">
        <v>3</v>
      </c>
      <c r="B6" s="33" t="s">
        <v>4</v>
      </c>
      <c r="C6" s="33" t="s">
        <v>5</v>
      </c>
      <c r="D6" s="33" t="s">
        <v>6</v>
      </c>
      <c r="E6" s="33" t="s">
        <v>7</v>
      </c>
      <c r="F6" s="33" t="s">
        <v>8</v>
      </c>
      <c r="G6" s="33" t="s">
        <v>9</v>
      </c>
      <c r="H6" s="33" t="s">
        <v>10</v>
      </c>
      <c r="I6" s="33" t="s">
        <v>11</v>
      </c>
      <c r="J6" s="33" t="s">
        <v>12</v>
      </c>
      <c r="K6" s="33" t="s">
        <v>13</v>
      </c>
      <c r="L6" s="33" t="s">
        <v>14</v>
      </c>
      <c r="M6" s="33" t="s">
        <v>15</v>
      </c>
      <c r="N6" s="33" t="s">
        <v>16</v>
      </c>
      <c r="O6" s="33" t="s">
        <v>17</v>
      </c>
      <c r="P6" s="33" t="s">
        <v>18</v>
      </c>
      <c r="Q6" s="33" t="s">
        <v>19</v>
      </c>
      <c r="R6" s="33" t="s">
        <v>20</v>
      </c>
      <c r="S6" s="33" t="s">
        <v>21</v>
      </c>
      <c r="T6" s="33" t="s">
        <v>22</v>
      </c>
      <c r="U6" s="34"/>
    </row>
    <row r="7" spans="1:21">
      <c r="A7" s="35" t="s">
        <v>67</v>
      </c>
      <c r="B7" s="36">
        <v>120000</v>
      </c>
      <c r="C7" s="36">
        <v>50000</v>
      </c>
      <c r="D7" s="36">
        <v>95000</v>
      </c>
      <c r="E7" s="36">
        <v>30000</v>
      </c>
      <c r="F7" s="36">
        <v>105000</v>
      </c>
      <c r="G7" s="36">
        <v>18000</v>
      </c>
      <c r="H7" s="36">
        <v>52000</v>
      </c>
      <c r="I7" s="36">
        <v>41000</v>
      </c>
      <c r="J7" s="36">
        <v>18000</v>
      </c>
      <c r="K7" s="36">
        <v>0</v>
      </c>
      <c r="L7" s="36"/>
      <c r="M7" s="36"/>
      <c r="N7" s="36"/>
      <c r="O7" s="36">
        <v>0</v>
      </c>
      <c r="P7" s="36">
        <v>0</v>
      </c>
      <c r="Q7" s="36">
        <v>0</v>
      </c>
      <c r="R7" s="36"/>
      <c r="S7" s="37"/>
      <c r="T7" s="38">
        <f t="shared" ref="T7:T36" si="0">SUM(B7:S7)</f>
        <v>529000</v>
      </c>
      <c r="U7" s="34"/>
    </row>
    <row r="8" spans="1:21">
      <c r="A8" s="35" t="s">
        <v>37</v>
      </c>
      <c r="B8" s="36">
        <v>278500</v>
      </c>
      <c r="C8" s="36">
        <v>210000</v>
      </c>
      <c r="D8" s="36">
        <v>154000</v>
      </c>
      <c r="E8" s="36">
        <v>26500</v>
      </c>
      <c r="F8" s="36">
        <v>251000</v>
      </c>
      <c r="G8" s="36">
        <v>24000</v>
      </c>
      <c r="H8" s="36">
        <v>182000</v>
      </c>
      <c r="I8" s="36">
        <v>147000</v>
      </c>
      <c r="J8" s="36">
        <v>18500</v>
      </c>
      <c r="K8" s="36">
        <v>0</v>
      </c>
      <c r="L8" s="36"/>
      <c r="M8" s="36"/>
      <c r="N8" s="36"/>
      <c r="O8" s="36"/>
      <c r="P8" s="36"/>
      <c r="Q8" s="36"/>
      <c r="R8" s="36"/>
      <c r="S8" s="37"/>
      <c r="T8" s="38">
        <f t="shared" si="0"/>
        <v>1291500</v>
      </c>
      <c r="U8" s="34"/>
    </row>
    <row r="9" spans="1:21">
      <c r="A9" s="35" t="s">
        <v>38</v>
      </c>
      <c r="B9" s="36">
        <v>189000</v>
      </c>
      <c r="C9" s="36">
        <v>72000</v>
      </c>
      <c r="D9" s="36">
        <v>78000</v>
      </c>
      <c r="E9" s="36">
        <v>25000</v>
      </c>
      <c r="F9" s="36">
        <v>83700</v>
      </c>
      <c r="G9" s="36">
        <v>0</v>
      </c>
      <c r="H9" s="36">
        <v>107000</v>
      </c>
      <c r="I9" s="36">
        <v>170000</v>
      </c>
      <c r="J9" s="36">
        <v>0</v>
      </c>
      <c r="K9" s="36">
        <v>0</v>
      </c>
      <c r="L9" s="36"/>
      <c r="M9" s="36"/>
      <c r="N9" s="36"/>
      <c r="O9" s="36"/>
      <c r="P9" s="36"/>
      <c r="Q9" s="36"/>
      <c r="R9" s="36">
        <v>-105000</v>
      </c>
      <c r="S9" s="37"/>
      <c r="T9" s="38">
        <f t="shared" si="0"/>
        <v>619700</v>
      </c>
      <c r="U9" s="34"/>
    </row>
    <row r="10" spans="1:21">
      <c r="A10" s="35" t="s">
        <v>39</v>
      </c>
      <c r="B10" s="36">
        <v>232000</v>
      </c>
      <c r="C10" s="36">
        <v>77000</v>
      </c>
      <c r="D10" s="36">
        <v>107500</v>
      </c>
      <c r="E10" s="36">
        <v>14000</v>
      </c>
      <c r="F10" s="36">
        <v>122000</v>
      </c>
      <c r="G10" s="36">
        <v>0</v>
      </c>
      <c r="H10" s="36">
        <v>42000</v>
      </c>
      <c r="I10" s="36">
        <v>12500</v>
      </c>
      <c r="J10" s="36">
        <v>2000</v>
      </c>
      <c r="K10" s="36">
        <v>0</v>
      </c>
      <c r="L10" s="36"/>
      <c r="M10" s="36"/>
      <c r="N10" s="36"/>
      <c r="O10" s="36"/>
      <c r="P10" s="36"/>
      <c r="Q10" s="36"/>
      <c r="R10" s="36">
        <v>31000</v>
      </c>
      <c r="S10" s="37"/>
      <c r="T10" s="38">
        <f t="shared" si="0"/>
        <v>640000</v>
      </c>
      <c r="U10" s="34"/>
    </row>
    <row r="11" spans="1:21">
      <c r="A11" s="35" t="s">
        <v>40</v>
      </c>
      <c r="B11" s="37">
        <v>134000</v>
      </c>
      <c r="C11" s="37">
        <v>300000</v>
      </c>
      <c r="D11" s="37">
        <v>66000</v>
      </c>
      <c r="E11" s="37">
        <v>8500</v>
      </c>
      <c r="F11" s="37">
        <v>95000</v>
      </c>
      <c r="G11" s="37">
        <v>24000</v>
      </c>
      <c r="H11" s="37">
        <v>81000</v>
      </c>
      <c r="I11" s="37">
        <v>49500</v>
      </c>
      <c r="J11" s="37">
        <v>6000</v>
      </c>
      <c r="K11" s="37">
        <v>0</v>
      </c>
      <c r="L11" s="37"/>
      <c r="M11" s="37"/>
      <c r="N11" s="37"/>
      <c r="O11" s="37"/>
      <c r="P11" s="37"/>
      <c r="Q11" s="37"/>
      <c r="R11" s="37">
        <v>940000</v>
      </c>
      <c r="S11" s="37"/>
      <c r="T11" s="37">
        <f t="shared" si="0"/>
        <v>1704000</v>
      </c>
      <c r="U11" s="34"/>
    </row>
    <row r="12" spans="1:21">
      <c r="A12" s="35" t="s">
        <v>41</v>
      </c>
      <c r="B12" s="37">
        <v>139000</v>
      </c>
      <c r="C12" s="37">
        <v>157000</v>
      </c>
      <c r="D12" s="37">
        <v>104500</v>
      </c>
      <c r="E12" s="37">
        <v>12500</v>
      </c>
      <c r="F12" s="37">
        <v>134000</v>
      </c>
      <c r="G12" s="37">
        <v>24000</v>
      </c>
      <c r="H12" s="37">
        <v>18000</v>
      </c>
      <c r="I12" s="37">
        <v>20000</v>
      </c>
      <c r="J12" s="37">
        <v>2000</v>
      </c>
      <c r="K12" s="37">
        <v>0</v>
      </c>
      <c r="L12" s="37"/>
      <c r="M12" s="37"/>
      <c r="N12" s="37"/>
      <c r="O12" s="37"/>
      <c r="P12" s="37"/>
      <c r="Q12" s="37"/>
      <c r="R12" s="37">
        <v>2437000</v>
      </c>
      <c r="S12" s="37"/>
      <c r="T12" s="37">
        <f t="shared" si="0"/>
        <v>3048000</v>
      </c>
      <c r="U12" s="34"/>
    </row>
    <row r="13" spans="1:21">
      <c r="A13" s="35" t="s">
        <v>42</v>
      </c>
      <c r="B13" s="37">
        <v>147000</v>
      </c>
      <c r="C13" s="37">
        <v>85000</v>
      </c>
      <c r="D13" s="37">
        <v>57000</v>
      </c>
      <c r="E13" s="37">
        <v>9000</v>
      </c>
      <c r="F13" s="37">
        <v>87000</v>
      </c>
      <c r="G13" s="37">
        <v>6000</v>
      </c>
      <c r="H13" s="37">
        <v>50000</v>
      </c>
      <c r="I13" s="37">
        <v>60000</v>
      </c>
      <c r="J13" s="37">
        <v>10000</v>
      </c>
      <c r="K13" s="37">
        <v>0</v>
      </c>
      <c r="L13" s="37"/>
      <c r="M13" s="37"/>
      <c r="N13" s="37"/>
      <c r="O13" s="37"/>
      <c r="P13" s="37"/>
      <c r="Q13" s="37"/>
      <c r="R13" s="37"/>
      <c r="S13" s="37"/>
      <c r="T13" s="37">
        <f t="shared" si="0"/>
        <v>511000</v>
      </c>
      <c r="U13" s="34"/>
    </row>
    <row r="14" spans="1:21">
      <c r="A14" s="35" t="s">
        <v>43</v>
      </c>
      <c r="B14" s="37">
        <v>244500</v>
      </c>
      <c r="C14" s="37">
        <v>78000</v>
      </c>
      <c r="D14" s="37">
        <v>150500</v>
      </c>
      <c r="E14" s="37">
        <v>70000</v>
      </c>
      <c r="F14" s="37">
        <v>132500</v>
      </c>
      <c r="G14" s="37">
        <v>6000</v>
      </c>
      <c r="H14" s="37">
        <v>81000</v>
      </c>
      <c r="I14" s="37">
        <v>60500</v>
      </c>
      <c r="J14" s="37">
        <v>9000</v>
      </c>
      <c r="K14" s="37">
        <v>0</v>
      </c>
      <c r="L14" s="37"/>
      <c r="M14" s="37"/>
      <c r="N14" s="37"/>
      <c r="O14" s="37"/>
      <c r="P14" s="37"/>
      <c r="Q14" s="37"/>
      <c r="R14" s="37">
        <v>118000</v>
      </c>
      <c r="S14" s="37"/>
      <c r="T14" s="37">
        <f t="shared" si="0"/>
        <v>950000</v>
      </c>
      <c r="U14" s="34"/>
    </row>
    <row r="15" spans="1:21">
      <c r="A15" s="35" t="s">
        <v>44</v>
      </c>
      <c r="B15" s="37">
        <v>262000</v>
      </c>
      <c r="C15" s="37">
        <v>207000</v>
      </c>
      <c r="D15" s="37">
        <v>130000</v>
      </c>
      <c r="E15" s="37">
        <v>36000</v>
      </c>
      <c r="F15" s="37">
        <v>152000</v>
      </c>
      <c r="G15" s="37">
        <v>0</v>
      </c>
      <c r="H15" s="37">
        <v>80000</v>
      </c>
      <c r="I15" s="37">
        <v>53000</v>
      </c>
      <c r="J15" s="37">
        <v>21000</v>
      </c>
      <c r="K15" s="37">
        <v>0</v>
      </c>
      <c r="L15" s="37"/>
      <c r="M15" s="37"/>
      <c r="N15" s="37"/>
      <c r="O15" s="37"/>
      <c r="P15" s="37"/>
      <c r="Q15" s="37"/>
      <c r="R15" s="37">
        <v>-66000</v>
      </c>
      <c r="S15" s="37"/>
      <c r="T15" s="37">
        <f t="shared" si="0"/>
        <v>875000</v>
      </c>
      <c r="U15" s="34"/>
    </row>
    <row r="16" spans="1:21">
      <c r="A16" s="35" t="s">
        <v>45</v>
      </c>
      <c r="B16" s="37">
        <v>200000</v>
      </c>
      <c r="C16" s="37">
        <v>250000</v>
      </c>
      <c r="D16" s="37">
        <v>120000</v>
      </c>
      <c r="E16" s="37">
        <v>41500</v>
      </c>
      <c r="F16" s="37">
        <v>163500</v>
      </c>
      <c r="G16" s="37">
        <v>12000</v>
      </c>
      <c r="H16" s="37">
        <v>105000</v>
      </c>
      <c r="I16" s="37">
        <v>43500</v>
      </c>
      <c r="J16" s="37">
        <v>7000</v>
      </c>
      <c r="K16" s="37">
        <v>0</v>
      </c>
      <c r="L16" s="37"/>
      <c r="M16" s="37"/>
      <c r="N16" s="37"/>
      <c r="O16" s="37"/>
      <c r="P16" s="37"/>
      <c r="Q16" s="37"/>
      <c r="R16" s="37">
        <v>252000</v>
      </c>
      <c r="S16" s="37"/>
      <c r="T16" s="37">
        <f t="shared" si="0"/>
        <v>1194500</v>
      </c>
      <c r="U16" s="34"/>
    </row>
    <row r="17" spans="1:28">
      <c r="A17" s="35" t="s">
        <v>46</v>
      </c>
      <c r="B17" s="37">
        <v>114000</v>
      </c>
      <c r="C17" s="37">
        <v>300000</v>
      </c>
      <c r="D17" s="37">
        <v>91000</v>
      </c>
      <c r="E17" s="37">
        <v>0</v>
      </c>
      <c r="F17" s="37">
        <v>94000</v>
      </c>
      <c r="G17" s="37">
        <v>0</v>
      </c>
      <c r="H17" s="37">
        <v>15000</v>
      </c>
      <c r="I17" s="37">
        <v>87000</v>
      </c>
      <c r="J17" s="37">
        <v>0</v>
      </c>
      <c r="K17" s="37">
        <v>0</v>
      </c>
      <c r="L17" s="37"/>
      <c r="M17" s="37"/>
      <c r="N17" s="37"/>
      <c r="O17" s="37"/>
      <c r="P17" s="37"/>
      <c r="Q17" s="37"/>
      <c r="R17" s="37"/>
      <c r="S17" s="37"/>
      <c r="T17" s="37">
        <f t="shared" si="0"/>
        <v>701000</v>
      </c>
      <c r="U17" s="34"/>
    </row>
    <row r="18" spans="1:28">
      <c r="A18" s="35" t="s">
        <v>47</v>
      </c>
      <c r="B18" s="37">
        <v>158500</v>
      </c>
      <c r="C18" s="37">
        <v>88000</v>
      </c>
      <c r="D18" s="37">
        <v>81000</v>
      </c>
      <c r="E18" s="37">
        <v>8500</v>
      </c>
      <c r="F18" s="37">
        <v>91500</v>
      </c>
      <c r="G18" s="37">
        <v>0</v>
      </c>
      <c r="H18" s="37">
        <v>71000</v>
      </c>
      <c r="I18" s="37">
        <v>15500</v>
      </c>
      <c r="J18" s="37">
        <v>0</v>
      </c>
      <c r="K18" s="37">
        <v>0</v>
      </c>
      <c r="L18" s="37"/>
      <c r="M18" s="37"/>
      <c r="N18" s="37"/>
      <c r="O18" s="37"/>
      <c r="P18" s="37"/>
      <c r="Q18" s="37"/>
      <c r="R18" s="37">
        <v>-69000</v>
      </c>
      <c r="S18" s="37"/>
      <c r="T18" s="38">
        <f t="shared" si="0"/>
        <v>445000</v>
      </c>
      <c r="U18" s="34" t="s">
        <v>71</v>
      </c>
    </row>
    <row r="19" spans="1:28">
      <c r="A19" s="35" t="s">
        <v>48</v>
      </c>
      <c r="B19" s="37">
        <v>176500</v>
      </c>
      <c r="C19" s="37">
        <v>116000</v>
      </c>
      <c r="D19" s="37">
        <v>91500</v>
      </c>
      <c r="E19" s="37">
        <v>24500</v>
      </c>
      <c r="F19" s="37">
        <v>120500</v>
      </c>
      <c r="G19" s="37">
        <v>6000</v>
      </c>
      <c r="H19" s="37">
        <v>44000</v>
      </c>
      <c r="I19" s="37">
        <v>69500</v>
      </c>
      <c r="J19" s="37">
        <v>0</v>
      </c>
      <c r="K19" s="37">
        <v>0</v>
      </c>
      <c r="L19" s="37"/>
      <c r="M19" s="37"/>
      <c r="N19" s="37"/>
      <c r="O19" s="37"/>
      <c r="P19" s="37"/>
      <c r="Q19" s="37"/>
      <c r="R19" s="37">
        <v>-3000</v>
      </c>
      <c r="S19" s="37"/>
      <c r="T19" s="38">
        <f t="shared" si="0"/>
        <v>645500</v>
      </c>
      <c r="U19" s="34" t="s">
        <v>71</v>
      </c>
    </row>
    <row r="20" spans="1:28">
      <c r="A20" s="35" t="s">
        <v>49</v>
      </c>
      <c r="B20" s="37">
        <v>206000</v>
      </c>
      <c r="C20" s="37">
        <v>69000</v>
      </c>
      <c r="D20" s="37">
        <v>93000</v>
      </c>
      <c r="E20" s="37">
        <v>23000</v>
      </c>
      <c r="F20" s="37">
        <v>100500</v>
      </c>
      <c r="G20" s="37">
        <v>12000</v>
      </c>
      <c r="H20" s="37">
        <v>103000</v>
      </c>
      <c r="I20" s="37">
        <v>19500</v>
      </c>
      <c r="J20" s="37">
        <v>11500</v>
      </c>
      <c r="K20" s="37">
        <v>0</v>
      </c>
      <c r="L20" s="37"/>
      <c r="M20" s="37"/>
      <c r="N20" s="37"/>
      <c r="O20" s="37"/>
      <c r="P20" s="37"/>
      <c r="Q20" s="37"/>
      <c r="R20" s="37">
        <v>7000</v>
      </c>
      <c r="S20" s="37"/>
      <c r="T20" s="38">
        <f t="shared" si="0"/>
        <v>644500</v>
      </c>
      <c r="U20" s="34"/>
    </row>
    <row r="21" spans="1:28">
      <c r="A21" s="35" t="s">
        <v>50</v>
      </c>
      <c r="B21" s="37">
        <v>205500</v>
      </c>
      <c r="C21" s="37">
        <v>230000</v>
      </c>
      <c r="D21" s="37">
        <v>78000</v>
      </c>
      <c r="E21" s="37">
        <v>12500</v>
      </c>
      <c r="F21" s="37">
        <v>174700</v>
      </c>
      <c r="G21" s="37">
        <v>6000</v>
      </c>
      <c r="H21" s="37">
        <v>36000</v>
      </c>
      <c r="I21" s="37">
        <v>62000</v>
      </c>
      <c r="J21" s="37">
        <v>20000</v>
      </c>
      <c r="K21" s="37">
        <v>0</v>
      </c>
      <c r="L21" s="37"/>
      <c r="M21" s="37"/>
      <c r="N21" s="37"/>
      <c r="O21" s="37"/>
      <c r="P21" s="37"/>
      <c r="Q21" s="37"/>
      <c r="R21" s="37">
        <v>-9000</v>
      </c>
      <c r="S21" s="37"/>
      <c r="T21" s="38">
        <f t="shared" si="0"/>
        <v>815700</v>
      </c>
      <c r="U21" s="34"/>
    </row>
    <row r="22" spans="1:28">
      <c r="A22" s="35" t="s">
        <v>73</v>
      </c>
      <c r="B22" s="37">
        <v>258000</v>
      </c>
      <c r="C22" s="37">
        <v>306000</v>
      </c>
      <c r="D22" s="37">
        <v>126000</v>
      </c>
      <c r="E22" s="37">
        <v>17000</v>
      </c>
      <c r="F22" s="37">
        <v>167500</v>
      </c>
      <c r="G22" s="37">
        <v>0</v>
      </c>
      <c r="H22" s="37">
        <v>74500</v>
      </c>
      <c r="I22" s="37">
        <v>79000</v>
      </c>
      <c r="J22" s="37">
        <v>5000</v>
      </c>
      <c r="K22" s="37">
        <v>0</v>
      </c>
      <c r="L22" s="37"/>
      <c r="M22" s="37"/>
      <c r="N22" s="37"/>
      <c r="O22" s="37"/>
      <c r="P22" s="37"/>
      <c r="Q22" s="37"/>
      <c r="R22" s="37">
        <v>-201000</v>
      </c>
      <c r="S22" s="37"/>
      <c r="T22" s="38">
        <f t="shared" si="0"/>
        <v>832000</v>
      </c>
      <c r="U22" s="34"/>
    </row>
    <row r="23" spans="1:28">
      <c r="A23" s="35" t="s">
        <v>52</v>
      </c>
      <c r="B23" s="37">
        <v>201000</v>
      </c>
      <c r="C23" s="37">
        <v>264000</v>
      </c>
      <c r="D23" s="37">
        <v>133000</v>
      </c>
      <c r="E23" s="37">
        <v>15000</v>
      </c>
      <c r="F23" s="37">
        <v>122900</v>
      </c>
      <c r="G23" s="37">
        <v>12000</v>
      </c>
      <c r="H23" s="37">
        <v>114000</v>
      </c>
      <c r="I23" s="37">
        <v>56000</v>
      </c>
      <c r="J23" s="37">
        <v>5000</v>
      </c>
      <c r="K23" s="37">
        <v>0</v>
      </c>
      <c r="L23" s="37"/>
      <c r="M23" s="37"/>
      <c r="N23" s="37"/>
      <c r="O23" s="37"/>
      <c r="P23" s="37"/>
      <c r="Q23" s="37"/>
      <c r="R23" s="37">
        <v>200000</v>
      </c>
      <c r="S23" s="37"/>
      <c r="T23" s="38">
        <f t="shared" si="0"/>
        <v>1122900</v>
      </c>
      <c r="U23" s="34" t="s">
        <v>71</v>
      </c>
    </row>
    <row r="24" spans="1:28">
      <c r="A24" s="35" t="s">
        <v>53</v>
      </c>
      <c r="B24" s="37">
        <v>192000</v>
      </c>
      <c r="C24" s="37">
        <v>50000</v>
      </c>
      <c r="D24" s="37">
        <v>88500</v>
      </c>
      <c r="E24" s="37">
        <v>7000</v>
      </c>
      <c r="F24" s="37">
        <v>143000</v>
      </c>
      <c r="G24" s="37">
        <v>12000</v>
      </c>
      <c r="H24" s="37">
        <v>124000</v>
      </c>
      <c r="I24" s="37">
        <v>73000</v>
      </c>
      <c r="J24" s="37">
        <v>0</v>
      </c>
      <c r="K24" s="37">
        <v>0</v>
      </c>
      <c r="L24" s="37"/>
      <c r="M24" s="37"/>
      <c r="N24" s="37"/>
      <c r="O24" s="37"/>
      <c r="P24" s="37"/>
      <c r="Q24" s="37"/>
      <c r="R24" s="37">
        <v>-5000</v>
      </c>
      <c r="S24" s="37"/>
      <c r="T24" s="38">
        <f t="shared" si="0"/>
        <v>684500</v>
      </c>
      <c r="U24" s="34"/>
    </row>
    <row r="25" spans="1:28">
      <c r="A25" s="35" t="s">
        <v>54</v>
      </c>
      <c r="B25" s="37">
        <v>194000</v>
      </c>
      <c r="C25" s="37">
        <v>26000</v>
      </c>
      <c r="D25" s="37">
        <v>37500</v>
      </c>
      <c r="E25" s="37">
        <v>8000</v>
      </c>
      <c r="F25" s="37">
        <v>51000</v>
      </c>
      <c r="G25" s="37">
        <v>0</v>
      </c>
      <c r="H25" s="37">
        <v>111000</v>
      </c>
      <c r="I25" s="37">
        <v>87000</v>
      </c>
      <c r="J25" s="37">
        <v>4000</v>
      </c>
      <c r="K25" s="37">
        <v>0</v>
      </c>
      <c r="L25" s="37"/>
      <c r="M25" s="37"/>
      <c r="N25" s="37"/>
      <c r="O25" s="37"/>
      <c r="P25" s="37"/>
      <c r="Q25" s="37"/>
      <c r="R25" s="37"/>
      <c r="S25" s="37"/>
      <c r="T25" s="38">
        <f t="shared" si="0"/>
        <v>518500</v>
      </c>
      <c r="U25" s="34"/>
    </row>
    <row r="26" spans="1:28">
      <c r="A26" s="35" t="s">
        <v>55</v>
      </c>
      <c r="B26" s="37">
        <v>170000</v>
      </c>
      <c r="C26" s="37">
        <v>63000</v>
      </c>
      <c r="D26" s="37">
        <v>73000</v>
      </c>
      <c r="E26" s="37">
        <v>23500</v>
      </c>
      <c r="F26" s="37">
        <v>98500</v>
      </c>
      <c r="G26" s="37">
        <v>0</v>
      </c>
      <c r="H26" s="37">
        <v>210000</v>
      </c>
      <c r="I26" s="37">
        <v>35000</v>
      </c>
      <c r="J26" s="37">
        <v>0</v>
      </c>
      <c r="K26" s="37">
        <v>0</v>
      </c>
      <c r="L26" s="37"/>
      <c r="M26" s="37"/>
      <c r="N26" s="37"/>
      <c r="O26" s="37"/>
      <c r="P26" s="37"/>
      <c r="Q26" s="37"/>
      <c r="R26" s="37"/>
      <c r="S26" s="37"/>
      <c r="T26" s="38">
        <f t="shared" si="0"/>
        <v>673000</v>
      </c>
      <c r="U26" s="34"/>
    </row>
    <row r="27" spans="1:28">
      <c r="A27" s="35" t="s">
        <v>56</v>
      </c>
      <c r="B27" s="37">
        <v>231000</v>
      </c>
      <c r="C27" s="37">
        <v>83000</v>
      </c>
      <c r="D27" s="37">
        <v>123000</v>
      </c>
      <c r="E27" s="37">
        <v>15500</v>
      </c>
      <c r="F27" s="37">
        <v>156000</v>
      </c>
      <c r="G27" s="37">
        <v>6000</v>
      </c>
      <c r="H27" s="37">
        <v>106000</v>
      </c>
      <c r="I27" s="37">
        <v>80000</v>
      </c>
      <c r="J27" s="37">
        <v>0</v>
      </c>
      <c r="K27" s="37">
        <v>0</v>
      </c>
      <c r="L27" s="37"/>
      <c r="M27" s="37"/>
      <c r="N27" s="37"/>
      <c r="O27" s="37"/>
      <c r="P27" s="37"/>
      <c r="Q27" s="37"/>
      <c r="R27" s="37"/>
      <c r="S27" s="37"/>
      <c r="T27" s="38">
        <f t="shared" si="0"/>
        <v>800500</v>
      </c>
      <c r="U27" s="34"/>
    </row>
    <row r="28" spans="1:28">
      <c r="A28" s="35" t="s">
        <v>57</v>
      </c>
      <c r="B28" s="37">
        <v>214000</v>
      </c>
      <c r="C28" s="37">
        <v>120000</v>
      </c>
      <c r="D28" s="37">
        <v>77000</v>
      </c>
      <c r="E28" s="37">
        <v>2500</v>
      </c>
      <c r="F28" s="37">
        <v>98000</v>
      </c>
      <c r="G28" s="37">
        <v>0</v>
      </c>
      <c r="H28" s="37">
        <v>36500</v>
      </c>
      <c r="I28" s="37">
        <v>66000</v>
      </c>
      <c r="J28" s="37">
        <v>0</v>
      </c>
      <c r="K28" s="37">
        <v>0</v>
      </c>
      <c r="L28" s="37"/>
      <c r="M28" s="37"/>
      <c r="N28" s="37"/>
      <c r="O28" s="37"/>
      <c r="P28" s="37"/>
      <c r="Q28" s="37"/>
      <c r="R28" s="37"/>
      <c r="S28" s="37"/>
      <c r="T28" s="38">
        <f t="shared" si="0"/>
        <v>614000</v>
      </c>
      <c r="U28" s="34"/>
    </row>
    <row r="29" spans="1:28">
      <c r="A29" s="35" t="s">
        <v>58</v>
      </c>
      <c r="B29" s="37">
        <v>208000</v>
      </c>
      <c r="C29" s="37">
        <v>90000</v>
      </c>
      <c r="D29" s="37">
        <v>85500</v>
      </c>
      <c r="E29" s="37">
        <v>21500</v>
      </c>
      <c r="F29" s="37">
        <v>167500</v>
      </c>
      <c r="G29" s="37">
        <v>0</v>
      </c>
      <c r="H29" s="37">
        <v>66000</v>
      </c>
      <c r="I29" s="37">
        <v>32500</v>
      </c>
      <c r="J29" s="37">
        <v>0</v>
      </c>
      <c r="K29" s="37">
        <v>0</v>
      </c>
      <c r="L29" s="37"/>
      <c r="M29" s="37"/>
      <c r="N29" s="37"/>
      <c r="O29" s="37"/>
      <c r="P29" s="37"/>
      <c r="Q29" s="37"/>
      <c r="R29" s="37"/>
      <c r="S29" s="37"/>
      <c r="T29" s="38">
        <f t="shared" si="0"/>
        <v>671000</v>
      </c>
      <c r="U29" s="34" t="s">
        <v>71</v>
      </c>
    </row>
    <row r="30" spans="1:28">
      <c r="A30" s="35" t="s">
        <v>59</v>
      </c>
      <c r="B30" s="37">
        <v>247500</v>
      </c>
      <c r="C30" s="37">
        <v>41000</v>
      </c>
      <c r="D30" s="37">
        <v>104500</v>
      </c>
      <c r="E30" s="37">
        <v>15500</v>
      </c>
      <c r="F30" s="37">
        <v>117500</v>
      </c>
      <c r="G30" s="37">
        <v>0</v>
      </c>
      <c r="H30" s="37">
        <v>67000</v>
      </c>
      <c r="I30" s="37">
        <v>33000</v>
      </c>
      <c r="J30" s="37">
        <v>2000</v>
      </c>
      <c r="K30" s="37">
        <v>0</v>
      </c>
      <c r="L30" s="37"/>
      <c r="M30" s="37"/>
      <c r="N30" s="37"/>
      <c r="O30" s="37"/>
      <c r="P30" s="37"/>
      <c r="Q30" s="37"/>
      <c r="R30" s="37"/>
      <c r="S30" s="37"/>
      <c r="T30" s="38">
        <f t="shared" si="0"/>
        <v>628000</v>
      </c>
      <c r="U30" s="34" t="s">
        <v>74</v>
      </c>
    </row>
    <row r="31" spans="1:28">
      <c r="A31" s="35" t="s">
        <v>60</v>
      </c>
      <c r="B31" s="37">
        <v>183000</v>
      </c>
      <c r="C31" s="37">
        <v>68000</v>
      </c>
      <c r="D31" s="37">
        <v>117500</v>
      </c>
      <c r="E31" s="37">
        <v>11000</v>
      </c>
      <c r="F31" s="37">
        <v>116700</v>
      </c>
      <c r="G31" s="37">
        <v>0</v>
      </c>
      <c r="H31" s="37">
        <v>44000</v>
      </c>
      <c r="I31" s="37">
        <v>29000</v>
      </c>
      <c r="J31" s="37">
        <v>0</v>
      </c>
      <c r="K31" s="37">
        <v>0</v>
      </c>
      <c r="L31" s="37"/>
      <c r="M31" s="37"/>
      <c r="N31" s="37"/>
      <c r="O31" s="37"/>
      <c r="P31" s="37"/>
      <c r="Q31" s="37"/>
      <c r="R31" s="37"/>
      <c r="S31" s="37"/>
      <c r="T31" s="38">
        <f t="shared" si="0"/>
        <v>569200</v>
      </c>
      <c r="U31" s="34"/>
    </row>
    <row r="32" spans="1:28">
      <c r="A32" s="35" t="s">
        <v>61</v>
      </c>
      <c r="B32" s="31">
        <v>120000</v>
      </c>
      <c r="C32" s="31">
        <v>41000</v>
      </c>
      <c r="D32" s="31">
        <v>57000</v>
      </c>
      <c r="E32" s="31">
        <v>4500</v>
      </c>
      <c r="F32" s="31">
        <v>116000</v>
      </c>
      <c r="G32" s="31">
        <v>0</v>
      </c>
      <c r="H32" s="31">
        <v>99500</v>
      </c>
      <c r="I32" s="31">
        <v>37000</v>
      </c>
      <c r="J32" s="31">
        <v>0</v>
      </c>
      <c r="K32" s="31">
        <v>0</v>
      </c>
      <c r="L32" s="31"/>
      <c r="M32" s="31"/>
      <c r="N32" s="31"/>
      <c r="O32" s="31"/>
      <c r="P32" s="31"/>
      <c r="Q32" s="31"/>
      <c r="R32" s="31"/>
      <c r="S32" s="31"/>
      <c r="T32" s="31">
        <f t="shared" si="0"/>
        <v>475000</v>
      </c>
      <c r="U32" s="39"/>
      <c r="V32" s="27"/>
      <c r="W32" s="27"/>
      <c r="X32" s="27"/>
      <c r="Y32" s="27"/>
      <c r="Z32" s="27"/>
      <c r="AA32" s="27"/>
      <c r="AB32" s="27"/>
    </row>
    <row r="33" spans="1:28">
      <c r="A33" s="35" t="s">
        <v>62</v>
      </c>
      <c r="B33" s="31">
        <v>155000</v>
      </c>
      <c r="C33" s="31">
        <v>139000</v>
      </c>
      <c r="D33" s="31">
        <v>49000</v>
      </c>
      <c r="E33" s="31">
        <v>12000</v>
      </c>
      <c r="F33" s="31">
        <v>100000</v>
      </c>
      <c r="G33" s="31">
        <v>0</v>
      </c>
      <c r="H33" s="31">
        <v>98000</v>
      </c>
      <c r="I33" s="31">
        <v>42000</v>
      </c>
      <c r="J33" s="31">
        <v>38000</v>
      </c>
      <c r="K33" s="31">
        <v>0</v>
      </c>
      <c r="L33" s="31"/>
      <c r="M33" s="31"/>
      <c r="N33" s="31"/>
      <c r="O33" s="31"/>
      <c r="P33" s="31"/>
      <c r="Q33" s="31"/>
      <c r="R33" s="31"/>
      <c r="S33" s="31"/>
      <c r="T33" s="31">
        <f t="shared" si="0"/>
        <v>633000</v>
      </c>
      <c r="U33" s="39"/>
      <c r="V33" s="27"/>
      <c r="W33" s="27"/>
      <c r="X33" s="27"/>
      <c r="Y33" s="27"/>
      <c r="Z33" s="27"/>
      <c r="AA33" s="27"/>
      <c r="AB33" s="27"/>
    </row>
    <row r="34" spans="1:28">
      <c r="A34" s="35" t="s">
        <v>63</v>
      </c>
      <c r="B34" s="31">
        <v>217000</v>
      </c>
      <c r="C34" s="31">
        <v>57000</v>
      </c>
      <c r="D34" s="31">
        <v>109000</v>
      </c>
      <c r="E34" s="31">
        <v>5000</v>
      </c>
      <c r="F34" s="31">
        <v>146000</v>
      </c>
      <c r="G34" s="31">
        <v>0</v>
      </c>
      <c r="H34" s="31">
        <v>39000</v>
      </c>
      <c r="I34" s="31">
        <v>20000</v>
      </c>
      <c r="J34" s="31">
        <v>0</v>
      </c>
      <c r="K34" s="31">
        <v>0</v>
      </c>
      <c r="L34" s="31"/>
      <c r="M34" s="31"/>
      <c r="N34" s="31"/>
      <c r="O34" s="31"/>
      <c r="P34" s="31"/>
      <c r="Q34" s="31"/>
      <c r="R34" s="31"/>
      <c r="S34" s="31"/>
      <c r="T34" s="31">
        <f t="shared" si="0"/>
        <v>593000</v>
      </c>
      <c r="U34" s="39"/>
      <c r="V34" s="27"/>
      <c r="W34" s="27"/>
      <c r="X34" s="27"/>
      <c r="Y34" s="27"/>
      <c r="Z34" s="27"/>
      <c r="AA34" s="27"/>
      <c r="AB34" s="27"/>
    </row>
    <row r="35" spans="1:28">
      <c r="A35" s="35" t="s">
        <v>64</v>
      </c>
      <c r="B35" s="31">
        <v>170000</v>
      </c>
      <c r="C35" s="31">
        <v>185000</v>
      </c>
      <c r="D35" s="31">
        <v>97000</v>
      </c>
      <c r="E35" s="31">
        <v>10500</v>
      </c>
      <c r="F35" s="31">
        <v>164000</v>
      </c>
      <c r="G35" s="31">
        <v>6000</v>
      </c>
      <c r="H35" s="31">
        <v>90500</v>
      </c>
      <c r="I35" s="31">
        <v>76000</v>
      </c>
      <c r="J35" s="31">
        <v>2000</v>
      </c>
      <c r="K35" s="31">
        <v>0</v>
      </c>
      <c r="L35" s="31"/>
      <c r="M35" s="31"/>
      <c r="N35" s="31"/>
      <c r="O35" s="31"/>
      <c r="P35" s="31"/>
      <c r="Q35" s="31"/>
      <c r="R35" s="31"/>
      <c r="S35" s="31"/>
      <c r="T35" s="31">
        <f t="shared" si="0"/>
        <v>801000</v>
      </c>
      <c r="U35" s="39"/>
      <c r="V35" s="27"/>
      <c r="W35" s="27"/>
      <c r="X35" s="27"/>
      <c r="Y35" s="27"/>
      <c r="Z35" s="27"/>
      <c r="AA35" s="27"/>
      <c r="AB35" s="27"/>
    </row>
    <row r="36" spans="1:28">
      <c r="A36" s="35" t="s">
        <v>65</v>
      </c>
      <c r="B36" s="31">
        <v>190500</v>
      </c>
      <c r="C36" s="31">
        <v>60000</v>
      </c>
      <c r="D36" s="31">
        <v>96500</v>
      </c>
      <c r="E36" s="31">
        <v>38500</v>
      </c>
      <c r="F36" s="31">
        <v>144000</v>
      </c>
      <c r="G36" s="31">
        <v>0</v>
      </c>
      <c r="H36" s="31">
        <v>27000</v>
      </c>
      <c r="I36" s="31">
        <v>52000</v>
      </c>
      <c r="J36" s="31">
        <v>2000</v>
      </c>
      <c r="K36" s="31">
        <v>0</v>
      </c>
      <c r="L36" s="31"/>
      <c r="M36" s="31"/>
      <c r="N36" s="31"/>
      <c r="O36" s="31"/>
      <c r="P36" s="31"/>
      <c r="Q36" s="31"/>
      <c r="R36" s="31"/>
      <c r="S36" s="31"/>
      <c r="T36" s="31">
        <f t="shared" si="0"/>
        <v>610500</v>
      </c>
      <c r="U36" s="39"/>
      <c r="V36" s="27"/>
      <c r="W36" s="27"/>
      <c r="X36" s="27"/>
      <c r="Y36" s="27"/>
      <c r="Z36" s="27"/>
      <c r="AA36" s="27"/>
      <c r="AB36" s="27"/>
    </row>
    <row r="37" spans="1:28">
      <c r="A37" s="35" t="s">
        <v>66</v>
      </c>
      <c r="B37" s="31"/>
      <c r="C37" s="31"/>
      <c r="D37" s="31"/>
      <c r="E37" s="31"/>
      <c r="F37" s="31"/>
      <c r="G37" s="31"/>
      <c r="H37" s="31"/>
      <c r="I37" s="31"/>
      <c r="J37" s="31"/>
      <c r="K37" s="31"/>
      <c r="L37" s="31"/>
      <c r="M37" s="31"/>
      <c r="N37" s="31"/>
      <c r="O37" s="31"/>
      <c r="P37" s="31"/>
      <c r="Q37" s="31"/>
      <c r="R37" s="31"/>
      <c r="S37" s="31"/>
      <c r="T37" s="31"/>
      <c r="U37" s="39"/>
      <c r="V37" s="27"/>
      <c r="W37" s="27"/>
      <c r="X37" s="27"/>
      <c r="Y37" s="27"/>
      <c r="Z37" s="27"/>
      <c r="AA37" s="27"/>
      <c r="AB37" s="27"/>
    </row>
    <row r="38" spans="1:28">
      <c r="A38" s="40" t="s">
        <v>23</v>
      </c>
      <c r="B38" s="41">
        <f>SUM(B7:B37)</f>
        <v>5757500</v>
      </c>
      <c r="C38" s="41">
        <f t="shared" ref="C38:T38" si="1">SUM(C7:C37)</f>
        <v>3882000</v>
      </c>
      <c r="D38" s="41">
        <f t="shared" si="1"/>
        <v>2871000</v>
      </c>
      <c r="E38" s="41">
        <f t="shared" si="1"/>
        <v>548500</v>
      </c>
      <c r="F38" s="41">
        <f t="shared" si="1"/>
        <v>3815500</v>
      </c>
      <c r="G38" s="41">
        <f t="shared" si="1"/>
        <v>174000</v>
      </c>
      <c r="H38" s="41">
        <f t="shared" si="1"/>
        <v>2374000</v>
      </c>
      <c r="I38" s="41">
        <f t="shared" si="1"/>
        <v>1708000</v>
      </c>
      <c r="J38" s="41">
        <f t="shared" si="1"/>
        <v>183000</v>
      </c>
      <c r="K38" s="41">
        <f t="shared" si="1"/>
        <v>0</v>
      </c>
      <c r="L38" s="41">
        <f t="shared" si="1"/>
        <v>0</v>
      </c>
      <c r="M38" s="41">
        <f t="shared" si="1"/>
        <v>0</v>
      </c>
      <c r="N38" s="41">
        <f t="shared" si="1"/>
        <v>0</v>
      </c>
      <c r="O38" s="41">
        <f t="shared" si="1"/>
        <v>0</v>
      </c>
      <c r="P38" s="41">
        <f t="shared" si="1"/>
        <v>0</v>
      </c>
      <c r="Q38" s="41">
        <f t="shared" si="1"/>
        <v>0</v>
      </c>
      <c r="R38" s="41">
        <f t="shared" si="1"/>
        <v>3527000</v>
      </c>
      <c r="S38" s="41">
        <f>SUM(S7:S37)</f>
        <v>0</v>
      </c>
      <c r="T38" s="41">
        <f t="shared" si="1"/>
        <v>24840500</v>
      </c>
      <c r="U38" s="34"/>
    </row>
    <row r="39" spans="1:28">
      <c r="A39" s="34"/>
      <c r="B39" s="34"/>
      <c r="C39" s="34"/>
      <c r="D39" s="34"/>
      <c r="E39" s="34"/>
      <c r="F39" s="34"/>
      <c r="G39" s="34"/>
      <c r="H39" s="34"/>
      <c r="I39" s="34"/>
      <c r="J39" s="34"/>
      <c r="K39" s="34"/>
      <c r="L39" s="34"/>
      <c r="M39" s="34"/>
      <c r="N39" s="34"/>
      <c r="O39" s="34"/>
      <c r="P39" s="34"/>
      <c r="Q39" s="34"/>
      <c r="R39" s="34"/>
      <c r="S39" s="34"/>
      <c r="T39" s="34"/>
      <c r="U39" s="34"/>
    </row>
  </sheetData>
  <mergeCells count="4">
    <mergeCell ref="B2:T2"/>
    <mergeCell ref="B3:T3"/>
    <mergeCell ref="C4:F4"/>
    <mergeCell ref="C5:F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H38"/>
  <sheetViews>
    <sheetView topLeftCell="N23" workbookViewId="0">
      <selection activeCell="B34" sqref="B33:H34"/>
    </sheetView>
  </sheetViews>
  <sheetFormatPr defaultRowHeight="15"/>
  <cols>
    <col min="2" max="2" width="18.28515625" customWidth="1"/>
    <col min="3" max="3" width="13" customWidth="1"/>
    <col min="4" max="4" width="13.28515625" customWidth="1"/>
    <col min="5" max="5" width="14.140625" customWidth="1"/>
    <col min="6" max="6" width="12.140625" customWidth="1"/>
    <col min="7" max="7" width="11.85546875" customWidth="1"/>
    <col min="8" max="8" width="17.85546875" customWidth="1"/>
  </cols>
  <sheetData>
    <row r="2" spans="2:8" ht="15.75" thickBot="1"/>
    <row r="3" spans="2:8" ht="26.25">
      <c r="B3" s="82" t="s">
        <v>68</v>
      </c>
      <c r="C3" s="83"/>
      <c r="D3" s="83"/>
      <c r="E3" s="83"/>
      <c r="F3" s="83"/>
      <c r="G3" s="84"/>
      <c r="H3" s="85"/>
    </row>
    <row r="4" spans="2:8" ht="26.25">
      <c r="B4" s="86" t="s">
        <v>0</v>
      </c>
      <c r="C4" s="87"/>
      <c r="D4" s="87"/>
      <c r="E4" s="87"/>
      <c r="F4" s="87"/>
      <c r="G4" s="88"/>
      <c r="H4" s="89"/>
    </row>
    <row r="5" spans="2:8" ht="15.75" thickBot="1">
      <c r="B5" s="1"/>
      <c r="C5" s="2"/>
      <c r="D5" s="2"/>
      <c r="E5" s="2"/>
      <c r="F5" s="2"/>
      <c r="G5" s="2"/>
      <c r="H5" s="3"/>
    </row>
    <row r="6" spans="2:8" ht="15.75" thickBot="1">
      <c r="B6" s="4"/>
      <c r="H6" s="5"/>
    </row>
    <row r="7" spans="2:8" ht="16.5" thickBot="1">
      <c r="B7" s="6" t="s">
        <v>1</v>
      </c>
      <c r="C7" s="90" t="s">
        <v>69</v>
      </c>
      <c r="D7" s="71"/>
      <c r="E7" s="72"/>
      <c r="F7" s="7"/>
      <c r="G7" s="7"/>
      <c r="H7" s="8"/>
    </row>
    <row r="8" spans="2:8" ht="16.5" thickBot="1">
      <c r="B8" s="9"/>
      <c r="C8" s="10"/>
      <c r="D8" s="10"/>
      <c r="E8" s="10"/>
      <c r="F8" s="10"/>
      <c r="G8" s="10"/>
      <c r="H8" s="8"/>
    </row>
    <row r="9" spans="2:8" ht="16.5" thickBot="1">
      <c r="B9" s="6" t="s">
        <v>24</v>
      </c>
      <c r="C9" s="70" t="s">
        <v>72</v>
      </c>
      <c r="D9" s="71"/>
      <c r="E9" s="72"/>
      <c r="F9" s="11"/>
      <c r="G9" s="11"/>
      <c r="H9" s="12"/>
    </row>
    <row r="10" spans="2:8" ht="15.75">
      <c r="B10" s="13" t="s">
        <v>25</v>
      </c>
      <c r="C10" s="14" t="s">
        <v>26</v>
      </c>
      <c r="D10" s="14" t="s">
        <v>27</v>
      </c>
      <c r="E10" s="14" t="s">
        <v>28</v>
      </c>
      <c r="F10" s="14" t="s">
        <v>29</v>
      </c>
      <c r="G10" s="15" t="s">
        <v>30</v>
      </c>
      <c r="H10" s="16" t="s">
        <v>31</v>
      </c>
    </row>
    <row r="11" spans="2:8" ht="15.75">
      <c r="B11" s="17" t="s">
        <v>4</v>
      </c>
      <c r="C11" s="18">
        <v>587500</v>
      </c>
      <c r="D11" s="18">
        <v>1358500</v>
      </c>
      <c r="E11" s="18">
        <v>1118500</v>
      </c>
      <c r="F11" s="18">
        <v>1657500</v>
      </c>
      <c r="G11" s="19">
        <v>1035500</v>
      </c>
      <c r="H11" s="20">
        <f t="shared" ref="H11:H19" si="0">SUM(C11:G11)</f>
        <v>5757500</v>
      </c>
    </row>
    <row r="12" spans="2:8" ht="15.75">
      <c r="B12" s="17" t="s">
        <v>5</v>
      </c>
      <c r="C12" s="18">
        <v>332000</v>
      </c>
      <c r="D12" s="18">
        <v>1154000</v>
      </c>
      <c r="E12" s="18">
        <v>1373000</v>
      </c>
      <c r="F12" s="18">
        <v>473000</v>
      </c>
      <c r="G12" s="19">
        <v>550000</v>
      </c>
      <c r="H12" s="20">
        <f t="shared" si="0"/>
        <v>3882000</v>
      </c>
    </row>
    <row r="13" spans="2:8" ht="15.75">
      <c r="B13" s="17" t="s">
        <v>32</v>
      </c>
      <c r="C13" s="18">
        <v>327000</v>
      </c>
      <c r="D13" s="18">
        <v>735500</v>
      </c>
      <c r="E13" s="18">
        <v>693500</v>
      </c>
      <c r="F13" s="18">
        <v>589000</v>
      </c>
      <c r="G13" s="19">
        <v>526000</v>
      </c>
      <c r="H13" s="20">
        <f t="shared" si="0"/>
        <v>2871000</v>
      </c>
    </row>
    <row r="14" spans="2:8" ht="15.75">
      <c r="B14" s="17" t="s">
        <v>33</v>
      </c>
      <c r="C14" s="18">
        <v>81500</v>
      </c>
      <c r="D14" s="18">
        <v>191500</v>
      </c>
      <c r="E14" s="18">
        <v>100500</v>
      </c>
      <c r="F14" s="18">
        <v>93500</v>
      </c>
      <c r="G14" s="19">
        <v>81500</v>
      </c>
      <c r="H14" s="20">
        <f t="shared" si="0"/>
        <v>548500</v>
      </c>
    </row>
    <row r="15" spans="2:8" ht="15.75">
      <c r="B15" s="17" t="s">
        <v>8</v>
      </c>
      <c r="C15" s="18">
        <v>439700</v>
      </c>
      <c r="D15" s="18">
        <v>886000</v>
      </c>
      <c r="E15" s="18">
        <v>871600</v>
      </c>
      <c r="F15" s="18">
        <v>831500</v>
      </c>
      <c r="G15" s="19">
        <v>786700</v>
      </c>
      <c r="H15" s="20">
        <f t="shared" si="0"/>
        <v>3815500</v>
      </c>
    </row>
    <row r="16" spans="2:8" ht="15.75">
      <c r="B16" s="17" t="s">
        <v>9</v>
      </c>
      <c r="C16" s="18">
        <v>42000</v>
      </c>
      <c r="D16" s="18">
        <v>72000</v>
      </c>
      <c r="E16" s="18">
        <v>36000</v>
      </c>
      <c r="F16" s="18">
        <v>18000</v>
      </c>
      <c r="G16" s="19">
        <v>6000</v>
      </c>
      <c r="H16" s="20">
        <f t="shared" si="0"/>
        <v>174000</v>
      </c>
    </row>
    <row r="17" spans="2:8" ht="15.75">
      <c r="B17" s="17" t="s">
        <v>10</v>
      </c>
      <c r="C17" s="18">
        <v>341000</v>
      </c>
      <c r="D17" s="18">
        <v>457000</v>
      </c>
      <c r="E17" s="18">
        <v>457500</v>
      </c>
      <c r="F17" s="18">
        <v>720500</v>
      </c>
      <c r="G17" s="19">
        <v>398000</v>
      </c>
      <c r="H17" s="20">
        <f t="shared" si="0"/>
        <v>2374000</v>
      </c>
    </row>
    <row r="18" spans="2:8" ht="15.75">
      <c r="B18" s="17" t="s">
        <v>11</v>
      </c>
      <c r="C18" s="18">
        <v>358000</v>
      </c>
      <c r="D18" s="18">
        <v>299000</v>
      </c>
      <c r="E18" s="18">
        <v>388500</v>
      </c>
      <c r="F18" s="18">
        <v>406500</v>
      </c>
      <c r="G18" s="19">
        <v>256000</v>
      </c>
      <c r="H18" s="20">
        <f t="shared" si="0"/>
        <v>1708000</v>
      </c>
    </row>
    <row r="19" spans="2:8" ht="15.75">
      <c r="B19" s="17" t="s">
        <v>12</v>
      </c>
      <c r="C19" s="18">
        <v>36500</v>
      </c>
      <c r="D19" s="18">
        <v>57000</v>
      </c>
      <c r="E19" s="18">
        <v>41500</v>
      </c>
      <c r="F19" s="18">
        <v>6000</v>
      </c>
      <c r="G19" s="19">
        <v>42000</v>
      </c>
      <c r="H19" s="20">
        <f t="shared" si="0"/>
        <v>183000</v>
      </c>
    </row>
    <row r="20" spans="2:8" ht="15.75">
      <c r="B20" s="17" t="s">
        <v>13</v>
      </c>
      <c r="C20" s="18"/>
      <c r="D20" s="18"/>
      <c r="E20" s="18"/>
      <c r="F20" s="18"/>
      <c r="G20" s="19"/>
      <c r="H20" s="20">
        <f t="shared" ref="H20:H27" si="1">SUM(C20:F20)</f>
        <v>0</v>
      </c>
    </row>
    <row r="21" spans="2:8" ht="15.75">
      <c r="B21" s="17" t="s">
        <v>14</v>
      </c>
      <c r="C21" s="18"/>
      <c r="D21" s="18"/>
      <c r="E21" s="18"/>
      <c r="F21" s="18"/>
      <c r="G21" s="19"/>
      <c r="H21" s="20">
        <f t="shared" si="1"/>
        <v>0</v>
      </c>
    </row>
    <row r="22" spans="2:8" ht="15.75">
      <c r="B22" s="17" t="s">
        <v>15</v>
      </c>
      <c r="C22" s="18"/>
      <c r="D22" s="18"/>
      <c r="E22" s="18"/>
      <c r="F22" s="18"/>
      <c r="G22" s="19"/>
      <c r="H22" s="20">
        <f t="shared" si="1"/>
        <v>0</v>
      </c>
    </row>
    <row r="23" spans="2:8" ht="15.75">
      <c r="B23" s="17" t="s">
        <v>16</v>
      </c>
      <c r="C23" s="18"/>
      <c r="D23" s="18"/>
      <c r="E23" s="18"/>
      <c r="F23" s="18"/>
      <c r="G23" s="19"/>
      <c r="H23" s="20">
        <f t="shared" si="1"/>
        <v>0</v>
      </c>
    </row>
    <row r="24" spans="2:8" ht="15.75">
      <c r="B24" s="17" t="s">
        <v>17</v>
      </c>
      <c r="C24" s="18">
        <v>42000</v>
      </c>
      <c r="D24" s="18">
        <v>37000</v>
      </c>
      <c r="E24" s="18">
        <v>84000</v>
      </c>
      <c r="F24" s="18">
        <v>47000</v>
      </c>
      <c r="G24" s="19">
        <v>0</v>
      </c>
      <c r="H24" s="20">
        <f>SUM(C24:G24)</f>
        <v>210000</v>
      </c>
    </row>
    <row r="25" spans="2:8" ht="15.75">
      <c r="B25" s="17" t="s">
        <v>18</v>
      </c>
      <c r="C25" s="18"/>
      <c r="D25" s="18"/>
      <c r="E25" s="18"/>
      <c r="F25" s="18"/>
      <c r="G25" s="19"/>
      <c r="H25" s="20">
        <f t="shared" si="1"/>
        <v>0</v>
      </c>
    </row>
    <row r="26" spans="2:8" ht="15.75">
      <c r="B26" s="17" t="s">
        <v>19</v>
      </c>
      <c r="C26" s="18"/>
      <c r="D26" s="18"/>
      <c r="E26" s="18"/>
      <c r="F26" s="18"/>
      <c r="G26" s="19"/>
      <c r="H26" s="20">
        <f t="shared" si="1"/>
        <v>0</v>
      </c>
    </row>
    <row r="27" spans="2:8" ht="15.75">
      <c r="B27" s="17" t="s">
        <v>34</v>
      </c>
      <c r="C27" s="18"/>
      <c r="D27" s="18"/>
      <c r="E27" s="18"/>
      <c r="F27" s="18"/>
      <c r="G27" s="19"/>
      <c r="H27" s="20">
        <f t="shared" si="1"/>
        <v>0</v>
      </c>
    </row>
    <row r="28" spans="2:8" ht="16.5" thickBot="1">
      <c r="B28" s="21" t="s">
        <v>35</v>
      </c>
      <c r="C28" s="22">
        <f t="shared" ref="C28:H28" si="2">SUM(C11:C27)</f>
        <v>2587200</v>
      </c>
      <c r="D28" s="22">
        <f t="shared" si="2"/>
        <v>5247500</v>
      </c>
      <c r="E28" s="22">
        <f t="shared" si="2"/>
        <v>5164600</v>
      </c>
      <c r="F28" s="22">
        <f t="shared" si="2"/>
        <v>4842500</v>
      </c>
      <c r="G28" s="22">
        <f t="shared" si="2"/>
        <v>3681700</v>
      </c>
      <c r="H28" s="23">
        <f t="shared" si="2"/>
        <v>21523500</v>
      </c>
    </row>
    <row r="30" spans="2:8" ht="15.75" thickBot="1"/>
    <row r="31" spans="2:8" ht="21.75" thickBot="1">
      <c r="B31" s="73" t="s">
        <v>36</v>
      </c>
      <c r="C31" s="74"/>
      <c r="D31" s="74"/>
      <c r="E31" s="74"/>
      <c r="F31" s="74"/>
      <c r="G31" s="74"/>
      <c r="H31" s="75"/>
    </row>
    <row r="32" spans="2:8" ht="15.75" thickBot="1">
      <c r="B32" s="77"/>
      <c r="C32" s="68"/>
      <c r="D32" s="68"/>
      <c r="E32" s="68"/>
      <c r="F32" s="68"/>
      <c r="G32" s="68"/>
      <c r="H32" s="69"/>
    </row>
    <row r="33" spans="2:8" ht="15.75" thickBot="1">
      <c r="B33" s="24"/>
      <c r="C33" s="25"/>
      <c r="D33" s="25"/>
      <c r="E33" s="25"/>
      <c r="F33" s="25"/>
      <c r="G33" s="25"/>
      <c r="H33" s="26"/>
    </row>
    <row r="34" spans="2:8" ht="15.75" thickBot="1">
      <c r="B34" s="67"/>
      <c r="C34" s="68"/>
      <c r="D34" s="68"/>
      <c r="E34" s="68"/>
      <c r="F34" s="68"/>
      <c r="G34" s="68"/>
      <c r="H34" s="69"/>
    </row>
    <row r="35" spans="2:8" ht="15.75" thickBot="1">
      <c r="B35" s="77"/>
      <c r="C35" s="68"/>
      <c r="D35" s="68"/>
      <c r="E35" s="68"/>
      <c r="F35" s="68"/>
      <c r="G35" s="68"/>
      <c r="H35" s="69"/>
    </row>
    <row r="36" spans="2:8" ht="15.75" thickBot="1">
      <c r="B36" s="67"/>
      <c r="C36" s="68"/>
      <c r="D36" s="68"/>
      <c r="E36" s="68"/>
      <c r="F36" s="68"/>
      <c r="G36" s="68"/>
      <c r="H36" s="69"/>
    </row>
    <row r="37" spans="2:8" ht="15.75" thickBot="1">
      <c r="B37" s="67"/>
      <c r="C37" s="68"/>
      <c r="D37" s="68"/>
      <c r="E37" s="68"/>
      <c r="F37" s="68"/>
      <c r="G37" s="68"/>
      <c r="H37" s="69"/>
    </row>
    <row r="38" spans="2:8">
      <c r="B38" s="81"/>
      <c r="C38" s="81"/>
      <c r="D38" s="81"/>
      <c r="E38" s="81"/>
      <c r="F38" s="81"/>
      <c r="G38" s="81"/>
      <c r="H38" s="81"/>
    </row>
  </sheetData>
  <mergeCells count="11">
    <mergeCell ref="B34:H34"/>
    <mergeCell ref="B35:H35"/>
    <mergeCell ref="B36:H36"/>
    <mergeCell ref="B37:H37"/>
    <mergeCell ref="B38:H38"/>
    <mergeCell ref="B32:H32"/>
    <mergeCell ref="B3:H3"/>
    <mergeCell ref="B4:H4"/>
    <mergeCell ref="C7:E7"/>
    <mergeCell ref="C9:E9"/>
    <mergeCell ref="B31:H31"/>
  </mergeCells>
  <pageMargins left="0.7" right="0.7" top="0.75" bottom="0.75" header="0.3" footer="0.3"/>
  <pageSetup orientation="landscape"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39"/>
  <sheetViews>
    <sheetView topLeftCell="C1" workbookViewId="0">
      <selection activeCell="O37" sqref="O37"/>
    </sheetView>
  </sheetViews>
  <sheetFormatPr defaultRowHeight="15"/>
  <cols>
    <col min="1" max="1" width="12.7109375" customWidth="1"/>
    <col min="2" max="2" width="11.140625" customWidth="1"/>
    <col min="3" max="3" width="14.5703125" customWidth="1"/>
    <col min="4" max="4" width="12.7109375" customWidth="1"/>
    <col min="5" max="5" width="13.140625" customWidth="1"/>
    <col min="6" max="6" width="12.42578125" customWidth="1"/>
    <col min="7" max="7" width="11.5703125" customWidth="1"/>
    <col min="8" max="8" width="12" customWidth="1"/>
    <col min="9" max="9" width="11.140625" customWidth="1"/>
    <col min="11" max="11" width="5.5703125" customWidth="1"/>
    <col min="12" max="12" width="5" customWidth="1"/>
    <col min="13" max="13" width="5.7109375" customWidth="1"/>
    <col min="14" max="14" width="5" customWidth="1"/>
    <col min="15" max="15" width="9.85546875" customWidth="1"/>
    <col min="16" max="16" width="5.5703125" customWidth="1"/>
    <col min="17" max="17" width="4.5703125" customWidth="1"/>
    <col min="18" max="18" width="10.140625" customWidth="1"/>
    <col min="19" max="19" width="6.85546875" customWidth="1"/>
    <col min="20" max="20" width="11.85546875" customWidth="1"/>
  </cols>
  <sheetData>
    <row r="1" spans="1:21" ht="15.75" thickBot="1"/>
    <row r="2" spans="1:21" ht="26.25" customHeight="1">
      <c r="A2" s="28"/>
      <c r="B2" s="55" t="s">
        <v>68</v>
      </c>
      <c r="C2" s="56"/>
      <c r="D2" s="56"/>
      <c r="E2" s="56"/>
      <c r="F2" s="56"/>
      <c r="G2" s="56"/>
      <c r="H2" s="56"/>
      <c r="I2" s="56"/>
      <c r="J2" s="56"/>
      <c r="K2" s="56"/>
      <c r="L2" s="56"/>
      <c r="M2" s="56"/>
      <c r="N2" s="56"/>
      <c r="O2" s="56"/>
      <c r="P2" s="56"/>
      <c r="Q2" s="56"/>
      <c r="R2" s="56"/>
      <c r="S2" s="56"/>
      <c r="T2" s="57"/>
    </row>
    <row r="3" spans="1:21" ht="27" thickBot="1">
      <c r="A3" s="4"/>
      <c r="B3" s="58" t="s">
        <v>0</v>
      </c>
      <c r="C3" s="59"/>
      <c r="D3" s="59"/>
      <c r="E3" s="59"/>
      <c r="F3" s="59"/>
      <c r="G3" s="59"/>
      <c r="H3" s="59"/>
      <c r="I3" s="59"/>
      <c r="J3" s="59"/>
      <c r="K3" s="59"/>
      <c r="L3" s="59"/>
      <c r="M3" s="59"/>
      <c r="N3" s="59"/>
      <c r="O3" s="59"/>
      <c r="P3" s="59"/>
      <c r="Q3" s="59"/>
      <c r="R3" s="59"/>
      <c r="S3" s="59"/>
      <c r="T3" s="60"/>
    </row>
    <row r="4" spans="1:21" ht="27" customHeight="1" thickBot="1">
      <c r="A4" s="4"/>
      <c r="B4" s="29" t="s">
        <v>1</v>
      </c>
      <c r="C4" s="61" t="s">
        <v>69</v>
      </c>
      <c r="D4" s="62"/>
      <c r="E4" s="62"/>
      <c r="F4" s="63"/>
      <c r="T4" s="5"/>
    </row>
    <row r="5" spans="1:21" ht="21">
      <c r="A5" s="4"/>
      <c r="B5" s="30" t="s">
        <v>2</v>
      </c>
      <c r="C5" s="78">
        <v>45200</v>
      </c>
      <c r="D5" s="79"/>
      <c r="E5" s="79"/>
      <c r="F5" s="80"/>
      <c r="T5" s="5"/>
    </row>
    <row r="6" spans="1:21" ht="101.25">
      <c r="A6" s="32" t="s">
        <v>3</v>
      </c>
      <c r="B6" s="33" t="s">
        <v>4</v>
      </c>
      <c r="C6" s="33" t="s">
        <v>5</v>
      </c>
      <c r="D6" s="33" t="s">
        <v>6</v>
      </c>
      <c r="E6" s="33" t="s">
        <v>7</v>
      </c>
      <c r="F6" s="33" t="s">
        <v>8</v>
      </c>
      <c r="G6" s="33" t="s">
        <v>9</v>
      </c>
      <c r="H6" s="33" t="s">
        <v>10</v>
      </c>
      <c r="I6" s="33" t="s">
        <v>11</v>
      </c>
      <c r="J6" s="33" t="s">
        <v>12</v>
      </c>
      <c r="K6" s="33" t="s">
        <v>13</v>
      </c>
      <c r="L6" s="33" t="s">
        <v>14</v>
      </c>
      <c r="M6" s="33" t="s">
        <v>15</v>
      </c>
      <c r="N6" s="33" t="s">
        <v>16</v>
      </c>
      <c r="O6" s="33" t="s">
        <v>17</v>
      </c>
      <c r="P6" s="33" t="s">
        <v>18</v>
      </c>
      <c r="Q6" s="33" t="s">
        <v>19</v>
      </c>
      <c r="R6" s="33" t="s">
        <v>20</v>
      </c>
      <c r="S6" s="33" t="s">
        <v>21</v>
      </c>
      <c r="T6" s="33" t="s">
        <v>22</v>
      </c>
      <c r="U6" s="34"/>
    </row>
    <row r="7" spans="1:21">
      <c r="A7" s="35" t="s">
        <v>67</v>
      </c>
      <c r="B7" s="36">
        <v>104000</v>
      </c>
      <c r="C7" s="36">
        <v>22000</v>
      </c>
      <c r="D7" s="36">
        <v>81500</v>
      </c>
      <c r="E7" s="36">
        <v>12000</v>
      </c>
      <c r="F7" s="36">
        <v>74500</v>
      </c>
      <c r="G7" s="36"/>
      <c r="H7" s="36">
        <v>18000</v>
      </c>
      <c r="I7" s="36">
        <v>0</v>
      </c>
      <c r="J7" s="36">
        <v>8000</v>
      </c>
      <c r="K7" s="36">
        <v>0</v>
      </c>
      <c r="L7" s="36"/>
      <c r="M7" s="36"/>
      <c r="N7" s="36"/>
      <c r="O7" s="36">
        <v>4000</v>
      </c>
      <c r="P7" s="36">
        <v>0</v>
      </c>
      <c r="Q7" s="36">
        <v>0</v>
      </c>
      <c r="R7" s="36"/>
      <c r="S7" s="37"/>
      <c r="T7" s="38">
        <f t="shared" ref="T7:T36" si="0">SUM(B7:S7)</f>
        <v>324000</v>
      </c>
      <c r="U7" s="34"/>
    </row>
    <row r="8" spans="1:21">
      <c r="A8" s="35" t="s">
        <v>37</v>
      </c>
      <c r="B8" s="36">
        <v>174000</v>
      </c>
      <c r="C8" s="36">
        <v>47000</v>
      </c>
      <c r="D8" s="36">
        <v>103000</v>
      </c>
      <c r="E8" s="36">
        <v>11000</v>
      </c>
      <c r="F8" s="36">
        <v>149000</v>
      </c>
      <c r="G8" s="36">
        <v>24000</v>
      </c>
      <c r="H8" s="36">
        <v>100000</v>
      </c>
      <c r="I8" s="36">
        <v>60000</v>
      </c>
      <c r="J8" s="36">
        <v>2000</v>
      </c>
      <c r="K8" s="36">
        <v>0</v>
      </c>
      <c r="L8" s="36"/>
      <c r="M8" s="36"/>
      <c r="N8" s="36"/>
      <c r="O8" s="36">
        <v>12000</v>
      </c>
      <c r="P8" s="36"/>
      <c r="Q8" s="36"/>
      <c r="R8" s="36"/>
      <c r="S8" s="37"/>
      <c r="T8" s="38">
        <f t="shared" si="0"/>
        <v>682000</v>
      </c>
      <c r="U8" s="34"/>
    </row>
    <row r="9" spans="1:21">
      <c r="A9" s="35" t="s">
        <v>38</v>
      </c>
      <c r="B9" s="36">
        <v>150000</v>
      </c>
      <c r="C9" s="36">
        <v>24000</v>
      </c>
      <c r="D9" s="36">
        <v>107000</v>
      </c>
      <c r="E9" s="36">
        <v>18000</v>
      </c>
      <c r="F9" s="36">
        <v>106000</v>
      </c>
      <c r="G9" s="36"/>
      <c r="H9" s="36">
        <v>53000</v>
      </c>
      <c r="I9" s="36">
        <v>27500</v>
      </c>
      <c r="J9" s="36">
        <v>12000</v>
      </c>
      <c r="K9" s="36">
        <v>0</v>
      </c>
      <c r="L9" s="36"/>
      <c r="M9" s="36"/>
      <c r="N9" s="36"/>
      <c r="O9" s="36">
        <v>4000</v>
      </c>
      <c r="P9" s="36"/>
      <c r="Q9" s="36"/>
      <c r="R9" s="36"/>
      <c r="S9" s="37"/>
      <c r="T9" s="38">
        <f t="shared" si="0"/>
        <v>501500</v>
      </c>
      <c r="U9" s="34"/>
    </row>
    <row r="10" spans="1:21">
      <c r="A10" s="35" t="s">
        <v>39</v>
      </c>
      <c r="B10" s="36">
        <v>150000</v>
      </c>
      <c r="C10" s="36">
        <v>66000</v>
      </c>
      <c r="D10" s="36">
        <v>160000</v>
      </c>
      <c r="E10" s="36">
        <v>22000</v>
      </c>
      <c r="F10" s="36">
        <v>100000</v>
      </c>
      <c r="G10" s="36"/>
      <c r="H10" s="36">
        <v>36000</v>
      </c>
      <c r="I10" s="36">
        <v>29000</v>
      </c>
      <c r="J10" s="36">
        <v>2000</v>
      </c>
      <c r="K10" s="36">
        <v>0</v>
      </c>
      <c r="L10" s="36"/>
      <c r="M10" s="36"/>
      <c r="N10" s="36"/>
      <c r="O10" s="36">
        <v>0</v>
      </c>
      <c r="P10" s="36"/>
      <c r="Q10" s="36"/>
      <c r="R10" s="36"/>
      <c r="S10" s="37"/>
      <c r="T10" s="38">
        <f t="shared" si="0"/>
        <v>565000</v>
      </c>
      <c r="U10" s="34"/>
    </row>
    <row r="11" spans="1:21">
      <c r="A11" s="35" t="s">
        <v>40</v>
      </c>
      <c r="B11" s="37">
        <v>166000</v>
      </c>
      <c r="C11" s="37">
        <v>46000</v>
      </c>
      <c r="D11" s="37">
        <v>76000</v>
      </c>
      <c r="E11" s="37">
        <v>24000</v>
      </c>
      <c r="F11" s="37">
        <v>107000</v>
      </c>
      <c r="G11" s="37">
        <v>12000</v>
      </c>
      <c r="H11" s="37">
        <v>37000</v>
      </c>
      <c r="I11" s="37">
        <v>40500</v>
      </c>
      <c r="J11" s="37">
        <v>2000</v>
      </c>
      <c r="K11" s="37">
        <v>0</v>
      </c>
      <c r="L11" s="37"/>
      <c r="M11" s="37"/>
      <c r="N11" s="37"/>
      <c r="O11" s="37">
        <v>20000</v>
      </c>
      <c r="P11" s="37"/>
      <c r="Q11" s="37"/>
      <c r="R11" s="37"/>
      <c r="S11" s="37"/>
      <c r="T11" s="37">
        <f t="shared" si="0"/>
        <v>530500</v>
      </c>
      <c r="U11" s="34"/>
    </row>
    <row r="12" spans="1:21">
      <c r="A12" s="35" t="s">
        <v>41</v>
      </c>
      <c r="B12" s="37">
        <v>305000</v>
      </c>
      <c r="C12" s="37">
        <v>366000</v>
      </c>
      <c r="D12" s="37">
        <v>125000</v>
      </c>
      <c r="E12" s="37">
        <v>22000</v>
      </c>
      <c r="F12" s="37">
        <v>108000</v>
      </c>
      <c r="G12" s="37"/>
      <c r="H12" s="37">
        <v>43000</v>
      </c>
      <c r="I12" s="37">
        <v>63000</v>
      </c>
      <c r="J12" s="37">
        <v>8000</v>
      </c>
      <c r="K12" s="37">
        <v>0</v>
      </c>
      <c r="L12" s="37"/>
      <c r="M12" s="37"/>
      <c r="N12" s="37"/>
      <c r="O12" s="37">
        <v>12000</v>
      </c>
      <c r="P12" s="37"/>
      <c r="Q12" s="37"/>
      <c r="R12" s="37"/>
      <c r="S12" s="37"/>
      <c r="T12" s="37">
        <f t="shared" si="0"/>
        <v>1052000</v>
      </c>
      <c r="U12" s="34"/>
    </row>
    <row r="13" spans="1:21">
      <c r="A13" s="35" t="s">
        <v>42</v>
      </c>
      <c r="B13" s="37">
        <v>176000</v>
      </c>
      <c r="C13" s="37">
        <v>500000</v>
      </c>
      <c r="D13" s="37">
        <v>88000</v>
      </c>
      <c r="E13" s="37">
        <v>15000</v>
      </c>
      <c r="F13" s="37">
        <v>131500</v>
      </c>
      <c r="G13" s="37"/>
      <c r="H13" s="37">
        <v>170000</v>
      </c>
      <c r="I13" s="37">
        <v>158500</v>
      </c>
      <c r="J13" s="37">
        <v>15000</v>
      </c>
      <c r="K13" s="37">
        <v>0</v>
      </c>
      <c r="L13" s="37"/>
      <c r="M13" s="37"/>
      <c r="N13" s="37"/>
      <c r="O13" s="37">
        <v>0</v>
      </c>
      <c r="P13" s="37"/>
      <c r="Q13" s="37"/>
      <c r="R13" s="37"/>
      <c r="S13" s="37"/>
      <c r="T13" s="37">
        <f t="shared" si="0"/>
        <v>1254000</v>
      </c>
      <c r="U13" s="34"/>
    </row>
    <row r="14" spans="1:21">
      <c r="A14" s="35" t="s">
        <v>43</v>
      </c>
      <c r="B14" s="37">
        <v>210000</v>
      </c>
      <c r="C14" s="37">
        <v>120000</v>
      </c>
      <c r="D14" s="37">
        <v>75000</v>
      </c>
      <c r="E14" s="37">
        <v>8000</v>
      </c>
      <c r="F14" s="37">
        <v>122000</v>
      </c>
      <c r="G14" s="37"/>
      <c r="H14" s="37">
        <v>27500</v>
      </c>
      <c r="I14" s="37">
        <v>12000</v>
      </c>
      <c r="J14" s="37">
        <v>6000</v>
      </c>
      <c r="K14" s="37">
        <v>0</v>
      </c>
      <c r="L14" s="37"/>
      <c r="M14" s="37"/>
      <c r="N14" s="37"/>
      <c r="O14" s="37">
        <v>0</v>
      </c>
      <c r="P14" s="37"/>
      <c r="Q14" s="37"/>
      <c r="R14" s="37"/>
      <c r="S14" s="37"/>
      <c r="T14" s="37">
        <f t="shared" si="0"/>
        <v>580500</v>
      </c>
      <c r="U14" s="34"/>
    </row>
    <row r="15" spans="1:21">
      <c r="A15" s="35" t="s">
        <v>44</v>
      </c>
      <c r="B15" s="37">
        <v>152000</v>
      </c>
      <c r="C15" s="37">
        <v>51000</v>
      </c>
      <c r="D15" s="37">
        <v>124000</v>
      </c>
      <c r="E15" s="37">
        <v>20000</v>
      </c>
      <c r="F15" s="37">
        <v>214000</v>
      </c>
      <c r="G15" s="37"/>
      <c r="H15" s="37">
        <v>54000</v>
      </c>
      <c r="I15" s="37">
        <v>28500</v>
      </c>
      <c r="J15" s="37">
        <v>8500</v>
      </c>
      <c r="K15" s="37">
        <v>0</v>
      </c>
      <c r="L15" s="37"/>
      <c r="M15" s="37"/>
      <c r="N15" s="37"/>
      <c r="O15" s="37">
        <v>0</v>
      </c>
      <c r="P15" s="37"/>
      <c r="Q15" s="37"/>
      <c r="R15" s="37"/>
      <c r="S15" s="37"/>
      <c r="T15" s="37">
        <f t="shared" si="0"/>
        <v>652000</v>
      </c>
      <c r="U15" s="34"/>
    </row>
    <row r="16" spans="1:21">
      <c r="A16" s="35" t="s">
        <v>45</v>
      </c>
      <c r="B16" s="37">
        <v>172000</v>
      </c>
      <c r="C16" s="37">
        <v>132000</v>
      </c>
      <c r="D16" s="37">
        <v>67000</v>
      </c>
      <c r="E16" s="37">
        <v>15500</v>
      </c>
      <c r="F16" s="37">
        <v>133000</v>
      </c>
      <c r="G16" s="37">
        <v>6000</v>
      </c>
      <c r="H16" s="37">
        <v>63000</v>
      </c>
      <c r="I16" s="37">
        <v>82000</v>
      </c>
      <c r="J16" s="37"/>
      <c r="K16" s="37">
        <v>0</v>
      </c>
      <c r="L16" s="37"/>
      <c r="M16" s="37"/>
      <c r="N16" s="37"/>
      <c r="O16" s="37">
        <v>0</v>
      </c>
      <c r="P16" s="37"/>
      <c r="Q16" s="37"/>
      <c r="R16" s="37"/>
      <c r="S16" s="37"/>
      <c r="T16" s="37">
        <f t="shared" si="0"/>
        <v>670500</v>
      </c>
      <c r="U16" s="34"/>
    </row>
    <row r="17" spans="1:28">
      <c r="A17" s="35" t="s">
        <v>46</v>
      </c>
      <c r="B17" s="37">
        <v>87500</v>
      </c>
      <c r="C17" s="37">
        <v>38000</v>
      </c>
      <c r="D17" s="37">
        <v>72000</v>
      </c>
      <c r="E17" s="37">
        <v>0</v>
      </c>
      <c r="F17" s="37">
        <v>97500</v>
      </c>
      <c r="G17" s="37">
        <v>6000</v>
      </c>
      <c r="H17" s="37">
        <v>86000</v>
      </c>
      <c r="I17" s="37">
        <v>54000</v>
      </c>
      <c r="J17" s="37">
        <v>1000</v>
      </c>
      <c r="K17" s="37">
        <v>0</v>
      </c>
      <c r="L17" s="37"/>
      <c r="M17" s="37"/>
      <c r="N17" s="37"/>
      <c r="O17" s="37">
        <v>16000</v>
      </c>
      <c r="P17" s="37"/>
      <c r="Q17" s="37"/>
      <c r="R17" s="37"/>
      <c r="S17" s="37"/>
      <c r="T17" s="37">
        <f t="shared" si="0"/>
        <v>458000</v>
      </c>
      <c r="U17" s="34"/>
    </row>
    <row r="18" spans="1:28">
      <c r="A18" s="35" t="s">
        <v>47</v>
      </c>
      <c r="B18" s="37">
        <v>178500</v>
      </c>
      <c r="C18" s="37">
        <v>81000</v>
      </c>
      <c r="D18" s="37">
        <v>116500</v>
      </c>
      <c r="E18" s="37">
        <v>5000</v>
      </c>
      <c r="F18" s="37">
        <v>123000</v>
      </c>
      <c r="G18" s="37">
        <v>36000</v>
      </c>
      <c r="H18" s="37">
        <v>19000</v>
      </c>
      <c r="I18" s="37">
        <v>22000</v>
      </c>
      <c r="J18" s="37"/>
      <c r="K18" s="37">
        <v>0</v>
      </c>
      <c r="L18" s="37"/>
      <c r="M18" s="37"/>
      <c r="N18" s="37"/>
      <c r="O18" s="37">
        <v>8000</v>
      </c>
      <c r="P18" s="37"/>
      <c r="Q18" s="37"/>
      <c r="R18" s="37"/>
      <c r="S18" s="37"/>
      <c r="T18" s="38">
        <f t="shared" si="0"/>
        <v>589000</v>
      </c>
      <c r="U18" s="34"/>
    </row>
    <row r="19" spans="1:28">
      <c r="A19" s="35" t="s">
        <v>48</v>
      </c>
      <c r="B19" s="37">
        <v>183000</v>
      </c>
      <c r="C19" s="37">
        <v>121000</v>
      </c>
      <c r="D19" s="37">
        <v>88500</v>
      </c>
      <c r="E19" s="37">
        <v>15500</v>
      </c>
      <c r="F19" s="37">
        <v>123500</v>
      </c>
      <c r="G19" s="37"/>
      <c r="H19" s="37">
        <v>6000</v>
      </c>
      <c r="I19" s="37">
        <v>20000</v>
      </c>
      <c r="J19" s="37">
        <v>8000</v>
      </c>
      <c r="K19" s="37">
        <v>0</v>
      </c>
      <c r="L19" s="37"/>
      <c r="M19" s="37"/>
      <c r="N19" s="37"/>
      <c r="O19" s="37">
        <v>0</v>
      </c>
      <c r="P19" s="37"/>
      <c r="Q19" s="37"/>
      <c r="R19" s="37"/>
      <c r="S19" s="37"/>
      <c r="T19" s="38">
        <f t="shared" si="0"/>
        <v>565500</v>
      </c>
      <c r="U19" s="34"/>
    </row>
    <row r="20" spans="1:28">
      <c r="A20" s="35" t="s">
        <v>49</v>
      </c>
      <c r="B20" s="37">
        <v>206000</v>
      </c>
      <c r="C20" s="37">
        <v>211000</v>
      </c>
      <c r="D20" s="37">
        <v>154000</v>
      </c>
      <c r="E20" s="37">
        <v>7500</v>
      </c>
      <c r="F20" s="37">
        <v>139000</v>
      </c>
      <c r="G20" s="37"/>
      <c r="H20" s="37">
        <v>86500</v>
      </c>
      <c r="I20" s="37">
        <v>90000</v>
      </c>
      <c r="J20" s="37">
        <v>17000</v>
      </c>
      <c r="K20" s="37">
        <v>0</v>
      </c>
      <c r="L20" s="37"/>
      <c r="M20" s="37"/>
      <c r="N20" s="37"/>
      <c r="O20" s="37">
        <v>8000</v>
      </c>
      <c r="P20" s="37"/>
      <c r="Q20" s="37"/>
      <c r="R20" s="37"/>
      <c r="S20" s="37"/>
      <c r="T20" s="38">
        <f t="shared" si="0"/>
        <v>919000</v>
      </c>
      <c r="U20" s="34"/>
    </row>
    <row r="21" spans="1:28">
      <c r="A21" s="35" t="s">
        <v>50</v>
      </c>
      <c r="B21" s="37">
        <v>167500</v>
      </c>
      <c r="C21" s="37">
        <v>83000</v>
      </c>
      <c r="D21" s="37">
        <v>79000</v>
      </c>
      <c r="E21" s="37">
        <v>19000</v>
      </c>
      <c r="F21" s="37">
        <v>118000</v>
      </c>
      <c r="G21" s="37"/>
      <c r="H21" s="37">
        <v>34500</v>
      </c>
      <c r="I21" s="37">
        <v>25000</v>
      </c>
      <c r="J21" s="37">
        <v>13000</v>
      </c>
      <c r="K21" s="37">
        <v>0</v>
      </c>
      <c r="L21" s="37"/>
      <c r="M21" s="37"/>
      <c r="N21" s="37"/>
      <c r="O21" s="37">
        <v>0</v>
      </c>
      <c r="P21" s="37"/>
      <c r="Q21" s="37"/>
      <c r="R21" s="37"/>
      <c r="S21" s="37"/>
      <c r="T21" s="38">
        <f t="shared" si="0"/>
        <v>539000</v>
      </c>
      <c r="U21" s="34"/>
    </row>
    <row r="22" spans="1:28">
      <c r="A22" s="35" t="s">
        <v>73</v>
      </c>
      <c r="B22" s="37">
        <v>165500</v>
      </c>
      <c r="C22" s="37">
        <v>24000</v>
      </c>
      <c r="D22" s="37">
        <v>93500</v>
      </c>
      <c r="E22" s="37">
        <v>4500</v>
      </c>
      <c r="F22" s="37">
        <v>89000</v>
      </c>
      <c r="G22" s="37"/>
      <c r="H22" s="37">
        <v>38000</v>
      </c>
      <c r="I22" s="37">
        <v>38500</v>
      </c>
      <c r="J22" s="37">
        <v>2000</v>
      </c>
      <c r="K22" s="37">
        <v>0</v>
      </c>
      <c r="L22" s="37"/>
      <c r="M22" s="37"/>
      <c r="N22" s="37"/>
      <c r="O22" s="37">
        <v>12000</v>
      </c>
      <c r="P22" s="37"/>
      <c r="Q22" s="37"/>
      <c r="R22" s="37"/>
      <c r="S22" s="37"/>
      <c r="T22" s="38">
        <f t="shared" si="0"/>
        <v>467000</v>
      </c>
      <c r="U22" s="34"/>
    </row>
    <row r="23" spans="1:28">
      <c r="A23" s="35" t="s">
        <v>52</v>
      </c>
      <c r="B23" s="37">
        <v>232000</v>
      </c>
      <c r="C23" s="37">
        <v>25000</v>
      </c>
      <c r="D23" s="37">
        <v>77500</v>
      </c>
      <c r="E23" s="37">
        <v>6500</v>
      </c>
      <c r="F23" s="37">
        <v>109500</v>
      </c>
      <c r="G23" s="37"/>
      <c r="H23" s="37">
        <v>33000</v>
      </c>
      <c r="I23" s="37">
        <v>63500</v>
      </c>
      <c r="J23" s="37">
        <v>5000</v>
      </c>
      <c r="K23" s="37">
        <v>0</v>
      </c>
      <c r="L23" s="37"/>
      <c r="M23" s="37"/>
      <c r="N23" s="37"/>
      <c r="O23" s="37">
        <v>8000</v>
      </c>
      <c r="P23" s="37"/>
      <c r="Q23" s="37"/>
      <c r="R23" s="37"/>
      <c r="S23" s="37"/>
      <c r="T23" s="38">
        <f t="shared" si="0"/>
        <v>560000</v>
      </c>
      <c r="U23" s="34"/>
    </row>
    <row r="24" spans="1:28">
      <c r="A24" s="35" t="s">
        <v>53</v>
      </c>
      <c r="B24" s="37">
        <v>147000</v>
      </c>
      <c r="C24" s="37">
        <v>40000</v>
      </c>
      <c r="D24" s="37">
        <v>82000</v>
      </c>
      <c r="E24" s="37">
        <v>12500</v>
      </c>
      <c r="F24" s="37">
        <v>103500</v>
      </c>
      <c r="G24" s="37"/>
      <c r="H24" s="37">
        <v>56000</v>
      </c>
      <c r="I24" s="37">
        <v>101500</v>
      </c>
      <c r="J24" s="37">
        <v>2000</v>
      </c>
      <c r="K24" s="37">
        <v>0</v>
      </c>
      <c r="L24" s="37"/>
      <c r="M24" s="37"/>
      <c r="N24" s="37"/>
      <c r="O24" s="37">
        <v>0</v>
      </c>
      <c r="P24" s="37"/>
      <c r="Q24" s="37"/>
      <c r="R24" s="37"/>
      <c r="S24" s="37"/>
      <c r="T24" s="38">
        <f t="shared" si="0"/>
        <v>544500</v>
      </c>
      <c r="U24" s="34"/>
    </row>
    <row r="25" spans="1:28">
      <c r="A25" s="35" t="s">
        <v>54</v>
      </c>
      <c r="B25" s="37">
        <v>142000</v>
      </c>
      <c r="C25" s="37">
        <v>46000</v>
      </c>
      <c r="D25" s="37">
        <v>62000</v>
      </c>
      <c r="E25" s="37">
        <v>14500</v>
      </c>
      <c r="F25" s="37">
        <v>115500</v>
      </c>
      <c r="G25" s="37"/>
      <c r="H25" s="37">
        <v>46000</v>
      </c>
      <c r="I25" s="37">
        <v>27000</v>
      </c>
      <c r="J25" s="37">
        <v>4000</v>
      </c>
      <c r="K25" s="37">
        <v>0</v>
      </c>
      <c r="L25" s="37"/>
      <c r="M25" s="37"/>
      <c r="N25" s="37"/>
      <c r="O25" s="37">
        <v>9000</v>
      </c>
      <c r="P25" s="37"/>
      <c r="Q25" s="37"/>
      <c r="R25" s="37"/>
      <c r="S25" s="37"/>
      <c r="T25" s="38">
        <f t="shared" si="0"/>
        <v>466000</v>
      </c>
      <c r="U25" s="34"/>
    </row>
    <row r="26" spans="1:28">
      <c r="A26" s="35" t="s">
        <v>55</v>
      </c>
      <c r="B26" s="37">
        <v>180000</v>
      </c>
      <c r="C26" s="37">
        <v>122000</v>
      </c>
      <c r="D26" s="37">
        <v>102000</v>
      </c>
      <c r="E26" s="37">
        <v>4000</v>
      </c>
      <c r="F26" s="37">
        <v>126000</v>
      </c>
      <c r="G26" s="37">
        <v>12000</v>
      </c>
      <c r="H26" s="37">
        <v>138000</v>
      </c>
      <c r="I26" s="37">
        <v>29000</v>
      </c>
      <c r="J26" s="37">
        <v>13000</v>
      </c>
      <c r="K26" s="37">
        <v>0</v>
      </c>
      <c r="L26" s="37"/>
      <c r="M26" s="37"/>
      <c r="N26" s="37"/>
      <c r="O26" s="37">
        <v>0</v>
      </c>
      <c r="P26" s="37"/>
      <c r="Q26" s="37"/>
      <c r="R26" s="37"/>
      <c r="S26" s="37"/>
      <c r="T26" s="38">
        <f t="shared" si="0"/>
        <v>726000</v>
      </c>
      <c r="U26" s="34"/>
    </row>
    <row r="27" spans="1:28">
      <c r="A27" s="35" t="s">
        <v>56</v>
      </c>
      <c r="B27" s="37">
        <v>173000</v>
      </c>
      <c r="C27" s="37">
        <v>102000</v>
      </c>
      <c r="D27" s="37">
        <v>100000</v>
      </c>
      <c r="E27" s="37">
        <v>21000</v>
      </c>
      <c r="F27" s="37">
        <v>95000</v>
      </c>
      <c r="G27" s="37"/>
      <c r="H27" s="37">
        <v>55000</v>
      </c>
      <c r="I27" s="37">
        <v>31000</v>
      </c>
      <c r="J27" s="37">
        <v>4000</v>
      </c>
      <c r="K27" s="37">
        <v>0</v>
      </c>
      <c r="L27" s="37"/>
      <c r="M27" s="37"/>
      <c r="N27" s="37"/>
      <c r="O27" s="37">
        <v>4000</v>
      </c>
      <c r="P27" s="37"/>
      <c r="Q27" s="37"/>
      <c r="R27" s="37"/>
      <c r="S27" s="37"/>
      <c r="T27" s="38">
        <f t="shared" si="0"/>
        <v>585000</v>
      </c>
      <c r="U27" s="34"/>
    </row>
    <row r="28" spans="1:28">
      <c r="A28" s="35" t="s">
        <v>57</v>
      </c>
      <c r="B28" s="37">
        <v>239500</v>
      </c>
      <c r="C28" s="37">
        <v>92000</v>
      </c>
      <c r="D28" s="37">
        <v>139000</v>
      </c>
      <c r="E28" s="37">
        <v>21500</v>
      </c>
      <c r="F28" s="37">
        <v>117000</v>
      </c>
      <c r="G28" s="37"/>
      <c r="H28" s="37">
        <v>80000</v>
      </c>
      <c r="I28" s="37">
        <v>50500</v>
      </c>
      <c r="J28" s="37">
        <v>6000</v>
      </c>
      <c r="K28" s="37">
        <v>0</v>
      </c>
      <c r="L28" s="37"/>
      <c r="M28" s="37"/>
      <c r="N28" s="37"/>
      <c r="O28" s="37">
        <v>10000</v>
      </c>
      <c r="P28" s="37"/>
      <c r="Q28" s="37"/>
      <c r="R28" s="37"/>
      <c r="S28" s="37"/>
      <c r="T28" s="38">
        <f t="shared" si="0"/>
        <v>755500</v>
      </c>
      <c r="U28" s="34"/>
    </row>
    <row r="29" spans="1:28">
      <c r="A29" s="35" t="s">
        <v>58</v>
      </c>
      <c r="B29" s="37">
        <v>117000</v>
      </c>
      <c r="C29" s="37">
        <v>69000</v>
      </c>
      <c r="D29" s="37">
        <v>98000</v>
      </c>
      <c r="E29" s="37">
        <v>24000</v>
      </c>
      <c r="F29" s="37">
        <v>66500</v>
      </c>
      <c r="G29" s="37"/>
      <c r="H29" s="37">
        <v>95000</v>
      </c>
      <c r="I29" s="37">
        <v>94500</v>
      </c>
      <c r="J29" s="37">
        <v>9000</v>
      </c>
      <c r="K29" s="37">
        <v>0</v>
      </c>
      <c r="L29" s="37"/>
      <c r="M29" s="37"/>
      <c r="N29" s="37"/>
      <c r="O29" s="37">
        <v>4000</v>
      </c>
      <c r="P29" s="37"/>
      <c r="Q29" s="37"/>
      <c r="R29" s="37"/>
      <c r="S29" s="37"/>
      <c r="T29" s="38">
        <f t="shared" si="0"/>
        <v>577000</v>
      </c>
      <c r="U29" s="34"/>
    </row>
    <row r="30" spans="1:28">
      <c r="A30" s="35" t="s">
        <v>59</v>
      </c>
      <c r="B30" s="37">
        <v>144500</v>
      </c>
      <c r="C30" s="37">
        <v>51000</v>
      </c>
      <c r="D30" s="37">
        <v>81500</v>
      </c>
      <c r="E30" s="37">
        <v>8000</v>
      </c>
      <c r="F30" s="37">
        <v>90000</v>
      </c>
      <c r="G30" s="37"/>
      <c r="H30" s="37">
        <v>18000</v>
      </c>
      <c r="I30" s="37">
        <v>44000</v>
      </c>
      <c r="J30" s="37">
        <v>4000</v>
      </c>
      <c r="K30" s="37">
        <v>0</v>
      </c>
      <c r="L30" s="37"/>
      <c r="M30" s="37"/>
      <c r="N30" s="37"/>
      <c r="O30" s="37">
        <v>8000</v>
      </c>
      <c r="P30" s="37"/>
      <c r="Q30" s="37"/>
      <c r="R30" s="37"/>
      <c r="S30" s="37"/>
      <c r="T30" s="38">
        <f t="shared" si="0"/>
        <v>449000</v>
      </c>
      <c r="U30" s="34"/>
    </row>
    <row r="31" spans="1:28">
      <c r="A31" s="35" t="s">
        <v>60</v>
      </c>
      <c r="B31" s="37">
        <v>112000</v>
      </c>
      <c r="C31" s="37">
        <v>84000</v>
      </c>
      <c r="D31" s="37">
        <v>74000</v>
      </c>
      <c r="E31" s="37">
        <v>25000</v>
      </c>
      <c r="F31" s="37">
        <v>35000</v>
      </c>
      <c r="G31" s="37">
        <v>12000</v>
      </c>
      <c r="H31" s="37">
        <v>45000</v>
      </c>
      <c r="I31" s="37">
        <v>21000</v>
      </c>
      <c r="J31" s="37">
        <v>21000</v>
      </c>
      <c r="K31" s="37">
        <v>0</v>
      </c>
      <c r="L31" s="37"/>
      <c r="M31" s="37"/>
      <c r="N31" s="37"/>
      <c r="O31" s="37">
        <v>0</v>
      </c>
      <c r="P31" s="37"/>
      <c r="Q31" s="37"/>
      <c r="R31" s="37"/>
      <c r="S31" s="37"/>
      <c r="T31" s="38">
        <f t="shared" si="0"/>
        <v>429000</v>
      </c>
      <c r="U31" s="34"/>
    </row>
    <row r="32" spans="1:28">
      <c r="A32" s="35" t="s">
        <v>61</v>
      </c>
      <c r="B32" s="31">
        <v>104500</v>
      </c>
      <c r="C32" s="31">
        <v>87000</v>
      </c>
      <c r="D32" s="31">
        <v>126000</v>
      </c>
      <c r="E32" s="31">
        <v>7000</v>
      </c>
      <c r="F32" s="31">
        <v>113500</v>
      </c>
      <c r="G32" s="31"/>
      <c r="H32" s="31">
        <v>37000</v>
      </c>
      <c r="I32" s="31">
        <v>31500</v>
      </c>
      <c r="J32" s="31">
        <v>3000</v>
      </c>
      <c r="K32" s="31">
        <v>0</v>
      </c>
      <c r="L32" s="31"/>
      <c r="M32" s="31"/>
      <c r="N32" s="31"/>
      <c r="O32" s="31">
        <v>21000</v>
      </c>
      <c r="P32" s="31"/>
      <c r="Q32" s="31"/>
      <c r="R32" s="31"/>
      <c r="S32" s="31"/>
      <c r="T32" s="31">
        <f t="shared" si="0"/>
        <v>530500</v>
      </c>
      <c r="U32" s="39"/>
      <c r="V32" s="27"/>
      <c r="W32" s="27"/>
      <c r="X32" s="27"/>
      <c r="Y32" s="27"/>
      <c r="Z32" s="27"/>
      <c r="AA32" s="27"/>
      <c r="AB32" s="27"/>
    </row>
    <row r="33" spans="1:28">
      <c r="A33" s="35" t="s">
        <v>62</v>
      </c>
      <c r="B33" s="31">
        <v>215500</v>
      </c>
      <c r="C33" s="31">
        <v>98000</v>
      </c>
      <c r="D33" s="31">
        <v>85000</v>
      </c>
      <c r="E33" s="31">
        <v>5500</v>
      </c>
      <c r="F33" s="31">
        <v>221000</v>
      </c>
      <c r="G33" s="31"/>
      <c r="H33" s="31">
        <v>46000</v>
      </c>
      <c r="I33" s="31">
        <v>25000</v>
      </c>
      <c r="J33" s="31">
        <v>30600</v>
      </c>
      <c r="K33" s="31">
        <v>0</v>
      </c>
      <c r="L33" s="31"/>
      <c r="M33" s="31"/>
      <c r="N33" s="31"/>
      <c r="O33" s="31">
        <v>1000</v>
      </c>
      <c r="P33" s="31"/>
      <c r="Q33" s="31"/>
      <c r="R33" s="31"/>
      <c r="S33" s="31"/>
      <c r="T33" s="31">
        <f t="shared" si="0"/>
        <v>727600</v>
      </c>
      <c r="U33" s="39"/>
      <c r="V33" s="27"/>
      <c r="W33" s="27"/>
      <c r="X33" s="27"/>
      <c r="Y33" s="27"/>
      <c r="Z33" s="27"/>
      <c r="AA33" s="27"/>
      <c r="AB33" s="27"/>
    </row>
    <row r="34" spans="1:28">
      <c r="A34" s="35" t="s">
        <v>63</v>
      </c>
      <c r="B34" s="31">
        <v>217500</v>
      </c>
      <c r="C34" s="31">
        <v>200000</v>
      </c>
      <c r="D34" s="31">
        <v>165000</v>
      </c>
      <c r="E34" s="31">
        <v>36500</v>
      </c>
      <c r="F34" s="31">
        <v>188900</v>
      </c>
      <c r="G34" s="31">
        <v>12000</v>
      </c>
      <c r="H34" s="31">
        <v>127500</v>
      </c>
      <c r="I34" s="31">
        <v>44000</v>
      </c>
      <c r="J34" s="31">
        <v>9000</v>
      </c>
      <c r="K34" s="31">
        <v>0</v>
      </c>
      <c r="L34" s="31"/>
      <c r="M34" s="31"/>
      <c r="N34" s="31"/>
      <c r="O34" s="31">
        <v>21000</v>
      </c>
      <c r="P34" s="31"/>
      <c r="Q34" s="31"/>
      <c r="R34" s="31"/>
      <c r="S34" s="31"/>
      <c r="T34" s="31">
        <f t="shared" si="0"/>
        <v>1021400</v>
      </c>
      <c r="U34" s="39"/>
      <c r="V34" s="27"/>
      <c r="W34" s="27"/>
      <c r="X34" s="27"/>
      <c r="Y34" s="27"/>
      <c r="Z34" s="27"/>
      <c r="AA34" s="27"/>
      <c r="AB34" s="27"/>
    </row>
    <row r="35" spans="1:28">
      <c r="A35" s="35" t="s">
        <v>64</v>
      </c>
      <c r="B35" s="31">
        <v>244500</v>
      </c>
      <c r="C35" s="31">
        <v>200000</v>
      </c>
      <c r="D35" s="31">
        <v>173500</v>
      </c>
      <c r="E35" s="31">
        <v>26000</v>
      </c>
      <c r="F35" s="31">
        <v>242500</v>
      </c>
      <c r="G35" s="31">
        <v>0</v>
      </c>
      <c r="H35" s="31">
        <v>217500</v>
      </c>
      <c r="I35" s="31">
        <v>16500</v>
      </c>
      <c r="J35" s="31">
        <v>8000</v>
      </c>
      <c r="K35" s="31"/>
      <c r="L35" s="31"/>
      <c r="M35" s="31"/>
      <c r="N35" s="31"/>
      <c r="O35" s="31">
        <v>0</v>
      </c>
      <c r="P35" s="31"/>
      <c r="Q35" s="31"/>
      <c r="R35" s="31"/>
      <c r="S35" s="31"/>
      <c r="T35" s="31">
        <f t="shared" si="0"/>
        <v>1128500</v>
      </c>
      <c r="U35" s="39"/>
      <c r="V35" s="27"/>
      <c r="W35" s="27"/>
      <c r="X35" s="27"/>
      <c r="Y35" s="27"/>
      <c r="Z35" s="27"/>
      <c r="AA35" s="27"/>
      <c r="AB35" s="27"/>
    </row>
    <row r="36" spans="1:28">
      <c r="A36" s="35" t="s">
        <v>65</v>
      </c>
      <c r="B36" s="31">
        <v>190500</v>
      </c>
      <c r="C36" s="31">
        <v>68000</v>
      </c>
      <c r="D36" s="31">
        <v>118500</v>
      </c>
      <c r="E36" s="31">
        <v>5500</v>
      </c>
      <c r="F36" s="31">
        <v>132500</v>
      </c>
      <c r="G36" s="31">
        <v>0</v>
      </c>
      <c r="H36" s="31">
        <v>71000</v>
      </c>
      <c r="I36" s="31">
        <v>71000</v>
      </c>
      <c r="J36" s="31">
        <v>5000</v>
      </c>
      <c r="K36" s="31">
        <v>0</v>
      </c>
      <c r="L36" s="31"/>
      <c r="M36" s="31"/>
      <c r="N36" s="31"/>
      <c r="O36" s="31">
        <v>18000</v>
      </c>
      <c r="P36" s="31"/>
      <c r="Q36" s="31"/>
      <c r="R36" s="31"/>
      <c r="S36" s="31"/>
      <c r="T36" s="31">
        <f t="shared" si="0"/>
        <v>680000</v>
      </c>
      <c r="U36" s="39"/>
      <c r="V36" s="27"/>
      <c r="W36" s="27"/>
      <c r="X36" s="27"/>
      <c r="Y36" s="27"/>
      <c r="Z36" s="27"/>
      <c r="AA36" s="27"/>
      <c r="AB36" s="27"/>
    </row>
    <row r="37" spans="1:28">
      <c r="A37" s="35" t="s">
        <v>66</v>
      </c>
      <c r="B37" s="31">
        <v>165500</v>
      </c>
      <c r="C37" s="31">
        <v>61000</v>
      </c>
      <c r="D37" s="31">
        <v>76000</v>
      </c>
      <c r="E37" s="31">
        <v>0</v>
      </c>
      <c r="F37" s="31">
        <v>102500</v>
      </c>
      <c r="G37" s="31">
        <v>0</v>
      </c>
      <c r="H37" s="31">
        <v>35000</v>
      </c>
      <c r="I37" s="31">
        <v>37500</v>
      </c>
      <c r="J37" s="31">
        <v>16000</v>
      </c>
      <c r="K37" s="31"/>
      <c r="L37" s="31"/>
      <c r="M37" s="31"/>
      <c r="N37" s="31"/>
      <c r="O37" s="31">
        <v>23000</v>
      </c>
      <c r="P37" s="31"/>
      <c r="Q37" s="31"/>
      <c r="R37" s="31"/>
      <c r="S37" s="31"/>
      <c r="T37" s="31">
        <f>SUM(B37:S37)</f>
        <v>516500</v>
      </c>
      <c r="U37" s="39"/>
      <c r="V37" s="27"/>
      <c r="W37" s="27"/>
      <c r="X37" s="27"/>
      <c r="Y37" s="27"/>
      <c r="Z37" s="27"/>
      <c r="AA37" s="27"/>
      <c r="AB37" s="27"/>
    </row>
    <row r="38" spans="1:28">
      <c r="A38" s="40" t="s">
        <v>23</v>
      </c>
      <c r="B38" s="41">
        <f>SUM(B7:B37)</f>
        <v>5372000</v>
      </c>
      <c r="C38" s="41">
        <f t="shared" ref="C38:T38" si="1">SUM(C7:C37)</f>
        <v>3277000</v>
      </c>
      <c r="D38" s="41">
        <f t="shared" si="1"/>
        <v>3170000</v>
      </c>
      <c r="E38" s="41">
        <f t="shared" si="1"/>
        <v>436500</v>
      </c>
      <c r="F38" s="41">
        <f t="shared" si="1"/>
        <v>3793900</v>
      </c>
      <c r="G38" s="41">
        <f t="shared" si="1"/>
        <v>120000</v>
      </c>
      <c r="H38" s="41">
        <f t="shared" si="1"/>
        <v>1971500</v>
      </c>
      <c r="I38" s="41">
        <f t="shared" si="1"/>
        <v>1438000</v>
      </c>
      <c r="J38" s="41">
        <f t="shared" si="1"/>
        <v>244100</v>
      </c>
      <c r="K38" s="41">
        <f t="shared" si="1"/>
        <v>0</v>
      </c>
      <c r="L38" s="41">
        <f t="shared" si="1"/>
        <v>0</v>
      </c>
      <c r="M38" s="41">
        <f t="shared" si="1"/>
        <v>0</v>
      </c>
      <c r="N38" s="41">
        <f t="shared" si="1"/>
        <v>0</v>
      </c>
      <c r="O38" s="41">
        <f t="shared" si="1"/>
        <v>223000</v>
      </c>
      <c r="P38" s="41">
        <f t="shared" si="1"/>
        <v>0</v>
      </c>
      <c r="Q38" s="41">
        <f t="shared" si="1"/>
        <v>0</v>
      </c>
      <c r="R38" s="41">
        <f t="shared" si="1"/>
        <v>0</v>
      </c>
      <c r="S38" s="41">
        <f>SUM(S7:S37)</f>
        <v>0</v>
      </c>
      <c r="T38" s="41">
        <f t="shared" si="1"/>
        <v>20046000</v>
      </c>
      <c r="U38" s="34"/>
    </row>
    <row r="39" spans="1:28">
      <c r="A39" s="34"/>
      <c r="B39" s="34"/>
      <c r="C39" s="34"/>
      <c r="D39" s="34"/>
      <c r="E39" s="34"/>
      <c r="F39" s="34"/>
      <c r="G39" s="34"/>
      <c r="H39" s="34"/>
      <c r="I39" s="34"/>
      <c r="J39" s="34"/>
      <c r="K39" s="34"/>
      <c r="L39" s="34"/>
      <c r="M39" s="34"/>
      <c r="N39" s="34"/>
      <c r="O39" s="34"/>
      <c r="P39" s="34"/>
      <c r="Q39" s="34"/>
      <c r="R39" s="34"/>
      <c r="S39" s="34"/>
      <c r="T39" s="34"/>
      <c r="U39" s="34"/>
    </row>
  </sheetData>
  <mergeCells count="4">
    <mergeCell ref="B2:T2"/>
    <mergeCell ref="B3:T3"/>
    <mergeCell ref="C4:F4"/>
    <mergeCell ref="C5:F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H38"/>
  <sheetViews>
    <sheetView topLeftCell="A13" workbookViewId="0">
      <selection activeCell="B32" sqref="B32:H32"/>
    </sheetView>
  </sheetViews>
  <sheetFormatPr defaultRowHeight="15"/>
  <cols>
    <col min="2" max="2" width="18.28515625" customWidth="1"/>
    <col min="3" max="3" width="13" customWidth="1"/>
    <col min="4" max="4" width="13.28515625" customWidth="1"/>
    <col min="5" max="5" width="14.140625" customWidth="1"/>
    <col min="6" max="6" width="12.140625" customWidth="1"/>
    <col min="7" max="7" width="11.85546875" customWidth="1"/>
    <col min="8" max="8" width="17.85546875" customWidth="1"/>
  </cols>
  <sheetData>
    <row r="2" spans="2:8" ht="15.75" thickBot="1"/>
    <row r="3" spans="2:8" ht="26.25">
      <c r="B3" s="82" t="s">
        <v>68</v>
      </c>
      <c r="C3" s="83"/>
      <c r="D3" s="83"/>
      <c r="E3" s="83"/>
      <c r="F3" s="83"/>
      <c r="G3" s="84"/>
      <c r="H3" s="85"/>
    </row>
    <row r="4" spans="2:8" ht="26.25">
      <c r="B4" s="86" t="s">
        <v>0</v>
      </c>
      <c r="C4" s="87"/>
      <c r="D4" s="87"/>
      <c r="E4" s="87"/>
      <c r="F4" s="87"/>
      <c r="G4" s="88"/>
      <c r="H4" s="89"/>
    </row>
    <row r="5" spans="2:8" ht="15.75" thickBot="1">
      <c r="B5" s="1"/>
      <c r="C5" s="2"/>
      <c r="D5" s="2"/>
      <c r="E5" s="2"/>
      <c r="F5" s="2"/>
      <c r="G5" s="2"/>
      <c r="H5" s="3"/>
    </row>
    <row r="6" spans="2:8" ht="15.75" thickBot="1">
      <c r="B6" s="4"/>
      <c r="H6" s="5"/>
    </row>
    <row r="7" spans="2:8" ht="16.5" thickBot="1">
      <c r="B7" s="6" t="s">
        <v>1</v>
      </c>
      <c r="C7" s="90" t="s">
        <v>69</v>
      </c>
      <c r="D7" s="71"/>
      <c r="E7" s="72"/>
      <c r="F7" s="7"/>
      <c r="G7" s="7"/>
      <c r="H7" s="8"/>
    </row>
    <row r="8" spans="2:8" ht="16.5" thickBot="1">
      <c r="B8" s="9"/>
      <c r="C8" s="10"/>
      <c r="D8" s="10"/>
      <c r="E8" s="10"/>
      <c r="F8" s="10"/>
      <c r="G8" s="10"/>
      <c r="H8" s="8"/>
    </row>
    <row r="9" spans="2:8" ht="16.5" thickBot="1">
      <c r="B9" s="6" t="s">
        <v>24</v>
      </c>
      <c r="C9" s="70" t="s">
        <v>75</v>
      </c>
      <c r="D9" s="71"/>
      <c r="E9" s="72"/>
      <c r="F9" s="11"/>
      <c r="G9" s="11"/>
      <c r="H9" s="12"/>
    </row>
    <row r="10" spans="2:8" ht="15.75">
      <c r="B10" s="13" t="s">
        <v>25</v>
      </c>
      <c r="C10" s="14" t="s">
        <v>26</v>
      </c>
      <c r="D10" s="14" t="s">
        <v>27</v>
      </c>
      <c r="E10" s="14" t="s">
        <v>28</v>
      </c>
      <c r="F10" s="14" t="s">
        <v>29</v>
      </c>
      <c r="G10" s="15" t="s">
        <v>30</v>
      </c>
      <c r="H10" s="16" t="s">
        <v>31</v>
      </c>
    </row>
    <row r="11" spans="2:8" ht="15.75">
      <c r="B11" s="17" t="s">
        <v>4</v>
      </c>
      <c r="C11" s="18">
        <v>1435000</v>
      </c>
      <c r="D11" s="18">
        <v>1146500</v>
      </c>
      <c r="E11" s="18">
        <v>1279000</v>
      </c>
      <c r="F11" s="18">
        <v>1155500</v>
      </c>
      <c r="G11" s="19">
        <v>356000</v>
      </c>
      <c r="H11" s="20">
        <f t="shared" ref="H11:H19" si="0">SUM(C11:G11)</f>
        <v>5372000</v>
      </c>
    </row>
    <row r="12" spans="2:8" ht="15.75">
      <c r="B12" s="17" t="s">
        <v>5</v>
      </c>
      <c r="C12" s="18">
        <v>1191000</v>
      </c>
      <c r="D12" s="18">
        <v>717000</v>
      </c>
      <c r="E12" s="18">
        <v>451000</v>
      </c>
      <c r="F12" s="18">
        <v>789000</v>
      </c>
      <c r="G12" s="19">
        <v>129000</v>
      </c>
      <c r="H12" s="20">
        <f t="shared" si="0"/>
        <v>3277000</v>
      </c>
    </row>
    <row r="13" spans="2:8" ht="15.75">
      <c r="B13" s="17" t="s">
        <v>32</v>
      </c>
      <c r="C13" s="18">
        <v>815500</v>
      </c>
      <c r="D13" s="18">
        <v>701000</v>
      </c>
      <c r="E13" s="18">
        <v>656000</v>
      </c>
      <c r="F13" s="18">
        <v>803000</v>
      </c>
      <c r="G13" s="19">
        <v>194500</v>
      </c>
      <c r="H13" s="20">
        <f t="shared" si="0"/>
        <v>3170000</v>
      </c>
    </row>
    <row r="14" spans="2:8" ht="15.75">
      <c r="B14" s="17" t="s">
        <v>33</v>
      </c>
      <c r="C14" s="18">
        <v>132000</v>
      </c>
      <c r="D14" s="18">
        <v>82500</v>
      </c>
      <c r="E14" s="18">
        <v>84500</v>
      </c>
      <c r="F14" s="18">
        <v>132000</v>
      </c>
      <c r="G14" s="19">
        <v>5500</v>
      </c>
      <c r="H14" s="20">
        <f t="shared" si="0"/>
        <v>436500</v>
      </c>
    </row>
    <row r="15" spans="2:8" ht="15.75">
      <c r="B15" s="17" t="s">
        <v>8</v>
      </c>
      <c r="C15" s="18">
        <v>898000</v>
      </c>
      <c r="D15" s="18">
        <v>948000</v>
      </c>
      <c r="E15" s="18">
        <v>755500</v>
      </c>
      <c r="F15" s="18">
        <v>957400</v>
      </c>
      <c r="G15" s="19">
        <v>235000</v>
      </c>
      <c r="H15" s="20">
        <f t="shared" si="0"/>
        <v>3793900</v>
      </c>
    </row>
    <row r="16" spans="2:8" ht="15.75">
      <c r="B16" s="17" t="s">
        <v>9</v>
      </c>
      <c r="C16" s="18">
        <v>36000</v>
      </c>
      <c r="D16" s="18">
        <v>48000</v>
      </c>
      <c r="E16" s="18">
        <v>12000</v>
      </c>
      <c r="F16" s="18">
        <v>24000</v>
      </c>
      <c r="G16" s="19"/>
      <c r="H16" s="20">
        <f t="shared" si="0"/>
        <v>120000</v>
      </c>
    </row>
    <row r="17" spans="2:8" ht="15.75">
      <c r="B17" s="17" t="s">
        <v>10</v>
      </c>
      <c r="C17" s="18">
        <v>484500</v>
      </c>
      <c r="D17" s="18">
        <v>349000</v>
      </c>
      <c r="E17" s="18">
        <v>446000</v>
      </c>
      <c r="F17" s="18">
        <v>586000</v>
      </c>
      <c r="G17" s="19">
        <v>106000</v>
      </c>
      <c r="H17" s="20">
        <f t="shared" si="0"/>
        <v>1971500</v>
      </c>
    </row>
    <row r="18" spans="2:8" ht="15.75">
      <c r="B18" s="17" t="s">
        <v>11</v>
      </c>
      <c r="C18" s="18">
        <v>390500</v>
      </c>
      <c r="D18" s="18">
        <v>321500</v>
      </c>
      <c r="E18" s="18">
        <v>341000</v>
      </c>
      <c r="F18" s="18">
        <v>276500</v>
      </c>
      <c r="G18" s="19">
        <v>108500</v>
      </c>
      <c r="H18" s="20">
        <f t="shared" si="0"/>
        <v>1438000</v>
      </c>
    </row>
    <row r="19" spans="2:8" ht="15.75">
      <c r="B19" s="17" t="s">
        <v>12</v>
      </c>
      <c r="C19" s="18">
        <v>55000</v>
      </c>
      <c r="D19" s="18">
        <v>47500</v>
      </c>
      <c r="E19" s="18">
        <v>36000</v>
      </c>
      <c r="F19" s="18">
        <v>84600</v>
      </c>
      <c r="G19" s="19">
        <v>21000</v>
      </c>
      <c r="H19" s="20">
        <f t="shared" si="0"/>
        <v>244100</v>
      </c>
    </row>
    <row r="20" spans="2:8" ht="15.75">
      <c r="B20" s="17" t="s">
        <v>13</v>
      </c>
      <c r="C20" s="18"/>
      <c r="D20" s="18"/>
      <c r="E20" s="18"/>
      <c r="F20" s="18"/>
      <c r="G20" s="19"/>
      <c r="H20" s="20">
        <f t="shared" ref="H20:H27" si="1">SUM(C20:F20)</f>
        <v>0</v>
      </c>
    </row>
    <row r="21" spans="2:8" ht="15.75">
      <c r="B21" s="17" t="s">
        <v>14</v>
      </c>
      <c r="C21" s="18"/>
      <c r="D21" s="18"/>
      <c r="E21" s="18"/>
      <c r="F21" s="18"/>
      <c r="G21" s="19"/>
      <c r="H21" s="20">
        <f t="shared" si="1"/>
        <v>0</v>
      </c>
    </row>
    <row r="22" spans="2:8" ht="15.75">
      <c r="B22" s="17" t="s">
        <v>15</v>
      </c>
      <c r="C22" s="18"/>
      <c r="D22" s="18"/>
      <c r="E22" s="18"/>
      <c r="F22" s="18"/>
      <c r="G22" s="19"/>
      <c r="H22" s="20">
        <f t="shared" si="1"/>
        <v>0</v>
      </c>
    </row>
    <row r="23" spans="2:8" ht="15.75">
      <c r="B23" s="17" t="s">
        <v>16</v>
      </c>
      <c r="C23" s="18"/>
      <c r="D23" s="18"/>
      <c r="E23" s="18"/>
      <c r="F23" s="18"/>
      <c r="G23" s="19"/>
      <c r="H23" s="20">
        <f t="shared" si="1"/>
        <v>0</v>
      </c>
    </row>
    <row r="24" spans="2:8" ht="15.75">
      <c r="B24" s="17" t="s">
        <v>17</v>
      </c>
      <c r="C24" s="18">
        <v>52000</v>
      </c>
      <c r="D24" s="18">
        <v>32000</v>
      </c>
      <c r="E24" s="18">
        <v>43000</v>
      </c>
      <c r="F24" s="18">
        <v>51000</v>
      </c>
      <c r="G24" s="19">
        <v>45000</v>
      </c>
      <c r="H24" s="20">
        <f>SUM(C24:G24)</f>
        <v>223000</v>
      </c>
    </row>
    <row r="25" spans="2:8" ht="15.75">
      <c r="B25" s="17" t="s">
        <v>18</v>
      </c>
      <c r="C25" s="18"/>
      <c r="D25" s="18"/>
      <c r="E25" s="18"/>
      <c r="F25" s="18"/>
      <c r="G25" s="19"/>
      <c r="H25" s="20">
        <f t="shared" si="1"/>
        <v>0</v>
      </c>
    </row>
    <row r="26" spans="2:8" ht="15.75">
      <c r="B26" s="17" t="s">
        <v>19</v>
      </c>
      <c r="C26" s="18"/>
      <c r="D26" s="18"/>
      <c r="E26" s="18"/>
      <c r="F26" s="18"/>
      <c r="G26" s="19"/>
      <c r="H26" s="20">
        <f t="shared" si="1"/>
        <v>0</v>
      </c>
    </row>
    <row r="27" spans="2:8" ht="15.75">
      <c r="B27" s="17" t="s">
        <v>34</v>
      </c>
      <c r="C27" s="18"/>
      <c r="D27" s="18"/>
      <c r="E27" s="18"/>
      <c r="F27" s="18"/>
      <c r="G27" s="19"/>
      <c r="H27" s="20">
        <f t="shared" si="1"/>
        <v>0</v>
      </c>
    </row>
    <row r="28" spans="2:8" ht="16.5" thickBot="1">
      <c r="B28" s="21" t="s">
        <v>35</v>
      </c>
      <c r="C28" s="22">
        <f t="shared" ref="C28:H28" si="2">SUM(C11:C27)</f>
        <v>5489500</v>
      </c>
      <c r="D28" s="22">
        <f t="shared" si="2"/>
        <v>4393000</v>
      </c>
      <c r="E28" s="22">
        <f t="shared" si="2"/>
        <v>4104000</v>
      </c>
      <c r="F28" s="22">
        <f t="shared" si="2"/>
        <v>4859000</v>
      </c>
      <c r="G28" s="22">
        <f t="shared" si="2"/>
        <v>1200500</v>
      </c>
      <c r="H28" s="23">
        <f t="shared" si="2"/>
        <v>20046000</v>
      </c>
    </row>
    <row r="30" spans="2:8" ht="15.75" thickBot="1"/>
    <row r="31" spans="2:8" ht="21.75" thickBot="1">
      <c r="B31" s="73" t="s">
        <v>36</v>
      </c>
      <c r="C31" s="74"/>
      <c r="D31" s="74"/>
      <c r="E31" s="74"/>
      <c r="F31" s="74"/>
      <c r="G31" s="74"/>
      <c r="H31" s="75"/>
    </row>
    <row r="32" spans="2:8" ht="15.75" thickBot="1">
      <c r="B32" s="91" t="s">
        <v>76</v>
      </c>
      <c r="C32" s="68"/>
      <c r="D32" s="68"/>
      <c r="E32" s="68"/>
      <c r="F32" s="68"/>
      <c r="G32" s="68"/>
      <c r="H32" s="69"/>
    </row>
    <row r="33" spans="2:8" ht="15.75" thickBot="1">
      <c r="B33" s="24"/>
      <c r="C33" s="25"/>
      <c r="D33" s="25"/>
      <c r="E33" s="25"/>
      <c r="F33" s="25"/>
      <c r="G33" s="25"/>
      <c r="H33" s="26"/>
    </row>
    <row r="34" spans="2:8" ht="15.75" thickBot="1">
      <c r="B34" s="67"/>
      <c r="C34" s="68"/>
      <c r="D34" s="68"/>
      <c r="E34" s="68"/>
      <c r="F34" s="68"/>
      <c r="G34" s="68"/>
      <c r="H34" s="69"/>
    </row>
    <row r="35" spans="2:8" ht="15.75" thickBot="1">
      <c r="B35" s="67"/>
      <c r="C35" s="68"/>
      <c r="D35" s="68"/>
      <c r="E35" s="68"/>
      <c r="F35" s="68"/>
      <c r="G35" s="68"/>
      <c r="H35" s="69"/>
    </row>
    <row r="36" spans="2:8" ht="15.75" thickBot="1">
      <c r="B36" s="67"/>
      <c r="C36" s="68"/>
      <c r="D36" s="68"/>
      <c r="E36" s="68"/>
      <c r="F36" s="68"/>
      <c r="G36" s="68"/>
      <c r="H36" s="69"/>
    </row>
    <row r="37" spans="2:8" ht="15.75" thickBot="1">
      <c r="B37" s="67"/>
      <c r="C37" s="68"/>
      <c r="D37" s="68"/>
      <c r="E37" s="68"/>
      <c r="F37" s="68"/>
      <c r="G37" s="68"/>
      <c r="H37" s="69"/>
    </row>
    <row r="38" spans="2:8">
      <c r="B38" s="81"/>
      <c r="C38" s="81"/>
      <c r="D38" s="81"/>
      <c r="E38" s="81"/>
      <c r="F38" s="81"/>
      <c r="G38" s="81"/>
      <c r="H38" s="81"/>
    </row>
  </sheetData>
  <mergeCells count="11">
    <mergeCell ref="B34:H34"/>
    <mergeCell ref="B35:H35"/>
    <mergeCell ref="B36:H36"/>
    <mergeCell ref="B37:H37"/>
    <mergeCell ref="B38:H38"/>
    <mergeCell ref="B32:H32"/>
    <mergeCell ref="B3:H3"/>
    <mergeCell ref="B4:H4"/>
    <mergeCell ref="C7:E7"/>
    <mergeCell ref="C9:E9"/>
    <mergeCell ref="B31:H31"/>
  </mergeCells>
  <pageMargins left="0.7" right="0.7" top="0.75" bottom="0.75" header="0.3" footer="0.3"/>
  <pageSetup orientation="landscape"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39"/>
  <sheetViews>
    <sheetView topLeftCell="D10" workbookViewId="0">
      <selection activeCell="W28" sqref="W28"/>
    </sheetView>
  </sheetViews>
  <sheetFormatPr defaultRowHeight="15"/>
  <cols>
    <col min="1" max="1" width="12.7109375" customWidth="1"/>
    <col min="2" max="2" width="11.140625" customWidth="1"/>
    <col min="3" max="3" width="14.5703125" customWidth="1"/>
    <col min="4" max="4" width="12.7109375" customWidth="1"/>
    <col min="5" max="5" width="13.140625" customWidth="1"/>
    <col min="6" max="6" width="12.42578125" customWidth="1"/>
    <col min="7" max="7" width="11.5703125" customWidth="1"/>
    <col min="8" max="8" width="12" customWidth="1"/>
    <col min="9" max="9" width="11.140625" customWidth="1"/>
    <col min="11" max="11" width="5.5703125" customWidth="1"/>
    <col min="12" max="12" width="5" customWidth="1"/>
    <col min="13" max="13" width="5.7109375" customWidth="1"/>
    <col min="14" max="14" width="5" customWidth="1"/>
    <col min="15" max="15" width="9.85546875" customWidth="1"/>
    <col min="16" max="16" width="5.5703125" customWidth="1"/>
    <col min="17" max="17" width="4.5703125" customWidth="1"/>
    <col min="18" max="18" width="10.140625" customWidth="1"/>
    <col min="19" max="19" width="6.85546875" customWidth="1"/>
    <col min="20" max="20" width="11.85546875" customWidth="1"/>
  </cols>
  <sheetData>
    <row r="1" spans="1:21" ht="15.75" thickBot="1"/>
    <row r="2" spans="1:21" ht="26.25" customHeight="1">
      <c r="A2" s="28"/>
      <c r="B2" s="55" t="s">
        <v>68</v>
      </c>
      <c r="C2" s="56"/>
      <c r="D2" s="56"/>
      <c r="E2" s="56"/>
      <c r="F2" s="56"/>
      <c r="G2" s="56"/>
      <c r="H2" s="56"/>
      <c r="I2" s="56"/>
      <c r="J2" s="56"/>
      <c r="K2" s="56"/>
      <c r="L2" s="56"/>
      <c r="M2" s="56"/>
      <c r="N2" s="56"/>
      <c r="O2" s="56"/>
      <c r="P2" s="56"/>
      <c r="Q2" s="56"/>
      <c r="R2" s="56"/>
      <c r="S2" s="56"/>
      <c r="T2" s="57"/>
    </row>
    <row r="3" spans="1:21" ht="27" thickBot="1">
      <c r="A3" s="4"/>
      <c r="B3" s="58" t="s">
        <v>0</v>
      </c>
      <c r="C3" s="59"/>
      <c r="D3" s="59"/>
      <c r="E3" s="59"/>
      <c r="F3" s="59"/>
      <c r="G3" s="59"/>
      <c r="H3" s="59"/>
      <c r="I3" s="59"/>
      <c r="J3" s="59"/>
      <c r="K3" s="59"/>
      <c r="L3" s="59"/>
      <c r="M3" s="59"/>
      <c r="N3" s="59"/>
      <c r="O3" s="59"/>
      <c r="P3" s="59"/>
      <c r="Q3" s="59"/>
      <c r="R3" s="59"/>
      <c r="S3" s="59"/>
      <c r="T3" s="60"/>
    </row>
    <row r="4" spans="1:21" ht="27" customHeight="1" thickBot="1">
      <c r="A4" s="4"/>
      <c r="B4" s="29" t="s">
        <v>1</v>
      </c>
      <c r="C4" s="61" t="s">
        <v>69</v>
      </c>
      <c r="D4" s="62"/>
      <c r="E4" s="62"/>
      <c r="F4" s="63"/>
      <c r="T4" s="5"/>
    </row>
    <row r="5" spans="1:21" ht="21">
      <c r="A5" s="4"/>
      <c r="B5" s="30" t="s">
        <v>2</v>
      </c>
      <c r="C5" s="78">
        <v>45231</v>
      </c>
      <c r="D5" s="79"/>
      <c r="E5" s="79"/>
      <c r="F5" s="80"/>
      <c r="T5" s="5"/>
    </row>
    <row r="6" spans="1:21" ht="101.25">
      <c r="A6" s="32" t="s">
        <v>3</v>
      </c>
      <c r="B6" s="33" t="s">
        <v>4</v>
      </c>
      <c r="C6" s="33" t="s">
        <v>5</v>
      </c>
      <c r="D6" s="33" t="s">
        <v>6</v>
      </c>
      <c r="E6" s="33" t="s">
        <v>7</v>
      </c>
      <c r="F6" s="33" t="s">
        <v>8</v>
      </c>
      <c r="G6" s="33" t="s">
        <v>9</v>
      </c>
      <c r="H6" s="33" t="s">
        <v>10</v>
      </c>
      <c r="I6" s="33" t="s">
        <v>11</v>
      </c>
      <c r="J6" s="33" t="s">
        <v>12</v>
      </c>
      <c r="K6" s="33" t="s">
        <v>13</v>
      </c>
      <c r="L6" s="33" t="s">
        <v>14</v>
      </c>
      <c r="M6" s="33" t="s">
        <v>15</v>
      </c>
      <c r="N6" s="33" t="s">
        <v>16</v>
      </c>
      <c r="O6" s="33" t="s">
        <v>17</v>
      </c>
      <c r="P6" s="33" t="s">
        <v>18</v>
      </c>
      <c r="Q6" s="33" t="s">
        <v>19</v>
      </c>
      <c r="R6" s="33" t="s">
        <v>20</v>
      </c>
      <c r="S6" s="33" t="s">
        <v>21</v>
      </c>
      <c r="T6" s="33" t="s">
        <v>22</v>
      </c>
      <c r="U6" s="34"/>
    </row>
    <row r="7" spans="1:21">
      <c r="A7" s="35" t="s">
        <v>67</v>
      </c>
      <c r="B7" s="36">
        <v>215500</v>
      </c>
      <c r="C7" s="36">
        <v>117000</v>
      </c>
      <c r="D7" s="36">
        <v>81500</v>
      </c>
      <c r="E7" s="36">
        <v>3000</v>
      </c>
      <c r="F7" s="36">
        <v>66000</v>
      </c>
      <c r="G7" s="36">
        <v>6000</v>
      </c>
      <c r="H7" s="36">
        <v>24000</v>
      </c>
      <c r="I7" s="36">
        <v>35500</v>
      </c>
      <c r="J7" s="36">
        <v>11000</v>
      </c>
      <c r="K7" s="36">
        <v>0</v>
      </c>
      <c r="L7" s="36"/>
      <c r="M7" s="36"/>
      <c r="N7" s="36"/>
      <c r="O7" s="36">
        <v>0</v>
      </c>
      <c r="P7" s="36">
        <v>0</v>
      </c>
      <c r="Q7" s="36">
        <v>0</v>
      </c>
      <c r="R7" s="36">
        <v>-120000</v>
      </c>
      <c r="S7" s="37"/>
      <c r="T7" s="38">
        <f t="shared" ref="T7:T36" si="0">SUM(B7:S7)</f>
        <v>439500</v>
      </c>
      <c r="U7" s="34"/>
    </row>
    <row r="8" spans="1:21">
      <c r="A8" s="35" t="s">
        <v>37</v>
      </c>
      <c r="B8" s="36">
        <v>113000</v>
      </c>
      <c r="C8" s="36">
        <v>114000</v>
      </c>
      <c r="D8" s="36">
        <v>74000</v>
      </c>
      <c r="E8" s="36">
        <v>5500</v>
      </c>
      <c r="F8" s="36">
        <v>100500</v>
      </c>
      <c r="G8" s="36">
        <v>0</v>
      </c>
      <c r="H8" s="36">
        <v>40000</v>
      </c>
      <c r="I8" s="36">
        <v>11500</v>
      </c>
      <c r="J8" s="36">
        <v>9500</v>
      </c>
      <c r="K8" s="36">
        <v>0</v>
      </c>
      <c r="L8" s="36"/>
      <c r="M8" s="36"/>
      <c r="N8" s="36"/>
      <c r="O8" s="36">
        <v>1000</v>
      </c>
      <c r="P8" s="36"/>
      <c r="Q8" s="36"/>
      <c r="R8" s="36">
        <v>1170000</v>
      </c>
      <c r="S8" s="37"/>
      <c r="T8" s="38">
        <f t="shared" si="0"/>
        <v>1639000</v>
      </c>
      <c r="U8" s="34"/>
    </row>
    <row r="9" spans="1:21">
      <c r="A9" s="35" t="s">
        <v>38</v>
      </c>
      <c r="B9" s="36">
        <v>154000</v>
      </c>
      <c r="C9" s="36">
        <v>280000</v>
      </c>
      <c r="D9" s="36">
        <v>28000</v>
      </c>
      <c r="E9" s="36">
        <v>0</v>
      </c>
      <c r="F9" s="36">
        <v>78000</v>
      </c>
      <c r="G9" s="36">
        <v>0</v>
      </c>
      <c r="H9" s="36">
        <v>17500</v>
      </c>
      <c r="I9" s="36">
        <v>11000</v>
      </c>
      <c r="J9" s="36">
        <v>16000</v>
      </c>
      <c r="K9" s="36">
        <v>0</v>
      </c>
      <c r="L9" s="36"/>
      <c r="M9" s="36"/>
      <c r="N9" s="36"/>
      <c r="O9" s="36">
        <v>22000</v>
      </c>
      <c r="P9" s="36"/>
      <c r="Q9" s="36"/>
      <c r="R9" s="36">
        <v>0</v>
      </c>
      <c r="S9" s="37"/>
      <c r="T9" s="38">
        <f t="shared" si="0"/>
        <v>606500</v>
      </c>
      <c r="U9" s="34"/>
    </row>
    <row r="10" spans="1:21">
      <c r="A10" s="35" t="s">
        <v>39</v>
      </c>
      <c r="B10" s="36">
        <v>178000</v>
      </c>
      <c r="C10" s="36">
        <v>119000</v>
      </c>
      <c r="D10" s="36">
        <v>116500</v>
      </c>
      <c r="E10" s="36">
        <v>13000</v>
      </c>
      <c r="F10" s="36">
        <v>185000</v>
      </c>
      <c r="G10" s="36">
        <v>0</v>
      </c>
      <c r="H10" s="36">
        <v>61000</v>
      </c>
      <c r="I10" s="36">
        <v>65500</v>
      </c>
      <c r="J10" s="36">
        <v>10000</v>
      </c>
      <c r="K10" s="36">
        <v>0</v>
      </c>
      <c r="L10" s="36"/>
      <c r="M10" s="36"/>
      <c r="N10" s="36"/>
      <c r="O10" s="36">
        <v>28000</v>
      </c>
      <c r="P10" s="36"/>
      <c r="Q10" s="36"/>
      <c r="R10" s="36">
        <v>-68000</v>
      </c>
      <c r="S10" s="37"/>
      <c r="T10" s="38">
        <f t="shared" si="0"/>
        <v>708000</v>
      </c>
      <c r="U10" s="34"/>
    </row>
    <row r="11" spans="1:21">
      <c r="A11" s="35" t="s">
        <v>40</v>
      </c>
      <c r="B11" s="37">
        <v>185500</v>
      </c>
      <c r="C11" s="37">
        <v>341000</v>
      </c>
      <c r="D11" s="37">
        <v>73500</v>
      </c>
      <c r="E11" s="37">
        <v>21000</v>
      </c>
      <c r="F11" s="37">
        <v>200500</v>
      </c>
      <c r="G11" s="37">
        <v>0</v>
      </c>
      <c r="H11" s="37">
        <v>105000</v>
      </c>
      <c r="I11" s="37">
        <v>49000</v>
      </c>
      <c r="J11" s="37">
        <v>7000</v>
      </c>
      <c r="K11" s="37">
        <v>0</v>
      </c>
      <c r="L11" s="37"/>
      <c r="M11" s="37"/>
      <c r="N11" s="37"/>
      <c r="O11" s="37">
        <v>7000</v>
      </c>
      <c r="P11" s="37"/>
      <c r="Q11" s="37"/>
      <c r="R11" s="37"/>
      <c r="S11" s="37"/>
      <c r="T11" s="37">
        <f t="shared" si="0"/>
        <v>989500</v>
      </c>
      <c r="U11" s="34"/>
    </row>
    <row r="12" spans="1:21">
      <c r="A12" s="35" t="s">
        <v>41</v>
      </c>
      <c r="B12" s="37">
        <v>215000</v>
      </c>
      <c r="C12" s="37">
        <v>107000</v>
      </c>
      <c r="D12" s="37">
        <v>79000</v>
      </c>
      <c r="E12" s="37">
        <v>0</v>
      </c>
      <c r="F12" s="37">
        <v>19000</v>
      </c>
      <c r="G12" s="37">
        <v>0</v>
      </c>
      <c r="H12" s="37">
        <v>18000</v>
      </c>
      <c r="I12" s="37">
        <v>26000</v>
      </c>
      <c r="J12" s="37">
        <v>2000</v>
      </c>
      <c r="K12" s="37">
        <v>0</v>
      </c>
      <c r="L12" s="37"/>
      <c r="M12" s="37"/>
      <c r="N12" s="37"/>
      <c r="O12" s="37">
        <v>26000</v>
      </c>
      <c r="P12" s="37"/>
      <c r="Q12" s="37"/>
      <c r="R12" s="37">
        <v>-744000</v>
      </c>
      <c r="S12" s="37"/>
      <c r="T12" s="37">
        <f t="shared" si="0"/>
        <v>-252000</v>
      </c>
      <c r="U12" s="34"/>
    </row>
    <row r="13" spans="1:21">
      <c r="A13" s="35" t="s">
        <v>42</v>
      </c>
      <c r="B13" s="37">
        <v>133500</v>
      </c>
      <c r="C13" s="37">
        <v>67000</v>
      </c>
      <c r="D13" s="37">
        <v>53500</v>
      </c>
      <c r="E13" s="37">
        <v>3000</v>
      </c>
      <c r="F13" s="37">
        <v>70000</v>
      </c>
      <c r="G13" s="37">
        <v>12000</v>
      </c>
      <c r="H13" s="37">
        <v>18000</v>
      </c>
      <c r="I13" s="37">
        <v>20000</v>
      </c>
      <c r="J13" s="37">
        <v>4000</v>
      </c>
      <c r="K13" s="37">
        <v>0</v>
      </c>
      <c r="L13" s="37"/>
      <c r="M13" s="37"/>
      <c r="N13" s="37"/>
      <c r="O13" s="37">
        <v>5000</v>
      </c>
      <c r="P13" s="37"/>
      <c r="Q13" s="37"/>
      <c r="R13" s="37"/>
      <c r="S13" s="37"/>
      <c r="T13" s="37">
        <f t="shared" si="0"/>
        <v>386000</v>
      </c>
      <c r="U13" s="42">
        <v>500000</v>
      </c>
    </row>
    <row r="14" spans="1:21">
      <c r="A14" s="35" t="s">
        <v>43</v>
      </c>
      <c r="B14" s="37">
        <v>206000</v>
      </c>
      <c r="C14" s="37">
        <v>149000</v>
      </c>
      <c r="D14" s="37">
        <v>77000</v>
      </c>
      <c r="E14" s="37">
        <v>2000</v>
      </c>
      <c r="F14" s="37">
        <v>82900</v>
      </c>
      <c r="G14" s="37">
        <v>0</v>
      </c>
      <c r="H14" s="37">
        <v>28500</v>
      </c>
      <c r="I14" s="37">
        <v>4500</v>
      </c>
      <c r="J14" s="37">
        <v>5400</v>
      </c>
      <c r="K14" s="37">
        <v>0</v>
      </c>
      <c r="L14" s="37"/>
      <c r="M14" s="37"/>
      <c r="N14" s="37"/>
      <c r="O14" s="37">
        <v>16000</v>
      </c>
      <c r="P14" s="37"/>
      <c r="Q14" s="37"/>
      <c r="R14" s="37"/>
      <c r="S14" s="37"/>
      <c r="T14" s="37">
        <f t="shared" si="0"/>
        <v>571300</v>
      </c>
      <c r="U14" s="34"/>
    </row>
    <row r="15" spans="1:21">
      <c r="A15" s="35" t="s">
        <v>44</v>
      </c>
      <c r="B15" s="37">
        <v>234500</v>
      </c>
      <c r="C15" s="37">
        <v>56000</v>
      </c>
      <c r="D15" s="37">
        <v>77000</v>
      </c>
      <c r="E15" s="37">
        <v>20000</v>
      </c>
      <c r="F15" s="37">
        <v>126500</v>
      </c>
      <c r="G15" s="37">
        <v>12000</v>
      </c>
      <c r="H15" s="37">
        <v>54000</v>
      </c>
      <c r="I15" s="37">
        <v>19000</v>
      </c>
      <c r="J15" s="37">
        <v>4000</v>
      </c>
      <c r="K15" s="37">
        <v>0</v>
      </c>
      <c r="L15" s="37"/>
      <c r="M15" s="37"/>
      <c r="N15" s="37"/>
      <c r="O15" s="37">
        <v>11000</v>
      </c>
      <c r="P15" s="37"/>
      <c r="Q15" s="37"/>
      <c r="R15" s="37"/>
      <c r="S15" s="37"/>
      <c r="T15" s="37">
        <f t="shared" si="0"/>
        <v>614000</v>
      </c>
      <c r="U15" s="34"/>
    </row>
    <row r="16" spans="1:21">
      <c r="A16" s="35" t="s">
        <v>45</v>
      </c>
      <c r="B16" s="37">
        <v>191500</v>
      </c>
      <c r="C16" s="37">
        <v>16000</v>
      </c>
      <c r="D16" s="37">
        <v>101500</v>
      </c>
      <c r="E16" s="37">
        <v>18500</v>
      </c>
      <c r="F16" s="37">
        <v>147500</v>
      </c>
      <c r="G16" s="37">
        <v>0</v>
      </c>
      <c r="H16" s="37">
        <v>61800</v>
      </c>
      <c r="I16" s="37">
        <v>30500</v>
      </c>
      <c r="J16" s="37">
        <v>8000</v>
      </c>
      <c r="K16" s="37">
        <v>0</v>
      </c>
      <c r="L16" s="37"/>
      <c r="M16" s="37"/>
      <c r="N16" s="37"/>
      <c r="O16" s="37">
        <v>18000</v>
      </c>
      <c r="P16" s="37"/>
      <c r="Q16" s="37"/>
      <c r="R16" s="37">
        <v>516000</v>
      </c>
      <c r="S16" s="37"/>
      <c r="T16" s="37">
        <f t="shared" si="0"/>
        <v>1109300</v>
      </c>
      <c r="U16" s="34"/>
    </row>
    <row r="17" spans="1:28">
      <c r="A17" s="35" t="s">
        <v>46</v>
      </c>
      <c r="B17" s="37">
        <v>152500</v>
      </c>
      <c r="C17" s="37">
        <v>51000</v>
      </c>
      <c r="D17" s="37">
        <v>106000</v>
      </c>
      <c r="E17" s="37">
        <v>7000</v>
      </c>
      <c r="F17" s="37">
        <v>107000</v>
      </c>
      <c r="G17" s="37">
        <v>0</v>
      </c>
      <c r="H17" s="37">
        <v>61000</v>
      </c>
      <c r="I17" s="37">
        <v>55500</v>
      </c>
      <c r="J17" s="37">
        <v>5000</v>
      </c>
      <c r="K17" s="37">
        <v>0</v>
      </c>
      <c r="L17" s="37"/>
      <c r="M17" s="37"/>
      <c r="N17" s="37"/>
      <c r="O17" s="37">
        <v>40000</v>
      </c>
      <c r="P17" s="37"/>
      <c r="Q17" s="37"/>
      <c r="R17" s="37">
        <v>438000</v>
      </c>
      <c r="S17" s="37"/>
      <c r="T17" s="37">
        <f t="shared" si="0"/>
        <v>1023000</v>
      </c>
      <c r="U17" s="34"/>
    </row>
    <row r="18" spans="1:28">
      <c r="A18" s="35" t="s">
        <v>47</v>
      </c>
      <c r="B18" s="37">
        <v>135000</v>
      </c>
      <c r="C18" s="37">
        <v>60000</v>
      </c>
      <c r="D18" s="37">
        <v>108500</v>
      </c>
      <c r="E18" s="37">
        <v>38000</v>
      </c>
      <c r="F18" s="37">
        <v>131500</v>
      </c>
      <c r="G18" s="37">
        <v>6000</v>
      </c>
      <c r="H18" s="37">
        <v>128000</v>
      </c>
      <c r="I18" s="37">
        <v>54000</v>
      </c>
      <c r="J18" s="37">
        <v>6000</v>
      </c>
      <c r="K18" s="37">
        <v>0</v>
      </c>
      <c r="L18" s="37"/>
      <c r="M18" s="37"/>
      <c r="N18" s="37"/>
      <c r="O18" s="37">
        <v>16000</v>
      </c>
      <c r="P18" s="37"/>
      <c r="Q18" s="37"/>
      <c r="R18" s="37">
        <v>28000</v>
      </c>
      <c r="S18" s="37"/>
      <c r="T18" s="38">
        <f t="shared" si="0"/>
        <v>711000</v>
      </c>
      <c r="U18" s="34"/>
    </row>
    <row r="19" spans="1:28">
      <c r="A19" s="35" t="s">
        <v>48</v>
      </c>
      <c r="B19" s="37">
        <v>123000</v>
      </c>
      <c r="C19" s="37">
        <v>17000</v>
      </c>
      <c r="D19" s="37">
        <v>56000</v>
      </c>
      <c r="E19" s="37">
        <v>16500</v>
      </c>
      <c r="F19" s="37">
        <v>73000</v>
      </c>
      <c r="G19" s="37">
        <v>0</v>
      </c>
      <c r="H19" s="37">
        <v>10000</v>
      </c>
      <c r="I19" s="37">
        <v>50500</v>
      </c>
      <c r="J19" s="37">
        <v>11000</v>
      </c>
      <c r="K19" s="37">
        <v>0</v>
      </c>
      <c r="L19" s="37"/>
      <c r="M19" s="37"/>
      <c r="N19" s="37"/>
      <c r="O19" s="37">
        <v>18000</v>
      </c>
      <c r="P19" s="37"/>
      <c r="Q19" s="37"/>
      <c r="R19" s="37">
        <v>2000</v>
      </c>
      <c r="S19" s="37"/>
      <c r="T19" s="38">
        <f t="shared" si="0"/>
        <v>377000</v>
      </c>
      <c r="U19" s="34"/>
    </row>
    <row r="20" spans="1:28">
      <c r="A20" s="35" t="s">
        <v>49</v>
      </c>
      <c r="B20" s="37">
        <v>108000</v>
      </c>
      <c r="C20" s="37">
        <v>106000</v>
      </c>
      <c r="D20" s="37">
        <v>57000</v>
      </c>
      <c r="E20" s="37">
        <v>1500</v>
      </c>
      <c r="F20" s="37">
        <v>51000</v>
      </c>
      <c r="G20" s="37">
        <v>0</v>
      </c>
      <c r="H20" s="37">
        <v>12000</v>
      </c>
      <c r="I20" s="37">
        <v>48300</v>
      </c>
      <c r="J20" s="37">
        <v>0</v>
      </c>
      <c r="K20" s="37">
        <v>0</v>
      </c>
      <c r="L20" s="37"/>
      <c r="M20" s="37"/>
      <c r="N20" s="37"/>
      <c r="O20" s="37">
        <v>10000</v>
      </c>
      <c r="P20" s="37"/>
      <c r="Q20" s="37"/>
      <c r="R20" s="37">
        <v>1020000</v>
      </c>
      <c r="S20" s="37"/>
      <c r="T20" s="38">
        <f t="shared" si="0"/>
        <v>1413800</v>
      </c>
      <c r="U20" s="34"/>
    </row>
    <row r="21" spans="1:28">
      <c r="A21" s="35" t="s">
        <v>50</v>
      </c>
      <c r="B21" s="37">
        <v>137000</v>
      </c>
      <c r="C21" s="37">
        <v>39000</v>
      </c>
      <c r="D21" s="37">
        <v>74000</v>
      </c>
      <c r="E21" s="37">
        <v>4000</v>
      </c>
      <c r="F21" s="37">
        <v>143000</v>
      </c>
      <c r="G21" s="37">
        <v>0</v>
      </c>
      <c r="H21" s="37">
        <v>36000</v>
      </c>
      <c r="I21" s="37">
        <v>41000</v>
      </c>
      <c r="J21" s="37">
        <v>10000</v>
      </c>
      <c r="K21" s="37">
        <v>0</v>
      </c>
      <c r="L21" s="37"/>
      <c r="M21" s="37"/>
      <c r="N21" s="37"/>
      <c r="O21" s="37">
        <v>20000</v>
      </c>
      <c r="P21" s="37"/>
      <c r="Q21" s="37"/>
      <c r="R21" s="37">
        <v>89000</v>
      </c>
      <c r="S21" s="37"/>
      <c r="T21" s="38">
        <f t="shared" si="0"/>
        <v>593000</v>
      </c>
      <c r="U21" s="34"/>
    </row>
    <row r="22" spans="1:28">
      <c r="A22" s="35" t="s">
        <v>73</v>
      </c>
      <c r="B22" s="37">
        <v>203000</v>
      </c>
      <c r="C22" s="37">
        <v>120000</v>
      </c>
      <c r="D22" s="37">
        <v>130000</v>
      </c>
      <c r="E22" s="37">
        <v>12000</v>
      </c>
      <c r="F22" s="37">
        <v>54000</v>
      </c>
      <c r="G22" s="37">
        <v>0</v>
      </c>
      <c r="H22" s="37">
        <v>42400</v>
      </c>
      <c r="I22" s="37">
        <v>10000</v>
      </c>
      <c r="J22" s="37">
        <v>30000</v>
      </c>
      <c r="K22" s="37">
        <v>0</v>
      </c>
      <c r="L22" s="37"/>
      <c r="M22" s="37"/>
      <c r="N22" s="37"/>
      <c r="O22" s="37">
        <v>18000</v>
      </c>
      <c r="P22" s="37"/>
      <c r="Q22" s="37"/>
      <c r="R22" s="37">
        <v>117000</v>
      </c>
      <c r="S22" s="37"/>
      <c r="T22" s="38">
        <f t="shared" si="0"/>
        <v>736400</v>
      </c>
      <c r="U22" s="34"/>
    </row>
    <row r="23" spans="1:28">
      <c r="A23" s="35" t="s">
        <v>52</v>
      </c>
      <c r="B23" s="37">
        <v>229000</v>
      </c>
      <c r="C23" s="37">
        <v>276000</v>
      </c>
      <c r="D23" s="37">
        <v>104000</v>
      </c>
      <c r="E23" s="37">
        <v>4000</v>
      </c>
      <c r="F23" s="37">
        <v>102000</v>
      </c>
      <c r="G23" s="37">
        <v>0</v>
      </c>
      <c r="H23" s="37">
        <v>54000</v>
      </c>
      <c r="I23" s="37">
        <v>20000</v>
      </c>
      <c r="J23" s="37">
        <v>7000</v>
      </c>
      <c r="K23" s="37">
        <v>0</v>
      </c>
      <c r="L23" s="37"/>
      <c r="M23" s="37"/>
      <c r="N23" s="37"/>
      <c r="O23" s="37">
        <v>64000</v>
      </c>
      <c r="P23" s="37"/>
      <c r="Q23" s="37"/>
      <c r="R23" s="37">
        <v>-48000</v>
      </c>
      <c r="S23" s="37"/>
      <c r="T23" s="38">
        <f t="shared" si="0"/>
        <v>812000</v>
      </c>
      <c r="U23" s="34"/>
    </row>
    <row r="24" spans="1:28">
      <c r="A24" s="35" t="s">
        <v>53</v>
      </c>
      <c r="B24" s="37">
        <v>156500</v>
      </c>
      <c r="C24" s="37">
        <v>285000</v>
      </c>
      <c r="D24" s="37">
        <v>86000</v>
      </c>
      <c r="E24" s="37">
        <v>0</v>
      </c>
      <c r="F24" s="37">
        <v>110500</v>
      </c>
      <c r="G24" s="37">
        <v>0</v>
      </c>
      <c r="H24" s="37">
        <v>61000</v>
      </c>
      <c r="I24" s="37">
        <v>20300</v>
      </c>
      <c r="J24" s="37">
        <v>6700</v>
      </c>
      <c r="K24" s="37">
        <v>0</v>
      </c>
      <c r="L24" s="37"/>
      <c r="M24" s="37"/>
      <c r="N24" s="37"/>
      <c r="O24" s="37">
        <v>18000</v>
      </c>
      <c r="P24" s="37"/>
      <c r="Q24" s="37"/>
      <c r="R24" s="37">
        <v>435000</v>
      </c>
      <c r="S24" s="37"/>
      <c r="T24" s="38">
        <f t="shared" si="0"/>
        <v>1179000</v>
      </c>
      <c r="U24" s="34">
        <v>1900000</v>
      </c>
    </row>
    <row r="25" spans="1:28">
      <c r="A25" s="35" t="s">
        <v>54</v>
      </c>
      <c r="B25" s="37">
        <v>141500</v>
      </c>
      <c r="C25" s="37">
        <v>104000</v>
      </c>
      <c r="D25" s="37">
        <v>61500</v>
      </c>
      <c r="E25" s="37">
        <v>20500</v>
      </c>
      <c r="F25" s="37">
        <v>113800</v>
      </c>
      <c r="G25" s="37">
        <v>0</v>
      </c>
      <c r="H25" s="37">
        <v>56000</v>
      </c>
      <c r="I25" s="37">
        <v>33500</v>
      </c>
      <c r="J25" s="37">
        <v>7000</v>
      </c>
      <c r="K25" s="37">
        <v>0</v>
      </c>
      <c r="L25" s="37"/>
      <c r="M25" s="37"/>
      <c r="N25" s="37"/>
      <c r="O25" s="37">
        <v>6000</v>
      </c>
      <c r="P25" s="37"/>
      <c r="Q25" s="37"/>
      <c r="R25" s="37">
        <v>2000</v>
      </c>
      <c r="S25" s="37"/>
      <c r="T25" s="38">
        <f t="shared" si="0"/>
        <v>545800</v>
      </c>
      <c r="U25" s="34">
        <v>435000</v>
      </c>
    </row>
    <row r="26" spans="1:28">
      <c r="A26" s="35" t="s">
        <v>55</v>
      </c>
      <c r="B26" s="37">
        <v>116000</v>
      </c>
      <c r="C26" s="37">
        <v>96000</v>
      </c>
      <c r="D26" s="37">
        <v>86000</v>
      </c>
      <c r="E26" s="37">
        <v>5500</v>
      </c>
      <c r="F26" s="37">
        <v>69500</v>
      </c>
      <c r="G26" s="37">
        <v>0</v>
      </c>
      <c r="H26" s="37">
        <v>16000</v>
      </c>
      <c r="I26" s="37">
        <v>33000</v>
      </c>
      <c r="J26" s="37">
        <v>0</v>
      </c>
      <c r="K26" s="37">
        <v>0</v>
      </c>
      <c r="L26" s="37"/>
      <c r="M26" s="37"/>
      <c r="N26" s="37"/>
      <c r="O26" s="37">
        <v>6000</v>
      </c>
      <c r="P26" s="37"/>
      <c r="Q26" s="37"/>
      <c r="R26" s="37">
        <v>11000</v>
      </c>
      <c r="S26" s="37"/>
      <c r="T26" s="38">
        <f t="shared" si="0"/>
        <v>439000</v>
      </c>
      <c r="U26" s="34"/>
    </row>
    <row r="27" spans="1:28">
      <c r="A27" s="35" t="s">
        <v>56</v>
      </c>
      <c r="B27" s="37">
        <v>112000</v>
      </c>
      <c r="C27" s="37">
        <v>155000</v>
      </c>
      <c r="D27" s="37">
        <v>64000</v>
      </c>
      <c r="E27" s="37">
        <v>5000</v>
      </c>
      <c r="F27" s="37">
        <v>77000</v>
      </c>
      <c r="G27" s="37">
        <v>60000</v>
      </c>
      <c r="H27" s="37">
        <v>43000</v>
      </c>
      <c r="I27" s="37">
        <v>26000</v>
      </c>
      <c r="J27" s="37">
        <v>4000</v>
      </c>
      <c r="K27" s="37">
        <v>0</v>
      </c>
      <c r="L27" s="37"/>
      <c r="M27" s="37"/>
      <c r="N27" s="37"/>
      <c r="O27" s="37">
        <v>24000</v>
      </c>
      <c r="P27" s="37"/>
      <c r="Q27" s="37"/>
      <c r="R27" s="37">
        <v>63000</v>
      </c>
      <c r="S27" s="37"/>
      <c r="T27" s="38">
        <f t="shared" si="0"/>
        <v>633000</v>
      </c>
      <c r="U27" s="34"/>
    </row>
    <row r="28" spans="1:28">
      <c r="A28" s="35" t="s">
        <v>57</v>
      </c>
      <c r="B28" s="37">
        <v>99500</v>
      </c>
      <c r="C28" s="37">
        <v>156000</v>
      </c>
      <c r="D28" s="37">
        <v>89000</v>
      </c>
      <c r="E28" s="37">
        <v>7500</v>
      </c>
      <c r="F28" s="37">
        <v>56000</v>
      </c>
      <c r="G28" s="37">
        <v>0</v>
      </c>
      <c r="H28" s="37">
        <v>22000</v>
      </c>
      <c r="I28" s="37">
        <v>70000</v>
      </c>
      <c r="J28" s="37">
        <v>0</v>
      </c>
      <c r="K28" s="37">
        <v>0</v>
      </c>
      <c r="L28" s="37"/>
      <c r="M28" s="37"/>
      <c r="N28" s="37"/>
      <c r="O28" s="37">
        <v>10000</v>
      </c>
      <c r="P28" s="37"/>
      <c r="Q28" s="37"/>
      <c r="R28" s="37">
        <v>63000</v>
      </c>
      <c r="S28" s="37"/>
      <c r="T28" s="38">
        <f t="shared" si="0"/>
        <v>573000</v>
      </c>
      <c r="U28" s="34"/>
    </row>
    <row r="29" spans="1:28">
      <c r="A29" s="35" t="s">
        <v>58</v>
      </c>
      <c r="B29" s="37">
        <v>99500</v>
      </c>
      <c r="C29" s="37">
        <v>90000</v>
      </c>
      <c r="D29" s="37">
        <v>54000</v>
      </c>
      <c r="E29" s="37">
        <v>1500</v>
      </c>
      <c r="F29" s="37">
        <v>68800</v>
      </c>
      <c r="G29" s="37">
        <v>0</v>
      </c>
      <c r="H29" s="37">
        <v>18000</v>
      </c>
      <c r="I29" s="37">
        <v>16500</v>
      </c>
      <c r="J29" s="37">
        <v>0</v>
      </c>
      <c r="K29" s="37">
        <v>0</v>
      </c>
      <c r="L29" s="37"/>
      <c r="M29" s="37"/>
      <c r="N29" s="37"/>
      <c r="O29" s="37">
        <v>24000</v>
      </c>
      <c r="P29" s="37"/>
      <c r="Q29" s="37"/>
      <c r="R29" s="37"/>
      <c r="S29" s="37"/>
      <c r="T29" s="38">
        <f t="shared" si="0"/>
        <v>372300</v>
      </c>
      <c r="U29" s="34"/>
    </row>
    <row r="30" spans="1:28">
      <c r="A30" s="35" t="s">
        <v>59</v>
      </c>
      <c r="B30" s="37">
        <v>254000</v>
      </c>
      <c r="C30" s="37">
        <v>112000</v>
      </c>
      <c r="D30" s="37">
        <v>100000</v>
      </c>
      <c r="E30" s="37">
        <v>25000</v>
      </c>
      <c r="F30" s="37">
        <v>164000</v>
      </c>
      <c r="G30" s="37">
        <v>0</v>
      </c>
      <c r="H30" s="37">
        <v>28000</v>
      </c>
      <c r="I30" s="37">
        <v>40000</v>
      </c>
      <c r="J30" s="37">
        <v>12000</v>
      </c>
      <c r="K30" s="37">
        <v>0</v>
      </c>
      <c r="L30" s="37"/>
      <c r="M30" s="37"/>
      <c r="N30" s="37"/>
      <c r="O30" s="37">
        <v>18000</v>
      </c>
      <c r="P30" s="37"/>
      <c r="Q30" s="37"/>
      <c r="R30" s="37">
        <v>836000</v>
      </c>
      <c r="S30" s="37"/>
      <c r="T30" s="38">
        <f t="shared" si="0"/>
        <v>1589000</v>
      </c>
      <c r="U30" s="34"/>
    </row>
    <row r="31" spans="1:28">
      <c r="A31" s="35" t="s">
        <v>60</v>
      </c>
      <c r="B31" s="37">
        <v>242000</v>
      </c>
      <c r="C31" s="37">
        <v>194000</v>
      </c>
      <c r="D31" s="37">
        <v>113000</v>
      </c>
      <c r="E31" s="37">
        <v>17100</v>
      </c>
      <c r="F31" s="37">
        <v>126000</v>
      </c>
      <c r="G31" s="37">
        <v>0</v>
      </c>
      <c r="H31" s="37">
        <v>68000</v>
      </c>
      <c r="I31" s="37">
        <v>19000</v>
      </c>
      <c r="J31" s="37">
        <v>9000</v>
      </c>
      <c r="K31" s="37">
        <v>0</v>
      </c>
      <c r="L31" s="37"/>
      <c r="M31" s="37"/>
      <c r="N31" s="37"/>
      <c r="O31" s="37">
        <v>48000</v>
      </c>
      <c r="P31" s="37"/>
      <c r="Q31" s="37"/>
      <c r="R31" s="37">
        <v>792000</v>
      </c>
      <c r="S31" s="37"/>
      <c r="T31" s="38">
        <f t="shared" si="0"/>
        <v>1628100</v>
      </c>
      <c r="U31" s="34">
        <v>1710000</v>
      </c>
    </row>
    <row r="32" spans="1:28">
      <c r="A32" s="35" t="s">
        <v>61</v>
      </c>
      <c r="B32" s="31">
        <v>107500</v>
      </c>
      <c r="C32" s="31">
        <v>122000</v>
      </c>
      <c r="D32" s="31">
        <v>83300</v>
      </c>
      <c r="E32" s="31">
        <v>9000</v>
      </c>
      <c r="F32" s="31">
        <v>95500</v>
      </c>
      <c r="G32" s="31">
        <v>66000</v>
      </c>
      <c r="H32" s="31">
        <v>31000</v>
      </c>
      <c r="I32" s="31">
        <v>20000</v>
      </c>
      <c r="J32" s="31">
        <v>6000</v>
      </c>
      <c r="K32" s="31">
        <v>0</v>
      </c>
      <c r="L32" s="31"/>
      <c r="M32" s="31"/>
      <c r="N32" s="31"/>
      <c r="O32" s="31">
        <v>22000</v>
      </c>
      <c r="P32" s="31"/>
      <c r="Q32" s="31"/>
      <c r="R32" s="31">
        <v>115000</v>
      </c>
      <c r="S32" s="31"/>
      <c r="T32" s="31">
        <f t="shared" si="0"/>
        <v>677300</v>
      </c>
      <c r="U32" s="39"/>
      <c r="V32" s="27"/>
      <c r="W32" s="27"/>
      <c r="X32" s="27"/>
      <c r="Y32" s="27"/>
      <c r="Z32" s="27"/>
      <c r="AA32" s="27"/>
      <c r="AB32" s="27"/>
    </row>
    <row r="33" spans="1:28">
      <c r="A33" s="35" t="s">
        <v>62</v>
      </c>
      <c r="B33" s="31">
        <v>172500</v>
      </c>
      <c r="C33" s="31">
        <v>72000</v>
      </c>
      <c r="D33" s="31">
        <v>78500</v>
      </c>
      <c r="E33" s="31">
        <v>6000</v>
      </c>
      <c r="F33" s="31">
        <v>95600</v>
      </c>
      <c r="G33" s="31">
        <v>0</v>
      </c>
      <c r="H33" s="31">
        <v>12000</v>
      </c>
      <c r="I33" s="31">
        <v>2000</v>
      </c>
      <c r="J33" s="31">
        <v>3400</v>
      </c>
      <c r="K33" s="31">
        <v>0</v>
      </c>
      <c r="L33" s="31"/>
      <c r="M33" s="31"/>
      <c r="N33" s="31"/>
      <c r="O33" s="31">
        <v>30000</v>
      </c>
      <c r="P33" s="31"/>
      <c r="Q33" s="31"/>
      <c r="R33" s="31">
        <v>1050500</v>
      </c>
      <c r="S33" s="31"/>
      <c r="T33" s="31">
        <f t="shared" si="0"/>
        <v>1522500</v>
      </c>
      <c r="U33" s="39">
        <v>1150000</v>
      </c>
      <c r="V33" s="27"/>
      <c r="W33" s="27"/>
      <c r="X33" s="27"/>
      <c r="Y33" s="27"/>
      <c r="Z33" s="27"/>
      <c r="AA33" s="27"/>
      <c r="AB33" s="27"/>
    </row>
    <row r="34" spans="1:28">
      <c r="A34" s="35" t="s">
        <v>63</v>
      </c>
      <c r="B34" s="31">
        <v>143500</v>
      </c>
      <c r="C34" s="31">
        <v>106000</v>
      </c>
      <c r="D34" s="31">
        <v>12000</v>
      </c>
      <c r="E34" s="31">
        <v>20000</v>
      </c>
      <c r="F34" s="31">
        <v>205000</v>
      </c>
      <c r="G34" s="31">
        <v>0</v>
      </c>
      <c r="H34" s="31">
        <v>68000</v>
      </c>
      <c r="I34" s="31">
        <v>1000</v>
      </c>
      <c r="J34" s="31">
        <v>14000</v>
      </c>
      <c r="K34" s="31">
        <v>0</v>
      </c>
      <c r="L34" s="31"/>
      <c r="M34" s="31"/>
      <c r="N34" s="31"/>
      <c r="O34" s="31">
        <v>11000</v>
      </c>
      <c r="P34" s="31"/>
      <c r="Q34" s="31"/>
      <c r="R34" s="31"/>
      <c r="S34" s="31"/>
      <c r="T34" s="31">
        <f t="shared" si="0"/>
        <v>580500</v>
      </c>
      <c r="U34" s="39">
        <v>107000</v>
      </c>
      <c r="V34" s="27"/>
      <c r="W34" s="27"/>
      <c r="X34" s="27"/>
      <c r="Y34" s="27"/>
      <c r="Z34" s="27"/>
      <c r="AA34" s="27"/>
      <c r="AB34" s="27"/>
    </row>
    <row r="35" spans="1:28">
      <c r="A35" s="35" t="s">
        <v>64</v>
      </c>
      <c r="B35" s="31">
        <v>225000</v>
      </c>
      <c r="C35" s="31">
        <v>91000</v>
      </c>
      <c r="D35" s="31">
        <v>77000</v>
      </c>
      <c r="E35" s="31">
        <v>6000</v>
      </c>
      <c r="F35" s="31">
        <v>113000</v>
      </c>
      <c r="G35" s="31">
        <v>12000</v>
      </c>
      <c r="H35" s="31">
        <v>31000</v>
      </c>
      <c r="I35" s="31">
        <v>51000</v>
      </c>
      <c r="J35" s="31">
        <v>0</v>
      </c>
      <c r="K35" s="31"/>
      <c r="L35" s="31"/>
      <c r="M35" s="31"/>
      <c r="N35" s="31"/>
      <c r="O35" s="31">
        <v>14000</v>
      </c>
      <c r="P35" s="31"/>
      <c r="Q35" s="31"/>
      <c r="R35" s="31">
        <v>42000</v>
      </c>
      <c r="S35" s="31"/>
      <c r="T35" s="31">
        <f t="shared" si="0"/>
        <v>662000</v>
      </c>
      <c r="U35" s="39"/>
      <c r="V35" s="27"/>
      <c r="W35" s="27"/>
      <c r="X35" s="27"/>
      <c r="Y35" s="27"/>
      <c r="Z35" s="27"/>
      <c r="AA35" s="27"/>
      <c r="AB35" s="27"/>
    </row>
    <row r="36" spans="1:28">
      <c r="A36" s="35" t="s">
        <v>65</v>
      </c>
      <c r="B36" s="31">
        <v>76500</v>
      </c>
      <c r="C36" s="31">
        <v>62000</v>
      </c>
      <c r="D36" s="31">
        <v>74500</v>
      </c>
      <c r="E36" s="31">
        <v>13000</v>
      </c>
      <c r="F36" s="31">
        <v>82500</v>
      </c>
      <c r="G36" s="31">
        <v>0</v>
      </c>
      <c r="H36" s="31">
        <v>159500</v>
      </c>
      <c r="I36" s="31">
        <v>20000</v>
      </c>
      <c r="J36" s="31">
        <v>10000</v>
      </c>
      <c r="K36" s="31">
        <v>0</v>
      </c>
      <c r="L36" s="31"/>
      <c r="M36" s="31"/>
      <c r="N36" s="31"/>
      <c r="O36" s="31">
        <v>6000</v>
      </c>
      <c r="P36" s="31"/>
      <c r="Q36" s="31"/>
      <c r="R36" s="31">
        <v>2000</v>
      </c>
      <c r="S36" s="31"/>
      <c r="T36" s="31">
        <f t="shared" si="0"/>
        <v>506000</v>
      </c>
      <c r="U36" s="39"/>
      <c r="V36" s="27"/>
      <c r="W36" s="27"/>
      <c r="X36" s="27"/>
      <c r="Y36" s="27"/>
      <c r="Z36" s="27"/>
      <c r="AA36" s="27"/>
      <c r="AB36" s="27"/>
    </row>
    <row r="37" spans="1:28">
      <c r="A37" s="35" t="s">
        <v>66</v>
      </c>
      <c r="B37" s="31"/>
      <c r="C37" s="31"/>
      <c r="D37" s="31"/>
      <c r="E37" s="31"/>
      <c r="F37" s="31"/>
      <c r="G37" s="31"/>
      <c r="H37" s="31"/>
      <c r="I37" s="31"/>
      <c r="J37" s="31"/>
      <c r="K37" s="31"/>
      <c r="L37" s="31"/>
      <c r="M37" s="31"/>
      <c r="N37" s="31"/>
      <c r="O37" s="31"/>
      <c r="P37" s="31"/>
      <c r="Q37" s="31"/>
      <c r="R37" s="31"/>
      <c r="S37" s="31"/>
      <c r="T37" s="31">
        <f>SUM(B37:S37)</f>
        <v>0</v>
      </c>
      <c r="U37" s="39"/>
      <c r="V37" s="27"/>
      <c r="W37" s="27"/>
      <c r="X37" s="27"/>
      <c r="Y37" s="27"/>
      <c r="Z37" s="27"/>
      <c r="AA37" s="27"/>
      <c r="AB37" s="27"/>
    </row>
    <row r="38" spans="1:28">
      <c r="A38" s="40" t="s">
        <v>23</v>
      </c>
      <c r="B38" s="41">
        <f>SUM(B7:B37)</f>
        <v>4860000</v>
      </c>
      <c r="C38" s="41">
        <f t="shared" ref="C38:T38" si="1">SUM(C7:C37)</f>
        <v>3680000</v>
      </c>
      <c r="D38" s="41">
        <f t="shared" si="1"/>
        <v>2375800</v>
      </c>
      <c r="E38" s="41">
        <f t="shared" si="1"/>
        <v>305100</v>
      </c>
      <c r="F38" s="41">
        <f t="shared" si="1"/>
        <v>3114600</v>
      </c>
      <c r="G38" s="41">
        <f t="shared" si="1"/>
        <v>174000</v>
      </c>
      <c r="H38" s="41">
        <f t="shared" si="1"/>
        <v>1384700</v>
      </c>
      <c r="I38" s="41">
        <f t="shared" si="1"/>
        <v>904100</v>
      </c>
      <c r="J38" s="41">
        <f t="shared" si="1"/>
        <v>218000</v>
      </c>
      <c r="K38" s="41">
        <f t="shared" si="1"/>
        <v>0</v>
      </c>
      <c r="L38" s="41">
        <f t="shared" si="1"/>
        <v>0</v>
      </c>
      <c r="M38" s="41">
        <f t="shared" si="1"/>
        <v>0</v>
      </c>
      <c r="N38" s="41">
        <f t="shared" si="1"/>
        <v>0</v>
      </c>
      <c r="O38" s="41">
        <f t="shared" si="1"/>
        <v>557000</v>
      </c>
      <c r="P38" s="41">
        <f t="shared" si="1"/>
        <v>0</v>
      </c>
      <c r="Q38" s="41">
        <f t="shared" si="1"/>
        <v>0</v>
      </c>
      <c r="R38" s="41">
        <f t="shared" si="1"/>
        <v>5811500</v>
      </c>
      <c r="S38" s="41">
        <f>SUM(S7:S37)</f>
        <v>0</v>
      </c>
      <c r="T38" s="41">
        <f t="shared" si="1"/>
        <v>23384800</v>
      </c>
      <c r="U38" s="34"/>
    </row>
    <row r="39" spans="1:28">
      <c r="A39" s="34"/>
      <c r="B39" s="34"/>
      <c r="C39" s="34"/>
      <c r="D39" s="34"/>
      <c r="E39" s="34"/>
      <c r="F39" s="34"/>
      <c r="G39" s="34"/>
      <c r="H39" s="34"/>
      <c r="I39" s="34"/>
      <c r="J39" s="34"/>
      <c r="K39" s="34"/>
      <c r="L39" s="34"/>
      <c r="M39" s="34"/>
      <c r="N39" s="34"/>
      <c r="O39" s="34"/>
      <c r="P39" s="34"/>
      <c r="Q39" s="34"/>
      <c r="R39" s="34"/>
      <c r="S39" s="34"/>
      <c r="T39" s="34"/>
      <c r="U39" s="34"/>
    </row>
  </sheetData>
  <mergeCells count="4">
    <mergeCell ref="B2:T2"/>
    <mergeCell ref="B3:T3"/>
    <mergeCell ref="C4:F4"/>
    <mergeCell ref="C5:F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H38"/>
  <sheetViews>
    <sheetView topLeftCell="A16" workbookViewId="0">
      <selection activeCell="H7" sqref="H7"/>
    </sheetView>
  </sheetViews>
  <sheetFormatPr defaultRowHeight="15"/>
  <cols>
    <col min="2" max="2" width="18.28515625" customWidth="1"/>
    <col min="3" max="3" width="13" customWidth="1"/>
    <col min="4" max="4" width="13.28515625" customWidth="1"/>
    <col min="5" max="5" width="14.140625" customWidth="1"/>
    <col min="6" max="6" width="12.140625" customWidth="1"/>
    <col min="7" max="7" width="11.85546875" customWidth="1"/>
    <col min="8" max="8" width="17.85546875" customWidth="1"/>
  </cols>
  <sheetData>
    <row r="2" spans="2:8" ht="15.75" thickBot="1"/>
    <row r="3" spans="2:8" ht="26.25">
      <c r="B3" s="82" t="s">
        <v>68</v>
      </c>
      <c r="C3" s="83"/>
      <c r="D3" s="83"/>
      <c r="E3" s="83"/>
      <c r="F3" s="83"/>
      <c r="G3" s="84"/>
      <c r="H3" s="85"/>
    </row>
    <row r="4" spans="2:8" ht="26.25">
      <c r="B4" s="86" t="s">
        <v>0</v>
      </c>
      <c r="C4" s="87"/>
      <c r="D4" s="87"/>
      <c r="E4" s="87"/>
      <c r="F4" s="87"/>
      <c r="G4" s="88"/>
      <c r="H4" s="89"/>
    </row>
    <row r="5" spans="2:8" ht="15.75" thickBot="1">
      <c r="B5" s="1"/>
      <c r="C5" s="2"/>
      <c r="D5" s="2"/>
      <c r="E5" s="2"/>
      <c r="F5" s="2"/>
      <c r="G5" s="2"/>
      <c r="H5" s="3"/>
    </row>
    <row r="6" spans="2:8" ht="15.75" thickBot="1">
      <c r="B6" s="4"/>
      <c r="H6" s="5"/>
    </row>
    <row r="7" spans="2:8" ht="16.5" thickBot="1">
      <c r="B7" s="6" t="s">
        <v>1</v>
      </c>
      <c r="C7" s="90" t="s">
        <v>69</v>
      </c>
      <c r="D7" s="71"/>
      <c r="E7" s="72"/>
      <c r="F7" s="7"/>
      <c r="G7" s="7"/>
      <c r="H7" s="8"/>
    </row>
    <row r="8" spans="2:8" ht="16.5" thickBot="1">
      <c r="B8" s="9"/>
      <c r="C8" s="10"/>
      <c r="D8" s="10"/>
      <c r="E8" s="10"/>
      <c r="F8" s="10"/>
      <c r="G8" s="10"/>
      <c r="H8" s="8"/>
    </row>
    <row r="9" spans="2:8" ht="16.5" thickBot="1">
      <c r="B9" s="6" t="s">
        <v>24</v>
      </c>
      <c r="C9" s="70" t="s">
        <v>77</v>
      </c>
      <c r="D9" s="71"/>
      <c r="E9" s="72"/>
      <c r="F9" s="11"/>
      <c r="G9" s="11"/>
      <c r="H9" s="12"/>
    </row>
    <row r="10" spans="2:8" ht="15.75">
      <c r="B10" s="13" t="s">
        <v>25</v>
      </c>
      <c r="C10" s="14" t="s">
        <v>26</v>
      </c>
      <c r="D10" s="14" t="s">
        <v>27</v>
      </c>
      <c r="E10" s="14" t="s">
        <v>28</v>
      </c>
      <c r="F10" s="14" t="s">
        <v>29</v>
      </c>
      <c r="G10" s="15" t="s">
        <v>30</v>
      </c>
      <c r="H10" s="16" t="s">
        <v>31</v>
      </c>
    </row>
    <row r="11" spans="2:8" ht="15.75">
      <c r="B11" s="17" t="s">
        <v>4</v>
      </c>
      <c r="C11" s="18">
        <v>846000</v>
      </c>
      <c r="D11" s="18">
        <v>1268000</v>
      </c>
      <c r="E11" s="18">
        <v>1098000</v>
      </c>
      <c r="F11" s="18">
        <v>1030500</v>
      </c>
      <c r="G11" s="19">
        <v>617500</v>
      </c>
      <c r="H11" s="20">
        <f t="shared" ref="H11:H19" si="0">SUM(C11:G11)</f>
        <v>4860000</v>
      </c>
    </row>
    <row r="12" spans="2:8" ht="15.75">
      <c r="B12" s="17" t="s">
        <v>5</v>
      </c>
      <c r="C12" s="18">
        <v>971000</v>
      </c>
      <c r="D12" s="18">
        <v>506000</v>
      </c>
      <c r="E12" s="18">
        <v>947000</v>
      </c>
      <c r="F12" s="18">
        <v>925000</v>
      </c>
      <c r="G12" s="19">
        <v>331000</v>
      </c>
      <c r="H12" s="20">
        <f t="shared" si="0"/>
        <v>3680000</v>
      </c>
    </row>
    <row r="13" spans="2:8" ht="15.75">
      <c r="B13" s="17" t="s">
        <v>32</v>
      </c>
      <c r="C13" s="18">
        <v>373500</v>
      </c>
      <c r="D13" s="18">
        <v>602500</v>
      </c>
      <c r="E13" s="18">
        <v>568500</v>
      </c>
      <c r="F13" s="18">
        <v>589300</v>
      </c>
      <c r="G13" s="19">
        <v>242000</v>
      </c>
      <c r="H13" s="20">
        <f t="shared" si="0"/>
        <v>2375800</v>
      </c>
    </row>
    <row r="14" spans="2:8" ht="15.75">
      <c r="B14" s="17" t="s">
        <v>33</v>
      </c>
      <c r="C14" s="18">
        <v>42500</v>
      </c>
      <c r="D14" s="18">
        <v>88500</v>
      </c>
      <c r="E14" s="18">
        <v>58500</v>
      </c>
      <c r="F14" s="18">
        <v>70600</v>
      </c>
      <c r="G14" s="19">
        <v>45000</v>
      </c>
      <c r="H14" s="20">
        <f t="shared" si="0"/>
        <v>305100</v>
      </c>
    </row>
    <row r="15" spans="2:8" ht="15.75">
      <c r="B15" s="17" t="s">
        <v>8</v>
      </c>
      <c r="C15" s="18">
        <v>630000</v>
      </c>
      <c r="D15" s="18">
        <v>684400</v>
      </c>
      <c r="E15" s="18">
        <v>647300</v>
      </c>
      <c r="F15" s="18">
        <v>656800</v>
      </c>
      <c r="G15" s="19">
        <v>496100</v>
      </c>
      <c r="H15" s="20">
        <f t="shared" si="0"/>
        <v>3114600</v>
      </c>
    </row>
    <row r="16" spans="2:8" ht="15.75">
      <c r="B16" s="17" t="s">
        <v>9</v>
      </c>
      <c r="C16" s="18">
        <v>6000</v>
      </c>
      <c r="D16" s="18">
        <v>30000</v>
      </c>
      <c r="E16" s="18">
        <v>0</v>
      </c>
      <c r="F16" s="18">
        <v>126000</v>
      </c>
      <c r="G16" s="19">
        <v>12000</v>
      </c>
      <c r="H16" s="20">
        <f t="shared" si="0"/>
        <v>174000</v>
      </c>
    </row>
    <row r="17" spans="2:8" ht="15.75">
      <c r="B17" s="17" t="s">
        <v>10</v>
      </c>
      <c r="C17" s="18">
        <v>247500</v>
      </c>
      <c r="D17" s="18">
        <v>369300</v>
      </c>
      <c r="E17" s="18">
        <v>271000</v>
      </c>
      <c r="F17" s="18">
        <v>226000</v>
      </c>
      <c r="G17" s="19">
        <v>270500</v>
      </c>
      <c r="H17" s="20">
        <f t="shared" si="0"/>
        <v>1384300</v>
      </c>
    </row>
    <row r="18" spans="2:8" ht="15.75">
      <c r="B18" s="17" t="s">
        <v>11</v>
      </c>
      <c r="C18" s="18">
        <v>172500</v>
      </c>
      <c r="D18" s="18">
        <v>209500</v>
      </c>
      <c r="E18" s="18">
        <v>223600</v>
      </c>
      <c r="F18" s="18">
        <v>224500</v>
      </c>
      <c r="G18" s="19">
        <v>74000</v>
      </c>
      <c r="H18" s="20">
        <f t="shared" si="0"/>
        <v>904100</v>
      </c>
    </row>
    <row r="19" spans="2:8" ht="15.75">
      <c r="B19" s="17" t="s">
        <v>12</v>
      </c>
      <c r="C19" s="18">
        <v>53500</v>
      </c>
      <c r="D19" s="18">
        <v>34400</v>
      </c>
      <c r="E19" s="18">
        <v>71700</v>
      </c>
      <c r="F19" s="18">
        <v>31000</v>
      </c>
      <c r="G19" s="19">
        <v>27400</v>
      </c>
      <c r="H19" s="20">
        <f t="shared" si="0"/>
        <v>218000</v>
      </c>
    </row>
    <row r="20" spans="2:8" ht="15.75">
      <c r="B20" s="17" t="s">
        <v>13</v>
      </c>
      <c r="C20" s="18"/>
      <c r="D20" s="18"/>
      <c r="E20" s="18"/>
      <c r="F20" s="18"/>
      <c r="G20" s="19"/>
      <c r="H20" s="20">
        <f t="shared" ref="H20:H27" si="1">SUM(C20:F20)</f>
        <v>0</v>
      </c>
    </row>
    <row r="21" spans="2:8" ht="15.75">
      <c r="B21" s="17" t="s">
        <v>14</v>
      </c>
      <c r="C21" s="18"/>
      <c r="D21" s="18"/>
      <c r="E21" s="18"/>
      <c r="F21" s="18"/>
      <c r="G21" s="19"/>
      <c r="H21" s="20">
        <f t="shared" si="1"/>
        <v>0</v>
      </c>
    </row>
    <row r="22" spans="2:8" ht="15.75">
      <c r="B22" s="17" t="s">
        <v>15</v>
      </c>
      <c r="C22" s="18"/>
      <c r="D22" s="18"/>
      <c r="E22" s="18"/>
      <c r="F22" s="18"/>
      <c r="G22" s="19"/>
      <c r="H22" s="20">
        <f t="shared" si="1"/>
        <v>0</v>
      </c>
    </row>
    <row r="23" spans="2:8" ht="15.75">
      <c r="B23" s="17" t="s">
        <v>16</v>
      </c>
      <c r="C23" s="18"/>
      <c r="D23" s="18"/>
      <c r="E23" s="18"/>
      <c r="F23" s="18"/>
      <c r="G23" s="19"/>
      <c r="H23" s="20">
        <f t="shared" si="1"/>
        <v>0</v>
      </c>
    </row>
    <row r="24" spans="2:8" ht="15.75">
      <c r="B24" s="17" t="s">
        <v>17</v>
      </c>
      <c r="C24" s="18">
        <v>58000</v>
      </c>
      <c r="D24" s="18">
        <v>132000</v>
      </c>
      <c r="E24" s="18">
        <v>154000</v>
      </c>
      <c r="F24" s="18">
        <v>152000</v>
      </c>
      <c r="G24" s="19">
        <v>61000</v>
      </c>
      <c r="H24" s="20">
        <f>SUM(C24:G24)</f>
        <v>557000</v>
      </c>
    </row>
    <row r="25" spans="2:8" ht="15.75">
      <c r="B25" s="17" t="s">
        <v>18</v>
      </c>
      <c r="C25" s="18"/>
      <c r="D25" s="18"/>
      <c r="E25" s="18"/>
      <c r="F25" s="18"/>
      <c r="G25" s="19"/>
      <c r="H25" s="20">
        <f t="shared" si="1"/>
        <v>0</v>
      </c>
    </row>
    <row r="26" spans="2:8" ht="15.75">
      <c r="B26" s="17" t="s">
        <v>19</v>
      </c>
      <c r="C26" s="18"/>
      <c r="D26" s="18"/>
      <c r="E26" s="18"/>
      <c r="F26" s="18"/>
      <c r="G26" s="19"/>
      <c r="H26" s="20">
        <f t="shared" si="1"/>
        <v>0</v>
      </c>
    </row>
    <row r="27" spans="2:8" ht="15.75">
      <c r="B27" s="17" t="s">
        <v>34</v>
      </c>
      <c r="C27" s="18"/>
      <c r="D27" s="18"/>
      <c r="E27" s="18"/>
      <c r="F27" s="18"/>
      <c r="G27" s="19"/>
      <c r="H27" s="20">
        <f t="shared" si="1"/>
        <v>0</v>
      </c>
    </row>
    <row r="28" spans="2:8" ht="16.5" thickBot="1">
      <c r="B28" s="21" t="s">
        <v>35</v>
      </c>
      <c r="C28" s="22">
        <f t="shared" ref="C28:H28" si="2">SUM(C11:C27)</f>
        <v>3400500</v>
      </c>
      <c r="D28" s="22">
        <f t="shared" si="2"/>
        <v>3924600</v>
      </c>
      <c r="E28" s="22">
        <f t="shared" si="2"/>
        <v>4039600</v>
      </c>
      <c r="F28" s="22">
        <f t="shared" si="2"/>
        <v>4031700</v>
      </c>
      <c r="G28" s="22">
        <f t="shared" si="2"/>
        <v>2176500</v>
      </c>
      <c r="H28" s="23">
        <f t="shared" si="2"/>
        <v>17572900</v>
      </c>
    </row>
    <row r="30" spans="2:8" ht="15.75" thickBot="1"/>
    <row r="31" spans="2:8" ht="21.75" thickBot="1">
      <c r="B31" s="73" t="s">
        <v>36</v>
      </c>
      <c r="C31" s="74"/>
      <c r="D31" s="74"/>
      <c r="E31" s="74"/>
      <c r="F31" s="74"/>
      <c r="G31" s="74"/>
      <c r="H31" s="75"/>
    </row>
    <row r="32" spans="2:8" ht="15.75" thickBot="1">
      <c r="B32" s="91" t="s">
        <v>76</v>
      </c>
      <c r="C32" s="68"/>
      <c r="D32" s="68"/>
      <c r="E32" s="68"/>
      <c r="F32" s="68"/>
      <c r="G32" s="68"/>
      <c r="H32" s="69"/>
    </row>
    <row r="33" spans="2:8" ht="15.75" thickBot="1">
      <c r="B33" s="24"/>
      <c r="C33" s="25"/>
      <c r="D33" s="25"/>
      <c r="E33" s="25"/>
      <c r="F33" s="25"/>
      <c r="G33" s="25"/>
      <c r="H33" s="26"/>
    </row>
    <row r="34" spans="2:8" ht="15.75" thickBot="1">
      <c r="B34" s="67"/>
      <c r="C34" s="68"/>
      <c r="D34" s="68"/>
      <c r="E34" s="68"/>
      <c r="F34" s="68"/>
      <c r="G34" s="68"/>
      <c r="H34" s="69"/>
    </row>
    <row r="35" spans="2:8" ht="15.75" thickBot="1">
      <c r="B35" s="67"/>
      <c r="C35" s="68"/>
      <c r="D35" s="68"/>
      <c r="E35" s="68"/>
      <c r="F35" s="68"/>
      <c r="G35" s="68"/>
      <c r="H35" s="69"/>
    </row>
    <row r="36" spans="2:8" ht="15.75" thickBot="1">
      <c r="B36" s="67"/>
      <c r="C36" s="68"/>
      <c r="D36" s="68"/>
      <c r="E36" s="68"/>
      <c r="F36" s="68"/>
      <c r="G36" s="68"/>
      <c r="H36" s="69"/>
    </row>
    <row r="37" spans="2:8" ht="15.75" thickBot="1">
      <c r="B37" s="67"/>
      <c r="C37" s="68"/>
      <c r="D37" s="68"/>
      <c r="E37" s="68"/>
      <c r="F37" s="68"/>
      <c r="G37" s="68"/>
      <c r="H37" s="69"/>
    </row>
    <row r="38" spans="2:8">
      <c r="B38" s="81"/>
      <c r="C38" s="81"/>
      <c r="D38" s="81"/>
      <c r="E38" s="81"/>
      <c r="F38" s="81"/>
      <c r="G38" s="81"/>
      <c r="H38" s="81"/>
    </row>
  </sheetData>
  <mergeCells count="11">
    <mergeCell ref="B32:H32"/>
    <mergeCell ref="B3:H3"/>
    <mergeCell ref="B4:H4"/>
    <mergeCell ref="C7:E7"/>
    <mergeCell ref="C9:E9"/>
    <mergeCell ref="B31:H31"/>
    <mergeCell ref="B34:H34"/>
    <mergeCell ref="B35:H35"/>
    <mergeCell ref="B36:H36"/>
    <mergeCell ref="B37:H37"/>
    <mergeCell ref="B38:H38"/>
  </mergeCells>
  <pageMargins left="0.7" right="0.7" top="0.75" bottom="0.75" header="0.3" footer="0.3"/>
  <pageSetup orientation="landscape"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39"/>
  <sheetViews>
    <sheetView topLeftCell="A22" workbookViewId="0">
      <selection activeCell="R36" sqref="R36"/>
    </sheetView>
  </sheetViews>
  <sheetFormatPr defaultRowHeight="15"/>
  <cols>
    <col min="1" max="1" width="3.5703125" customWidth="1"/>
    <col min="2" max="2" width="11.7109375" customWidth="1"/>
    <col min="3" max="3" width="10.42578125" customWidth="1"/>
    <col min="4" max="4" width="10.7109375" customWidth="1"/>
    <col min="5" max="5" width="13.140625" customWidth="1"/>
    <col min="6" max="6" width="12.42578125" customWidth="1"/>
    <col min="7" max="7" width="8.5703125" customWidth="1"/>
    <col min="8" max="8" width="12" customWidth="1"/>
    <col min="9" max="9" width="11.140625" customWidth="1"/>
    <col min="11" max="11" width="5.5703125" customWidth="1"/>
    <col min="12" max="12" width="5" customWidth="1"/>
    <col min="13" max="13" width="5.7109375" customWidth="1"/>
    <col min="14" max="14" width="5" customWidth="1"/>
    <col min="15" max="15" width="9.85546875" customWidth="1"/>
    <col min="16" max="16" width="5.5703125" customWidth="1"/>
    <col min="17" max="17" width="4.5703125" customWidth="1"/>
    <col min="18" max="18" width="10.140625" customWidth="1"/>
    <col min="19" max="19" width="6.85546875" customWidth="1"/>
    <col min="20" max="20" width="11.85546875" customWidth="1"/>
  </cols>
  <sheetData>
    <row r="1" spans="1:21" ht="15.75" thickBot="1"/>
    <row r="2" spans="1:21" ht="26.25" customHeight="1">
      <c r="A2" s="28"/>
      <c r="B2" s="55" t="s">
        <v>68</v>
      </c>
      <c r="C2" s="56"/>
      <c r="D2" s="56"/>
      <c r="E2" s="56"/>
      <c r="F2" s="56"/>
      <c r="G2" s="56"/>
      <c r="H2" s="56"/>
      <c r="I2" s="56"/>
      <c r="J2" s="56"/>
      <c r="K2" s="56"/>
      <c r="L2" s="56"/>
      <c r="M2" s="56"/>
      <c r="N2" s="56"/>
      <c r="O2" s="56"/>
      <c r="P2" s="56"/>
      <c r="Q2" s="56"/>
      <c r="R2" s="56"/>
      <c r="S2" s="56"/>
      <c r="T2" s="57"/>
    </row>
    <row r="3" spans="1:21" ht="27" thickBot="1">
      <c r="A3" s="4"/>
      <c r="B3" s="58" t="s">
        <v>0</v>
      </c>
      <c r="C3" s="59"/>
      <c r="D3" s="59"/>
      <c r="E3" s="59"/>
      <c r="F3" s="59"/>
      <c r="G3" s="59"/>
      <c r="H3" s="59"/>
      <c r="I3" s="59"/>
      <c r="J3" s="59"/>
      <c r="K3" s="59"/>
      <c r="L3" s="59"/>
      <c r="M3" s="59"/>
      <c r="N3" s="59"/>
      <c r="O3" s="59"/>
      <c r="P3" s="59"/>
      <c r="Q3" s="59"/>
      <c r="R3" s="59"/>
      <c r="S3" s="59"/>
      <c r="T3" s="60"/>
    </row>
    <row r="4" spans="1:21" ht="27" customHeight="1" thickBot="1">
      <c r="A4" s="4"/>
      <c r="B4" s="29" t="s">
        <v>1</v>
      </c>
      <c r="C4" s="61" t="s">
        <v>69</v>
      </c>
      <c r="D4" s="62"/>
      <c r="E4" s="62"/>
      <c r="F4" s="63"/>
      <c r="T4" s="5"/>
    </row>
    <row r="5" spans="1:21" ht="21">
      <c r="A5" s="4"/>
      <c r="B5" s="30" t="s">
        <v>2</v>
      </c>
      <c r="C5" s="78">
        <v>45261</v>
      </c>
      <c r="D5" s="79"/>
      <c r="E5" s="79"/>
      <c r="F5" s="80"/>
      <c r="T5" s="5"/>
    </row>
    <row r="6" spans="1:21" ht="101.25">
      <c r="A6" s="32" t="s">
        <v>3</v>
      </c>
      <c r="B6" s="33" t="s">
        <v>4</v>
      </c>
      <c r="C6" s="33" t="s">
        <v>5</v>
      </c>
      <c r="D6" s="33" t="s">
        <v>6</v>
      </c>
      <c r="E6" s="33" t="s">
        <v>7</v>
      </c>
      <c r="F6" s="33" t="s">
        <v>8</v>
      </c>
      <c r="G6" s="33" t="s">
        <v>9</v>
      </c>
      <c r="H6" s="33" t="s">
        <v>10</v>
      </c>
      <c r="I6" s="33" t="s">
        <v>11</v>
      </c>
      <c r="J6" s="33" t="s">
        <v>12</v>
      </c>
      <c r="K6" s="33" t="s">
        <v>13</v>
      </c>
      <c r="L6" s="33" t="s">
        <v>14</v>
      </c>
      <c r="M6" s="33" t="s">
        <v>15</v>
      </c>
      <c r="N6" s="33" t="s">
        <v>16</v>
      </c>
      <c r="O6" s="33" t="s">
        <v>17</v>
      </c>
      <c r="P6" s="33" t="s">
        <v>18</v>
      </c>
      <c r="Q6" s="33" t="s">
        <v>19</v>
      </c>
      <c r="R6" s="33" t="s">
        <v>20</v>
      </c>
      <c r="S6" s="33" t="s">
        <v>21</v>
      </c>
      <c r="T6" s="33" t="s">
        <v>22</v>
      </c>
      <c r="U6" s="34"/>
    </row>
    <row r="7" spans="1:21">
      <c r="A7" s="35" t="s">
        <v>67</v>
      </c>
      <c r="B7" s="36">
        <v>310000</v>
      </c>
      <c r="C7" s="36">
        <v>105000</v>
      </c>
      <c r="D7" s="36">
        <v>170000</v>
      </c>
      <c r="E7" s="36">
        <v>10500</v>
      </c>
      <c r="F7" s="36">
        <v>114500</v>
      </c>
      <c r="G7" s="36">
        <v>24000</v>
      </c>
      <c r="H7" s="36">
        <v>35500</v>
      </c>
      <c r="I7" s="36">
        <v>76000</v>
      </c>
      <c r="J7" s="36">
        <v>4000</v>
      </c>
      <c r="K7" s="36">
        <v>0</v>
      </c>
      <c r="L7" s="36"/>
      <c r="M7" s="36"/>
      <c r="N7" s="36"/>
      <c r="O7" s="36">
        <v>16000</v>
      </c>
      <c r="P7" s="36">
        <v>0</v>
      </c>
      <c r="Q7" s="36">
        <v>0</v>
      </c>
      <c r="R7" s="36"/>
      <c r="S7" s="37"/>
      <c r="T7" s="38">
        <f t="shared" ref="T7:T36" si="0">SUM(B7:S7)</f>
        <v>865500</v>
      </c>
      <c r="U7" s="34"/>
    </row>
    <row r="8" spans="1:21">
      <c r="A8" s="35" t="s">
        <v>37</v>
      </c>
      <c r="B8" s="36">
        <v>224000</v>
      </c>
      <c r="C8" s="36">
        <v>268000</v>
      </c>
      <c r="D8" s="36">
        <v>130500</v>
      </c>
      <c r="E8" s="36">
        <v>0</v>
      </c>
      <c r="F8" s="36">
        <v>107500</v>
      </c>
      <c r="G8" s="36"/>
      <c r="H8" s="36">
        <v>55000</v>
      </c>
      <c r="I8" s="36">
        <v>19500</v>
      </c>
      <c r="J8" s="36">
        <v>35000</v>
      </c>
      <c r="K8" s="36">
        <v>0</v>
      </c>
      <c r="L8" s="36"/>
      <c r="M8" s="36"/>
      <c r="N8" s="36"/>
      <c r="O8" s="36">
        <v>12000</v>
      </c>
      <c r="P8" s="36"/>
      <c r="Q8" s="36"/>
      <c r="R8" s="36"/>
      <c r="S8" s="37"/>
      <c r="T8" s="38">
        <f t="shared" si="0"/>
        <v>851500</v>
      </c>
      <c r="U8" s="34"/>
    </row>
    <row r="9" spans="1:21">
      <c r="A9" s="35" t="s">
        <v>38</v>
      </c>
      <c r="B9" s="36">
        <v>164000</v>
      </c>
      <c r="C9" s="36">
        <v>64000</v>
      </c>
      <c r="D9" s="36">
        <v>80000</v>
      </c>
      <c r="E9" s="36">
        <v>38000</v>
      </c>
      <c r="F9" s="36">
        <v>124000</v>
      </c>
      <c r="G9" s="36"/>
      <c r="H9" s="36">
        <v>57000</v>
      </c>
      <c r="I9" s="36">
        <v>37000</v>
      </c>
      <c r="J9" s="36"/>
      <c r="K9" s="36">
        <v>0</v>
      </c>
      <c r="L9" s="36"/>
      <c r="M9" s="36"/>
      <c r="N9" s="36"/>
      <c r="O9" s="36">
        <v>4000</v>
      </c>
      <c r="P9" s="36"/>
      <c r="Q9" s="36"/>
      <c r="R9" s="36"/>
      <c r="S9" s="37"/>
      <c r="T9" s="38">
        <f t="shared" si="0"/>
        <v>568000</v>
      </c>
      <c r="U9" s="34"/>
    </row>
    <row r="10" spans="1:21">
      <c r="A10" s="35" t="s">
        <v>39</v>
      </c>
      <c r="B10" s="36">
        <v>205000</v>
      </c>
      <c r="C10" s="36">
        <v>43000</v>
      </c>
      <c r="D10" s="36">
        <v>76500</v>
      </c>
      <c r="E10" s="36">
        <v>13000</v>
      </c>
      <c r="F10" s="36">
        <v>144300</v>
      </c>
      <c r="G10" s="36"/>
      <c r="H10" s="36">
        <v>103000</v>
      </c>
      <c r="I10" s="36">
        <v>87000</v>
      </c>
      <c r="J10" s="36">
        <v>12000</v>
      </c>
      <c r="K10" s="36">
        <v>0</v>
      </c>
      <c r="L10" s="36"/>
      <c r="M10" s="36"/>
      <c r="N10" s="36"/>
      <c r="O10" s="36">
        <v>27000</v>
      </c>
      <c r="P10" s="36"/>
      <c r="Q10" s="36"/>
      <c r="R10" s="36">
        <v>1203000</v>
      </c>
      <c r="S10" s="37"/>
      <c r="T10" s="38">
        <f t="shared" si="0"/>
        <v>1913800</v>
      </c>
      <c r="U10" s="34"/>
    </row>
    <row r="11" spans="1:21">
      <c r="A11" s="35" t="s">
        <v>40</v>
      </c>
      <c r="B11" s="37">
        <v>139000</v>
      </c>
      <c r="C11" s="37">
        <v>62000</v>
      </c>
      <c r="D11" s="37">
        <v>92000</v>
      </c>
      <c r="E11" s="37">
        <v>18500</v>
      </c>
      <c r="F11" s="37">
        <v>105500</v>
      </c>
      <c r="G11" s="37"/>
      <c r="H11" s="37">
        <v>48000</v>
      </c>
      <c r="I11" s="37">
        <v>14000</v>
      </c>
      <c r="J11" s="37">
        <v>5000</v>
      </c>
      <c r="K11" s="37">
        <v>0</v>
      </c>
      <c r="L11" s="37"/>
      <c r="M11" s="37"/>
      <c r="N11" s="37"/>
      <c r="O11" s="37">
        <v>16000</v>
      </c>
      <c r="P11" s="37"/>
      <c r="Q11" s="37"/>
      <c r="R11" s="37">
        <v>1904000</v>
      </c>
      <c r="S11" s="37"/>
      <c r="T11" s="37">
        <f t="shared" si="0"/>
        <v>2404000</v>
      </c>
      <c r="U11" s="34">
        <v>1610000</v>
      </c>
    </row>
    <row r="12" spans="1:21">
      <c r="A12" s="35" t="s">
        <v>41</v>
      </c>
      <c r="B12" s="37">
        <v>152000</v>
      </c>
      <c r="C12" s="37">
        <v>63000</v>
      </c>
      <c r="D12" s="37">
        <v>46000</v>
      </c>
      <c r="E12" s="37">
        <v>2000</v>
      </c>
      <c r="F12" s="37">
        <v>83000</v>
      </c>
      <c r="G12" s="37"/>
      <c r="H12" s="37">
        <v>38000</v>
      </c>
      <c r="I12" s="37">
        <v>4000</v>
      </c>
      <c r="J12" s="37"/>
      <c r="K12" s="37">
        <v>0</v>
      </c>
      <c r="L12" s="37"/>
      <c r="M12" s="37"/>
      <c r="N12" s="37"/>
      <c r="O12" s="37">
        <v>6000</v>
      </c>
      <c r="P12" s="37"/>
      <c r="Q12" s="37"/>
      <c r="R12" s="37">
        <v>-218000</v>
      </c>
      <c r="S12" s="37"/>
      <c r="T12" s="37">
        <f t="shared" si="0"/>
        <v>176000</v>
      </c>
      <c r="U12" s="34"/>
    </row>
    <row r="13" spans="1:21">
      <c r="A13" s="35" t="s">
        <v>42</v>
      </c>
      <c r="B13" s="37">
        <v>249000</v>
      </c>
      <c r="C13" s="37">
        <v>155000</v>
      </c>
      <c r="D13" s="37">
        <v>131500</v>
      </c>
      <c r="E13" s="37">
        <v>13000</v>
      </c>
      <c r="F13" s="37">
        <v>81000</v>
      </c>
      <c r="G13" s="37"/>
      <c r="H13" s="37">
        <v>24000</v>
      </c>
      <c r="I13" s="37">
        <v>113500</v>
      </c>
      <c r="J13" s="37"/>
      <c r="K13" s="37">
        <v>0</v>
      </c>
      <c r="L13" s="37"/>
      <c r="M13" s="37"/>
      <c r="N13" s="37"/>
      <c r="O13" s="37">
        <v>4000</v>
      </c>
      <c r="P13" s="37"/>
      <c r="Q13" s="37"/>
      <c r="R13" s="37">
        <v>745000</v>
      </c>
      <c r="S13" s="37"/>
      <c r="T13" s="37">
        <f t="shared" si="0"/>
        <v>1516000</v>
      </c>
      <c r="U13" s="42">
        <v>1500000</v>
      </c>
    </row>
    <row r="14" spans="1:21">
      <c r="A14" s="35" t="s">
        <v>43</v>
      </c>
      <c r="B14" s="37">
        <v>181500</v>
      </c>
      <c r="C14" s="37">
        <v>172000</v>
      </c>
      <c r="D14" s="37">
        <v>160000</v>
      </c>
      <c r="E14" s="37">
        <v>18000</v>
      </c>
      <c r="F14" s="37">
        <v>143000</v>
      </c>
      <c r="G14" s="37"/>
      <c r="H14" s="37">
        <v>53000</v>
      </c>
      <c r="I14" s="37">
        <v>67000</v>
      </c>
      <c r="J14" s="37">
        <v>25000</v>
      </c>
      <c r="K14" s="37">
        <v>0</v>
      </c>
      <c r="L14" s="37"/>
      <c r="M14" s="37"/>
      <c r="N14" s="37"/>
      <c r="O14" s="37"/>
      <c r="P14" s="37"/>
      <c r="Q14" s="37"/>
      <c r="R14" s="37">
        <v>188000</v>
      </c>
      <c r="S14" s="37"/>
      <c r="T14" s="37">
        <f t="shared" si="0"/>
        <v>1007500</v>
      </c>
      <c r="U14" s="34"/>
    </row>
    <row r="15" spans="1:21">
      <c r="A15" s="35" t="s">
        <v>44</v>
      </c>
      <c r="B15" s="37">
        <v>224500</v>
      </c>
      <c r="C15" s="37">
        <v>110000</v>
      </c>
      <c r="D15" s="37">
        <v>117000</v>
      </c>
      <c r="E15" s="37">
        <v>4000</v>
      </c>
      <c r="F15" s="37">
        <v>137500</v>
      </c>
      <c r="G15" s="37">
        <v>24000</v>
      </c>
      <c r="H15" s="37">
        <v>99000</v>
      </c>
      <c r="I15" s="37">
        <v>99000</v>
      </c>
      <c r="J15" s="37">
        <v>20000</v>
      </c>
      <c r="K15" s="37">
        <v>0</v>
      </c>
      <c r="L15" s="37"/>
      <c r="M15" s="37"/>
      <c r="N15" s="37"/>
      <c r="O15" s="37">
        <v>8000</v>
      </c>
      <c r="P15" s="37"/>
      <c r="Q15" s="37"/>
      <c r="R15" s="37">
        <v>930000</v>
      </c>
      <c r="S15" s="37"/>
      <c r="T15" s="37">
        <f t="shared" si="0"/>
        <v>1773000</v>
      </c>
      <c r="U15" s="34"/>
    </row>
    <row r="16" spans="1:21">
      <c r="A16" s="35" t="s">
        <v>45</v>
      </c>
      <c r="B16" s="37">
        <v>172000</v>
      </c>
      <c r="C16" s="37">
        <v>66000</v>
      </c>
      <c r="D16" s="37">
        <v>75500</v>
      </c>
      <c r="E16" s="37">
        <v>27000</v>
      </c>
      <c r="F16" s="37">
        <v>134000</v>
      </c>
      <c r="G16" s="37"/>
      <c r="H16" s="37">
        <v>22000</v>
      </c>
      <c r="I16" s="37">
        <v>18500</v>
      </c>
      <c r="J16" s="37"/>
      <c r="K16" s="37">
        <v>0</v>
      </c>
      <c r="L16" s="37"/>
      <c r="M16" s="37"/>
      <c r="N16" s="37"/>
      <c r="O16" s="37">
        <v>8000</v>
      </c>
      <c r="P16" s="37"/>
      <c r="Q16" s="37"/>
      <c r="R16" s="37">
        <v>477000</v>
      </c>
      <c r="S16" s="37"/>
      <c r="T16" s="37">
        <f t="shared" si="0"/>
        <v>1000000</v>
      </c>
      <c r="U16" s="34">
        <v>1800000</v>
      </c>
    </row>
    <row r="17" spans="1:28">
      <c r="A17" s="35" t="s">
        <v>46</v>
      </c>
      <c r="B17" s="37">
        <v>289000</v>
      </c>
      <c r="C17" s="37">
        <v>100000</v>
      </c>
      <c r="D17" s="37">
        <v>108500</v>
      </c>
      <c r="E17" s="37">
        <v>9000</v>
      </c>
      <c r="F17" s="37">
        <v>112000</v>
      </c>
      <c r="G17" s="37"/>
      <c r="H17" s="37">
        <v>34000</v>
      </c>
      <c r="I17" s="37">
        <v>32500</v>
      </c>
      <c r="J17" s="37">
        <v>7000</v>
      </c>
      <c r="K17" s="37">
        <v>0</v>
      </c>
      <c r="L17" s="37"/>
      <c r="M17" s="37"/>
      <c r="N17" s="37"/>
      <c r="O17" s="37"/>
      <c r="P17" s="37"/>
      <c r="Q17" s="37"/>
      <c r="R17" s="37">
        <v>-132000</v>
      </c>
      <c r="S17" s="37"/>
      <c r="T17" s="37">
        <f t="shared" si="0"/>
        <v>560000</v>
      </c>
      <c r="U17" s="34"/>
    </row>
    <row r="18" spans="1:28">
      <c r="A18" s="35" t="s">
        <v>47</v>
      </c>
      <c r="B18" s="37">
        <v>211500</v>
      </c>
      <c r="C18" s="37">
        <v>24000</v>
      </c>
      <c r="D18" s="37">
        <v>122400</v>
      </c>
      <c r="E18" s="37">
        <v>19000</v>
      </c>
      <c r="F18" s="37">
        <v>107000</v>
      </c>
      <c r="G18" s="37"/>
      <c r="H18" s="37">
        <v>29000</v>
      </c>
      <c r="I18" s="37">
        <v>32000</v>
      </c>
      <c r="J18" s="37">
        <v>3000</v>
      </c>
      <c r="K18" s="37">
        <v>0</v>
      </c>
      <c r="L18" s="37"/>
      <c r="M18" s="37"/>
      <c r="N18" s="37"/>
      <c r="O18" s="37"/>
      <c r="P18" s="37"/>
      <c r="Q18" s="37"/>
      <c r="R18" s="37">
        <v>2000</v>
      </c>
      <c r="S18" s="37"/>
      <c r="T18" s="38">
        <f t="shared" si="0"/>
        <v>549900</v>
      </c>
      <c r="U18" s="34"/>
    </row>
    <row r="19" spans="1:28">
      <c r="A19" s="35" t="s">
        <v>48</v>
      </c>
      <c r="B19" s="37">
        <v>209500</v>
      </c>
      <c r="C19" s="37">
        <v>65000</v>
      </c>
      <c r="D19" s="37">
        <v>89500</v>
      </c>
      <c r="E19" s="37">
        <v>4500</v>
      </c>
      <c r="F19" s="37">
        <v>82500</v>
      </c>
      <c r="G19" s="37"/>
      <c r="H19" s="37">
        <v>56000</v>
      </c>
      <c r="I19" s="37">
        <v>83500</v>
      </c>
      <c r="J19" s="37">
        <v>2000</v>
      </c>
      <c r="K19" s="37">
        <v>0</v>
      </c>
      <c r="L19" s="37"/>
      <c r="M19" s="37"/>
      <c r="N19" s="37"/>
      <c r="O19" s="37"/>
      <c r="P19" s="37"/>
      <c r="Q19" s="37"/>
      <c r="R19" s="37">
        <v>323000</v>
      </c>
      <c r="S19" s="37"/>
      <c r="T19" s="38">
        <f t="shared" si="0"/>
        <v>915500</v>
      </c>
      <c r="U19" s="34"/>
    </row>
    <row r="20" spans="1:28">
      <c r="A20" s="35" t="s">
        <v>49</v>
      </c>
      <c r="B20" s="37">
        <v>237500</v>
      </c>
      <c r="C20" s="37">
        <v>26000</v>
      </c>
      <c r="D20" s="37">
        <v>55000</v>
      </c>
      <c r="E20" s="37">
        <v>2500</v>
      </c>
      <c r="F20" s="37">
        <v>109100</v>
      </c>
      <c r="G20" s="37">
        <v>12000</v>
      </c>
      <c r="H20" s="37">
        <v>30000</v>
      </c>
      <c r="I20" s="37">
        <v>49000</v>
      </c>
      <c r="J20" s="37">
        <v>5000</v>
      </c>
      <c r="K20" s="37">
        <v>0</v>
      </c>
      <c r="L20" s="37"/>
      <c r="M20" s="37"/>
      <c r="N20" s="37"/>
      <c r="O20" s="37">
        <v>46000</v>
      </c>
      <c r="P20" s="37"/>
      <c r="Q20" s="37"/>
      <c r="R20" s="37">
        <v>20000</v>
      </c>
      <c r="S20" s="37"/>
      <c r="T20" s="38">
        <f t="shared" si="0"/>
        <v>592100</v>
      </c>
      <c r="U20" s="34"/>
    </row>
    <row r="21" spans="1:28">
      <c r="A21" s="35" t="s">
        <v>50</v>
      </c>
      <c r="B21" s="37">
        <v>268000</v>
      </c>
      <c r="C21" s="37">
        <v>201000</v>
      </c>
      <c r="D21" s="37">
        <v>113000</v>
      </c>
      <c r="E21" s="37">
        <v>16500</v>
      </c>
      <c r="F21" s="37">
        <v>122500</v>
      </c>
      <c r="G21" s="37">
        <v>12000</v>
      </c>
      <c r="H21" s="37">
        <v>38000</v>
      </c>
      <c r="I21" s="37">
        <v>50000</v>
      </c>
      <c r="J21" s="37">
        <v>6000</v>
      </c>
      <c r="K21" s="37">
        <v>0</v>
      </c>
      <c r="L21" s="37"/>
      <c r="M21" s="37"/>
      <c r="N21" s="37"/>
      <c r="O21" s="37">
        <v>12000</v>
      </c>
      <c r="P21" s="37"/>
      <c r="Q21" s="37"/>
      <c r="R21" s="37">
        <v>7000</v>
      </c>
      <c r="S21" s="37"/>
      <c r="T21" s="38">
        <f t="shared" si="0"/>
        <v>846000</v>
      </c>
      <c r="U21" s="34"/>
    </row>
    <row r="22" spans="1:28">
      <c r="A22" s="35" t="s">
        <v>73</v>
      </c>
      <c r="B22" s="37">
        <v>210000</v>
      </c>
      <c r="C22" s="37">
        <v>176000</v>
      </c>
      <c r="D22" s="37">
        <v>126000</v>
      </c>
      <c r="E22" s="37">
        <v>8000</v>
      </c>
      <c r="F22" s="37">
        <v>121000</v>
      </c>
      <c r="G22" s="37"/>
      <c r="H22" s="37">
        <v>92000</v>
      </c>
      <c r="I22" s="37">
        <v>93000</v>
      </c>
      <c r="J22" s="37">
        <v>23000</v>
      </c>
      <c r="K22" s="37">
        <v>0</v>
      </c>
      <c r="L22" s="37"/>
      <c r="M22" s="37"/>
      <c r="N22" s="37"/>
      <c r="O22" s="37">
        <v>6000</v>
      </c>
      <c r="P22" s="37"/>
      <c r="Q22" s="37"/>
      <c r="R22" s="37"/>
      <c r="S22" s="37"/>
      <c r="T22" s="38">
        <f t="shared" si="0"/>
        <v>855000</v>
      </c>
      <c r="U22" s="34"/>
    </row>
    <row r="23" spans="1:28">
      <c r="A23" s="35" t="s">
        <v>52</v>
      </c>
      <c r="B23" s="37">
        <v>277000</v>
      </c>
      <c r="C23" s="37">
        <v>253000</v>
      </c>
      <c r="D23" s="37">
        <v>69000</v>
      </c>
      <c r="E23" s="37">
        <v>8000</v>
      </c>
      <c r="F23" s="37">
        <v>143000</v>
      </c>
      <c r="G23" s="37">
        <v>6000</v>
      </c>
      <c r="H23" s="37">
        <v>65000</v>
      </c>
      <c r="I23" s="37">
        <v>17000</v>
      </c>
      <c r="J23" s="37">
        <v>31000</v>
      </c>
      <c r="K23" s="37">
        <v>0</v>
      </c>
      <c r="L23" s="37"/>
      <c r="M23" s="37"/>
      <c r="N23" s="37"/>
      <c r="O23" s="37">
        <v>44000</v>
      </c>
      <c r="P23" s="37"/>
      <c r="Q23" s="37"/>
      <c r="R23" s="37">
        <v>420000</v>
      </c>
      <c r="S23" s="37"/>
      <c r="T23" s="38">
        <f t="shared" si="0"/>
        <v>1333000</v>
      </c>
      <c r="U23" s="34"/>
    </row>
    <row r="24" spans="1:28">
      <c r="A24" s="35" t="s">
        <v>53</v>
      </c>
      <c r="B24" s="37">
        <v>221500</v>
      </c>
      <c r="C24" s="37">
        <v>178000</v>
      </c>
      <c r="D24" s="37">
        <v>108500</v>
      </c>
      <c r="E24" s="37">
        <v>26000</v>
      </c>
      <c r="F24" s="37">
        <v>127000</v>
      </c>
      <c r="G24" s="37">
        <v>12000</v>
      </c>
      <c r="H24" s="37">
        <v>103000</v>
      </c>
      <c r="I24" s="37">
        <v>105000</v>
      </c>
      <c r="J24" s="37">
        <v>10000</v>
      </c>
      <c r="K24" s="37">
        <v>0</v>
      </c>
      <c r="L24" s="37"/>
      <c r="M24" s="37"/>
      <c r="N24" s="37"/>
      <c r="O24" s="37">
        <v>12000</v>
      </c>
      <c r="P24" s="37"/>
      <c r="Q24" s="37"/>
      <c r="R24" s="37">
        <v>30000</v>
      </c>
      <c r="S24" s="37"/>
      <c r="T24" s="38">
        <f t="shared" si="0"/>
        <v>933000</v>
      </c>
      <c r="U24" s="34"/>
    </row>
    <row r="25" spans="1:28">
      <c r="A25" s="35" t="s">
        <v>54</v>
      </c>
      <c r="B25" s="37">
        <v>194500</v>
      </c>
      <c r="C25" s="37">
        <v>39000</v>
      </c>
      <c r="D25" s="37">
        <v>140000</v>
      </c>
      <c r="E25" s="37">
        <v>15000</v>
      </c>
      <c r="F25" s="37">
        <v>148000</v>
      </c>
      <c r="G25" s="37">
        <v>6000</v>
      </c>
      <c r="H25" s="37">
        <v>160000</v>
      </c>
      <c r="I25" s="37">
        <v>64500</v>
      </c>
      <c r="J25" s="37">
        <v>45000</v>
      </c>
      <c r="K25" s="37">
        <v>0</v>
      </c>
      <c r="L25" s="37"/>
      <c r="M25" s="37"/>
      <c r="N25" s="37"/>
      <c r="O25" s="37">
        <v>6000</v>
      </c>
      <c r="P25" s="37"/>
      <c r="Q25" s="37"/>
      <c r="R25" s="37">
        <v>-120000</v>
      </c>
      <c r="S25" s="37"/>
      <c r="T25" s="38">
        <f t="shared" si="0"/>
        <v>698000</v>
      </c>
      <c r="U25" s="34"/>
    </row>
    <row r="26" spans="1:28">
      <c r="A26" s="35" t="s">
        <v>55</v>
      </c>
      <c r="B26" s="37">
        <v>224500</v>
      </c>
      <c r="C26" s="37">
        <v>107000</v>
      </c>
      <c r="D26" s="37">
        <v>158000</v>
      </c>
      <c r="E26" s="37">
        <v>11000</v>
      </c>
      <c r="F26" s="37">
        <v>131500</v>
      </c>
      <c r="G26" s="37"/>
      <c r="H26" s="37">
        <v>50000</v>
      </c>
      <c r="I26" s="37">
        <v>54000</v>
      </c>
      <c r="J26" s="37">
        <v>22000</v>
      </c>
      <c r="K26" s="37">
        <v>0</v>
      </c>
      <c r="L26" s="37"/>
      <c r="M26" s="37"/>
      <c r="N26" s="37"/>
      <c r="O26" s="37">
        <v>6000</v>
      </c>
      <c r="P26" s="37"/>
      <c r="Q26" s="37"/>
      <c r="R26" s="37">
        <v>2783000</v>
      </c>
      <c r="S26" s="37"/>
      <c r="T26" s="38">
        <f t="shared" si="0"/>
        <v>3547000</v>
      </c>
      <c r="U26" s="34">
        <v>2000000</v>
      </c>
    </row>
    <row r="27" spans="1:28">
      <c r="A27" s="35" t="s">
        <v>56</v>
      </c>
      <c r="B27" s="37">
        <v>223500</v>
      </c>
      <c r="C27" s="37">
        <v>271000</v>
      </c>
      <c r="D27" s="37">
        <v>147500</v>
      </c>
      <c r="E27" s="37">
        <v>32500</v>
      </c>
      <c r="F27" s="37">
        <v>100000</v>
      </c>
      <c r="G27" s="37"/>
      <c r="H27" s="37">
        <v>82000</v>
      </c>
      <c r="I27" s="37">
        <v>118500</v>
      </c>
      <c r="J27" s="37">
        <v>5000</v>
      </c>
      <c r="K27" s="37">
        <v>0</v>
      </c>
      <c r="L27" s="37"/>
      <c r="M27" s="37"/>
      <c r="N27" s="37"/>
      <c r="O27" s="37">
        <v>26000</v>
      </c>
      <c r="P27" s="37"/>
      <c r="Q27" s="37"/>
      <c r="R27" s="37">
        <v>-106000</v>
      </c>
      <c r="S27" s="37"/>
      <c r="T27" s="38">
        <f t="shared" si="0"/>
        <v>900000</v>
      </c>
      <c r="U27" s="34"/>
    </row>
    <row r="28" spans="1:28">
      <c r="A28" s="35" t="s">
        <v>57</v>
      </c>
      <c r="B28" s="37">
        <v>188000</v>
      </c>
      <c r="C28" s="37">
        <v>68000</v>
      </c>
      <c r="D28" s="37">
        <v>152000</v>
      </c>
      <c r="E28" s="37">
        <v>4000</v>
      </c>
      <c r="F28" s="37">
        <v>171500</v>
      </c>
      <c r="G28" s="37"/>
      <c r="H28" s="37">
        <v>124500</v>
      </c>
      <c r="I28" s="37">
        <v>14000</v>
      </c>
      <c r="J28" s="37">
        <v>36000</v>
      </c>
      <c r="K28" s="37">
        <v>0</v>
      </c>
      <c r="L28" s="37"/>
      <c r="M28" s="37"/>
      <c r="N28" s="37"/>
      <c r="O28" s="37">
        <v>30000</v>
      </c>
      <c r="P28" s="37"/>
      <c r="Q28" s="37"/>
      <c r="R28" s="37">
        <v>-78000</v>
      </c>
      <c r="S28" s="37"/>
      <c r="T28" s="38">
        <f t="shared" si="0"/>
        <v>710000</v>
      </c>
      <c r="U28" s="34"/>
    </row>
    <row r="29" spans="1:28">
      <c r="A29" s="35" t="s">
        <v>58</v>
      </c>
      <c r="B29" s="37">
        <v>388000</v>
      </c>
      <c r="C29" s="37">
        <v>327000</v>
      </c>
      <c r="D29" s="37">
        <v>243500</v>
      </c>
      <c r="E29" s="37">
        <v>16500</v>
      </c>
      <c r="F29" s="37">
        <v>209000</v>
      </c>
      <c r="G29" s="37"/>
      <c r="H29" s="37">
        <v>229000</v>
      </c>
      <c r="I29" s="37">
        <v>172000</v>
      </c>
      <c r="J29" s="37">
        <v>27500</v>
      </c>
      <c r="K29" s="37">
        <v>0</v>
      </c>
      <c r="L29" s="37"/>
      <c r="M29" s="37"/>
      <c r="N29" s="37"/>
      <c r="O29" s="37">
        <v>12000</v>
      </c>
      <c r="P29" s="37"/>
      <c r="Q29" s="37"/>
      <c r="R29" s="37">
        <v>-630000</v>
      </c>
      <c r="S29" s="37"/>
      <c r="T29" s="38">
        <f t="shared" si="0"/>
        <v>994500</v>
      </c>
      <c r="U29" s="34"/>
    </row>
    <row r="30" spans="1:28">
      <c r="A30" s="35" t="s">
        <v>59</v>
      </c>
      <c r="B30" s="37">
        <v>445500</v>
      </c>
      <c r="C30" s="37">
        <v>609000</v>
      </c>
      <c r="D30" s="37">
        <v>238000</v>
      </c>
      <c r="E30" s="37">
        <v>99000</v>
      </c>
      <c r="F30" s="37">
        <v>360700</v>
      </c>
      <c r="G30" s="37">
        <v>6000</v>
      </c>
      <c r="H30" s="37">
        <v>454000</v>
      </c>
      <c r="I30" s="37">
        <v>282000</v>
      </c>
      <c r="J30" s="37">
        <v>32000</v>
      </c>
      <c r="K30" s="37">
        <v>0</v>
      </c>
      <c r="L30" s="37"/>
      <c r="M30" s="37"/>
      <c r="N30" s="37"/>
      <c r="O30" s="37">
        <v>36000</v>
      </c>
      <c r="P30" s="37"/>
      <c r="Q30" s="37"/>
      <c r="R30" s="37">
        <v>-143500</v>
      </c>
      <c r="S30" s="37"/>
      <c r="T30" s="38">
        <f t="shared" si="0"/>
        <v>2418700</v>
      </c>
      <c r="U30" s="34"/>
    </row>
    <row r="31" spans="1:28">
      <c r="A31" s="35" t="s">
        <v>60</v>
      </c>
      <c r="B31" s="37">
        <v>266000</v>
      </c>
      <c r="C31" s="37">
        <v>61000</v>
      </c>
      <c r="D31" s="37">
        <v>112000</v>
      </c>
      <c r="E31" s="37">
        <v>12500</v>
      </c>
      <c r="F31" s="37">
        <v>181000</v>
      </c>
      <c r="G31" s="37"/>
      <c r="H31" s="37">
        <v>155000</v>
      </c>
      <c r="I31" s="37">
        <v>42500</v>
      </c>
      <c r="J31" s="37">
        <v>9000</v>
      </c>
      <c r="K31" s="37">
        <v>0</v>
      </c>
      <c r="L31" s="37"/>
      <c r="M31" s="37"/>
      <c r="N31" s="37"/>
      <c r="O31" s="37">
        <v>34000</v>
      </c>
      <c r="P31" s="37"/>
      <c r="Q31" s="37"/>
      <c r="R31" s="37"/>
      <c r="S31" s="37"/>
      <c r="T31" s="38">
        <f t="shared" si="0"/>
        <v>873000</v>
      </c>
      <c r="U31" s="34"/>
    </row>
    <row r="32" spans="1:28">
      <c r="A32" s="35" t="s">
        <v>61</v>
      </c>
      <c r="B32" s="31">
        <v>314500</v>
      </c>
      <c r="C32" s="31">
        <v>193000</v>
      </c>
      <c r="D32" s="31">
        <v>128000</v>
      </c>
      <c r="E32" s="31">
        <v>24000</v>
      </c>
      <c r="F32" s="31">
        <v>337000</v>
      </c>
      <c r="G32" s="31">
        <v>12000</v>
      </c>
      <c r="H32" s="31">
        <v>56000</v>
      </c>
      <c r="I32" s="31">
        <v>46500</v>
      </c>
      <c r="J32" s="31">
        <v>9000</v>
      </c>
      <c r="K32" s="31">
        <v>0</v>
      </c>
      <c r="L32" s="31"/>
      <c r="M32" s="31"/>
      <c r="N32" s="31"/>
      <c r="O32" s="31">
        <v>48000</v>
      </c>
      <c r="P32" s="31"/>
      <c r="Q32" s="31"/>
      <c r="R32" s="31"/>
      <c r="S32" s="31"/>
      <c r="T32" s="31">
        <f t="shared" si="0"/>
        <v>1168000</v>
      </c>
      <c r="U32" s="39"/>
      <c r="V32" s="27"/>
      <c r="W32" s="27"/>
      <c r="X32" s="27"/>
      <c r="Y32" s="27"/>
      <c r="Z32" s="27"/>
      <c r="AA32" s="27"/>
      <c r="AB32" s="27"/>
    </row>
    <row r="33" spans="1:28">
      <c r="A33" s="35" t="s">
        <v>62</v>
      </c>
      <c r="B33" s="31">
        <v>178000</v>
      </c>
      <c r="C33" s="31">
        <v>171000</v>
      </c>
      <c r="D33" s="31">
        <v>104000</v>
      </c>
      <c r="E33" s="31">
        <v>10500</v>
      </c>
      <c r="F33" s="31">
        <v>184000</v>
      </c>
      <c r="G33" s="31"/>
      <c r="H33" s="31">
        <v>102000</v>
      </c>
      <c r="I33" s="31">
        <v>27500</v>
      </c>
      <c r="J33" s="31">
        <v>8000</v>
      </c>
      <c r="K33" s="31">
        <v>0</v>
      </c>
      <c r="L33" s="31"/>
      <c r="M33" s="31"/>
      <c r="N33" s="31"/>
      <c r="O33" s="31">
        <v>44000</v>
      </c>
      <c r="P33" s="31"/>
      <c r="Q33" s="31"/>
      <c r="R33" s="31"/>
      <c r="S33" s="31"/>
      <c r="T33" s="31">
        <f t="shared" si="0"/>
        <v>829000</v>
      </c>
      <c r="U33" s="39"/>
      <c r="V33" s="27"/>
      <c r="W33" s="27"/>
      <c r="X33" s="27"/>
      <c r="Y33" s="27"/>
      <c r="Z33" s="27"/>
      <c r="AA33" s="27"/>
      <c r="AB33" s="27"/>
    </row>
    <row r="34" spans="1:28">
      <c r="A34" s="35" t="s">
        <v>63</v>
      </c>
      <c r="B34" s="31">
        <v>256000</v>
      </c>
      <c r="C34" s="31">
        <v>154000</v>
      </c>
      <c r="D34" s="31">
        <v>152500</v>
      </c>
      <c r="E34" s="31">
        <v>2000</v>
      </c>
      <c r="F34" s="31">
        <v>143000</v>
      </c>
      <c r="G34" s="31">
        <v>12000</v>
      </c>
      <c r="H34" s="31">
        <v>135000</v>
      </c>
      <c r="I34" s="31">
        <v>62000</v>
      </c>
      <c r="J34" s="31">
        <v>2000</v>
      </c>
      <c r="K34" s="31">
        <v>0</v>
      </c>
      <c r="L34" s="31"/>
      <c r="M34" s="31"/>
      <c r="N34" s="31"/>
      <c r="O34" s="31">
        <v>32000</v>
      </c>
      <c r="P34" s="31"/>
      <c r="Q34" s="31"/>
      <c r="R34" s="31"/>
      <c r="S34" s="31"/>
      <c r="T34" s="31">
        <f t="shared" si="0"/>
        <v>950500</v>
      </c>
      <c r="U34" s="39"/>
      <c r="V34" s="27"/>
      <c r="W34" s="27"/>
      <c r="X34" s="27"/>
      <c r="Y34" s="27"/>
      <c r="Z34" s="27"/>
      <c r="AA34" s="27"/>
      <c r="AB34" s="27"/>
    </row>
    <row r="35" spans="1:28">
      <c r="A35" s="35" t="s">
        <v>64</v>
      </c>
      <c r="B35" s="31">
        <v>265000</v>
      </c>
      <c r="C35" s="31">
        <v>197000</v>
      </c>
      <c r="D35" s="31">
        <v>209000</v>
      </c>
      <c r="E35" s="31">
        <v>7000</v>
      </c>
      <c r="F35" s="31">
        <v>242000</v>
      </c>
      <c r="G35" s="31"/>
      <c r="H35" s="31">
        <v>136000</v>
      </c>
      <c r="I35" s="31">
        <v>33000</v>
      </c>
      <c r="J35" s="31">
        <v>18000</v>
      </c>
      <c r="K35" s="31"/>
      <c r="L35" s="31"/>
      <c r="M35" s="31"/>
      <c r="N35" s="31"/>
      <c r="O35" s="31">
        <v>11000</v>
      </c>
      <c r="P35" s="31"/>
      <c r="Q35" s="31"/>
      <c r="R35" s="31">
        <v>303000</v>
      </c>
      <c r="S35" s="31"/>
      <c r="T35" s="31">
        <f t="shared" si="0"/>
        <v>1421000</v>
      </c>
      <c r="U35" s="39"/>
      <c r="V35" s="27"/>
      <c r="W35" s="27"/>
      <c r="X35" s="27"/>
      <c r="Y35" s="27"/>
      <c r="Z35" s="27"/>
      <c r="AA35" s="27"/>
      <c r="AB35" s="27"/>
    </row>
    <row r="36" spans="1:28">
      <c r="A36" s="35" t="s">
        <v>65</v>
      </c>
      <c r="B36" s="31">
        <v>240500</v>
      </c>
      <c r="C36" s="31">
        <v>173000</v>
      </c>
      <c r="D36" s="31">
        <v>127000</v>
      </c>
      <c r="E36" s="31">
        <v>15000</v>
      </c>
      <c r="F36" s="31">
        <v>213500</v>
      </c>
      <c r="G36" s="31"/>
      <c r="H36" s="31">
        <v>52000</v>
      </c>
      <c r="I36" s="31">
        <v>2000</v>
      </c>
      <c r="J36" s="31">
        <v>7000</v>
      </c>
      <c r="K36" s="31">
        <v>0</v>
      </c>
      <c r="L36" s="31"/>
      <c r="M36" s="31"/>
      <c r="N36" s="31"/>
      <c r="O36" s="31">
        <v>68000</v>
      </c>
      <c r="P36" s="31"/>
      <c r="Q36" s="31"/>
      <c r="R36" s="31">
        <v>-82000</v>
      </c>
      <c r="S36" s="31"/>
      <c r="T36" s="31">
        <f t="shared" si="0"/>
        <v>816000</v>
      </c>
      <c r="U36" s="39"/>
      <c r="V36" s="27"/>
      <c r="W36" s="27"/>
      <c r="X36" s="27"/>
      <c r="Y36" s="27"/>
      <c r="Z36" s="27"/>
      <c r="AA36" s="27"/>
      <c r="AB36" s="27"/>
    </row>
    <row r="37" spans="1:28">
      <c r="A37" s="35" t="s">
        <v>66</v>
      </c>
      <c r="B37" s="31">
        <v>209000</v>
      </c>
      <c r="C37" s="31">
        <v>153000</v>
      </c>
      <c r="D37" s="31">
        <v>83500</v>
      </c>
      <c r="E37" s="31">
        <v>9500</v>
      </c>
      <c r="F37" s="31">
        <v>110400</v>
      </c>
      <c r="G37" s="31"/>
      <c r="H37" s="31">
        <v>7500</v>
      </c>
      <c r="I37" s="31">
        <v>7000</v>
      </c>
      <c r="J37" s="31">
        <v>12000</v>
      </c>
      <c r="K37" s="31"/>
      <c r="L37" s="31"/>
      <c r="M37" s="31"/>
      <c r="N37" s="31"/>
      <c r="O37" s="31">
        <v>47000</v>
      </c>
      <c r="P37" s="31"/>
      <c r="Q37" s="31"/>
      <c r="R37" s="31"/>
      <c r="S37" s="31"/>
      <c r="T37" s="31">
        <f>SUM(B37:S37)</f>
        <v>638900</v>
      </c>
      <c r="U37" s="39"/>
      <c r="V37" s="27"/>
      <c r="W37" s="27"/>
      <c r="X37" s="27"/>
      <c r="Y37" s="27"/>
      <c r="Z37" s="27"/>
      <c r="AA37" s="27"/>
      <c r="AB37" s="27"/>
    </row>
    <row r="38" spans="1:28">
      <c r="A38" s="40" t="s">
        <v>23</v>
      </c>
      <c r="B38" s="41">
        <f>SUM(B7:B37)</f>
        <v>7338000</v>
      </c>
      <c r="C38" s="41">
        <f t="shared" ref="C38:T38" si="1">SUM(C7:C37)</f>
        <v>4654000</v>
      </c>
      <c r="D38" s="41">
        <f t="shared" si="1"/>
        <v>3865900</v>
      </c>
      <c r="E38" s="41">
        <f t="shared" si="1"/>
        <v>496000</v>
      </c>
      <c r="F38" s="41">
        <f t="shared" si="1"/>
        <v>4630000</v>
      </c>
      <c r="G38" s="41">
        <f t="shared" si="1"/>
        <v>126000</v>
      </c>
      <c r="H38" s="41">
        <f t="shared" si="1"/>
        <v>2724500</v>
      </c>
      <c r="I38" s="41">
        <f t="shared" si="1"/>
        <v>1923000</v>
      </c>
      <c r="J38" s="41">
        <f t="shared" si="1"/>
        <v>420500</v>
      </c>
      <c r="K38" s="41">
        <f t="shared" si="1"/>
        <v>0</v>
      </c>
      <c r="L38" s="41">
        <f t="shared" si="1"/>
        <v>0</v>
      </c>
      <c r="M38" s="41">
        <f t="shared" si="1"/>
        <v>0</v>
      </c>
      <c r="N38" s="41">
        <f t="shared" si="1"/>
        <v>0</v>
      </c>
      <c r="O38" s="41">
        <f t="shared" si="1"/>
        <v>621000</v>
      </c>
      <c r="P38" s="41">
        <f t="shared" si="1"/>
        <v>0</v>
      </c>
      <c r="Q38" s="41">
        <f t="shared" si="1"/>
        <v>0</v>
      </c>
      <c r="R38" s="41">
        <f t="shared" si="1"/>
        <v>7825500</v>
      </c>
      <c r="S38" s="41">
        <f>SUM(S7:S37)</f>
        <v>0</v>
      </c>
      <c r="T38" s="41">
        <f t="shared" si="1"/>
        <v>34624400</v>
      </c>
      <c r="U38" s="34"/>
    </row>
    <row r="39" spans="1:28">
      <c r="A39" s="34"/>
      <c r="B39" s="34"/>
      <c r="C39" s="34"/>
      <c r="D39" s="34"/>
      <c r="E39" s="34"/>
      <c r="F39" s="34"/>
      <c r="G39" s="34"/>
      <c r="H39" s="34"/>
      <c r="I39" s="34"/>
      <c r="J39" s="34"/>
      <c r="K39" s="34"/>
      <c r="L39" s="34"/>
      <c r="M39" s="34"/>
      <c r="N39" s="34"/>
      <c r="O39" s="34"/>
      <c r="P39" s="34"/>
      <c r="Q39" s="34"/>
      <c r="R39" s="34"/>
      <c r="S39" s="34"/>
      <c r="T39" s="34"/>
      <c r="U39" s="34"/>
    </row>
  </sheetData>
  <mergeCells count="4">
    <mergeCell ref="B2:T2"/>
    <mergeCell ref="B3:T3"/>
    <mergeCell ref="C4:F4"/>
    <mergeCell ref="C5:F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H38"/>
  <sheetViews>
    <sheetView topLeftCell="A17" workbookViewId="0">
      <selection activeCell="B32" sqref="B32:H32"/>
    </sheetView>
  </sheetViews>
  <sheetFormatPr defaultRowHeight="15"/>
  <cols>
    <col min="2" max="2" width="18.28515625" customWidth="1"/>
    <col min="3" max="3" width="13" customWidth="1"/>
    <col min="4" max="4" width="13.28515625" customWidth="1"/>
    <col min="5" max="5" width="14.140625" customWidth="1"/>
    <col min="6" max="6" width="12.140625" customWidth="1"/>
    <col min="7" max="7" width="11.85546875" customWidth="1"/>
    <col min="8" max="8" width="17.85546875" customWidth="1"/>
  </cols>
  <sheetData>
    <row r="2" spans="2:8" ht="15.75" thickBot="1"/>
    <row r="3" spans="2:8" ht="26.25">
      <c r="B3" s="82" t="s">
        <v>68</v>
      </c>
      <c r="C3" s="83"/>
      <c r="D3" s="83"/>
      <c r="E3" s="83"/>
      <c r="F3" s="83"/>
      <c r="G3" s="84"/>
      <c r="H3" s="85"/>
    </row>
    <row r="4" spans="2:8" ht="26.25">
      <c r="B4" s="86" t="s">
        <v>0</v>
      </c>
      <c r="C4" s="87"/>
      <c r="D4" s="87"/>
      <c r="E4" s="87"/>
      <c r="F4" s="87"/>
      <c r="G4" s="88"/>
      <c r="H4" s="89"/>
    </row>
    <row r="5" spans="2:8" ht="15.75" thickBot="1">
      <c r="B5" s="1"/>
      <c r="C5" s="2"/>
      <c r="D5" s="2"/>
      <c r="E5" s="2"/>
      <c r="F5" s="2"/>
      <c r="G5" s="2"/>
      <c r="H5" s="3"/>
    </row>
    <row r="6" spans="2:8" ht="15.75" thickBot="1">
      <c r="B6" s="4"/>
      <c r="H6" s="5"/>
    </row>
    <row r="7" spans="2:8" ht="16.5" thickBot="1">
      <c r="B7" s="6" t="s">
        <v>1</v>
      </c>
      <c r="C7" s="90" t="s">
        <v>69</v>
      </c>
      <c r="D7" s="71"/>
      <c r="E7" s="72"/>
      <c r="F7" s="7"/>
      <c r="G7" s="7"/>
      <c r="H7" s="8"/>
    </row>
    <row r="8" spans="2:8" ht="16.5" thickBot="1">
      <c r="B8" s="9"/>
      <c r="C8" s="10"/>
      <c r="D8" s="10"/>
      <c r="E8" s="10"/>
      <c r="F8" s="10"/>
      <c r="G8" s="10"/>
      <c r="H8" s="8"/>
    </row>
    <row r="9" spans="2:8" ht="16.5" thickBot="1">
      <c r="B9" s="6" t="s">
        <v>24</v>
      </c>
      <c r="C9" s="70" t="s">
        <v>78</v>
      </c>
      <c r="D9" s="71"/>
      <c r="E9" s="72"/>
      <c r="F9" s="11"/>
      <c r="G9" s="11"/>
      <c r="H9" s="12"/>
    </row>
    <row r="10" spans="2:8" ht="15.75">
      <c r="B10" s="13" t="s">
        <v>25</v>
      </c>
      <c r="C10" s="14" t="s">
        <v>26</v>
      </c>
      <c r="D10" s="14" t="s">
        <v>27</v>
      </c>
      <c r="E10" s="14" t="s">
        <v>28</v>
      </c>
      <c r="F10" s="14" t="s">
        <v>29</v>
      </c>
      <c r="G10" s="15" t="s">
        <v>30</v>
      </c>
      <c r="H10" s="16" t="s">
        <v>31</v>
      </c>
    </row>
    <row r="11" spans="2:8" ht="15.75">
      <c r="B11" s="17" t="s">
        <v>4</v>
      </c>
      <c r="C11" s="18">
        <v>1443000</v>
      </c>
      <c r="D11" s="18">
        <v>1525500</v>
      </c>
      <c r="E11" s="18">
        <v>1619000</v>
      </c>
      <c r="F11" s="18">
        <v>2036000</v>
      </c>
      <c r="G11" s="19">
        <v>712500</v>
      </c>
      <c r="H11" s="20">
        <f t="shared" ref="H11:H19" si="0">SUM(C11:G11)</f>
        <v>7336000</v>
      </c>
    </row>
    <row r="12" spans="2:8" ht="15.75">
      <c r="B12" s="17" t="s">
        <v>5</v>
      </c>
      <c r="C12" s="18">
        <v>760000</v>
      </c>
      <c r="D12" s="18">
        <v>563000</v>
      </c>
      <c r="E12" s="18">
        <v>1225000</v>
      </c>
      <c r="F12" s="18">
        <v>1583000</v>
      </c>
      <c r="G12" s="19">
        <v>523000</v>
      </c>
      <c r="H12" s="20">
        <f t="shared" si="0"/>
        <v>4654000</v>
      </c>
    </row>
    <row r="13" spans="2:8" ht="15.75">
      <c r="B13" s="17" t="s">
        <v>32</v>
      </c>
      <c r="C13" s="18">
        <v>726500</v>
      </c>
      <c r="D13" s="18">
        <v>727900</v>
      </c>
      <c r="E13" s="18">
        <v>862000</v>
      </c>
      <c r="F13" s="18">
        <v>1130000</v>
      </c>
      <c r="G13" s="19">
        <v>419500</v>
      </c>
      <c r="H13" s="20">
        <f t="shared" si="0"/>
        <v>3865900</v>
      </c>
    </row>
    <row r="14" spans="2:8" ht="15.75">
      <c r="B14" s="17" t="s">
        <v>33</v>
      </c>
      <c r="C14" s="18">
        <v>95000</v>
      </c>
      <c r="D14" s="18">
        <v>84000</v>
      </c>
      <c r="E14" s="18">
        <v>117000</v>
      </c>
      <c r="F14" s="18">
        <v>173500</v>
      </c>
      <c r="G14" s="19">
        <v>20700</v>
      </c>
      <c r="H14" s="20">
        <f t="shared" si="0"/>
        <v>490200</v>
      </c>
    </row>
    <row r="15" spans="2:8" ht="15.75">
      <c r="B15" s="17" t="s">
        <v>8</v>
      </c>
      <c r="C15" s="18">
        <v>760100</v>
      </c>
      <c r="D15" s="18">
        <v>825100</v>
      </c>
      <c r="E15" s="18">
        <v>893000</v>
      </c>
      <c r="F15" s="18">
        <v>1585700</v>
      </c>
      <c r="G15" s="19">
        <v>565900</v>
      </c>
      <c r="H15" s="20">
        <f t="shared" si="0"/>
        <v>4629800</v>
      </c>
    </row>
    <row r="16" spans="2:8" ht="15.75">
      <c r="B16" s="17" t="s">
        <v>9</v>
      </c>
      <c r="C16" s="18">
        <v>24000</v>
      </c>
      <c r="D16" s="18">
        <v>36000</v>
      </c>
      <c r="E16" s="18">
        <v>36000</v>
      </c>
      <c r="F16" s="18">
        <v>28000</v>
      </c>
      <c r="G16" s="19">
        <v>0</v>
      </c>
      <c r="H16" s="20">
        <f t="shared" si="0"/>
        <v>124000</v>
      </c>
    </row>
    <row r="17" spans="2:8" ht="15.75">
      <c r="B17" s="17" t="s">
        <v>10</v>
      </c>
      <c r="C17" s="18">
        <v>360500</v>
      </c>
      <c r="D17" s="18">
        <v>323000</v>
      </c>
      <c r="E17" s="18">
        <v>590000</v>
      </c>
      <c r="F17" s="18">
        <v>1255500</v>
      </c>
      <c r="G17" s="19">
        <v>195500</v>
      </c>
      <c r="H17" s="20">
        <f t="shared" si="0"/>
        <v>2724500</v>
      </c>
    </row>
    <row r="18" spans="2:8" ht="15.75">
      <c r="B18" s="17" t="s">
        <v>11</v>
      </c>
      <c r="C18" s="18">
        <v>351000</v>
      </c>
      <c r="D18" s="18">
        <v>381500</v>
      </c>
      <c r="E18" s="18">
        <v>502000</v>
      </c>
      <c r="F18" s="18">
        <v>646500</v>
      </c>
      <c r="G18" s="19">
        <v>42000</v>
      </c>
      <c r="H18" s="20">
        <f t="shared" si="0"/>
        <v>1923000</v>
      </c>
    </row>
    <row r="19" spans="2:8" ht="15.75">
      <c r="B19" s="17" t="s">
        <v>12</v>
      </c>
      <c r="C19" s="18">
        <v>56000</v>
      </c>
      <c r="D19" s="18">
        <v>62000</v>
      </c>
      <c r="E19" s="18">
        <v>142000</v>
      </c>
      <c r="F19" s="18">
        <v>129500</v>
      </c>
      <c r="G19" s="19">
        <v>37000</v>
      </c>
      <c r="H19" s="20">
        <f t="shared" si="0"/>
        <v>426500</v>
      </c>
    </row>
    <row r="20" spans="2:8" ht="15.75">
      <c r="B20" s="17" t="s">
        <v>13</v>
      </c>
      <c r="C20" s="18"/>
      <c r="D20" s="18"/>
      <c r="E20" s="18"/>
      <c r="F20" s="18"/>
      <c r="G20" s="19"/>
      <c r="H20" s="20">
        <f t="shared" ref="H20:H27" si="1">SUM(C20:F20)</f>
        <v>0</v>
      </c>
    </row>
    <row r="21" spans="2:8" ht="15.75">
      <c r="B21" s="17" t="s">
        <v>14</v>
      </c>
      <c r="C21" s="18"/>
      <c r="D21" s="18"/>
      <c r="E21" s="18"/>
      <c r="F21" s="18"/>
      <c r="G21" s="19"/>
      <c r="H21" s="20">
        <f t="shared" si="1"/>
        <v>0</v>
      </c>
    </row>
    <row r="22" spans="2:8" ht="15.75">
      <c r="B22" s="17" t="s">
        <v>15</v>
      </c>
      <c r="C22" s="18"/>
      <c r="D22" s="18"/>
      <c r="E22" s="18"/>
      <c r="F22" s="18"/>
      <c r="G22" s="19"/>
      <c r="H22" s="20">
        <f t="shared" si="1"/>
        <v>0</v>
      </c>
    </row>
    <row r="23" spans="2:8" ht="15.75">
      <c r="B23" s="17" t="s">
        <v>16</v>
      </c>
      <c r="C23" s="18"/>
      <c r="D23" s="18"/>
      <c r="E23" s="18"/>
      <c r="F23" s="18"/>
      <c r="G23" s="19"/>
      <c r="H23" s="20">
        <f t="shared" si="1"/>
        <v>0</v>
      </c>
    </row>
    <row r="24" spans="2:8" ht="15.75">
      <c r="B24" s="17" t="s">
        <v>17</v>
      </c>
      <c r="C24" s="18">
        <v>85000</v>
      </c>
      <c r="D24" s="18">
        <v>62000</v>
      </c>
      <c r="E24" s="18">
        <v>112000</v>
      </c>
      <c r="F24" s="18">
        <v>240000</v>
      </c>
      <c r="G24" s="19">
        <v>126000</v>
      </c>
      <c r="H24" s="20">
        <f>SUM(C24:G24)</f>
        <v>625000</v>
      </c>
    </row>
    <row r="25" spans="2:8" ht="15.75">
      <c r="B25" s="17" t="s">
        <v>18</v>
      </c>
      <c r="C25" s="18"/>
      <c r="D25" s="18"/>
      <c r="E25" s="18"/>
      <c r="F25" s="18"/>
      <c r="G25" s="19"/>
      <c r="H25" s="20">
        <f t="shared" si="1"/>
        <v>0</v>
      </c>
    </row>
    <row r="26" spans="2:8" ht="15.75">
      <c r="B26" s="17" t="s">
        <v>19</v>
      </c>
      <c r="C26" s="18"/>
      <c r="D26" s="18"/>
      <c r="E26" s="18"/>
      <c r="F26" s="18"/>
      <c r="G26" s="19"/>
      <c r="H26" s="20">
        <f t="shared" si="1"/>
        <v>0</v>
      </c>
    </row>
    <row r="27" spans="2:8" ht="15.75">
      <c r="B27" s="17" t="s">
        <v>34</v>
      </c>
      <c r="C27" s="18"/>
      <c r="D27" s="18"/>
      <c r="E27" s="18"/>
      <c r="F27" s="18"/>
      <c r="G27" s="19"/>
      <c r="H27" s="20">
        <f t="shared" si="1"/>
        <v>0</v>
      </c>
    </row>
    <row r="28" spans="2:8" ht="16.5" thickBot="1">
      <c r="B28" s="21" t="s">
        <v>35</v>
      </c>
      <c r="C28" s="22">
        <f t="shared" ref="C28:H28" si="2">SUM(C11:C27)</f>
        <v>4661100</v>
      </c>
      <c r="D28" s="22">
        <f t="shared" si="2"/>
        <v>4590000</v>
      </c>
      <c r="E28" s="22">
        <f t="shared" si="2"/>
        <v>6098000</v>
      </c>
      <c r="F28" s="22">
        <f t="shared" si="2"/>
        <v>8807700</v>
      </c>
      <c r="G28" s="22">
        <f t="shared" si="2"/>
        <v>2642100</v>
      </c>
      <c r="H28" s="23">
        <f t="shared" si="2"/>
        <v>26798900</v>
      </c>
    </row>
    <row r="30" spans="2:8" ht="15.75" thickBot="1"/>
    <row r="31" spans="2:8" ht="21.75" thickBot="1">
      <c r="B31" s="73" t="s">
        <v>36</v>
      </c>
      <c r="C31" s="74"/>
      <c r="D31" s="74"/>
      <c r="E31" s="74"/>
      <c r="F31" s="74"/>
      <c r="G31" s="74"/>
      <c r="H31" s="75"/>
    </row>
    <row r="32" spans="2:8" ht="15.75" thickBot="1">
      <c r="B32" s="92" t="s">
        <v>79</v>
      </c>
      <c r="C32" s="68"/>
      <c r="D32" s="68"/>
      <c r="E32" s="68"/>
      <c r="F32" s="68"/>
      <c r="G32" s="68"/>
      <c r="H32" s="69"/>
    </row>
    <row r="33" spans="2:8" ht="15.75" thickBot="1">
      <c r="B33" s="24"/>
      <c r="C33" s="25"/>
      <c r="D33" s="25"/>
      <c r="E33" s="25"/>
      <c r="F33" s="25"/>
      <c r="G33" s="25"/>
      <c r="H33" s="26"/>
    </row>
    <row r="34" spans="2:8" ht="15.75" thickBot="1">
      <c r="B34" s="67"/>
      <c r="C34" s="68"/>
      <c r="D34" s="68"/>
      <c r="E34" s="68"/>
      <c r="F34" s="68"/>
      <c r="G34" s="68"/>
      <c r="H34" s="69"/>
    </row>
    <row r="35" spans="2:8" ht="15.75" thickBot="1">
      <c r="B35" s="67"/>
      <c r="C35" s="68"/>
      <c r="D35" s="68"/>
      <c r="E35" s="68"/>
      <c r="F35" s="68"/>
      <c r="G35" s="68"/>
      <c r="H35" s="69"/>
    </row>
    <row r="36" spans="2:8" ht="15.75" thickBot="1">
      <c r="B36" s="67"/>
      <c r="C36" s="68"/>
      <c r="D36" s="68"/>
      <c r="E36" s="68"/>
      <c r="F36" s="68"/>
      <c r="G36" s="68"/>
      <c r="H36" s="69"/>
    </row>
    <row r="37" spans="2:8" ht="15.75" thickBot="1">
      <c r="B37" s="67"/>
      <c r="C37" s="68"/>
      <c r="D37" s="68"/>
      <c r="E37" s="68"/>
      <c r="F37" s="68"/>
      <c r="G37" s="68"/>
      <c r="H37" s="69"/>
    </row>
    <row r="38" spans="2:8">
      <c r="B38" s="81"/>
      <c r="C38" s="81"/>
      <c r="D38" s="81"/>
      <c r="E38" s="81"/>
      <c r="F38" s="81"/>
      <c r="G38" s="81"/>
      <c r="H38" s="81"/>
    </row>
  </sheetData>
  <mergeCells count="11">
    <mergeCell ref="B32:H32"/>
    <mergeCell ref="B3:H3"/>
    <mergeCell ref="B4:H4"/>
    <mergeCell ref="C7:E7"/>
    <mergeCell ref="C9:E9"/>
    <mergeCell ref="B31:H31"/>
    <mergeCell ref="B34:H34"/>
    <mergeCell ref="B35:H35"/>
    <mergeCell ref="B36:H36"/>
    <mergeCell ref="B37:H37"/>
    <mergeCell ref="B38:H38"/>
  </mergeCells>
  <pageMargins left="0.7" right="0.7" top="0.75" bottom="0.75" header="0.3" footer="0.3"/>
  <pageSetup orientation="landscape" horizontalDpi="0"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B39"/>
  <sheetViews>
    <sheetView topLeftCell="R19" workbookViewId="0">
      <selection activeCell="E24" sqref="E24"/>
    </sheetView>
  </sheetViews>
  <sheetFormatPr defaultRowHeight="15"/>
  <cols>
    <col min="1" max="1" width="3.5703125" customWidth="1"/>
    <col min="2" max="2" width="11.7109375" customWidth="1"/>
    <col min="3" max="3" width="10.42578125" customWidth="1"/>
    <col min="4" max="4" width="10.7109375" customWidth="1"/>
    <col min="5" max="5" width="13.140625" customWidth="1"/>
    <col min="6" max="6" width="12.42578125" customWidth="1"/>
    <col min="7" max="7" width="8.5703125" customWidth="1"/>
    <col min="8" max="8" width="12" customWidth="1"/>
    <col min="9" max="9" width="11.140625" customWidth="1"/>
    <col min="11" max="11" width="5.5703125" customWidth="1"/>
    <col min="12" max="12" width="5" customWidth="1"/>
    <col min="13" max="13" width="5.7109375" customWidth="1"/>
    <col min="14" max="14" width="5" customWidth="1"/>
    <col min="15" max="15" width="9.85546875" customWidth="1"/>
    <col min="16" max="16" width="5.5703125" customWidth="1"/>
    <col min="17" max="17" width="4.5703125" customWidth="1"/>
    <col min="18" max="18" width="13.140625" customWidth="1"/>
    <col min="19" max="19" width="6.85546875" customWidth="1"/>
    <col min="20" max="20" width="11.85546875" customWidth="1"/>
  </cols>
  <sheetData>
    <row r="1" spans="1:22" ht="15.75" thickBot="1"/>
    <row r="2" spans="1:22" ht="26.25" customHeight="1">
      <c r="A2" s="28"/>
      <c r="B2" s="55" t="s">
        <v>68</v>
      </c>
      <c r="C2" s="56"/>
      <c r="D2" s="56"/>
      <c r="E2" s="56"/>
      <c r="F2" s="56"/>
      <c r="G2" s="56"/>
      <c r="H2" s="56"/>
      <c r="I2" s="56"/>
      <c r="J2" s="56"/>
      <c r="K2" s="56"/>
      <c r="L2" s="56"/>
      <c r="M2" s="56"/>
      <c r="N2" s="56"/>
      <c r="O2" s="56"/>
      <c r="P2" s="56"/>
      <c r="Q2" s="56"/>
      <c r="R2" s="56"/>
      <c r="S2" s="56"/>
      <c r="T2" s="57"/>
    </row>
    <row r="3" spans="1:22" ht="27" thickBot="1">
      <c r="A3" s="4"/>
      <c r="B3" s="58" t="s">
        <v>0</v>
      </c>
      <c r="C3" s="59"/>
      <c r="D3" s="59"/>
      <c r="E3" s="59"/>
      <c r="F3" s="59"/>
      <c r="G3" s="59"/>
      <c r="H3" s="59"/>
      <c r="I3" s="59"/>
      <c r="J3" s="59"/>
      <c r="K3" s="59"/>
      <c r="L3" s="59"/>
      <c r="M3" s="59"/>
      <c r="N3" s="59"/>
      <c r="O3" s="59"/>
      <c r="P3" s="59"/>
      <c r="Q3" s="59"/>
      <c r="R3" s="59"/>
      <c r="S3" s="59"/>
      <c r="T3" s="60"/>
    </row>
    <row r="4" spans="1:22" ht="27" customHeight="1" thickBot="1">
      <c r="A4" s="4"/>
      <c r="B4" s="29" t="s">
        <v>1</v>
      </c>
      <c r="C4" s="61" t="s">
        <v>69</v>
      </c>
      <c r="D4" s="62"/>
      <c r="E4" s="62"/>
      <c r="F4" s="63"/>
      <c r="T4" s="5"/>
    </row>
    <row r="5" spans="1:22" ht="21">
      <c r="A5" s="4"/>
      <c r="B5" s="30" t="s">
        <v>2</v>
      </c>
      <c r="C5" s="78">
        <v>45261</v>
      </c>
      <c r="D5" s="79"/>
      <c r="E5" s="79"/>
      <c r="F5" s="80"/>
      <c r="T5" s="5"/>
    </row>
    <row r="6" spans="1:22" ht="101.25">
      <c r="A6" s="32" t="s">
        <v>3</v>
      </c>
      <c r="B6" s="33" t="s">
        <v>4</v>
      </c>
      <c r="C6" s="33" t="s">
        <v>5</v>
      </c>
      <c r="D6" s="33" t="s">
        <v>6</v>
      </c>
      <c r="E6" s="33" t="s">
        <v>7</v>
      </c>
      <c r="F6" s="33" t="s">
        <v>8</v>
      </c>
      <c r="G6" s="33" t="s">
        <v>9</v>
      </c>
      <c r="H6" s="33" t="s">
        <v>10</v>
      </c>
      <c r="I6" s="33" t="s">
        <v>11</v>
      </c>
      <c r="J6" s="33" t="s">
        <v>12</v>
      </c>
      <c r="K6" s="33" t="s">
        <v>13</v>
      </c>
      <c r="L6" s="33" t="s">
        <v>14</v>
      </c>
      <c r="M6" s="33" t="s">
        <v>15</v>
      </c>
      <c r="N6" s="33" t="s">
        <v>16</v>
      </c>
      <c r="O6" s="33" t="s">
        <v>17</v>
      </c>
      <c r="P6" s="33" t="s">
        <v>18</v>
      </c>
      <c r="Q6" s="33" t="s">
        <v>19</v>
      </c>
      <c r="R6" s="33" t="s">
        <v>20</v>
      </c>
      <c r="S6" s="33" t="s">
        <v>21</v>
      </c>
      <c r="T6" s="33" t="s">
        <v>22</v>
      </c>
      <c r="U6" s="34"/>
    </row>
    <row r="7" spans="1:22">
      <c r="A7" s="35" t="s">
        <v>67</v>
      </c>
      <c r="B7" s="36">
        <v>197000</v>
      </c>
      <c r="C7" s="36">
        <v>41000</v>
      </c>
      <c r="D7" s="36">
        <v>100000</v>
      </c>
      <c r="E7" s="36">
        <v>19000</v>
      </c>
      <c r="F7" s="36">
        <v>70800</v>
      </c>
      <c r="G7" s="36">
        <v>12000</v>
      </c>
      <c r="H7" s="36">
        <v>79000</v>
      </c>
      <c r="I7" s="36">
        <v>82000</v>
      </c>
      <c r="J7" s="36">
        <v>7000</v>
      </c>
      <c r="K7" s="36">
        <v>0</v>
      </c>
      <c r="L7" s="36"/>
      <c r="M7" s="36"/>
      <c r="N7" s="36"/>
      <c r="O7" s="36"/>
      <c r="P7" s="36"/>
      <c r="Q7" s="36"/>
      <c r="R7" s="36">
        <v>185000</v>
      </c>
      <c r="S7" s="37"/>
      <c r="T7" s="38">
        <f t="shared" ref="T7:T36" si="0">SUM(B7:S7)</f>
        <v>792800</v>
      </c>
      <c r="U7" s="34"/>
    </row>
    <row r="8" spans="1:22">
      <c r="A8" s="35" t="s">
        <v>37</v>
      </c>
      <c r="B8" s="36">
        <v>290000</v>
      </c>
      <c r="C8" s="36">
        <v>156000</v>
      </c>
      <c r="D8" s="36">
        <v>166000</v>
      </c>
      <c r="E8" s="36">
        <v>10000</v>
      </c>
      <c r="F8" s="36">
        <v>149500</v>
      </c>
      <c r="G8" s="36">
        <v>12000</v>
      </c>
      <c r="H8" s="36">
        <v>6000</v>
      </c>
      <c r="I8" s="36">
        <v>31000</v>
      </c>
      <c r="J8" s="36">
        <v>3000</v>
      </c>
      <c r="K8" s="36">
        <v>0</v>
      </c>
      <c r="L8" s="36"/>
      <c r="M8" s="36"/>
      <c r="N8" s="36"/>
      <c r="O8" s="36">
        <v>11000</v>
      </c>
      <c r="P8" s="36"/>
      <c r="Q8" s="36"/>
      <c r="R8" s="36">
        <v>931000</v>
      </c>
      <c r="S8" s="37"/>
      <c r="T8" s="38">
        <f t="shared" si="0"/>
        <v>1765500</v>
      </c>
      <c r="U8" s="34"/>
    </row>
    <row r="9" spans="1:22">
      <c r="A9" s="35" t="s">
        <v>38</v>
      </c>
      <c r="B9" s="36">
        <v>145000</v>
      </c>
      <c r="C9" s="36">
        <v>46000</v>
      </c>
      <c r="D9" s="36">
        <v>84000</v>
      </c>
      <c r="E9" s="36">
        <v>12000</v>
      </c>
      <c r="F9" s="36">
        <v>86000</v>
      </c>
      <c r="G9" s="36"/>
      <c r="H9" s="36">
        <v>27000</v>
      </c>
      <c r="I9" s="36">
        <v>16000</v>
      </c>
      <c r="J9" s="36"/>
      <c r="K9" s="36">
        <v>0</v>
      </c>
      <c r="L9" s="36"/>
      <c r="M9" s="36"/>
      <c r="N9" s="36"/>
      <c r="O9" s="36">
        <v>46000</v>
      </c>
      <c r="P9" s="36"/>
      <c r="Q9" s="36"/>
      <c r="R9" s="36">
        <v>743000</v>
      </c>
      <c r="S9" s="37"/>
      <c r="T9" s="38">
        <f t="shared" si="0"/>
        <v>1205000</v>
      </c>
      <c r="U9" s="34"/>
    </row>
    <row r="10" spans="1:22">
      <c r="A10" s="35" t="s">
        <v>39</v>
      </c>
      <c r="B10" s="36">
        <v>159500</v>
      </c>
      <c r="C10" s="36">
        <v>263000</v>
      </c>
      <c r="D10" s="36">
        <v>76000</v>
      </c>
      <c r="E10" s="36">
        <v>31000</v>
      </c>
      <c r="F10" s="36">
        <v>117300</v>
      </c>
      <c r="G10" s="36">
        <v>12000</v>
      </c>
      <c r="H10" s="36">
        <v>55000</v>
      </c>
      <c r="I10" s="36">
        <v>28000</v>
      </c>
      <c r="J10" s="36">
        <v>2000</v>
      </c>
      <c r="K10" s="36">
        <v>0</v>
      </c>
      <c r="L10" s="36"/>
      <c r="M10" s="36"/>
      <c r="N10" s="36"/>
      <c r="O10" s="36">
        <v>36000</v>
      </c>
      <c r="P10" s="36"/>
      <c r="Q10" s="36"/>
      <c r="R10" s="36">
        <v>652000</v>
      </c>
      <c r="S10" s="37"/>
      <c r="T10" s="38">
        <f t="shared" si="0"/>
        <v>1431800</v>
      </c>
      <c r="U10" s="42">
        <v>2090000</v>
      </c>
      <c r="V10" t="s">
        <v>71</v>
      </c>
    </row>
    <row r="11" spans="1:22">
      <c r="A11" s="35" t="s">
        <v>40</v>
      </c>
      <c r="B11" s="37">
        <v>183000</v>
      </c>
      <c r="C11" s="37">
        <v>92000</v>
      </c>
      <c r="D11" s="37">
        <v>91000</v>
      </c>
      <c r="E11" s="37">
        <v>4000</v>
      </c>
      <c r="F11" s="37">
        <v>170000</v>
      </c>
      <c r="G11" s="37"/>
      <c r="H11" s="37">
        <v>74000</v>
      </c>
      <c r="I11" s="37">
        <v>114000</v>
      </c>
      <c r="J11" s="37"/>
      <c r="K11" s="37">
        <v>0</v>
      </c>
      <c r="L11" s="37"/>
      <c r="M11" s="37"/>
      <c r="N11" s="37"/>
      <c r="O11" s="37"/>
      <c r="P11" s="37"/>
      <c r="Q11" s="37"/>
      <c r="R11" s="37">
        <v>2268000</v>
      </c>
      <c r="S11" s="37"/>
      <c r="T11" s="37">
        <f t="shared" si="0"/>
        <v>2996000</v>
      </c>
      <c r="U11" s="42">
        <v>1500000</v>
      </c>
      <c r="V11" t="s">
        <v>71</v>
      </c>
    </row>
    <row r="12" spans="1:22">
      <c r="A12" s="35" t="s">
        <v>41</v>
      </c>
      <c r="B12" s="37">
        <v>150500</v>
      </c>
      <c r="C12" s="37">
        <v>157000</v>
      </c>
      <c r="D12" s="37">
        <v>104500</v>
      </c>
      <c r="E12" s="37">
        <v>6500</v>
      </c>
      <c r="F12" s="37">
        <v>46500</v>
      </c>
      <c r="G12" s="37"/>
      <c r="H12" s="37">
        <v>12000</v>
      </c>
      <c r="I12" s="37">
        <v>21000</v>
      </c>
      <c r="J12" s="37" t="s">
        <v>80</v>
      </c>
      <c r="K12" s="37">
        <v>0</v>
      </c>
      <c r="L12" s="37"/>
      <c r="M12" s="37"/>
      <c r="N12" s="37"/>
      <c r="O12" s="37">
        <v>12000</v>
      </c>
      <c r="P12" s="37"/>
      <c r="Q12" s="37"/>
      <c r="R12" s="37">
        <v>1710000</v>
      </c>
      <c r="S12" s="37"/>
      <c r="T12" s="37">
        <f t="shared" si="0"/>
        <v>2220000</v>
      </c>
      <c r="U12" s="42">
        <v>1970000</v>
      </c>
      <c r="V12" t="s">
        <v>71</v>
      </c>
    </row>
    <row r="13" spans="1:22">
      <c r="A13" s="35" t="s">
        <v>42</v>
      </c>
      <c r="B13" s="37">
        <v>193000</v>
      </c>
      <c r="C13" s="37">
        <v>45000</v>
      </c>
      <c r="D13" s="37">
        <v>163500</v>
      </c>
      <c r="E13" s="37">
        <v>21500</v>
      </c>
      <c r="F13" s="37">
        <v>94000</v>
      </c>
      <c r="G13" s="37"/>
      <c r="H13" s="37">
        <v>12000</v>
      </c>
      <c r="I13" s="37">
        <v>33000</v>
      </c>
      <c r="J13" s="37">
        <v>17000</v>
      </c>
      <c r="K13" s="37">
        <v>0</v>
      </c>
      <c r="L13" s="37"/>
      <c r="M13" s="37"/>
      <c r="N13" s="37"/>
      <c r="O13" s="37">
        <v>12000</v>
      </c>
      <c r="P13" s="37"/>
      <c r="Q13" s="37"/>
      <c r="R13" s="37">
        <v>212000</v>
      </c>
      <c r="S13" s="37"/>
      <c r="T13" s="37">
        <f t="shared" si="0"/>
        <v>803000</v>
      </c>
      <c r="U13" s="42"/>
    </row>
    <row r="14" spans="1:22">
      <c r="A14" s="35" t="s">
        <v>43</v>
      </c>
      <c r="B14" s="37">
        <v>160000</v>
      </c>
      <c r="C14" s="37">
        <v>121000</v>
      </c>
      <c r="D14" s="37">
        <v>116500</v>
      </c>
      <c r="E14" s="37">
        <v>15000</v>
      </c>
      <c r="F14" s="37">
        <v>81000</v>
      </c>
      <c r="G14" s="37"/>
      <c r="H14" s="37">
        <v>101500</v>
      </c>
      <c r="I14" s="37">
        <v>15000</v>
      </c>
      <c r="J14" s="37"/>
      <c r="K14" s="37">
        <v>0</v>
      </c>
      <c r="L14" s="37"/>
      <c r="M14" s="37"/>
      <c r="N14" s="37"/>
      <c r="O14" s="37"/>
      <c r="P14" s="37"/>
      <c r="Q14" s="37"/>
      <c r="R14" s="37">
        <v>982000</v>
      </c>
      <c r="S14" s="37"/>
      <c r="T14" s="37">
        <f t="shared" si="0"/>
        <v>1592000</v>
      </c>
      <c r="U14" s="42">
        <v>1800000</v>
      </c>
      <c r="V14" t="s">
        <v>71</v>
      </c>
    </row>
    <row r="15" spans="1:22">
      <c r="A15" s="35" t="s">
        <v>44</v>
      </c>
      <c r="B15" s="37">
        <v>181000</v>
      </c>
      <c r="C15" s="37">
        <v>65000</v>
      </c>
      <c r="D15" s="37">
        <v>115000</v>
      </c>
      <c r="E15" s="37">
        <v>11500</v>
      </c>
      <c r="F15" s="37">
        <v>125500</v>
      </c>
      <c r="G15" s="37">
        <v>12000</v>
      </c>
      <c r="H15" s="37">
        <v>60000</v>
      </c>
      <c r="I15" s="37">
        <v>89000</v>
      </c>
      <c r="J15" s="37">
        <v>6000</v>
      </c>
      <c r="K15" s="37">
        <v>0</v>
      </c>
      <c r="L15" s="37"/>
      <c r="M15" s="37"/>
      <c r="N15" s="37"/>
      <c r="O15" s="37">
        <v>18000</v>
      </c>
      <c r="P15" s="37"/>
      <c r="Q15" s="37"/>
      <c r="R15" s="37">
        <v>-78000</v>
      </c>
      <c r="S15" s="37"/>
      <c r="T15" s="37">
        <f t="shared" si="0"/>
        <v>605000</v>
      </c>
      <c r="U15" s="34"/>
    </row>
    <row r="16" spans="1:22">
      <c r="A16" s="35" t="s">
        <v>45</v>
      </c>
      <c r="B16" s="37">
        <v>159000</v>
      </c>
      <c r="C16" s="37">
        <v>110000</v>
      </c>
      <c r="D16" s="37">
        <v>68500</v>
      </c>
      <c r="E16" s="37">
        <v>2500</v>
      </c>
      <c r="F16" s="37">
        <v>81000</v>
      </c>
      <c r="G16" s="37"/>
      <c r="H16" s="37">
        <v>24000</v>
      </c>
      <c r="I16" s="37">
        <v>57000</v>
      </c>
      <c r="J16" s="37"/>
      <c r="K16" s="37">
        <v>0</v>
      </c>
      <c r="L16" s="37"/>
      <c r="M16" s="37"/>
      <c r="N16" s="37"/>
      <c r="O16" s="37">
        <v>17000</v>
      </c>
      <c r="P16" s="37"/>
      <c r="Q16" s="37"/>
      <c r="R16" s="37">
        <v>-27500</v>
      </c>
      <c r="S16" s="37"/>
      <c r="T16" s="37">
        <f t="shared" si="0"/>
        <v>491500</v>
      </c>
      <c r="U16" s="34"/>
    </row>
    <row r="17" spans="1:28">
      <c r="A17" s="35" t="s">
        <v>46</v>
      </c>
      <c r="B17" s="37">
        <v>203000</v>
      </c>
      <c r="C17" s="37">
        <v>89000</v>
      </c>
      <c r="D17" s="37">
        <v>62500</v>
      </c>
      <c r="E17" s="37">
        <v>5000</v>
      </c>
      <c r="F17" s="37">
        <v>43000</v>
      </c>
      <c r="G17" s="37"/>
      <c r="H17" s="37">
        <v>25500</v>
      </c>
      <c r="I17" s="37">
        <v>35000</v>
      </c>
      <c r="J17" s="37">
        <v>3000</v>
      </c>
      <c r="K17" s="37">
        <v>0</v>
      </c>
      <c r="L17" s="37"/>
      <c r="M17" s="37"/>
      <c r="N17" s="37"/>
      <c r="O17" s="37"/>
      <c r="P17" s="37"/>
      <c r="Q17" s="37"/>
      <c r="R17" s="37">
        <v>-530000</v>
      </c>
      <c r="S17" s="37"/>
      <c r="T17" s="37">
        <f t="shared" si="0"/>
        <v>-64000</v>
      </c>
      <c r="U17" s="34"/>
    </row>
    <row r="18" spans="1:28">
      <c r="A18" s="35" t="s">
        <v>47</v>
      </c>
      <c r="B18" s="37">
        <v>224500</v>
      </c>
      <c r="C18" s="37">
        <v>182000</v>
      </c>
      <c r="D18" s="37">
        <v>155000</v>
      </c>
      <c r="E18" s="37">
        <v>24000</v>
      </c>
      <c r="F18" s="37">
        <v>153500</v>
      </c>
      <c r="G18" s="37"/>
      <c r="H18" s="37">
        <v>51000</v>
      </c>
      <c r="I18" s="37">
        <v>95000</v>
      </c>
      <c r="J18" s="37">
        <v>12000</v>
      </c>
      <c r="K18" s="37">
        <v>0</v>
      </c>
      <c r="L18" s="37"/>
      <c r="M18" s="37"/>
      <c r="N18" s="37"/>
      <c r="O18" s="37">
        <v>28000</v>
      </c>
      <c r="P18" s="37"/>
      <c r="Q18" s="37"/>
      <c r="R18" s="37">
        <v>-440000</v>
      </c>
      <c r="S18" s="37"/>
      <c r="T18" s="38">
        <f t="shared" si="0"/>
        <v>485000</v>
      </c>
      <c r="U18" s="34"/>
    </row>
    <row r="19" spans="1:28">
      <c r="A19" s="35" t="s">
        <v>48</v>
      </c>
      <c r="B19" s="37">
        <v>192500</v>
      </c>
      <c r="C19" s="37">
        <v>103000</v>
      </c>
      <c r="D19" s="37">
        <v>103000</v>
      </c>
      <c r="E19" s="37">
        <v>20500</v>
      </c>
      <c r="F19" s="37">
        <v>126500</v>
      </c>
      <c r="G19" s="37"/>
      <c r="H19" s="37">
        <v>48000</v>
      </c>
      <c r="I19" s="37">
        <v>57500</v>
      </c>
      <c r="J19" s="37">
        <v>7000</v>
      </c>
      <c r="K19" s="37">
        <v>0</v>
      </c>
      <c r="L19" s="37"/>
      <c r="M19" s="37"/>
      <c r="N19" s="37"/>
      <c r="O19" s="37">
        <v>24000</v>
      </c>
      <c r="P19" s="37"/>
      <c r="Q19" s="37"/>
      <c r="R19" s="37">
        <v>192000</v>
      </c>
      <c r="S19" s="37"/>
      <c r="T19" s="38">
        <f t="shared" si="0"/>
        <v>874000</v>
      </c>
      <c r="U19" s="34"/>
    </row>
    <row r="20" spans="1:28">
      <c r="A20" s="35" t="s">
        <v>49</v>
      </c>
      <c r="B20" s="37">
        <v>126000</v>
      </c>
      <c r="C20" s="37">
        <v>62000</v>
      </c>
      <c r="D20" s="37">
        <v>60500</v>
      </c>
      <c r="E20" s="37"/>
      <c r="F20" s="37">
        <v>62500</v>
      </c>
      <c r="G20" s="37"/>
      <c r="H20" s="37">
        <v>42000</v>
      </c>
      <c r="I20" s="37">
        <v>1000</v>
      </c>
      <c r="J20" s="37">
        <v>2000</v>
      </c>
      <c r="K20" s="37">
        <v>0</v>
      </c>
      <c r="L20" s="37"/>
      <c r="M20" s="37"/>
      <c r="N20" s="37"/>
      <c r="O20" s="37"/>
      <c r="P20" s="37"/>
      <c r="Q20" s="37"/>
      <c r="R20" s="37"/>
      <c r="S20" s="37"/>
      <c r="T20" s="38">
        <f t="shared" si="0"/>
        <v>356000</v>
      </c>
      <c r="U20" s="34"/>
    </row>
    <row r="21" spans="1:28">
      <c r="A21" s="35" t="s">
        <v>50</v>
      </c>
      <c r="B21" s="37">
        <v>148000</v>
      </c>
      <c r="C21" s="37">
        <v>35000</v>
      </c>
      <c r="D21" s="37">
        <v>94000</v>
      </c>
      <c r="E21" s="37">
        <v>24500</v>
      </c>
      <c r="F21" s="37">
        <v>151500</v>
      </c>
      <c r="G21" s="37">
        <v>12000</v>
      </c>
      <c r="H21" s="37">
        <v>84000</v>
      </c>
      <c r="I21" s="37">
        <v>46500</v>
      </c>
      <c r="J21" s="37"/>
      <c r="K21" s="37">
        <v>0</v>
      </c>
      <c r="L21" s="37"/>
      <c r="M21" s="37"/>
      <c r="N21" s="37"/>
      <c r="O21" s="37">
        <v>6000</v>
      </c>
      <c r="P21" s="37"/>
      <c r="Q21" s="37"/>
      <c r="R21" s="37"/>
      <c r="S21" s="37"/>
      <c r="T21" s="38">
        <f t="shared" si="0"/>
        <v>601500</v>
      </c>
      <c r="U21" s="34"/>
    </row>
    <row r="22" spans="1:28">
      <c r="A22" s="35" t="s">
        <v>73</v>
      </c>
      <c r="B22" s="37">
        <v>191000</v>
      </c>
      <c r="C22" s="37">
        <v>93000</v>
      </c>
      <c r="D22" s="37">
        <v>108000</v>
      </c>
      <c r="E22" s="37">
        <v>8000</v>
      </c>
      <c r="F22" s="37">
        <v>69000</v>
      </c>
      <c r="G22" s="37"/>
      <c r="H22" s="37">
        <v>92000</v>
      </c>
      <c r="I22" s="37">
        <v>41000</v>
      </c>
      <c r="J22" s="37">
        <v>3000</v>
      </c>
      <c r="K22" s="37">
        <v>0</v>
      </c>
      <c r="L22" s="37"/>
      <c r="M22" s="37"/>
      <c r="N22" s="37"/>
      <c r="O22" s="37">
        <v>11000</v>
      </c>
      <c r="P22" s="37"/>
      <c r="Q22" s="37"/>
      <c r="R22" s="37">
        <v>880000</v>
      </c>
      <c r="S22" s="37"/>
      <c r="T22" s="38">
        <f t="shared" si="0"/>
        <v>1496000</v>
      </c>
      <c r="U22" s="34"/>
    </row>
    <row r="23" spans="1:28">
      <c r="A23" s="35" t="s">
        <v>52</v>
      </c>
      <c r="B23" s="37">
        <v>180000</v>
      </c>
      <c r="C23" s="37">
        <v>17000</v>
      </c>
      <c r="D23" s="37">
        <v>64000</v>
      </c>
      <c r="E23" s="37"/>
      <c r="F23" s="37">
        <v>135000</v>
      </c>
      <c r="G23" s="37"/>
      <c r="H23" s="37">
        <v>31000</v>
      </c>
      <c r="I23" s="37">
        <v>71500</v>
      </c>
      <c r="J23" s="37">
        <v>16000</v>
      </c>
      <c r="K23" s="37">
        <v>0</v>
      </c>
      <c r="L23" s="37"/>
      <c r="M23" s="37"/>
      <c r="N23" s="37"/>
      <c r="O23" s="37"/>
      <c r="P23" s="37"/>
      <c r="Q23" s="37"/>
      <c r="R23" s="37"/>
      <c r="S23" s="37"/>
      <c r="T23" s="38">
        <f t="shared" si="0"/>
        <v>514500</v>
      </c>
      <c r="U23" s="34"/>
    </row>
    <row r="24" spans="1:28">
      <c r="A24" s="35" t="s">
        <v>53</v>
      </c>
      <c r="B24" s="37">
        <v>159000</v>
      </c>
      <c r="C24" s="37">
        <v>86000</v>
      </c>
      <c r="D24" s="37">
        <v>44000</v>
      </c>
      <c r="E24" s="37">
        <v>7000</v>
      </c>
      <c r="F24" s="37">
        <v>94000</v>
      </c>
      <c r="G24" s="37"/>
      <c r="H24" s="37">
        <v>24000</v>
      </c>
      <c r="I24" s="37">
        <v>9000</v>
      </c>
      <c r="J24" s="37"/>
      <c r="K24" s="37">
        <v>0</v>
      </c>
      <c r="L24" s="37"/>
      <c r="M24" s="37"/>
      <c r="N24" s="37"/>
      <c r="O24" s="37"/>
      <c r="P24" s="37"/>
      <c r="Q24" s="37"/>
      <c r="R24" s="37">
        <v>1761500</v>
      </c>
      <c r="S24" s="37"/>
      <c r="T24" s="38">
        <f t="shared" si="0"/>
        <v>2184500</v>
      </c>
      <c r="U24" s="34"/>
    </row>
    <row r="25" spans="1:28">
      <c r="A25" s="35" t="s">
        <v>54</v>
      </c>
      <c r="B25" s="37">
        <v>173500</v>
      </c>
      <c r="C25" s="37">
        <v>80000</v>
      </c>
      <c r="D25" s="37">
        <v>136500</v>
      </c>
      <c r="E25" s="37">
        <v>3000</v>
      </c>
      <c r="F25" s="37">
        <v>131000</v>
      </c>
      <c r="G25" s="37"/>
      <c r="H25" s="37">
        <v>36000</v>
      </c>
      <c r="I25" s="37">
        <v>60500</v>
      </c>
      <c r="J25" s="37">
        <v>16000</v>
      </c>
      <c r="K25" s="37">
        <v>0</v>
      </c>
      <c r="L25" s="37"/>
      <c r="M25" s="37"/>
      <c r="N25" s="37"/>
      <c r="O25" s="37">
        <v>12000</v>
      </c>
      <c r="P25" s="37"/>
      <c r="Q25" s="37"/>
      <c r="R25" s="37">
        <v>1550000</v>
      </c>
      <c r="S25" s="37"/>
      <c r="T25" s="38">
        <f t="shared" si="0"/>
        <v>2198500</v>
      </c>
      <c r="U25" s="34"/>
    </row>
    <row r="26" spans="1:28">
      <c r="A26" s="35" t="s">
        <v>55</v>
      </c>
      <c r="B26" s="37">
        <v>215000</v>
      </c>
      <c r="C26" s="37">
        <v>253000</v>
      </c>
      <c r="D26" s="37">
        <v>92500</v>
      </c>
      <c r="E26" s="37">
        <v>13000</v>
      </c>
      <c r="F26" s="37">
        <v>111800</v>
      </c>
      <c r="G26" s="37"/>
      <c r="H26" s="37">
        <v>20000</v>
      </c>
      <c r="I26" s="37">
        <v>34000</v>
      </c>
      <c r="J26" s="37">
        <v>3000</v>
      </c>
      <c r="K26" s="37">
        <v>0</v>
      </c>
      <c r="L26" s="37"/>
      <c r="M26" s="37"/>
      <c r="N26" s="37"/>
      <c r="O26" s="37">
        <v>12000</v>
      </c>
      <c r="P26" s="37"/>
      <c r="Q26" s="37"/>
      <c r="R26" s="37">
        <v>-458000</v>
      </c>
      <c r="S26" s="37"/>
      <c r="T26" s="38">
        <f t="shared" si="0"/>
        <v>296300</v>
      </c>
      <c r="U26" s="42">
        <v>3400000</v>
      </c>
      <c r="V26" t="s">
        <v>71</v>
      </c>
    </row>
    <row r="27" spans="1:28">
      <c r="A27" s="35" t="s">
        <v>56</v>
      </c>
      <c r="B27" s="37">
        <v>157000</v>
      </c>
      <c r="C27" s="37">
        <v>100000</v>
      </c>
      <c r="D27" s="37">
        <v>60500</v>
      </c>
      <c r="E27" s="37">
        <v>20000</v>
      </c>
      <c r="F27" s="37">
        <v>71500</v>
      </c>
      <c r="G27" s="37"/>
      <c r="H27" s="37">
        <v>45500</v>
      </c>
      <c r="I27" s="37">
        <v>106000</v>
      </c>
      <c r="J27" s="37">
        <v>11000</v>
      </c>
      <c r="K27" s="37">
        <v>0</v>
      </c>
      <c r="L27" s="37"/>
      <c r="M27" s="37"/>
      <c r="N27" s="37"/>
      <c r="O27" s="37">
        <v>12000</v>
      </c>
      <c r="P27" s="37"/>
      <c r="Q27" s="37"/>
      <c r="R27" s="37">
        <v>-108000</v>
      </c>
      <c r="S27" s="37"/>
      <c r="T27" s="38">
        <f t="shared" si="0"/>
        <v>475500</v>
      </c>
      <c r="U27" s="34"/>
    </row>
    <row r="28" spans="1:28">
      <c r="A28" s="35" t="s">
        <v>57</v>
      </c>
      <c r="B28" s="37">
        <v>157000</v>
      </c>
      <c r="C28" s="37">
        <v>108000</v>
      </c>
      <c r="D28" s="37">
        <v>67500</v>
      </c>
      <c r="E28" s="37">
        <v>20000</v>
      </c>
      <c r="F28" s="37">
        <v>86000</v>
      </c>
      <c r="G28" s="37"/>
      <c r="H28" s="37">
        <v>25000</v>
      </c>
      <c r="I28" s="37">
        <v>7500</v>
      </c>
      <c r="J28" s="37">
        <v>5000</v>
      </c>
      <c r="K28" s="37">
        <v>0</v>
      </c>
      <c r="L28" s="37"/>
      <c r="M28" s="37"/>
      <c r="N28" s="37"/>
      <c r="O28" s="37">
        <v>15000</v>
      </c>
      <c r="P28" s="37"/>
      <c r="Q28" s="37"/>
      <c r="R28" s="37"/>
      <c r="S28" s="37"/>
      <c r="T28" s="38">
        <f t="shared" si="0"/>
        <v>491000</v>
      </c>
      <c r="U28" s="34"/>
    </row>
    <row r="29" spans="1:28">
      <c r="A29" s="35" t="s">
        <v>58</v>
      </c>
      <c r="B29" s="37">
        <v>129000</v>
      </c>
      <c r="C29" s="37">
        <v>30000</v>
      </c>
      <c r="D29" s="37">
        <v>94500</v>
      </c>
      <c r="E29" s="37">
        <v>8000</v>
      </c>
      <c r="F29" s="37">
        <v>57500</v>
      </c>
      <c r="G29" s="37"/>
      <c r="H29" s="37">
        <v>42000</v>
      </c>
      <c r="I29" s="37">
        <v>18000</v>
      </c>
      <c r="J29" s="37">
        <v>2000</v>
      </c>
      <c r="K29" s="37">
        <v>0</v>
      </c>
      <c r="L29" s="37"/>
      <c r="M29" s="37"/>
      <c r="N29" s="37"/>
      <c r="O29" s="37"/>
      <c r="P29" s="37"/>
      <c r="Q29" s="37"/>
      <c r="R29" s="37"/>
      <c r="S29" s="37"/>
      <c r="T29" s="38">
        <f t="shared" si="0"/>
        <v>381000</v>
      </c>
      <c r="U29" s="34"/>
    </row>
    <row r="30" spans="1:28">
      <c r="A30" s="35" t="s">
        <v>59</v>
      </c>
      <c r="B30" s="37">
        <v>105000</v>
      </c>
      <c r="C30" s="37">
        <v>92000</v>
      </c>
      <c r="D30" s="37">
        <v>29000</v>
      </c>
      <c r="E30" s="37">
        <v>33500</v>
      </c>
      <c r="F30" s="37">
        <v>66500</v>
      </c>
      <c r="G30" s="37"/>
      <c r="H30" s="37">
        <v>74000</v>
      </c>
      <c r="I30" s="37">
        <v>71000</v>
      </c>
      <c r="J30" s="37">
        <v>1000</v>
      </c>
      <c r="K30" s="37">
        <v>0</v>
      </c>
      <c r="L30" s="37"/>
      <c r="M30" s="37"/>
      <c r="N30" s="37"/>
      <c r="O30" s="37">
        <v>18000</v>
      </c>
      <c r="P30" s="37"/>
      <c r="Q30" s="37"/>
      <c r="R30" s="37">
        <v>-80000</v>
      </c>
      <c r="S30" s="37"/>
      <c r="T30" s="38">
        <f t="shared" si="0"/>
        <v>410000</v>
      </c>
      <c r="U30" s="34"/>
    </row>
    <row r="31" spans="1:28">
      <c r="A31" s="35" t="s">
        <v>60</v>
      </c>
      <c r="B31" s="37">
        <v>208500</v>
      </c>
      <c r="C31" s="37">
        <v>788000</v>
      </c>
      <c r="D31" s="37">
        <v>116000</v>
      </c>
      <c r="E31" s="37">
        <v>12000</v>
      </c>
      <c r="F31" s="37">
        <v>137600</v>
      </c>
      <c r="G31" s="37"/>
      <c r="H31" s="37">
        <v>36000</v>
      </c>
      <c r="I31" s="37">
        <v>7000</v>
      </c>
      <c r="J31" s="37">
        <v>3000</v>
      </c>
      <c r="K31" s="37">
        <v>0</v>
      </c>
      <c r="L31" s="37"/>
      <c r="M31" s="37"/>
      <c r="N31" s="37"/>
      <c r="O31" s="37">
        <v>80000</v>
      </c>
      <c r="P31" s="37"/>
      <c r="Q31" s="37"/>
      <c r="R31" s="37">
        <v>131000</v>
      </c>
      <c r="S31" s="37"/>
      <c r="T31" s="38">
        <f t="shared" si="0"/>
        <v>1519100</v>
      </c>
      <c r="U31" s="34"/>
    </row>
    <row r="32" spans="1:28">
      <c r="A32" s="35" t="s">
        <v>61</v>
      </c>
      <c r="B32" s="31">
        <v>178800</v>
      </c>
      <c r="C32" s="31">
        <v>239000</v>
      </c>
      <c r="D32" s="31">
        <v>58500</v>
      </c>
      <c r="E32" s="31">
        <v>3000</v>
      </c>
      <c r="F32" s="31">
        <v>114000</v>
      </c>
      <c r="G32" s="31">
        <v>12000</v>
      </c>
      <c r="H32" s="31">
        <v>63000</v>
      </c>
      <c r="I32" s="31">
        <v>15500</v>
      </c>
      <c r="J32" s="31"/>
      <c r="K32" s="31">
        <v>0</v>
      </c>
      <c r="L32" s="31"/>
      <c r="M32" s="31"/>
      <c r="N32" s="31"/>
      <c r="O32" s="31">
        <v>5000</v>
      </c>
      <c r="P32" s="31"/>
      <c r="Q32" s="31"/>
      <c r="R32" s="31">
        <v>-37000</v>
      </c>
      <c r="S32" s="31"/>
      <c r="T32" s="31">
        <f t="shared" si="0"/>
        <v>651800</v>
      </c>
      <c r="U32" s="39"/>
      <c r="V32" s="27"/>
      <c r="W32" s="27"/>
      <c r="X32" s="27"/>
      <c r="Y32" s="27"/>
      <c r="Z32" s="27"/>
      <c r="AA32" s="27"/>
      <c r="AB32" s="27"/>
    </row>
    <row r="33" spans="1:28">
      <c r="A33" s="35" t="s">
        <v>62</v>
      </c>
      <c r="B33" s="31">
        <v>201000</v>
      </c>
      <c r="C33" s="31">
        <v>11000</v>
      </c>
      <c r="D33" s="31">
        <v>80000</v>
      </c>
      <c r="E33" s="31">
        <v>8500</v>
      </c>
      <c r="F33" s="31">
        <v>104500</v>
      </c>
      <c r="G33" s="31"/>
      <c r="H33" s="31">
        <v>16000</v>
      </c>
      <c r="I33" s="31">
        <v>48000</v>
      </c>
      <c r="J33" s="31">
        <v>8000</v>
      </c>
      <c r="K33" s="31">
        <v>0</v>
      </c>
      <c r="L33" s="31"/>
      <c r="M33" s="31"/>
      <c r="N33" s="31"/>
      <c r="O33" s="31">
        <v>23000</v>
      </c>
      <c r="P33" s="31"/>
      <c r="Q33" s="31"/>
      <c r="R33" s="31">
        <v>37000</v>
      </c>
      <c r="S33" s="31"/>
      <c r="T33" s="31">
        <f t="shared" si="0"/>
        <v>537000</v>
      </c>
      <c r="U33" s="39"/>
      <c r="V33" s="27"/>
      <c r="W33" s="27"/>
      <c r="X33" s="27"/>
      <c r="Y33" s="27"/>
      <c r="Z33" s="27"/>
      <c r="AA33" s="27"/>
      <c r="AB33" s="27"/>
    </row>
    <row r="34" spans="1:28">
      <c r="A34" s="35" t="s">
        <v>63</v>
      </c>
      <c r="B34" s="31">
        <v>239500</v>
      </c>
      <c r="C34" s="31">
        <v>120000</v>
      </c>
      <c r="D34" s="31">
        <v>97000</v>
      </c>
      <c r="E34" s="31">
        <v>41500</v>
      </c>
      <c r="F34" s="31">
        <v>79500</v>
      </c>
      <c r="G34" s="31"/>
      <c r="H34" s="31">
        <v>73500</v>
      </c>
      <c r="I34" s="31">
        <v>102500</v>
      </c>
      <c r="J34" s="31">
        <v>17000</v>
      </c>
      <c r="K34" s="31">
        <v>0</v>
      </c>
      <c r="L34" s="31"/>
      <c r="M34" s="31"/>
      <c r="N34" s="31"/>
      <c r="O34" s="31">
        <v>13000</v>
      </c>
      <c r="P34" s="31"/>
      <c r="Q34" s="31"/>
      <c r="R34" s="31"/>
      <c r="S34" s="31"/>
      <c r="T34" s="31">
        <f t="shared" si="0"/>
        <v>783500</v>
      </c>
      <c r="U34" s="39"/>
      <c r="V34" s="27"/>
      <c r="W34" s="27"/>
      <c r="X34" s="27"/>
      <c r="Y34" s="27"/>
      <c r="Z34" s="27"/>
      <c r="AA34" s="27"/>
      <c r="AB34" s="27"/>
    </row>
    <row r="35" spans="1:28">
      <c r="A35" s="35" t="s">
        <v>64</v>
      </c>
      <c r="B35" s="31">
        <v>162500</v>
      </c>
      <c r="C35" s="31">
        <v>64000</v>
      </c>
      <c r="D35" s="31">
        <v>108500</v>
      </c>
      <c r="E35" s="31">
        <v>19500</v>
      </c>
      <c r="F35" s="31">
        <v>84000</v>
      </c>
      <c r="G35" s="31">
        <v>12000</v>
      </c>
      <c r="H35" s="31">
        <v>53000</v>
      </c>
      <c r="I35" s="31">
        <v>42000</v>
      </c>
      <c r="J35" s="31"/>
      <c r="K35" s="31"/>
      <c r="L35" s="31"/>
      <c r="M35" s="31"/>
      <c r="N35" s="31"/>
      <c r="O35" s="31"/>
      <c r="P35" s="31"/>
      <c r="Q35" s="31"/>
      <c r="R35" s="31">
        <v>692000</v>
      </c>
      <c r="S35" s="31"/>
      <c r="T35" s="31">
        <f t="shared" si="0"/>
        <v>1237500</v>
      </c>
      <c r="U35" s="39"/>
      <c r="V35" s="27"/>
      <c r="W35" s="27"/>
      <c r="X35" s="27"/>
      <c r="Y35" s="27"/>
      <c r="Z35" s="27"/>
      <c r="AA35" s="27"/>
      <c r="AB35" s="27"/>
    </row>
    <row r="36" spans="1:28">
      <c r="A36" s="35" t="s">
        <v>65</v>
      </c>
      <c r="B36" s="31">
        <v>163000</v>
      </c>
      <c r="C36" s="31">
        <v>58000</v>
      </c>
      <c r="D36" s="31">
        <v>87500</v>
      </c>
      <c r="E36" s="31">
        <v>20500</v>
      </c>
      <c r="F36" s="31">
        <v>108000</v>
      </c>
      <c r="G36" s="31"/>
      <c r="H36" s="31">
        <v>38000</v>
      </c>
      <c r="I36" s="31">
        <v>107000</v>
      </c>
      <c r="J36" s="31">
        <v>3000</v>
      </c>
      <c r="K36" s="31">
        <v>0</v>
      </c>
      <c r="L36" s="31"/>
      <c r="M36" s="31"/>
      <c r="N36" s="31"/>
      <c r="O36" s="31">
        <v>3000</v>
      </c>
      <c r="P36" s="31"/>
      <c r="Q36" s="31"/>
      <c r="R36" s="31">
        <v>1249000</v>
      </c>
      <c r="S36" s="31"/>
      <c r="T36" s="31">
        <f t="shared" si="0"/>
        <v>1837000</v>
      </c>
      <c r="U36" s="43">
        <v>1700000</v>
      </c>
      <c r="V36" s="27"/>
      <c r="W36" s="27"/>
      <c r="X36" s="27"/>
      <c r="Y36" s="27"/>
      <c r="Z36" s="27"/>
      <c r="AA36" s="27"/>
      <c r="AB36" s="27"/>
    </row>
    <row r="37" spans="1:28">
      <c r="A37" s="35" t="s">
        <v>66</v>
      </c>
      <c r="B37" s="31">
        <v>219000</v>
      </c>
      <c r="C37" s="31">
        <v>409000</v>
      </c>
      <c r="D37" s="31">
        <v>64000</v>
      </c>
      <c r="E37" s="31">
        <v>12900</v>
      </c>
      <c r="F37" s="31">
        <v>104000</v>
      </c>
      <c r="G37" s="31">
        <v>0</v>
      </c>
      <c r="H37" s="31">
        <v>30000</v>
      </c>
      <c r="I37" s="31">
        <v>36500</v>
      </c>
      <c r="J37" s="31">
        <v>5500</v>
      </c>
      <c r="K37" s="31"/>
      <c r="L37" s="31"/>
      <c r="M37" s="31"/>
      <c r="N37" s="31"/>
      <c r="O37" s="31">
        <v>33000</v>
      </c>
      <c r="P37" s="31"/>
      <c r="Q37" s="31"/>
      <c r="R37" s="31"/>
      <c r="S37" s="31"/>
      <c r="T37" s="31">
        <f>SUM(B37:S37)</f>
        <v>913900</v>
      </c>
      <c r="U37" s="39"/>
      <c r="V37" s="27"/>
      <c r="W37" s="27"/>
      <c r="X37" s="27"/>
      <c r="Y37" s="27"/>
      <c r="Z37" s="27"/>
      <c r="AA37" s="27"/>
      <c r="AB37" s="27"/>
    </row>
    <row r="38" spans="1:28">
      <c r="A38" s="40" t="s">
        <v>23</v>
      </c>
      <c r="B38" s="41">
        <f>SUM(B7:B37)</f>
        <v>5550800</v>
      </c>
      <c r="C38" s="41">
        <f t="shared" ref="C38:T38" si="1">SUM(C7:C37)</f>
        <v>4115000</v>
      </c>
      <c r="D38" s="41">
        <f t="shared" si="1"/>
        <v>2868000</v>
      </c>
      <c r="E38" s="41">
        <f t="shared" si="1"/>
        <v>437400</v>
      </c>
      <c r="F38" s="41">
        <f t="shared" si="1"/>
        <v>3112500</v>
      </c>
      <c r="G38" s="41">
        <f t="shared" si="1"/>
        <v>84000</v>
      </c>
      <c r="H38" s="41">
        <f t="shared" si="1"/>
        <v>1400000</v>
      </c>
      <c r="I38" s="41">
        <f t="shared" si="1"/>
        <v>1498000</v>
      </c>
      <c r="J38" s="41">
        <f t="shared" si="1"/>
        <v>152500</v>
      </c>
      <c r="K38" s="41">
        <f t="shared" si="1"/>
        <v>0</v>
      </c>
      <c r="L38" s="41">
        <f t="shared" si="1"/>
        <v>0</v>
      </c>
      <c r="M38" s="41">
        <f t="shared" si="1"/>
        <v>0</v>
      </c>
      <c r="N38" s="41">
        <f t="shared" si="1"/>
        <v>0</v>
      </c>
      <c r="O38" s="41">
        <f t="shared" si="1"/>
        <v>447000</v>
      </c>
      <c r="P38" s="41">
        <f t="shared" si="1"/>
        <v>0</v>
      </c>
      <c r="Q38" s="41">
        <f t="shared" si="1"/>
        <v>0</v>
      </c>
      <c r="R38" s="41">
        <f t="shared" si="1"/>
        <v>12417000</v>
      </c>
      <c r="S38" s="41">
        <f>SUM(S7:S37)</f>
        <v>0</v>
      </c>
      <c r="T38" s="41">
        <f t="shared" si="1"/>
        <v>32082200</v>
      </c>
      <c r="U38" s="34"/>
    </row>
    <row r="39" spans="1:28">
      <c r="A39" s="34"/>
      <c r="B39" s="34"/>
      <c r="C39" s="34"/>
      <c r="D39" s="34"/>
      <c r="E39" s="34"/>
      <c r="F39" s="34"/>
      <c r="G39" s="34"/>
      <c r="H39" s="34"/>
      <c r="I39" s="34"/>
      <c r="J39" s="34"/>
      <c r="K39" s="34"/>
      <c r="L39" s="34"/>
      <c r="M39" s="34"/>
      <c r="N39" s="34"/>
      <c r="O39" s="34"/>
      <c r="P39" s="34"/>
      <c r="Q39" s="34"/>
      <c r="R39" s="34"/>
      <c r="S39" s="34"/>
      <c r="T39" s="34"/>
      <c r="U39" s="34"/>
    </row>
  </sheetData>
  <mergeCells count="4">
    <mergeCell ref="B2:T2"/>
    <mergeCell ref="B3:T3"/>
    <mergeCell ref="C4:F4"/>
    <mergeCell ref="C5:F5"/>
  </mergeCells>
  <pageMargins left="0.7" right="0.7" top="0.75" bottom="0.75" header="0.3" footer="0.3"/>
  <pageSetup orientation="portrait" horizontalDpi="0"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H38"/>
  <sheetViews>
    <sheetView topLeftCell="A19" workbookViewId="0">
      <selection activeCell="K30" sqref="K30"/>
    </sheetView>
  </sheetViews>
  <sheetFormatPr defaultRowHeight="15"/>
  <cols>
    <col min="2" max="2" width="18.28515625" customWidth="1"/>
    <col min="3" max="3" width="13" customWidth="1"/>
    <col min="4" max="4" width="13.28515625" customWidth="1"/>
    <col min="5" max="5" width="14.140625" customWidth="1"/>
    <col min="6" max="6" width="12.140625" customWidth="1"/>
    <col min="7" max="7" width="11.85546875" customWidth="1"/>
    <col min="8" max="8" width="17.85546875" customWidth="1"/>
  </cols>
  <sheetData>
    <row r="2" spans="2:8" ht="15.75" thickBot="1"/>
    <row r="3" spans="2:8" ht="26.25">
      <c r="B3" s="82" t="s">
        <v>68</v>
      </c>
      <c r="C3" s="83"/>
      <c r="D3" s="83"/>
      <c r="E3" s="83"/>
      <c r="F3" s="83"/>
      <c r="G3" s="84"/>
      <c r="H3" s="85"/>
    </row>
    <row r="4" spans="2:8" ht="26.25">
      <c r="B4" s="86" t="s">
        <v>0</v>
      </c>
      <c r="C4" s="87"/>
      <c r="D4" s="87"/>
      <c r="E4" s="87"/>
      <c r="F4" s="87"/>
      <c r="G4" s="88"/>
      <c r="H4" s="89"/>
    </row>
    <row r="5" spans="2:8" ht="15.75" thickBot="1">
      <c r="B5" s="1"/>
      <c r="C5" s="2"/>
      <c r="D5" s="2"/>
      <c r="E5" s="2"/>
      <c r="F5" s="2"/>
      <c r="G5" s="2"/>
      <c r="H5" s="3"/>
    </row>
    <row r="6" spans="2:8" ht="15.75" thickBot="1">
      <c r="B6" s="4"/>
      <c r="H6" s="5"/>
    </row>
    <row r="7" spans="2:8" ht="16.5" thickBot="1">
      <c r="B7" s="6" t="s">
        <v>1</v>
      </c>
      <c r="C7" s="90" t="s">
        <v>69</v>
      </c>
      <c r="D7" s="71"/>
      <c r="E7" s="72"/>
      <c r="F7" s="7"/>
      <c r="G7" s="7"/>
      <c r="H7" s="8"/>
    </row>
    <row r="8" spans="2:8" ht="16.5" thickBot="1">
      <c r="B8" s="9"/>
      <c r="C8" s="10"/>
      <c r="D8" s="10"/>
      <c r="E8" s="10"/>
      <c r="F8" s="10"/>
      <c r="G8" s="10"/>
      <c r="H8" s="8"/>
    </row>
    <row r="9" spans="2:8" ht="16.5" thickBot="1">
      <c r="B9" s="6" t="s">
        <v>24</v>
      </c>
      <c r="C9" s="70" t="s">
        <v>78</v>
      </c>
      <c r="D9" s="71"/>
      <c r="E9" s="72"/>
      <c r="F9" s="11"/>
      <c r="G9" s="11"/>
      <c r="H9" s="12"/>
    </row>
    <row r="10" spans="2:8" ht="15.75">
      <c r="B10" s="13" t="s">
        <v>25</v>
      </c>
      <c r="C10" s="14" t="s">
        <v>26</v>
      </c>
      <c r="D10" s="14" t="s">
        <v>27</v>
      </c>
      <c r="E10" s="14" t="s">
        <v>28</v>
      </c>
      <c r="F10" s="14" t="s">
        <v>29</v>
      </c>
      <c r="G10" s="15" t="s">
        <v>30</v>
      </c>
      <c r="H10" s="16" t="s">
        <v>31</v>
      </c>
    </row>
    <row r="11" spans="2:8" ht="15.75">
      <c r="B11" s="17" t="s">
        <v>4</v>
      </c>
      <c r="C11" s="18">
        <v>1318000</v>
      </c>
      <c r="D11" s="18">
        <v>1246000</v>
      </c>
      <c r="E11" s="18">
        <v>1223500</v>
      </c>
      <c r="F11" s="18">
        <v>1218800</v>
      </c>
      <c r="G11" s="19">
        <v>544500</v>
      </c>
      <c r="H11" s="20">
        <f t="shared" ref="H11:H19" si="0">SUM(C11:G11)</f>
        <v>5550800</v>
      </c>
    </row>
    <row r="12" spans="2:8" ht="15.75">
      <c r="B12" s="17" t="s">
        <v>5</v>
      </c>
      <c r="C12" s="18">
        <v>800000</v>
      </c>
      <c r="D12" s="18">
        <v>732000</v>
      </c>
      <c r="E12" s="18">
        <v>664000</v>
      </c>
      <c r="F12" s="18">
        <v>1388000</v>
      </c>
      <c r="G12" s="19">
        <v>519000</v>
      </c>
      <c r="H12" s="20">
        <f t="shared" si="0"/>
        <v>4103000</v>
      </c>
    </row>
    <row r="13" spans="2:8" ht="15.75">
      <c r="B13" s="17" t="s">
        <v>32</v>
      </c>
      <c r="C13" s="18">
        <v>785000</v>
      </c>
      <c r="D13" s="18">
        <v>697400</v>
      </c>
      <c r="E13" s="18">
        <v>599500</v>
      </c>
      <c r="F13" s="18">
        <v>542500</v>
      </c>
      <c r="G13" s="19">
        <v>260000</v>
      </c>
      <c r="H13" s="20">
        <f t="shared" si="0"/>
        <v>2884400</v>
      </c>
    </row>
    <row r="14" spans="2:8" ht="15.75">
      <c r="B14" s="17" t="s">
        <v>33</v>
      </c>
      <c r="C14" s="18">
        <v>104000</v>
      </c>
      <c r="D14" s="18">
        <v>78500</v>
      </c>
      <c r="E14" s="18">
        <v>75500</v>
      </c>
      <c r="F14" s="18">
        <v>126500</v>
      </c>
      <c r="G14" s="19">
        <v>52500</v>
      </c>
      <c r="H14" s="20">
        <f t="shared" si="0"/>
        <v>437000</v>
      </c>
    </row>
    <row r="15" spans="2:8" ht="15.75">
      <c r="B15" s="17" t="s">
        <v>8</v>
      </c>
      <c r="C15" s="18">
        <v>734100</v>
      </c>
      <c r="D15" s="18">
        <v>673000</v>
      </c>
      <c r="E15" s="18">
        <v>763800</v>
      </c>
      <c r="F15" s="18">
        <v>645600</v>
      </c>
      <c r="G15" s="19">
        <v>296400</v>
      </c>
      <c r="H15" s="20">
        <f t="shared" si="0"/>
        <v>3112900</v>
      </c>
    </row>
    <row r="16" spans="2:8" ht="15.75">
      <c r="B16" s="17" t="s">
        <v>9</v>
      </c>
      <c r="C16" s="18">
        <v>36000</v>
      </c>
      <c r="D16" s="18">
        <v>12000</v>
      </c>
      <c r="E16" s="18">
        <v>12000</v>
      </c>
      <c r="F16" s="18">
        <v>12000</v>
      </c>
      <c r="G16" s="19">
        <v>12000</v>
      </c>
      <c r="H16" s="20">
        <f t="shared" si="0"/>
        <v>84000</v>
      </c>
    </row>
    <row r="17" spans="2:8" ht="15.75">
      <c r="B17" s="17" t="s">
        <v>10</v>
      </c>
      <c r="C17" s="18">
        <v>265000</v>
      </c>
      <c r="D17" s="18">
        <v>352000</v>
      </c>
      <c r="E17" s="18">
        <v>332500</v>
      </c>
      <c r="F17" s="18">
        <v>325500</v>
      </c>
      <c r="G17" s="19">
        <v>121000</v>
      </c>
      <c r="H17" s="20">
        <f t="shared" si="0"/>
        <v>1396000</v>
      </c>
    </row>
    <row r="18" spans="2:8" ht="15.75">
      <c r="B18" s="17" t="s">
        <v>11</v>
      </c>
      <c r="C18" s="18">
        <v>325000</v>
      </c>
      <c r="D18" s="18">
        <v>349500</v>
      </c>
      <c r="E18" s="18">
        <v>368500</v>
      </c>
      <c r="F18" s="18">
        <v>269500</v>
      </c>
      <c r="G18" s="19">
        <v>185500</v>
      </c>
      <c r="H18" s="20">
        <f t="shared" si="0"/>
        <v>1498000</v>
      </c>
    </row>
    <row r="19" spans="2:8" ht="15.75">
      <c r="B19" s="17" t="s">
        <v>12</v>
      </c>
      <c r="C19" s="18">
        <v>29000</v>
      </c>
      <c r="D19" s="18">
        <v>30000</v>
      </c>
      <c r="E19" s="18">
        <v>49000</v>
      </c>
      <c r="F19" s="18">
        <v>36000</v>
      </c>
      <c r="G19" s="19">
        <v>8500</v>
      </c>
      <c r="H19" s="20">
        <f t="shared" si="0"/>
        <v>152500</v>
      </c>
    </row>
    <row r="20" spans="2:8" ht="15.75">
      <c r="B20" s="17" t="s">
        <v>13</v>
      </c>
      <c r="C20" s="18"/>
      <c r="D20" s="18"/>
      <c r="E20" s="18"/>
      <c r="F20" s="18"/>
      <c r="G20" s="19"/>
      <c r="H20" s="20">
        <f t="shared" ref="H20:H27" si="1">SUM(C20:F20)</f>
        <v>0</v>
      </c>
    </row>
    <row r="21" spans="2:8" ht="15.75">
      <c r="B21" s="17" t="s">
        <v>14</v>
      </c>
      <c r="C21" s="18"/>
      <c r="D21" s="18"/>
      <c r="E21" s="18"/>
      <c r="F21" s="18"/>
      <c r="G21" s="19"/>
      <c r="H21" s="20">
        <f t="shared" si="1"/>
        <v>0</v>
      </c>
    </row>
    <row r="22" spans="2:8" ht="15.75">
      <c r="B22" s="17" t="s">
        <v>15</v>
      </c>
      <c r="C22" s="18"/>
      <c r="D22" s="18"/>
      <c r="E22" s="18"/>
      <c r="F22" s="18"/>
      <c r="G22" s="19"/>
      <c r="H22" s="20">
        <f t="shared" si="1"/>
        <v>0</v>
      </c>
    </row>
    <row r="23" spans="2:8" ht="15.75">
      <c r="B23" s="17" t="s">
        <v>16</v>
      </c>
      <c r="C23" s="18"/>
      <c r="D23" s="18"/>
      <c r="E23" s="18"/>
      <c r="F23" s="18"/>
      <c r="G23" s="19"/>
      <c r="H23" s="20">
        <f t="shared" si="1"/>
        <v>0</v>
      </c>
    </row>
    <row r="24" spans="2:8" ht="15.75">
      <c r="B24" s="17" t="s">
        <v>17</v>
      </c>
      <c r="C24" s="18">
        <v>117000</v>
      </c>
      <c r="D24" s="18">
        <v>87000</v>
      </c>
      <c r="E24" s="18">
        <v>53000</v>
      </c>
      <c r="F24" s="18">
        <v>154000</v>
      </c>
      <c r="G24" s="19">
        <v>36000</v>
      </c>
      <c r="H24" s="20">
        <f>SUM(C24:G24)</f>
        <v>447000</v>
      </c>
    </row>
    <row r="25" spans="2:8" ht="15.75">
      <c r="B25" s="17" t="s">
        <v>18</v>
      </c>
      <c r="C25" s="18"/>
      <c r="D25" s="18"/>
      <c r="E25" s="18"/>
      <c r="F25" s="18"/>
      <c r="G25" s="19"/>
      <c r="H25" s="20">
        <f t="shared" si="1"/>
        <v>0</v>
      </c>
    </row>
    <row r="26" spans="2:8" ht="15.75">
      <c r="B26" s="17" t="s">
        <v>19</v>
      </c>
      <c r="C26" s="18"/>
      <c r="D26" s="18"/>
      <c r="E26" s="18"/>
      <c r="F26" s="18"/>
      <c r="G26" s="19"/>
      <c r="H26" s="20">
        <f t="shared" si="1"/>
        <v>0</v>
      </c>
    </row>
    <row r="27" spans="2:8" ht="15.75">
      <c r="B27" s="17" t="s">
        <v>34</v>
      </c>
      <c r="C27" s="18"/>
      <c r="D27" s="18"/>
      <c r="E27" s="18"/>
      <c r="F27" s="18"/>
      <c r="G27" s="19"/>
      <c r="H27" s="20">
        <f t="shared" si="1"/>
        <v>0</v>
      </c>
    </row>
    <row r="28" spans="2:8" ht="16.5" thickBot="1">
      <c r="B28" s="21" t="s">
        <v>35</v>
      </c>
      <c r="C28" s="22">
        <f t="shared" ref="C28:H28" si="2">SUM(C11:C27)</f>
        <v>4513100</v>
      </c>
      <c r="D28" s="22">
        <f t="shared" si="2"/>
        <v>4257400</v>
      </c>
      <c r="E28" s="22">
        <f t="shared" si="2"/>
        <v>4141300</v>
      </c>
      <c r="F28" s="22">
        <f t="shared" si="2"/>
        <v>4718400</v>
      </c>
      <c r="G28" s="22">
        <f t="shared" si="2"/>
        <v>2035400</v>
      </c>
      <c r="H28" s="23">
        <f t="shared" si="2"/>
        <v>19665600</v>
      </c>
    </row>
    <row r="30" spans="2:8" ht="15.75" thickBot="1"/>
    <row r="31" spans="2:8" ht="21.75" thickBot="1">
      <c r="B31" s="73" t="s">
        <v>36</v>
      </c>
      <c r="C31" s="74"/>
      <c r="D31" s="74"/>
      <c r="E31" s="74"/>
      <c r="F31" s="74"/>
      <c r="G31" s="74"/>
      <c r="H31" s="75"/>
    </row>
    <row r="32" spans="2:8" ht="15.75" thickBot="1">
      <c r="B32" s="92" t="s">
        <v>79</v>
      </c>
      <c r="C32" s="68"/>
      <c r="D32" s="68"/>
      <c r="E32" s="68"/>
      <c r="F32" s="68"/>
      <c r="G32" s="68"/>
      <c r="H32" s="69"/>
    </row>
    <row r="33" spans="2:8" ht="15.75" thickBot="1">
      <c r="B33" s="24"/>
      <c r="C33" s="25"/>
      <c r="D33" s="25"/>
      <c r="E33" s="25"/>
      <c r="F33" s="25"/>
      <c r="G33" s="25"/>
      <c r="H33" s="26"/>
    </row>
    <row r="34" spans="2:8" ht="15.75" thickBot="1">
      <c r="B34" s="67"/>
      <c r="C34" s="68"/>
      <c r="D34" s="68"/>
      <c r="E34" s="68"/>
      <c r="F34" s="68"/>
      <c r="G34" s="68"/>
      <c r="H34" s="69"/>
    </row>
    <row r="35" spans="2:8" ht="15.75" thickBot="1">
      <c r="B35" s="67"/>
      <c r="C35" s="68"/>
      <c r="D35" s="68"/>
      <c r="E35" s="68"/>
      <c r="F35" s="68"/>
      <c r="G35" s="68"/>
      <c r="H35" s="69"/>
    </row>
    <row r="36" spans="2:8" ht="15.75" thickBot="1">
      <c r="B36" s="67"/>
      <c r="C36" s="68"/>
      <c r="D36" s="68"/>
      <c r="E36" s="68"/>
      <c r="F36" s="68"/>
      <c r="G36" s="68"/>
      <c r="H36" s="69"/>
    </row>
    <row r="37" spans="2:8" ht="15.75" thickBot="1">
      <c r="B37" s="67"/>
      <c r="C37" s="68"/>
      <c r="D37" s="68"/>
      <c r="E37" s="68"/>
      <c r="F37" s="68"/>
      <c r="G37" s="68"/>
      <c r="H37" s="69"/>
    </row>
    <row r="38" spans="2:8">
      <c r="B38" s="81"/>
      <c r="C38" s="81"/>
      <c r="D38" s="81"/>
      <c r="E38" s="81"/>
      <c r="F38" s="81"/>
      <c r="G38" s="81"/>
      <c r="H38" s="81"/>
    </row>
  </sheetData>
  <mergeCells count="11">
    <mergeCell ref="B32:H32"/>
    <mergeCell ref="B3:H3"/>
    <mergeCell ref="B4:H4"/>
    <mergeCell ref="C7:E7"/>
    <mergeCell ref="C9:E9"/>
    <mergeCell ref="B31:H31"/>
    <mergeCell ref="B34:H34"/>
    <mergeCell ref="B35:H35"/>
    <mergeCell ref="B36:H36"/>
    <mergeCell ref="B37:H37"/>
    <mergeCell ref="B38:H38"/>
  </mergeCells>
  <pageMargins left="0.7" right="0.7" top="0.75" bottom="0.75" header="0.3" footer="0.3"/>
  <pageSetup orientation="landscape" horizontalDpi="0"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B39"/>
  <sheetViews>
    <sheetView topLeftCell="A3" workbookViewId="0">
      <selection activeCell="B7" sqref="B7:T7"/>
    </sheetView>
  </sheetViews>
  <sheetFormatPr defaultRowHeight="15"/>
  <cols>
    <col min="1" max="1" width="3.5703125" customWidth="1"/>
    <col min="2" max="2" width="11.7109375" customWidth="1"/>
    <col min="3" max="3" width="10.42578125" customWidth="1"/>
    <col min="4" max="4" width="10.7109375" customWidth="1"/>
    <col min="5" max="5" width="13.140625" customWidth="1"/>
    <col min="6" max="6" width="12.42578125" customWidth="1"/>
    <col min="7" max="7" width="8.5703125" customWidth="1"/>
    <col min="8" max="8" width="12" customWidth="1"/>
    <col min="9" max="9" width="11.140625" customWidth="1"/>
    <col min="11" max="11" width="5.5703125" customWidth="1"/>
    <col min="12" max="12" width="5" customWidth="1"/>
    <col min="13" max="13" width="5.7109375" customWidth="1"/>
    <col min="14" max="14" width="5" customWidth="1"/>
    <col min="15" max="15" width="9.85546875" customWidth="1"/>
    <col min="16" max="16" width="5.5703125" customWidth="1"/>
    <col min="17" max="17" width="4.5703125" customWidth="1"/>
    <col min="18" max="18" width="13.140625" customWidth="1"/>
    <col min="19" max="19" width="6.85546875" customWidth="1"/>
    <col min="20" max="20" width="11.85546875" customWidth="1"/>
  </cols>
  <sheetData>
    <row r="1" spans="1:22" ht="15.75" thickBot="1"/>
    <row r="2" spans="1:22" ht="26.25" customHeight="1">
      <c r="A2" s="28"/>
      <c r="B2" s="55" t="s">
        <v>68</v>
      </c>
      <c r="C2" s="56"/>
      <c r="D2" s="56"/>
      <c r="E2" s="56"/>
      <c r="F2" s="56"/>
      <c r="G2" s="56"/>
      <c r="H2" s="56"/>
      <c r="I2" s="56"/>
      <c r="J2" s="56"/>
      <c r="K2" s="56"/>
      <c r="L2" s="56"/>
      <c r="M2" s="56"/>
      <c r="N2" s="56"/>
      <c r="O2" s="56"/>
      <c r="P2" s="56"/>
      <c r="Q2" s="56"/>
      <c r="R2" s="56"/>
      <c r="S2" s="56"/>
      <c r="T2" s="57"/>
    </row>
    <row r="3" spans="1:22" ht="27" thickBot="1">
      <c r="A3" s="4"/>
      <c r="B3" s="58" t="s">
        <v>0</v>
      </c>
      <c r="C3" s="59"/>
      <c r="D3" s="59"/>
      <c r="E3" s="59"/>
      <c r="F3" s="59"/>
      <c r="G3" s="59"/>
      <c r="H3" s="59"/>
      <c r="I3" s="59"/>
      <c r="J3" s="59"/>
      <c r="K3" s="59"/>
      <c r="L3" s="59"/>
      <c r="M3" s="59"/>
      <c r="N3" s="59"/>
      <c r="O3" s="59"/>
      <c r="P3" s="59"/>
      <c r="Q3" s="59"/>
      <c r="R3" s="59"/>
      <c r="S3" s="59"/>
      <c r="T3" s="60"/>
    </row>
    <row r="4" spans="1:22" ht="27" customHeight="1" thickBot="1">
      <c r="A4" s="4"/>
      <c r="B4" s="29" t="s">
        <v>1</v>
      </c>
      <c r="C4" s="61" t="s">
        <v>69</v>
      </c>
      <c r="D4" s="62"/>
      <c r="E4" s="62"/>
      <c r="F4" s="63"/>
      <c r="T4" s="5"/>
    </row>
    <row r="5" spans="1:22" ht="21">
      <c r="A5" s="4"/>
      <c r="B5" s="30" t="s">
        <v>2</v>
      </c>
      <c r="C5" s="78">
        <v>44958</v>
      </c>
      <c r="D5" s="79"/>
      <c r="E5" s="79"/>
      <c r="F5" s="80"/>
      <c r="T5" s="5"/>
    </row>
    <row r="6" spans="1:22" ht="101.25">
      <c r="A6" s="32" t="s">
        <v>3</v>
      </c>
      <c r="B6" s="33" t="s">
        <v>4</v>
      </c>
      <c r="C6" s="33" t="s">
        <v>5</v>
      </c>
      <c r="D6" s="33" t="s">
        <v>6</v>
      </c>
      <c r="E6" s="33" t="s">
        <v>7</v>
      </c>
      <c r="F6" s="33" t="s">
        <v>8</v>
      </c>
      <c r="G6" s="33" t="s">
        <v>9</v>
      </c>
      <c r="H6" s="33" t="s">
        <v>10</v>
      </c>
      <c r="I6" s="33" t="s">
        <v>11</v>
      </c>
      <c r="J6" s="33" t="s">
        <v>12</v>
      </c>
      <c r="K6" s="33" t="s">
        <v>13</v>
      </c>
      <c r="L6" s="33" t="s">
        <v>14</v>
      </c>
      <c r="M6" s="33" t="s">
        <v>15</v>
      </c>
      <c r="N6" s="33" t="s">
        <v>16</v>
      </c>
      <c r="O6" s="33" t="s">
        <v>17</v>
      </c>
      <c r="P6" s="33" t="s">
        <v>18</v>
      </c>
      <c r="Q6" s="33" t="s">
        <v>19</v>
      </c>
      <c r="R6" s="33" t="s">
        <v>20</v>
      </c>
      <c r="S6" s="33" t="s">
        <v>21</v>
      </c>
      <c r="T6" s="33" t="s">
        <v>22</v>
      </c>
      <c r="U6" s="34"/>
    </row>
    <row r="7" spans="1:22">
      <c r="A7" s="35" t="s">
        <v>67</v>
      </c>
      <c r="B7" s="36">
        <v>148500</v>
      </c>
      <c r="C7" s="36">
        <v>95000</v>
      </c>
      <c r="D7" s="36">
        <v>83000</v>
      </c>
      <c r="E7" s="36">
        <v>0</v>
      </c>
      <c r="F7" s="36">
        <v>100500</v>
      </c>
      <c r="G7" s="36">
        <v>0</v>
      </c>
      <c r="H7" s="36">
        <v>29000</v>
      </c>
      <c r="I7" s="36">
        <v>33000</v>
      </c>
      <c r="J7" s="36">
        <v>31000</v>
      </c>
      <c r="K7" s="36">
        <v>0</v>
      </c>
      <c r="L7" s="36"/>
      <c r="M7" s="36"/>
      <c r="N7" s="36"/>
      <c r="O7" s="36">
        <v>7000</v>
      </c>
      <c r="P7" s="36"/>
      <c r="Q7" s="36"/>
      <c r="R7" s="36">
        <v>724000</v>
      </c>
      <c r="S7" s="37"/>
      <c r="T7" s="38">
        <f t="shared" ref="T7:T36" si="0">SUM(B7:S7)</f>
        <v>1251000</v>
      </c>
      <c r="U7" s="34"/>
    </row>
    <row r="8" spans="1:22">
      <c r="A8" s="35" t="s">
        <v>37</v>
      </c>
      <c r="B8" s="36">
        <v>156500</v>
      </c>
      <c r="C8" s="36">
        <v>35000</v>
      </c>
      <c r="D8" s="36">
        <v>60000</v>
      </c>
      <c r="E8" s="36">
        <v>5000</v>
      </c>
      <c r="F8" s="36">
        <v>154000</v>
      </c>
      <c r="G8" s="36">
        <v>36000</v>
      </c>
      <c r="H8" s="36">
        <v>29000</v>
      </c>
      <c r="I8" s="36">
        <v>25000</v>
      </c>
      <c r="J8" s="36">
        <v>4000</v>
      </c>
      <c r="K8" s="36">
        <v>0</v>
      </c>
      <c r="L8" s="36"/>
      <c r="M8" s="36"/>
      <c r="N8" s="36"/>
      <c r="O8" s="36"/>
      <c r="P8" s="36"/>
      <c r="Q8" s="36"/>
      <c r="R8" s="36">
        <v>26000</v>
      </c>
      <c r="S8" s="37"/>
      <c r="T8" s="38">
        <f t="shared" si="0"/>
        <v>530500</v>
      </c>
      <c r="U8" s="34"/>
    </row>
    <row r="9" spans="1:22">
      <c r="A9" s="35" t="s">
        <v>38</v>
      </c>
      <c r="B9" s="36">
        <v>166500</v>
      </c>
      <c r="C9" s="36">
        <v>73000</v>
      </c>
      <c r="D9" s="36">
        <v>108000</v>
      </c>
      <c r="E9" s="36">
        <v>36000</v>
      </c>
      <c r="F9" s="36">
        <v>105500</v>
      </c>
      <c r="G9" s="36">
        <v>0</v>
      </c>
      <c r="H9" s="36">
        <v>77000</v>
      </c>
      <c r="I9" s="36">
        <v>44000</v>
      </c>
      <c r="J9" s="36">
        <v>16000</v>
      </c>
      <c r="K9" s="36">
        <v>0</v>
      </c>
      <c r="L9" s="36"/>
      <c r="M9" s="36"/>
      <c r="N9" s="36"/>
      <c r="O9" s="36">
        <v>32000</v>
      </c>
      <c r="P9" s="36"/>
      <c r="Q9" s="36"/>
      <c r="R9" s="36">
        <v>0</v>
      </c>
      <c r="S9" s="37"/>
      <c r="T9" s="38">
        <f t="shared" si="0"/>
        <v>658000</v>
      </c>
      <c r="U9" s="34"/>
    </row>
    <row r="10" spans="1:22">
      <c r="A10" s="35" t="s">
        <v>39</v>
      </c>
      <c r="B10" s="36">
        <v>168000</v>
      </c>
      <c r="C10" s="36">
        <v>140000</v>
      </c>
      <c r="D10" s="36">
        <v>109000</v>
      </c>
      <c r="E10" s="36">
        <v>18000</v>
      </c>
      <c r="F10" s="36">
        <v>130000</v>
      </c>
      <c r="G10" s="36">
        <v>0</v>
      </c>
      <c r="H10" s="36">
        <v>96000</v>
      </c>
      <c r="I10" s="36">
        <v>29000</v>
      </c>
      <c r="J10" s="36">
        <v>0</v>
      </c>
      <c r="K10" s="36">
        <v>0</v>
      </c>
      <c r="L10" s="36"/>
      <c r="M10" s="36"/>
      <c r="N10" s="36"/>
      <c r="O10" s="36">
        <v>11000</v>
      </c>
      <c r="P10" s="36"/>
      <c r="Q10" s="36"/>
      <c r="R10" s="36">
        <v>-803000</v>
      </c>
      <c r="S10" s="37"/>
      <c r="T10" s="38">
        <f t="shared" si="0"/>
        <v>-102000</v>
      </c>
      <c r="U10" s="42">
        <v>2090000</v>
      </c>
      <c r="V10" t="s">
        <v>71</v>
      </c>
    </row>
    <row r="11" spans="1:22">
      <c r="A11" s="35" t="s">
        <v>40</v>
      </c>
      <c r="B11" s="37">
        <v>258000</v>
      </c>
      <c r="C11" s="37">
        <v>0</v>
      </c>
      <c r="D11" s="37">
        <v>123000</v>
      </c>
      <c r="E11" s="37">
        <v>7000</v>
      </c>
      <c r="F11" s="37">
        <v>127400</v>
      </c>
      <c r="G11" s="37">
        <v>12000</v>
      </c>
      <c r="H11" s="37">
        <v>24000</v>
      </c>
      <c r="I11" s="37">
        <v>54000</v>
      </c>
      <c r="J11" s="37">
        <v>5000</v>
      </c>
      <c r="K11" s="37">
        <v>0</v>
      </c>
      <c r="L11" s="37"/>
      <c r="M11" s="37"/>
      <c r="N11" s="37"/>
      <c r="O11" s="37">
        <v>0</v>
      </c>
      <c r="P11" s="37"/>
      <c r="Q11" s="37"/>
      <c r="R11" s="37">
        <v>15000</v>
      </c>
      <c r="S11" s="37"/>
      <c r="T11" s="37">
        <f t="shared" si="0"/>
        <v>625400</v>
      </c>
      <c r="U11" s="42">
        <v>1500000</v>
      </c>
      <c r="V11" t="s">
        <v>71</v>
      </c>
    </row>
    <row r="12" spans="1:22">
      <c r="A12" s="35" t="s">
        <v>41</v>
      </c>
      <c r="B12" s="37">
        <v>187000</v>
      </c>
      <c r="C12" s="37">
        <v>79000</v>
      </c>
      <c r="D12" s="37">
        <v>62000</v>
      </c>
      <c r="E12" s="37">
        <v>14000</v>
      </c>
      <c r="F12" s="37">
        <v>134000</v>
      </c>
      <c r="G12" s="37">
        <v>0</v>
      </c>
      <c r="H12" s="37">
        <v>17000</v>
      </c>
      <c r="I12" s="37">
        <v>45000</v>
      </c>
      <c r="J12" s="37">
        <v>9000</v>
      </c>
      <c r="K12" s="37">
        <v>0</v>
      </c>
      <c r="L12" s="37"/>
      <c r="M12" s="37"/>
      <c r="N12" s="37"/>
      <c r="O12" s="37">
        <v>0</v>
      </c>
      <c r="P12" s="37"/>
      <c r="Q12" s="37"/>
      <c r="R12" s="37">
        <v>376000</v>
      </c>
      <c r="S12" s="37"/>
      <c r="T12" s="37">
        <f t="shared" si="0"/>
        <v>923000</v>
      </c>
      <c r="U12" s="42">
        <v>1970000</v>
      </c>
      <c r="V12" t="s">
        <v>71</v>
      </c>
    </row>
    <row r="13" spans="1:22">
      <c r="A13" s="35" t="s">
        <v>42</v>
      </c>
      <c r="B13" s="37">
        <v>209000</v>
      </c>
      <c r="C13" s="37">
        <v>54000</v>
      </c>
      <c r="D13" s="37">
        <v>88500</v>
      </c>
      <c r="E13" s="37">
        <v>0</v>
      </c>
      <c r="F13" s="37">
        <v>70000</v>
      </c>
      <c r="G13" s="37">
        <v>0</v>
      </c>
      <c r="H13" s="37">
        <v>66000</v>
      </c>
      <c r="I13" s="37">
        <v>27500</v>
      </c>
      <c r="J13" s="37">
        <v>8000</v>
      </c>
      <c r="K13" s="37">
        <v>0</v>
      </c>
      <c r="L13" s="37"/>
      <c r="M13" s="37"/>
      <c r="N13" s="37"/>
      <c r="O13" s="37">
        <v>0</v>
      </c>
      <c r="P13" s="37"/>
      <c r="Q13" s="37"/>
      <c r="R13" s="37">
        <v>496000</v>
      </c>
      <c r="S13" s="37"/>
      <c r="T13" s="37">
        <f t="shared" si="0"/>
        <v>1019000</v>
      </c>
      <c r="U13" s="42"/>
    </row>
    <row r="14" spans="1:22">
      <c r="A14" s="35" t="s">
        <v>43</v>
      </c>
      <c r="B14" s="37">
        <v>181000</v>
      </c>
      <c r="C14" s="37">
        <v>65000</v>
      </c>
      <c r="D14" s="37">
        <v>56000</v>
      </c>
      <c r="E14" s="37">
        <v>9000</v>
      </c>
      <c r="F14" s="37">
        <v>40000</v>
      </c>
      <c r="G14" s="37">
        <v>12000</v>
      </c>
      <c r="H14" s="37">
        <v>28000</v>
      </c>
      <c r="I14" s="37">
        <v>21000</v>
      </c>
      <c r="J14" s="37">
        <v>12000</v>
      </c>
      <c r="K14" s="37">
        <v>0</v>
      </c>
      <c r="L14" s="37"/>
      <c r="M14" s="37"/>
      <c r="N14" s="37"/>
      <c r="O14" s="37">
        <v>0</v>
      </c>
      <c r="P14" s="37"/>
      <c r="Q14" s="37"/>
      <c r="R14" s="37">
        <v>37500</v>
      </c>
      <c r="S14" s="37"/>
      <c r="T14" s="37">
        <f t="shared" si="0"/>
        <v>461500</v>
      </c>
      <c r="U14" s="42">
        <v>1800000</v>
      </c>
      <c r="V14" t="s">
        <v>71</v>
      </c>
    </row>
    <row r="15" spans="1:22">
      <c r="A15" s="35" t="s">
        <v>44</v>
      </c>
      <c r="B15" s="37">
        <v>226000</v>
      </c>
      <c r="C15" s="37">
        <v>617000</v>
      </c>
      <c r="D15" s="37">
        <v>88000</v>
      </c>
      <c r="E15" s="37">
        <v>16000</v>
      </c>
      <c r="F15" s="37">
        <v>93800</v>
      </c>
      <c r="G15" s="37">
        <v>12000</v>
      </c>
      <c r="H15" s="37">
        <v>55000</v>
      </c>
      <c r="I15" s="37">
        <v>102000</v>
      </c>
      <c r="J15" s="37">
        <v>0</v>
      </c>
      <c r="K15" s="37">
        <v>0</v>
      </c>
      <c r="L15" s="37"/>
      <c r="M15" s="37"/>
      <c r="N15" s="37"/>
      <c r="O15" s="37">
        <v>0</v>
      </c>
      <c r="P15" s="37"/>
      <c r="Q15" s="37"/>
      <c r="R15" s="37">
        <v>284000</v>
      </c>
      <c r="S15" s="37"/>
      <c r="T15" s="37">
        <f t="shared" si="0"/>
        <v>1493800</v>
      </c>
      <c r="U15" s="34"/>
    </row>
    <row r="16" spans="1:22">
      <c r="A16" s="35" t="s">
        <v>45</v>
      </c>
      <c r="B16" s="37">
        <v>195000</v>
      </c>
      <c r="C16" s="37">
        <v>100000</v>
      </c>
      <c r="D16" s="37">
        <v>89500</v>
      </c>
      <c r="E16" s="37">
        <v>6000</v>
      </c>
      <c r="F16" s="37">
        <v>132000</v>
      </c>
      <c r="G16" s="37">
        <v>12000</v>
      </c>
      <c r="H16" s="37">
        <v>58000</v>
      </c>
      <c r="I16" s="37">
        <v>36500</v>
      </c>
      <c r="J16" s="37">
        <v>6000</v>
      </c>
      <c r="K16" s="37">
        <v>0</v>
      </c>
      <c r="L16" s="37"/>
      <c r="M16" s="37"/>
      <c r="N16" s="37"/>
      <c r="O16" s="37">
        <v>20000</v>
      </c>
      <c r="P16" s="37"/>
      <c r="Q16" s="37"/>
      <c r="R16" s="37">
        <v>0</v>
      </c>
      <c r="S16" s="37"/>
      <c r="T16" s="37">
        <f t="shared" si="0"/>
        <v>655000</v>
      </c>
      <c r="U16" s="34"/>
    </row>
    <row r="17" spans="1:28">
      <c r="A17" s="35" t="s">
        <v>46</v>
      </c>
      <c r="B17" s="37">
        <v>241000</v>
      </c>
      <c r="C17" s="37">
        <v>65000</v>
      </c>
      <c r="D17" s="37">
        <v>110500</v>
      </c>
      <c r="E17" s="37">
        <v>2500</v>
      </c>
      <c r="F17" s="37">
        <v>102000</v>
      </c>
      <c r="G17" s="37">
        <v>12000</v>
      </c>
      <c r="H17" s="37">
        <v>60000</v>
      </c>
      <c r="I17" s="37">
        <v>65000</v>
      </c>
      <c r="J17" s="37">
        <v>5000</v>
      </c>
      <c r="K17" s="37">
        <v>0</v>
      </c>
      <c r="L17" s="37"/>
      <c r="M17" s="37"/>
      <c r="N17" s="37"/>
      <c r="O17" s="37">
        <v>0</v>
      </c>
      <c r="P17" s="37"/>
      <c r="Q17" s="37"/>
      <c r="R17" s="37">
        <v>0</v>
      </c>
      <c r="S17" s="37"/>
      <c r="T17" s="37">
        <f t="shared" si="0"/>
        <v>663000</v>
      </c>
      <c r="U17" s="34"/>
    </row>
    <row r="18" spans="1:28">
      <c r="A18" s="35" t="s">
        <v>47</v>
      </c>
      <c r="B18" s="37">
        <v>225000</v>
      </c>
      <c r="C18" s="37">
        <v>21000</v>
      </c>
      <c r="D18" s="37">
        <v>116000</v>
      </c>
      <c r="E18" s="37">
        <v>0</v>
      </c>
      <c r="F18" s="37">
        <v>102000</v>
      </c>
      <c r="G18" s="37">
        <v>0</v>
      </c>
      <c r="H18" s="37">
        <v>29500</v>
      </c>
      <c r="I18" s="37">
        <v>15500</v>
      </c>
      <c r="J18" s="37">
        <v>0</v>
      </c>
      <c r="K18" s="37">
        <v>0</v>
      </c>
      <c r="L18" s="37"/>
      <c r="M18" s="37"/>
      <c r="N18" s="37"/>
      <c r="O18" s="37">
        <v>0</v>
      </c>
      <c r="P18" s="37"/>
      <c r="Q18" s="37"/>
      <c r="R18" s="37">
        <v>66000</v>
      </c>
      <c r="S18" s="37"/>
      <c r="T18" s="38">
        <f t="shared" si="0"/>
        <v>575000</v>
      </c>
      <c r="U18" s="34"/>
    </row>
    <row r="19" spans="1:28">
      <c r="A19" s="35" t="s">
        <v>48</v>
      </c>
      <c r="B19" s="37">
        <v>169000</v>
      </c>
      <c r="C19" s="37">
        <v>13000</v>
      </c>
      <c r="D19" s="37">
        <v>126500</v>
      </c>
      <c r="E19" s="37">
        <v>22500</v>
      </c>
      <c r="F19" s="37">
        <v>145400</v>
      </c>
      <c r="G19" s="37">
        <v>0</v>
      </c>
      <c r="H19" s="37">
        <v>54000</v>
      </c>
      <c r="I19" s="37">
        <v>41000</v>
      </c>
      <c r="J19" s="37">
        <v>3000</v>
      </c>
      <c r="K19" s="37">
        <v>0</v>
      </c>
      <c r="L19" s="37"/>
      <c r="M19" s="37"/>
      <c r="N19" s="37"/>
      <c r="O19" s="37">
        <v>0</v>
      </c>
      <c r="P19" s="37"/>
      <c r="Q19" s="37"/>
      <c r="R19" s="37">
        <v>-307000</v>
      </c>
      <c r="S19" s="37"/>
      <c r="T19" s="38">
        <f t="shared" si="0"/>
        <v>267400</v>
      </c>
      <c r="U19" s="34"/>
    </row>
    <row r="20" spans="1:28">
      <c r="A20" s="35" t="s">
        <v>49</v>
      </c>
      <c r="B20" s="37">
        <v>227500</v>
      </c>
      <c r="C20" s="37">
        <v>62000</v>
      </c>
      <c r="D20" s="37">
        <v>97500</v>
      </c>
      <c r="E20" s="37">
        <v>11000</v>
      </c>
      <c r="F20" s="37">
        <v>92500</v>
      </c>
      <c r="G20" s="37">
        <v>0</v>
      </c>
      <c r="H20" s="37">
        <v>31000</v>
      </c>
      <c r="I20" s="37">
        <v>105500</v>
      </c>
      <c r="J20" s="37">
        <v>0</v>
      </c>
      <c r="K20" s="37">
        <v>0</v>
      </c>
      <c r="L20" s="37"/>
      <c r="M20" s="37"/>
      <c r="N20" s="37"/>
      <c r="O20" s="37">
        <v>0</v>
      </c>
      <c r="P20" s="37"/>
      <c r="Q20" s="37"/>
      <c r="R20" s="37">
        <v>25000</v>
      </c>
      <c r="S20" s="37"/>
      <c r="T20" s="38">
        <f t="shared" si="0"/>
        <v>652000</v>
      </c>
      <c r="U20" s="34"/>
    </row>
    <row r="21" spans="1:28">
      <c r="A21" s="35" t="s">
        <v>50</v>
      </c>
      <c r="B21" s="37">
        <v>117500</v>
      </c>
      <c r="C21" s="37">
        <v>40000</v>
      </c>
      <c r="D21" s="37">
        <v>96500</v>
      </c>
      <c r="E21" s="37">
        <v>12500</v>
      </c>
      <c r="F21" s="37">
        <v>92600</v>
      </c>
      <c r="G21" s="37">
        <v>0</v>
      </c>
      <c r="H21" s="37">
        <v>40000</v>
      </c>
      <c r="I21" s="37">
        <v>69000</v>
      </c>
      <c r="J21" s="37">
        <v>0</v>
      </c>
      <c r="K21" s="37">
        <v>0</v>
      </c>
      <c r="L21" s="37"/>
      <c r="M21" s="37"/>
      <c r="N21" s="37"/>
      <c r="O21" s="37">
        <v>12000</v>
      </c>
      <c r="P21" s="37"/>
      <c r="Q21" s="37"/>
      <c r="R21" s="37">
        <v>-183000</v>
      </c>
      <c r="S21" s="37"/>
      <c r="T21" s="38">
        <f t="shared" si="0"/>
        <v>297100</v>
      </c>
      <c r="U21" s="34"/>
    </row>
    <row r="22" spans="1:28">
      <c r="A22" s="35" t="s">
        <v>73</v>
      </c>
      <c r="B22" s="37">
        <v>247000</v>
      </c>
      <c r="C22" s="37">
        <v>231000</v>
      </c>
      <c r="D22" s="37">
        <v>109500</v>
      </c>
      <c r="E22" s="37">
        <v>17500</v>
      </c>
      <c r="F22" s="37">
        <v>118000</v>
      </c>
      <c r="G22" s="37">
        <v>0</v>
      </c>
      <c r="H22" s="37">
        <v>26000</v>
      </c>
      <c r="I22" s="37">
        <v>38000</v>
      </c>
      <c r="J22" s="37">
        <v>20000</v>
      </c>
      <c r="K22" s="37">
        <v>0</v>
      </c>
      <c r="L22" s="37"/>
      <c r="M22" s="37"/>
      <c r="N22" s="37"/>
      <c r="O22" s="37">
        <v>18000</v>
      </c>
      <c r="P22" s="37"/>
      <c r="Q22" s="37"/>
      <c r="R22" s="37">
        <v>-183000</v>
      </c>
      <c r="S22" s="37"/>
      <c r="T22" s="38">
        <f t="shared" si="0"/>
        <v>642000</v>
      </c>
      <c r="U22" s="34"/>
    </row>
    <row r="23" spans="1:28">
      <c r="A23" s="35" t="s">
        <v>52</v>
      </c>
      <c r="B23" s="37">
        <v>153000</v>
      </c>
      <c r="C23" s="37">
        <v>90000</v>
      </c>
      <c r="D23" s="37">
        <v>119000</v>
      </c>
      <c r="E23" s="37">
        <v>18000</v>
      </c>
      <c r="F23" s="37">
        <v>103000</v>
      </c>
      <c r="G23" s="37">
        <v>0</v>
      </c>
      <c r="H23" s="37">
        <v>30000</v>
      </c>
      <c r="I23" s="37">
        <v>22000</v>
      </c>
      <c r="J23" s="37">
        <v>0</v>
      </c>
      <c r="K23" s="37">
        <v>0</v>
      </c>
      <c r="L23" s="37"/>
      <c r="M23" s="37"/>
      <c r="N23" s="37"/>
      <c r="O23" s="37">
        <v>26000</v>
      </c>
      <c r="P23" s="37"/>
      <c r="Q23" s="37"/>
      <c r="R23" s="37">
        <v>555000</v>
      </c>
      <c r="S23" s="37"/>
      <c r="T23" s="38">
        <f t="shared" si="0"/>
        <v>1116000</v>
      </c>
      <c r="U23" s="34"/>
    </row>
    <row r="24" spans="1:28">
      <c r="A24" s="35" t="s">
        <v>53</v>
      </c>
      <c r="B24" s="37">
        <v>158000</v>
      </c>
      <c r="C24" s="37">
        <v>42000</v>
      </c>
      <c r="D24" s="37">
        <v>104500</v>
      </c>
      <c r="E24" s="37">
        <v>0</v>
      </c>
      <c r="F24" s="37">
        <v>106500</v>
      </c>
      <c r="G24" s="37">
        <v>12000</v>
      </c>
      <c r="H24" s="37">
        <v>81000</v>
      </c>
      <c r="I24" s="37">
        <v>61000</v>
      </c>
      <c r="J24" s="37">
        <v>6000</v>
      </c>
      <c r="K24" s="37">
        <v>0</v>
      </c>
      <c r="L24" s="37"/>
      <c r="M24" s="37"/>
      <c r="N24" s="37"/>
      <c r="O24" s="37">
        <v>28000</v>
      </c>
      <c r="P24" s="37"/>
      <c r="Q24" s="37"/>
      <c r="R24" s="37">
        <v>106000</v>
      </c>
      <c r="S24" s="37"/>
      <c r="T24" s="38">
        <f t="shared" si="0"/>
        <v>705000</v>
      </c>
      <c r="U24" s="34"/>
    </row>
    <row r="25" spans="1:28">
      <c r="A25" s="35" t="s">
        <v>54</v>
      </c>
      <c r="B25" s="37">
        <v>196000</v>
      </c>
      <c r="C25" s="37">
        <v>97000</v>
      </c>
      <c r="D25" s="37">
        <v>91500</v>
      </c>
      <c r="E25" s="37">
        <v>2000</v>
      </c>
      <c r="F25" s="37">
        <v>112000</v>
      </c>
      <c r="G25" s="37">
        <v>24000</v>
      </c>
      <c r="H25" s="37">
        <v>42000</v>
      </c>
      <c r="I25" s="37">
        <v>68000</v>
      </c>
      <c r="J25" s="37">
        <v>8000</v>
      </c>
      <c r="K25" s="37">
        <v>0</v>
      </c>
      <c r="L25" s="37"/>
      <c r="M25" s="37"/>
      <c r="N25" s="37"/>
      <c r="O25" s="37">
        <v>0</v>
      </c>
      <c r="P25" s="37"/>
      <c r="Q25" s="37"/>
      <c r="R25" s="37">
        <v>1034000</v>
      </c>
      <c r="S25" s="37"/>
      <c r="T25" s="38">
        <f t="shared" si="0"/>
        <v>1674500</v>
      </c>
      <c r="U25" s="34"/>
    </row>
    <row r="26" spans="1:28">
      <c r="A26" s="35" t="s">
        <v>55</v>
      </c>
      <c r="B26" s="37">
        <v>184000</v>
      </c>
      <c r="C26" s="37">
        <v>42000</v>
      </c>
      <c r="D26" s="37">
        <v>73000</v>
      </c>
      <c r="E26" s="37">
        <v>0</v>
      </c>
      <c r="F26" s="37">
        <v>131500</v>
      </c>
      <c r="G26" s="37">
        <v>0</v>
      </c>
      <c r="H26" s="37">
        <v>61000</v>
      </c>
      <c r="I26" s="37">
        <v>32000</v>
      </c>
      <c r="J26" s="37">
        <v>0</v>
      </c>
      <c r="K26" s="37">
        <v>0</v>
      </c>
      <c r="L26" s="37"/>
      <c r="M26" s="37"/>
      <c r="N26" s="37"/>
      <c r="O26" s="37">
        <v>21000</v>
      </c>
      <c r="P26" s="37"/>
      <c r="Q26" s="37"/>
      <c r="R26" s="37">
        <v>-110000</v>
      </c>
      <c r="S26" s="37"/>
      <c r="T26" s="38">
        <f t="shared" si="0"/>
        <v>434500</v>
      </c>
      <c r="U26" s="42">
        <v>3400000</v>
      </c>
      <c r="V26" t="s">
        <v>71</v>
      </c>
    </row>
    <row r="27" spans="1:28">
      <c r="A27" s="35" t="s">
        <v>56</v>
      </c>
      <c r="B27" s="37">
        <v>190000</v>
      </c>
      <c r="C27" s="37">
        <v>66000</v>
      </c>
      <c r="D27" s="37">
        <v>112000</v>
      </c>
      <c r="E27" s="37">
        <v>0</v>
      </c>
      <c r="F27" s="37">
        <v>97000</v>
      </c>
      <c r="G27" s="37">
        <v>0</v>
      </c>
      <c r="H27" s="37">
        <v>68000</v>
      </c>
      <c r="I27" s="37">
        <v>108000</v>
      </c>
      <c r="J27" s="37">
        <v>11000</v>
      </c>
      <c r="K27" s="37">
        <v>0</v>
      </c>
      <c r="L27" s="37"/>
      <c r="M27" s="37"/>
      <c r="N27" s="37"/>
      <c r="O27" s="37">
        <v>0</v>
      </c>
      <c r="P27" s="37"/>
      <c r="Q27" s="37"/>
      <c r="R27" s="37">
        <v>-2900000</v>
      </c>
      <c r="S27" s="37"/>
      <c r="T27" s="38">
        <f t="shared" si="0"/>
        <v>-2248000</v>
      </c>
      <c r="U27" s="34"/>
    </row>
    <row r="28" spans="1:28">
      <c r="A28" s="35" t="s">
        <v>57</v>
      </c>
      <c r="B28" s="37">
        <v>249000</v>
      </c>
      <c r="C28" s="37">
        <v>73000</v>
      </c>
      <c r="D28" s="37">
        <v>136500</v>
      </c>
      <c r="E28" s="37">
        <v>16500</v>
      </c>
      <c r="F28" s="37">
        <v>148000</v>
      </c>
      <c r="G28" s="37">
        <v>12000</v>
      </c>
      <c r="H28" s="37">
        <v>24000</v>
      </c>
      <c r="I28" s="37">
        <v>20500</v>
      </c>
      <c r="J28" s="37">
        <v>2000</v>
      </c>
      <c r="K28" s="37">
        <v>0</v>
      </c>
      <c r="L28" s="37"/>
      <c r="M28" s="37"/>
      <c r="N28" s="37"/>
      <c r="O28" s="37">
        <v>10000</v>
      </c>
      <c r="P28" s="37"/>
      <c r="Q28" s="37"/>
      <c r="R28" s="37">
        <v>35000</v>
      </c>
      <c r="S28" s="37"/>
      <c r="T28" s="38">
        <f t="shared" si="0"/>
        <v>726500</v>
      </c>
      <c r="U28" s="34"/>
    </row>
    <row r="29" spans="1:28">
      <c r="A29" s="35" t="s">
        <v>58</v>
      </c>
      <c r="B29" s="37">
        <v>225500</v>
      </c>
      <c r="C29" s="37">
        <v>103000</v>
      </c>
      <c r="D29" s="37">
        <v>138500</v>
      </c>
      <c r="E29" s="37">
        <v>7000</v>
      </c>
      <c r="F29" s="37">
        <v>187500</v>
      </c>
      <c r="G29" s="37">
        <v>0</v>
      </c>
      <c r="H29" s="37">
        <v>24000</v>
      </c>
      <c r="I29" s="37">
        <v>50000</v>
      </c>
      <c r="J29" s="37">
        <v>2000</v>
      </c>
      <c r="K29" s="37">
        <v>0</v>
      </c>
      <c r="L29" s="37"/>
      <c r="M29" s="37"/>
      <c r="N29" s="37"/>
      <c r="O29" s="37">
        <v>11000</v>
      </c>
      <c r="P29" s="37"/>
      <c r="Q29" s="37"/>
      <c r="R29" s="37">
        <v>374000</v>
      </c>
      <c r="S29" s="37"/>
      <c r="T29" s="38">
        <f t="shared" si="0"/>
        <v>1122500</v>
      </c>
      <c r="U29" s="34"/>
    </row>
    <row r="30" spans="1:28">
      <c r="A30" s="35" t="s">
        <v>59</v>
      </c>
      <c r="B30" s="37">
        <v>204500</v>
      </c>
      <c r="C30" s="37">
        <v>212000</v>
      </c>
      <c r="D30" s="37">
        <v>157000</v>
      </c>
      <c r="E30" s="37">
        <v>6000</v>
      </c>
      <c r="F30" s="37">
        <v>151500</v>
      </c>
      <c r="G30" s="37">
        <v>0</v>
      </c>
      <c r="H30" s="37">
        <v>119500</v>
      </c>
      <c r="I30" s="37">
        <v>120000</v>
      </c>
      <c r="J30" s="37">
        <v>0</v>
      </c>
      <c r="K30" s="37">
        <v>0</v>
      </c>
      <c r="L30" s="37"/>
      <c r="M30" s="37"/>
      <c r="N30" s="37"/>
      <c r="O30" s="37">
        <v>13000</v>
      </c>
      <c r="P30" s="37"/>
      <c r="Q30" s="37"/>
      <c r="R30" s="37">
        <v>1047400</v>
      </c>
      <c r="S30" s="37"/>
      <c r="T30" s="38">
        <f t="shared" si="0"/>
        <v>2030900</v>
      </c>
      <c r="U30" s="34"/>
    </row>
    <row r="31" spans="1:28">
      <c r="A31" s="35" t="s">
        <v>60</v>
      </c>
      <c r="B31" s="37">
        <v>207500</v>
      </c>
      <c r="C31" s="37">
        <v>106000</v>
      </c>
      <c r="D31" s="37">
        <v>95000</v>
      </c>
      <c r="E31" s="37">
        <v>28000</v>
      </c>
      <c r="F31" s="37">
        <v>90000</v>
      </c>
      <c r="G31" s="37">
        <v>12000</v>
      </c>
      <c r="H31" s="37">
        <v>63000</v>
      </c>
      <c r="I31" s="37">
        <v>52500</v>
      </c>
      <c r="J31" s="37">
        <v>0</v>
      </c>
      <c r="K31" s="37">
        <v>0</v>
      </c>
      <c r="L31" s="37"/>
      <c r="M31" s="37"/>
      <c r="N31" s="37"/>
      <c r="O31" s="37">
        <v>0</v>
      </c>
      <c r="P31" s="37"/>
      <c r="Q31" s="37"/>
      <c r="R31" s="37">
        <v>0</v>
      </c>
      <c r="S31" s="37"/>
      <c r="T31" s="38">
        <f t="shared" si="0"/>
        <v>654000</v>
      </c>
      <c r="U31" s="34"/>
    </row>
    <row r="32" spans="1:28">
      <c r="A32" s="35" t="s">
        <v>61</v>
      </c>
      <c r="B32" s="31">
        <v>158500</v>
      </c>
      <c r="C32" s="31">
        <v>45000</v>
      </c>
      <c r="D32" s="31">
        <v>126000</v>
      </c>
      <c r="E32" s="31">
        <v>17000</v>
      </c>
      <c r="F32" s="31">
        <v>124500</v>
      </c>
      <c r="G32" s="31">
        <v>24000</v>
      </c>
      <c r="H32" s="31">
        <v>49000</v>
      </c>
      <c r="I32" s="31">
        <v>18000</v>
      </c>
      <c r="J32" s="31">
        <v>0</v>
      </c>
      <c r="K32" s="31">
        <v>0</v>
      </c>
      <c r="L32" s="31"/>
      <c r="M32" s="31"/>
      <c r="N32" s="31"/>
      <c r="O32" s="31">
        <v>12000</v>
      </c>
      <c r="P32" s="31"/>
      <c r="Q32" s="31"/>
      <c r="R32" s="31">
        <v>0</v>
      </c>
      <c r="S32" s="31"/>
      <c r="T32" s="31">
        <f t="shared" si="0"/>
        <v>574000</v>
      </c>
      <c r="U32" s="39"/>
      <c r="V32" s="27"/>
      <c r="W32" s="27"/>
      <c r="X32" s="27"/>
      <c r="Y32" s="27"/>
      <c r="Z32" s="27"/>
      <c r="AA32" s="27"/>
      <c r="AB32" s="27"/>
    </row>
    <row r="33" spans="1:28">
      <c r="A33" s="35" t="s">
        <v>62</v>
      </c>
      <c r="B33" s="31">
        <v>143500</v>
      </c>
      <c r="C33" s="31">
        <v>67000</v>
      </c>
      <c r="D33" s="31">
        <v>85000</v>
      </c>
      <c r="E33" s="31">
        <v>0</v>
      </c>
      <c r="F33" s="31">
        <v>106500</v>
      </c>
      <c r="G33" s="31">
        <v>12000</v>
      </c>
      <c r="H33" s="31">
        <v>30000</v>
      </c>
      <c r="I33" s="31">
        <v>29500</v>
      </c>
      <c r="J33" s="31">
        <v>0</v>
      </c>
      <c r="K33" s="31">
        <v>0</v>
      </c>
      <c r="L33" s="31"/>
      <c r="M33" s="31"/>
      <c r="N33" s="31"/>
      <c r="O33" s="31"/>
      <c r="P33" s="31"/>
      <c r="Q33" s="31"/>
      <c r="R33" s="31">
        <v>100000</v>
      </c>
      <c r="S33" s="31"/>
      <c r="T33" s="31">
        <f t="shared" si="0"/>
        <v>573500</v>
      </c>
      <c r="U33" s="39"/>
      <c r="V33" s="27"/>
      <c r="W33" s="27"/>
      <c r="X33" s="27"/>
      <c r="Y33" s="27"/>
      <c r="Z33" s="27"/>
      <c r="AA33" s="27"/>
      <c r="AB33" s="27"/>
    </row>
    <row r="34" spans="1:28">
      <c r="A34" s="35" t="s">
        <v>63</v>
      </c>
      <c r="B34" s="31">
        <v>145000</v>
      </c>
      <c r="C34" s="31">
        <v>35000</v>
      </c>
      <c r="D34" s="31">
        <v>87500</v>
      </c>
      <c r="E34" s="31">
        <v>12000</v>
      </c>
      <c r="F34" s="31">
        <v>143000</v>
      </c>
      <c r="G34" s="31">
        <v>0</v>
      </c>
      <c r="H34" s="31">
        <v>63000</v>
      </c>
      <c r="I34" s="31">
        <v>22000</v>
      </c>
      <c r="J34" s="31">
        <v>15000</v>
      </c>
      <c r="K34" s="31">
        <v>0</v>
      </c>
      <c r="L34" s="31"/>
      <c r="M34" s="31"/>
      <c r="N34" s="31"/>
      <c r="O34" s="31">
        <v>6000</v>
      </c>
      <c r="P34" s="31"/>
      <c r="Q34" s="31"/>
      <c r="R34" s="31">
        <v>120000</v>
      </c>
      <c r="S34" s="31"/>
      <c r="T34" s="31">
        <f t="shared" si="0"/>
        <v>648500</v>
      </c>
      <c r="U34" s="39"/>
      <c r="V34" s="27"/>
      <c r="W34" s="27"/>
      <c r="X34" s="27"/>
      <c r="Y34" s="27"/>
      <c r="Z34" s="27"/>
      <c r="AA34" s="27"/>
      <c r="AB34" s="27"/>
    </row>
    <row r="35" spans="1:28">
      <c r="A35" s="35" t="s">
        <v>64</v>
      </c>
      <c r="B35" s="31">
        <v>184500</v>
      </c>
      <c r="C35" s="31">
        <v>67000</v>
      </c>
      <c r="D35" s="31">
        <v>63000</v>
      </c>
      <c r="E35" s="31">
        <v>4500</v>
      </c>
      <c r="F35" s="31">
        <v>137000</v>
      </c>
      <c r="G35" s="31">
        <v>0</v>
      </c>
      <c r="H35" s="31">
        <v>49000</v>
      </c>
      <c r="I35" s="31">
        <v>39500</v>
      </c>
      <c r="J35" s="31">
        <v>8000</v>
      </c>
      <c r="K35" s="31"/>
      <c r="L35" s="31"/>
      <c r="M35" s="31"/>
      <c r="N35" s="31"/>
      <c r="O35" s="31">
        <v>0</v>
      </c>
      <c r="P35" s="31"/>
      <c r="Q35" s="31"/>
      <c r="R35" s="31">
        <v>0</v>
      </c>
      <c r="S35" s="31"/>
      <c r="T35" s="31">
        <f t="shared" si="0"/>
        <v>552500</v>
      </c>
      <c r="U35" s="39"/>
      <c r="V35" s="27"/>
      <c r="W35" s="27"/>
      <c r="X35" s="27"/>
      <c r="Y35" s="27"/>
      <c r="Z35" s="27"/>
      <c r="AA35" s="27"/>
      <c r="AB35" s="27"/>
    </row>
    <row r="36" spans="1:28">
      <c r="A36" s="35"/>
      <c r="B36" s="31"/>
      <c r="C36" s="31"/>
      <c r="D36" s="31"/>
      <c r="E36" s="31"/>
      <c r="F36" s="31"/>
      <c r="G36" s="31"/>
      <c r="H36" s="31"/>
      <c r="I36" s="31"/>
      <c r="J36" s="31"/>
      <c r="K36" s="31">
        <v>0</v>
      </c>
      <c r="L36" s="31"/>
      <c r="M36" s="31"/>
      <c r="N36" s="31"/>
      <c r="O36" s="31"/>
      <c r="P36" s="31"/>
      <c r="Q36" s="31"/>
      <c r="R36" s="31"/>
      <c r="S36" s="31"/>
      <c r="T36" s="31">
        <f t="shared" si="0"/>
        <v>0</v>
      </c>
      <c r="U36" s="43">
        <v>1700000</v>
      </c>
      <c r="V36" s="27"/>
      <c r="W36" s="27"/>
      <c r="X36" s="27"/>
      <c r="Y36" s="27"/>
      <c r="Z36" s="27"/>
      <c r="AA36" s="27"/>
      <c r="AB36" s="27"/>
    </row>
    <row r="37" spans="1:28">
      <c r="A37" s="35"/>
      <c r="B37" s="31"/>
      <c r="C37" s="31"/>
      <c r="D37" s="31"/>
      <c r="E37" s="31"/>
      <c r="F37" s="31"/>
      <c r="G37" s="31"/>
      <c r="H37" s="31"/>
      <c r="I37" s="31"/>
      <c r="J37" s="31"/>
      <c r="K37" s="31"/>
      <c r="L37" s="31"/>
      <c r="M37" s="31"/>
      <c r="N37" s="31"/>
      <c r="O37" s="31"/>
      <c r="P37" s="31"/>
      <c r="Q37" s="31"/>
      <c r="R37" s="31"/>
      <c r="S37" s="31"/>
      <c r="T37" s="31">
        <f>SUM(B37:S37)</f>
        <v>0</v>
      </c>
      <c r="U37" s="39"/>
      <c r="V37" s="27"/>
      <c r="W37" s="27"/>
      <c r="X37" s="27"/>
      <c r="Y37" s="27"/>
      <c r="Z37" s="27"/>
      <c r="AA37" s="27"/>
      <c r="AB37" s="27"/>
    </row>
    <row r="38" spans="1:28">
      <c r="A38" s="40" t="s">
        <v>23</v>
      </c>
      <c r="B38" s="41">
        <f>SUM(B7:B37)</f>
        <v>5521500</v>
      </c>
      <c r="C38" s="41">
        <f t="shared" ref="C38:T38" si="1">SUM(C7:C37)</f>
        <v>2735000</v>
      </c>
      <c r="D38" s="41">
        <f t="shared" si="1"/>
        <v>2912000</v>
      </c>
      <c r="E38" s="41">
        <f t="shared" si="1"/>
        <v>288000</v>
      </c>
      <c r="F38" s="41">
        <f t="shared" si="1"/>
        <v>3377700</v>
      </c>
      <c r="G38" s="41">
        <f t="shared" si="1"/>
        <v>192000</v>
      </c>
      <c r="H38" s="41">
        <f t="shared" si="1"/>
        <v>1423000</v>
      </c>
      <c r="I38" s="41">
        <f t="shared" si="1"/>
        <v>1394000</v>
      </c>
      <c r="J38" s="41">
        <f t="shared" si="1"/>
        <v>171000</v>
      </c>
      <c r="K38" s="41">
        <f t="shared" si="1"/>
        <v>0</v>
      </c>
      <c r="L38" s="41">
        <f t="shared" si="1"/>
        <v>0</v>
      </c>
      <c r="M38" s="41">
        <f t="shared" si="1"/>
        <v>0</v>
      </c>
      <c r="N38" s="41">
        <f t="shared" si="1"/>
        <v>0</v>
      </c>
      <c r="O38" s="41">
        <f>SUM(O7:O37)</f>
        <v>227000</v>
      </c>
      <c r="P38" s="41">
        <f t="shared" si="1"/>
        <v>0</v>
      </c>
      <c r="Q38" s="41">
        <f t="shared" si="1"/>
        <v>0</v>
      </c>
      <c r="R38" s="41">
        <f t="shared" si="1"/>
        <v>934900</v>
      </c>
      <c r="S38" s="41">
        <f>SUM(S7:S37)</f>
        <v>0</v>
      </c>
      <c r="T38" s="41">
        <f t="shared" si="1"/>
        <v>19176100</v>
      </c>
      <c r="U38" s="34"/>
    </row>
    <row r="39" spans="1:28">
      <c r="A39" s="34"/>
      <c r="B39" s="34"/>
      <c r="C39" s="34"/>
      <c r="D39" s="34"/>
      <c r="E39" s="34"/>
      <c r="F39" s="34"/>
      <c r="G39" s="34"/>
      <c r="H39" s="34"/>
      <c r="I39" s="34"/>
      <c r="J39" s="34"/>
      <c r="K39" s="34"/>
      <c r="L39" s="34"/>
      <c r="M39" s="34"/>
      <c r="N39" s="34"/>
      <c r="O39" s="34"/>
      <c r="P39" s="34"/>
      <c r="Q39" s="34"/>
      <c r="R39" s="34"/>
      <c r="S39" s="34"/>
      <c r="T39" s="34"/>
      <c r="U39" s="34"/>
    </row>
  </sheetData>
  <mergeCells count="4">
    <mergeCell ref="B2:T2"/>
    <mergeCell ref="B3:T3"/>
    <mergeCell ref="C4:F4"/>
    <mergeCell ref="C5:F5"/>
  </mergeCells>
  <pageMargins left="0.7" right="0.7" top="0.75" bottom="0.75" header="0.3" footer="0.3"/>
  <pageSetup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H38"/>
  <sheetViews>
    <sheetView topLeftCell="A17" workbookViewId="0">
      <selection activeCell="F24" sqref="F24"/>
    </sheetView>
  </sheetViews>
  <sheetFormatPr defaultRowHeight="15"/>
  <cols>
    <col min="2" max="2" width="18.28515625" customWidth="1"/>
    <col min="3" max="3" width="13" customWidth="1"/>
    <col min="4" max="4" width="13.28515625" customWidth="1"/>
    <col min="5" max="5" width="14.140625" customWidth="1"/>
    <col min="6" max="6" width="12.140625" customWidth="1"/>
    <col min="7" max="7" width="11.85546875" customWidth="1"/>
    <col min="8" max="8" width="17.85546875" customWidth="1"/>
  </cols>
  <sheetData>
    <row r="2" spans="2:8" ht="15.75" thickBot="1"/>
    <row r="3" spans="2:8" ht="26.25">
      <c r="B3" s="82" t="s">
        <v>68</v>
      </c>
      <c r="C3" s="83"/>
      <c r="D3" s="83"/>
      <c r="E3" s="83"/>
      <c r="F3" s="83"/>
      <c r="G3" s="84"/>
      <c r="H3" s="85"/>
    </row>
    <row r="4" spans="2:8" ht="26.25">
      <c r="B4" s="86" t="s">
        <v>0</v>
      </c>
      <c r="C4" s="87"/>
      <c r="D4" s="87"/>
      <c r="E4" s="87"/>
      <c r="F4" s="87"/>
      <c r="G4" s="88"/>
      <c r="H4" s="89"/>
    </row>
    <row r="5" spans="2:8" ht="15.75" thickBot="1">
      <c r="B5" s="1"/>
      <c r="C5" s="2"/>
      <c r="D5" s="2"/>
      <c r="E5" s="2"/>
      <c r="F5" s="2"/>
      <c r="G5" s="2"/>
      <c r="H5" s="3"/>
    </row>
    <row r="6" spans="2:8" ht="15.75" thickBot="1">
      <c r="B6" s="4"/>
      <c r="H6" s="5"/>
    </row>
    <row r="7" spans="2:8" ht="16.5" thickBot="1">
      <c r="B7" s="6" t="s">
        <v>1</v>
      </c>
      <c r="C7" s="90" t="s">
        <v>69</v>
      </c>
      <c r="D7" s="71"/>
      <c r="E7" s="72"/>
      <c r="F7" s="7"/>
      <c r="G7" s="7"/>
      <c r="H7" s="8"/>
    </row>
    <row r="8" spans="2:8" ht="16.5" thickBot="1">
      <c r="B8" s="9"/>
      <c r="C8" s="10"/>
      <c r="D8" s="10"/>
      <c r="E8" s="10"/>
      <c r="F8" s="10"/>
      <c r="G8" s="10"/>
      <c r="H8" s="8"/>
    </row>
    <row r="9" spans="2:8" ht="16.5" thickBot="1">
      <c r="B9" s="6" t="s">
        <v>24</v>
      </c>
      <c r="C9" s="70" t="s">
        <v>81</v>
      </c>
      <c r="D9" s="71"/>
      <c r="E9" s="72"/>
      <c r="F9" s="11"/>
      <c r="G9" s="11"/>
      <c r="H9" s="12"/>
    </row>
    <row r="10" spans="2:8" ht="15.75">
      <c r="B10" s="13" t="s">
        <v>25</v>
      </c>
      <c r="C10" s="14" t="s">
        <v>26</v>
      </c>
      <c r="D10" s="14" t="s">
        <v>27</v>
      </c>
      <c r="E10" s="14" t="s">
        <v>28</v>
      </c>
      <c r="F10" s="14" t="s">
        <v>29</v>
      </c>
      <c r="G10" s="15" t="s">
        <v>30</v>
      </c>
      <c r="H10" s="16" t="s">
        <v>31</v>
      </c>
    </row>
    <row r="11" spans="2:8" ht="15.75">
      <c r="B11" s="17" t="s">
        <v>4</v>
      </c>
      <c r="C11" s="18">
        <v>1293500</v>
      </c>
      <c r="D11" s="18">
        <v>1464500</v>
      </c>
      <c r="E11" s="18">
        <v>1245500</v>
      </c>
      <c r="F11" s="18">
        <v>1518000</v>
      </c>
      <c r="G11" s="19"/>
      <c r="H11" s="20">
        <f t="shared" ref="H11:H19" si="0">SUM(C11:G11)</f>
        <v>5521500</v>
      </c>
    </row>
    <row r="12" spans="2:8" ht="15.75">
      <c r="B12" s="17" t="s">
        <v>5</v>
      </c>
      <c r="C12" s="18">
        <v>476000</v>
      </c>
      <c r="D12" s="18">
        <v>943000</v>
      </c>
      <c r="E12" s="18">
        <v>608000</v>
      </c>
      <c r="F12" s="18">
        <v>708000</v>
      </c>
      <c r="G12" s="19"/>
      <c r="H12" s="20">
        <f t="shared" si="0"/>
        <v>2735000</v>
      </c>
    </row>
    <row r="13" spans="2:8" ht="15.75">
      <c r="B13" s="17" t="s">
        <v>32</v>
      </c>
      <c r="C13" s="18">
        <v>633500</v>
      </c>
      <c r="D13" s="18">
        <v>684000</v>
      </c>
      <c r="E13" s="18">
        <v>706000</v>
      </c>
      <c r="F13" s="18">
        <v>888500</v>
      </c>
      <c r="G13" s="19"/>
      <c r="H13" s="20">
        <f t="shared" si="0"/>
        <v>2912000</v>
      </c>
    </row>
    <row r="14" spans="2:8" ht="15.75">
      <c r="B14" s="17" t="s">
        <v>33</v>
      </c>
      <c r="C14" s="18">
        <v>80000</v>
      </c>
      <c r="D14" s="18">
        <v>67000</v>
      </c>
      <c r="E14" s="18">
        <v>50000</v>
      </c>
      <c r="F14" s="18">
        <v>91000</v>
      </c>
      <c r="G14" s="19"/>
      <c r="H14" s="20">
        <f t="shared" si="0"/>
        <v>288000</v>
      </c>
    </row>
    <row r="15" spans="2:8" ht="15.75">
      <c r="B15" s="17" t="s">
        <v>8</v>
      </c>
      <c r="C15" s="18">
        <v>821400</v>
      </c>
      <c r="D15" s="18">
        <v>707700</v>
      </c>
      <c r="E15" s="18">
        <v>760600</v>
      </c>
      <c r="F15" s="18">
        <v>1088000</v>
      </c>
      <c r="G15" s="19"/>
      <c r="H15" s="20">
        <f t="shared" si="0"/>
        <v>3377700</v>
      </c>
    </row>
    <row r="16" spans="2:8" ht="15.75">
      <c r="B16" s="17" t="s">
        <v>9</v>
      </c>
      <c r="C16" s="18">
        <v>48000</v>
      </c>
      <c r="D16" s="18">
        <v>48000</v>
      </c>
      <c r="E16" s="18">
        <v>36000</v>
      </c>
      <c r="F16" s="18">
        <v>60000</v>
      </c>
      <c r="G16" s="19"/>
      <c r="H16" s="20">
        <f t="shared" si="0"/>
        <v>192000</v>
      </c>
    </row>
    <row r="17" spans="2:8" ht="15.75">
      <c r="B17" s="17" t="s">
        <v>10</v>
      </c>
      <c r="C17" s="18">
        <v>338000</v>
      </c>
      <c r="D17" s="18">
        <v>315500</v>
      </c>
      <c r="E17" s="18">
        <v>348000</v>
      </c>
      <c r="F17" s="18">
        <v>421500</v>
      </c>
      <c r="G17" s="19"/>
      <c r="H17" s="20">
        <f t="shared" si="0"/>
        <v>1423000</v>
      </c>
    </row>
    <row r="18" spans="2:8" ht="15.75">
      <c r="B18" s="17" t="s">
        <v>11</v>
      </c>
      <c r="C18" s="18">
        <v>257000</v>
      </c>
      <c r="D18" s="18">
        <v>387000</v>
      </c>
      <c r="E18" s="18">
        <v>398000</v>
      </c>
      <c r="F18" s="18">
        <v>352000</v>
      </c>
      <c r="G18" s="19"/>
      <c r="H18" s="20">
        <f t="shared" si="0"/>
        <v>1394000</v>
      </c>
    </row>
    <row r="19" spans="2:8" ht="15.75">
      <c r="B19" s="17" t="s">
        <v>12</v>
      </c>
      <c r="C19" s="18">
        <v>73500</v>
      </c>
      <c r="D19" s="18">
        <v>25500</v>
      </c>
      <c r="E19" s="18">
        <v>45000</v>
      </c>
      <c r="F19" s="18">
        <v>27000</v>
      </c>
      <c r="G19" s="19"/>
      <c r="H19" s="20">
        <f t="shared" si="0"/>
        <v>171000</v>
      </c>
    </row>
    <row r="20" spans="2:8" ht="15.75">
      <c r="B20" s="17" t="s">
        <v>13</v>
      </c>
      <c r="C20" s="18"/>
      <c r="D20" s="18"/>
      <c r="E20" s="18"/>
      <c r="F20" s="18"/>
      <c r="G20" s="19"/>
      <c r="H20" s="20">
        <f t="shared" ref="H20:H27" si="1">SUM(C20:F20)</f>
        <v>0</v>
      </c>
    </row>
    <row r="21" spans="2:8" ht="15.75">
      <c r="B21" s="17" t="s">
        <v>14</v>
      </c>
      <c r="C21" s="18"/>
      <c r="D21" s="18"/>
      <c r="E21" s="18"/>
      <c r="F21" s="18"/>
      <c r="G21" s="19"/>
      <c r="H21" s="20">
        <f t="shared" si="1"/>
        <v>0</v>
      </c>
    </row>
    <row r="22" spans="2:8" ht="15.75">
      <c r="B22" s="17" t="s">
        <v>15</v>
      </c>
      <c r="C22" s="18"/>
      <c r="D22" s="18"/>
      <c r="E22" s="18"/>
      <c r="F22" s="18"/>
      <c r="G22" s="19"/>
      <c r="H22" s="20">
        <f t="shared" si="1"/>
        <v>0</v>
      </c>
    </row>
    <row r="23" spans="2:8" ht="15.75">
      <c r="B23" s="17" t="s">
        <v>16</v>
      </c>
      <c r="C23" s="18"/>
      <c r="D23" s="18"/>
      <c r="E23" s="18"/>
      <c r="F23" s="18"/>
      <c r="G23" s="19"/>
      <c r="H23" s="20">
        <f t="shared" si="1"/>
        <v>0</v>
      </c>
    </row>
    <row r="24" spans="2:8" ht="15.75">
      <c r="B24" s="17" t="s">
        <v>17</v>
      </c>
      <c r="C24" s="18">
        <v>50000</v>
      </c>
      <c r="D24" s="18">
        <v>20000</v>
      </c>
      <c r="E24" s="18">
        <v>105000</v>
      </c>
      <c r="F24" s="18">
        <v>46000</v>
      </c>
      <c r="G24" s="19"/>
      <c r="H24" s="20">
        <f>SUM(C24:G24)</f>
        <v>221000</v>
      </c>
    </row>
    <row r="25" spans="2:8" ht="15.75">
      <c r="B25" s="17" t="s">
        <v>18</v>
      </c>
      <c r="C25" s="18"/>
      <c r="D25" s="18"/>
      <c r="E25" s="18"/>
      <c r="F25" s="18"/>
      <c r="G25" s="19"/>
      <c r="H25" s="20">
        <f t="shared" si="1"/>
        <v>0</v>
      </c>
    </row>
    <row r="26" spans="2:8" ht="15.75">
      <c r="B26" s="17" t="s">
        <v>19</v>
      </c>
      <c r="C26" s="18"/>
      <c r="D26" s="18"/>
      <c r="E26" s="18"/>
      <c r="F26" s="18"/>
      <c r="G26" s="19"/>
      <c r="H26" s="20">
        <f t="shared" si="1"/>
        <v>0</v>
      </c>
    </row>
    <row r="27" spans="2:8" ht="15.75">
      <c r="B27" s="17" t="s">
        <v>34</v>
      </c>
      <c r="C27" s="18"/>
      <c r="D27" s="18"/>
      <c r="E27" s="18"/>
      <c r="F27" s="18"/>
      <c r="G27" s="19"/>
      <c r="H27" s="20">
        <f t="shared" si="1"/>
        <v>0</v>
      </c>
    </row>
    <row r="28" spans="2:8" ht="16.5" thickBot="1">
      <c r="B28" s="21" t="s">
        <v>35</v>
      </c>
      <c r="C28" s="22">
        <f t="shared" ref="C28:H28" si="2">SUM(C11:C27)</f>
        <v>4070900</v>
      </c>
      <c r="D28" s="22">
        <f t="shared" si="2"/>
        <v>4662200</v>
      </c>
      <c r="E28" s="22">
        <f t="shared" si="2"/>
        <v>4302100</v>
      </c>
      <c r="F28" s="22">
        <f t="shared" si="2"/>
        <v>5200000</v>
      </c>
      <c r="G28" s="22">
        <f t="shared" si="2"/>
        <v>0</v>
      </c>
      <c r="H28" s="23">
        <f t="shared" si="2"/>
        <v>18235200</v>
      </c>
    </row>
    <row r="30" spans="2:8" ht="15.75" thickBot="1"/>
    <row r="31" spans="2:8" ht="21.75" thickBot="1">
      <c r="B31" s="73" t="s">
        <v>36</v>
      </c>
      <c r="C31" s="74"/>
      <c r="D31" s="74"/>
      <c r="E31" s="74"/>
      <c r="F31" s="74"/>
      <c r="G31" s="74"/>
      <c r="H31" s="75"/>
    </row>
    <row r="32" spans="2:8" ht="15.75" thickBot="1">
      <c r="B32" s="92" t="s">
        <v>79</v>
      </c>
      <c r="C32" s="68"/>
      <c r="D32" s="68"/>
      <c r="E32" s="68"/>
      <c r="F32" s="68"/>
      <c r="G32" s="68"/>
      <c r="H32" s="69"/>
    </row>
    <row r="33" spans="2:8" ht="60.75" thickBot="1">
      <c r="B33" s="44" t="s">
        <v>82</v>
      </c>
      <c r="C33" s="25"/>
      <c r="D33" s="25"/>
      <c r="E33" s="25"/>
      <c r="F33" s="25"/>
      <c r="G33" s="25"/>
      <c r="H33" s="26"/>
    </row>
    <row r="34" spans="2:8" ht="15.75" thickBot="1">
      <c r="B34" s="67"/>
      <c r="C34" s="68"/>
      <c r="D34" s="68"/>
      <c r="E34" s="68"/>
      <c r="F34" s="68"/>
      <c r="G34" s="68"/>
      <c r="H34" s="69"/>
    </row>
    <row r="35" spans="2:8" ht="15.75" thickBot="1">
      <c r="B35" s="67"/>
      <c r="C35" s="68"/>
      <c r="D35" s="68"/>
      <c r="E35" s="68"/>
      <c r="F35" s="68"/>
      <c r="G35" s="68"/>
      <c r="H35" s="69"/>
    </row>
    <row r="36" spans="2:8" ht="15.75" thickBot="1">
      <c r="B36" s="67"/>
      <c r="C36" s="68"/>
      <c r="D36" s="68"/>
      <c r="E36" s="68"/>
      <c r="F36" s="68"/>
      <c r="G36" s="68"/>
      <c r="H36" s="69"/>
    </row>
    <row r="37" spans="2:8" ht="15.75" thickBot="1">
      <c r="B37" s="67"/>
      <c r="C37" s="68"/>
      <c r="D37" s="68"/>
      <c r="E37" s="68"/>
      <c r="F37" s="68"/>
      <c r="G37" s="68"/>
      <c r="H37" s="69"/>
    </row>
    <row r="38" spans="2:8">
      <c r="B38" s="81"/>
      <c r="C38" s="81"/>
      <c r="D38" s="81"/>
      <c r="E38" s="81"/>
      <c r="F38" s="81"/>
      <c r="G38" s="81"/>
      <c r="H38" s="81"/>
    </row>
  </sheetData>
  <mergeCells count="11">
    <mergeCell ref="B34:H34"/>
    <mergeCell ref="B35:H35"/>
    <mergeCell ref="B36:H36"/>
    <mergeCell ref="B37:H37"/>
    <mergeCell ref="B38:H38"/>
    <mergeCell ref="B32:H32"/>
    <mergeCell ref="B3:H3"/>
    <mergeCell ref="B4:H4"/>
    <mergeCell ref="C7:E7"/>
    <mergeCell ref="C9:E9"/>
    <mergeCell ref="B31:H31"/>
  </mergeCells>
  <pageMargins left="0.7" right="0.7" top="0.75" bottom="0.75" header="0.3" footer="0.3"/>
  <pageSetup orientation="landscape" horizontalDpi="0"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B39"/>
  <sheetViews>
    <sheetView topLeftCell="A15" workbookViewId="0">
      <selection activeCell="T7" sqref="T7:T37"/>
    </sheetView>
  </sheetViews>
  <sheetFormatPr defaultRowHeight="15"/>
  <cols>
    <col min="1" max="1" width="12.28515625" customWidth="1"/>
    <col min="2" max="2" width="11.7109375" customWidth="1"/>
    <col min="3" max="3" width="10.42578125" customWidth="1"/>
    <col min="4" max="4" width="10.7109375" customWidth="1"/>
    <col min="5" max="5" width="13.140625" customWidth="1"/>
    <col min="6" max="6" width="12.42578125" customWidth="1"/>
    <col min="7" max="7" width="8.5703125" customWidth="1"/>
    <col min="8" max="8" width="12" customWidth="1"/>
    <col min="9" max="9" width="11.140625" customWidth="1"/>
    <col min="11" max="11" width="5.5703125" customWidth="1"/>
    <col min="12" max="12" width="5" customWidth="1"/>
    <col min="13" max="13" width="5.7109375" customWidth="1"/>
    <col min="14" max="14" width="5" customWidth="1"/>
    <col min="15" max="15" width="9.85546875" customWidth="1"/>
    <col min="16" max="16" width="5.5703125" customWidth="1"/>
    <col min="17" max="17" width="4.5703125" customWidth="1"/>
    <col min="18" max="18" width="13.140625" customWidth="1"/>
    <col min="19" max="19" width="6.85546875" customWidth="1"/>
    <col min="20" max="20" width="11.85546875" customWidth="1"/>
  </cols>
  <sheetData>
    <row r="1" spans="1:21" ht="15.75" thickBot="1"/>
    <row r="2" spans="1:21" ht="26.25" customHeight="1">
      <c r="A2" s="28"/>
      <c r="B2" s="55" t="s">
        <v>68</v>
      </c>
      <c r="C2" s="56"/>
      <c r="D2" s="56"/>
      <c r="E2" s="56"/>
      <c r="F2" s="56"/>
      <c r="G2" s="56"/>
      <c r="H2" s="56"/>
      <c r="I2" s="56"/>
      <c r="J2" s="56"/>
      <c r="K2" s="56"/>
      <c r="L2" s="56"/>
      <c r="M2" s="56"/>
      <c r="N2" s="56"/>
      <c r="O2" s="56"/>
      <c r="P2" s="56"/>
      <c r="Q2" s="56"/>
      <c r="R2" s="56"/>
      <c r="S2" s="56"/>
      <c r="T2" s="57"/>
    </row>
    <row r="3" spans="1:21" ht="27" thickBot="1">
      <c r="A3" s="4"/>
      <c r="B3" s="58" t="s">
        <v>0</v>
      </c>
      <c r="C3" s="59"/>
      <c r="D3" s="59"/>
      <c r="E3" s="59"/>
      <c r="F3" s="59"/>
      <c r="G3" s="59"/>
      <c r="H3" s="59"/>
      <c r="I3" s="59"/>
      <c r="J3" s="59"/>
      <c r="K3" s="59"/>
      <c r="L3" s="59"/>
      <c r="M3" s="59"/>
      <c r="N3" s="59"/>
      <c r="O3" s="59"/>
      <c r="P3" s="59"/>
      <c r="Q3" s="59"/>
      <c r="R3" s="59"/>
      <c r="S3" s="59"/>
      <c r="T3" s="60"/>
    </row>
    <row r="4" spans="1:21" ht="27" customHeight="1" thickBot="1">
      <c r="A4" s="4"/>
      <c r="B4" s="29" t="s">
        <v>1</v>
      </c>
      <c r="C4" s="61" t="s">
        <v>69</v>
      </c>
      <c r="D4" s="62"/>
      <c r="E4" s="62"/>
      <c r="F4" s="63"/>
      <c r="T4" s="5"/>
    </row>
    <row r="5" spans="1:21" ht="21">
      <c r="A5" s="4"/>
      <c r="B5" s="30" t="s">
        <v>2</v>
      </c>
      <c r="C5" s="78">
        <v>45352</v>
      </c>
      <c r="D5" s="79"/>
      <c r="E5" s="79"/>
      <c r="F5" s="80"/>
      <c r="T5" s="5"/>
    </row>
    <row r="6" spans="1:21" ht="101.25">
      <c r="A6" s="32" t="s">
        <v>3</v>
      </c>
      <c r="B6" s="33" t="s">
        <v>4</v>
      </c>
      <c r="C6" s="33" t="s">
        <v>5</v>
      </c>
      <c r="D6" s="33" t="s">
        <v>6</v>
      </c>
      <c r="E6" s="33" t="s">
        <v>7</v>
      </c>
      <c r="F6" s="33" t="s">
        <v>8</v>
      </c>
      <c r="G6" s="33" t="s">
        <v>9</v>
      </c>
      <c r="H6" s="33" t="s">
        <v>10</v>
      </c>
      <c r="I6" s="33" t="s">
        <v>11</v>
      </c>
      <c r="J6" s="33" t="s">
        <v>12</v>
      </c>
      <c r="K6" s="33" t="s">
        <v>13</v>
      </c>
      <c r="L6" s="33" t="s">
        <v>14</v>
      </c>
      <c r="M6" s="33" t="s">
        <v>15</v>
      </c>
      <c r="N6" s="33" t="s">
        <v>16</v>
      </c>
      <c r="O6" s="33" t="s">
        <v>17</v>
      </c>
      <c r="P6" s="33" t="s">
        <v>18</v>
      </c>
      <c r="Q6" s="33" t="s">
        <v>19</v>
      </c>
      <c r="R6" s="33" t="s">
        <v>20</v>
      </c>
      <c r="S6" s="33" t="s">
        <v>21</v>
      </c>
      <c r="T6" s="33" t="s">
        <v>22</v>
      </c>
      <c r="U6" s="34"/>
    </row>
    <row r="7" spans="1:21">
      <c r="A7" s="35" t="s">
        <v>67</v>
      </c>
      <c r="B7" s="36">
        <v>172000</v>
      </c>
      <c r="C7" s="36">
        <v>69000</v>
      </c>
      <c r="D7" s="36">
        <v>98000</v>
      </c>
      <c r="E7" s="36">
        <v>51000</v>
      </c>
      <c r="F7" s="36">
        <v>166000</v>
      </c>
      <c r="G7" s="36">
        <v>0</v>
      </c>
      <c r="H7" s="36">
        <v>84000</v>
      </c>
      <c r="I7" s="36">
        <v>40000</v>
      </c>
      <c r="J7" s="36">
        <v>46000</v>
      </c>
      <c r="K7" s="36">
        <v>0</v>
      </c>
      <c r="L7" s="36"/>
      <c r="M7" s="36"/>
      <c r="N7" s="36"/>
      <c r="O7" s="36">
        <v>0</v>
      </c>
      <c r="P7" s="36"/>
      <c r="Q7" s="36"/>
      <c r="R7" s="36">
        <v>-184000</v>
      </c>
      <c r="S7" s="37"/>
      <c r="T7" s="38">
        <f t="shared" ref="T7:T36" si="0">SUM(B7:S7)</f>
        <v>542000</v>
      </c>
      <c r="U7" s="45">
        <f>SUM(T7)</f>
        <v>542000</v>
      </c>
    </row>
    <row r="8" spans="1:21">
      <c r="A8" s="35" t="s">
        <v>37</v>
      </c>
      <c r="B8" s="36">
        <v>133000</v>
      </c>
      <c r="C8" s="36">
        <v>140000</v>
      </c>
      <c r="D8" s="36">
        <v>114000</v>
      </c>
      <c r="E8" s="36">
        <v>30500</v>
      </c>
      <c r="F8" s="36">
        <v>119000</v>
      </c>
      <c r="G8" s="36">
        <v>0</v>
      </c>
      <c r="H8" s="36">
        <v>79000</v>
      </c>
      <c r="I8" s="36">
        <v>118500</v>
      </c>
      <c r="J8" s="36">
        <v>25000</v>
      </c>
      <c r="K8" s="36">
        <v>0</v>
      </c>
      <c r="L8" s="36"/>
      <c r="M8" s="36"/>
      <c r="N8" s="36"/>
      <c r="O8" s="36">
        <v>13000</v>
      </c>
      <c r="P8" s="36"/>
      <c r="Q8" s="36"/>
      <c r="R8" s="36">
        <v>0</v>
      </c>
      <c r="S8" s="37"/>
      <c r="T8" s="38">
        <f t="shared" si="0"/>
        <v>772000</v>
      </c>
      <c r="U8" s="45">
        <f>SUM(T8)</f>
        <v>772000</v>
      </c>
    </row>
    <row r="9" spans="1:21">
      <c r="A9" s="35" t="s">
        <v>38</v>
      </c>
      <c r="B9" s="36">
        <v>145500</v>
      </c>
      <c r="C9" s="36">
        <v>108000</v>
      </c>
      <c r="D9" s="36">
        <v>92000</v>
      </c>
      <c r="E9" s="36">
        <v>27000</v>
      </c>
      <c r="F9" s="36">
        <v>92500</v>
      </c>
      <c r="G9" s="36">
        <v>0</v>
      </c>
      <c r="H9" s="36">
        <v>49000</v>
      </c>
      <c r="I9" s="36">
        <v>32000</v>
      </c>
      <c r="J9" s="36">
        <v>6000</v>
      </c>
      <c r="K9" s="36">
        <v>0</v>
      </c>
      <c r="L9" s="36"/>
      <c r="M9" s="36"/>
      <c r="N9" s="36"/>
      <c r="O9" s="36">
        <v>0</v>
      </c>
      <c r="P9" s="36"/>
      <c r="Q9" s="36"/>
      <c r="R9" s="36">
        <v>0</v>
      </c>
      <c r="S9" s="37"/>
      <c r="T9" s="38">
        <f t="shared" si="0"/>
        <v>552000</v>
      </c>
      <c r="U9" s="45">
        <f>SUM(T9)</f>
        <v>552000</v>
      </c>
    </row>
    <row r="10" spans="1:21">
      <c r="A10" s="35" t="s">
        <v>39</v>
      </c>
      <c r="B10" s="36">
        <f t="shared" ref="B10:K10" si="1">SUM(B7:B9)</f>
        <v>450500</v>
      </c>
      <c r="C10" s="36">
        <f t="shared" si="1"/>
        <v>317000</v>
      </c>
      <c r="D10" s="36">
        <f t="shared" si="1"/>
        <v>304000</v>
      </c>
      <c r="E10" s="36">
        <f t="shared" si="1"/>
        <v>108500</v>
      </c>
      <c r="F10" s="36">
        <f t="shared" si="1"/>
        <v>377500</v>
      </c>
      <c r="G10" s="36">
        <f t="shared" si="1"/>
        <v>0</v>
      </c>
      <c r="H10" s="36">
        <f t="shared" si="1"/>
        <v>212000</v>
      </c>
      <c r="I10" s="36">
        <f t="shared" si="1"/>
        <v>190500</v>
      </c>
      <c r="J10" s="36">
        <f t="shared" si="1"/>
        <v>77000</v>
      </c>
      <c r="K10" s="36">
        <f t="shared" si="1"/>
        <v>0</v>
      </c>
      <c r="L10" s="36"/>
      <c r="M10" s="36"/>
      <c r="N10" s="36"/>
      <c r="O10" s="36">
        <f>SUM(O7:O9)</f>
        <v>13000</v>
      </c>
      <c r="P10" s="36"/>
      <c r="Q10" s="36"/>
      <c r="R10" s="36">
        <f>SUM(R7:R9)</f>
        <v>-184000</v>
      </c>
      <c r="S10" s="37"/>
      <c r="T10" s="38">
        <f>SUM(T7:T9)</f>
        <v>1866000</v>
      </c>
      <c r="U10" s="42">
        <f>SUM(T10)</f>
        <v>1866000</v>
      </c>
    </row>
    <row r="11" spans="1:21">
      <c r="A11" s="35" t="s">
        <v>40</v>
      </c>
      <c r="B11" s="37">
        <v>167000</v>
      </c>
      <c r="C11" s="37">
        <v>44000</v>
      </c>
      <c r="D11" s="37">
        <v>96500</v>
      </c>
      <c r="E11" s="37">
        <v>0</v>
      </c>
      <c r="F11" s="37">
        <v>115000</v>
      </c>
      <c r="G11" s="37">
        <v>0</v>
      </c>
      <c r="H11" s="37">
        <v>25000</v>
      </c>
      <c r="I11" s="37">
        <v>68500</v>
      </c>
      <c r="J11" s="37">
        <v>4000</v>
      </c>
      <c r="K11" s="37">
        <v>0</v>
      </c>
      <c r="L11" s="37"/>
      <c r="M11" s="37"/>
      <c r="N11" s="37"/>
      <c r="O11" s="37">
        <v>18000</v>
      </c>
      <c r="P11" s="37"/>
      <c r="Q11" s="37"/>
      <c r="R11" s="37">
        <v>882000</v>
      </c>
      <c r="S11" s="37"/>
      <c r="T11" s="37">
        <f t="shared" si="0"/>
        <v>1420000</v>
      </c>
      <c r="U11" s="42"/>
    </row>
    <row r="12" spans="1:21">
      <c r="A12" s="35" t="s">
        <v>41</v>
      </c>
      <c r="B12" s="37">
        <v>131000</v>
      </c>
      <c r="C12" s="37">
        <v>315000</v>
      </c>
      <c r="D12" s="37">
        <v>35000</v>
      </c>
      <c r="E12" s="37">
        <v>0</v>
      </c>
      <c r="F12" s="37">
        <v>90000</v>
      </c>
      <c r="G12" s="37">
        <v>0</v>
      </c>
      <c r="H12" s="37">
        <v>24000</v>
      </c>
      <c r="I12" s="37">
        <v>23000</v>
      </c>
      <c r="J12" s="37">
        <v>0</v>
      </c>
      <c r="K12" s="37">
        <v>0</v>
      </c>
      <c r="L12" s="37"/>
      <c r="M12" s="37"/>
      <c r="N12" s="37"/>
      <c r="O12" s="37">
        <v>0</v>
      </c>
      <c r="P12" s="37"/>
      <c r="Q12" s="37"/>
      <c r="R12" s="37">
        <v>-115000</v>
      </c>
      <c r="S12" s="37"/>
      <c r="T12" s="37">
        <f t="shared" si="0"/>
        <v>503000</v>
      </c>
      <c r="U12" s="42"/>
    </row>
    <row r="13" spans="1:21">
      <c r="A13" s="35" t="s">
        <v>42</v>
      </c>
      <c r="B13" s="37">
        <v>195500</v>
      </c>
      <c r="C13" s="37">
        <v>41000</v>
      </c>
      <c r="D13" s="37">
        <v>113500</v>
      </c>
      <c r="E13" s="37">
        <v>0</v>
      </c>
      <c r="F13" s="37">
        <v>98200</v>
      </c>
      <c r="G13" s="37">
        <v>0</v>
      </c>
      <c r="H13" s="37">
        <v>23000</v>
      </c>
      <c r="I13" s="37">
        <v>51000</v>
      </c>
      <c r="J13" s="37">
        <v>28000</v>
      </c>
      <c r="K13" s="37">
        <v>0</v>
      </c>
      <c r="L13" s="37"/>
      <c r="M13" s="37"/>
      <c r="N13" s="37"/>
      <c r="O13" s="37">
        <v>15000</v>
      </c>
      <c r="P13" s="37"/>
      <c r="Q13" s="37"/>
      <c r="R13" s="37">
        <v>102000</v>
      </c>
      <c r="S13" s="37"/>
      <c r="T13" s="37">
        <f t="shared" si="0"/>
        <v>667200</v>
      </c>
      <c r="U13" s="42"/>
    </row>
    <row r="14" spans="1:21">
      <c r="A14" s="35" t="s">
        <v>43</v>
      </c>
      <c r="B14" s="37">
        <v>159000</v>
      </c>
      <c r="C14" s="37">
        <v>491000</v>
      </c>
      <c r="D14" s="37">
        <v>116000</v>
      </c>
      <c r="E14" s="37">
        <v>23000</v>
      </c>
      <c r="F14" s="37">
        <v>70000</v>
      </c>
      <c r="G14" s="37">
        <v>12000</v>
      </c>
      <c r="H14" s="37">
        <v>57000</v>
      </c>
      <c r="I14" s="37">
        <v>129500</v>
      </c>
      <c r="J14" s="37">
        <v>4000</v>
      </c>
      <c r="K14" s="37">
        <v>0</v>
      </c>
      <c r="L14" s="37"/>
      <c r="M14" s="37"/>
      <c r="N14" s="37"/>
      <c r="O14" s="37">
        <v>10000</v>
      </c>
      <c r="P14" s="37"/>
      <c r="Q14" s="37"/>
      <c r="R14" s="37">
        <v>-93000</v>
      </c>
      <c r="S14" s="37"/>
      <c r="T14" s="37">
        <f t="shared" si="0"/>
        <v>978500</v>
      </c>
      <c r="U14" s="42"/>
    </row>
    <row r="15" spans="1:21">
      <c r="A15" s="35" t="s">
        <v>44</v>
      </c>
      <c r="B15" s="37">
        <v>227000</v>
      </c>
      <c r="C15" s="37">
        <v>106000</v>
      </c>
      <c r="D15" s="37">
        <v>105000</v>
      </c>
      <c r="E15" s="37">
        <v>8500</v>
      </c>
      <c r="F15" s="37">
        <v>85000</v>
      </c>
      <c r="G15" s="37">
        <v>12000</v>
      </c>
      <c r="H15" s="37">
        <v>47500</v>
      </c>
      <c r="I15" s="37">
        <v>75000</v>
      </c>
      <c r="J15" s="37">
        <v>2000</v>
      </c>
      <c r="K15" s="37">
        <v>0</v>
      </c>
      <c r="L15" s="37"/>
      <c r="M15" s="37"/>
      <c r="N15" s="37"/>
      <c r="O15" s="37">
        <v>19000</v>
      </c>
      <c r="P15" s="37"/>
      <c r="Q15" s="37"/>
      <c r="R15" s="37">
        <v>0</v>
      </c>
      <c r="S15" s="37"/>
      <c r="T15" s="37">
        <f t="shared" si="0"/>
        <v>687000</v>
      </c>
      <c r="U15" s="34"/>
    </row>
    <row r="16" spans="1:21">
      <c r="A16" s="35" t="s">
        <v>45</v>
      </c>
      <c r="B16" s="37">
        <v>354000</v>
      </c>
      <c r="C16" s="37">
        <v>445000</v>
      </c>
      <c r="D16" s="37">
        <v>252500</v>
      </c>
      <c r="E16" s="37">
        <v>12500</v>
      </c>
      <c r="F16" s="37">
        <v>273400</v>
      </c>
      <c r="G16" s="37">
        <v>12000</v>
      </c>
      <c r="H16" s="37">
        <v>167000</v>
      </c>
      <c r="I16" s="37">
        <v>51000</v>
      </c>
      <c r="J16" s="37">
        <v>7000</v>
      </c>
      <c r="K16" s="37">
        <v>0</v>
      </c>
      <c r="L16" s="37"/>
      <c r="M16" s="37"/>
      <c r="N16" s="37"/>
      <c r="O16" s="37">
        <v>5000</v>
      </c>
      <c r="P16" s="37"/>
      <c r="Q16" s="37"/>
      <c r="R16" s="37">
        <v>0</v>
      </c>
      <c r="S16" s="37"/>
      <c r="T16" s="37">
        <f t="shared" si="0"/>
        <v>1579400</v>
      </c>
      <c r="U16" s="34"/>
    </row>
    <row r="17" spans="1:28">
      <c r="A17" s="35" t="s">
        <v>46</v>
      </c>
      <c r="B17" s="37">
        <v>195500</v>
      </c>
      <c r="C17" s="37">
        <v>128000</v>
      </c>
      <c r="D17" s="37">
        <v>131000</v>
      </c>
      <c r="E17" s="37">
        <v>7000</v>
      </c>
      <c r="F17" s="37">
        <v>118000</v>
      </c>
      <c r="G17" s="37">
        <v>12000</v>
      </c>
      <c r="H17" s="37">
        <v>76500</v>
      </c>
      <c r="I17" s="37">
        <v>0</v>
      </c>
      <c r="J17" s="37">
        <v>2000</v>
      </c>
      <c r="K17" s="37">
        <v>0</v>
      </c>
      <c r="L17" s="37"/>
      <c r="M17" s="37"/>
      <c r="N17" s="37"/>
      <c r="O17" s="37">
        <v>0</v>
      </c>
      <c r="P17" s="37"/>
      <c r="Q17" s="37"/>
      <c r="R17" s="37">
        <v>734000</v>
      </c>
      <c r="S17" s="37"/>
      <c r="T17" s="37">
        <f t="shared" si="0"/>
        <v>1404000</v>
      </c>
      <c r="U17" s="34"/>
    </row>
    <row r="18" spans="1:28">
      <c r="A18" s="35" t="s">
        <v>47</v>
      </c>
      <c r="B18" s="37">
        <v>153000</v>
      </c>
      <c r="C18" s="37">
        <v>24000</v>
      </c>
      <c r="D18" s="37">
        <v>103500</v>
      </c>
      <c r="E18" s="37">
        <v>32500</v>
      </c>
      <c r="F18" s="37">
        <v>115000</v>
      </c>
      <c r="G18" s="37">
        <v>0</v>
      </c>
      <c r="H18" s="37">
        <v>0</v>
      </c>
      <c r="I18" s="37">
        <v>59500</v>
      </c>
      <c r="J18" s="37">
        <v>0</v>
      </c>
      <c r="K18" s="37">
        <v>0</v>
      </c>
      <c r="L18" s="37"/>
      <c r="M18" s="37"/>
      <c r="N18" s="37"/>
      <c r="O18" s="37">
        <v>0</v>
      </c>
      <c r="P18" s="37"/>
      <c r="Q18" s="37"/>
      <c r="R18" s="37">
        <v>672000</v>
      </c>
      <c r="S18" s="37"/>
      <c r="T18" s="38">
        <f t="shared" si="0"/>
        <v>1159500</v>
      </c>
      <c r="U18" s="34"/>
    </row>
    <row r="19" spans="1:28">
      <c r="A19" s="35" t="s">
        <v>48</v>
      </c>
      <c r="B19" s="37">
        <v>157500</v>
      </c>
      <c r="C19" s="37">
        <v>68000</v>
      </c>
      <c r="D19" s="37">
        <v>100500</v>
      </c>
      <c r="E19" s="37">
        <v>18000</v>
      </c>
      <c r="F19" s="37">
        <v>109100</v>
      </c>
      <c r="G19" s="37">
        <v>12000</v>
      </c>
      <c r="H19" s="37">
        <v>38000</v>
      </c>
      <c r="I19" s="37">
        <v>55000</v>
      </c>
      <c r="J19" s="37">
        <v>0</v>
      </c>
      <c r="K19" s="37">
        <v>0</v>
      </c>
      <c r="L19" s="37"/>
      <c r="M19" s="37"/>
      <c r="N19" s="37"/>
      <c r="O19" s="37">
        <v>0</v>
      </c>
      <c r="P19" s="37"/>
      <c r="Q19" s="37"/>
      <c r="R19" s="37">
        <v>-2000000</v>
      </c>
      <c r="S19" s="37"/>
      <c r="T19" s="38">
        <f t="shared" si="0"/>
        <v>-1441900</v>
      </c>
      <c r="U19" s="34"/>
    </row>
    <row r="20" spans="1:28">
      <c r="A20" s="35" t="s">
        <v>49</v>
      </c>
      <c r="B20" s="37">
        <v>175000</v>
      </c>
      <c r="C20" s="37">
        <v>30000</v>
      </c>
      <c r="D20" s="37">
        <v>102000</v>
      </c>
      <c r="E20" s="37">
        <v>25500</v>
      </c>
      <c r="F20" s="37">
        <v>56700</v>
      </c>
      <c r="G20" s="37">
        <v>12000</v>
      </c>
      <c r="H20" s="37">
        <v>52000</v>
      </c>
      <c r="I20" s="37">
        <v>11000</v>
      </c>
      <c r="J20" s="37">
        <v>20000</v>
      </c>
      <c r="K20" s="37">
        <v>0</v>
      </c>
      <c r="L20" s="37"/>
      <c r="M20" s="37"/>
      <c r="N20" s="37"/>
      <c r="O20" s="37">
        <v>13000</v>
      </c>
      <c r="P20" s="37"/>
      <c r="Q20" s="37"/>
      <c r="R20" s="37">
        <v>52000</v>
      </c>
      <c r="S20" s="37"/>
      <c r="T20" s="38">
        <f t="shared" si="0"/>
        <v>549200</v>
      </c>
      <c r="U20" s="34"/>
    </row>
    <row r="21" spans="1:28">
      <c r="A21" s="35" t="s">
        <v>50</v>
      </c>
      <c r="B21" s="37">
        <v>239000</v>
      </c>
      <c r="C21" s="37">
        <v>56000</v>
      </c>
      <c r="D21" s="37">
        <v>150500</v>
      </c>
      <c r="E21" s="37">
        <v>23000</v>
      </c>
      <c r="F21" s="37">
        <v>108500</v>
      </c>
      <c r="G21" s="37">
        <v>0</v>
      </c>
      <c r="H21" s="37">
        <v>76000</v>
      </c>
      <c r="I21" s="37">
        <v>43000</v>
      </c>
      <c r="J21" s="37">
        <v>10000</v>
      </c>
      <c r="K21" s="37">
        <v>0</v>
      </c>
      <c r="L21" s="37"/>
      <c r="M21" s="37"/>
      <c r="N21" s="37"/>
      <c r="O21" s="37">
        <v>6000</v>
      </c>
      <c r="P21" s="37"/>
      <c r="Q21" s="37"/>
      <c r="R21" s="37">
        <v>339000</v>
      </c>
      <c r="S21" s="37"/>
      <c r="T21" s="38">
        <f t="shared" si="0"/>
        <v>1051000</v>
      </c>
      <c r="U21" s="34"/>
    </row>
    <row r="22" spans="1:28">
      <c r="A22" s="35" t="s">
        <v>73</v>
      </c>
      <c r="B22" s="37">
        <v>186000</v>
      </c>
      <c r="C22" s="37">
        <v>204000</v>
      </c>
      <c r="D22" s="37">
        <v>111000</v>
      </c>
      <c r="E22" s="37">
        <v>5000</v>
      </c>
      <c r="F22" s="37">
        <v>75000</v>
      </c>
      <c r="G22" s="37">
        <v>12000</v>
      </c>
      <c r="H22" s="37">
        <v>136000</v>
      </c>
      <c r="I22" s="37">
        <v>45000</v>
      </c>
      <c r="J22" s="37">
        <v>12000</v>
      </c>
      <c r="K22" s="37">
        <v>0</v>
      </c>
      <c r="L22" s="37"/>
      <c r="M22" s="37"/>
      <c r="N22" s="37"/>
      <c r="O22" s="37">
        <v>0</v>
      </c>
      <c r="P22" s="37"/>
      <c r="Q22" s="37"/>
      <c r="R22" s="37">
        <v>78000</v>
      </c>
      <c r="S22" s="37"/>
      <c r="T22" s="38">
        <f t="shared" si="0"/>
        <v>864000</v>
      </c>
      <c r="U22" s="34"/>
    </row>
    <row r="23" spans="1:28">
      <c r="A23" s="35" t="s">
        <v>52</v>
      </c>
      <c r="B23" s="37">
        <v>149000</v>
      </c>
      <c r="C23" s="37">
        <v>64000</v>
      </c>
      <c r="D23" s="37">
        <v>66000</v>
      </c>
      <c r="E23" s="37">
        <v>0</v>
      </c>
      <c r="F23" s="37">
        <v>88000</v>
      </c>
      <c r="G23" s="37">
        <v>0</v>
      </c>
      <c r="H23" s="37">
        <v>105000</v>
      </c>
      <c r="I23" s="37">
        <v>4500</v>
      </c>
      <c r="J23" s="37">
        <v>0</v>
      </c>
      <c r="K23" s="37">
        <v>0</v>
      </c>
      <c r="L23" s="37"/>
      <c r="M23" s="37"/>
      <c r="N23" s="37"/>
      <c r="O23" s="37">
        <v>0</v>
      </c>
      <c r="P23" s="37"/>
      <c r="Q23" s="37"/>
      <c r="R23" s="37">
        <v>-1778000</v>
      </c>
      <c r="S23" s="37"/>
      <c r="T23" s="38">
        <f t="shared" si="0"/>
        <v>-1301500</v>
      </c>
      <c r="U23" s="34"/>
    </row>
    <row r="24" spans="1:28">
      <c r="A24" s="35" t="s">
        <v>53</v>
      </c>
      <c r="B24" s="37">
        <v>148500</v>
      </c>
      <c r="C24" s="37">
        <v>50000</v>
      </c>
      <c r="D24" s="37">
        <v>87500</v>
      </c>
      <c r="E24" s="37">
        <v>10000</v>
      </c>
      <c r="F24" s="37">
        <v>47000</v>
      </c>
      <c r="G24" s="37">
        <v>12000</v>
      </c>
      <c r="H24" s="37">
        <v>30000</v>
      </c>
      <c r="I24" s="37">
        <v>102000</v>
      </c>
      <c r="J24" s="37">
        <v>0</v>
      </c>
      <c r="K24" s="37">
        <v>0</v>
      </c>
      <c r="L24" s="37"/>
      <c r="M24" s="37"/>
      <c r="N24" s="37"/>
      <c r="O24" s="37">
        <v>10000</v>
      </c>
      <c r="P24" s="37"/>
      <c r="Q24" s="37"/>
      <c r="R24" s="37">
        <v>1305000</v>
      </c>
      <c r="S24" s="37"/>
      <c r="T24" s="38">
        <f t="shared" si="0"/>
        <v>1802000</v>
      </c>
      <c r="U24" s="34"/>
    </row>
    <row r="25" spans="1:28">
      <c r="A25" s="35" t="s">
        <v>54</v>
      </c>
      <c r="B25" s="37">
        <v>202000</v>
      </c>
      <c r="C25" s="37">
        <v>66000</v>
      </c>
      <c r="D25" s="37">
        <v>129500</v>
      </c>
      <c r="E25" s="37">
        <v>21000</v>
      </c>
      <c r="F25" s="37">
        <v>79000</v>
      </c>
      <c r="G25" s="37">
        <v>12000</v>
      </c>
      <c r="H25" s="37">
        <v>26000</v>
      </c>
      <c r="I25" s="37">
        <v>0</v>
      </c>
      <c r="J25" s="37">
        <v>5000</v>
      </c>
      <c r="K25" s="37">
        <v>0</v>
      </c>
      <c r="L25" s="37"/>
      <c r="M25" s="37"/>
      <c r="N25" s="37"/>
      <c r="O25" s="37">
        <v>6000</v>
      </c>
      <c r="P25" s="37"/>
      <c r="Q25" s="37"/>
      <c r="R25" s="37">
        <v>140500</v>
      </c>
      <c r="S25" s="37"/>
      <c r="T25" s="38">
        <f t="shared" si="0"/>
        <v>687000</v>
      </c>
      <c r="U25" s="34"/>
    </row>
    <row r="26" spans="1:28">
      <c r="A26" s="35" t="s">
        <v>55</v>
      </c>
      <c r="B26" s="37">
        <v>295000</v>
      </c>
      <c r="C26" s="37">
        <v>178000</v>
      </c>
      <c r="D26" s="37">
        <v>83000</v>
      </c>
      <c r="E26" s="37">
        <v>0</v>
      </c>
      <c r="F26" s="37">
        <v>49000</v>
      </c>
      <c r="G26" s="37">
        <v>12000</v>
      </c>
      <c r="H26" s="37">
        <v>49000</v>
      </c>
      <c r="I26" s="37">
        <v>7000</v>
      </c>
      <c r="J26" s="37">
        <v>0</v>
      </c>
      <c r="K26" s="37">
        <v>0</v>
      </c>
      <c r="L26" s="37"/>
      <c r="M26" s="37"/>
      <c r="N26" s="37"/>
      <c r="O26" s="37">
        <v>26000</v>
      </c>
      <c r="P26" s="37"/>
      <c r="Q26" s="37"/>
      <c r="R26" s="37">
        <v>1849000</v>
      </c>
      <c r="S26" s="37"/>
      <c r="T26" s="38">
        <f t="shared" si="0"/>
        <v>2548000</v>
      </c>
      <c r="U26" s="42"/>
    </row>
    <row r="27" spans="1:28">
      <c r="A27" s="35" t="s">
        <v>56</v>
      </c>
      <c r="B27" s="37">
        <v>204000</v>
      </c>
      <c r="C27" s="37">
        <v>207000</v>
      </c>
      <c r="D27" s="37">
        <v>117500</v>
      </c>
      <c r="E27" s="37">
        <v>20500</v>
      </c>
      <c r="F27" s="37">
        <v>118500</v>
      </c>
      <c r="G27" s="37">
        <v>0</v>
      </c>
      <c r="H27" s="37">
        <v>83000</v>
      </c>
      <c r="I27" s="37">
        <v>29500</v>
      </c>
      <c r="J27" s="37">
        <v>6000</v>
      </c>
      <c r="K27" s="37">
        <v>0</v>
      </c>
      <c r="L27" s="37"/>
      <c r="M27" s="37"/>
      <c r="N27" s="37"/>
      <c r="O27" s="37">
        <v>11000</v>
      </c>
      <c r="P27" s="37"/>
      <c r="Q27" s="37"/>
      <c r="R27" s="37">
        <v>-215000</v>
      </c>
      <c r="S27" s="37"/>
      <c r="T27" s="38">
        <f t="shared" si="0"/>
        <v>582000</v>
      </c>
      <c r="U27" s="34"/>
    </row>
    <row r="28" spans="1:28">
      <c r="A28" s="35" t="s">
        <v>57</v>
      </c>
      <c r="B28" s="37">
        <v>186000</v>
      </c>
      <c r="C28" s="37">
        <v>16000</v>
      </c>
      <c r="D28" s="37">
        <v>102500</v>
      </c>
      <c r="E28" s="37">
        <v>14500</v>
      </c>
      <c r="F28" s="37">
        <v>90000</v>
      </c>
      <c r="G28" s="37">
        <v>0</v>
      </c>
      <c r="H28" s="37">
        <v>53000</v>
      </c>
      <c r="I28" s="37">
        <v>9000</v>
      </c>
      <c r="J28" s="37">
        <v>12000</v>
      </c>
      <c r="K28" s="37">
        <v>0</v>
      </c>
      <c r="L28" s="37"/>
      <c r="M28" s="37"/>
      <c r="N28" s="37"/>
      <c r="O28" s="37">
        <v>0</v>
      </c>
      <c r="P28" s="37"/>
      <c r="Q28" s="37"/>
      <c r="R28" s="37">
        <v>1782000</v>
      </c>
      <c r="S28" s="37"/>
      <c r="T28" s="38">
        <f t="shared" si="0"/>
        <v>2265000</v>
      </c>
      <c r="U28" s="34"/>
    </row>
    <row r="29" spans="1:28">
      <c r="A29" s="35" t="s">
        <v>58</v>
      </c>
      <c r="B29" s="37">
        <v>340000</v>
      </c>
      <c r="C29" s="37">
        <v>22000</v>
      </c>
      <c r="D29" s="37">
        <v>215000</v>
      </c>
      <c r="E29" s="37">
        <v>16500</v>
      </c>
      <c r="F29" s="37">
        <v>168000</v>
      </c>
      <c r="G29" s="37">
        <v>0</v>
      </c>
      <c r="H29" s="37">
        <v>231000</v>
      </c>
      <c r="I29" s="37">
        <v>99000</v>
      </c>
      <c r="J29" s="37">
        <v>0</v>
      </c>
      <c r="K29" s="37">
        <v>0</v>
      </c>
      <c r="L29" s="37"/>
      <c r="M29" s="37"/>
      <c r="N29" s="37"/>
      <c r="O29" s="37">
        <v>0</v>
      </c>
      <c r="P29" s="37"/>
      <c r="Q29" s="37"/>
      <c r="R29" s="37">
        <v>24500</v>
      </c>
      <c r="S29" s="37"/>
      <c r="T29" s="38">
        <f t="shared" si="0"/>
        <v>1116000</v>
      </c>
      <c r="U29" s="34"/>
    </row>
    <row r="30" spans="1:28">
      <c r="A30" s="35" t="s">
        <v>59</v>
      </c>
      <c r="B30" s="37">
        <v>142000</v>
      </c>
      <c r="C30" s="37">
        <v>44000</v>
      </c>
      <c r="D30" s="37">
        <v>66500</v>
      </c>
      <c r="E30" s="37">
        <v>0</v>
      </c>
      <c r="F30" s="37">
        <v>103000</v>
      </c>
      <c r="G30" s="37">
        <v>0</v>
      </c>
      <c r="H30" s="37">
        <v>48000</v>
      </c>
      <c r="I30" s="37">
        <v>22500</v>
      </c>
      <c r="J30" s="37">
        <v>4500</v>
      </c>
      <c r="K30" s="37">
        <v>0</v>
      </c>
      <c r="L30" s="37"/>
      <c r="M30" s="37"/>
      <c r="N30" s="37"/>
      <c r="O30" s="37">
        <v>0</v>
      </c>
      <c r="P30" s="37"/>
      <c r="Q30" s="37"/>
      <c r="R30" s="37">
        <v>145000</v>
      </c>
      <c r="S30" s="37"/>
      <c r="T30" s="38">
        <f t="shared" si="0"/>
        <v>575500</v>
      </c>
      <c r="U30" s="34"/>
    </row>
    <row r="31" spans="1:28">
      <c r="A31" s="35" t="s">
        <v>60</v>
      </c>
      <c r="B31" s="37">
        <v>174000</v>
      </c>
      <c r="C31" s="37">
        <v>150000</v>
      </c>
      <c r="D31" s="37">
        <v>94000</v>
      </c>
      <c r="E31" s="37">
        <v>6000</v>
      </c>
      <c r="F31" s="37">
        <v>106500</v>
      </c>
      <c r="G31" s="37">
        <v>24000</v>
      </c>
      <c r="H31" s="37">
        <v>51000</v>
      </c>
      <c r="I31" s="37">
        <v>35000</v>
      </c>
      <c r="J31" s="37">
        <v>0</v>
      </c>
      <c r="K31" s="37">
        <v>0</v>
      </c>
      <c r="L31" s="37"/>
      <c r="M31" s="37"/>
      <c r="N31" s="37"/>
      <c r="O31" s="37">
        <v>0</v>
      </c>
      <c r="P31" s="37"/>
      <c r="Q31" s="37"/>
      <c r="R31" s="37">
        <v>-3050000</v>
      </c>
      <c r="S31" s="37"/>
      <c r="T31" s="38">
        <f t="shared" si="0"/>
        <v>-2409500</v>
      </c>
      <c r="U31" s="34"/>
    </row>
    <row r="32" spans="1:28">
      <c r="A32" s="35" t="s">
        <v>61</v>
      </c>
      <c r="B32" s="31">
        <v>203000</v>
      </c>
      <c r="C32" s="31">
        <v>65000</v>
      </c>
      <c r="D32" s="31">
        <v>97500</v>
      </c>
      <c r="E32" s="31">
        <v>12000</v>
      </c>
      <c r="F32" s="31">
        <v>59000</v>
      </c>
      <c r="G32" s="31">
        <v>0</v>
      </c>
      <c r="H32" s="31">
        <v>40000</v>
      </c>
      <c r="I32" s="31">
        <v>6500</v>
      </c>
      <c r="J32" s="31">
        <v>8000</v>
      </c>
      <c r="K32" s="31">
        <v>0</v>
      </c>
      <c r="L32" s="31"/>
      <c r="M32" s="31"/>
      <c r="N32" s="31"/>
      <c r="O32" s="31">
        <v>10000</v>
      </c>
      <c r="P32" s="31"/>
      <c r="Q32" s="31"/>
      <c r="R32" s="31">
        <v>0</v>
      </c>
      <c r="S32" s="31"/>
      <c r="T32" s="31">
        <f t="shared" si="0"/>
        <v>501000</v>
      </c>
      <c r="U32" s="39"/>
      <c r="V32" s="27"/>
      <c r="W32" s="27"/>
      <c r="X32" s="27"/>
      <c r="Y32" s="27"/>
      <c r="Z32" s="27"/>
      <c r="AA32" s="27"/>
      <c r="AB32" s="27"/>
    </row>
    <row r="33" spans="1:28">
      <c r="A33" s="35" t="s">
        <v>62</v>
      </c>
      <c r="B33" s="31">
        <v>125000</v>
      </c>
      <c r="C33" s="31">
        <v>35000</v>
      </c>
      <c r="D33" s="31">
        <v>171500</v>
      </c>
      <c r="E33" s="31">
        <v>18000</v>
      </c>
      <c r="F33" s="31">
        <v>104000</v>
      </c>
      <c r="G33" s="31">
        <v>0</v>
      </c>
      <c r="H33" s="31">
        <v>7500</v>
      </c>
      <c r="I33" s="31">
        <v>14000</v>
      </c>
      <c r="J33" s="31">
        <v>0</v>
      </c>
      <c r="K33" s="31">
        <v>0</v>
      </c>
      <c r="L33" s="31"/>
      <c r="M33" s="31"/>
      <c r="N33" s="31"/>
      <c r="O33" s="31">
        <v>0</v>
      </c>
      <c r="P33" s="31"/>
      <c r="Q33" s="31"/>
      <c r="R33" s="31">
        <v>377000</v>
      </c>
      <c r="S33" s="31"/>
      <c r="T33" s="31">
        <f t="shared" si="0"/>
        <v>852000</v>
      </c>
      <c r="U33" s="39"/>
      <c r="V33" s="27"/>
      <c r="W33" s="27"/>
      <c r="X33" s="27"/>
      <c r="Y33" s="27"/>
      <c r="Z33" s="27"/>
      <c r="AA33" s="27"/>
      <c r="AB33" s="27"/>
    </row>
    <row r="34" spans="1:28">
      <c r="A34" s="35" t="s">
        <v>63</v>
      </c>
      <c r="B34" s="31">
        <v>211000</v>
      </c>
      <c r="C34" s="31">
        <v>133000</v>
      </c>
      <c r="D34" s="31">
        <v>145000</v>
      </c>
      <c r="E34" s="31">
        <v>16000</v>
      </c>
      <c r="F34" s="31">
        <v>187000</v>
      </c>
      <c r="G34" s="31">
        <v>18000</v>
      </c>
      <c r="H34" s="31">
        <v>50000</v>
      </c>
      <c r="I34" s="31">
        <v>14000</v>
      </c>
      <c r="J34" s="31">
        <v>10000</v>
      </c>
      <c r="K34" s="31">
        <v>0</v>
      </c>
      <c r="L34" s="31"/>
      <c r="M34" s="31"/>
      <c r="N34" s="31"/>
      <c r="O34" s="31">
        <v>24000</v>
      </c>
      <c r="P34" s="31"/>
      <c r="Q34" s="31"/>
      <c r="R34" s="31">
        <v>2187000</v>
      </c>
      <c r="S34" s="31"/>
      <c r="T34" s="31">
        <f t="shared" si="0"/>
        <v>2995000</v>
      </c>
      <c r="U34" s="39"/>
      <c r="V34" s="27"/>
      <c r="W34" s="27"/>
      <c r="X34" s="27"/>
      <c r="Y34" s="27"/>
      <c r="Z34" s="27"/>
      <c r="AA34" s="27"/>
      <c r="AB34" s="27"/>
    </row>
    <row r="35" spans="1:28">
      <c r="A35" s="35" t="s">
        <v>64</v>
      </c>
      <c r="B35" s="31">
        <v>257000</v>
      </c>
      <c r="C35" s="31">
        <v>345000</v>
      </c>
      <c r="D35" s="31">
        <v>160500</v>
      </c>
      <c r="E35" s="31">
        <v>16000</v>
      </c>
      <c r="F35" s="31">
        <v>188500</v>
      </c>
      <c r="G35" s="31">
        <v>12000</v>
      </c>
      <c r="H35" s="31">
        <v>186000</v>
      </c>
      <c r="I35" s="31">
        <v>169500</v>
      </c>
      <c r="J35" s="31">
        <v>2000</v>
      </c>
      <c r="K35" s="31"/>
      <c r="L35" s="31"/>
      <c r="M35" s="31"/>
      <c r="N35" s="31"/>
      <c r="O35" s="31">
        <v>13000</v>
      </c>
      <c r="P35" s="31"/>
      <c r="Q35" s="31"/>
      <c r="R35" s="31">
        <v>280000</v>
      </c>
      <c r="S35" s="31"/>
      <c r="T35" s="31">
        <f t="shared" si="0"/>
        <v>1629500</v>
      </c>
      <c r="U35" s="39"/>
      <c r="V35" s="27"/>
      <c r="W35" s="27"/>
      <c r="X35" s="27"/>
      <c r="Y35" s="27"/>
      <c r="Z35" s="27"/>
      <c r="AA35" s="27"/>
      <c r="AB35" s="27"/>
    </row>
    <row r="36" spans="1:28">
      <c r="A36" s="35" t="s">
        <v>83</v>
      </c>
      <c r="B36" s="31">
        <v>239000</v>
      </c>
      <c r="C36" s="31">
        <v>64000</v>
      </c>
      <c r="D36" s="31">
        <v>156000</v>
      </c>
      <c r="E36" s="31">
        <v>6500</v>
      </c>
      <c r="F36" s="31">
        <v>157000</v>
      </c>
      <c r="G36" s="31">
        <v>0</v>
      </c>
      <c r="H36" s="31">
        <v>122000</v>
      </c>
      <c r="I36" s="31">
        <v>59500</v>
      </c>
      <c r="J36" s="31">
        <v>2000</v>
      </c>
      <c r="K36" s="31">
        <v>0</v>
      </c>
      <c r="L36" s="31"/>
      <c r="M36" s="31"/>
      <c r="N36" s="31"/>
      <c r="O36" s="31">
        <v>0</v>
      </c>
      <c r="P36" s="31"/>
      <c r="Q36" s="31"/>
      <c r="R36" s="31">
        <v>48000</v>
      </c>
      <c r="S36" s="31"/>
      <c r="T36" s="31">
        <f t="shared" si="0"/>
        <v>854000</v>
      </c>
      <c r="U36" s="43"/>
      <c r="V36" s="27"/>
      <c r="W36" s="27"/>
      <c r="X36" s="27"/>
      <c r="Y36" s="27"/>
      <c r="Z36" s="27"/>
      <c r="AA36" s="27"/>
      <c r="AB36" s="27"/>
    </row>
    <row r="37" spans="1:28">
      <c r="A37" s="35" t="s">
        <v>84</v>
      </c>
      <c r="B37" s="31">
        <v>103000</v>
      </c>
      <c r="C37" s="31">
        <v>80000</v>
      </c>
      <c r="D37" s="31">
        <v>191000</v>
      </c>
      <c r="E37" s="31">
        <v>14500</v>
      </c>
      <c r="F37" s="31">
        <v>128500</v>
      </c>
      <c r="G37" s="31">
        <v>12000</v>
      </c>
      <c r="H37" s="31">
        <v>86500</v>
      </c>
      <c r="I37" s="31">
        <v>7500</v>
      </c>
      <c r="J37" s="31">
        <v>3000</v>
      </c>
      <c r="K37" s="31"/>
      <c r="L37" s="31"/>
      <c r="M37" s="31"/>
      <c r="N37" s="31"/>
      <c r="O37" s="31">
        <v>20000</v>
      </c>
      <c r="P37" s="31"/>
      <c r="Q37" s="31"/>
      <c r="R37" s="31">
        <v>-2600000</v>
      </c>
      <c r="S37" s="31"/>
      <c r="T37" s="31">
        <f>SUM(B37:S37)</f>
        <v>-1954000</v>
      </c>
      <c r="U37" s="39"/>
      <c r="V37" s="27"/>
      <c r="W37" s="27"/>
      <c r="X37" s="27"/>
      <c r="Y37" s="27"/>
      <c r="Z37" s="27"/>
      <c r="AA37" s="27"/>
      <c r="AB37" s="27"/>
    </row>
    <row r="38" spans="1:28">
      <c r="A38" s="40" t="s">
        <v>23</v>
      </c>
      <c r="B38" s="41">
        <f t="shared" ref="B38:K38" si="2">SUM(B31:B37)</f>
        <v>1312000</v>
      </c>
      <c r="C38" s="41">
        <f t="shared" si="2"/>
        <v>872000</v>
      </c>
      <c r="D38" s="41">
        <f t="shared" si="2"/>
        <v>1015500</v>
      </c>
      <c r="E38" s="41">
        <f t="shared" si="2"/>
        <v>89000</v>
      </c>
      <c r="F38" s="41">
        <f t="shared" si="2"/>
        <v>930500</v>
      </c>
      <c r="G38" s="41">
        <f t="shared" si="2"/>
        <v>66000</v>
      </c>
      <c r="H38" s="41">
        <f t="shared" si="2"/>
        <v>543000</v>
      </c>
      <c r="I38" s="41">
        <f t="shared" si="2"/>
        <v>306000</v>
      </c>
      <c r="J38" s="41">
        <f t="shared" si="2"/>
        <v>25000</v>
      </c>
      <c r="K38" s="41">
        <f t="shared" si="2"/>
        <v>0</v>
      </c>
      <c r="L38" s="41"/>
      <c r="M38" s="41"/>
      <c r="N38" s="41"/>
      <c r="O38" s="41">
        <f>SUM(O31:O37)</f>
        <v>67000</v>
      </c>
      <c r="P38" s="41"/>
      <c r="Q38" s="41"/>
      <c r="R38" s="41">
        <f>SUM(R31:R37)</f>
        <v>-2758000</v>
      </c>
      <c r="S38" s="41"/>
      <c r="T38" s="41">
        <f>SUM(B38:S38)</f>
        <v>2468000</v>
      </c>
      <c r="U38" s="34"/>
    </row>
    <row r="39" spans="1:28">
      <c r="A39" s="34"/>
      <c r="B39" s="34"/>
      <c r="C39" s="34"/>
      <c r="D39" s="34"/>
      <c r="E39" s="34"/>
      <c r="F39" s="34"/>
      <c r="G39" s="34"/>
      <c r="H39" s="34"/>
      <c r="I39" s="34"/>
      <c r="J39" s="34"/>
      <c r="K39" s="34"/>
      <c r="L39" s="34"/>
      <c r="M39" s="34"/>
      <c r="N39" s="34"/>
      <c r="O39" s="34"/>
      <c r="P39" s="34"/>
      <c r="Q39" s="34"/>
      <c r="R39" s="34"/>
      <c r="S39" s="34"/>
      <c r="T39" s="34"/>
      <c r="U39" s="34"/>
    </row>
  </sheetData>
  <mergeCells count="4">
    <mergeCell ref="B2:T2"/>
    <mergeCell ref="B3:T3"/>
    <mergeCell ref="C4:F4"/>
    <mergeCell ref="C5:F5"/>
  </mergeCells>
  <pageMargins left="0.7" right="0.7" top="0.75" bottom="0.75" header="0.3" footer="0.3"/>
  <pageSetup orientation="portrait" horizontalDpi="0"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2:H38"/>
  <sheetViews>
    <sheetView topLeftCell="A20" workbookViewId="0">
      <selection activeCell="L25" sqref="L25"/>
    </sheetView>
  </sheetViews>
  <sheetFormatPr defaultRowHeight="15"/>
  <cols>
    <col min="2" max="2" width="18.28515625" customWidth="1"/>
    <col min="3" max="3" width="13" customWidth="1"/>
    <col min="4" max="4" width="13.28515625" customWidth="1"/>
    <col min="5" max="5" width="14.140625" customWidth="1"/>
    <col min="6" max="6" width="12.140625" customWidth="1"/>
    <col min="7" max="7" width="11.85546875" customWidth="1"/>
    <col min="8" max="8" width="17.85546875" customWidth="1"/>
  </cols>
  <sheetData>
    <row r="2" spans="2:8" ht="15.75" thickBot="1"/>
    <row r="3" spans="2:8" ht="26.25">
      <c r="B3" s="82" t="s">
        <v>68</v>
      </c>
      <c r="C3" s="83"/>
      <c r="D3" s="83"/>
      <c r="E3" s="83"/>
      <c r="F3" s="83"/>
      <c r="G3" s="84"/>
      <c r="H3" s="85"/>
    </row>
    <row r="4" spans="2:8" ht="26.25">
      <c r="B4" s="86" t="s">
        <v>0</v>
      </c>
      <c r="C4" s="87"/>
      <c r="D4" s="87"/>
      <c r="E4" s="87"/>
      <c r="F4" s="87"/>
      <c r="G4" s="88"/>
      <c r="H4" s="89"/>
    </row>
    <row r="5" spans="2:8" ht="15.75" thickBot="1">
      <c r="B5" s="1"/>
      <c r="C5" s="2"/>
      <c r="D5" s="2"/>
      <c r="E5" s="2"/>
      <c r="F5" s="2"/>
      <c r="G5" s="2"/>
      <c r="H5" s="3"/>
    </row>
    <row r="6" spans="2:8" ht="15.75" thickBot="1">
      <c r="B6" s="4"/>
      <c r="H6" s="5"/>
    </row>
    <row r="7" spans="2:8" ht="16.5" thickBot="1">
      <c r="B7" s="6" t="s">
        <v>1</v>
      </c>
      <c r="C7" s="90" t="s">
        <v>69</v>
      </c>
      <c r="D7" s="71"/>
      <c r="E7" s="72"/>
      <c r="F7" s="7"/>
      <c r="G7" s="7"/>
      <c r="H7" s="8"/>
    </row>
    <row r="8" spans="2:8" ht="16.5" thickBot="1">
      <c r="B8" s="9"/>
      <c r="C8" s="10"/>
      <c r="D8" s="10"/>
      <c r="E8" s="10"/>
      <c r="F8" s="10"/>
      <c r="G8" s="10"/>
      <c r="H8" s="8"/>
    </row>
    <row r="9" spans="2:8" ht="16.5" thickBot="1">
      <c r="B9" s="6" t="s">
        <v>24</v>
      </c>
      <c r="C9" s="70" t="s">
        <v>85</v>
      </c>
      <c r="D9" s="71"/>
      <c r="E9" s="72"/>
      <c r="F9" s="11"/>
      <c r="G9" s="11"/>
      <c r="H9" s="12"/>
    </row>
    <row r="10" spans="2:8" ht="15.75">
      <c r="B10" s="13" t="s">
        <v>25</v>
      </c>
      <c r="C10" s="14" t="s">
        <v>26</v>
      </c>
      <c r="D10" s="14" t="s">
        <v>27</v>
      </c>
      <c r="E10" s="14" t="s">
        <v>28</v>
      </c>
      <c r="F10" s="14" t="s">
        <v>29</v>
      </c>
      <c r="G10" s="15" t="s">
        <v>30</v>
      </c>
      <c r="H10" s="16" t="s">
        <v>31</v>
      </c>
    </row>
    <row r="11" spans="2:8" ht="15.75">
      <c r="B11" s="17" t="s">
        <v>4</v>
      </c>
      <c r="C11" s="18">
        <v>450500</v>
      </c>
      <c r="D11" s="18">
        <v>1361500</v>
      </c>
      <c r="E11" s="18">
        <v>1255000</v>
      </c>
      <c r="F11" s="18">
        <v>1517500</v>
      </c>
      <c r="G11" s="19">
        <v>1312000</v>
      </c>
      <c r="H11" s="20">
        <f t="shared" ref="H11:H19" si="0">SUM(C11:G11)</f>
        <v>5896500</v>
      </c>
    </row>
    <row r="12" spans="2:8" ht="15.75">
      <c r="B12" s="17" t="s">
        <v>5</v>
      </c>
      <c r="C12" s="18">
        <v>317000</v>
      </c>
      <c r="D12" s="18">
        <v>1521000</v>
      </c>
      <c r="E12" s="18">
        <v>574000</v>
      </c>
      <c r="F12" s="18">
        <v>583000</v>
      </c>
      <c r="G12" s="19">
        <v>872000</v>
      </c>
      <c r="H12" s="20">
        <f t="shared" si="0"/>
        <v>3867000</v>
      </c>
    </row>
    <row r="13" spans="2:8" ht="15.75">
      <c r="B13" s="17" t="s">
        <v>32</v>
      </c>
      <c r="C13" s="18">
        <v>304000</v>
      </c>
      <c r="D13" s="18">
        <v>830000</v>
      </c>
      <c r="E13" s="18">
        <v>764500</v>
      </c>
      <c r="F13" s="18">
        <v>801500</v>
      </c>
      <c r="G13" s="19">
        <v>1015500</v>
      </c>
      <c r="H13" s="20">
        <f t="shared" si="0"/>
        <v>3715500</v>
      </c>
    </row>
    <row r="14" spans="2:8" ht="15.75">
      <c r="B14" s="17" t="s">
        <v>33</v>
      </c>
      <c r="C14" s="18">
        <v>108500</v>
      </c>
      <c r="D14" s="18">
        <v>48000</v>
      </c>
      <c r="E14" s="18">
        <v>111000</v>
      </c>
      <c r="F14" s="18">
        <v>82500</v>
      </c>
      <c r="G14" s="19">
        <v>89000</v>
      </c>
      <c r="H14" s="20">
        <f t="shared" si="0"/>
        <v>439000</v>
      </c>
    </row>
    <row r="15" spans="2:8" ht="15.75">
      <c r="B15" s="17" t="s">
        <v>8</v>
      </c>
      <c r="C15" s="18">
        <v>377500</v>
      </c>
      <c r="D15" s="18">
        <v>838000</v>
      </c>
      <c r="E15" s="18">
        <v>670300</v>
      </c>
      <c r="F15" s="18">
        <v>654500</v>
      </c>
      <c r="G15" s="19">
        <v>930500</v>
      </c>
      <c r="H15" s="20">
        <f t="shared" si="0"/>
        <v>3470800</v>
      </c>
    </row>
    <row r="16" spans="2:8" ht="15.75">
      <c r="B16" s="17" t="s">
        <v>9</v>
      </c>
      <c r="C16" s="18"/>
      <c r="D16" s="18">
        <v>36000</v>
      </c>
      <c r="E16" s="18">
        <v>48000</v>
      </c>
      <c r="F16" s="18">
        <v>36000</v>
      </c>
      <c r="G16" s="19">
        <v>66000</v>
      </c>
      <c r="H16" s="20">
        <f t="shared" si="0"/>
        <v>186000</v>
      </c>
    </row>
    <row r="17" spans="2:8" ht="15.75">
      <c r="B17" s="17" t="s">
        <v>10</v>
      </c>
      <c r="C17" s="18">
        <v>212000</v>
      </c>
      <c r="D17" s="18">
        <v>381500</v>
      </c>
      <c r="E17" s="18">
        <v>483500</v>
      </c>
      <c r="F17" s="18">
        <v>520000</v>
      </c>
      <c r="G17" s="19">
        <v>543000</v>
      </c>
      <c r="H17" s="20">
        <f t="shared" si="0"/>
        <v>2140000</v>
      </c>
    </row>
    <row r="18" spans="2:8" ht="15.75">
      <c r="B18" s="17" t="s">
        <v>11</v>
      </c>
      <c r="C18" s="18">
        <v>190500</v>
      </c>
      <c r="D18" s="18">
        <v>403000</v>
      </c>
      <c r="E18" s="18">
        <v>218000</v>
      </c>
      <c r="F18" s="18">
        <v>269000</v>
      </c>
      <c r="G18" s="19">
        <v>306000</v>
      </c>
      <c r="H18" s="20">
        <f t="shared" si="0"/>
        <v>1386500</v>
      </c>
    </row>
    <row r="19" spans="2:8" ht="15.75">
      <c r="B19" s="17" t="s">
        <v>12</v>
      </c>
      <c r="C19" s="18">
        <v>77000</v>
      </c>
      <c r="D19" s="18">
        <v>54000</v>
      </c>
      <c r="E19" s="18">
        <v>44000</v>
      </c>
      <c r="F19" s="18">
        <v>27500</v>
      </c>
      <c r="G19" s="19">
        <v>25000</v>
      </c>
      <c r="H19" s="20">
        <f t="shared" si="0"/>
        <v>227500</v>
      </c>
    </row>
    <row r="20" spans="2:8" ht="15.75">
      <c r="B20" s="17" t="s">
        <v>13</v>
      </c>
      <c r="C20" s="18"/>
      <c r="D20" s="18"/>
      <c r="E20" s="18"/>
      <c r="F20" s="18"/>
      <c r="G20" s="19"/>
      <c r="H20" s="20">
        <f t="shared" ref="H20:H27" si="1">SUM(C20:F20)</f>
        <v>0</v>
      </c>
    </row>
    <row r="21" spans="2:8" ht="15.75">
      <c r="B21" s="17" t="s">
        <v>14</v>
      </c>
      <c r="C21" s="18"/>
      <c r="D21" s="18"/>
      <c r="E21" s="18"/>
      <c r="F21" s="18"/>
      <c r="G21" s="19"/>
      <c r="H21" s="20">
        <f t="shared" si="1"/>
        <v>0</v>
      </c>
    </row>
    <row r="22" spans="2:8" ht="15.75">
      <c r="B22" s="17" t="s">
        <v>15</v>
      </c>
      <c r="C22" s="18"/>
      <c r="D22" s="18"/>
      <c r="E22" s="18"/>
      <c r="F22" s="18"/>
      <c r="G22" s="19"/>
      <c r="H22" s="20">
        <f t="shared" si="1"/>
        <v>0</v>
      </c>
    </row>
    <row r="23" spans="2:8" ht="15.75">
      <c r="B23" s="17" t="s">
        <v>16</v>
      </c>
      <c r="C23" s="18"/>
      <c r="D23" s="18"/>
      <c r="E23" s="18"/>
      <c r="F23" s="18"/>
      <c r="G23" s="19"/>
      <c r="H23" s="20">
        <f t="shared" si="1"/>
        <v>0</v>
      </c>
    </row>
    <row r="24" spans="2:8" ht="15.75">
      <c r="B24" s="17" t="s">
        <v>17</v>
      </c>
      <c r="C24" s="18">
        <v>13000</v>
      </c>
      <c r="D24" s="18">
        <v>78000</v>
      </c>
      <c r="E24" s="18">
        <v>19000</v>
      </c>
      <c r="F24" s="18">
        <v>53000</v>
      </c>
      <c r="G24" s="19">
        <v>67000</v>
      </c>
      <c r="H24" s="20"/>
    </row>
    <row r="25" spans="2:8" ht="15.75">
      <c r="B25" s="17" t="s">
        <v>18</v>
      </c>
      <c r="C25" s="18"/>
      <c r="D25" s="18"/>
      <c r="E25" s="18"/>
      <c r="F25" s="18"/>
      <c r="G25" s="19"/>
      <c r="H25" s="20">
        <f t="shared" si="1"/>
        <v>0</v>
      </c>
    </row>
    <row r="26" spans="2:8" ht="15.75">
      <c r="B26" s="17" t="s">
        <v>19</v>
      </c>
      <c r="C26" s="18"/>
      <c r="D26" s="18"/>
      <c r="E26" s="18"/>
      <c r="F26" s="18"/>
      <c r="G26" s="19"/>
      <c r="H26" s="20">
        <f t="shared" si="1"/>
        <v>0</v>
      </c>
    </row>
    <row r="27" spans="2:8" ht="15.75">
      <c r="B27" s="17" t="s">
        <v>34</v>
      </c>
      <c r="C27" s="18"/>
      <c r="D27" s="18"/>
      <c r="E27" s="18"/>
      <c r="F27" s="18"/>
      <c r="G27" s="19"/>
      <c r="H27" s="20">
        <f t="shared" si="1"/>
        <v>0</v>
      </c>
    </row>
    <row r="28" spans="2:8" ht="16.5" thickBot="1">
      <c r="B28" s="21" t="s">
        <v>35</v>
      </c>
      <c r="C28" s="22">
        <f t="shared" ref="C28:H28" si="2">SUM(C11:C27)</f>
        <v>2050000</v>
      </c>
      <c r="D28" s="22">
        <f t="shared" si="2"/>
        <v>5551000</v>
      </c>
      <c r="E28" s="22">
        <f t="shared" si="2"/>
        <v>4187300</v>
      </c>
      <c r="F28" s="22">
        <f t="shared" si="2"/>
        <v>4544500</v>
      </c>
      <c r="G28" s="22">
        <f t="shared" si="2"/>
        <v>5226000</v>
      </c>
      <c r="H28" s="23">
        <f t="shared" si="2"/>
        <v>21328800</v>
      </c>
    </row>
    <row r="30" spans="2:8" ht="15.75" thickBot="1"/>
    <row r="31" spans="2:8" ht="21.75" thickBot="1">
      <c r="B31" s="73" t="s">
        <v>36</v>
      </c>
      <c r="C31" s="74"/>
      <c r="D31" s="74"/>
      <c r="E31" s="74"/>
      <c r="F31" s="74"/>
      <c r="G31" s="74"/>
      <c r="H31" s="75"/>
    </row>
    <row r="32" spans="2:8" ht="15.75" thickBot="1">
      <c r="B32" s="92" t="s">
        <v>79</v>
      </c>
      <c r="C32" s="68"/>
      <c r="D32" s="68"/>
      <c r="E32" s="68"/>
      <c r="F32" s="68"/>
      <c r="G32" s="68"/>
      <c r="H32" s="69"/>
    </row>
    <row r="33" spans="2:8" ht="60.75" thickBot="1">
      <c r="B33" s="44" t="s">
        <v>82</v>
      </c>
      <c r="C33" s="25"/>
      <c r="D33" s="25"/>
      <c r="E33" s="25"/>
      <c r="F33" s="25"/>
      <c r="G33" s="25"/>
      <c r="H33" s="26"/>
    </row>
    <row r="34" spans="2:8" ht="15.75" thickBot="1">
      <c r="B34" s="67"/>
      <c r="C34" s="68"/>
      <c r="D34" s="68"/>
      <c r="E34" s="68"/>
      <c r="F34" s="68"/>
      <c r="G34" s="68"/>
      <c r="H34" s="69"/>
    </row>
    <row r="35" spans="2:8" ht="15.75" thickBot="1">
      <c r="B35" s="67"/>
      <c r="C35" s="68"/>
      <c r="D35" s="68"/>
      <c r="E35" s="68"/>
      <c r="F35" s="68"/>
      <c r="G35" s="68"/>
      <c r="H35" s="69"/>
    </row>
    <row r="36" spans="2:8" ht="15.75" thickBot="1">
      <c r="B36" s="67"/>
      <c r="C36" s="68"/>
      <c r="D36" s="68"/>
      <c r="E36" s="68"/>
      <c r="F36" s="68"/>
      <c r="G36" s="68"/>
      <c r="H36" s="69"/>
    </row>
    <row r="37" spans="2:8" ht="15.75" thickBot="1">
      <c r="B37" s="67"/>
      <c r="C37" s="68"/>
      <c r="D37" s="68"/>
      <c r="E37" s="68"/>
      <c r="F37" s="68"/>
      <c r="G37" s="68"/>
      <c r="H37" s="69"/>
    </row>
    <row r="38" spans="2:8">
      <c r="B38" s="81"/>
      <c r="C38" s="81"/>
      <c r="D38" s="81"/>
      <c r="E38" s="81"/>
      <c r="F38" s="81"/>
      <c r="G38" s="81"/>
      <c r="H38" s="81"/>
    </row>
  </sheetData>
  <mergeCells count="11">
    <mergeCell ref="B32:H32"/>
    <mergeCell ref="B3:H3"/>
    <mergeCell ref="B4:H4"/>
    <mergeCell ref="C7:E7"/>
    <mergeCell ref="C9:E9"/>
    <mergeCell ref="B31:H31"/>
    <mergeCell ref="B34:H34"/>
    <mergeCell ref="B35:H35"/>
    <mergeCell ref="B36:H36"/>
    <mergeCell ref="B37:H37"/>
    <mergeCell ref="B38:H38"/>
  </mergeCells>
  <pageMargins left="0.7" right="0.7" top="0.75" bottom="0.75" header="0.3" footer="0.3"/>
  <pageSetup orientation="landscape" horizontalDpi="0"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B39"/>
  <sheetViews>
    <sheetView workbookViewId="0">
      <selection sqref="A1:V39"/>
    </sheetView>
  </sheetViews>
  <sheetFormatPr defaultRowHeight="15"/>
  <cols>
    <col min="1" max="1" width="6.140625" customWidth="1"/>
    <col min="2" max="2" width="11.7109375" customWidth="1"/>
    <col min="3" max="3" width="10.42578125" customWidth="1"/>
    <col min="4" max="4" width="10.7109375" customWidth="1"/>
    <col min="5" max="5" width="13.140625" customWidth="1"/>
    <col min="6" max="6" width="12.42578125" customWidth="1"/>
    <col min="7" max="7" width="8.5703125" customWidth="1"/>
    <col min="8" max="8" width="12" customWidth="1"/>
    <col min="9" max="9" width="11.140625" customWidth="1"/>
    <col min="11" max="11" width="11.7109375" customWidth="1"/>
    <col min="12" max="12" width="5" customWidth="1"/>
    <col min="13" max="13" width="5.7109375" customWidth="1"/>
    <col min="14" max="14" width="5" customWidth="1"/>
    <col min="15" max="15" width="9.85546875" customWidth="1"/>
    <col min="16" max="16" width="5.5703125" customWidth="1"/>
    <col min="17" max="17" width="4.5703125" customWidth="1"/>
    <col min="18" max="18" width="11.42578125" customWidth="1"/>
    <col min="19" max="19" width="6.85546875" customWidth="1"/>
    <col min="20" max="20" width="11.85546875" customWidth="1"/>
    <col min="21" max="21" width="10.5703125" customWidth="1"/>
  </cols>
  <sheetData>
    <row r="1" spans="1:21" ht="15.75" thickBot="1"/>
    <row r="2" spans="1:21" ht="26.25" customHeight="1">
      <c r="A2" s="28"/>
      <c r="B2" s="55" t="s">
        <v>68</v>
      </c>
      <c r="C2" s="56"/>
      <c r="D2" s="56"/>
      <c r="E2" s="56"/>
      <c r="F2" s="56"/>
      <c r="G2" s="56"/>
      <c r="H2" s="56"/>
      <c r="I2" s="56"/>
      <c r="J2" s="56"/>
      <c r="K2" s="56"/>
      <c r="L2" s="56"/>
      <c r="M2" s="56"/>
      <c r="N2" s="56"/>
      <c r="O2" s="56"/>
      <c r="P2" s="56"/>
      <c r="Q2" s="56"/>
      <c r="R2" s="56"/>
      <c r="S2" s="56"/>
      <c r="T2" s="57"/>
    </row>
    <row r="3" spans="1:21" ht="27" thickBot="1">
      <c r="A3" s="4"/>
      <c r="B3" s="58" t="s">
        <v>0</v>
      </c>
      <c r="C3" s="59"/>
      <c r="D3" s="59"/>
      <c r="E3" s="59"/>
      <c r="F3" s="59"/>
      <c r="G3" s="59"/>
      <c r="H3" s="59"/>
      <c r="I3" s="59"/>
      <c r="J3" s="59"/>
      <c r="K3" s="59"/>
      <c r="L3" s="59"/>
      <c r="M3" s="59"/>
      <c r="N3" s="59"/>
      <c r="O3" s="59"/>
      <c r="P3" s="59"/>
      <c r="Q3" s="59"/>
      <c r="R3" s="59"/>
      <c r="S3" s="59"/>
      <c r="T3" s="60"/>
    </row>
    <row r="4" spans="1:21" ht="27" customHeight="1" thickBot="1">
      <c r="A4" s="4"/>
      <c r="B4" s="29" t="s">
        <v>1</v>
      </c>
      <c r="C4" s="61" t="s">
        <v>69</v>
      </c>
      <c r="D4" s="62"/>
      <c r="E4" s="62"/>
      <c r="F4" s="63"/>
      <c r="T4" s="5"/>
    </row>
    <row r="5" spans="1:21" ht="21">
      <c r="A5" s="4"/>
      <c r="B5" s="30" t="s">
        <v>2</v>
      </c>
      <c r="C5" s="78">
        <v>45383</v>
      </c>
      <c r="D5" s="79"/>
      <c r="E5" s="79"/>
      <c r="F5" s="80"/>
      <c r="T5" s="5"/>
    </row>
    <row r="6" spans="1:21" ht="101.25">
      <c r="A6" s="32" t="s">
        <v>3</v>
      </c>
      <c r="B6" s="33" t="s">
        <v>4</v>
      </c>
      <c r="C6" s="33" t="s">
        <v>5</v>
      </c>
      <c r="D6" s="33" t="s">
        <v>6</v>
      </c>
      <c r="E6" s="33" t="s">
        <v>7</v>
      </c>
      <c r="F6" s="33" t="s">
        <v>8</v>
      </c>
      <c r="G6" s="33" t="s">
        <v>9</v>
      </c>
      <c r="H6" s="33" t="s">
        <v>10</v>
      </c>
      <c r="I6" s="33" t="s">
        <v>11</v>
      </c>
      <c r="J6" s="33" t="s">
        <v>12</v>
      </c>
      <c r="K6" s="33" t="s">
        <v>13</v>
      </c>
      <c r="L6" s="33" t="s">
        <v>14</v>
      </c>
      <c r="M6" s="33" t="s">
        <v>15</v>
      </c>
      <c r="N6" s="33" t="s">
        <v>16</v>
      </c>
      <c r="O6" s="33" t="s">
        <v>17</v>
      </c>
      <c r="P6" s="33" t="s">
        <v>18</v>
      </c>
      <c r="Q6" s="33" t="s">
        <v>19</v>
      </c>
      <c r="R6" s="33" t="s">
        <v>20</v>
      </c>
      <c r="S6" s="33" t="s">
        <v>21</v>
      </c>
      <c r="T6" s="33" t="s">
        <v>22</v>
      </c>
      <c r="U6" s="34" t="s">
        <v>87</v>
      </c>
    </row>
    <row r="7" spans="1:21">
      <c r="A7" s="35" t="s">
        <v>67</v>
      </c>
      <c r="B7" s="36">
        <v>249000</v>
      </c>
      <c r="C7" s="36">
        <v>27000</v>
      </c>
      <c r="D7" s="36">
        <v>57500</v>
      </c>
      <c r="E7" s="36">
        <v>30000</v>
      </c>
      <c r="F7" s="36">
        <v>49000</v>
      </c>
      <c r="G7" s="36">
        <v>0</v>
      </c>
      <c r="H7" s="36">
        <v>47500</v>
      </c>
      <c r="I7" s="36">
        <v>42500</v>
      </c>
      <c r="J7" s="36">
        <v>2000</v>
      </c>
      <c r="K7" s="36">
        <v>0</v>
      </c>
      <c r="L7" s="36"/>
      <c r="M7" s="36"/>
      <c r="N7" s="36"/>
      <c r="O7" s="36">
        <v>0</v>
      </c>
      <c r="P7" s="36"/>
      <c r="Q7" s="36"/>
      <c r="R7" s="36">
        <v>95000</v>
      </c>
      <c r="S7" s="37"/>
      <c r="T7" s="37">
        <f>SUM(B7:S7)</f>
        <v>599500</v>
      </c>
      <c r="U7" s="45"/>
    </row>
    <row r="8" spans="1:21">
      <c r="A8" s="35" t="s">
        <v>37</v>
      </c>
      <c r="B8" s="36">
        <v>152000</v>
      </c>
      <c r="C8" s="36">
        <v>30000</v>
      </c>
      <c r="D8" s="36">
        <v>93000</v>
      </c>
      <c r="E8" s="36">
        <v>27000</v>
      </c>
      <c r="F8" s="36">
        <v>78000</v>
      </c>
      <c r="G8" s="36">
        <v>0</v>
      </c>
      <c r="H8" s="36">
        <v>22000</v>
      </c>
      <c r="I8" s="36">
        <v>9000</v>
      </c>
      <c r="J8" s="36">
        <v>1000</v>
      </c>
      <c r="K8" s="36">
        <v>0</v>
      </c>
      <c r="L8" s="36"/>
      <c r="M8" s="36"/>
      <c r="N8" s="36"/>
      <c r="O8" s="36">
        <v>0</v>
      </c>
      <c r="P8" s="36"/>
      <c r="Q8" s="36"/>
      <c r="R8" s="36">
        <v>0</v>
      </c>
      <c r="S8" s="37"/>
      <c r="T8" s="37">
        <f t="shared" ref="T8:T36" si="0">SUM(B8:S8)</f>
        <v>412000</v>
      </c>
      <c r="U8" s="45"/>
    </row>
    <row r="9" spans="1:21">
      <c r="A9" s="35" t="s">
        <v>38</v>
      </c>
      <c r="B9" s="36">
        <v>177000</v>
      </c>
      <c r="C9" s="36">
        <v>85000</v>
      </c>
      <c r="D9" s="36">
        <v>54000</v>
      </c>
      <c r="E9" s="36">
        <v>9000</v>
      </c>
      <c r="F9" s="36">
        <v>35000</v>
      </c>
      <c r="G9" s="36">
        <v>0</v>
      </c>
      <c r="H9" s="36">
        <v>18000</v>
      </c>
      <c r="I9" s="36">
        <v>24000</v>
      </c>
      <c r="J9" s="36">
        <v>20000</v>
      </c>
      <c r="K9" s="36">
        <v>0</v>
      </c>
      <c r="L9" s="36"/>
      <c r="M9" s="36"/>
      <c r="N9" s="36"/>
      <c r="O9" s="36">
        <v>0</v>
      </c>
      <c r="P9" s="36"/>
      <c r="Q9" s="36"/>
      <c r="R9" s="36">
        <v>0</v>
      </c>
      <c r="S9" s="37"/>
      <c r="T9" s="37">
        <f t="shared" si="0"/>
        <v>422000</v>
      </c>
      <c r="U9" s="45"/>
    </row>
    <row r="10" spans="1:21">
      <c r="A10" s="35" t="s">
        <v>39</v>
      </c>
      <c r="B10" s="36">
        <v>135000</v>
      </c>
      <c r="C10" s="36">
        <v>126000</v>
      </c>
      <c r="D10" s="36">
        <v>114500</v>
      </c>
      <c r="E10" s="36">
        <v>3500</v>
      </c>
      <c r="F10" s="36">
        <v>98000</v>
      </c>
      <c r="G10" s="36">
        <v>24000</v>
      </c>
      <c r="H10" s="36">
        <v>24000</v>
      </c>
      <c r="I10" s="36">
        <v>26000</v>
      </c>
      <c r="J10" s="36">
        <v>3000</v>
      </c>
      <c r="K10" s="36">
        <f>SUM(K7:K9)</f>
        <v>0</v>
      </c>
      <c r="L10" s="36"/>
      <c r="M10" s="36"/>
      <c r="N10" s="36"/>
      <c r="O10" s="36">
        <v>0</v>
      </c>
      <c r="P10" s="36"/>
      <c r="Q10" s="36"/>
      <c r="R10" s="36">
        <v>-57000</v>
      </c>
      <c r="S10" s="37"/>
      <c r="T10" s="37">
        <f t="shared" si="0"/>
        <v>497000</v>
      </c>
      <c r="U10" s="42"/>
    </row>
    <row r="11" spans="1:21">
      <c r="A11" s="35" t="s">
        <v>40</v>
      </c>
      <c r="B11" s="37">
        <v>164000</v>
      </c>
      <c r="C11" s="37">
        <v>48000</v>
      </c>
      <c r="D11" s="37">
        <v>95000</v>
      </c>
      <c r="E11" s="37">
        <v>16000</v>
      </c>
      <c r="F11" s="37">
        <v>110000</v>
      </c>
      <c r="G11" s="37">
        <v>0</v>
      </c>
      <c r="H11" s="37">
        <v>17000</v>
      </c>
      <c r="I11" s="37">
        <v>56000</v>
      </c>
      <c r="J11" s="37">
        <v>5000</v>
      </c>
      <c r="K11" s="37">
        <v>0</v>
      </c>
      <c r="L11" s="37"/>
      <c r="M11" s="37"/>
      <c r="N11" s="37"/>
      <c r="O11" s="37">
        <v>0</v>
      </c>
      <c r="P11" s="37"/>
      <c r="Q11" s="37"/>
      <c r="R11" s="37">
        <v>0</v>
      </c>
      <c r="S11" s="37"/>
      <c r="T11" s="37">
        <f t="shared" si="0"/>
        <v>511000</v>
      </c>
      <c r="U11" s="42"/>
    </row>
    <row r="12" spans="1:21">
      <c r="A12" s="35" t="s">
        <v>41</v>
      </c>
      <c r="B12" s="37">
        <v>77000</v>
      </c>
      <c r="C12" s="37">
        <v>63000</v>
      </c>
      <c r="D12" s="37">
        <v>48000</v>
      </c>
      <c r="E12" s="37">
        <v>24000</v>
      </c>
      <c r="F12" s="37">
        <v>84000</v>
      </c>
      <c r="G12" s="37">
        <v>0</v>
      </c>
      <c r="H12" s="37">
        <v>78000</v>
      </c>
      <c r="I12" s="37">
        <v>63000</v>
      </c>
      <c r="J12" s="37">
        <v>2000</v>
      </c>
      <c r="K12" s="37">
        <v>0</v>
      </c>
      <c r="L12" s="37"/>
      <c r="M12" s="37"/>
      <c r="N12" s="37"/>
      <c r="O12" s="37">
        <v>7000</v>
      </c>
      <c r="P12" s="37"/>
      <c r="Q12" s="37"/>
      <c r="R12" s="37">
        <v>21000</v>
      </c>
      <c r="S12" s="37"/>
      <c r="T12" s="37">
        <f t="shared" si="0"/>
        <v>467000</v>
      </c>
      <c r="U12" s="42">
        <v>-850000</v>
      </c>
    </row>
    <row r="13" spans="1:21">
      <c r="A13" s="35" t="s">
        <v>42</v>
      </c>
      <c r="B13" s="37">
        <v>106000</v>
      </c>
      <c r="C13" s="37">
        <v>98000</v>
      </c>
      <c r="D13" s="37">
        <v>83000</v>
      </c>
      <c r="E13" s="37">
        <v>34000</v>
      </c>
      <c r="F13" s="37">
        <v>147000</v>
      </c>
      <c r="G13" s="37">
        <v>12000</v>
      </c>
      <c r="H13" s="37">
        <v>65000</v>
      </c>
      <c r="I13" s="37">
        <v>75000</v>
      </c>
      <c r="J13" s="37">
        <v>21000</v>
      </c>
      <c r="K13" s="37">
        <v>0</v>
      </c>
      <c r="L13" s="37"/>
      <c r="M13" s="37"/>
      <c r="N13" s="37"/>
      <c r="O13" s="37">
        <v>0</v>
      </c>
      <c r="P13" s="37"/>
      <c r="Q13" s="37"/>
      <c r="R13" s="37">
        <v>0</v>
      </c>
      <c r="S13" s="37"/>
      <c r="T13" s="37">
        <f t="shared" si="0"/>
        <v>641000</v>
      </c>
      <c r="U13" s="42"/>
    </row>
    <row r="14" spans="1:21">
      <c r="A14" s="35" t="s">
        <v>43</v>
      </c>
      <c r="B14" s="37">
        <v>115500</v>
      </c>
      <c r="C14" s="37">
        <v>94000</v>
      </c>
      <c r="D14" s="37">
        <v>54000</v>
      </c>
      <c r="E14" s="37">
        <v>4000</v>
      </c>
      <c r="F14" s="37">
        <v>107400</v>
      </c>
      <c r="G14" s="37">
        <v>0</v>
      </c>
      <c r="H14" s="37">
        <v>46000</v>
      </c>
      <c r="I14" s="37">
        <v>28000</v>
      </c>
      <c r="J14" s="37">
        <v>0</v>
      </c>
      <c r="K14" s="37">
        <v>0</v>
      </c>
      <c r="L14" s="37"/>
      <c r="M14" s="37"/>
      <c r="N14" s="37"/>
      <c r="O14" s="37">
        <v>11000</v>
      </c>
      <c r="P14" s="37"/>
      <c r="Q14" s="37"/>
      <c r="R14" s="37">
        <v>21000</v>
      </c>
      <c r="S14" s="37"/>
      <c r="T14" s="37">
        <f t="shared" si="0"/>
        <v>480900</v>
      </c>
      <c r="U14" s="42"/>
    </row>
    <row r="15" spans="1:21">
      <c r="A15" s="35" t="s">
        <v>44</v>
      </c>
      <c r="B15" s="37">
        <v>157000</v>
      </c>
      <c r="C15" s="37">
        <v>22000</v>
      </c>
      <c r="D15" s="37">
        <v>132500</v>
      </c>
      <c r="E15" s="37">
        <v>11500</v>
      </c>
      <c r="F15" s="37">
        <v>161000</v>
      </c>
      <c r="G15" s="37">
        <v>0</v>
      </c>
      <c r="H15" s="37">
        <v>92000</v>
      </c>
      <c r="I15" s="37">
        <v>73000</v>
      </c>
      <c r="J15" s="37">
        <v>6000</v>
      </c>
      <c r="K15" s="37">
        <v>0</v>
      </c>
      <c r="L15" s="37"/>
      <c r="M15" s="37"/>
      <c r="N15" s="37"/>
      <c r="O15" s="37">
        <v>11000</v>
      </c>
      <c r="P15" s="37"/>
      <c r="Q15" s="37"/>
      <c r="R15" s="37">
        <v>0</v>
      </c>
      <c r="S15" s="37"/>
      <c r="T15" s="37">
        <f t="shared" si="0"/>
        <v>666000</v>
      </c>
      <c r="U15" s="34"/>
    </row>
    <row r="16" spans="1:21">
      <c r="A16" s="35" t="s">
        <v>45</v>
      </c>
      <c r="B16" s="37">
        <v>207000</v>
      </c>
      <c r="C16" s="37">
        <v>102000</v>
      </c>
      <c r="D16" s="37">
        <v>77500</v>
      </c>
      <c r="E16" s="37">
        <v>13000</v>
      </c>
      <c r="F16" s="37">
        <v>64500</v>
      </c>
      <c r="G16" s="37">
        <v>0</v>
      </c>
      <c r="H16" s="37">
        <v>59000</v>
      </c>
      <c r="I16" s="37">
        <v>103000</v>
      </c>
      <c r="J16" s="37">
        <v>14000</v>
      </c>
      <c r="K16" s="37">
        <v>0</v>
      </c>
      <c r="L16" s="37"/>
      <c r="M16" s="37"/>
      <c r="N16" s="37"/>
      <c r="O16" s="37">
        <v>36000</v>
      </c>
      <c r="P16" s="37"/>
      <c r="Q16" s="37"/>
      <c r="R16" s="37">
        <v>463000</v>
      </c>
      <c r="S16" s="37"/>
      <c r="T16" s="37">
        <f t="shared" si="0"/>
        <v>1139000</v>
      </c>
      <c r="U16" s="34"/>
    </row>
    <row r="17" spans="1:28">
      <c r="A17" s="35" t="s">
        <v>46</v>
      </c>
      <c r="B17" s="37">
        <v>144500</v>
      </c>
      <c r="C17" s="37">
        <v>171000</v>
      </c>
      <c r="D17" s="37">
        <v>104000</v>
      </c>
      <c r="E17" s="37">
        <v>11500</v>
      </c>
      <c r="F17" s="37">
        <v>74000</v>
      </c>
      <c r="G17" s="37">
        <v>0</v>
      </c>
      <c r="H17" s="37">
        <v>116000</v>
      </c>
      <c r="I17" s="37">
        <v>75000</v>
      </c>
      <c r="J17" s="37">
        <v>4000</v>
      </c>
      <c r="K17" s="37">
        <v>0</v>
      </c>
      <c r="L17" s="37"/>
      <c r="M17" s="37"/>
      <c r="N17" s="37"/>
      <c r="O17" s="37">
        <v>19000</v>
      </c>
      <c r="P17" s="37"/>
      <c r="Q17" s="37"/>
      <c r="R17" s="37">
        <v>-58000</v>
      </c>
      <c r="S17" s="37"/>
      <c r="T17" s="37">
        <f t="shared" si="0"/>
        <v>661000</v>
      </c>
      <c r="U17" s="34"/>
    </row>
    <row r="18" spans="1:28">
      <c r="A18" s="35" t="s">
        <v>47</v>
      </c>
      <c r="B18" s="37">
        <v>238000</v>
      </c>
      <c r="C18" s="37">
        <v>335000</v>
      </c>
      <c r="D18" s="37">
        <v>71000</v>
      </c>
      <c r="E18" s="37">
        <v>0</v>
      </c>
      <c r="F18" s="37">
        <v>108000</v>
      </c>
      <c r="G18" s="37">
        <v>12000</v>
      </c>
      <c r="H18" s="37">
        <v>18000</v>
      </c>
      <c r="I18" s="37">
        <v>71000</v>
      </c>
      <c r="J18" s="37">
        <v>2000</v>
      </c>
      <c r="K18" s="37">
        <v>0</v>
      </c>
      <c r="L18" s="37"/>
      <c r="M18" s="37"/>
      <c r="N18" s="37"/>
      <c r="O18" s="37">
        <v>22000</v>
      </c>
      <c r="P18" s="37"/>
      <c r="Q18" s="37"/>
      <c r="R18" s="37">
        <v>225500</v>
      </c>
      <c r="S18" s="37"/>
      <c r="T18" s="37">
        <f t="shared" si="0"/>
        <v>1102500</v>
      </c>
      <c r="U18" s="34"/>
    </row>
    <row r="19" spans="1:28">
      <c r="A19" s="35" t="s">
        <v>48</v>
      </c>
      <c r="B19" s="37">
        <v>231000</v>
      </c>
      <c r="C19" s="37">
        <v>160000</v>
      </c>
      <c r="D19" s="37">
        <v>63500</v>
      </c>
      <c r="E19" s="37">
        <v>9000</v>
      </c>
      <c r="F19" s="37">
        <v>58000</v>
      </c>
      <c r="G19" s="37">
        <v>0</v>
      </c>
      <c r="H19" s="37">
        <v>0</v>
      </c>
      <c r="I19" s="37">
        <v>48500</v>
      </c>
      <c r="J19" s="37">
        <v>3000</v>
      </c>
      <c r="K19" s="37">
        <v>0</v>
      </c>
      <c r="L19" s="37"/>
      <c r="M19" s="37"/>
      <c r="N19" s="37"/>
      <c r="O19" s="37">
        <v>6000</v>
      </c>
      <c r="P19" s="37"/>
      <c r="Q19" s="37"/>
      <c r="R19" s="37">
        <v>-74000</v>
      </c>
      <c r="S19" s="37"/>
      <c r="T19" s="37">
        <f t="shared" si="0"/>
        <v>505000</v>
      </c>
      <c r="U19" s="34"/>
    </row>
    <row r="20" spans="1:28">
      <c r="A20" s="35" t="s">
        <v>49</v>
      </c>
      <c r="B20" s="37">
        <v>160500</v>
      </c>
      <c r="C20" s="37">
        <v>39000</v>
      </c>
      <c r="D20" s="37">
        <v>90500</v>
      </c>
      <c r="E20" s="37">
        <v>20000</v>
      </c>
      <c r="F20" s="37">
        <v>110000</v>
      </c>
      <c r="G20" s="37">
        <v>6000</v>
      </c>
      <c r="H20" s="37">
        <v>62000</v>
      </c>
      <c r="I20" s="37">
        <v>66000</v>
      </c>
      <c r="J20" s="37">
        <v>2000</v>
      </c>
      <c r="K20" s="37">
        <v>0</v>
      </c>
      <c r="L20" s="37"/>
      <c r="M20" s="37"/>
      <c r="N20" s="37"/>
      <c r="O20" s="37">
        <v>11000</v>
      </c>
      <c r="P20" s="37"/>
      <c r="Q20" s="37"/>
      <c r="R20" s="37">
        <v>2000000</v>
      </c>
      <c r="S20" s="37"/>
      <c r="T20" s="37">
        <f t="shared" si="0"/>
        <v>2567000</v>
      </c>
      <c r="U20" s="34"/>
    </row>
    <row r="21" spans="1:28">
      <c r="A21" s="35" t="s">
        <v>50</v>
      </c>
      <c r="B21" s="37">
        <v>159000</v>
      </c>
      <c r="C21" s="37">
        <v>49000</v>
      </c>
      <c r="D21" s="37">
        <v>100500</v>
      </c>
      <c r="E21" s="37">
        <v>29000</v>
      </c>
      <c r="F21" s="37">
        <v>118500</v>
      </c>
      <c r="G21" s="37">
        <v>0</v>
      </c>
      <c r="H21" s="37">
        <v>76500</v>
      </c>
      <c r="I21" s="37">
        <v>60000</v>
      </c>
      <c r="J21" s="37">
        <v>28000</v>
      </c>
      <c r="K21" s="37">
        <v>0</v>
      </c>
      <c r="L21" s="37"/>
      <c r="M21" s="37"/>
      <c r="N21" s="37"/>
      <c r="O21" s="37">
        <v>6000</v>
      </c>
      <c r="P21" s="37"/>
      <c r="Q21" s="37"/>
      <c r="R21" s="37">
        <v>-1108000</v>
      </c>
      <c r="S21" s="37"/>
      <c r="T21" s="37">
        <f t="shared" si="0"/>
        <v>-481500</v>
      </c>
      <c r="U21" s="34"/>
    </row>
    <row r="22" spans="1:28">
      <c r="A22" s="35" t="s">
        <v>73</v>
      </c>
      <c r="B22" s="37">
        <v>130000</v>
      </c>
      <c r="C22" s="37">
        <v>57000</v>
      </c>
      <c r="D22" s="37">
        <v>125500</v>
      </c>
      <c r="E22" s="37">
        <v>11000</v>
      </c>
      <c r="F22" s="37">
        <v>58500</v>
      </c>
      <c r="G22" s="37">
        <v>12000</v>
      </c>
      <c r="H22" s="37">
        <v>49000</v>
      </c>
      <c r="I22" s="37">
        <v>43000</v>
      </c>
      <c r="J22" s="37">
        <v>4000</v>
      </c>
      <c r="K22" s="37">
        <v>0</v>
      </c>
      <c r="L22" s="37"/>
      <c r="M22" s="37"/>
      <c r="N22" s="37"/>
      <c r="O22" s="37">
        <v>0</v>
      </c>
      <c r="P22" s="37"/>
      <c r="Q22" s="37"/>
      <c r="R22" s="37">
        <v>467000</v>
      </c>
      <c r="S22" s="37"/>
      <c r="T22" s="37">
        <f t="shared" si="0"/>
        <v>957000</v>
      </c>
      <c r="U22" s="34"/>
    </row>
    <row r="23" spans="1:28">
      <c r="A23" s="35" t="s">
        <v>52</v>
      </c>
      <c r="B23" s="37">
        <v>166500</v>
      </c>
      <c r="C23" s="37">
        <v>44000</v>
      </c>
      <c r="D23" s="37">
        <v>134000</v>
      </c>
      <c r="E23" s="37">
        <v>13000</v>
      </c>
      <c r="F23" s="37">
        <v>133000</v>
      </c>
      <c r="G23" s="37">
        <v>0</v>
      </c>
      <c r="H23" s="37">
        <v>18000</v>
      </c>
      <c r="I23" s="37">
        <v>31500</v>
      </c>
      <c r="J23" s="37">
        <v>6000</v>
      </c>
      <c r="K23" s="37">
        <v>0</v>
      </c>
      <c r="L23" s="37"/>
      <c r="M23" s="37"/>
      <c r="N23" s="37"/>
      <c r="O23" s="37">
        <v>13000</v>
      </c>
      <c r="P23" s="37"/>
      <c r="Q23" s="37"/>
      <c r="R23" s="37">
        <v>257000</v>
      </c>
      <c r="S23" s="37"/>
      <c r="T23" s="37">
        <f t="shared" si="0"/>
        <v>816000</v>
      </c>
      <c r="U23" s="34"/>
    </row>
    <row r="24" spans="1:28">
      <c r="A24" s="35" t="s">
        <v>53</v>
      </c>
      <c r="B24" s="37">
        <v>102500</v>
      </c>
      <c r="C24" s="37">
        <v>152000</v>
      </c>
      <c r="D24" s="37">
        <v>100500</v>
      </c>
      <c r="E24" s="37">
        <v>0</v>
      </c>
      <c r="F24" s="37">
        <v>110000</v>
      </c>
      <c r="G24" s="37">
        <v>0</v>
      </c>
      <c r="H24" s="37">
        <v>12000</v>
      </c>
      <c r="I24" s="37">
        <v>40000</v>
      </c>
      <c r="J24" s="37">
        <v>20000</v>
      </c>
      <c r="K24" s="37">
        <v>0</v>
      </c>
      <c r="L24" s="37"/>
      <c r="M24" s="37"/>
      <c r="N24" s="37"/>
      <c r="O24" s="37">
        <v>0</v>
      </c>
      <c r="P24" s="37"/>
      <c r="Q24" s="37"/>
      <c r="R24" s="37">
        <v>1491000</v>
      </c>
      <c r="S24" s="37"/>
      <c r="T24" s="37">
        <f t="shared" si="0"/>
        <v>2028000</v>
      </c>
      <c r="U24" s="34" t="s">
        <v>88</v>
      </c>
    </row>
    <row r="25" spans="1:28">
      <c r="A25" s="35" t="s">
        <v>54</v>
      </c>
      <c r="B25" s="37">
        <v>173000</v>
      </c>
      <c r="C25" s="37">
        <v>229000</v>
      </c>
      <c r="D25" s="37">
        <v>107000</v>
      </c>
      <c r="E25" s="37">
        <v>11000</v>
      </c>
      <c r="F25" s="37">
        <v>124000</v>
      </c>
      <c r="G25" s="37">
        <v>0</v>
      </c>
      <c r="H25" s="37">
        <v>63000</v>
      </c>
      <c r="I25" s="37">
        <v>38500</v>
      </c>
      <c r="J25" s="37">
        <v>13000</v>
      </c>
      <c r="K25" s="37">
        <v>0</v>
      </c>
      <c r="L25" s="37"/>
      <c r="M25" s="37"/>
      <c r="N25" s="37"/>
      <c r="O25" s="37">
        <v>12000</v>
      </c>
      <c r="P25" s="37"/>
      <c r="Q25" s="37"/>
      <c r="R25" s="37">
        <v>10000</v>
      </c>
      <c r="S25" s="37"/>
      <c r="T25" s="37">
        <f t="shared" si="0"/>
        <v>780500</v>
      </c>
      <c r="U25" s="34"/>
    </row>
    <row r="26" spans="1:28">
      <c r="A26" s="35" t="s">
        <v>55</v>
      </c>
      <c r="B26" s="37">
        <v>188500</v>
      </c>
      <c r="C26" s="37">
        <v>118000</v>
      </c>
      <c r="D26" s="37">
        <v>112000</v>
      </c>
      <c r="E26" s="37">
        <v>11000</v>
      </c>
      <c r="F26" s="37">
        <v>115000</v>
      </c>
      <c r="G26" s="37">
        <v>0</v>
      </c>
      <c r="H26" s="37">
        <v>50000</v>
      </c>
      <c r="I26" s="37">
        <v>21000</v>
      </c>
      <c r="J26" s="37">
        <v>4000</v>
      </c>
      <c r="K26" s="37">
        <v>0</v>
      </c>
      <c r="L26" s="37"/>
      <c r="M26" s="37"/>
      <c r="N26" s="37"/>
      <c r="O26" s="37">
        <v>6000</v>
      </c>
      <c r="P26" s="37"/>
      <c r="Q26" s="37"/>
      <c r="R26" s="37">
        <v>322000</v>
      </c>
      <c r="S26" s="37"/>
      <c r="T26" s="37">
        <f t="shared" si="0"/>
        <v>947500</v>
      </c>
      <c r="U26" s="42"/>
    </row>
    <row r="27" spans="1:28">
      <c r="A27" s="35" t="s">
        <v>56</v>
      </c>
      <c r="B27" s="37">
        <v>148500</v>
      </c>
      <c r="C27" s="37">
        <v>94000</v>
      </c>
      <c r="D27" s="37">
        <v>37500</v>
      </c>
      <c r="E27" s="37">
        <v>4000</v>
      </c>
      <c r="F27" s="37">
        <v>83000</v>
      </c>
      <c r="G27" s="37">
        <v>0</v>
      </c>
      <c r="H27" s="37">
        <v>50000</v>
      </c>
      <c r="I27" s="37">
        <v>22000</v>
      </c>
      <c r="J27" s="37">
        <v>0</v>
      </c>
      <c r="K27" s="37">
        <v>0</v>
      </c>
      <c r="L27" s="37"/>
      <c r="M27" s="37"/>
      <c r="N27" s="37"/>
      <c r="O27" s="37">
        <v>0</v>
      </c>
      <c r="P27" s="37"/>
      <c r="Q27" s="37"/>
      <c r="R27" s="37">
        <v>-202000</v>
      </c>
      <c r="S27" s="37"/>
      <c r="T27" s="37">
        <f t="shared" si="0"/>
        <v>237000</v>
      </c>
      <c r="U27" s="34">
        <v>-3000000</v>
      </c>
    </row>
    <row r="28" spans="1:28">
      <c r="A28" s="35" t="s">
        <v>57</v>
      </c>
      <c r="B28" s="37">
        <v>177500</v>
      </c>
      <c r="C28" s="37">
        <v>189000</v>
      </c>
      <c r="D28" s="37">
        <v>54500</v>
      </c>
      <c r="E28" s="37">
        <v>7000</v>
      </c>
      <c r="F28" s="37">
        <v>47500</v>
      </c>
      <c r="G28" s="37">
        <v>0</v>
      </c>
      <c r="H28" s="37">
        <v>76000</v>
      </c>
      <c r="I28" s="37">
        <v>17500</v>
      </c>
      <c r="J28" s="37">
        <v>5000</v>
      </c>
      <c r="K28" s="37">
        <v>0</v>
      </c>
      <c r="L28" s="37"/>
      <c r="M28" s="37"/>
      <c r="N28" s="37"/>
      <c r="O28" s="37">
        <v>0</v>
      </c>
      <c r="P28" s="37"/>
      <c r="Q28" s="37"/>
      <c r="R28" s="37">
        <v>150000</v>
      </c>
      <c r="S28" s="37"/>
      <c r="T28" s="37">
        <f t="shared" si="0"/>
        <v>724000</v>
      </c>
      <c r="U28" s="34"/>
    </row>
    <row r="29" spans="1:28">
      <c r="A29" s="35" t="s">
        <v>58</v>
      </c>
      <c r="B29" s="37">
        <v>282500</v>
      </c>
      <c r="C29" s="37">
        <v>44000</v>
      </c>
      <c r="D29" s="37">
        <v>84000</v>
      </c>
      <c r="E29" s="37">
        <v>0</v>
      </c>
      <c r="F29" s="37">
        <v>61500</v>
      </c>
      <c r="G29" s="37">
        <v>0</v>
      </c>
      <c r="H29" s="37">
        <v>85000</v>
      </c>
      <c r="I29" s="37">
        <v>36000</v>
      </c>
      <c r="J29" s="37">
        <v>2000</v>
      </c>
      <c r="K29" s="37">
        <v>0</v>
      </c>
      <c r="L29" s="37"/>
      <c r="M29" s="37"/>
      <c r="N29" s="37"/>
      <c r="O29" s="37">
        <v>5000</v>
      </c>
      <c r="P29" s="37"/>
      <c r="Q29" s="37"/>
      <c r="R29" s="37">
        <v>-60000</v>
      </c>
      <c r="S29" s="37"/>
      <c r="T29" s="37">
        <f t="shared" si="0"/>
        <v>540000</v>
      </c>
      <c r="U29" s="34"/>
    </row>
    <row r="30" spans="1:28">
      <c r="A30" s="35" t="s">
        <v>59</v>
      </c>
      <c r="B30" s="37">
        <v>154000</v>
      </c>
      <c r="C30" s="37">
        <v>86000</v>
      </c>
      <c r="D30" s="37">
        <v>57000</v>
      </c>
      <c r="E30" s="37">
        <v>14000</v>
      </c>
      <c r="F30" s="37">
        <v>47000</v>
      </c>
      <c r="G30" s="37">
        <v>0</v>
      </c>
      <c r="H30" s="37">
        <v>31000</v>
      </c>
      <c r="I30" s="37">
        <v>31000</v>
      </c>
      <c r="J30" s="37">
        <v>5000</v>
      </c>
      <c r="K30" s="37">
        <v>0</v>
      </c>
      <c r="L30" s="37"/>
      <c r="M30" s="37"/>
      <c r="N30" s="37"/>
      <c r="O30" s="37">
        <v>7000</v>
      </c>
      <c r="P30" s="37"/>
      <c r="Q30" s="37"/>
      <c r="R30" s="37">
        <v>1075000</v>
      </c>
      <c r="S30" s="37"/>
      <c r="T30" s="37">
        <f t="shared" si="0"/>
        <v>1507000</v>
      </c>
      <c r="U30" s="34"/>
    </row>
    <row r="31" spans="1:28">
      <c r="A31" s="35" t="s">
        <v>60</v>
      </c>
      <c r="B31" s="37">
        <v>159500</v>
      </c>
      <c r="C31" s="37">
        <v>36000</v>
      </c>
      <c r="D31" s="37">
        <v>56000</v>
      </c>
      <c r="E31" s="37">
        <v>14000</v>
      </c>
      <c r="F31" s="37">
        <v>82000</v>
      </c>
      <c r="G31" s="37">
        <v>0</v>
      </c>
      <c r="H31" s="37">
        <v>41000</v>
      </c>
      <c r="I31" s="37">
        <v>13000</v>
      </c>
      <c r="J31" s="37">
        <v>0</v>
      </c>
      <c r="K31" s="37">
        <v>0</v>
      </c>
      <c r="L31" s="37"/>
      <c r="M31" s="37"/>
      <c r="N31" s="37"/>
      <c r="O31" s="37">
        <v>24000</v>
      </c>
      <c r="P31" s="37"/>
      <c r="Q31" s="37"/>
      <c r="R31" s="37">
        <v>1297000</v>
      </c>
      <c r="S31" s="37"/>
      <c r="T31" s="37">
        <f t="shared" si="0"/>
        <v>1722500</v>
      </c>
      <c r="U31" s="34">
        <v>-2375000</v>
      </c>
    </row>
    <row r="32" spans="1:28">
      <c r="A32" s="35" t="s">
        <v>61</v>
      </c>
      <c r="B32" s="31">
        <v>220500</v>
      </c>
      <c r="C32" s="31">
        <v>330000</v>
      </c>
      <c r="D32" s="31">
        <v>95000</v>
      </c>
      <c r="E32" s="31">
        <v>16000</v>
      </c>
      <c r="F32" s="31">
        <v>187000</v>
      </c>
      <c r="G32" s="31">
        <v>12000</v>
      </c>
      <c r="H32" s="31">
        <v>76000</v>
      </c>
      <c r="I32" s="31">
        <v>50500</v>
      </c>
      <c r="J32" s="31">
        <v>24000</v>
      </c>
      <c r="K32" s="31">
        <v>0</v>
      </c>
      <c r="L32" s="31"/>
      <c r="M32" s="31"/>
      <c r="N32" s="31"/>
      <c r="O32" s="31">
        <v>16000</v>
      </c>
      <c r="P32" s="31"/>
      <c r="Q32" s="31"/>
      <c r="R32" s="31">
        <v>213000</v>
      </c>
      <c r="S32" s="31"/>
      <c r="T32" s="37">
        <f t="shared" si="0"/>
        <v>1240000</v>
      </c>
      <c r="U32" s="39"/>
      <c r="V32" s="27"/>
      <c r="W32" s="27"/>
      <c r="X32" s="27"/>
      <c r="Y32" s="27"/>
      <c r="Z32" s="27"/>
      <c r="AA32" s="27"/>
      <c r="AB32" s="27"/>
    </row>
    <row r="33" spans="1:28">
      <c r="A33" s="35" t="s">
        <v>62</v>
      </c>
      <c r="B33" s="31">
        <v>279000</v>
      </c>
      <c r="C33" s="31">
        <v>100000</v>
      </c>
      <c r="D33" s="31">
        <v>106000</v>
      </c>
      <c r="E33" s="31">
        <v>11000</v>
      </c>
      <c r="F33" s="31">
        <v>81500</v>
      </c>
      <c r="G33" s="31">
        <v>0</v>
      </c>
      <c r="H33" s="31">
        <v>30000</v>
      </c>
      <c r="I33" s="31">
        <v>16000</v>
      </c>
      <c r="J33" s="31">
        <v>7500</v>
      </c>
      <c r="K33" s="31">
        <v>0</v>
      </c>
      <c r="L33" s="31"/>
      <c r="M33" s="31"/>
      <c r="N33" s="31"/>
      <c r="O33" s="31">
        <v>0</v>
      </c>
      <c r="P33" s="31"/>
      <c r="Q33" s="31"/>
      <c r="R33" s="31">
        <v>1014000</v>
      </c>
      <c r="S33" s="31"/>
      <c r="T33" s="37">
        <f t="shared" si="0"/>
        <v>1645000</v>
      </c>
      <c r="U33" s="39"/>
      <c r="V33" s="27"/>
      <c r="W33" s="27"/>
      <c r="X33" s="27"/>
      <c r="Y33" s="27"/>
      <c r="Z33" s="27"/>
      <c r="AA33" s="27"/>
      <c r="AB33" s="27"/>
    </row>
    <row r="34" spans="1:28">
      <c r="A34" s="35" t="s">
        <v>63</v>
      </c>
      <c r="B34" s="31">
        <v>115500</v>
      </c>
      <c r="C34" s="31">
        <v>88000</v>
      </c>
      <c r="D34" s="31">
        <v>41500</v>
      </c>
      <c r="E34" s="31">
        <v>13500</v>
      </c>
      <c r="F34" s="31">
        <v>54000</v>
      </c>
      <c r="G34" s="31">
        <v>0</v>
      </c>
      <c r="H34" s="31">
        <v>32000</v>
      </c>
      <c r="I34" s="31">
        <v>12000</v>
      </c>
      <c r="J34" s="31">
        <v>23500</v>
      </c>
      <c r="K34" s="31">
        <v>0</v>
      </c>
      <c r="L34" s="31"/>
      <c r="M34" s="31"/>
      <c r="N34" s="31"/>
      <c r="O34" s="31">
        <v>0</v>
      </c>
      <c r="P34" s="31"/>
      <c r="Q34" s="31"/>
      <c r="R34" s="31">
        <v>0</v>
      </c>
      <c r="S34" s="31"/>
      <c r="T34" s="37">
        <f t="shared" si="0"/>
        <v>380000</v>
      </c>
      <c r="U34" s="39"/>
      <c r="V34" s="27"/>
      <c r="W34" s="27"/>
      <c r="X34" s="27"/>
      <c r="Y34" s="27"/>
      <c r="Z34" s="27"/>
      <c r="AA34" s="27"/>
      <c r="AB34" s="27"/>
    </row>
    <row r="35" spans="1:28">
      <c r="A35" s="35" t="s">
        <v>64</v>
      </c>
      <c r="B35" s="31">
        <v>123000</v>
      </c>
      <c r="C35" s="31">
        <v>83000</v>
      </c>
      <c r="D35" s="31">
        <v>72000</v>
      </c>
      <c r="E35" s="31">
        <v>3000</v>
      </c>
      <c r="F35" s="31">
        <v>132000</v>
      </c>
      <c r="G35" s="31">
        <v>24000</v>
      </c>
      <c r="H35" s="31">
        <v>79000</v>
      </c>
      <c r="I35" s="31">
        <v>33500</v>
      </c>
      <c r="J35" s="31">
        <v>3000</v>
      </c>
      <c r="K35" s="31"/>
      <c r="L35" s="31"/>
      <c r="M35" s="31"/>
      <c r="N35" s="31"/>
      <c r="O35" s="31">
        <v>6000</v>
      </c>
      <c r="P35" s="31"/>
      <c r="Q35" s="31"/>
      <c r="R35" s="31">
        <v>347000</v>
      </c>
      <c r="S35" s="31"/>
      <c r="T35" s="31">
        <f t="shared" si="0"/>
        <v>905500</v>
      </c>
      <c r="U35" s="39">
        <v>-1600000</v>
      </c>
      <c r="V35" s="27"/>
      <c r="W35" s="27"/>
      <c r="X35" s="27"/>
      <c r="Y35" s="27"/>
      <c r="Z35" s="27"/>
      <c r="AA35" s="27"/>
      <c r="AB35" s="27"/>
    </row>
    <row r="36" spans="1:28">
      <c r="A36" s="35" t="s">
        <v>83</v>
      </c>
      <c r="B36" s="31">
        <v>124500</v>
      </c>
      <c r="C36" s="31">
        <v>41000</v>
      </c>
      <c r="D36" s="31">
        <v>87000</v>
      </c>
      <c r="E36" s="31">
        <v>2500</v>
      </c>
      <c r="F36" s="31">
        <v>88000</v>
      </c>
      <c r="G36" s="31">
        <v>0</v>
      </c>
      <c r="H36" s="31">
        <v>40000</v>
      </c>
      <c r="I36" s="31">
        <v>126000</v>
      </c>
      <c r="J36" s="31">
        <v>2000</v>
      </c>
      <c r="K36" s="31">
        <v>0</v>
      </c>
      <c r="L36" s="31"/>
      <c r="M36" s="31"/>
      <c r="N36" s="31"/>
      <c r="O36" s="31"/>
      <c r="P36" s="31"/>
      <c r="Q36" s="31"/>
      <c r="R36" s="31">
        <v>684000</v>
      </c>
      <c r="S36" s="31"/>
      <c r="T36" s="31">
        <f t="shared" si="0"/>
        <v>1195000</v>
      </c>
      <c r="U36" s="43"/>
      <c r="V36" s="27"/>
      <c r="W36" s="27"/>
      <c r="X36" s="27"/>
      <c r="Y36" s="27"/>
      <c r="Z36" s="27"/>
      <c r="AA36" s="27"/>
      <c r="AB36" s="27"/>
    </row>
    <row r="37" spans="1:28">
      <c r="A37" s="35" t="s">
        <v>84</v>
      </c>
      <c r="B37" s="31"/>
      <c r="C37" s="31"/>
      <c r="D37" s="31"/>
      <c r="E37" s="31"/>
      <c r="F37" s="31"/>
      <c r="G37" s="31"/>
      <c r="H37" s="31"/>
      <c r="I37" s="31"/>
      <c r="J37" s="31"/>
      <c r="K37" s="31"/>
      <c r="L37" s="31"/>
      <c r="M37" s="31"/>
      <c r="N37" s="31"/>
      <c r="O37" s="31"/>
      <c r="P37" s="31"/>
      <c r="Q37" s="31"/>
      <c r="R37" s="31"/>
      <c r="S37" s="31"/>
      <c r="T37" s="31">
        <f>SUM(B37:S37)</f>
        <v>0</v>
      </c>
      <c r="U37" s="39"/>
      <c r="V37" s="27"/>
      <c r="W37" s="27"/>
      <c r="X37" s="27"/>
      <c r="Y37" s="27"/>
      <c r="Z37" s="27"/>
      <c r="AA37" s="27"/>
      <c r="AB37" s="27"/>
    </row>
    <row r="38" spans="1:28">
      <c r="A38" s="40" t="s">
        <v>23</v>
      </c>
      <c r="B38" s="41">
        <f t="shared" ref="B38:J38" si="1">SUM(B7:B37)</f>
        <v>5017500</v>
      </c>
      <c r="C38" s="41">
        <f t="shared" si="1"/>
        <v>3140000</v>
      </c>
      <c r="D38" s="41">
        <f t="shared" si="1"/>
        <v>2508000</v>
      </c>
      <c r="E38" s="41">
        <f t="shared" si="1"/>
        <v>372500</v>
      </c>
      <c r="F38" s="41">
        <f t="shared" si="1"/>
        <v>2806400</v>
      </c>
      <c r="G38" s="41">
        <f t="shared" si="1"/>
        <v>102000</v>
      </c>
      <c r="H38" s="41">
        <f t="shared" si="1"/>
        <v>1473000</v>
      </c>
      <c r="I38" s="41">
        <f t="shared" si="1"/>
        <v>1351500</v>
      </c>
      <c r="J38" s="41">
        <f t="shared" si="1"/>
        <v>232000</v>
      </c>
      <c r="K38" s="41">
        <f>SUM(B38:J38)</f>
        <v>17002900</v>
      </c>
      <c r="L38" s="41"/>
      <c r="M38" s="41"/>
      <c r="N38" s="41"/>
      <c r="O38" s="41">
        <f>SUM(O7:O37)</f>
        <v>218000</v>
      </c>
      <c r="P38" s="41"/>
      <c r="Q38" s="41"/>
      <c r="R38" s="41">
        <f>SUM(R7:R37)</f>
        <v>8593500</v>
      </c>
      <c r="S38" s="41"/>
      <c r="T38" s="41">
        <f>SUM(T7:T37)</f>
        <v>25814400</v>
      </c>
      <c r="U38" s="45">
        <f>SUM(U7:U37)</f>
        <v>-7825000</v>
      </c>
    </row>
    <row r="39" spans="1:28">
      <c r="A39" s="34"/>
      <c r="B39" s="34"/>
      <c r="C39" s="34"/>
      <c r="D39" s="34"/>
      <c r="E39" s="34"/>
      <c r="F39" s="34"/>
      <c r="G39" s="34"/>
      <c r="H39" s="34"/>
      <c r="I39" s="34"/>
      <c r="J39" s="34"/>
      <c r="K39" s="34"/>
      <c r="L39" s="34"/>
      <c r="M39" s="34"/>
      <c r="N39" s="34"/>
      <c r="O39" s="34"/>
      <c r="P39" s="34"/>
      <c r="Q39" s="34"/>
      <c r="R39" s="34"/>
      <c r="S39" s="34"/>
      <c r="T39" s="34"/>
      <c r="U39" s="34"/>
    </row>
  </sheetData>
  <mergeCells count="4">
    <mergeCell ref="B2:T2"/>
    <mergeCell ref="B3:T3"/>
    <mergeCell ref="C4:F4"/>
    <mergeCell ref="C5:F5"/>
  </mergeCells>
  <pageMargins left="0.7" right="0.7" top="0.75" bottom="0.75" header="0.3" footer="0.3"/>
  <pageSetup orientation="portrait" horizontalDpi="0"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2:H38"/>
  <sheetViews>
    <sheetView workbookViewId="0">
      <selection activeCell="B8" sqref="B8:H36"/>
    </sheetView>
  </sheetViews>
  <sheetFormatPr defaultRowHeight="15"/>
  <cols>
    <col min="2" max="2" width="18.28515625" customWidth="1"/>
    <col min="3" max="3" width="13" customWidth="1"/>
    <col min="4" max="4" width="13.28515625" customWidth="1"/>
    <col min="5" max="5" width="14.140625" customWidth="1"/>
    <col min="6" max="6" width="12.140625" customWidth="1"/>
    <col min="7" max="7" width="11.85546875" customWidth="1"/>
    <col min="8" max="8" width="17.85546875" customWidth="1"/>
  </cols>
  <sheetData>
    <row r="2" spans="2:8" ht="15.75" thickBot="1"/>
    <row r="3" spans="2:8" ht="26.25">
      <c r="B3" s="82" t="s">
        <v>68</v>
      </c>
      <c r="C3" s="83"/>
      <c r="D3" s="83"/>
      <c r="E3" s="83"/>
      <c r="F3" s="83"/>
      <c r="G3" s="84"/>
      <c r="H3" s="85"/>
    </row>
    <row r="4" spans="2:8" ht="26.25">
      <c r="B4" s="86" t="s">
        <v>0</v>
      </c>
      <c r="C4" s="87"/>
      <c r="D4" s="87"/>
      <c r="E4" s="87"/>
      <c r="F4" s="87"/>
      <c r="G4" s="88"/>
      <c r="H4" s="89"/>
    </row>
    <row r="5" spans="2:8" ht="15.75" thickBot="1">
      <c r="B5" s="1"/>
      <c r="C5" s="2"/>
      <c r="D5" s="2"/>
      <c r="E5" s="2"/>
      <c r="F5" s="2"/>
      <c r="G5" s="2"/>
      <c r="H5" s="3"/>
    </row>
    <row r="6" spans="2:8" ht="15.75" thickBot="1">
      <c r="B6" s="4"/>
      <c r="H6" s="5"/>
    </row>
    <row r="7" spans="2:8" ht="16.5" thickBot="1">
      <c r="B7" s="6" t="s">
        <v>1</v>
      </c>
      <c r="C7" s="90" t="s">
        <v>69</v>
      </c>
      <c r="D7" s="71"/>
      <c r="E7" s="72"/>
      <c r="F7" s="7"/>
      <c r="G7" s="7"/>
      <c r="H7" s="8"/>
    </row>
    <row r="8" spans="2:8" ht="16.5" thickBot="1">
      <c r="B8" s="9"/>
      <c r="C8" s="10"/>
      <c r="D8" s="10"/>
      <c r="E8" s="10"/>
      <c r="F8" s="10"/>
      <c r="G8" s="10"/>
      <c r="H8" s="8"/>
    </row>
    <row r="9" spans="2:8" ht="16.5" thickBot="1">
      <c r="B9" s="6" t="s">
        <v>24</v>
      </c>
      <c r="C9" s="70" t="s">
        <v>86</v>
      </c>
      <c r="D9" s="71"/>
      <c r="E9" s="72"/>
      <c r="F9" s="11"/>
      <c r="G9" s="11"/>
      <c r="H9" s="12"/>
    </row>
    <row r="10" spans="2:8" ht="15.75">
      <c r="B10" s="13" t="s">
        <v>25</v>
      </c>
      <c r="C10" s="14" t="s">
        <v>26</v>
      </c>
      <c r="D10" s="14" t="s">
        <v>27</v>
      </c>
      <c r="E10" s="14" t="s">
        <v>28</v>
      </c>
      <c r="F10" s="14" t="s">
        <v>29</v>
      </c>
      <c r="G10" s="15" t="s">
        <v>30</v>
      </c>
      <c r="H10" s="16" t="s">
        <v>31</v>
      </c>
    </row>
    <row r="11" spans="2:8" ht="15.75">
      <c r="B11" s="17" t="s">
        <v>4</v>
      </c>
      <c r="C11" s="18">
        <v>1060000</v>
      </c>
      <c r="D11" s="18">
        <v>1253500</v>
      </c>
      <c r="E11" s="18">
        <v>1068000</v>
      </c>
      <c r="F11" s="18">
        <v>1388500</v>
      </c>
      <c r="G11" s="19">
        <v>247500</v>
      </c>
      <c r="H11" s="20">
        <f t="shared" ref="H11:H19" si="0">SUM(C11:G11)</f>
        <v>5017500</v>
      </c>
    </row>
    <row r="12" spans="2:8" ht="15.75">
      <c r="B12" s="17" t="s">
        <v>5</v>
      </c>
      <c r="C12" s="18">
        <v>471000</v>
      </c>
      <c r="D12" s="18">
        <v>923000</v>
      </c>
      <c r="E12" s="18">
        <v>743000</v>
      </c>
      <c r="F12" s="18">
        <v>873000</v>
      </c>
      <c r="G12" s="19">
        <v>124000</v>
      </c>
      <c r="H12" s="20">
        <f t="shared" si="0"/>
        <v>3134000</v>
      </c>
    </row>
    <row r="13" spans="2:8" ht="15.75">
      <c r="B13" s="17" t="s">
        <v>32</v>
      </c>
      <c r="C13" s="18">
        <v>545000</v>
      </c>
      <c r="D13" s="18">
        <v>593000</v>
      </c>
      <c r="E13" s="18">
        <v>717000</v>
      </c>
      <c r="F13" s="18">
        <v>494000</v>
      </c>
      <c r="G13" s="19">
        <v>159000</v>
      </c>
      <c r="H13" s="20">
        <f t="shared" si="0"/>
        <v>2508000</v>
      </c>
    </row>
    <row r="14" spans="2:8" ht="15.75">
      <c r="B14" s="17" t="s">
        <v>33</v>
      </c>
      <c r="C14" s="18">
        <v>143000</v>
      </c>
      <c r="D14" s="18">
        <v>69000</v>
      </c>
      <c r="E14" s="18">
        <v>79000</v>
      </c>
      <c r="F14" s="18">
        <v>75500</v>
      </c>
      <c r="G14" s="19">
        <v>5500</v>
      </c>
      <c r="H14" s="20">
        <f t="shared" si="0"/>
        <v>372000</v>
      </c>
    </row>
    <row r="15" spans="2:8" ht="15.75">
      <c r="B15" s="17" t="s">
        <v>8</v>
      </c>
      <c r="C15" s="18">
        <v>601000</v>
      </c>
      <c r="D15" s="18">
        <v>682900</v>
      </c>
      <c r="E15" s="18">
        <v>742000</v>
      </c>
      <c r="F15" s="18">
        <v>567000</v>
      </c>
      <c r="G15" s="19">
        <v>220000</v>
      </c>
      <c r="H15" s="20">
        <f t="shared" si="0"/>
        <v>2812900</v>
      </c>
    </row>
    <row r="16" spans="2:8" ht="15.75">
      <c r="B16" s="17" t="s">
        <v>9</v>
      </c>
      <c r="C16" s="18">
        <v>36000</v>
      </c>
      <c r="D16" s="18">
        <v>18000</v>
      </c>
      <c r="E16" s="18">
        <v>12000</v>
      </c>
      <c r="F16" s="18">
        <v>12000</v>
      </c>
      <c r="G16" s="19">
        <v>24000</v>
      </c>
      <c r="H16" s="20">
        <f t="shared" si="0"/>
        <v>102000</v>
      </c>
    </row>
    <row r="17" spans="2:8" ht="15.75">
      <c r="B17" s="17" t="s">
        <v>10</v>
      </c>
      <c r="C17" s="18">
        <v>271500</v>
      </c>
      <c r="D17" s="18">
        <v>393000</v>
      </c>
      <c r="E17" s="18">
        <v>318500</v>
      </c>
      <c r="F17" s="18">
        <v>371000</v>
      </c>
      <c r="G17" s="19">
        <v>119000</v>
      </c>
      <c r="H17" s="20">
        <f t="shared" si="0"/>
        <v>1473000</v>
      </c>
    </row>
    <row r="18" spans="2:8" ht="15.75">
      <c r="B18" s="17" t="s">
        <v>11</v>
      </c>
      <c r="C18" s="18">
        <v>295500</v>
      </c>
      <c r="D18" s="18">
        <v>464500</v>
      </c>
      <c r="E18" s="18">
        <v>256000</v>
      </c>
      <c r="F18" s="18">
        <v>176000</v>
      </c>
      <c r="G18" s="19">
        <v>159500</v>
      </c>
      <c r="H18" s="20">
        <f t="shared" si="0"/>
        <v>1351500</v>
      </c>
    </row>
    <row r="19" spans="2:8" ht="15.75">
      <c r="B19" s="17" t="s">
        <v>12</v>
      </c>
      <c r="C19" s="18">
        <v>54000</v>
      </c>
      <c r="D19" s="18">
        <v>31000</v>
      </c>
      <c r="E19" s="18">
        <v>75000</v>
      </c>
      <c r="F19" s="18">
        <v>67000</v>
      </c>
      <c r="G19" s="19">
        <v>5000</v>
      </c>
      <c r="H19" s="20">
        <f t="shared" si="0"/>
        <v>232000</v>
      </c>
    </row>
    <row r="20" spans="2:8" ht="15.75">
      <c r="B20" s="17" t="s">
        <v>13</v>
      </c>
      <c r="C20" s="18"/>
      <c r="D20" s="18"/>
      <c r="E20" s="18"/>
      <c r="F20" s="18"/>
      <c r="G20" s="19"/>
      <c r="H20" s="20">
        <f t="shared" ref="H20:H27" si="1">SUM(C20:F20)</f>
        <v>0</v>
      </c>
    </row>
    <row r="21" spans="2:8" ht="15.75">
      <c r="B21" s="17" t="s">
        <v>14</v>
      </c>
      <c r="C21" s="18"/>
      <c r="D21" s="18"/>
      <c r="E21" s="18"/>
      <c r="F21" s="18"/>
      <c r="G21" s="19"/>
      <c r="H21" s="20">
        <f t="shared" si="1"/>
        <v>0</v>
      </c>
    </row>
    <row r="22" spans="2:8" ht="15.75">
      <c r="B22" s="17" t="s">
        <v>15</v>
      </c>
      <c r="C22" s="18"/>
      <c r="D22" s="18"/>
      <c r="E22" s="18"/>
      <c r="F22" s="18"/>
      <c r="G22" s="19"/>
      <c r="H22" s="20">
        <f t="shared" si="1"/>
        <v>0</v>
      </c>
    </row>
    <row r="23" spans="2:8" ht="15.75">
      <c r="B23" s="17" t="s">
        <v>16</v>
      </c>
      <c r="C23" s="18"/>
      <c r="D23" s="18"/>
      <c r="E23" s="18"/>
      <c r="F23" s="18"/>
      <c r="G23" s="19"/>
      <c r="H23" s="20">
        <f t="shared" si="1"/>
        <v>0</v>
      </c>
    </row>
    <row r="24" spans="2:8" ht="15.75">
      <c r="B24" s="17" t="s">
        <v>17</v>
      </c>
      <c r="C24" s="18">
        <v>7000</v>
      </c>
      <c r="D24" s="18">
        <v>116000</v>
      </c>
      <c r="E24" s="18">
        <v>37000</v>
      </c>
      <c r="F24" s="18">
        <v>52000</v>
      </c>
      <c r="G24" s="19">
        <v>6000</v>
      </c>
      <c r="H24" s="20">
        <v>218000</v>
      </c>
    </row>
    <row r="25" spans="2:8" ht="15.75">
      <c r="B25" s="17" t="s">
        <v>18</v>
      </c>
      <c r="C25" s="18"/>
      <c r="D25" s="18"/>
      <c r="E25" s="18"/>
      <c r="F25" s="18"/>
      <c r="G25" s="19"/>
      <c r="H25" s="20">
        <f t="shared" si="1"/>
        <v>0</v>
      </c>
    </row>
    <row r="26" spans="2:8" ht="15.75">
      <c r="B26" s="17" t="s">
        <v>19</v>
      </c>
      <c r="C26" s="18"/>
      <c r="D26" s="18"/>
      <c r="E26" s="18"/>
      <c r="F26" s="18"/>
      <c r="G26" s="19"/>
      <c r="H26" s="20">
        <f t="shared" si="1"/>
        <v>0</v>
      </c>
    </row>
    <row r="27" spans="2:8" ht="15.75">
      <c r="B27" s="17" t="s">
        <v>34</v>
      </c>
      <c r="C27" s="18"/>
      <c r="D27" s="18"/>
      <c r="E27" s="18"/>
      <c r="F27" s="18"/>
      <c r="G27" s="19"/>
      <c r="H27" s="20">
        <f t="shared" si="1"/>
        <v>0</v>
      </c>
    </row>
    <row r="28" spans="2:8" ht="16.5" thickBot="1">
      <c r="B28" s="21" t="s">
        <v>35</v>
      </c>
      <c r="C28" s="22">
        <f t="shared" ref="C28:H28" si="2">SUM(C11:C27)</f>
        <v>3484000</v>
      </c>
      <c r="D28" s="22">
        <f t="shared" si="2"/>
        <v>4543900</v>
      </c>
      <c r="E28" s="22">
        <f t="shared" si="2"/>
        <v>4047500</v>
      </c>
      <c r="F28" s="22">
        <f t="shared" si="2"/>
        <v>4076000</v>
      </c>
      <c r="G28" s="22">
        <f t="shared" si="2"/>
        <v>1069500</v>
      </c>
      <c r="H28" s="23">
        <f t="shared" si="2"/>
        <v>17220900</v>
      </c>
    </row>
    <row r="30" spans="2:8" ht="15.75" thickBot="1"/>
    <row r="31" spans="2:8" ht="21.75" thickBot="1">
      <c r="B31" s="73" t="s">
        <v>36</v>
      </c>
      <c r="C31" s="74"/>
      <c r="D31" s="74"/>
      <c r="E31" s="74"/>
      <c r="F31" s="74"/>
      <c r="G31" s="74"/>
      <c r="H31" s="75"/>
    </row>
    <row r="32" spans="2:8" ht="15.75" customHeight="1" thickBot="1">
      <c r="B32" s="77" t="s">
        <v>89</v>
      </c>
      <c r="C32" s="68"/>
      <c r="D32" s="68"/>
      <c r="E32" s="68"/>
      <c r="F32" s="68"/>
      <c r="G32" s="68"/>
      <c r="H32" s="69"/>
    </row>
    <row r="33" spans="2:8" ht="15.75" thickBot="1">
      <c r="B33" s="24"/>
      <c r="C33" s="25"/>
      <c r="D33" s="25"/>
      <c r="E33" s="25"/>
      <c r="F33" s="25"/>
      <c r="G33" s="25"/>
      <c r="H33" s="26"/>
    </row>
    <row r="34" spans="2:8" ht="15.75" thickBot="1">
      <c r="B34" s="67"/>
      <c r="C34" s="68"/>
      <c r="D34" s="68"/>
      <c r="E34" s="68"/>
      <c r="F34" s="68"/>
      <c r="G34" s="68"/>
      <c r="H34" s="69"/>
    </row>
    <row r="35" spans="2:8" ht="15.75" thickBot="1">
      <c r="B35" s="77" t="s">
        <v>90</v>
      </c>
      <c r="C35" s="68"/>
      <c r="D35" s="68"/>
      <c r="E35" s="68"/>
      <c r="F35" s="68"/>
      <c r="G35" s="68"/>
      <c r="H35" s="69"/>
    </row>
    <row r="36" spans="2:8" ht="15.75" thickBot="1">
      <c r="B36" s="67"/>
      <c r="C36" s="68"/>
      <c r="D36" s="68"/>
      <c r="E36" s="68"/>
      <c r="F36" s="68"/>
      <c r="G36" s="68"/>
      <c r="H36" s="69"/>
    </row>
    <row r="37" spans="2:8" ht="15.75" thickBot="1">
      <c r="B37" s="67"/>
      <c r="C37" s="68"/>
      <c r="D37" s="68"/>
      <c r="E37" s="68"/>
      <c r="F37" s="68"/>
      <c r="G37" s="68"/>
      <c r="H37" s="69"/>
    </row>
    <row r="38" spans="2:8">
      <c r="B38" s="81"/>
      <c r="C38" s="81"/>
      <c r="D38" s="81"/>
      <c r="E38" s="81"/>
      <c r="F38" s="81"/>
      <c r="G38" s="81"/>
      <c r="H38" s="81"/>
    </row>
  </sheetData>
  <mergeCells count="11">
    <mergeCell ref="B34:H34"/>
    <mergeCell ref="B35:H35"/>
    <mergeCell ref="B36:H36"/>
    <mergeCell ref="B37:H37"/>
    <mergeCell ref="B38:H38"/>
    <mergeCell ref="B32:H32"/>
    <mergeCell ref="B3:H3"/>
    <mergeCell ref="B4:H4"/>
    <mergeCell ref="C7:E7"/>
    <mergeCell ref="C9:E9"/>
    <mergeCell ref="B31:H31"/>
  </mergeCells>
  <pageMargins left="0.7" right="0.7" top="0.75" bottom="0.75" header="0.3" footer="0.3"/>
  <pageSetup orientation="landscape" horizontalDpi="0"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V39"/>
  <sheetViews>
    <sheetView workbookViewId="0">
      <selection activeCell="O36" sqref="O36"/>
    </sheetView>
  </sheetViews>
  <sheetFormatPr defaultRowHeight="15"/>
  <cols>
    <col min="2" max="2" width="10.7109375" customWidth="1"/>
    <col min="3" max="3" width="10" customWidth="1"/>
    <col min="4" max="4" width="10.28515625" customWidth="1"/>
    <col min="6" max="6" width="10" customWidth="1"/>
    <col min="8" max="8" width="10" customWidth="1"/>
    <col min="9" max="9" width="10.85546875" customWidth="1"/>
    <col min="11" max="11" width="7.7109375" customWidth="1"/>
    <col min="12" max="12" width="7.140625" customWidth="1"/>
    <col min="13" max="13" width="6.85546875" customWidth="1"/>
    <col min="14" max="14" width="7.140625" customWidth="1"/>
    <col min="15" max="15" width="9.28515625" customWidth="1"/>
    <col min="16" max="16" width="7.140625" customWidth="1"/>
    <col min="17" max="17" width="7" customWidth="1"/>
    <col min="18" max="18" width="11.28515625" customWidth="1"/>
    <col min="20" max="20" width="11" customWidth="1"/>
    <col min="21" max="21" width="9.7109375" customWidth="1"/>
  </cols>
  <sheetData>
    <row r="1" spans="1:21" ht="15.75" thickBot="1"/>
    <row r="2" spans="1:21" ht="26.25">
      <c r="A2" s="28"/>
      <c r="B2" s="55" t="s">
        <v>68</v>
      </c>
      <c r="C2" s="56"/>
      <c r="D2" s="56"/>
      <c r="E2" s="56"/>
      <c r="F2" s="56"/>
      <c r="G2" s="56"/>
      <c r="H2" s="56"/>
      <c r="I2" s="56"/>
      <c r="J2" s="56"/>
      <c r="K2" s="56"/>
      <c r="L2" s="56"/>
      <c r="M2" s="56"/>
      <c r="N2" s="56"/>
      <c r="O2" s="56"/>
      <c r="P2" s="56"/>
      <c r="Q2" s="56"/>
      <c r="R2" s="56"/>
      <c r="S2" s="56"/>
      <c r="T2" s="57"/>
    </row>
    <row r="3" spans="1:21" ht="27" thickBot="1">
      <c r="A3" s="4"/>
      <c r="B3" s="58" t="s">
        <v>0</v>
      </c>
      <c r="C3" s="59"/>
      <c r="D3" s="59"/>
      <c r="E3" s="59"/>
      <c r="F3" s="59"/>
      <c r="G3" s="59"/>
      <c r="H3" s="59"/>
      <c r="I3" s="59"/>
      <c r="J3" s="59"/>
      <c r="K3" s="59"/>
      <c r="L3" s="59"/>
      <c r="M3" s="59"/>
      <c r="N3" s="59"/>
      <c r="O3" s="59"/>
      <c r="P3" s="59"/>
      <c r="Q3" s="59"/>
      <c r="R3" s="59"/>
      <c r="S3" s="59"/>
      <c r="T3" s="60"/>
    </row>
    <row r="4" spans="1:21" ht="27" thickBot="1">
      <c r="A4" s="4"/>
      <c r="B4" s="29" t="s">
        <v>1</v>
      </c>
      <c r="C4" s="61" t="s">
        <v>69</v>
      </c>
      <c r="D4" s="62"/>
      <c r="E4" s="62"/>
      <c r="F4" s="63"/>
      <c r="T4" s="5"/>
    </row>
    <row r="5" spans="1:21" ht="21">
      <c r="A5" s="4"/>
      <c r="B5" s="30" t="s">
        <v>2</v>
      </c>
      <c r="C5" s="78">
        <v>45413</v>
      </c>
      <c r="D5" s="79"/>
      <c r="E5" s="79"/>
      <c r="F5" s="80"/>
      <c r="T5" s="5"/>
    </row>
    <row r="6" spans="1:21" ht="67.5">
      <c r="A6" s="32" t="s">
        <v>3</v>
      </c>
      <c r="B6" s="33" t="s">
        <v>4</v>
      </c>
      <c r="C6" s="33" t="s">
        <v>5</v>
      </c>
      <c r="D6" s="33" t="s">
        <v>6</v>
      </c>
      <c r="E6" s="33" t="s">
        <v>7</v>
      </c>
      <c r="F6" s="33" t="s">
        <v>8</v>
      </c>
      <c r="G6" s="33" t="s">
        <v>9</v>
      </c>
      <c r="H6" s="33" t="s">
        <v>10</v>
      </c>
      <c r="I6" s="33" t="s">
        <v>11</v>
      </c>
      <c r="J6" s="33" t="s">
        <v>12</v>
      </c>
      <c r="K6" s="33" t="s">
        <v>13</v>
      </c>
      <c r="L6" s="33" t="s">
        <v>14</v>
      </c>
      <c r="M6" s="33" t="s">
        <v>15</v>
      </c>
      <c r="N6" s="33" t="s">
        <v>16</v>
      </c>
      <c r="O6" s="33" t="s">
        <v>17</v>
      </c>
      <c r="P6" s="33" t="s">
        <v>18</v>
      </c>
      <c r="Q6" s="33" t="s">
        <v>19</v>
      </c>
      <c r="R6" s="33" t="s">
        <v>20</v>
      </c>
      <c r="S6" s="33" t="s">
        <v>21</v>
      </c>
      <c r="T6" s="33" t="s">
        <v>22</v>
      </c>
      <c r="U6" s="34" t="s">
        <v>87</v>
      </c>
    </row>
    <row r="7" spans="1:21">
      <c r="A7" s="35" t="s">
        <v>67</v>
      </c>
      <c r="B7" s="36">
        <v>151500</v>
      </c>
      <c r="C7" s="36">
        <v>8000</v>
      </c>
      <c r="D7" s="36">
        <v>79500</v>
      </c>
      <c r="E7" s="36">
        <v>37000</v>
      </c>
      <c r="F7" s="36">
        <v>130000</v>
      </c>
      <c r="G7" s="36">
        <v>12000</v>
      </c>
      <c r="H7" s="36">
        <v>68000</v>
      </c>
      <c r="I7" s="36">
        <v>71000</v>
      </c>
      <c r="J7" s="36">
        <v>23000</v>
      </c>
      <c r="K7" s="36"/>
      <c r="L7" s="36"/>
      <c r="M7" s="36"/>
      <c r="N7" s="36"/>
      <c r="O7" s="36">
        <v>11000</v>
      </c>
      <c r="P7" s="36"/>
      <c r="Q7" s="36"/>
      <c r="R7" s="36">
        <v>1111000</v>
      </c>
      <c r="S7" s="37"/>
      <c r="T7" s="37">
        <v>591000</v>
      </c>
      <c r="U7" s="45"/>
    </row>
    <row r="8" spans="1:21">
      <c r="A8" s="35" t="s">
        <v>37</v>
      </c>
      <c r="B8" s="36">
        <v>171500</v>
      </c>
      <c r="C8" s="36">
        <v>44000</v>
      </c>
      <c r="D8" s="36">
        <v>73500</v>
      </c>
      <c r="E8" s="36">
        <v>14000</v>
      </c>
      <c r="F8" s="36">
        <v>118500</v>
      </c>
      <c r="G8" s="36">
        <v>0</v>
      </c>
      <c r="H8" s="36">
        <v>28000</v>
      </c>
      <c r="I8" s="36">
        <v>32500</v>
      </c>
      <c r="J8" s="36">
        <v>20000</v>
      </c>
      <c r="K8" s="36"/>
      <c r="L8" s="36"/>
      <c r="M8" s="36"/>
      <c r="N8" s="36"/>
      <c r="O8" s="36">
        <v>17000</v>
      </c>
      <c r="P8" s="36"/>
      <c r="Q8" s="36"/>
      <c r="R8" s="36">
        <v>38000</v>
      </c>
      <c r="S8" s="37"/>
      <c r="T8" s="37">
        <f t="shared" ref="T8:T36" si="0">SUM(B8:S8)</f>
        <v>557000</v>
      </c>
      <c r="U8" s="45"/>
    </row>
    <row r="9" spans="1:21">
      <c r="A9" s="35" t="s">
        <v>38</v>
      </c>
      <c r="B9" s="36">
        <v>100000</v>
      </c>
      <c r="C9" s="36">
        <v>44000</v>
      </c>
      <c r="D9" s="36">
        <v>85500</v>
      </c>
      <c r="E9" s="36">
        <v>18500</v>
      </c>
      <c r="F9" s="36">
        <v>73000</v>
      </c>
      <c r="G9" s="36">
        <v>12000</v>
      </c>
      <c r="H9" s="36">
        <v>64000</v>
      </c>
      <c r="I9" s="36">
        <v>61000</v>
      </c>
      <c r="J9" s="36">
        <v>2000</v>
      </c>
      <c r="K9" s="36"/>
      <c r="L9" s="36"/>
      <c r="M9" s="36"/>
      <c r="N9" s="36"/>
      <c r="O9" s="36">
        <v>0</v>
      </c>
      <c r="P9" s="36"/>
      <c r="Q9" s="36"/>
      <c r="R9" s="36">
        <v>716000</v>
      </c>
      <c r="S9" s="37"/>
      <c r="T9" s="37">
        <f t="shared" si="0"/>
        <v>1176000</v>
      </c>
      <c r="U9" s="45"/>
    </row>
    <row r="10" spans="1:21">
      <c r="A10" s="35" t="s">
        <v>39</v>
      </c>
      <c r="B10" s="36">
        <v>107000</v>
      </c>
      <c r="C10" s="36">
        <v>63000</v>
      </c>
      <c r="D10" s="36">
        <v>125000</v>
      </c>
      <c r="E10" s="36">
        <v>7000</v>
      </c>
      <c r="F10" s="36">
        <v>112000</v>
      </c>
      <c r="G10" s="36">
        <v>0</v>
      </c>
      <c r="H10" s="36">
        <v>62000</v>
      </c>
      <c r="I10" s="36">
        <v>10000</v>
      </c>
      <c r="J10" s="36">
        <v>10000</v>
      </c>
      <c r="K10" s="36"/>
      <c r="L10" s="36"/>
      <c r="M10" s="36"/>
      <c r="N10" s="36"/>
      <c r="O10" s="36">
        <v>34000</v>
      </c>
      <c r="P10" s="36"/>
      <c r="Q10" s="36"/>
      <c r="R10" s="36">
        <v>-278000</v>
      </c>
      <c r="S10" s="37"/>
      <c r="T10" s="37">
        <f t="shared" si="0"/>
        <v>252000</v>
      </c>
      <c r="U10" s="42"/>
    </row>
    <row r="11" spans="1:21">
      <c r="A11" s="35" t="s">
        <v>40</v>
      </c>
      <c r="B11" s="37">
        <v>180500</v>
      </c>
      <c r="C11" s="37">
        <v>24000</v>
      </c>
      <c r="D11" s="37">
        <v>49500</v>
      </c>
      <c r="E11" s="37">
        <v>81500</v>
      </c>
      <c r="F11" s="37">
        <v>137500</v>
      </c>
      <c r="G11" s="37">
        <v>0</v>
      </c>
      <c r="H11" s="37">
        <v>33000</v>
      </c>
      <c r="I11" s="37">
        <v>12000</v>
      </c>
      <c r="J11" s="37">
        <v>0</v>
      </c>
      <c r="K11" s="37"/>
      <c r="L11" s="37"/>
      <c r="M11" s="37"/>
      <c r="N11" s="37"/>
      <c r="O11" s="37">
        <v>0</v>
      </c>
      <c r="P11" s="37"/>
      <c r="Q11" s="37"/>
      <c r="R11" s="37">
        <v>-4000</v>
      </c>
      <c r="S11" s="37"/>
      <c r="T11" s="37">
        <f t="shared" si="0"/>
        <v>514000</v>
      </c>
      <c r="U11" s="42"/>
    </row>
    <row r="12" spans="1:21">
      <c r="A12" s="35" t="s">
        <v>41</v>
      </c>
      <c r="B12" s="37">
        <v>227500</v>
      </c>
      <c r="C12" s="37">
        <v>16000</v>
      </c>
      <c r="D12" s="37">
        <v>106500</v>
      </c>
      <c r="E12" s="37">
        <v>0</v>
      </c>
      <c r="F12" s="37">
        <v>49000</v>
      </c>
      <c r="G12" s="37">
        <v>0</v>
      </c>
      <c r="H12" s="37">
        <v>24500</v>
      </c>
      <c r="I12" s="37">
        <v>32500</v>
      </c>
      <c r="J12" s="37">
        <v>6500</v>
      </c>
      <c r="K12" s="37"/>
      <c r="L12" s="37"/>
      <c r="M12" s="37"/>
      <c r="N12" s="37"/>
      <c r="O12" s="37">
        <v>18000</v>
      </c>
      <c r="P12" s="37"/>
      <c r="Q12" s="37"/>
      <c r="R12" s="37">
        <v>189000</v>
      </c>
      <c r="S12" s="37"/>
      <c r="T12" s="37">
        <f t="shared" si="0"/>
        <v>669500</v>
      </c>
      <c r="U12" s="42"/>
    </row>
    <row r="13" spans="1:21">
      <c r="A13" s="35" t="s">
        <v>42</v>
      </c>
      <c r="B13" s="37">
        <v>192500</v>
      </c>
      <c r="C13" s="37">
        <v>67000</v>
      </c>
      <c r="D13" s="37">
        <v>74500</v>
      </c>
      <c r="E13" s="37">
        <v>39000</v>
      </c>
      <c r="F13" s="37">
        <v>85500</v>
      </c>
      <c r="G13" s="37">
        <v>0</v>
      </c>
      <c r="H13" s="37">
        <v>18000</v>
      </c>
      <c r="I13" s="37">
        <v>58000</v>
      </c>
      <c r="J13" s="37">
        <v>2000</v>
      </c>
      <c r="K13" s="37"/>
      <c r="L13" s="37"/>
      <c r="M13" s="37"/>
      <c r="N13" s="37"/>
      <c r="O13" s="37">
        <v>5000</v>
      </c>
      <c r="P13" s="37"/>
      <c r="Q13" s="37"/>
      <c r="R13" s="37">
        <v>2024000</v>
      </c>
      <c r="S13" s="37"/>
      <c r="T13" s="37">
        <f t="shared" si="0"/>
        <v>2565500</v>
      </c>
      <c r="U13" s="42">
        <v>3550000</v>
      </c>
    </row>
    <row r="14" spans="1:21">
      <c r="A14" s="35" t="s">
        <v>43</v>
      </c>
      <c r="B14" s="37">
        <v>197500</v>
      </c>
      <c r="C14" s="37">
        <v>122000</v>
      </c>
      <c r="D14" s="37">
        <v>71500</v>
      </c>
      <c r="E14" s="37">
        <v>7500</v>
      </c>
      <c r="F14" s="37">
        <v>85500</v>
      </c>
      <c r="G14" s="37">
        <v>0</v>
      </c>
      <c r="H14" s="37">
        <v>33000</v>
      </c>
      <c r="I14" s="37">
        <v>44500</v>
      </c>
      <c r="J14" s="37">
        <v>0</v>
      </c>
      <c r="K14" s="37"/>
      <c r="L14" s="37"/>
      <c r="M14" s="37"/>
      <c r="N14" s="37"/>
      <c r="O14" s="37">
        <v>0</v>
      </c>
      <c r="P14" s="37"/>
      <c r="Q14" s="37"/>
      <c r="R14" s="37">
        <v>-55000</v>
      </c>
      <c r="S14" s="37"/>
      <c r="T14" s="37">
        <f t="shared" si="0"/>
        <v>506500</v>
      </c>
      <c r="U14" s="42"/>
    </row>
    <row r="15" spans="1:21">
      <c r="A15" s="35" t="s">
        <v>44</v>
      </c>
      <c r="B15" s="37">
        <v>186500</v>
      </c>
      <c r="C15" s="37">
        <v>281000</v>
      </c>
      <c r="D15" s="37">
        <v>94000</v>
      </c>
      <c r="E15" s="37">
        <v>12000</v>
      </c>
      <c r="F15" s="37">
        <v>110000</v>
      </c>
      <c r="G15" s="37">
        <v>0</v>
      </c>
      <c r="H15" s="37">
        <v>50000</v>
      </c>
      <c r="I15" s="37">
        <v>5500</v>
      </c>
      <c r="J15" s="37">
        <v>5000</v>
      </c>
      <c r="K15" s="37"/>
      <c r="L15" s="37"/>
      <c r="M15" s="37"/>
      <c r="N15" s="37"/>
      <c r="O15" s="37">
        <v>0</v>
      </c>
      <c r="P15" s="37"/>
      <c r="Q15" s="37"/>
      <c r="R15" s="37">
        <v>485000</v>
      </c>
      <c r="S15" s="37"/>
      <c r="T15" s="37">
        <f t="shared" si="0"/>
        <v>1229000</v>
      </c>
      <c r="U15" s="34"/>
    </row>
    <row r="16" spans="1:21">
      <c r="A16" s="35" t="s">
        <v>45</v>
      </c>
      <c r="B16" s="37">
        <v>247500</v>
      </c>
      <c r="C16" s="37">
        <v>209000</v>
      </c>
      <c r="D16" s="37">
        <v>62000</v>
      </c>
      <c r="E16" s="37">
        <v>37000</v>
      </c>
      <c r="F16" s="37">
        <v>153000</v>
      </c>
      <c r="G16" s="37">
        <v>0</v>
      </c>
      <c r="H16" s="37">
        <v>148000</v>
      </c>
      <c r="I16" s="37">
        <v>58500</v>
      </c>
      <c r="J16" s="37">
        <v>40000</v>
      </c>
      <c r="K16" s="37"/>
      <c r="L16" s="37"/>
      <c r="M16" s="37"/>
      <c r="N16" s="37"/>
      <c r="O16" s="37">
        <v>12000</v>
      </c>
      <c r="P16" s="37"/>
      <c r="Q16" s="37"/>
      <c r="R16" s="37">
        <v>1916000</v>
      </c>
      <c r="S16" s="37"/>
      <c r="T16" s="37">
        <f t="shared" si="0"/>
        <v>2883000</v>
      </c>
      <c r="U16" s="34">
        <v>2200000</v>
      </c>
    </row>
    <row r="17" spans="1:22">
      <c r="A17" s="35" t="s">
        <v>46</v>
      </c>
      <c r="B17" s="37">
        <v>280000</v>
      </c>
      <c r="C17" s="37">
        <v>273000</v>
      </c>
      <c r="D17" s="37">
        <v>130000</v>
      </c>
      <c r="E17" s="37">
        <v>1500</v>
      </c>
      <c r="F17" s="37">
        <v>92000</v>
      </c>
      <c r="G17" s="37">
        <v>0</v>
      </c>
      <c r="H17" s="37">
        <v>18000</v>
      </c>
      <c r="I17" s="37">
        <v>72500</v>
      </c>
      <c r="J17" s="37">
        <v>20000</v>
      </c>
      <c r="K17" s="37"/>
      <c r="L17" s="37"/>
      <c r="M17" s="37"/>
      <c r="N17" s="37"/>
      <c r="O17" s="37">
        <v>5000</v>
      </c>
      <c r="P17" s="37"/>
      <c r="Q17" s="37"/>
      <c r="R17" s="37">
        <v>619000</v>
      </c>
      <c r="S17" s="37"/>
      <c r="T17" s="37">
        <f t="shared" si="0"/>
        <v>1511000</v>
      </c>
      <c r="U17" s="34"/>
    </row>
    <row r="18" spans="1:22">
      <c r="A18" s="35" t="s">
        <v>47</v>
      </c>
      <c r="B18" s="37">
        <v>188000</v>
      </c>
      <c r="C18" s="37">
        <v>112000</v>
      </c>
      <c r="D18" s="37">
        <v>93500</v>
      </c>
      <c r="E18" s="37">
        <v>21000</v>
      </c>
      <c r="F18" s="37">
        <v>110500</v>
      </c>
      <c r="G18" s="37">
        <v>0</v>
      </c>
      <c r="H18" s="37">
        <v>63000</v>
      </c>
      <c r="I18" s="37">
        <v>79000</v>
      </c>
      <c r="J18" s="37">
        <v>6000</v>
      </c>
      <c r="K18" s="37"/>
      <c r="L18" s="37"/>
      <c r="M18" s="37"/>
      <c r="N18" s="37"/>
      <c r="O18" s="37">
        <v>0</v>
      </c>
      <c r="P18" s="37"/>
      <c r="Q18" s="37"/>
      <c r="R18" s="37">
        <v>10000</v>
      </c>
      <c r="S18" s="37"/>
      <c r="T18" s="37">
        <f t="shared" si="0"/>
        <v>683000</v>
      </c>
      <c r="U18" s="34"/>
    </row>
    <row r="19" spans="1:22">
      <c r="A19" s="35" t="s">
        <v>48</v>
      </c>
      <c r="B19" s="37">
        <v>158500</v>
      </c>
      <c r="C19" s="37">
        <v>83000</v>
      </c>
      <c r="D19" s="37">
        <v>128000</v>
      </c>
      <c r="E19" s="37">
        <v>12000</v>
      </c>
      <c r="F19" s="37">
        <v>111700</v>
      </c>
      <c r="G19" s="37">
        <v>0</v>
      </c>
      <c r="H19" s="37">
        <v>51000</v>
      </c>
      <c r="I19" s="37">
        <v>22000</v>
      </c>
      <c r="J19" s="37">
        <v>4000</v>
      </c>
      <c r="K19" s="37"/>
      <c r="L19" s="37"/>
      <c r="M19" s="37"/>
      <c r="N19" s="37"/>
      <c r="O19" s="37">
        <v>0</v>
      </c>
      <c r="P19" s="37"/>
      <c r="Q19" s="37"/>
      <c r="R19" s="37">
        <v>-14500</v>
      </c>
      <c r="S19" s="37"/>
      <c r="T19" s="37">
        <f t="shared" si="0"/>
        <v>555700</v>
      </c>
      <c r="U19" s="34"/>
    </row>
    <row r="20" spans="1:22">
      <c r="A20" s="35" t="s">
        <v>49</v>
      </c>
      <c r="B20" s="37">
        <v>156000</v>
      </c>
      <c r="C20" s="37">
        <v>42000</v>
      </c>
      <c r="D20" s="37">
        <v>124000</v>
      </c>
      <c r="E20" s="37">
        <v>0</v>
      </c>
      <c r="F20" s="37">
        <v>107000</v>
      </c>
      <c r="G20" s="37">
        <v>12000</v>
      </c>
      <c r="H20" s="37">
        <v>86000</v>
      </c>
      <c r="I20" s="37">
        <v>25000</v>
      </c>
      <c r="J20" s="37">
        <v>0</v>
      </c>
      <c r="K20" s="37"/>
      <c r="L20" s="37"/>
      <c r="M20" s="37"/>
      <c r="N20" s="37"/>
      <c r="O20" s="37">
        <v>5000</v>
      </c>
      <c r="P20" s="37"/>
      <c r="Q20" s="37"/>
      <c r="R20" s="37">
        <v>1193500</v>
      </c>
      <c r="S20" s="37"/>
      <c r="T20" s="37">
        <f t="shared" si="0"/>
        <v>1750500</v>
      </c>
      <c r="U20" s="34"/>
    </row>
    <row r="21" spans="1:22">
      <c r="A21" s="35" t="s">
        <v>50</v>
      </c>
      <c r="B21" s="37">
        <v>134000</v>
      </c>
      <c r="C21" s="37">
        <v>261000</v>
      </c>
      <c r="D21" s="37">
        <v>84500</v>
      </c>
      <c r="E21" s="37">
        <v>4000</v>
      </c>
      <c r="F21" s="37">
        <v>86000</v>
      </c>
      <c r="G21" s="37">
        <v>6000</v>
      </c>
      <c r="H21" s="37">
        <v>43500</v>
      </c>
      <c r="I21" s="37">
        <v>40500</v>
      </c>
      <c r="J21" s="37">
        <v>12000</v>
      </c>
      <c r="K21" s="37"/>
      <c r="L21" s="37"/>
      <c r="M21" s="37"/>
      <c r="N21" s="37"/>
      <c r="O21" s="37">
        <v>17000</v>
      </c>
      <c r="P21" s="37"/>
      <c r="Q21" s="37"/>
      <c r="R21" s="37">
        <v>1389000</v>
      </c>
      <c r="S21" s="37"/>
      <c r="T21" s="37">
        <f t="shared" si="0"/>
        <v>2077500</v>
      </c>
      <c r="U21" s="34"/>
    </row>
    <row r="22" spans="1:22">
      <c r="A22" s="35" t="s">
        <v>73</v>
      </c>
      <c r="B22" s="37">
        <v>156000</v>
      </c>
      <c r="C22" s="37">
        <v>192000</v>
      </c>
      <c r="D22" s="37">
        <v>130000</v>
      </c>
      <c r="E22" s="37">
        <v>3500</v>
      </c>
      <c r="F22" s="37">
        <v>140000</v>
      </c>
      <c r="G22" s="37">
        <v>0</v>
      </c>
      <c r="H22" s="37">
        <v>96000</v>
      </c>
      <c r="I22" s="37">
        <v>3500</v>
      </c>
      <c r="J22" s="37">
        <v>15000</v>
      </c>
      <c r="K22" s="37"/>
      <c r="L22" s="37"/>
      <c r="M22" s="37"/>
      <c r="N22" s="37"/>
      <c r="O22" s="37">
        <v>0</v>
      </c>
      <c r="P22" s="37"/>
      <c r="Q22" s="37"/>
      <c r="R22" s="37">
        <v>702000</v>
      </c>
      <c r="S22" s="37"/>
      <c r="T22" s="37">
        <f t="shared" si="0"/>
        <v>1438000</v>
      </c>
      <c r="U22" s="34"/>
    </row>
    <row r="23" spans="1:22">
      <c r="A23" s="35" t="s">
        <v>52</v>
      </c>
      <c r="B23" s="37">
        <v>255000</v>
      </c>
      <c r="C23" s="37">
        <v>261000</v>
      </c>
      <c r="D23" s="37">
        <v>125000</v>
      </c>
      <c r="E23" s="37">
        <v>65000</v>
      </c>
      <c r="F23" s="37">
        <v>158000</v>
      </c>
      <c r="G23" s="37">
        <v>0</v>
      </c>
      <c r="H23" s="37">
        <v>44000</v>
      </c>
      <c r="I23" s="37">
        <v>67000</v>
      </c>
      <c r="J23" s="37">
        <v>7000</v>
      </c>
      <c r="K23" s="37"/>
      <c r="L23" s="37"/>
      <c r="M23" s="37"/>
      <c r="N23" s="37"/>
      <c r="O23" s="37">
        <v>7000</v>
      </c>
      <c r="P23" s="37"/>
      <c r="Q23" s="37"/>
      <c r="R23" s="37">
        <v>-34000</v>
      </c>
      <c r="S23" s="37"/>
      <c r="T23" s="37">
        <f t="shared" si="0"/>
        <v>955000</v>
      </c>
      <c r="U23" s="34"/>
    </row>
    <row r="24" spans="1:22">
      <c r="A24" s="35" t="s">
        <v>53</v>
      </c>
      <c r="B24" s="37">
        <v>181000</v>
      </c>
      <c r="C24" s="37">
        <v>234000</v>
      </c>
      <c r="D24" s="37">
        <v>124000</v>
      </c>
      <c r="E24" s="37">
        <v>18500</v>
      </c>
      <c r="F24" s="37">
        <v>145000</v>
      </c>
      <c r="G24" s="37">
        <v>12000</v>
      </c>
      <c r="H24" s="37">
        <v>96000</v>
      </c>
      <c r="I24" s="37">
        <v>86000</v>
      </c>
      <c r="J24" s="37">
        <v>12000</v>
      </c>
      <c r="K24" s="37"/>
      <c r="L24" s="37"/>
      <c r="M24" s="37"/>
      <c r="N24" s="37"/>
      <c r="O24" s="37">
        <v>32000</v>
      </c>
      <c r="P24" s="37"/>
      <c r="Q24" s="37"/>
      <c r="R24" s="37"/>
      <c r="S24" s="37"/>
      <c r="T24" s="37">
        <f t="shared" si="0"/>
        <v>940500</v>
      </c>
      <c r="U24" s="34">
        <v>1466000</v>
      </c>
    </row>
    <row r="25" spans="1:22">
      <c r="A25" s="35" t="s">
        <v>54</v>
      </c>
      <c r="B25" s="37">
        <v>211000</v>
      </c>
      <c r="C25" s="37">
        <v>60000</v>
      </c>
      <c r="D25" s="37">
        <v>113000</v>
      </c>
      <c r="E25" s="37">
        <v>38000</v>
      </c>
      <c r="F25" s="37">
        <v>122000</v>
      </c>
      <c r="G25" s="37">
        <v>0</v>
      </c>
      <c r="H25" s="37">
        <v>112000</v>
      </c>
      <c r="I25" s="37">
        <v>64000</v>
      </c>
      <c r="J25" s="37">
        <v>2000</v>
      </c>
      <c r="K25" s="37"/>
      <c r="L25" s="37"/>
      <c r="M25" s="37"/>
      <c r="N25" s="37"/>
      <c r="O25" s="37">
        <v>30000</v>
      </c>
      <c r="P25" s="37"/>
      <c r="Q25" s="37"/>
      <c r="R25" s="37"/>
      <c r="S25" s="37"/>
      <c r="T25" s="37">
        <f t="shared" si="0"/>
        <v>752000</v>
      </c>
      <c r="U25" s="34"/>
    </row>
    <row r="26" spans="1:22">
      <c r="A26" s="35" t="s">
        <v>55</v>
      </c>
      <c r="B26" s="37">
        <v>238000</v>
      </c>
      <c r="C26" s="37">
        <v>36000</v>
      </c>
      <c r="D26" s="37">
        <v>78000</v>
      </c>
      <c r="E26" s="37">
        <v>11500</v>
      </c>
      <c r="F26" s="37">
        <v>65000</v>
      </c>
      <c r="G26" s="37">
        <v>0</v>
      </c>
      <c r="H26" s="37">
        <v>28000</v>
      </c>
      <c r="I26" s="37">
        <v>6000</v>
      </c>
      <c r="J26" s="37">
        <v>0</v>
      </c>
      <c r="K26" s="37"/>
      <c r="L26" s="37"/>
      <c r="M26" s="37"/>
      <c r="N26" s="37"/>
      <c r="O26" s="37">
        <v>0</v>
      </c>
      <c r="P26" s="37"/>
      <c r="Q26" s="37"/>
      <c r="R26" s="37"/>
      <c r="S26" s="37"/>
      <c r="T26" s="37">
        <f t="shared" si="0"/>
        <v>462500</v>
      </c>
      <c r="U26" s="42"/>
    </row>
    <row r="27" spans="1:22">
      <c r="A27" s="35" t="s">
        <v>56</v>
      </c>
      <c r="B27" s="37">
        <v>295000</v>
      </c>
      <c r="C27" s="37">
        <v>36000</v>
      </c>
      <c r="D27" s="37">
        <v>82000</v>
      </c>
      <c r="E27" s="37">
        <v>0</v>
      </c>
      <c r="F27" s="37">
        <v>80000</v>
      </c>
      <c r="G27" s="37">
        <v>6000</v>
      </c>
      <c r="H27" s="37">
        <v>22000</v>
      </c>
      <c r="I27" s="37">
        <v>10000</v>
      </c>
      <c r="J27" s="37">
        <v>0</v>
      </c>
      <c r="K27" s="37"/>
      <c r="L27" s="37"/>
      <c r="M27" s="37"/>
      <c r="N27" s="37"/>
      <c r="O27" s="37">
        <v>0</v>
      </c>
      <c r="P27" s="37"/>
      <c r="Q27" s="37"/>
      <c r="R27" s="37">
        <v>792000</v>
      </c>
      <c r="S27" s="37"/>
      <c r="T27" s="37">
        <f t="shared" si="0"/>
        <v>1323000</v>
      </c>
      <c r="U27" s="34"/>
    </row>
    <row r="28" spans="1:22">
      <c r="A28" s="35" t="s">
        <v>57</v>
      </c>
      <c r="B28" s="37">
        <v>272500</v>
      </c>
      <c r="C28" s="37">
        <v>345000</v>
      </c>
      <c r="D28" s="37">
        <v>98000</v>
      </c>
      <c r="E28" s="37">
        <v>7500</v>
      </c>
      <c r="F28" s="37">
        <v>107000</v>
      </c>
      <c r="G28" s="37">
        <v>0</v>
      </c>
      <c r="H28" s="37">
        <v>28000</v>
      </c>
      <c r="I28" s="37">
        <v>53000</v>
      </c>
      <c r="J28" s="37">
        <v>0</v>
      </c>
      <c r="K28" s="37"/>
      <c r="L28" s="37"/>
      <c r="M28" s="37"/>
      <c r="N28" s="37"/>
      <c r="O28" s="37">
        <v>15000</v>
      </c>
      <c r="P28" s="37"/>
      <c r="Q28" s="37"/>
      <c r="R28" s="37">
        <v>-326000</v>
      </c>
      <c r="S28" s="37"/>
      <c r="T28" s="37">
        <f t="shared" si="0"/>
        <v>600000</v>
      </c>
      <c r="U28" s="34"/>
    </row>
    <row r="29" spans="1:22">
      <c r="A29" s="35" t="s">
        <v>58</v>
      </c>
      <c r="B29" s="37">
        <v>217000</v>
      </c>
      <c r="C29" s="37">
        <v>36000</v>
      </c>
      <c r="D29" s="37">
        <v>90000</v>
      </c>
      <c r="E29" s="37">
        <v>15000</v>
      </c>
      <c r="F29" s="37">
        <v>106600</v>
      </c>
      <c r="G29" s="37">
        <v>12000</v>
      </c>
      <c r="H29" s="37">
        <v>18000</v>
      </c>
      <c r="I29" s="37">
        <v>28000</v>
      </c>
      <c r="J29" s="37">
        <v>5000</v>
      </c>
      <c r="K29" s="37"/>
      <c r="L29" s="37"/>
      <c r="M29" s="37"/>
      <c r="N29" s="37"/>
      <c r="O29" s="37">
        <v>0</v>
      </c>
      <c r="P29" s="37"/>
      <c r="Q29" s="37"/>
      <c r="R29" s="37">
        <v>516000</v>
      </c>
      <c r="S29" s="37"/>
      <c r="T29" s="37">
        <f t="shared" si="0"/>
        <v>1043600</v>
      </c>
      <c r="U29" s="34">
        <v>3410000</v>
      </c>
    </row>
    <row r="30" spans="1:22">
      <c r="A30" s="35" t="s">
        <v>59</v>
      </c>
      <c r="B30" s="37">
        <v>229000</v>
      </c>
      <c r="C30" s="37">
        <v>12000</v>
      </c>
      <c r="D30" s="37">
        <v>75000</v>
      </c>
      <c r="E30" s="37">
        <v>7000</v>
      </c>
      <c r="F30" s="37">
        <v>80000</v>
      </c>
      <c r="G30" s="37">
        <v>0</v>
      </c>
      <c r="H30" s="37">
        <v>58000</v>
      </c>
      <c r="I30" s="37">
        <v>25000</v>
      </c>
      <c r="J30" s="37">
        <v>9000</v>
      </c>
      <c r="K30" s="37"/>
      <c r="L30" s="37"/>
      <c r="M30" s="37"/>
      <c r="N30" s="37"/>
      <c r="O30" s="37">
        <v>6000</v>
      </c>
      <c r="P30" s="37"/>
      <c r="Q30" s="37"/>
      <c r="R30" s="37">
        <v>20000</v>
      </c>
      <c r="S30" s="37"/>
      <c r="T30" s="37">
        <f t="shared" si="0"/>
        <v>521000</v>
      </c>
      <c r="U30" s="34"/>
    </row>
    <row r="31" spans="1:22">
      <c r="A31" s="35" t="s">
        <v>60</v>
      </c>
      <c r="B31" s="37">
        <v>221000</v>
      </c>
      <c r="C31" s="37">
        <v>232000</v>
      </c>
      <c r="D31" s="37">
        <v>141000</v>
      </c>
      <c r="E31" s="37">
        <v>8000</v>
      </c>
      <c r="F31" s="37">
        <v>132000</v>
      </c>
      <c r="G31" s="37">
        <v>60000</v>
      </c>
      <c r="H31" s="37">
        <v>100000</v>
      </c>
      <c r="I31" s="37">
        <v>37000</v>
      </c>
      <c r="J31" s="37">
        <v>14000</v>
      </c>
      <c r="K31" s="37"/>
      <c r="L31" s="37"/>
      <c r="M31" s="37"/>
      <c r="N31" s="37"/>
      <c r="O31" s="37">
        <v>7000</v>
      </c>
      <c r="P31" s="37"/>
      <c r="Q31" s="37"/>
      <c r="R31" s="37"/>
      <c r="S31" s="37"/>
      <c r="T31" s="37">
        <f t="shared" si="0"/>
        <v>952000</v>
      </c>
      <c r="U31" s="34"/>
    </row>
    <row r="32" spans="1:22">
      <c r="A32" s="35" t="s">
        <v>61</v>
      </c>
      <c r="B32" s="31">
        <v>220000</v>
      </c>
      <c r="C32" s="31">
        <v>81000</v>
      </c>
      <c r="D32" s="31">
        <v>140000</v>
      </c>
      <c r="E32" s="31">
        <v>30000</v>
      </c>
      <c r="F32" s="31">
        <v>143000</v>
      </c>
      <c r="G32" s="31">
        <v>12000</v>
      </c>
      <c r="H32" s="31">
        <v>142000</v>
      </c>
      <c r="I32" s="31">
        <v>119000</v>
      </c>
      <c r="J32" s="31">
        <v>3000</v>
      </c>
      <c r="K32" s="31"/>
      <c r="L32" s="31"/>
      <c r="M32" s="31"/>
      <c r="N32" s="31"/>
      <c r="O32" s="31">
        <v>35000</v>
      </c>
      <c r="P32" s="31"/>
      <c r="Q32" s="31"/>
      <c r="R32" s="31"/>
      <c r="S32" s="31"/>
      <c r="T32" s="37">
        <f t="shared" si="0"/>
        <v>925000</v>
      </c>
      <c r="U32" s="39"/>
      <c r="V32" s="27"/>
    </row>
    <row r="33" spans="1:22">
      <c r="A33" s="35" t="s">
        <v>62</v>
      </c>
      <c r="B33" s="31">
        <v>229000</v>
      </c>
      <c r="C33" s="31">
        <v>139000</v>
      </c>
      <c r="D33" s="31">
        <v>166000</v>
      </c>
      <c r="E33" s="31">
        <v>0</v>
      </c>
      <c r="F33" s="31">
        <v>201700</v>
      </c>
      <c r="G33" s="31">
        <v>0</v>
      </c>
      <c r="H33" s="31">
        <v>171000</v>
      </c>
      <c r="I33" s="31">
        <v>118000</v>
      </c>
      <c r="J33" s="31">
        <v>6000</v>
      </c>
      <c r="K33" s="31"/>
      <c r="L33" s="31"/>
      <c r="M33" s="31"/>
      <c r="N33" s="31"/>
      <c r="O33" s="31">
        <v>0</v>
      </c>
      <c r="P33" s="31"/>
      <c r="Q33" s="31"/>
      <c r="R33" s="31">
        <v>-30000</v>
      </c>
      <c r="S33" s="31"/>
      <c r="T33" s="37">
        <f t="shared" si="0"/>
        <v>1000700</v>
      </c>
      <c r="U33" s="39"/>
      <c r="V33" s="27"/>
    </row>
    <row r="34" spans="1:22">
      <c r="A34" s="35" t="s">
        <v>63</v>
      </c>
      <c r="B34" s="31">
        <v>182000</v>
      </c>
      <c r="C34" s="31">
        <v>90000</v>
      </c>
      <c r="D34" s="31">
        <v>142000</v>
      </c>
      <c r="E34" s="31">
        <v>6000</v>
      </c>
      <c r="F34" s="31">
        <v>105900</v>
      </c>
      <c r="G34" s="31">
        <v>0</v>
      </c>
      <c r="H34" s="31">
        <v>76000</v>
      </c>
      <c r="I34" s="31">
        <v>52000</v>
      </c>
      <c r="J34" s="31">
        <v>0</v>
      </c>
      <c r="K34" s="31"/>
      <c r="L34" s="31"/>
      <c r="M34" s="31"/>
      <c r="N34" s="31"/>
      <c r="O34" s="31">
        <v>11000</v>
      </c>
      <c r="P34" s="31"/>
      <c r="Q34" s="31"/>
      <c r="R34" s="31">
        <v>6000</v>
      </c>
      <c r="S34" s="31"/>
      <c r="T34" s="37">
        <f t="shared" si="0"/>
        <v>670900</v>
      </c>
      <c r="U34" s="39"/>
      <c r="V34" s="27"/>
    </row>
    <row r="35" spans="1:22">
      <c r="A35" s="35" t="s">
        <v>64</v>
      </c>
      <c r="B35" s="31">
        <v>166000</v>
      </c>
      <c r="C35" s="31">
        <v>80000</v>
      </c>
      <c r="D35" s="31">
        <v>102000</v>
      </c>
      <c r="E35" s="31">
        <v>17000</v>
      </c>
      <c r="F35" s="31">
        <v>123500</v>
      </c>
      <c r="G35" s="31">
        <v>24000</v>
      </c>
      <c r="H35" s="31">
        <v>48000</v>
      </c>
      <c r="I35" s="31">
        <v>60000</v>
      </c>
      <c r="J35" s="31">
        <v>4000</v>
      </c>
      <c r="K35" s="31"/>
      <c r="L35" s="31"/>
      <c r="M35" s="31"/>
      <c r="N35" s="31"/>
      <c r="O35" s="31">
        <v>17000</v>
      </c>
      <c r="P35" s="31"/>
      <c r="Q35" s="31"/>
      <c r="R35" s="31">
        <v>1275000</v>
      </c>
      <c r="S35" s="31"/>
      <c r="T35" s="31">
        <f t="shared" si="0"/>
        <v>1916500</v>
      </c>
      <c r="U35" s="39"/>
      <c r="V35" s="27"/>
    </row>
    <row r="36" spans="1:22">
      <c r="A36" s="35" t="s">
        <v>83</v>
      </c>
      <c r="B36" s="31">
        <v>191000</v>
      </c>
      <c r="C36" s="31">
        <v>384000</v>
      </c>
      <c r="D36" s="31">
        <v>91000</v>
      </c>
      <c r="E36" s="31">
        <v>9000</v>
      </c>
      <c r="F36" s="31">
        <v>114000</v>
      </c>
      <c r="G36" s="31">
        <v>0</v>
      </c>
      <c r="H36" s="31">
        <v>36000</v>
      </c>
      <c r="I36" s="31">
        <v>22000</v>
      </c>
      <c r="J36" s="31">
        <v>0</v>
      </c>
      <c r="K36" s="31"/>
      <c r="L36" s="31"/>
      <c r="M36" s="31"/>
      <c r="N36" s="31"/>
      <c r="O36" s="31"/>
      <c r="P36" s="31"/>
      <c r="Q36" s="31"/>
      <c r="R36" s="31">
        <v>188000</v>
      </c>
      <c r="S36" s="31"/>
      <c r="T36" s="31">
        <f t="shared" si="0"/>
        <v>1035000</v>
      </c>
      <c r="U36" s="43"/>
      <c r="V36" s="27"/>
    </row>
    <row r="37" spans="1:22">
      <c r="A37" s="35" t="s">
        <v>84</v>
      </c>
      <c r="B37" s="31">
        <v>228000</v>
      </c>
      <c r="C37" s="31">
        <v>289000</v>
      </c>
      <c r="D37" s="31">
        <v>130000</v>
      </c>
      <c r="E37" s="31">
        <v>6000</v>
      </c>
      <c r="F37" s="31">
        <v>147500</v>
      </c>
      <c r="G37" s="31">
        <v>12000</v>
      </c>
      <c r="H37" s="31">
        <v>116000</v>
      </c>
      <c r="I37" s="31">
        <v>60000</v>
      </c>
      <c r="J37" s="31">
        <v>12000</v>
      </c>
      <c r="K37" s="31"/>
      <c r="L37" s="31"/>
      <c r="M37" s="31"/>
      <c r="N37" s="31"/>
      <c r="O37" s="31"/>
      <c r="P37" s="31"/>
      <c r="Q37" s="31"/>
      <c r="R37" s="31">
        <v>1315000</v>
      </c>
      <c r="S37" s="31"/>
      <c r="T37" s="31">
        <f>SUM(B37:S37)</f>
        <v>2315500</v>
      </c>
      <c r="U37" s="39">
        <v>2810000</v>
      </c>
      <c r="V37" s="27"/>
    </row>
    <row r="38" spans="1:22">
      <c r="A38" s="40" t="s">
        <v>23</v>
      </c>
      <c r="B38" s="41">
        <f t="shared" ref="B38:J38" si="1">SUM(B7:B37)</f>
        <v>6170000</v>
      </c>
      <c r="C38" s="41">
        <f t="shared" si="1"/>
        <v>4156000</v>
      </c>
      <c r="D38" s="41">
        <f t="shared" si="1"/>
        <v>3208500</v>
      </c>
      <c r="E38" s="41">
        <f t="shared" si="1"/>
        <v>534000</v>
      </c>
      <c r="F38" s="41">
        <f t="shared" si="1"/>
        <v>3532400</v>
      </c>
      <c r="G38" s="41">
        <f t="shared" si="1"/>
        <v>180000</v>
      </c>
      <c r="H38" s="41">
        <f t="shared" si="1"/>
        <v>1981000</v>
      </c>
      <c r="I38" s="41">
        <f t="shared" si="1"/>
        <v>1435000</v>
      </c>
      <c r="J38" s="41">
        <f t="shared" si="1"/>
        <v>239500</v>
      </c>
      <c r="K38" s="41"/>
      <c r="L38" s="41"/>
      <c r="M38" s="41"/>
      <c r="N38" s="41"/>
      <c r="O38" s="41">
        <f>SUM(O7:O37)</f>
        <v>284000</v>
      </c>
      <c r="P38" s="41"/>
      <c r="Q38" s="41"/>
      <c r="R38" s="41">
        <f>SUM(R7:R37)</f>
        <v>13763000</v>
      </c>
      <c r="S38" s="41"/>
      <c r="T38" s="41">
        <f>SUM(T7:T37)</f>
        <v>34372400</v>
      </c>
      <c r="U38" s="45">
        <f>SUM(U7:U37)</f>
        <v>13436000</v>
      </c>
    </row>
    <row r="39" spans="1:22">
      <c r="A39" s="34"/>
      <c r="B39" s="34"/>
      <c r="C39" s="34"/>
      <c r="D39" s="34"/>
      <c r="E39" s="34"/>
      <c r="F39" s="34"/>
      <c r="G39" s="34"/>
      <c r="H39" s="34"/>
      <c r="I39" s="34"/>
      <c r="J39" s="34"/>
      <c r="K39" s="34"/>
      <c r="L39" s="34"/>
      <c r="M39" s="34"/>
      <c r="N39" s="34"/>
      <c r="O39" s="34"/>
      <c r="P39" s="34"/>
      <c r="Q39" s="34"/>
      <c r="R39" s="34"/>
      <c r="S39" s="34"/>
      <c r="T39" s="34"/>
      <c r="U39" s="34"/>
    </row>
  </sheetData>
  <mergeCells count="4">
    <mergeCell ref="B2:T2"/>
    <mergeCell ref="B3:T3"/>
    <mergeCell ref="C4:F4"/>
    <mergeCell ref="C5:F5"/>
  </mergeCells>
  <pageMargins left="0.7" right="0.7" top="0.75" bottom="0.75" header="0.3" footer="0.3"/>
  <pageSetup orientation="portrait" horizontalDpi="0"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29"/>
  <sheetViews>
    <sheetView workbookViewId="0">
      <selection activeCell="K12" sqref="K12"/>
    </sheetView>
  </sheetViews>
  <sheetFormatPr defaultRowHeight="15"/>
  <cols>
    <col min="1" max="1" width="13" customWidth="1"/>
    <col min="2" max="2" width="11.5703125" customWidth="1"/>
    <col min="3" max="3" width="14" customWidth="1"/>
    <col min="4" max="5" width="13.28515625" customWidth="1"/>
    <col min="6" max="6" width="11.85546875" customWidth="1"/>
    <col min="7" max="7" width="12.7109375" customWidth="1"/>
  </cols>
  <sheetData>
    <row r="1" spans="1:7" ht="16.5" thickBot="1">
      <c r="A1" s="9"/>
      <c r="B1" s="10"/>
      <c r="C1" s="10"/>
      <c r="D1" s="10"/>
      <c r="E1" s="10"/>
      <c r="F1" s="10"/>
      <c r="G1" s="8"/>
    </row>
    <row r="2" spans="1:7" ht="16.5" thickBot="1">
      <c r="A2" s="6" t="s">
        <v>24</v>
      </c>
      <c r="B2" s="70" t="s">
        <v>91</v>
      </c>
      <c r="C2" s="71"/>
      <c r="D2" s="72"/>
      <c r="E2" s="11"/>
      <c r="F2" s="11"/>
      <c r="G2" s="12"/>
    </row>
    <row r="3" spans="1:7" ht="15.75">
      <c r="A3" s="13" t="s">
        <v>25</v>
      </c>
      <c r="B3" s="14" t="s">
        <v>26</v>
      </c>
      <c r="C3" s="14" t="s">
        <v>27</v>
      </c>
      <c r="D3" s="14" t="s">
        <v>28</v>
      </c>
      <c r="E3" s="14" t="s">
        <v>29</v>
      </c>
      <c r="F3" s="15" t="s">
        <v>30</v>
      </c>
      <c r="G3" s="16" t="s">
        <v>31</v>
      </c>
    </row>
    <row r="4" spans="1:7" ht="15.75">
      <c r="A4" s="17" t="s">
        <v>4</v>
      </c>
      <c r="B4" s="18">
        <v>1130500</v>
      </c>
      <c r="C4" s="18">
        <v>1099500</v>
      </c>
      <c r="D4" s="18">
        <v>1251500</v>
      </c>
      <c r="E4" s="18">
        <v>1692500</v>
      </c>
      <c r="F4" s="19">
        <v>996000</v>
      </c>
      <c r="G4" s="20">
        <f t="shared" ref="G4:G12" si="0">SUM(B4:F4)</f>
        <v>6170000</v>
      </c>
    </row>
    <row r="5" spans="1:7" ht="15.75">
      <c r="A5" s="17" t="s">
        <v>5</v>
      </c>
      <c r="B5" s="18">
        <v>266000</v>
      </c>
      <c r="C5" s="18">
        <v>997000</v>
      </c>
      <c r="D5" s="18">
        <v>1133000</v>
      </c>
      <c r="E5" s="18">
        <v>778000</v>
      </c>
      <c r="F5" s="19">
        <v>973800</v>
      </c>
      <c r="G5" s="20">
        <f>SUM(B5:F5)</f>
        <v>4147800</v>
      </c>
    </row>
    <row r="6" spans="1:7" ht="15.75">
      <c r="A6" s="17" t="s">
        <v>32</v>
      </c>
      <c r="B6" s="18">
        <v>594000</v>
      </c>
      <c r="C6" s="18">
        <v>451000</v>
      </c>
      <c r="D6" s="18">
        <v>828500</v>
      </c>
      <c r="E6" s="18">
        <v>704000</v>
      </c>
      <c r="F6" s="19">
        <v>631000</v>
      </c>
      <c r="G6" s="20">
        <f t="shared" si="0"/>
        <v>3208500</v>
      </c>
    </row>
    <row r="7" spans="1:7" ht="15.75">
      <c r="A7" s="17" t="s">
        <v>33</v>
      </c>
      <c r="B7" s="18">
        <v>197000</v>
      </c>
      <c r="C7" s="18">
        <v>79000</v>
      </c>
      <c r="D7" s="18">
        <v>141000</v>
      </c>
      <c r="E7" s="18">
        <v>79000</v>
      </c>
      <c r="F7" s="19">
        <v>38000</v>
      </c>
      <c r="G7" s="20">
        <f t="shared" si="0"/>
        <v>534000</v>
      </c>
    </row>
    <row r="8" spans="1:7" ht="15.75">
      <c r="A8" s="17" t="s">
        <v>8</v>
      </c>
      <c r="B8" s="18">
        <v>705500</v>
      </c>
      <c r="C8" s="18">
        <v>551000</v>
      </c>
      <c r="D8" s="18">
        <v>869700</v>
      </c>
      <c r="E8" s="18">
        <v>713600</v>
      </c>
      <c r="F8" s="19">
        <v>692600</v>
      </c>
      <c r="G8" s="20">
        <f t="shared" si="0"/>
        <v>3532400</v>
      </c>
    </row>
    <row r="9" spans="1:7" ht="15.75">
      <c r="A9" s="17" t="s">
        <v>9</v>
      </c>
      <c r="B9" s="18">
        <v>24000</v>
      </c>
      <c r="C9" s="18">
        <v>0</v>
      </c>
      <c r="D9" s="18">
        <v>30000</v>
      </c>
      <c r="E9" s="18">
        <v>90000</v>
      </c>
      <c r="F9" s="19">
        <v>36000</v>
      </c>
      <c r="G9" s="20">
        <f t="shared" si="0"/>
        <v>180000</v>
      </c>
    </row>
    <row r="10" spans="1:7" ht="15.75">
      <c r="A10" s="17" t="s">
        <v>10</v>
      </c>
      <c r="B10" s="18">
        <v>297500</v>
      </c>
      <c r="C10" s="18">
        <v>312000</v>
      </c>
      <c r="D10" s="18">
        <v>528500</v>
      </c>
      <c r="E10" s="18">
        <v>405000</v>
      </c>
      <c r="F10" s="19">
        <v>447000</v>
      </c>
      <c r="G10" s="20">
        <f t="shared" si="0"/>
        <v>1990000</v>
      </c>
    </row>
    <row r="11" spans="1:7" ht="15.75">
      <c r="A11" s="17" t="s">
        <v>11</v>
      </c>
      <c r="B11" s="18">
        <v>277000</v>
      </c>
      <c r="C11" s="18">
        <v>260000</v>
      </c>
      <c r="D11" s="18">
        <v>308000</v>
      </c>
      <c r="E11" s="18">
        <v>278000</v>
      </c>
      <c r="F11" s="19">
        <v>312000</v>
      </c>
      <c r="G11" s="20">
        <f t="shared" si="0"/>
        <v>1435000</v>
      </c>
    </row>
    <row r="12" spans="1:7" ht="15.75">
      <c r="A12" s="17" t="s">
        <v>12</v>
      </c>
      <c r="B12" s="18">
        <v>63500</v>
      </c>
      <c r="C12" s="18">
        <v>71000</v>
      </c>
      <c r="D12" s="18">
        <v>52000</v>
      </c>
      <c r="E12" s="18">
        <v>31000</v>
      </c>
      <c r="F12" s="19">
        <v>24000</v>
      </c>
      <c r="G12" s="20">
        <f t="shared" si="0"/>
        <v>241500</v>
      </c>
    </row>
    <row r="13" spans="1:7" ht="15.75">
      <c r="A13" s="17" t="s">
        <v>13</v>
      </c>
      <c r="B13" s="18"/>
      <c r="C13" s="18"/>
      <c r="D13" s="18"/>
      <c r="E13" s="18"/>
      <c r="F13" s="19"/>
      <c r="G13" s="20">
        <f t="shared" ref="G13:G20" si="1">SUM(B13:E13)</f>
        <v>0</v>
      </c>
    </row>
    <row r="14" spans="1:7" ht="15.75">
      <c r="A14" s="17" t="s">
        <v>14</v>
      </c>
      <c r="B14" s="18"/>
      <c r="C14" s="18"/>
      <c r="D14" s="18"/>
      <c r="E14" s="18"/>
      <c r="F14" s="19"/>
      <c r="G14" s="20">
        <f t="shared" si="1"/>
        <v>0</v>
      </c>
    </row>
    <row r="15" spans="1:7" ht="15.75">
      <c r="A15" s="17" t="s">
        <v>15</v>
      </c>
      <c r="B15" s="18"/>
      <c r="C15" s="18"/>
      <c r="D15" s="18"/>
      <c r="E15" s="18"/>
      <c r="F15" s="19"/>
      <c r="G15" s="20">
        <f t="shared" si="1"/>
        <v>0</v>
      </c>
    </row>
    <row r="16" spans="1:7" ht="15.75">
      <c r="A16" s="17" t="s">
        <v>16</v>
      </c>
      <c r="B16" s="18"/>
      <c r="C16" s="18"/>
      <c r="D16" s="18"/>
      <c r="E16" s="18"/>
      <c r="F16" s="19"/>
      <c r="G16" s="20">
        <f t="shared" si="1"/>
        <v>0</v>
      </c>
    </row>
    <row r="17" spans="1:7" ht="15.75">
      <c r="A17" s="17" t="s">
        <v>17</v>
      </c>
      <c r="B17" s="18">
        <v>85000</v>
      </c>
      <c r="C17" s="18">
        <v>17000</v>
      </c>
      <c r="D17" s="18">
        <v>91000</v>
      </c>
      <c r="E17" s="18">
        <v>63000</v>
      </c>
      <c r="F17" s="19">
        <v>28000</v>
      </c>
      <c r="G17" s="20">
        <v>284000</v>
      </c>
    </row>
    <row r="18" spans="1:7" ht="15.75">
      <c r="A18" s="17" t="s">
        <v>18</v>
      </c>
      <c r="B18" s="18"/>
      <c r="C18" s="18"/>
      <c r="D18" s="18"/>
      <c r="E18" s="18"/>
      <c r="F18" s="19"/>
      <c r="G18" s="20">
        <f t="shared" si="1"/>
        <v>0</v>
      </c>
    </row>
    <row r="19" spans="1:7" ht="15.75">
      <c r="A19" s="17" t="s">
        <v>19</v>
      </c>
      <c r="B19" s="18"/>
      <c r="C19" s="18"/>
      <c r="D19" s="18"/>
      <c r="E19" s="18"/>
      <c r="F19" s="19"/>
      <c r="G19" s="20">
        <f t="shared" si="1"/>
        <v>0</v>
      </c>
    </row>
    <row r="20" spans="1:7" ht="15.75">
      <c r="A20" s="17" t="s">
        <v>34</v>
      </c>
      <c r="B20" s="18"/>
      <c r="C20" s="18"/>
      <c r="D20" s="18"/>
      <c r="E20" s="18"/>
      <c r="F20" s="19"/>
      <c r="G20" s="20">
        <f t="shared" si="1"/>
        <v>0</v>
      </c>
    </row>
    <row r="21" spans="1:7" ht="16.5" thickBot="1">
      <c r="A21" s="21" t="s">
        <v>35</v>
      </c>
      <c r="B21" s="22">
        <f t="shared" ref="B21:G21" si="2">SUM(B4:B20)</f>
        <v>3640000</v>
      </c>
      <c r="C21" s="22">
        <f t="shared" si="2"/>
        <v>3837500</v>
      </c>
      <c r="D21" s="22">
        <f t="shared" si="2"/>
        <v>5233200</v>
      </c>
      <c r="E21" s="22">
        <f t="shared" si="2"/>
        <v>4834100</v>
      </c>
      <c r="F21" s="22">
        <f t="shared" si="2"/>
        <v>4178400</v>
      </c>
      <c r="G21" s="23">
        <f t="shared" si="2"/>
        <v>21723200</v>
      </c>
    </row>
    <row r="23" spans="1:7" ht="15.75" thickBot="1"/>
    <row r="24" spans="1:7" ht="21.75" thickBot="1">
      <c r="A24" s="73" t="s">
        <v>36</v>
      </c>
      <c r="B24" s="74"/>
      <c r="C24" s="74"/>
      <c r="D24" s="74"/>
      <c r="E24" s="74"/>
      <c r="F24" s="74"/>
      <c r="G24" s="75"/>
    </row>
    <row r="25" spans="1:7" ht="15.75" thickBot="1">
      <c r="A25" s="77" t="s">
        <v>89</v>
      </c>
      <c r="B25" s="68"/>
      <c r="C25" s="68"/>
      <c r="D25" s="68"/>
      <c r="E25" s="68"/>
      <c r="F25" s="68"/>
      <c r="G25" s="69"/>
    </row>
    <row r="26" spans="1:7" ht="15.75" thickBot="1">
      <c r="A26" s="24"/>
      <c r="B26" s="25"/>
      <c r="C26" s="25"/>
      <c r="D26" s="25"/>
      <c r="E26" s="25"/>
      <c r="F26" s="25"/>
      <c r="G26" s="26"/>
    </row>
    <row r="27" spans="1:7" ht="15.75" thickBot="1">
      <c r="A27" s="67"/>
      <c r="B27" s="68"/>
      <c r="C27" s="68"/>
      <c r="D27" s="68"/>
      <c r="E27" s="68"/>
      <c r="F27" s="68"/>
      <c r="G27" s="69"/>
    </row>
    <row r="28" spans="1:7" ht="15.75" thickBot="1">
      <c r="A28" s="77" t="s">
        <v>90</v>
      </c>
      <c r="B28" s="68"/>
      <c r="C28" s="68"/>
      <c r="D28" s="68"/>
      <c r="E28" s="68"/>
      <c r="F28" s="68"/>
      <c r="G28" s="69"/>
    </row>
    <row r="29" spans="1:7" ht="15.75" thickBot="1">
      <c r="A29" s="67"/>
      <c r="B29" s="68"/>
      <c r="C29" s="68"/>
      <c r="D29" s="68"/>
      <c r="E29" s="68"/>
      <c r="F29" s="68"/>
      <c r="G29" s="69"/>
    </row>
  </sheetData>
  <mergeCells count="6">
    <mergeCell ref="A29:G29"/>
    <mergeCell ref="B2:D2"/>
    <mergeCell ref="A24:G24"/>
    <mergeCell ref="A25:G25"/>
    <mergeCell ref="A27:G27"/>
    <mergeCell ref="A28:G28"/>
  </mergeCells>
  <pageMargins left="0.7" right="0.7" top="0.75" bottom="0.75" header="0.3" footer="0.3"/>
  <pageSetup orientation="portrait" horizontalDpi="0"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V39"/>
  <sheetViews>
    <sheetView topLeftCell="A17" workbookViewId="0">
      <selection activeCell="U34" sqref="U34"/>
    </sheetView>
  </sheetViews>
  <sheetFormatPr defaultRowHeight="15"/>
  <cols>
    <col min="2" max="2" width="10.7109375" customWidth="1"/>
    <col min="3" max="3" width="10" customWidth="1"/>
    <col min="4" max="4" width="10.28515625" customWidth="1"/>
    <col min="6" max="6" width="10" customWidth="1"/>
    <col min="8" max="8" width="10" customWidth="1"/>
    <col min="9" max="9" width="10.85546875" customWidth="1"/>
    <col min="11" max="11" width="7.7109375" customWidth="1"/>
    <col min="12" max="12" width="7.140625" customWidth="1"/>
    <col min="13" max="13" width="6.85546875" customWidth="1"/>
    <col min="14" max="14" width="7.140625" customWidth="1"/>
    <col min="15" max="15" width="11.42578125" customWidth="1"/>
    <col min="16" max="16" width="7.140625" customWidth="1"/>
    <col min="17" max="17" width="7" customWidth="1"/>
    <col min="18" max="18" width="11.28515625" customWidth="1"/>
    <col min="20" max="20" width="11" customWidth="1"/>
    <col min="21" max="21" width="9.7109375" customWidth="1"/>
  </cols>
  <sheetData>
    <row r="1" spans="1:21" ht="15.75" thickBot="1"/>
    <row r="2" spans="1:21" ht="26.25">
      <c r="A2" s="28"/>
      <c r="B2" s="55" t="s">
        <v>68</v>
      </c>
      <c r="C2" s="56"/>
      <c r="D2" s="56"/>
      <c r="E2" s="56"/>
      <c r="F2" s="56"/>
      <c r="G2" s="56"/>
      <c r="H2" s="56"/>
      <c r="I2" s="56"/>
      <c r="J2" s="56"/>
      <c r="K2" s="56"/>
      <c r="L2" s="56"/>
      <c r="M2" s="56"/>
      <c r="N2" s="56"/>
      <c r="O2" s="56"/>
      <c r="P2" s="56"/>
      <c r="Q2" s="56"/>
      <c r="R2" s="56"/>
      <c r="S2" s="56"/>
      <c r="T2" s="57"/>
    </row>
    <row r="3" spans="1:21" ht="27" thickBot="1">
      <c r="A3" s="4"/>
      <c r="B3" s="58" t="s">
        <v>0</v>
      </c>
      <c r="C3" s="59"/>
      <c r="D3" s="59"/>
      <c r="E3" s="59"/>
      <c r="F3" s="59"/>
      <c r="G3" s="59"/>
      <c r="H3" s="59"/>
      <c r="I3" s="59"/>
      <c r="J3" s="59"/>
      <c r="K3" s="59"/>
      <c r="L3" s="59"/>
      <c r="M3" s="59"/>
      <c r="N3" s="59"/>
      <c r="O3" s="59"/>
      <c r="P3" s="59"/>
      <c r="Q3" s="59"/>
      <c r="R3" s="59"/>
      <c r="S3" s="59"/>
      <c r="T3" s="60"/>
    </row>
    <row r="4" spans="1:21" ht="27" thickBot="1">
      <c r="A4" s="4"/>
      <c r="B4" s="29" t="s">
        <v>1</v>
      </c>
      <c r="C4" s="61" t="s">
        <v>69</v>
      </c>
      <c r="D4" s="62"/>
      <c r="E4" s="62"/>
      <c r="F4" s="63"/>
      <c r="T4" s="5"/>
    </row>
    <row r="5" spans="1:21" ht="21">
      <c r="A5" s="4"/>
      <c r="B5" s="30" t="s">
        <v>2</v>
      </c>
      <c r="C5" s="78">
        <v>45444</v>
      </c>
      <c r="D5" s="79"/>
      <c r="E5" s="79"/>
      <c r="F5" s="80"/>
      <c r="T5" s="5"/>
    </row>
    <row r="6" spans="1:21" ht="67.5">
      <c r="A6" s="32" t="s">
        <v>3</v>
      </c>
      <c r="B6" s="33" t="s">
        <v>4</v>
      </c>
      <c r="C6" s="33" t="s">
        <v>5</v>
      </c>
      <c r="D6" s="33" t="s">
        <v>6</v>
      </c>
      <c r="E6" s="33" t="s">
        <v>7</v>
      </c>
      <c r="F6" s="33" t="s">
        <v>8</v>
      </c>
      <c r="G6" s="33" t="s">
        <v>9</v>
      </c>
      <c r="H6" s="33" t="s">
        <v>10</v>
      </c>
      <c r="I6" s="33" t="s">
        <v>11</v>
      </c>
      <c r="J6" s="33" t="s">
        <v>12</v>
      </c>
      <c r="K6" s="33" t="s">
        <v>13</v>
      </c>
      <c r="L6" s="33" t="s">
        <v>14</v>
      </c>
      <c r="M6" s="33" t="s">
        <v>15</v>
      </c>
      <c r="N6" s="33" t="s">
        <v>16</v>
      </c>
      <c r="O6" s="33" t="s">
        <v>17</v>
      </c>
      <c r="P6" s="33" t="s">
        <v>18</v>
      </c>
      <c r="Q6" s="33" t="s">
        <v>19</v>
      </c>
      <c r="R6" s="33" t="s">
        <v>20</v>
      </c>
      <c r="S6" s="33" t="s">
        <v>21</v>
      </c>
      <c r="T6" s="33" t="s">
        <v>22</v>
      </c>
      <c r="U6" s="34" t="s">
        <v>87</v>
      </c>
    </row>
    <row r="7" spans="1:21">
      <c r="A7" s="35" t="s">
        <v>67</v>
      </c>
      <c r="B7" s="36">
        <v>155000</v>
      </c>
      <c r="C7" s="36">
        <v>106000</v>
      </c>
      <c r="D7" s="36">
        <v>106500</v>
      </c>
      <c r="E7" s="36">
        <v>4000</v>
      </c>
      <c r="F7" s="36">
        <v>128500</v>
      </c>
      <c r="G7" s="36">
        <v>12000</v>
      </c>
      <c r="H7" s="36">
        <v>88000</v>
      </c>
      <c r="I7" s="36">
        <v>16000</v>
      </c>
      <c r="J7" s="36">
        <v>2000</v>
      </c>
      <c r="K7" s="36"/>
      <c r="L7" s="36"/>
      <c r="M7" s="36"/>
      <c r="N7" s="36"/>
      <c r="O7" s="36">
        <v>17000</v>
      </c>
      <c r="P7" s="36"/>
      <c r="Q7" s="36"/>
      <c r="R7" s="36">
        <v>40000</v>
      </c>
      <c r="S7" s="37"/>
      <c r="T7" s="37">
        <f>SUM(B7:S7)</f>
        <v>675000</v>
      </c>
      <c r="U7" s="45"/>
    </row>
    <row r="8" spans="1:21">
      <c r="A8" s="35" t="s">
        <v>37</v>
      </c>
      <c r="B8" s="36">
        <v>173500</v>
      </c>
      <c r="C8" s="36">
        <v>50000</v>
      </c>
      <c r="D8" s="36">
        <v>115000</v>
      </c>
      <c r="E8" s="36">
        <v>19000</v>
      </c>
      <c r="F8" s="36">
        <v>157000</v>
      </c>
      <c r="G8" s="36">
        <v>12000</v>
      </c>
      <c r="H8" s="36">
        <v>46000</v>
      </c>
      <c r="I8" s="36">
        <v>58000</v>
      </c>
      <c r="J8" s="36">
        <v>7000</v>
      </c>
      <c r="K8" s="36"/>
      <c r="L8" s="36"/>
      <c r="M8" s="36"/>
      <c r="N8" s="36"/>
      <c r="O8" s="36">
        <v>0</v>
      </c>
      <c r="P8" s="36"/>
      <c r="Q8" s="36"/>
      <c r="R8" s="36">
        <v>0</v>
      </c>
      <c r="S8" s="37"/>
      <c r="T8" s="37">
        <f t="shared" ref="T8:T36" si="0">SUM(B8:S8)</f>
        <v>637500</v>
      </c>
      <c r="U8" s="45"/>
    </row>
    <row r="9" spans="1:21">
      <c r="A9" s="35" t="s">
        <v>38</v>
      </c>
      <c r="B9" s="36">
        <v>114000</v>
      </c>
      <c r="C9" s="36">
        <v>144000</v>
      </c>
      <c r="D9" s="36">
        <v>58500</v>
      </c>
      <c r="E9" s="36">
        <v>9000</v>
      </c>
      <c r="F9" s="36">
        <v>66500</v>
      </c>
      <c r="G9" s="36">
        <v>12000</v>
      </c>
      <c r="H9" s="36">
        <v>18000</v>
      </c>
      <c r="I9" s="36">
        <v>48000</v>
      </c>
      <c r="J9" s="36">
        <v>2000</v>
      </c>
      <c r="K9" s="36"/>
      <c r="L9" s="36"/>
      <c r="M9" s="36"/>
      <c r="N9" s="36"/>
      <c r="O9" s="36">
        <v>11000</v>
      </c>
      <c r="P9" s="36"/>
      <c r="Q9" s="36"/>
      <c r="R9" s="36">
        <v>472000</v>
      </c>
      <c r="S9" s="37"/>
      <c r="T9" s="37">
        <f t="shared" si="0"/>
        <v>955000</v>
      </c>
      <c r="U9" s="45"/>
    </row>
    <row r="10" spans="1:21">
      <c r="A10" s="35" t="s">
        <v>39</v>
      </c>
      <c r="B10" s="36">
        <v>254500</v>
      </c>
      <c r="C10" s="36">
        <v>50000</v>
      </c>
      <c r="D10" s="36">
        <v>113000</v>
      </c>
      <c r="E10" s="36">
        <v>3500</v>
      </c>
      <c r="F10" s="36">
        <v>84000</v>
      </c>
      <c r="G10" s="36">
        <v>0</v>
      </c>
      <c r="H10" s="36">
        <v>45000</v>
      </c>
      <c r="I10" s="36">
        <v>16000</v>
      </c>
      <c r="J10" s="36">
        <v>9000</v>
      </c>
      <c r="K10" s="36"/>
      <c r="L10" s="36"/>
      <c r="M10" s="36"/>
      <c r="N10" s="36"/>
      <c r="O10" s="36">
        <v>0</v>
      </c>
      <c r="P10" s="36"/>
      <c r="Q10" s="36"/>
      <c r="R10" s="36">
        <v>65000</v>
      </c>
      <c r="S10" s="37"/>
      <c r="T10" s="37">
        <f t="shared" si="0"/>
        <v>640000</v>
      </c>
      <c r="U10" s="42"/>
    </row>
    <row r="11" spans="1:21">
      <c r="A11" s="35" t="s">
        <v>40</v>
      </c>
      <c r="B11" s="37">
        <v>269500</v>
      </c>
      <c r="C11" s="37">
        <v>12000</v>
      </c>
      <c r="D11" s="37">
        <v>108000</v>
      </c>
      <c r="E11" s="37">
        <v>7000</v>
      </c>
      <c r="F11" s="37">
        <v>179000</v>
      </c>
      <c r="G11" s="37">
        <v>0</v>
      </c>
      <c r="H11" s="37">
        <v>68000</v>
      </c>
      <c r="I11" s="37">
        <v>22000</v>
      </c>
      <c r="J11" s="37">
        <v>2000</v>
      </c>
      <c r="K11" s="37"/>
      <c r="L11" s="37"/>
      <c r="M11" s="37"/>
      <c r="N11" s="37"/>
      <c r="O11" s="37">
        <v>0</v>
      </c>
      <c r="P11" s="37"/>
      <c r="Q11" s="37"/>
      <c r="R11" s="37">
        <v>0</v>
      </c>
      <c r="S11" s="37"/>
      <c r="T11" s="37">
        <f t="shared" si="0"/>
        <v>667500</v>
      </c>
      <c r="U11" s="42"/>
    </row>
    <row r="12" spans="1:21">
      <c r="A12" s="35" t="s">
        <v>41</v>
      </c>
      <c r="B12" s="37">
        <v>349500</v>
      </c>
      <c r="C12" s="37">
        <v>16000</v>
      </c>
      <c r="D12" s="37">
        <v>109000</v>
      </c>
      <c r="E12" s="37">
        <v>33500</v>
      </c>
      <c r="F12" s="37">
        <v>102700</v>
      </c>
      <c r="G12" s="37">
        <v>0</v>
      </c>
      <c r="H12" s="37">
        <v>34000</v>
      </c>
      <c r="I12" s="37">
        <v>82000</v>
      </c>
      <c r="J12" s="37">
        <v>52000</v>
      </c>
      <c r="K12" s="37"/>
      <c r="L12" s="37"/>
      <c r="M12" s="37"/>
      <c r="N12" s="37"/>
      <c r="O12" s="37">
        <v>12000</v>
      </c>
      <c r="P12" s="37"/>
      <c r="Q12" s="37"/>
      <c r="R12" s="37">
        <v>0</v>
      </c>
      <c r="S12" s="37"/>
      <c r="T12" s="37">
        <f t="shared" si="0"/>
        <v>790700</v>
      </c>
      <c r="U12" s="42"/>
    </row>
    <row r="13" spans="1:21">
      <c r="A13" s="35" t="s">
        <v>42</v>
      </c>
      <c r="B13" s="37">
        <v>226500</v>
      </c>
      <c r="C13" s="37">
        <v>172000</v>
      </c>
      <c r="D13" s="37">
        <v>121000</v>
      </c>
      <c r="E13" s="37">
        <v>12500</v>
      </c>
      <c r="F13" s="37">
        <v>118000</v>
      </c>
      <c r="G13" s="37">
        <v>0</v>
      </c>
      <c r="H13" s="37">
        <v>173000</v>
      </c>
      <c r="I13" s="37">
        <v>57500</v>
      </c>
      <c r="J13" s="37">
        <v>4500</v>
      </c>
      <c r="K13" s="37"/>
      <c r="L13" s="37"/>
      <c r="M13" s="37"/>
      <c r="N13" s="37"/>
      <c r="O13" s="37">
        <v>6000</v>
      </c>
      <c r="P13" s="37"/>
      <c r="Q13" s="37"/>
      <c r="R13" s="37">
        <v>486000</v>
      </c>
      <c r="S13" s="37"/>
      <c r="T13" s="37">
        <f t="shared" si="0"/>
        <v>1377000</v>
      </c>
      <c r="U13" s="42"/>
    </row>
    <row r="14" spans="1:21">
      <c r="A14" s="35" t="s">
        <v>43</v>
      </c>
      <c r="B14" s="37">
        <v>277000</v>
      </c>
      <c r="C14" s="37">
        <v>178000</v>
      </c>
      <c r="D14" s="37">
        <v>97500</v>
      </c>
      <c r="E14" s="37">
        <v>0</v>
      </c>
      <c r="F14" s="37">
        <v>110000</v>
      </c>
      <c r="G14" s="37">
        <v>0</v>
      </c>
      <c r="H14" s="37">
        <v>85000</v>
      </c>
      <c r="I14" s="37">
        <v>38500</v>
      </c>
      <c r="J14" s="37">
        <v>15000</v>
      </c>
      <c r="K14" s="37"/>
      <c r="L14" s="37"/>
      <c r="M14" s="37"/>
      <c r="N14" s="37"/>
      <c r="O14" s="37">
        <v>0</v>
      </c>
      <c r="P14" s="37"/>
      <c r="Q14" s="37"/>
      <c r="R14" s="37">
        <v>847000</v>
      </c>
      <c r="S14" s="37"/>
      <c r="T14" s="37">
        <f t="shared" si="0"/>
        <v>1648000</v>
      </c>
      <c r="U14" s="42"/>
    </row>
    <row r="15" spans="1:21">
      <c r="A15" s="35" t="s">
        <v>44</v>
      </c>
      <c r="B15" s="37">
        <v>166000</v>
      </c>
      <c r="C15" s="37">
        <v>160000</v>
      </c>
      <c r="D15" s="37">
        <v>138000</v>
      </c>
      <c r="E15" s="37">
        <v>10500</v>
      </c>
      <c r="F15" s="37">
        <v>125500</v>
      </c>
      <c r="G15" s="37">
        <v>0</v>
      </c>
      <c r="H15" s="37">
        <v>92000</v>
      </c>
      <c r="I15" s="37">
        <v>92000</v>
      </c>
      <c r="J15" s="37">
        <v>0</v>
      </c>
      <c r="K15" s="37"/>
      <c r="L15" s="37"/>
      <c r="M15" s="37"/>
      <c r="N15" s="37"/>
      <c r="O15" s="37">
        <v>33000</v>
      </c>
      <c r="P15" s="37"/>
      <c r="Q15" s="37"/>
      <c r="R15" s="37">
        <v>985000</v>
      </c>
      <c r="S15" s="37"/>
      <c r="T15" s="37">
        <f t="shared" si="0"/>
        <v>1802000</v>
      </c>
      <c r="U15" s="34"/>
    </row>
    <row r="16" spans="1:21">
      <c r="A16" s="35" t="s">
        <v>45</v>
      </c>
      <c r="B16" s="37">
        <v>152500</v>
      </c>
      <c r="C16" s="37">
        <v>87000</v>
      </c>
      <c r="D16" s="37">
        <v>101000</v>
      </c>
      <c r="E16" s="37">
        <v>13000</v>
      </c>
      <c r="F16" s="37">
        <v>159000</v>
      </c>
      <c r="G16" s="37">
        <v>0</v>
      </c>
      <c r="H16" s="37">
        <v>89000</v>
      </c>
      <c r="I16" s="37">
        <v>33000</v>
      </c>
      <c r="J16" s="37">
        <v>4000</v>
      </c>
      <c r="K16" s="37"/>
      <c r="L16" s="37"/>
      <c r="M16" s="37"/>
      <c r="N16" s="37"/>
      <c r="O16" s="37">
        <v>0</v>
      </c>
      <c r="P16" s="37"/>
      <c r="Q16" s="37"/>
      <c r="R16" s="37">
        <v>83000</v>
      </c>
      <c r="S16" s="37"/>
      <c r="T16" s="37">
        <f t="shared" si="0"/>
        <v>721500</v>
      </c>
      <c r="U16" s="34">
        <v>2810000</v>
      </c>
    </row>
    <row r="17" spans="1:22">
      <c r="A17" s="35" t="s">
        <v>46</v>
      </c>
      <c r="B17" s="37">
        <v>116500</v>
      </c>
      <c r="C17" s="37">
        <v>143000</v>
      </c>
      <c r="D17" s="37">
        <v>101500</v>
      </c>
      <c r="E17" s="37">
        <v>4000</v>
      </c>
      <c r="F17" s="37">
        <v>88500</v>
      </c>
      <c r="G17" s="37">
        <v>0</v>
      </c>
      <c r="H17" s="37">
        <v>121500</v>
      </c>
      <c r="I17" s="37">
        <v>75000</v>
      </c>
      <c r="J17" s="37">
        <v>8000</v>
      </c>
      <c r="K17" s="37"/>
      <c r="L17" s="37"/>
      <c r="M17" s="37"/>
      <c r="N17" s="37"/>
      <c r="O17" s="37">
        <v>0</v>
      </c>
      <c r="P17" s="37"/>
      <c r="Q17" s="37"/>
      <c r="R17" s="37">
        <v>1503500</v>
      </c>
      <c r="S17" s="37"/>
      <c r="T17" s="37">
        <f t="shared" si="0"/>
        <v>2161500</v>
      </c>
      <c r="U17" s="34"/>
    </row>
    <row r="18" spans="1:22">
      <c r="A18" s="35" t="s">
        <v>47</v>
      </c>
      <c r="B18" s="37">
        <v>72000</v>
      </c>
      <c r="C18" s="37">
        <v>86000</v>
      </c>
      <c r="D18" s="37">
        <v>80000</v>
      </c>
      <c r="E18" s="37">
        <v>9500</v>
      </c>
      <c r="F18" s="37">
        <v>129500</v>
      </c>
      <c r="G18" s="37">
        <v>0</v>
      </c>
      <c r="H18" s="37">
        <v>108000</v>
      </c>
      <c r="I18" s="37">
        <v>47500</v>
      </c>
      <c r="J18" s="37">
        <v>28000</v>
      </c>
      <c r="K18" s="37"/>
      <c r="L18" s="37"/>
      <c r="M18" s="37"/>
      <c r="N18" s="37"/>
      <c r="O18" s="37">
        <v>0</v>
      </c>
      <c r="P18" s="37"/>
      <c r="Q18" s="37"/>
      <c r="R18" s="37">
        <v>1763500</v>
      </c>
      <c r="S18" s="37"/>
      <c r="T18" s="37">
        <f t="shared" si="0"/>
        <v>2324000</v>
      </c>
      <c r="U18" s="34"/>
    </row>
    <row r="19" spans="1:22">
      <c r="A19" s="35" t="s">
        <v>48</v>
      </c>
      <c r="B19" s="37">
        <v>194000</v>
      </c>
      <c r="C19" s="37">
        <v>49000</v>
      </c>
      <c r="D19" s="37">
        <v>135500</v>
      </c>
      <c r="E19" s="37">
        <v>15500</v>
      </c>
      <c r="F19" s="37">
        <v>122000</v>
      </c>
      <c r="G19" s="37">
        <v>0</v>
      </c>
      <c r="H19" s="37">
        <v>107000</v>
      </c>
      <c r="I19" s="37">
        <v>42000</v>
      </c>
      <c r="J19" s="37">
        <v>0</v>
      </c>
      <c r="K19" s="37"/>
      <c r="L19" s="37"/>
      <c r="M19" s="37"/>
      <c r="N19" s="37"/>
      <c r="O19" s="37">
        <v>6000</v>
      </c>
      <c r="P19" s="37"/>
      <c r="Q19" s="37"/>
      <c r="R19" s="37">
        <v>1980000</v>
      </c>
      <c r="S19" s="37"/>
      <c r="T19" s="37">
        <f t="shared" si="0"/>
        <v>2651000</v>
      </c>
      <c r="U19" s="34">
        <v>2500000</v>
      </c>
    </row>
    <row r="20" spans="1:22">
      <c r="A20" s="35" t="s">
        <v>49</v>
      </c>
      <c r="B20" s="37">
        <v>179000</v>
      </c>
      <c r="C20" s="37">
        <v>209000</v>
      </c>
      <c r="D20" s="37">
        <v>130000</v>
      </c>
      <c r="E20" s="37">
        <v>11000</v>
      </c>
      <c r="F20" s="37">
        <v>128000</v>
      </c>
      <c r="G20" s="37">
        <v>0</v>
      </c>
      <c r="H20" s="37">
        <v>99500</v>
      </c>
      <c r="I20" s="37">
        <v>87500</v>
      </c>
      <c r="J20" s="37">
        <v>3000</v>
      </c>
      <c r="K20" s="37"/>
      <c r="L20" s="37"/>
      <c r="M20" s="37"/>
      <c r="N20" s="37"/>
      <c r="O20" s="37">
        <v>9000</v>
      </c>
      <c r="P20" s="37"/>
      <c r="Q20" s="37"/>
      <c r="R20" s="37">
        <v>90000</v>
      </c>
      <c r="S20" s="37"/>
      <c r="T20" s="37">
        <f t="shared" si="0"/>
        <v>946000</v>
      </c>
      <c r="U20" s="34"/>
    </row>
    <row r="21" spans="1:22">
      <c r="A21" s="35" t="s">
        <v>50</v>
      </c>
      <c r="B21" s="37">
        <v>224000</v>
      </c>
      <c r="C21" s="37">
        <v>70000</v>
      </c>
      <c r="D21" s="37">
        <v>126000</v>
      </c>
      <c r="E21" s="37">
        <v>41000</v>
      </c>
      <c r="F21" s="37">
        <v>112000</v>
      </c>
      <c r="G21" s="37">
        <v>6000</v>
      </c>
      <c r="H21" s="37">
        <v>153500</v>
      </c>
      <c r="I21" s="37">
        <v>111000</v>
      </c>
      <c r="J21" s="37">
        <v>15000</v>
      </c>
      <c r="K21" s="37"/>
      <c r="L21" s="37"/>
      <c r="M21" s="37"/>
      <c r="N21" s="37"/>
      <c r="O21" s="37">
        <v>0</v>
      </c>
      <c r="P21" s="37"/>
      <c r="Q21" s="37"/>
      <c r="R21" s="37">
        <v>-560000</v>
      </c>
      <c r="S21" s="37"/>
      <c r="T21" s="37">
        <f t="shared" si="0"/>
        <v>298500</v>
      </c>
      <c r="U21" s="34"/>
    </row>
    <row r="22" spans="1:22">
      <c r="A22" s="35" t="s">
        <v>73</v>
      </c>
      <c r="B22" s="37">
        <v>212500</v>
      </c>
      <c r="C22" s="37">
        <v>90000</v>
      </c>
      <c r="D22" s="37">
        <v>93000</v>
      </c>
      <c r="E22" s="37">
        <v>5000</v>
      </c>
      <c r="F22" s="37">
        <v>71000</v>
      </c>
      <c r="G22" s="37">
        <v>0</v>
      </c>
      <c r="H22" s="37">
        <v>42000</v>
      </c>
      <c r="I22" s="37">
        <v>43500</v>
      </c>
      <c r="J22" s="37">
        <v>14000</v>
      </c>
      <c r="K22" s="37"/>
      <c r="L22" s="37"/>
      <c r="M22" s="37"/>
      <c r="N22" s="37"/>
      <c r="O22" s="37">
        <v>0</v>
      </c>
      <c r="P22" s="37"/>
      <c r="Q22" s="37"/>
      <c r="R22" s="37">
        <v>-120000</v>
      </c>
      <c r="S22" s="37"/>
      <c r="T22" s="37">
        <f t="shared" si="0"/>
        <v>451000</v>
      </c>
      <c r="U22" s="34"/>
    </row>
    <row r="23" spans="1:22">
      <c r="A23" s="35" t="s">
        <v>52</v>
      </c>
      <c r="B23" s="37">
        <v>280500</v>
      </c>
      <c r="C23" s="37">
        <v>102000</v>
      </c>
      <c r="D23" s="37">
        <v>107000</v>
      </c>
      <c r="E23" s="37">
        <v>24500</v>
      </c>
      <c r="F23" s="37">
        <v>120000</v>
      </c>
      <c r="G23" s="37">
        <v>12000</v>
      </c>
      <c r="H23" s="37">
        <v>56000</v>
      </c>
      <c r="I23" s="37">
        <v>55000</v>
      </c>
      <c r="J23" s="37">
        <v>2000</v>
      </c>
      <c r="K23" s="37"/>
      <c r="L23" s="37"/>
      <c r="M23" s="37"/>
      <c r="N23" s="37"/>
      <c r="O23" s="37">
        <v>5000</v>
      </c>
      <c r="P23" s="37"/>
      <c r="Q23" s="37"/>
      <c r="R23" s="37">
        <v>61000</v>
      </c>
      <c r="S23" s="37"/>
      <c r="T23" s="37">
        <f t="shared" si="0"/>
        <v>825000</v>
      </c>
      <c r="U23" s="34"/>
    </row>
    <row r="24" spans="1:22">
      <c r="A24" s="35" t="s">
        <v>53</v>
      </c>
      <c r="B24" s="37">
        <v>144000</v>
      </c>
      <c r="C24" s="37">
        <v>15000</v>
      </c>
      <c r="D24" s="37">
        <v>178000</v>
      </c>
      <c r="E24" s="37">
        <v>4000</v>
      </c>
      <c r="F24" s="37">
        <v>125000</v>
      </c>
      <c r="G24" s="37">
        <v>12000</v>
      </c>
      <c r="H24" s="37">
        <v>132000</v>
      </c>
      <c r="I24" s="37">
        <v>100000</v>
      </c>
      <c r="J24" s="37">
        <v>7000</v>
      </c>
      <c r="K24" s="37"/>
      <c r="L24" s="37"/>
      <c r="M24" s="37"/>
      <c r="N24" s="37"/>
      <c r="O24" s="37">
        <v>0</v>
      </c>
      <c r="P24" s="37"/>
      <c r="Q24" s="37"/>
      <c r="R24" s="37">
        <v>819000</v>
      </c>
      <c r="S24" s="37"/>
      <c r="T24" s="37">
        <f t="shared" si="0"/>
        <v>1536000</v>
      </c>
      <c r="U24" s="34"/>
    </row>
    <row r="25" spans="1:22">
      <c r="A25" s="35" t="s">
        <v>54</v>
      </c>
      <c r="B25" s="37">
        <v>244500</v>
      </c>
      <c r="C25" s="37">
        <v>38000</v>
      </c>
      <c r="D25" s="37">
        <v>92000</v>
      </c>
      <c r="E25" s="37">
        <v>5500</v>
      </c>
      <c r="F25" s="37">
        <v>53000</v>
      </c>
      <c r="G25" s="37">
        <v>0</v>
      </c>
      <c r="H25" s="37">
        <v>80000</v>
      </c>
      <c r="I25" s="37">
        <v>25000</v>
      </c>
      <c r="J25" s="37">
        <v>35000</v>
      </c>
      <c r="K25" s="37"/>
      <c r="L25" s="37"/>
      <c r="M25" s="37"/>
      <c r="N25" s="37"/>
      <c r="O25" s="37">
        <v>31000</v>
      </c>
      <c r="P25" s="37"/>
      <c r="Q25" s="37"/>
      <c r="R25" s="37">
        <v>0</v>
      </c>
      <c r="S25" s="37"/>
      <c r="T25" s="37">
        <f t="shared" si="0"/>
        <v>604000</v>
      </c>
      <c r="U25" s="34"/>
    </row>
    <row r="26" spans="1:22">
      <c r="A26" s="35" t="s">
        <v>55</v>
      </c>
      <c r="B26" s="37">
        <v>206500</v>
      </c>
      <c r="C26" s="37">
        <v>400000</v>
      </c>
      <c r="D26" s="37">
        <v>82500</v>
      </c>
      <c r="E26" s="37">
        <v>0</v>
      </c>
      <c r="F26" s="37">
        <v>105000</v>
      </c>
      <c r="G26" s="37">
        <v>12000</v>
      </c>
      <c r="H26" s="37">
        <v>73000</v>
      </c>
      <c r="I26" s="37">
        <v>6500</v>
      </c>
      <c r="J26" s="37">
        <v>2000</v>
      </c>
      <c r="K26" s="37"/>
      <c r="L26" s="37"/>
      <c r="M26" s="37"/>
      <c r="N26" s="37"/>
      <c r="O26" s="37">
        <v>5000</v>
      </c>
      <c r="P26" s="37"/>
      <c r="Q26" s="37"/>
      <c r="R26" s="37">
        <v>-105000</v>
      </c>
      <c r="S26" s="37"/>
      <c r="T26" s="37">
        <f t="shared" si="0"/>
        <v>787500</v>
      </c>
      <c r="U26" s="42"/>
    </row>
    <row r="27" spans="1:22">
      <c r="A27" s="35" t="s">
        <v>56</v>
      </c>
      <c r="B27" s="37">
        <v>282500</v>
      </c>
      <c r="C27" s="37">
        <v>33000</v>
      </c>
      <c r="D27" s="37">
        <v>86000</v>
      </c>
      <c r="E27" s="37">
        <v>0</v>
      </c>
      <c r="F27" s="37">
        <v>78000</v>
      </c>
      <c r="G27" s="37">
        <v>18000</v>
      </c>
      <c r="H27" s="37">
        <v>52000</v>
      </c>
      <c r="I27" s="37">
        <v>46000</v>
      </c>
      <c r="J27" s="37">
        <v>5000</v>
      </c>
      <c r="K27" s="37"/>
      <c r="L27" s="37"/>
      <c r="M27" s="37"/>
      <c r="N27" s="37"/>
      <c r="O27" s="37">
        <v>17000</v>
      </c>
      <c r="P27" s="37"/>
      <c r="Q27" s="37"/>
      <c r="R27" s="37">
        <v>0</v>
      </c>
      <c r="S27" s="37"/>
      <c r="T27" s="37">
        <f t="shared" si="0"/>
        <v>617500</v>
      </c>
      <c r="U27" s="34"/>
    </row>
    <row r="28" spans="1:22">
      <c r="A28" s="35" t="s">
        <v>57</v>
      </c>
      <c r="B28" s="37">
        <v>370000</v>
      </c>
      <c r="C28" s="37">
        <v>120000</v>
      </c>
      <c r="D28" s="37">
        <v>108000</v>
      </c>
      <c r="E28" s="37">
        <v>1500</v>
      </c>
      <c r="F28" s="37">
        <v>220000</v>
      </c>
      <c r="G28" s="37">
        <v>12000</v>
      </c>
      <c r="H28" s="37">
        <v>40000</v>
      </c>
      <c r="I28" s="37">
        <v>56500</v>
      </c>
      <c r="J28" s="37">
        <v>2000</v>
      </c>
      <c r="K28" s="37"/>
      <c r="L28" s="37"/>
      <c r="M28" s="37"/>
      <c r="N28" s="37"/>
      <c r="O28" s="37">
        <v>27000</v>
      </c>
      <c r="P28" s="37"/>
      <c r="Q28" s="37"/>
      <c r="R28" s="37">
        <v>22000</v>
      </c>
      <c r="S28" s="37"/>
      <c r="T28" s="37">
        <f t="shared" si="0"/>
        <v>979000</v>
      </c>
      <c r="U28" s="34"/>
    </row>
    <row r="29" spans="1:22">
      <c r="A29" s="35" t="s">
        <v>58</v>
      </c>
      <c r="B29" s="37">
        <v>194000</v>
      </c>
      <c r="C29" s="37">
        <v>56000</v>
      </c>
      <c r="D29" s="37">
        <v>60000</v>
      </c>
      <c r="E29" s="37">
        <v>9000</v>
      </c>
      <c r="F29" s="37">
        <v>75000</v>
      </c>
      <c r="G29" s="37">
        <v>18000</v>
      </c>
      <c r="H29" s="37">
        <v>46000</v>
      </c>
      <c r="I29" s="37">
        <v>57000</v>
      </c>
      <c r="J29" s="37">
        <v>17000</v>
      </c>
      <c r="K29" s="37"/>
      <c r="L29" s="37"/>
      <c r="M29" s="37"/>
      <c r="N29" s="37"/>
      <c r="O29" s="37">
        <v>30000</v>
      </c>
      <c r="P29" s="37"/>
      <c r="Q29" s="37"/>
      <c r="R29" s="37">
        <v>0</v>
      </c>
      <c r="S29" s="37"/>
      <c r="T29" s="37">
        <f t="shared" si="0"/>
        <v>562000</v>
      </c>
      <c r="U29" s="34"/>
    </row>
    <row r="30" spans="1:22">
      <c r="A30" s="35" t="s">
        <v>59</v>
      </c>
      <c r="B30" s="37">
        <v>210000</v>
      </c>
      <c r="C30" s="37">
        <v>34000</v>
      </c>
      <c r="D30" s="37">
        <v>136000</v>
      </c>
      <c r="E30" s="37">
        <v>22000</v>
      </c>
      <c r="F30" s="37">
        <v>163000</v>
      </c>
      <c r="G30" s="37">
        <v>0</v>
      </c>
      <c r="H30" s="37">
        <v>166000</v>
      </c>
      <c r="I30" s="37">
        <v>25000</v>
      </c>
      <c r="J30" s="37">
        <v>0</v>
      </c>
      <c r="K30" s="37"/>
      <c r="L30" s="37"/>
      <c r="M30" s="37"/>
      <c r="N30" s="37"/>
      <c r="O30" s="37">
        <v>0</v>
      </c>
      <c r="P30" s="37"/>
      <c r="Q30" s="37"/>
      <c r="R30" s="37">
        <v>149000</v>
      </c>
      <c r="S30" s="37"/>
      <c r="T30" s="37">
        <f t="shared" si="0"/>
        <v>905000</v>
      </c>
      <c r="U30" s="34"/>
    </row>
    <row r="31" spans="1:22">
      <c r="A31" s="35" t="s">
        <v>60</v>
      </c>
      <c r="B31" s="37">
        <v>210000</v>
      </c>
      <c r="C31" s="37">
        <v>6000</v>
      </c>
      <c r="D31" s="37">
        <v>146000</v>
      </c>
      <c r="E31" s="37">
        <v>15500</v>
      </c>
      <c r="F31" s="37">
        <v>118500</v>
      </c>
      <c r="G31" s="37">
        <v>12000</v>
      </c>
      <c r="H31" s="37">
        <v>81500</v>
      </c>
      <c r="I31" s="37">
        <v>48000</v>
      </c>
      <c r="J31" s="37">
        <v>0</v>
      </c>
      <c r="K31" s="37"/>
      <c r="L31" s="37"/>
      <c r="M31" s="37"/>
      <c r="N31" s="37"/>
      <c r="O31" s="37">
        <v>0</v>
      </c>
      <c r="P31" s="37"/>
      <c r="Q31" s="37"/>
      <c r="R31" s="37">
        <v>0</v>
      </c>
      <c r="S31" s="37"/>
      <c r="T31" s="37">
        <f t="shared" si="0"/>
        <v>637500</v>
      </c>
      <c r="U31" s="34"/>
    </row>
    <row r="32" spans="1:22">
      <c r="A32" s="35" t="s">
        <v>61</v>
      </c>
      <c r="B32" s="31">
        <v>188000</v>
      </c>
      <c r="C32" s="31">
        <v>44000</v>
      </c>
      <c r="D32" s="31">
        <v>117000</v>
      </c>
      <c r="E32" s="31">
        <v>6000</v>
      </c>
      <c r="F32" s="31">
        <v>150000</v>
      </c>
      <c r="G32" s="31">
        <v>0</v>
      </c>
      <c r="H32" s="31">
        <v>60000</v>
      </c>
      <c r="I32" s="31">
        <v>25000</v>
      </c>
      <c r="J32" s="31">
        <v>10000</v>
      </c>
      <c r="K32" s="31"/>
      <c r="L32" s="31"/>
      <c r="M32" s="31"/>
      <c r="N32" s="31"/>
      <c r="O32" s="31">
        <v>0</v>
      </c>
      <c r="P32" s="31"/>
      <c r="Q32" s="31"/>
      <c r="R32" s="31">
        <v>0</v>
      </c>
      <c r="S32" s="31"/>
      <c r="T32" s="37">
        <f t="shared" si="0"/>
        <v>600000</v>
      </c>
      <c r="U32" s="39"/>
      <c r="V32" s="27"/>
    </row>
    <row r="33" spans="1:22">
      <c r="A33" s="35" t="s">
        <v>62</v>
      </c>
      <c r="B33" s="31">
        <v>245000</v>
      </c>
      <c r="C33" s="31">
        <v>108000</v>
      </c>
      <c r="D33" s="31">
        <v>130500</v>
      </c>
      <c r="E33" s="31">
        <v>9000</v>
      </c>
      <c r="F33" s="31">
        <v>117000</v>
      </c>
      <c r="G33" s="31">
        <v>0</v>
      </c>
      <c r="H33" s="31">
        <v>122000</v>
      </c>
      <c r="I33" s="31">
        <v>5000</v>
      </c>
      <c r="J33" s="31"/>
      <c r="K33" s="31"/>
      <c r="L33" s="31"/>
      <c r="M33" s="31"/>
      <c r="N33" s="31"/>
      <c r="O33" s="31">
        <v>22000</v>
      </c>
      <c r="P33" s="31"/>
      <c r="Q33" s="31"/>
      <c r="R33" s="31">
        <v>-49000</v>
      </c>
      <c r="S33" s="31"/>
      <c r="T33" s="37">
        <f t="shared" si="0"/>
        <v>709500</v>
      </c>
      <c r="U33" s="39"/>
      <c r="V33" s="27"/>
    </row>
    <row r="34" spans="1:22">
      <c r="A34" s="35" t="s">
        <v>63</v>
      </c>
      <c r="B34" s="31">
        <v>170000</v>
      </c>
      <c r="C34" s="31">
        <v>171000</v>
      </c>
      <c r="D34" s="31">
        <v>130000</v>
      </c>
      <c r="E34" s="31">
        <v>6000</v>
      </c>
      <c r="F34" s="31">
        <v>154000</v>
      </c>
      <c r="G34" s="31">
        <v>0</v>
      </c>
      <c r="H34" s="31">
        <v>68000</v>
      </c>
      <c r="I34" s="31">
        <v>35000</v>
      </c>
      <c r="J34" s="31">
        <v>6000</v>
      </c>
      <c r="K34" s="31"/>
      <c r="L34" s="31"/>
      <c r="M34" s="31"/>
      <c r="N34" s="31"/>
      <c r="O34" s="31">
        <v>11000</v>
      </c>
      <c r="P34" s="31"/>
      <c r="Q34" s="31"/>
      <c r="R34" s="31">
        <v>52000</v>
      </c>
      <c r="S34" s="31"/>
      <c r="T34" s="37">
        <f t="shared" si="0"/>
        <v>803000</v>
      </c>
      <c r="U34" s="39">
        <v>2770000</v>
      </c>
      <c r="V34" s="27"/>
    </row>
    <row r="35" spans="1:22">
      <c r="A35" s="35" t="s">
        <v>64</v>
      </c>
      <c r="B35" s="31">
        <v>180000</v>
      </c>
      <c r="C35" s="31">
        <v>141000</v>
      </c>
      <c r="D35" s="31">
        <v>119000</v>
      </c>
      <c r="E35" s="31">
        <v>35000</v>
      </c>
      <c r="F35" s="31">
        <v>141000</v>
      </c>
      <c r="G35" s="31">
        <v>0</v>
      </c>
      <c r="H35" s="31">
        <v>111000</v>
      </c>
      <c r="I35" s="31">
        <v>26000</v>
      </c>
      <c r="J35" s="31">
        <v>10000</v>
      </c>
      <c r="K35" s="31"/>
      <c r="L35" s="31"/>
      <c r="M35" s="31"/>
      <c r="N35" s="31"/>
      <c r="O35" s="31">
        <v>0</v>
      </c>
      <c r="P35" s="31"/>
      <c r="Q35" s="31"/>
      <c r="R35" s="31">
        <v>-245000</v>
      </c>
      <c r="S35" s="31"/>
      <c r="T35" s="31">
        <f t="shared" si="0"/>
        <v>518000</v>
      </c>
      <c r="U35" s="39"/>
      <c r="V35" s="27"/>
    </row>
    <row r="36" spans="1:22">
      <c r="A36" s="35" t="s">
        <v>83</v>
      </c>
      <c r="B36" s="31">
        <v>88000</v>
      </c>
      <c r="C36" s="31">
        <v>226000</v>
      </c>
      <c r="D36" s="31">
        <v>57000</v>
      </c>
      <c r="E36" s="31">
        <v>18500</v>
      </c>
      <c r="F36" s="31">
        <v>38500</v>
      </c>
      <c r="G36" s="31">
        <v>12000</v>
      </c>
      <c r="H36" s="31">
        <v>86000</v>
      </c>
      <c r="I36" s="31">
        <v>101000</v>
      </c>
      <c r="J36" s="31">
        <v>4000</v>
      </c>
      <c r="K36" s="31"/>
      <c r="L36" s="31"/>
      <c r="M36" s="31"/>
      <c r="N36" s="31"/>
      <c r="O36" s="31">
        <v>0</v>
      </c>
      <c r="P36" s="31"/>
      <c r="Q36" s="31"/>
      <c r="R36" s="31">
        <v>-124000</v>
      </c>
      <c r="S36" s="31"/>
      <c r="T36" s="31">
        <f t="shared" si="0"/>
        <v>507000</v>
      </c>
      <c r="U36" s="43"/>
      <c r="V36" s="27"/>
    </row>
    <row r="37" spans="1:22">
      <c r="A37" s="35" t="s">
        <v>84</v>
      </c>
      <c r="B37" s="31"/>
      <c r="C37" s="31"/>
      <c r="D37" s="31"/>
      <c r="E37" s="31"/>
      <c r="F37" s="31"/>
      <c r="G37" s="31"/>
      <c r="H37" s="31"/>
      <c r="I37" s="31"/>
      <c r="J37" s="31"/>
      <c r="K37" s="31"/>
      <c r="L37" s="31"/>
      <c r="M37" s="31"/>
      <c r="N37" s="31"/>
      <c r="O37" s="31"/>
      <c r="P37" s="31"/>
      <c r="Q37" s="31"/>
      <c r="R37" s="31"/>
      <c r="S37" s="31"/>
      <c r="T37" s="31">
        <f>SUM(B37:S37)</f>
        <v>0</v>
      </c>
      <c r="U37" s="39"/>
      <c r="V37" s="27"/>
    </row>
    <row r="38" spans="1:22">
      <c r="A38" s="40" t="s">
        <v>23</v>
      </c>
      <c r="B38" s="41">
        <f t="shared" ref="B38:J38" si="1">SUM(B7:B37)</f>
        <v>6149000</v>
      </c>
      <c r="C38" s="41">
        <f t="shared" si="1"/>
        <v>3116000</v>
      </c>
      <c r="D38" s="41">
        <f t="shared" si="1"/>
        <v>3282500</v>
      </c>
      <c r="E38" s="41">
        <f t="shared" si="1"/>
        <v>354500</v>
      </c>
      <c r="F38" s="41">
        <f t="shared" si="1"/>
        <v>3539200</v>
      </c>
      <c r="G38" s="41">
        <f t="shared" si="1"/>
        <v>150000</v>
      </c>
      <c r="H38" s="41">
        <f t="shared" si="1"/>
        <v>2543000</v>
      </c>
      <c r="I38" s="41">
        <f t="shared" si="1"/>
        <v>1480500</v>
      </c>
      <c r="J38" s="41">
        <f t="shared" si="1"/>
        <v>265500</v>
      </c>
      <c r="K38" s="31"/>
      <c r="L38" s="31"/>
      <c r="M38" s="31"/>
      <c r="N38" s="31"/>
      <c r="O38" s="31">
        <f>SUM(O7:O37)</f>
        <v>242000</v>
      </c>
      <c r="P38" s="31"/>
      <c r="Q38" s="31"/>
      <c r="R38" s="31">
        <f>SUM(R7:R37)</f>
        <v>8215000</v>
      </c>
      <c r="S38" s="31"/>
      <c r="T38" s="31">
        <f>SUM(B38:S38)</f>
        <v>29337200</v>
      </c>
      <c r="U38" s="45"/>
    </row>
    <row r="39" spans="1:22">
      <c r="A39" s="34"/>
      <c r="B39" s="34"/>
      <c r="C39" s="34"/>
      <c r="D39" s="34"/>
      <c r="E39" s="34"/>
      <c r="F39" s="34"/>
      <c r="G39" s="34"/>
      <c r="H39" s="34"/>
      <c r="I39" s="34"/>
      <c r="J39" s="34"/>
      <c r="K39" s="34"/>
      <c r="L39" s="34"/>
      <c r="M39" s="34"/>
      <c r="N39" s="34"/>
      <c r="O39" s="34"/>
      <c r="P39" s="34"/>
      <c r="Q39" s="34"/>
      <c r="R39" s="34"/>
      <c r="S39" s="34"/>
      <c r="T39" s="34"/>
      <c r="U39" s="34"/>
    </row>
  </sheetData>
  <mergeCells count="4">
    <mergeCell ref="B2:T2"/>
    <mergeCell ref="B3:T3"/>
    <mergeCell ref="C4:F4"/>
    <mergeCell ref="C5:F5"/>
  </mergeCells>
  <pageMargins left="0.7" right="0.7" top="0.75" bottom="0.75" header="0.3" footer="0.3"/>
  <pageSetup orientation="portrait" horizontalDpi="0"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29"/>
  <sheetViews>
    <sheetView workbookViewId="0">
      <selection activeCell="J12" sqref="J12"/>
    </sheetView>
  </sheetViews>
  <sheetFormatPr defaultRowHeight="15"/>
  <cols>
    <col min="1" max="1" width="18.140625" customWidth="1"/>
    <col min="2" max="2" width="11.5703125" customWidth="1"/>
    <col min="3" max="3" width="14" customWidth="1"/>
    <col min="4" max="5" width="13.28515625" customWidth="1"/>
    <col min="6" max="6" width="11.85546875" customWidth="1"/>
    <col min="7" max="7" width="12.7109375" customWidth="1"/>
  </cols>
  <sheetData>
    <row r="1" spans="1:7" ht="16.5" thickBot="1">
      <c r="A1" s="9"/>
      <c r="B1" s="10"/>
      <c r="C1" s="10"/>
      <c r="D1" s="10"/>
      <c r="E1" s="10"/>
      <c r="F1" s="10"/>
      <c r="G1" s="8"/>
    </row>
    <row r="2" spans="1:7" ht="16.5" thickBot="1">
      <c r="A2" s="6" t="s">
        <v>24</v>
      </c>
      <c r="B2" s="70" t="s">
        <v>92</v>
      </c>
      <c r="C2" s="71"/>
      <c r="D2" s="72"/>
      <c r="E2" s="11"/>
      <c r="F2" s="11"/>
      <c r="G2" s="12"/>
    </row>
    <row r="3" spans="1:7" ht="15.75">
      <c r="A3" s="13" t="s">
        <v>25</v>
      </c>
      <c r="B3" s="14" t="s">
        <v>26</v>
      </c>
      <c r="C3" s="14" t="s">
        <v>27</v>
      </c>
      <c r="D3" s="14" t="s">
        <v>28</v>
      </c>
      <c r="E3" s="14" t="s">
        <v>29</v>
      </c>
      <c r="F3" s="15" t="s">
        <v>30</v>
      </c>
      <c r="G3" s="16" t="s">
        <v>31</v>
      </c>
    </row>
    <row r="4" spans="1:7" ht="15.75">
      <c r="A4" s="17" t="s">
        <v>4</v>
      </c>
      <c r="B4" s="18">
        <v>328500</v>
      </c>
      <c r="C4" s="18">
        <v>1657000</v>
      </c>
      <c r="D4" s="18">
        <v>1150500</v>
      </c>
      <c r="E4" s="18">
        <v>1772000</v>
      </c>
      <c r="F4" s="19">
        <v>1291000</v>
      </c>
      <c r="G4" s="20">
        <f t="shared" ref="G4:G12" si="0">SUM(B4:F4)</f>
        <v>6199000</v>
      </c>
    </row>
    <row r="5" spans="1:7" ht="15.75">
      <c r="A5" s="17" t="s">
        <v>5</v>
      </c>
      <c r="B5" s="18">
        <v>156000</v>
      </c>
      <c r="C5" s="18">
        <v>732000</v>
      </c>
      <c r="D5" s="18">
        <v>734000</v>
      </c>
      <c r="E5" s="18">
        <v>764000</v>
      </c>
      <c r="F5" s="19">
        <v>730000</v>
      </c>
      <c r="G5" s="20">
        <f>SUM(B5:F5)</f>
        <v>3116000</v>
      </c>
    </row>
    <row r="6" spans="1:7" ht="15.75">
      <c r="A6" s="17" t="s">
        <v>32</v>
      </c>
      <c r="B6" s="18">
        <v>221000</v>
      </c>
      <c r="C6" s="18">
        <v>745000</v>
      </c>
      <c r="D6" s="18">
        <v>767000</v>
      </c>
      <c r="E6" s="18">
        <v>713500</v>
      </c>
      <c r="F6" s="19">
        <v>835500</v>
      </c>
      <c r="G6" s="20">
        <f t="shared" si="0"/>
        <v>3282000</v>
      </c>
    </row>
    <row r="7" spans="1:7" ht="15.75">
      <c r="A7" s="17" t="s">
        <v>33</v>
      </c>
      <c r="B7" s="18">
        <v>23000</v>
      </c>
      <c r="C7" s="18">
        <v>76000</v>
      </c>
      <c r="D7" s="18">
        <v>99000</v>
      </c>
      <c r="E7" s="18">
        <v>44500</v>
      </c>
      <c r="F7" s="19">
        <v>112000</v>
      </c>
      <c r="G7" s="20">
        <f t="shared" si="0"/>
        <v>354500</v>
      </c>
    </row>
    <row r="8" spans="1:7" ht="15.75">
      <c r="A8" s="17" t="s">
        <v>8</v>
      </c>
      <c r="B8" s="18">
        <v>285500</v>
      </c>
      <c r="C8" s="18">
        <v>726100</v>
      </c>
      <c r="D8" s="18">
        <v>810000</v>
      </c>
      <c r="E8" s="18">
        <v>776000</v>
      </c>
      <c r="F8" s="19">
        <v>882000</v>
      </c>
      <c r="G8" s="20">
        <f t="shared" si="0"/>
        <v>3479600</v>
      </c>
    </row>
    <row r="9" spans="1:7" ht="15.75">
      <c r="A9" s="17" t="s">
        <v>9</v>
      </c>
      <c r="B9" s="18">
        <v>24000</v>
      </c>
      <c r="C9" s="18">
        <v>12000</v>
      </c>
      <c r="D9" s="18">
        <v>6000</v>
      </c>
      <c r="E9" s="18">
        <v>84000</v>
      </c>
      <c r="F9" s="19">
        <v>24000</v>
      </c>
      <c r="G9" s="20">
        <f t="shared" si="0"/>
        <v>150000</v>
      </c>
    </row>
    <row r="10" spans="1:7" ht="15.75">
      <c r="A10" s="17" t="s">
        <v>10</v>
      </c>
      <c r="B10" s="18">
        <v>134000</v>
      </c>
      <c r="C10" s="18">
        <v>515000</v>
      </c>
      <c r="D10" s="18">
        <v>720500</v>
      </c>
      <c r="E10" s="18">
        <v>479000</v>
      </c>
      <c r="F10" s="19">
        <v>694500</v>
      </c>
      <c r="G10" s="20">
        <f t="shared" si="0"/>
        <v>2543000</v>
      </c>
    </row>
    <row r="11" spans="1:7" ht="15.75">
      <c r="A11" s="17" t="s">
        <v>11</v>
      </c>
      <c r="B11" s="18">
        <v>74000</v>
      </c>
      <c r="C11" s="18">
        <v>356000</v>
      </c>
      <c r="D11" s="18">
        <v>439500</v>
      </c>
      <c r="E11" s="18">
        <v>346000</v>
      </c>
      <c r="F11" s="19">
        <v>265000</v>
      </c>
      <c r="G11" s="20">
        <f t="shared" si="0"/>
        <v>1480500</v>
      </c>
    </row>
    <row r="12" spans="1:7" ht="15.75">
      <c r="A12" s="17" t="s">
        <v>12</v>
      </c>
      <c r="B12" s="18">
        <v>19000</v>
      </c>
      <c r="C12" s="18">
        <v>84500</v>
      </c>
      <c r="D12" s="18">
        <v>72000</v>
      </c>
      <c r="E12" s="18">
        <v>70000</v>
      </c>
      <c r="F12" s="19">
        <v>30000</v>
      </c>
      <c r="G12" s="20">
        <f t="shared" si="0"/>
        <v>275500</v>
      </c>
    </row>
    <row r="13" spans="1:7" ht="15.75">
      <c r="A13" s="17" t="s">
        <v>13</v>
      </c>
      <c r="B13" s="18"/>
      <c r="C13" s="18"/>
      <c r="D13" s="18"/>
      <c r="E13" s="18"/>
      <c r="F13" s="19"/>
      <c r="G13" s="20">
        <f t="shared" ref="G13:G20" si="1">SUM(B13:E13)</f>
        <v>0</v>
      </c>
    </row>
    <row r="14" spans="1:7" ht="15.75">
      <c r="A14" s="17" t="s">
        <v>14</v>
      </c>
      <c r="B14" s="18"/>
      <c r="C14" s="18"/>
      <c r="D14" s="18"/>
      <c r="E14" s="18"/>
      <c r="F14" s="19"/>
      <c r="G14" s="20">
        <f t="shared" si="1"/>
        <v>0</v>
      </c>
    </row>
    <row r="15" spans="1:7" ht="15.75">
      <c r="A15" s="17" t="s">
        <v>15</v>
      </c>
      <c r="B15" s="18"/>
      <c r="C15" s="18"/>
      <c r="D15" s="18"/>
      <c r="E15" s="18"/>
      <c r="F15" s="19"/>
      <c r="G15" s="20">
        <f t="shared" si="1"/>
        <v>0</v>
      </c>
    </row>
    <row r="16" spans="1:7" ht="15.75">
      <c r="A16" s="17" t="s">
        <v>16</v>
      </c>
      <c r="B16" s="18"/>
      <c r="C16" s="18"/>
      <c r="D16" s="18"/>
      <c r="E16" s="18"/>
      <c r="F16" s="19"/>
      <c r="G16" s="20">
        <f t="shared" si="1"/>
        <v>0</v>
      </c>
    </row>
    <row r="17" spans="1:7" ht="15.75">
      <c r="A17" s="17" t="s">
        <v>17</v>
      </c>
      <c r="B17" s="18">
        <v>17000</v>
      </c>
      <c r="C17" s="18">
        <v>62000</v>
      </c>
      <c r="D17" s="18">
        <v>15000</v>
      </c>
      <c r="E17" s="18">
        <v>115000</v>
      </c>
      <c r="F17" s="19">
        <v>33000</v>
      </c>
      <c r="G17" s="20">
        <f>SUM(B17:F17)</f>
        <v>242000</v>
      </c>
    </row>
    <row r="18" spans="1:7" ht="15.75">
      <c r="A18" s="17" t="s">
        <v>18</v>
      </c>
      <c r="B18" s="18"/>
      <c r="C18" s="18"/>
      <c r="D18" s="18"/>
      <c r="E18" s="18"/>
      <c r="F18" s="19"/>
      <c r="G18" s="20">
        <f t="shared" si="1"/>
        <v>0</v>
      </c>
    </row>
    <row r="19" spans="1:7" ht="15.75">
      <c r="A19" s="17" t="s">
        <v>19</v>
      </c>
      <c r="B19" s="18"/>
      <c r="C19" s="18"/>
      <c r="D19" s="18"/>
      <c r="E19" s="18"/>
      <c r="F19" s="19"/>
      <c r="G19" s="20">
        <f t="shared" si="1"/>
        <v>0</v>
      </c>
    </row>
    <row r="20" spans="1:7" ht="15.75">
      <c r="A20" s="17" t="s">
        <v>34</v>
      </c>
      <c r="B20" s="18"/>
      <c r="C20" s="18"/>
      <c r="D20" s="18"/>
      <c r="E20" s="18"/>
      <c r="F20" s="19"/>
      <c r="G20" s="20">
        <f t="shared" si="1"/>
        <v>0</v>
      </c>
    </row>
    <row r="21" spans="1:7" ht="16.5" thickBot="1">
      <c r="A21" s="21" t="s">
        <v>35</v>
      </c>
      <c r="B21" s="22">
        <f t="shared" ref="B21:G21" si="2">SUM(B4:B20)</f>
        <v>1282000</v>
      </c>
      <c r="C21" s="22">
        <f t="shared" si="2"/>
        <v>4965600</v>
      </c>
      <c r="D21" s="22">
        <f t="shared" si="2"/>
        <v>4813500</v>
      </c>
      <c r="E21" s="22">
        <f t="shared" si="2"/>
        <v>5164000</v>
      </c>
      <c r="F21" s="22">
        <f t="shared" si="2"/>
        <v>4897000</v>
      </c>
      <c r="G21" s="23">
        <f t="shared" si="2"/>
        <v>21122100</v>
      </c>
    </row>
    <row r="23" spans="1:7" ht="15.75" thickBot="1"/>
    <row r="24" spans="1:7" ht="21.75" thickBot="1">
      <c r="A24" s="73" t="s">
        <v>36</v>
      </c>
      <c r="B24" s="74"/>
      <c r="C24" s="74"/>
      <c r="D24" s="74"/>
      <c r="E24" s="74"/>
      <c r="F24" s="74"/>
      <c r="G24" s="75"/>
    </row>
    <row r="25" spans="1:7" ht="15.75" thickBot="1">
      <c r="A25" s="77" t="s">
        <v>89</v>
      </c>
      <c r="B25" s="68"/>
      <c r="C25" s="68"/>
      <c r="D25" s="68"/>
      <c r="E25" s="68"/>
      <c r="F25" s="68"/>
      <c r="G25" s="69"/>
    </row>
    <row r="26" spans="1:7" ht="15.75" thickBot="1">
      <c r="A26" s="24"/>
      <c r="B26" s="25"/>
      <c r="C26" s="25"/>
      <c r="D26" s="25"/>
      <c r="E26" s="25"/>
      <c r="F26" s="25"/>
      <c r="G26" s="26"/>
    </row>
    <row r="27" spans="1:7" ht="15.75" thickBot="1">
      <c r="A27" s="67"/>
      <c r="B27" s="68"/>
      <c r="C27" s="68"/>
      <c r="D27" s="68"/>
      <c r="E27" s="68"/>
      <c r="F27" s="68"/>
      <c r="G27" s="69"/>
    </row>
    <row r="28" spans="1:7" ht="15.75" thickBot="1">
      <c r="A28" s="77" t="s">
        <v>90</v>
      </c>
      <c r="B28" s="68"/>
      <c r="C28" s="68"/>
      <c r="D28" s="68"/>
      <c r="E28" s="68"/>
      <c r="F28" s="68"/>
      <c r="G28" s="69"/>
    </row>
    <row r="29" spans="1:7" ht="15.75" thickBot="1">
      <c r="A29" s="67"/>
      <c r="B29" s="68"/>
      <c r="C29" s="68"/>
      <c r="D29" s="68"/>
      <c r="E29" s="68"/>
      <c r="F29" s="68"/>
      <c r="G29" s="69"/>
    </row>
  </sheetData>
  <mergeCells count="6">
    <mergeCell ref="A29:G29"/>
    <mergeCell ref="B2:D2"/>
    <mergeCell ref="A24:G24"/>
    <mergeCell ref="A25:G25"/>
    <mergeCell ref="A27:G27"/>
    <mergeCell ref="A28:G28"/>
  </mergeCells>
  <pageMargins left="0.7" right="0.7" top="0.75" bottom="0.75" header="0.3" footer="0.3"/>
  <pageSetup orientation="portrait" horizontalDpi="0"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V39"/>
  <sheetViews>
    <sheetView topLeftCell="A20" workbookViewId="0">
      <selection activeCell="N37" sqref="N37"/>
    </sheetView>
  </sheetViews>
  <sheetFormatPr defaultRowHeight="15"/>
  <cols>
    <col min="1" max="1" width="6.140625" customWidth="1"/>
    <col min="2" max="2" width="10.7109375" customWidth="1"/>
    <col min="3" max="3" width="10" customWidth="1"/>
    <col min="4" max="4" width="10.28515625" customWidth="1"/>
    <col min="6" max="6" width="10" customWidth="1"/>
    <col min="8" max="8" width="10" customWidth="1"/>
    <col min="9" max="9" width="10.85546875" customWidth="1"/>
    <col min="11" max="11" width="7.7109375" customWidth="1"/>
    <col min="12" max="12" width="7.140625" customWidth="1"/>
    <col min="13" max="13" width="6.85546875" customWidth="1"/>
    <col min="14" max="14" width="7.140625" customWidth="1"/>
    <col min="15" max="15" width="11.42578125" customWidth="1"/>
    <col min="16" max="16" width="7.140625" customWidth="1"/>
    <col min="17" max="17" width="7" customWidth="1"/>
    <col min="18" max="18" width="11.28515625" customWidth="1"/>
    <col min="20" max="20" width="11" customWidth="1"/>
    <col min="21" max="21" width="9.7109375" customWidth="1"/>
    <col min="22" max="22" width="10.5703125" customWidth="1"/>
  </cols>
  <sheetData>
    <row r="1" spans="1:22" ht="15.75" thickBot="1"/>
    <row r="2" spans="1:22" ht="26.25">
      <c r="A2" s="28"/>
      <c r="B2" s="55" t="s">
        <v>68</v>
      </c>
      <c r="C2" s="56"/>
      <c r="D2" s="56"/>
      <c r="E2" s="56"/>
      <c r="F2" s="56"/>
      <c r="G2" s="56"/>
      <c r="H2" s="56"/>
      <c r="I2" s="56"/>
      <c r="J2" s="56"/>
      <c r="K2" s="56"/>
      <c r="L2" s="56"/>
      <c r="M2" s="56"/>
      <c r="N2" s="56"/>
      <c r="O2" s="56"/>
      <c r="P2" s="56"/>
      <c r="Q2" s="56"/>
      <c r="R2" s="56"/>
      <c r="S2" s="56"/>
      <c r="T2" s="57"/>
    </row>
    <row r="3" spans="1:22" ht="27" thickBot="1">
      <c r="A3" s="4"/>
      <c r="B3" s="58" t="s">
        <v>0</v>
      </c>
      <c r="C3" s="59"/>
      <c r="D3" s="59"/>
      <c r="E3" s="59"/>
      <c r="F3" s="59"/>
      <c r="G3" s="59"/>
      <c r="H3" s="59"/>
      <c r="I3" s="59"/>
      <c r="J3" s="59"/>
      <c r="K3" s="59"/>
      <c r="L3" s="59"/>
      <c r="M3" s="59"/>
      <c r="N3" s="59"/>
      <c r="O3" s="59"/>
      <c r="P3" s="59"/>
      <c r="Q3" s="59"/>
      <c r="R3" s="59"/>
      <c r="S3" s="59"/>
      <c r="T3" s="60"/>
    </row>
    <row r="4" spans="1:22" ht="27" thickBot="1">
      <c r="A4" s="4"/>
      <c r="B4" s="29" t="s">
        <v>1</v>
      </c>
      <c r="C4" s="61" t="s">
        <v>69</v>
      </c>
      <c r="D4" s="62"/>
      <c r="E4" s="62"/>
      <c r="F4" s="63"/>
      <c r="T4" s="5"/>
    </row>
    <row r="5" spans="1:22" ht="21">
      <c r="A5" s="4"/>
      <c r="B5" s="30" t="s">
        <v>2</v>
      </c>
      <c r="C5" s="78">
        <v>45474</v>
      </c>
      <c r="D5" s="79"/>
      <c r="E5" s="79"/>
      <c r="F5" s="80"/>
      <c r="T5" s="5"/>
    </row>
    <row r="6" spans="1:22" ht="67.5">
      <c r="A6" s="32" t="s">
        <v>3</v>
      </c>
      <c r="B6" s="33" t="s">
        <v>4</v>
      </c>
      <c r="C6" s="33" t="s">
        <v>5</v>
      </c>
      <c r="D6" s="33" t="s">
        <v>6</v>
      </c>
      <c r="E6" s="33" t="s">
        <v>7</v>
      </c>
      <c r="F6" s="33" t="s">
        <v>8</v>
      </c>
      <c r="G6" s="33" t="s">
        <v>9</v>
      </c>
      <c r="H6" s="33" t="s">
        <v>10</v>
      </c>
      <c r="I6" s="33" t="s">
        <v>11</v>
      </c>
      <c r="J6" s="33" t="s">
        <v>12</v>
      </c>
      <c r="K6" s="33" t="s">
        <v>13</v>
      </c>
      <c r="L6" s="33" t="s">
        <v>14</v>
      </c>
      <c r="M6" s="33" t="s">
        <v>15</v>
      </c>
      <c r="N6" s="33" t="s">
        <v>16</v>
      </c>
      <c r="O6" s="33" t="s">
        <v>17</v>
      </c>
      <c r="P6" s="33" t="s">
        <v>18</v>
      </c>
      <c r="Q6" s="33" t="s">
        <v>19</v>
      </c>
      <c r="R6" s="33" t="s">
        <v>20</v>
      </c>
      <c r="S6" s="33" t="s">
        <v>21</v>
      </c>
      <c r="T6" s="33" t="s">
        <v>22</v>
      </c>
      <c r="U6" s="34" t="s">
        <v>87</v>
      </c>
    </row>
    <row r="7" spans="1:22">
      <c r="A7" s="35" t="s">
        <v>67</v>
      </c>
      <c r="B7" s="36">
        <v>165000</v>
      </c>
      <c r="C7" s="36">
        <v>20000</v>
      </c>
      <c r="D7" s="36">
        <v>129500</v>
      </c>
      <c r="E7" s="36">
        <v>24500</v>
      </c>
      <c r="F7" s="36">
        <v>168000</v>
      </c>
      <c r="G7" s="36">
        <v>0</v>
      </c>
      <c r="H7" s="36">
        <v>152000</v>
      </c>
      <c r="I7" s="36">
        <v>51000</v>
      </c>
      <c r="J7" s="36">
        <v>2000</v>
      </c>
      <c r="K7" s="36"/>
      <c r="L7" s="36"/>
      <c r="M7" s="36"/>
      <c r="N7" s="36"/>
      <c r="O7" s="36">
        <v>0</v>
      </c>
      <c r="P7" s="36"/>
      <c r="Q7" s="36"/>
      <c r="R7" s="36">
        <v>0</v>
      </c>
      <c r="S7" s="37"/>
      <c r="T7" s="37">
        <f t="shared" ref="T7:T36" si="0">SUM(B7:S7)</f>
        <v>712000</v>
      </c>
      <c r="U7" s="45"/>
      <c r="V7" s="27"/>
    </row>
    <row r="8" spans="1:22">
      <c r="A8" s="35" t="s">
        <v>37</v>
      </c>
      <c r="B8" s="36">
        <v>279000</v>
      </c>
      <c r="C8" s="36">
        <v>44000</v>
      </c>
      <c r="D8" s="36">
        <v>133000</v>
      </c>
      <c r="E8" s="36">
        <v>36000</v>
      </c>
      <c r="F8" s="36">
        <v>125500</v>
      </c>
      <c r="G8" s="36">
        <v>0</v>
      </c>
      <c r="H8" s="36">
        <v>34000</v>
      </c>
      <c r="I8" s="36">
        <v>31500</v>
      </c>
      <c r="J8" s="36">
        <v>2000</v>
      </c>
      <c r="K8" s="36"/>
      <c r="L8" s="36"/>
      <c r="M8" s="36"/>
      <c r="N8" s="36"/>
      <c r="O8" s="36">
        <v>0</v>
      </c>
      <c r="P8" s="36"/>
      <c r="Q8" s="36"/>
      <c r="R8" s="36">
        <v>0</v>
      </c>
      <c r="S8" s="37"/>
      <c r="T8" s="37">
        <f t="shared" si="0"/>
        <v>685000</v>
      </c>
      <c r="U8" s="45"/>
      <c r="V8" s="27"/>
    </row>
    <row r="9" spans="1:22">
      <c r="A9" s="35" t="s">
        <v>38</v>
      </c>
      <c r="B9" s="36">
        <v>170000</v>
      </c>
      <c r="C9" s="36">
        <v>10000</v>
      </c>
      <c r="D9" s="36">
        <v>86000</v>
      </c>
      <c r="E9" s="36">
        <v>6000</v>
      </c>
      <c r="F9" s="36">
        <v>74900</v>
      </c>
      <c r="G9" s="36">
        <v>0</v>
      </c>
      <c r="H9" s="36">
        <v>16000</v>
      </c>
      <c r="I9" s="36">
        <v>24000</v>
      </c>
      <c r="J9" s="36">
        <v>6000</v>
      </c>
      <c r="K9" s="36"/>
      <c r="L9" s="36"/>
      <c r="M9" s="36"/>
      <c r="N9" s="36"/>
      <c r="O9" s="36">
        <v>22000</v>
      </c>
      <c r="P9" s="36"/>
      <c r="Q9" s="36"/>
      <c r="R9" s="36">
        <v>357000</v>
      </c>
      <c r="S9" s="37"/>
      <c r="T9" s="37">
        <f t="shared" si="0"/>
        <v>771900</v>
      </c>
      <c r="U9" s="45"/>
      <c r="V9" s="27"/>
    </row>
    <row r="10" spans="1:22">
      <c r="A10" s="35" t="s">
        <v>39</v>
      </c>
      <c r="B10" s="36">
        <v>285500</v>
      </c>
      <c r="C10" s="36">
        <v>52000</v>
      </c>
      <c r="D10" s="36">
        <v>75500</v>
      </c>
      <c r="E10" s="36">
        <v>5000</v>
      </c>
      <c r="F10" s="36">
        <v>56000</v>
      </c>
      <c r="G10" s="36">
        <v>12000</v>
      </c>
      <c r="H10" s="36">
        <v>22000</v>
      </c>
      <c r="I10" s="36">
        <v>24000</v>
      </c>
      <c r="J10" s="36">
        <v>23000</v>
      </c>
      <c r="K10" s="36"/>
      <c r="L10" s="36"/>
      <c r="M10" s="36"/>
      <c r="N10" s="36"/>
      <c r="O10" s="36">
        <v>0</v>
      </c>
      <c r="Q10" s="36"/>
      <c r="R10" s="36">
        <v>0</v>
      </c>
      <c r="S10" s="37"/>
      <c r="T10" s="37">
        <f t="shared" si="0"/>
        <v>555000</v>
      </c>
      <c r="U10" s="42"/>
    </row>
    <row r="11" spans="1:22">
      <c r="A11" s="35" t="s">
        <v>40</v>
      </c>
      <c r="B11" s="37">
        <v>211000</v>
      </c>
      <c r="C11" s="37">
        <v>108000</v>
      </c>
      <c r="D11" s="37">
        <v>134500</v>
      </c>
      <c r="E11" s="37">
        <v>6000</v>
      </c>
      <c r="F11" s="37">
        <v>140500</v>
      </c>
      <c r="G11" s="37">
        <v>0</v>
      </c>
      <c r="H11" s="37">
        <v>140000</v>
      </c>
      <c r="I11" s="37">
        <v>54500</v>
      </c>
      <c r="J11" s="37">
        <v>2000</v>
      </c>
      <c r="K11" s="37"/>
      <c r="L11" s="37"/>
      <c r="M11" s="37"/>
      <c r="N11" s="37"/>
      <c r="O11" s="37">
        <v>11000</v>
      </c>
      <c r="P11" s="37"/>
      <c r="Q11" s="37"/>
      <c r="R11" s="37">
        <v>1001000</v>
      </c>
      <c r="S11" s="37"/>
      <c r="T11" s="37">
        <f t="shared" si="0"/>
        <v>1808500</v>
      </c>
      <c r="U11" s="42"/>
    </row>
    <row r="12" spans="1:22">
      <c r="A12" s="35" t="s">
        <v>41</v>
      </c>
      <c r="B12" s="37">
        <v>233000</v>
      </c>
      <c r="C12" s="37">
        <v>170000</v>
      </c>
      <c r="D12" s="37">
        <v>125000</v>
      </c>
      <c r="E12" s="37">
        <v>5500</v>
      </c>
      <c r="F12" s="37">
        <v>123500</v>
      </c>
      <c r="G12" s="37">
        <v>0</v>
      </c>
      <c r="H12" s="37">
        <v>114000</v>
      </c>
      <c r="I12" s="37">
        <v>59500</v>
      </c>
      <c r="J12" s="37">
        <v>3000</v>
      </c>
      <c r="K12" s="37"/>
      <c r="L12" s="37"/>
      <c r="M12" s="37"/>
      <c r="N12" s="37"/>
      <c r="O12" s="37">
        <v>18000</v>
      </c>
      <c r="P12" s="37"/>
      <c r="Q12" s="37"/>
      <c r="R12" s="37">
        <v>402000</v>
      </c>
      <c r="S12" s="37"/>
      <c r="T12" s="37">
        <f t="shared" si="0"/>
        <v>1253500</v>
      </c>
      <c r="U12" s="42"/>
    </row>
    <row r="13" spans="1:22">
      <c r="A13" s="35" t="s">
        <v>42</v>
      </c>
      <c r="B13" s="37">
        <v>154000</v>
      </c>
      <c r="C13" s="37">
        <v>54000</v>
      </c>
      <c r="D13" s="37">
        <v>43000</v>
      </c>
      <c r="E13" s="37">
        <v>9000</v>
      </c>
      <c r="F13" s="37">
        <v>108000</v>
      </c>
      <c r="G13" s="37">
        <v>0</v>
      </c>
      <c r="H13" s="37">
        <v>130000</v>
      </c>
      <c r="I13" s="37">
        <v>2000</v>
      </c>
      <c r="J13" s="37">
        <v>40000</v>
      </c>
      <c r="K13" s="37"/>
      <c r="L13" s="37"/>
      <c r="M13" s="37"/>
      <c r="N13" s="37"/>
      <c r="O13" s="37">
        <v>0</v>
      </c>
      <c r="P13" s="37"/>
      <c r="Q13" s="37"/>
      <c r="R13" s="37">
        <v>0</v>
      </c>
      <c r="S13" s="37"/>
      <c r="T13" s="37">
        <f t="shared" si="0"/>
        <v>540000</v>
      </c>
      <c r="U13" s="42"/>
    </row>
    <row r="14" spans="1:22">
      <c r="A14" s="35" t="s">
        <v>43</v>
      </c>
      <c r="B14" s="37">
        <v>123000</v>
      </c>
      <c r="C14" s="37">
        <v>92000</v>
      </c>
      <c r="D14" s="37">
        <v>91000</v>
      </c>
      <c r="E14" s="37">
        <v>6500</v>
      </c>
      <c r="F14" s="37">
        <v>107500</v>
      </c>
      <c r="G14" s="37">
        <v>0</v>
      </c>
      <c r="H14" s="37">
        <v>23000</v>
      </c>
      <c r="I14" s="37">
        <v>9000</v>
      </c>
      <c r="J14" s="37">
        <v>15000</v>
      </c>
      <c r="K14" s="37"/>
      <c r="L14" s="37"/>
      <c r="M14" s="37"/>
      <c r="N14" s="37"/>
      <c r="O14" s="37">
        <v>10000</v>
      </c>
      <c r="P14" s="37"/>
      <c r="Q14" s="37"/>
      <c r="R14" s="37">
        <v>372000</v>
      </c>
      <c r="S14" s="37"/>
      <c r="T14" s="37">
        <f t="shared" si="0"/>
        <v>849000</v>
      </c>
      <c r="U14" s="42"/>
    </row>
    <row r="15" spans="1:22">
      <c r="A15" s="35" t="s">
        <v>44</v>
      </c>
      <c r="B15" s="37">
        <v>117000</v>
      </c>
      <c r="C15" s="37">
        <v>34000</v>
      </c>
      <c r="D15" s="37">
        <v>119500</v>
      </c>
      <c r="E15" s="37">
        <v>9000</v>
      </c>
      <c r="F15" s="37">
        <v>97000</v>
      </c>
      <c r="G15" s="37">
        <v>0</v>
      </c>
      <c r="H15" s="37">
        <v>58000</v>
      </c>
      <c r="I15" s="37">
        <v>55500</v>
      </c>
      <c r="J15" s="37">
        <v>2000</v>
      </c>
      <c r="K15" s="37"/>
      <c r="L15" s="37"/>
      <c r="M15" s="37"/>
      <c r="N15" s="37"/>
      <c r="O15" s="37">
        <v>6000</v>
      </c>
      <c r="P15" s="37"/>
      <c r="Q15" s="37"/>
      <c r="R15" s="37">
        <v>603000</v>
      </c>
      <c r="S15" s="37"/>
      <c r="T15" s="37">
        <f t="shared" si="0"/>
        <v>1101000</v>
      </c>
      <c r="U15" s="34"/>
    </row>
    <row r="16" spans="1:22">
      <c r="A16" s="35" t="s">
        <v>45</v>
      </c>
      <c r="B16" s="37">
        <v>181000</v>
      </c>
      <c r="C16" s="37">
        <v>109000</v>
      </c>
      <c r="D16" s="37">
        <v>138000</v>
      </c>
      <c r="E16" s="37">
        <v>1500</v>
      </c>
      <c r="F16" s="37">
        <v>131000</v>
      </c>
      <c r="G16" s="37">
        <v>0</v>
      </c>
      <c r="H16" s="37">
        <v>22000</v>
      </c>
      <c r="I16" s="37">
        <v>29500</v>
      </c>
      <c r="J16" s="37">
        <v>0</v>
      </c>
      <c r="K16" s="37"/>
      <c r="L16" s="37"/>
      <c r="M16" s="37"/>
      <c r="N16" s="37"/>
      <c r="O16" s="37">
        <v>12000</v>
      </c>
      <c r="P16" s="37"/>
      <c r="Q16" s="37"/>
      <c r="R16" s="37">
        <v>752000</v>
      </c>
      <c r="S16" s="37"/>
      <c r="T16" s="37">
        <f t="shared" si="0"/>
        <v>1376000</v>
      </c>
      <c r="U16" s="34"/>
    </row>
    <row r="17" spans="1:21">
      <c r="A17" s="35" t="s">
        <v>46</v>
      </c>
      <c r="B17" s="37">
        <v>145500</v>
      </c>
      <c r="C17" s="37">
        <v>16000</v>
      </c>
      <c r="D17" s="37">
        <v>74000</v>
      </c>
      <c r="E17" s="37">
        <v>6000</v>
      </c>
      <c r="F17" s="37">
        <v>105000</v>
      </c>
      <c r="G17" s="37">
        <v>0</v>
      </c>
      <c r="H17" s="37">
        <v>120000</v>
      </c>
      <c r="I17" s="37">
        <v>21000</v>
      </c>
      <c r="J17" s="37">
        <v>0</v>
      </c>
      <c r="K17" s="37"/>
      <c r="L17" s="37"/>
      <c r="M17" s="37"/>
      <c r="N17" s="37"/>
      <c r="O17" s="37">
        <v>21000</v>
      </c>
      <c r="P17" s="37"/>
      <c r="Q17" s="37"/>
      <c r="R17" s="37">
        <v>0</v>
      </c>
      <c r="S17" s="37"/>
      <c r="T17" s="37">
        <f t="shared" si="0"/>
        <v>508500</v>
      </c>
      <c r="U17" s="34"/>
    </row>
    <row r="18" spans="1:21">
      <c r="A18" s="35" t="s">
        <v>47</v>
      </c>
      <c r="B18" s="37">
        <v>227500</v>
      </c>
      <c r="C18" s="37">
        <v>112000</v>
      </c>
      <c r="D18" s="37">
        <v>105000</v>
      </c>
      <c r="E18" s="37">
        <v>3000</v>
      </c>
      <c r="F18" s="37">
        <v>101000</v>
      </c>
      <c r="G18" s="37">
        <v>0</v>
      </c>
      <c r="H18" s="37">
        <v>76000</v>
      </c>
      <c r="I18" s="37">
        <v>54500</v>
      </c>
      <c r="J18" s="37">
        <v>8000</v>
      </c>
      <c r="K18" s="37"/>
      <c r="L18" s="37"/>
      <c r="M18" s="37"/>
      <c r="N18" s="37"/>
      <c r="O18" s="37">
        <v>0</v>
      </c>
      <c r="P18" s="37"/>
      <c r="Q18" s="37"/>
      <c r="R18" s="37">
        <v>1333000</v>
      </c>
      <c r="S18" s="37"/>
      <c r="T18" s="37">
        <f t="shared" si="0"/>
        <v>2020000</v>
      </c>
      <c r="U18" s="34"/>
    </row>
    <row r="19" spans="1:21">
      <c r="A19" s="35" t="s">
        <v>48</v>
      </c>
      <c r="B19" s="37">
        <v>245000</v>
      </c>
      <c r="C19" s="37">
        <v>73000</v>
      </c>
      <c r="D19" s="37">
        <v>260500</v>
      </c>
      <c r="E19" s="37">
        <v>27000</v>
      </c>
      <c r="F19" s="37">
        <v>176500</v>
      </c>
      <c r="G19" s="37">
        <v>12000</v>
      </c>
      <c r="H19" s="37">
        <v>187000</v>
      </c>
      <c r="I19" s="37">
        <v>108500</v>
      </c>
      <c r="J19" s="37">
        <v>9000</v>
      </c>
      <c r="K19" s="37"/>
      <c r="L19" s="37"/>
      <c r="M19" s="37"/>
      <c r="N19" s="37"/>
      <c r="O19" s="37">
        <v>12000</v>
      </c>
      <c r="P19" s="37"/>
      <c r="Q19" s="37"/>
      <c r="R19" s="37">
        <v>265000</v>
      </c>
      <c r="S19" s="37"/>
      <c r="T19" s="37">
        <f t="shared" si="0"/>
        <v>1375500</v>
      </c>
      <c r="U19" s="34"/>
    </row>
    <row r="20" spans="1:21">
      <c r="A20" s="35" t="s">
        <v>49</v>
      </c>
      <c r="B20" s="37">
        <v>328000</v>
      </c>
      <c r="C20" s="37">
        <v>112000</v>
      </c>
      <c r="D20" s="37">
        <v>13000</v>
      </c>
      <c r="E20" s="37">
        <v>5000</v>
      </c>
      <c r="F20" s="37">
        <v>73500</v>
      </c>
      <c r="G20" s="37">
        <v>0</v>
      </c>
      <c r="H20" s="37">
        <v>52000</v>
      </c>
      <c r="I20" s="37">
        <v>38500</v>
      </c>
      <c r="J20" s="37">
        <v>8000</v>
      </c>
      <c r="K20" s="37"/>
      <c r="L20" s="37"/>
      <c r="M20" s="37"/>
      <c r="N20" s="37"/>
      <c r="O20" s="37">
        <v>6000</v>
      </c>
      <c r="P20" s="37"/>
      <c r="Q20" s="37"/>
      <c r="R20" s="37">
        <v>632000</v>
      </c>
      <c r="S20" s="37"/>
      <c r="T20" s="37">
        <f t="shared" si="0"/>
        <v>1268000</v>
      </c>
      <c r="U20" s="34"/>
    </row>
    <row r="21" spans="1:21">
      <c r="A21" s="35" t="s">
        <v>50</v>
      </c>
      <c r="B21" s="37">
        <v>243000</v>
      </c>
      <c r="C21" s="37">
        <v>124000</v>
      </c>
      <c r="D21" s="37">
        <v>101000</v>
      </c>
      <c r="E21" s="37">
        <v>5000</v>
      </c>
      <c r="F21" s="37">
        <v>84900</v>
      </c>
      <c r="G21" s="37">
        <v>0</v>
      </c>
      <c r="H21" s="37">
        <v>15000</v>
      </c>
      <c r="I21" s="37">
        <v>67500</v>
      </c>
      <c r="J21" s="37">
        <v>16000</v>
      </c>
      <c r="K21" s="37"/>
      <c r="L21" s="37"/>
      <c r="M21" s="37"/>
      <c r="N21" s="37"/>
      <c r="O21" s="37">
        <v>0</v>
      </c>
      <c r="P21" s="37"/>
      <c r="Q21" s="37"/>
      <c r="R21" s="37">
        <v>133000</v>
      </c>
      <c r="S21" s="37"/>
      <c r="T21" s="37">
        <f t="shared" si="0"/>
        <v>789400</v>
      </c>
      <c r="U21" s="34">
        <v>4600000</v>
      </c>
    </row>
    <row r="22" spans="1:21">
      <c r="A22" s="35" t="s">
        <v>73</v>
      </c>
      <c r="B22" s="37">
        <v>224500</v>
      </c>
      <c r="C22" s="37">
        <v>40000</v>
      </c>
      <c r="D22" s="37">
        <v>70000</v>
      </c>
      <c r="E22" s="37">
        <v>23000</v>
      </c>
      <c r="F22" s="37">
        <v>42000</v>
      </c>
      <c r="G22" s="37">
        <v>0</v>
      </c>
      <c r="H22" s="37">
        <v>52000</v>
      </c>
      <c r="I22" s="37">
        <v>28000</v>
      </c>
      <c r="J22" s="37">
        <v>20000</v>
      </c>
      <c r="K22" s="37"/>
      <c r="L22" s="37"/>
      <c r="M22" s="37"/>
      <c r="N22" s="37"/>
      <c r="O22" s="37">
        <v>0</v>
      </c>
      <c r="P22" s="37"/>
      <c r="Q22" s="37"/>
      <c r="R22" s="37">
        <v>0</v>
      </c>
      <c r="S22" s="37"/>
      <c r="T22" s="37">
        <f t="shared" si="0"/>
        <v>499500</v>
      </c>
      <c r="U22" s="34"/>
    </row>
    <row r="23" spans="1:21">
      <c r="A23" s="35" t="s">
        <v>52</v>
      </c>
      <c r="B23" s="37">
        <v>295500</v>
      </c>
      <c r="C23" s="37">
        <v>220000</v>
      </c>
      <c r="D23" s="37">
        <v>101000</v>
      </c>
      <c r="E23" s="37">
        <v>0</v>
      </c>
      <c r="F23" s="37">
        <v>36500</v>
      </c>
      <c r="G23" s="37">
        <v>0</v>
      </c>
      <c r="H23" s="37">
        <v>76000</v>
      </c>
      <c r="I23" s="37">
        <v>83500</v>
      </c>
      <c r="J23" s="37">
        <v>9000</v>
      </c>
      <c r="K23" s="37"/>
      <c r="L23" s="37"/>
      <c r="M23" s="37"/>
      <c r="N23" s="37"/>
      <c r="O23" s="37">
        <v>0</v>
      </c>
      <c r="P23" s="37"/>
      <c r="Q23" s="37"/>
      <c r="R23" s="37">
        <v>0</v>
      </c>
      <c r="S23" s="37"/>
      <c r="T23" s="37">
        <f t="shared" si="0"/>
        <v>821500</v>
      </c>
      <c r="U23" s="34"/>
    </row>
    <row r="24" spans="1:21">
      <c r="A24" s="35" t="s">
        <v>53</v>
      </c>
      <c r="B24" s="37">
        <v>231000</v>
      </c>
      <c r="C24" s="37">
        <v>52000</v>
      </c>
      <c r="D24" s="37">
        <v>78500</v>
      </c>
      <c r="E24" s="37">
        <v>6000</v>
      </c>
      <c r="F24" s="37">
        <v>171000</v>
      </c>
      <c r="G24" s="37">
        <v>0</v>
      </c>
      <c r="H24" s="37">
        <v>29000</v>
      </c>
      <c r="I24" s="37">
        <v>28700</v>
      </c>
      <c r="J24" s="37">
        <v>0</v>
      </c>
      <c r="K24" s="37"/>
      <c r="L24" s="37"/>
      <c r="M24" s="37"/>
      <c r="N24" s="37"/>
      <c r="O24" s="37">
        <v>0</v>
      </c>
      <c r="P24" s="37"/>
      <c r="Q24" s="37"/>
      <c r="R24" s="37">
        <v>0</v>
      </c>
      <c r="S24" s="37"/>
      <c r="T24" s="37">
        <f t="shared" si="0"/>
        <v>596200</v>
      </c>
      <c r="U24" s="34"/>
    </row>
    <row r="25" spans="1:21">
      <c r="A25" s="35" t="s">
        <v>54</v>
      </c>
      <c r="B25" s="37">
        <v>173000</v>
      </c>
      <c r="C25" s="37">
        <v>220000</v>
      </c>
      <c r="D25" s="37">
        <v>52000</v>
      </c>
      <c r="E25" s="37">
        <v>8500</v>
      </c>
      <c r="F25" s="37">
        <v>133500</v>
      </c>
      <c r="G25" s="37">
        <v>0</v>
      </c>
      <c r="H25" s="37">
        <v>33000</v>
      </c>
      <c r="I25" s="37">
        <v>9000</v>
      </c>
      <c r="J25" s="37">
        <v>20000</v>
      </c>
      <c r="K25" s="37"/>
      <c r="L25" s="37"/>
      <c r="M25" s="37"/>
      <c r="N25" s="37"/>
      <c r="O25" s="37">
        <v>10000</v>
      </c>
      <c r="P25" s="37"/>
      <c r="Q25" s="37"/>
      <c r="R25" s="37">
        <v>0</v>
      </c>
      <c r="S25" s="37"/>
      <c r="T25" s="37">
        <f t="shared" si="0"/>
        <v>659000</v>
      </c>
      <c r="U25" s="34"/>
    </row>
    <row r="26" spans="1:21">
      <c r="A26" s="35" t="s">
        <v>55</v>
      </c>
      <c r="B26" s="37">
        <v>304500</v>
      </c>
      <c r="C26" s="37">
        <v>163000</v>
      </c>
      <c r="D26" s="37">
        <v>124500</v>
      </c>
      <c r="E26" s="37">
        <v>25000</v>
      </c>
      <c r="F26" s="37">
        <v>106000</v>
      </c>
      <c r="G26" s="37">
        <v>0</v>
      </c>
      <c r="H26" s="37">
        <v>78000</v>
      </c>
      <c r="I26" s="37">
        <v>124000</v>
      </c>
      <c r="J26" s="37">
        <v>14000</v>
      </c>
      <c r="K26" s="37"/>
      <c r="L26" s="37"/>
      <c r="M26" s="37"/>
      <c r="N26" s="37"/>
      <c r="O26" s="37">
        <v>4000</v>
      </c>
      <c r="P26" s="37"/>
      <c r="Q26" s="37"/>
      <c r="R26" s="37">
        <v>0</v>
      </c>
      <c r="S26" s="37"/>
      <c r="T26" s="37">
        <f t="shared" si="0"/>
        <v>943000</v>
      </c>
      <c r="U26" s="42"/>
    </row>
    <row r="27" spans="1:21">
      <c r="A27" s="35" t="s">
        <v>56</v>
      </c>
      <c r="B27" s="37">
        <v>129000</v>
      </c>
      <c r="C27" s="37">
        <v>132000</v>
      </c>
      <c r="D27" s="37">
        <v>130500</v>
      </c>
      <c r="E27" s="37">
        <v>14000</v>
      </c>
      <c r="F27" s="37">
        <v>119500</v>
      </c>
      <c r="G27" s="37">
        <v>0</v>
      </c>
      <c r="H27" s="37">
        <v>40000</v>
      </c>
      <c r="I27" s="37">
        <v>20000</v>
      </c>
      <c r="J27" s="37">
        <v>5000</v>
      </c>
      <c r="K27" s="37"/>
      <c r="L27" s="37"/>
      <c r="M27" s="37"/>
      <c r="N27" s="37"/>
      <c r="O27" s="37">
        <v>0</v>
      </c>
      <c r="P27" s="37"/>
      <c r="Q27" s="37"/>
      <c r="R27" s="37">
        <v>0</v>
      </c>
      <c r="S27" s="37"/>
      <c r="T27" s="37">
        <f t="shared" si="0"/>
        <v>590000</v>
      </c>
      <c r="U27" s="34"/>
    </row>
    <row r="28" spans="1:21">
      <c r="A28" s="35" t="s">
        <v>57</v>
      </c>
      <c r="B28" s="37">
        <v>152000</v>
      </c>
      <c r="C28" s="37">
        <v>133000</v>
      </c>
      <c r="D28" s="37">
        <v>102000</v>
      </c>
      <c r="E28" s="37">
        <v>11500</v>
      </c>
      <c r="F28" s="37">
        <v>107000</v>
      </c>
      <c r="G28" s="37">
        <v>0</v>
      </c>
      <c r="H28" s="37">
        <v>40000</v>
      </c>
      <c r="I28" s="37">
        <v>6500</v>
      </c>
      <c r="J28" s="37">
        <v>6000</v>
      </c>
      <c r="K28" s="37"/>
      <c r="L28" s="37"/>
      <c r="M28" s="37"/>
      <c r="N28" s="37"/>
      <c r="O28" s="37">
        <v>17000</v>
      </c>
      <c r="P28" s="37"/>
      <c r="Q28" s="37"/>
      <c r="R28" s="37">
        <v>0</v>
      </c>
      <c r="S28" s="37"/>
      <c r="T28" s="37">
        <f t="shared" si="0"/>
        <v>575000</v>
      </c>
      <c r="U28" s="34"/>
    </row>
    <row r="29" spans="1:21">
      <c r="A29" s="35" t="s">
        <v>58</v>
      </c>
      <c r="B29" s="37">
        <v>154000</v>
      </c>
      <c r="C29" s="37">
        <v>88000</v>
      </c>
      <c r="D29" s="37">
        <v>64000</v>
      </c>
      <c r="E29" s="37">
        <v>22500</v>
      </c>
      <c r="F29" s="37">
        <v>150000</v>
      </c>
      <c r="G29" s="37">
        <v>0</v>
      </c>
      <c r="H29" s="37">
        <v>55000</v>
      </c>
      <c r="I29" s="37">
        <v>25000</v>
      </c>
      <c r="J29" s="37">
        <v>4000</v>
      </c>
      <c r="K29" s="37"/>
      <c r="L29" s="37"/>
      <c r="M29" s="37"/>
      <c r="N29" s="37"/>
      <c r="O29" s="37">
        <v>10000</v>
      </c>
      <c r="P29" s="37"/>
      <c r="Q29" s="37"/>
      <c r="R29" s="37">
        <v>0</v>
      </c>
      <c r="S29" s="37"/>
      <c r="T29" s="37">
        <f t="shared" si="0"/>
        <v>572500</v>
      </c>
      <c r="U29" s="34"/>
    </row>
    <row r="30" spans="1:21">
      <c r="A30" s="35" t="s">
        <v>59</v>
      </c>
      <c r="B30" s="37">
        <v>196500</v>
      </c>
      <c r="C30" s="37">
        <v>105000</v>
      </c>
      <c r="D30" s="37">
        <v>118000</v>
      </c>
      <c r="E30" s="37">
        <v>29000</v>
      </c>
      <c r="F30" s="37">
        <v>148000</v>
      </c>
      <c r="G30" s="37">
        <v>12000</v>
      </c>
      <c r="H30" s="37">
        <v>82000</v>
      </c>
      <c r="I30" s="37">
        <v>27000</v>
      </c>
      <c r="J30" s="37">
        <v>15000</v>
      </c>
      <c r="K30" s="37"/>
      <c r="L30" s="37"/>
      <c r="M30" s="37"/>
      <c r="N30" s="37"/>
      <c r="O30" s="37">
        <v>0</v>
      </c>
      <c r="P30" s="37"/>
      <c r="Q30" s="37"/>
      <c r="R30" s="37">
        <v>0</v>
      </c>
      <c r="S30" s="37"/>
      <c r="T30" s="37">
        <f t="shared" si="0"/>
        <v>732500</v>
      </c>
      <c r="U30" s="34"/>
    </row>
    <row r="31" spans="1:21">
      <c r="A31" s="35" t="s">
        <v>60</v>
      </c>
      <c r="B31" s="37">
        <v>220500</v>
      </c>
      <c r="C31" s="37">
        <v>64000</v>
      </c>
      <c r="D31" s="37">
        <v>170500</v>
      </c>
      <c r="E31" s="37">
        <v>7500</v>
      </c>
      <c r="F31" s="37">
        <v>124000</v>
      </c>
      <c r="G31" s="37">
        <v>0</v>
      </c>
      <c r="H31" s="37">
        <v>24000</v>
      </c>
      <c r="I31" s="37">
        <v>40500</v>
      </c>
      <c r="J31" s="37">
        <v>22000</v>
      </c>
      <c r="K31" s="37"/>
      <c r="L31" s="37"/>
      <c r="M31" s="37"/>
      <c r="N31" s="37"/>
      <c r="O31" s="37">
        <v>0</v>
      </c>
      <c r="P31" s="37"/>
      <c r="Q31" s="37"/>
      <c r="R31" s="37">
        <v>-193000</v>
      </c>
      <c r="S31" s="37"/>
      <c r="T31" s="37">
        <f t="shared" si="0"/>
        <v>480000</v>
      </c>
      <c r="U31" s="34"/>
    </row>
    <row r="32" spans="1:21">
      <c r="A32" s="35" t="s">
        <v>61</v>
      </c>
      <c r="B32" s="31">
        <v>195500</v>
      </c>
      <c r="C32" s="31">
        <v>138000</v>
      </c>
      <c r="D32" s="31">
        <v>111500</v>
      </c>
      <c r="E32" s="31">
        <v>5000</v>
      </c>
      <c r="F32" s="31">
        <v>126000</v>
      </c>
      <c r="G32" s="31">
        <v>6000</v>
      </c>
      <c r="H32" s="31">
        <v>73000</v>
      </c>
      <c r="I32" s="31">
        <v>71500</v>
      </c>
      <c r="J32" s="31">
        <v>6000</v>
      </c>
      <c r="K32" s="31"/>
      <c r="L32" s="31"/>
      <c r="M32" s="31"/>
      <c r="N32" s="31"/>
      <c r="O32" s="31">
        <v>0</v>
      </c>
      <c r="P32" s="31"/>
      <c r="Q32" s="31"/>
      <c r="R32" s="31">
        <v>-128000</v>
      </c>
      <c r="S32" s="31"/>
      <c r="T32" s="37">
        <f t="shared" si="0"/>
        <v>604500</v>
      </c>
      <c r="U32" s="39"/>
    </row>
    <row r="33" spans="1:21">
      <c r="A33" s="35" t="s">
        <v>62</v>
      </c>
      <c r="B33" s="31">
        <v>169000</v>
      </c>
      <c r="C33" s="31">
        <v>577000</v>
      </c>
      <c r="D33" s="31">
        <v>206500</v>
      </c>
      <c r="E33" s="31">
        <v>7500</v>
      </c>
      <c r="F33" s="31">
        <v>132500</v>
      </c>
      <c r="G33" s="31">
        <v>0</v>
      </c>
      <c r="H33" s="31">
        <v>164000</v>
      </c>
      <c r="I33" s="31">
        <v>100500</v>
      </c>
      <c r="J33" s="31">
        <v>2000</v>
      </c>
      <c r="K33" s="31"/>
      <c r="L33" s="31"/>
      <c r="M33" s="31"/>
      <c r="N33" s="31"/>
      <c r="O33" s="31">
        <v>41000</v>
      </c>
      <c r="P33" s="31"/>
      <c r="Q33" s="31"/>
      <c r="R33" s="31">
        <v>317000</v>
      </c>
      <c r="S33" s="31"/>
      <c r="T33" s="37">
        <f t="shared" si="0"/>
        <v>1717000</v>
      </c>
      <c r="U33" s="39"/>
    </row>
    <row r="34" spans="1:21">
      <c r="A34" s="35" t="s">
        <v>63</v>
      </c>
      <c r="B34" s="31">
        <v>188000</v>
      </c>
      <c r="C34" s="31">
        <v>56000</v>
      </c>
      <c r="D34" s="31">
        <v>145000</v>
      </c>
      <c r="E34" s="31">
        <v>3000</v>
      </c>
      <c r="F34" s="31">
        <v>73500</v>
      </c>
      <c r="G34" s="31">
        <v>0</v>
      </c>
      <c r="H34" s="31">
        <v>42000</v>
      </c>
      <c r="I34" s="31">
        <v>38000</v>
      </c>
      <c r="J34" s="31">
        <v>0</v>
      </c>
      <c r="K34" s="31"/>
      <c r="L34" s="31"/>
      <c r="M34" s="31"/>
      <c r="N34" s="31"/>
      <c r="O34" s="31">
        <v>6000</v>
      </c>
      <c r="P34" s="31"/>
      <c r="Q34" s="31"/>
      <c r="R34" s="31">
        <v>-48000</v>
      </c>
      <c r="S34" s="31"/>
      <c r="T34" s="37">
        <f t="shared" si="0"/>
        <v>503500</v>
      </c>
      <c r="U34" s="39"/>
    </row>
    <row r="35" spans="1:21">
      <c r="A35" s="35" t="s">
        <v>64</v>
      </c>
      <c r="B35" s="31">
        <v>249000</v>
      </c>
      <c r="C35" s="31">
        <v>150000</v>
      </c>
      <c r="D35" s="31">
        <v>67000</v>
      </c>
      <c r="E35" s="31">
        <v>0</v>
      </c>
      <c r="F35" s="31">
        <v>100900</v>
      </c>
      <c r="G35" s="31">
        <v>0</v>
      </c>
      <c r="H35" s="31">
        <v>24000</v>
      </c>
      <c r="I35" s="31">
        <v>25000</v>
      </c>
      <c r="J35" s="31">
        <v>5000</v>
      </c>
      <c r="K35" s="31"/>
      <c r="L35" s="31"/>
      <c r="M35" s="31"/>
      <c r="N35" s="31"/>
      <c r="O35" s="31">
        <v>0</v>
      </c>
      <c r="P35" s="31"/>
      <c r="Q35" s="31"/>
      <c r="R35" s="31">
        <v>7000</v>
      </c>
      <c r="S35" s="31"/>
      <c r="T35" s="31">
        <f t="shared" si="0"/>
        <v>627900</v>
      </c>
      <c r="U35" s="39"/>
    </row>
    <row r="36" spans="1:21">
      <c r="A36" s="35" t="s">
        <v>83</v>
      </c>
      <c r="B36" s="31">
        <v>172500</v>
      </c>
      <c r="C36" s="31">
        <v>72000</v>
      </c>
      <c r="D36" s="31">
        <v>112000</v>
      </c>
      <c r="E36" s="31">
        <v>0</v>
      </c>
      <c r="F36" s="31">
        <v>53600</v>
      </c>
      <c r="G36" s="31">
        <v>0</v>
      </c>
      <c r="H36" s="31">
        <v>69000</v>
      </c>
      <c r="I36" s="31">
        <v>2500</v>
      </c>
      <c r="J36" s="31">
        <v>5000</v>
      </c>
      <c r="K36" s="31"/>
      <c r="L36" s="31"/>
      <c r="M36" s="31"/>
      <c r="N36" s="31"/>
      <c r="O36" s="31">
        <v>0</v>
      </c>
      <c r="P36" s="31"/>
      <c r="Q36" s="31"/>
      <c r="R36" s="31">
        <v>-37000</v>
      </c>
      <c r="S36" s="31"/>
      <c r="T36" s="31">
        <f t="shared" si="0"/>
        <v>449600</v>
      </c>
      <c r="U36" s="43"/>
    </row>
    <row r="37" spans="1:21">
      <c r="A37" s="35" t="s">
        <v>84</v>
      </c>
      <c r="B37" s="31">
        <v>291500</v>
      </c>
      <c r="C37" s="31">
        <v>152000</v>
      </c>
      <c r="D37" s="31">
        <v>86500</v>
      </c>
      <c r="E37" s="31">
        <v>0</v>
      </c>
      <c r="F37" s="31">
        <v>130000</v>
      </c>
      <c r="G37" s="31">
        <v>0</v>
      </c>
      <c r="H37" s="31">
        <v>24000</v>
      </c>
      <c r="I37" s="31">
        <v>22000</v>
      </c>
      <c r="J37" s="31">
        <v>0</v>
      </c>
      <c r="K37" s="31"/>
      <c r="L37" s="31"/>
      <c r="M37" s="31"/>
      <c r="N37" s="31"/>
      <c r="O37" s="31">
        <v>0</v>
      </c>
      <c r="P37" s="31"/>
      <c r="Q37" s="31"/>
      <c r="R37" s="31">
        <v>12000</v>
      </c>
      <c r="S37" s="31"/>
      <c r="T37" s="31">
        <f>SUM(B37:S37)</f>
        <v>718000</v>
      </c>
      <c r="U37" s="39"/>
    </row>
    <row r="38" spans="1:21">
      <c r="A38" s="40" t="s">
        <v>23</v>
      </c>
      <c r="B38" s="41">
        <f t="shared" ref="B38:J38" si="1">SUM(B7:B37)</f>
        <v>6453500</v>
      </c>
      <c r="C38" s="41">
        <f t="shared" si="1"/>
        <v>3492000</v>
      </c>
      <c r="D38" s="41">
        <f t="shared" si="1"/>
        <v>3368000</v>
      </c>
      <c r="E38" s="41">
        <f t="shared" si="1"/>
        <v>317500</v>
      </c>
      <c r="F38" s="41">
        <f t="shared" si="1"/>
        <v>3426800</v>
      </c>
      <c r="G38" s="41">
        <f t="shared" si="1"/>
        <v>42000</v>
      </c>
      <c r="H38" s="41">
        <f t="shared" si="1"/>
        <v>2066000</v>
      </c>
      <c r="I38" s="41">
        <f t="shared" si="1"/>
        <v>1282200</v>
      </c>
      <c r="J38" s="41">
        <f t="shared" si="1"/>
        <v>269000</v>
      </c>
      <c r="K38" s="31"/>
      <c r="L38" s="31"/>
      <c r="M38" s="31"/>
      <c r="N38" s="31"/>
      <c r="O38" s="31">
        <f>SUM(O7:O37)</f>
        <v>206000</v>
      </c>
      <c r="P38" s="31"/>
      <c r="Q38" s="31"/>
      <c r="R38" s="31">
        <f>SUM(R7:R37)</f>
        <v>5780000</v>
      </c>
      <c r="S38" s="31"/>
      <c r="T38" s="31">
        <f>SUM(B38:S38)</f>
        <v>26703000</v>
      </c>
      <c r="U38" s="45"/>
    </row>
    <row r="39" spans="1:21">
      <c r="A39" s="34"/>
      <c r="B39" s="34"/>
      <c r="C39" s="34"/>
      <c r="D39" s="34"/>
      <c r="E39" s="34"/>
      <c r="F39" s="34"/>
      <c r="G39" s="34"/>
      <c r="H39" s="34"/>
      <c r="I39" s="34"/>
      <c r="J39" s="34"/>
      <c r="K39" s="34"/>
      <c r="L39" s="34"/>
      <c r="M39" s="34"/>
      <c r="N39" s="34"/>
      <c r="O39" s="34"/>
      <c r="P39" s="34"/>
      <c r="Q39" s="34"/>
      <c r="R39" s="34"/>
      <c r="S39" s="34"/>
      <c r="T39" s="34"/>
      <c r="U39" s="34"/>
    </row>
  </sheetData>
  <mergeCells count="4">
    <mergeCell ref="B2:T2"/>
    <mergeCell ref="B3:T3"/>
    <mergeCell ref="C4:F4"/>
    <mergeCell ref="C5:F5"/>
  </mergeCells>
  <pageMargins left="0.7" right="0.7" top="0.75" bottom="0.75" header="0.3" footer="0.3"/>
  <pageSetup orientation="portrait" horizontalDpi="0"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29"/>
  <sheetViews>
    <sheetView topLeftCell="A5" workbookViewId="0">
      <selection activeCell="B11" sqref="B11"/>
    </sheetView>
  </sheetViews>
  <sheetFormatPr defaultRowHeight="15"/>
  <cols>
    <col min="1" max="1" width="18.140625" customWidth="1"/>
    <col min="2" max="2" width="11.5703125" customWidth="1"/>
    <col min="3" max="3" width="14" customWidth="1"/>
    <col min="4" max="5" width="13.28515625" customWidth="1"/>
    <col min="6" max="6" width="11.85546875" customWidth="1"/>
    <col min="7" max="7" width="12.7109375" customWidth="1"/>
  </cols>
  <sheetData>
    <row r="1" spans="1:7" ht="16.5" thickBot="1">
      <c r="A1" s="9"/>
      <c r="B1" s="10"/>
      <c r="C1" s="10"/>
      <c r="D1" s="10"/>
      <c r="E1" s="10"/>
      <c r="F1" s="10"/>
      <c r="G1" s="8"/>
    </row>
    <row r="2" spans="1:7" ht="16.5" thickBot="1">
      <c r="A2" s="6" t="s">
        <v>24</v>
      </c>
      <c r="B2" s="70" t="s">
        <v>92</v>
      </c>
      <c r="C2" s="71"/>
      <c r="D2" s="72"/>
      <c r="E2" s="11"/>
      <c r="F2" s="11"/>
      <c r="G2" s="12"/>
    </row>
    <row r="3" spans="1:7" ht="15.75">
      <c r="A3" s="13" t="s">
        <v>25</v>
      </c>
      <c r="B3" s="14" t="s">
        <v>26</v>
      </c>
      <c r="C3" s="14" t="s">
        <v>27</v>
      </c>
      <c r="D3" s="14" t="s">
        <v>28</v>
      </c>
      <c r="E3" s="14" t="s">
        <v>29</v>
      </c>
      <c r="F3" s="15" t="s">
        <v>30</v>
      </c>
      <c r="G3" s="16" t="s">
        <v>31</v>
      </c>
    </row>
    <row r="4" spans="1:7" ht="15.75">
      <c r="A4" s="17" t="s">
        <v>4</v>
      </c>
      <c r="B4" s="18">
        <v>1497500</v>
      </c>
      <c r="C4" s="18">
        <v>1367000</v>
      </c>
      <c r="D4" s="18">
        <v>1600500</v>
      </c>
      <c r="E4" s="18">
        <v>1275500</v>
      </c>
      <c r="F4" s="19">
        <v>713000</v>
      </c>
      <c r="G4" s="20">
        <f t="shared" ref="G4:G12" si="0">SUM(B4:F4)</f>
        <v>6453500</v>
      </c>
    </row>
    <row r="5" spans="1:7" ht="15.75">
      <c r="A5" s="17" t="s">
        <v>5</v>
      </c>
      <c r="B5" s="18">
        <v>458000</v>
      </c>
      <c r="C5" s="18">
        <v>548000</v>
      </c>
      <c r="D5" s="18">
        <v>951000</v>
      </c>
      <c r="E5" s="18">
        <v>1161000</v>
      </c>
      <c r="F5" s="19">
        <v>374000</v>
      </c>
      <c r="G5" s="20">
        <f>SUM(B5:F5)</f>
        <v>3492000</v>
      </c>
    </row>
    <row r="6" spans="1:7" ht="15.75">
      <c r="A6" s="17" t="s">
        <v>32</v>
      </c>
      <c r="B6" s="18">
        <v>726500</v>
      </c>
      <c r="C6" s="18">
        <v>801000</v>
      </c>
      <c r="D6" s="18">
        <v>657500</v>
      </c>
      <c r="E6" s="18">
        <v>917500</v>
      </c>
      <c r="F6" s="19">
        <v>265500</v>
      </c>
      <c r="G6" s="20">
        <f t="shared" si="0"/>
        <v>3368000</v>
      </c>
    </row>
    <row r="7" spans="1:7" ht="15.75">
      <c r="A7" s="17" t="s">
        <v>33</v>
      </c>
      <c r="B7" s="18">
        <v>92000</v>
      </c>
      <c r="C7" s="18">
        <v>58000</v>
      </c>
      <c r="D7" s="18">
        <v>81500</v>
      </c>
      <c r="E7" s="18">
        <v>86000</v>
      </c>
      <c r="F7" s="19">
        <v>0</v>
      </c>
      <c r="G7" s="20">
        <f t="shared" si="0"/>
        <v>317500</v>
      </c>
    </row>
    <row r="8" spans="1:7" ht="15.75">
      <c r="A8" s="17" t="s">
        <v>8</v>
      </c>
      <c r="B8" s="18">
        <v>796400</v>
      </c>
      <c r="C8" s="18">
        <v>791500</v>
      </c>
      <c r="D8" s="18">
        <v>694100</v>
      </c>
      <c r="E8" s="18">
        <v>861000</v>
      </c>
      <c r="F8" s="19">
        <v>284500</v>
      </c>
      <c r="G8" s="20">
        <f t="shared" si="0"/>
        <v>3427500</v>
      </c>
    </row>
    <row r="9" spans="1:7" ht="15.75">
      <c r="A9" s="17" t="s">
        <v>9</v>
      </c>
      <c r="B9" s="18">
        <v>12000</v>
      </c>
      <c r="C9" s="18">
        <v>12000</v>
      </c>
      <c r="D9" s="18">
        <v>0</v>
      </c>
      <c r="E9" s="18">
        <v>18000</v>
      </c>
      <c r="F9" s="19">
        <v>0</v>
      </c>
      <c r="G9" s="20">
        <f t="shared" si="0"/>
        <v>42000</v>
      </c>
    </row>
    <row r="10" spans="1:7" ht="15.75">
      <c r="A10" s="17" t="s">
        <v>10</v>
      </c>
      <c r="B10" s="18">
        <v>608000</v>
      </c>
      <c r="C10" s="18">
        <v>538000</v>
      </c>
      <c r="D10" s="18">
        <v>323000</v>
      </c>
      <c r="E10" s="18">
        <v>480000</v>
      </c>
      <c r="F10" s="19">
        <v>117000</v>
      </c>
      <c r="G10" s="20">
        <f t="shared" si="0"/>
        <v>2066000</v>
      </c>
    </row>
    <row r="11" spans="1:7" ht="15.75">
      <c r="A11" s="17" t="s">
        <v>11</v>
      </c>
      <c r="B11" s="18">
        <v>246500</v>
      </c>
      <c r="C11" s="18">
        <v>316500</v>
      </c>
      <c r="D11" s="18">
        <v>360000</v>
      </c>
      <c r="E11" s="18">
        <v>309000</v>
      </c>
      <c r="F11" s="19">
        <v>49500</v>
      </c>
      <c r="G11" s="20">
        <f t="shared" si="0"/>
        <v>1281500</v>
      </c>
    </row>
    <row r="12" spans="1:7" ht="15.75">
      <c r="A12" s="17" t="s">
        <v>12</v>
      </c>
      <c r="B12" s="18">
        <v>78000</v>
      </c>
      <c r="C12" s="18">
        <v>42000</v>
      </c>
      <c r="D12" s="18">
        <v>84000</v>
      </c>
      <c r="E12" s="18">
        <v>55000</v>
      </c>
      <c r="F12" s="19">
        <v>10000</v>
      </c>
      <c r="G12" s="20">
        <f t="shared" si="0"/>
        <v>269000</v>
      </c>
    </row>
    <row r="13" spans="1:7" ht="15.75">
      <c r="A13" s="17" t="s">
        <v>13</v>
      </c>
      <c r="B13" s="18"/>
      <c r="C13" s="18"/>
      <c r="D13" s="18"/>
      <c r="E13" s="18"/>
      <c r="F13" s="19"/>
      <c r="G13" s="20">
        <f t="shared" ref="G13:G20" si="1">SUM(B13:E13)</f>
        <v>0</v>
      </c>
    </row>
    <row r="14" spans="1:7" ht="15.75">
      <c r="A14" s="17" t="s">
        <v>14</v>
      </c>
      <c r="B14" s="18"/>
      <c r="C14" s="18"/>
      <c r="D14" s="18"/>
      <c r="E14" s="18"/>
      <c r="F14" s="19"/>
      <c r="G14" s="20">
        <f t="shared" si="1"/>
        <v>0</v>
      </c>
    </row>
    <row r="15" spans="1:7" ht="15.75">
      <c r="A15" s="17" t="s">
        <v>15</v>
      </c>
      <c r="B15" s="18"/>
      <c r="C15" s="18"/>
      <c r="D15" s="18"/>
      <c r="E15" s="18"/>
      <c r="F15" s="19"/>
      <c r="G15" s="20">
        <f t="shared" si="1"/>
        <v>0</v>
      </c>
    </row>
    <row r="16" spans="1:7" ht="15.75">
      <c r="A16" s="17" t="s">
        <v>16</v>
      </c>
      <c r="B16" s="18"/>
      <c r="C16" s="18"/>
      <c r="D16" s="18"/>
      <c r="E16" s="18"/>
      <c r="F16" s="19"/>
      <c r="G16" s="20">
        <f t="shared" si="1"/>
        <v>0</v>
      </c>
    </row>
    <row r="17" spans="1:7" ht="15.75">
      <c r="A17" s="17" t="s">
        <v>17</v>
      </c>
      <c r="B17" s="18">
        <v>51000</v>
      </c>
      <c r="C17" s="18">
        <v>67000</v>
      </c>
      <c r="D17" s="18">
        <v>14000</v>
      </c>
      <c r="E17" s="18">
        <v>74000</v>
      </c>
      <c r="F17" s="19"/>
      <c r="G17" s="20">
        <f>SUM(B17:F17)</f>
        <v>206000</v>
      </c>
    </row>
    <row r="18" spans="1:7" ht="15.75">
      <c r="A18" s="17" t="s">
        <v>18</v>
      </c>
      <c r="B18" s="18"/>
      <c r="C18" s="18"/>
      <c r="D18" s="18"/>
      <c r="E18" s="18"/>
      <c r="F18" s="19"/>
      <c r="G18" s="20">
        <f t="shared" si="1"/>
        <v>0</v>
      </c>
    </row>
    <row r="19" spans="1:7" ht="15.75">
      <c r="A19" s="17" t="s">
        <v>19</v>
      </c>
      <c r="B19" s="18"/>
      <c r="C19" s="18"/>
      <c r="D19" s="18"/>
      <c r="E19" s="18"/>
      <c r="F19" s="19"/>
      <c r="G19" s="20">
        <f t="shared" si="1"/>
        <v>0</v>
      </c>
    </row>
    <row r="20" spans="1:7" ht="15.75">
      <c r="A20" s="17" t="s">
        <v>34</v>
      </c>
      <c r="B20" s="18"/>
      <c r="C20" s="18"/>
      <c r="D20" s="18"/>
      <c r="E20" s="18"/>
      <c r="F20" s="19"/>
      <c r="G20" s="20">
        <f t="shared" si="1"/>
        <v>0</v>
      </c>
    </row>
    <row r="21" spans="1:7" ht="16.5" thickBot="1">
      <c r="A21" s="21" t="s">
        <v>35</v>
      </c>
      <c r="B21" s="22">
        <f t="shared" ref="B21:G21" si="2">SUM(B4:B20)</f>
        <v>4565900</v>
      </c>
      <c r="C21" s="22">
        <f t="shared" si="2"/>
        <v>4541000</v>
      </c>
      <c r="D21" s="22">
        <f t="shared" si="2"/>
        <v>4765600</v>
      </c>
      <c r="E21" s="22">
        <f t="shared" si="2"/>
        <v>5237000</v>
      </c>
      <c r="F21" s="22">
        <f t="shared" si="2"/>
        <v>1813500</v>
      </c>
      <c r="G21" s="23">
        <f t="shared" si="2"/>
        <v>20923000</v>
      </c>
    </row>
    <row r="23" spans="1:7" ht="15.75" thickBot="1"/>
    <row r="24" spans="1:7" ht="21.75" thickBot="1">
      <c r="A24" s="73" t="s">
        <v>36</v>
      </c>
      <c r="B24" s="74"/>
      <c r="C24" s="74"/>
      <c r="D24" s="74"/>
      <c r="E24" s="74"/>
      <c r="F24" s="74"/>
      <c r="G24" s="75"/>
    </row>
    <row r="25" spans="1:7" ht="15.75" thickBot="1">
      <c r="A25" s="77" t="s">
        <v>89</v>
      </c>
      <c r="B25" s="68"/>
      <c r="C25" s="68"/>
      <c r="D25" s="68"/>
      <c r="E25" s="68"/>
      <c r="F25" s="68"/>
      <c r="G25" s="69"/>
    </row>
    <row r="26" spans="1:7" ht="15.75" thickBot="1">
      <c r="A26" s="24"/>
      <c r="B26" s="25"/>
      <c r="C26" s="25"/>
      <c r="D26" s="25"/>
      <c r="E26" s="25"/>
      <c r="F26" s="25"/>
      <c r="G26" s="26"/>
    </row>
    <row r="27" spans="1:7" ht="15.75" thickBot="1">
      <c r="A27" s="67"/>
      <c r="B27" s="68"/>
      <c r="C27" s="68"/>
      <c r="D27" s="68"/>
      <c r="E27" s="68"/>
      <c r="F27" s="68"/>
      <c r="G27" s="69"/>
    </row>
    <row r="28" spans="1:7" ht="15.75" thickBot="1">
      <c r="A28" s="77" t="s">
        <v>90</v>
      </c>
      <c r="B28" s="68"/>
      <c r="C28" s="68"/>
      <c r="D28" s="68"/>
      <c r="E28" s="68"/>
      <c r="F28" s="68"/>
      <c r="G28" s="69"/>
    </row>
    <row r="29" spans="1:7" ht="15.75" thickBot="1">
      <c r="A29" s="67"/>
      <c r="B29" s="68"/>
      <c r="C29" s="68"/>
      <c r="D29" s="68"/>
      <c r="E29" s="68"/>
      <c r="F29" s="68"/>
      <c r="G29" s="69"/>
    </row>
  </sheetData>
  <mergeCells count="6">
    <mergeCell ref="A29:G29"/>
    <mergeCell ref="B2:D2"/>
    <mergeCell ref="A24:G24"/>
    <mergeCell ref="A25:G25"/>
    <mergeCell ref="A27:G27"/>
    <mergeCell ref="A28:G28"/>
  </mergeCells>
  <pageMargins left="0.7" right="0.7" top="0.75" bottom="0.75" header="0.3" footer="0.3"/>
  <pageSetup orientation="portrait" horizontalDpi="0" verticalDpi="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V39"/>
  <sheetViews>
    <sheetView topLeftCell="A20" workbookViewId="0">
      <selection activeCell="E34" sqref="E34"/>
    </sheetView>
  </sheetViews>
  <sheetFormatPr defaultRowHeight="15"/>
  <cols>
    <col min="1" max="1" width="12.5703125" customWidth="1"/>
    <col min="2" max="2" width="10.7109375" customWidth="1"/>
    <col min="3" max="3" width="10" customWidth="1"/>
    <col min="4" max="4" width="10.28515625" customWidth="1"/>
    <col min="6" max="6" width="10" customWidth="1"/>
    <col min="8" max="8" width="10" customWidth="1"/>
    <col min="9" max="9" width="10.85546875" customWidth="1"/>
    <col min="11" max="11" width="7.7109375" customWidth="1"/>
    <col min="12" max="12" width="7.140625" customWidth="1"/>
    <col min="13" max="13" width="6.85546875" customWidth="1"/>
    <col min="14" max="14" width="7.140625" customWidth="1"/>
    <col min="15" max="15" width="11.42578125" customWidth="1"/>
    <col min="16" max="16" width="7.140625" customWidth="1"/>
    <col min="17" max="17" width="7" customWidth="1"/>
    <col min="18" max="18" width="11.28515625" customWidth="1"/>
    <col min="20" max="20" width="11" customWidth="1"/>
    <col min="21" max="21" width="9.7109375" customWidth="1"/>
    <col min="22" max="22" width="10.5703125" customWidth="1"/>
  </cols>
  <sheetData>
    <row r="1" spans="1:22" ht="15.75" thickBot="1"/>
    <row r="2" spans="1:22" ht="26.25">
      <c r="A2" s="28"/>
      <c r="B2" s="55" t="s">
        <v>68</v>
      </c>
      <c r="C2" s="56"/>
      <c r="D2" s="56"/>
      <c r="E2" s="56"/>
      <c r="F2" s="56"/>
      <c r="G2" s="56"/>
      <c r="H2" s="56"/>
      <c r="I2" s="56"/>
      <c r="J2" s="56"/>
      <c r="K2" s="56"/>
      <c r="L2" s="56"/>
      <c r="M2" s="56"/>
      <c r="N2" s="56"/>
      <c r="O2" s="56"/>
      <c r="P2" s="56"/>
      <c r="Q2" s="56"/>
      <c r="R2" s="56"/>
      <c r="S2" s="56"/>
      <c r="T2" s="57"/>
    </row>
    <row r="3" spans="1:22" ht="27" thickBot="1">
      <c r="A3" s="4"/>
      <c r="B3" s="58" t="s">
        <v>0</v>
      </c>
      <c r="C3" s="59"/>
      <c r="D3" s="59"/>
      <c r="E3" s="59"/>
      <c r="F3" s="59"/>
      <c r="G3" s="59"/>
      <c r="H3" s="59"/>
      <c r="I3" s="59"/>
      <c r="J3" s="59"/>
      <c r="K3" s="59"/>
      <c r="L3" s="59"/>
      <c r="M3" s="59"/>
      <c r="N3" s="59"/>
      <c r="O3" s="59"/>
      <c r="P3" s="59"/>
      <c r="Q3" s="59"/>
      <c r="R3" s="59"/>
      <c r="S3" s="59"/>
      <c r="T3" s="60"/>
    </row>
    <row r="4" spans="1:22" ht="27" thickBot="1">
      <c r="A4" s="4"/>
      <c r="B4" s="29" t="s">
        <v>1</v>
      </c>
      <c r="C4" s="61" t="s">
        <v>69</v>
      </c>
      <c r="D4" s="62"/>
      <c r="E4" s="62"/>
      <c r="F4" s="63"/>
      <c r="T4" s="5"/>
    </row>
    <row r="5" spans="1:22" ht="21">
      <c r="A5" s="4"/>
      <c r="B5" s="30" t="s">
        <v>2</v>
      </c>
      <c r="C5" s="78">
        <v>45505</v>
      </c>
      <c r="D5" s="79"/>
      <c r="E5" s="79"/>
      <c r="F5" s="80"/>
      <c r="T5" s="5"/>
    </row>
    <row r="6" spans="1:22" ht="67.5">
      <c r="A6" s="32" t="s">
        <v>3</v>
      </c>
      <c r="B6" s="33" t="s">
        <v>4</v>
      </c>
      <c r="C6" s="33" t="s">
        <v>5</v>
      </c>
      <c r="D6" s="33" t="s">
        <v>6</v>
      </c>
      <c r="E6" s="33" t="s">
        <v>7</v>
      </c>
      <c r="F6" s="33" t="s">
        <v>8</v>
      </c>
      <c r="G6" s="33" t="s">
        <v>9</v>
      </c>
      <c r="H6" s="33" t="s">
        <v>10</v>
      </c>
      <c r="I6" s="33" t="s">
        <v>11</v>
      </c>
      <c r="J6" s="33" t="s">
        <v>12</v>
      </c>
      <c r="K6" s="33" t="s">
        <v>13</v>
      </c>
      <c r="L6" s="33" t="s">
        <v>14</v>
      </c>
      <c r="M6" s="33" t="s">
        <v>15</v>
      </c>
      <c r="N6" s="33" t="s">
        <v>16</v>
      </c>
      <c r="O6" s="33" t="s">
        <v>17</v>
      </c>
      <c r="P6" s="33" t="s">
        <v>18</v>
      </c>
      <c r="Q6" s="33" t="s">
        <v>19</v>
      </c>
      <c r="R6" s="33" t="s">
        <v>20</v>
      </c>
      <c r="S6" s="33" t="s">
        <v>21</v>
      </c>
      <c r="T6" s="33" t="s">
        <v>22</v>
      </c>
      <c r="U6" s="34" t="s">
        <v>87</v>
      </c>
    </row>
    <row r="7" spans="1:22">
      <c r="A7" s="35" t="s">
        <v>67</v>
      </c>
      <c r="B7" s="36">
        <v>243000</v>
      </c>
      <c r="C7" s="36">
        <v>245000</v>
      </c>
      <c r="D7" s="36">
        <v>60500</v>
      </c>
      <c r="E7" s="36">
        <v>1500</v>
      </c>
      <c r="F7" s="36">
        <v>54600</v>
      </c>
      <c r="G7" s="36">
        <v>0</v>
      </c>
      <c r="H7" s="36">
        <v>18000</v>
      </c>
      <c r="I7" s="36">
        <v>12000</v>
      </c>
      <c r="J7" s="36">
        <v>6500</v>
      </c>
      <c r="K7" s="36"/>
      <c r="L7" s="36"/>
      <c r="M7" s="36"/>
      <c r="N7" s="36"/>
      <c r="O7" s="36">
        <v>0</v>
      </c>
      <c r="P7" s="36"/>
      <c r="Q7" s="36"/>
      <c r="R7" s="36">
        <v>47000</v>
      </c>
      <c r="S7" s="37"/>
      <c r="T7" s="37">
        <f t="shared" ref="T7:T36" si="0">SUM(B7:S7)</f>
        <v>688100</v>
      </c>
      <c r="U7" s="45"/>
      <c r="V7" s="27"/>
    </row>
    <row r="8" spans="1:22">
      <c r="A8" s="35" t="s">
        <v>37</v>
      </c>
      <c r="B8" s="36">
        <v>194000</v>
      </c>
      <c r="C8" s="36">
        <v>153000</v>
      </c>
      <c r="D8" s="36">
        <v>128000</v>
      </c>
      <c r="E8" s="36">
        <v>6000</v>
      </c>
      <c r="F8" s="36">
        <v>64600</v>
      </c>
      <c r="G8" s="36">
        <v>0</v>
      </c>
      <c r="H8" s="36">
        <v>53000</v>
      </c>
      <c r="I8" s="36">
        <v>15000</v>
      </c>
      <c r="J8" s="36"/>
      <c r="K8" s="36"/>
      <c r="L8" s="36"/>
      <c r="M8" s="36"/>
      <c r="N8" s="36"/>
      <c r="O8" s="36">
        <v>6000</v>
      </c>
      <c r="P8" s="36"/>
      <c r="Q8" s="36"/>
      <c r="R8" s="36">
        <v>0</v>
      </c>
      <c r="S8" s="37"/>
      <c r="T8" s="37">
        <f t="shared" si="0"/>
        <v>619600</v>
      </c>
      <c r="U8" s="45"/>
      <c r="V8" s="27"/>
    </row>
    <row r="9" spans="1:22">
      <c r="A9" s="35" t="s">
        <v>38</v>
      </c>
      <c r="B9" s="36">
        <v>389500</v>
      </c>
      <c r="C9" s="36">
        <v>166000</v>
      </c>
      <c r="D9" s="36">
        <v>105500</v>
      </c>
      <c r="E9" s="36">
        <v>3000</v>
      </c>
      <c r="F9" s="36">
        <v>115000</v>
      </c>
      <c r="G9" s="36">
        <v>0</v>
      </c>
      <c r="H9" s="36">
        <v>36000</v>
      </c>
      <c r="I9" s="36">
        <v>10000</v>
      </c>
      <c r="J9" s="36">
        <v>12000</v>
      </c>
      <c r="K9" s="36"/>
      <c r="L9" s="36"/>
      <c r="M9" s="36"/>
      <c r="N9" s="36"/>
      <c r="O9" s="36">
        <v>18000</v>
      </c>
      <c r="P9" s="36"/>
      <c r="Q9" s="36"/>
      <c r="R9" s="36">
        <v>0</v>
      </c>
      <c r="S9" s="37"/>
      <c r="T9" s="37">
        <f t="shared" si="0"/>
        <v>855000</v>
      </c>
      <c r="U9" s="45"/>
      <c r="V9" s="27"/>
    </row>
    <row r="10" spans="1:22">
      <c r="A10" s="35" t="s">
        <v>39</v>
      </c>
      <c r="B10" s="36">
        <v>134000</v>
      </c>
      <c r="C10" s="36">
        <v>68000</v>
      </c>
      <c r="D10" s="36">
        <v>110500</v>
      </c>
      <c r="E10" s="36">
        <v>6000</v>
      </c>
      <c r="F10" s="36">
        <v>192000</v>
      </c>
      <c r="G10" s="36">
        <v>0</v>
      </c>
      <c r="H10" s="36">
        <v>94000</v>
      </c>
      <c r="I10" s="36">
        <v>48000</v>
      </c>
      <c r="J10" s="36">
        <v>10000</v>
      </c>
      <c r="K10" s="36"/>
      <c r="L10" s="36"/>
      <c r="M10" s="36"/>
      <c r="N10" s="36"/>
      <c r="O10" s="36">
        <v>0</v>
      </c>
      <c r="Q10" s="36"/>
      <c r="R10" s="36">
        <v>0</v>
      </c>
      <c r="S10" s="37"/>
      <c r="T10" s="37">
        <f t="shared" si="0"/>
        <v>662500</v>
      </c>
      <c r="U10" s="42"/>
    </row>
    <row r="11" spans="1:22">
      <c r="A11" s="35" t="s">
        <v>40</v>
      </c>
      <c r="B11" s="37">
        <v>159000</v>
      </c>
      <c r="C11" s="37">
        <v>122000</v>
      </c>
      <c r="D11" s="37">
        <v>150000</v>
      </c>
      <c r="E11" s="37">
        <v>11000</v>
      </c>
      <c r="F11" s="37">
        <v>124000</v>
      </c>
      <c r="G11" s="37">
        <v>30000</v>
      </c>
      <c r="H11" s="37">
        <v>131000</v>
      </c>
      <c r="I11" s="37">
        <v>85000</v>
      </c>
      <c r="J11" s="37">
        <v>2000</v>
      </c>
      <c r="K11" s="37"/>
      <c r="L11" s="37"/>
      <c r="M11" s="37"/>
      <c r="N11" s="37"/>
      <c r="O11" s="37">
        <v>0</v>
      </c>
      <c r="P11" s="37"/>
      <c r="Q11" s="37"/>
      <c r="R11" s="37">
        <v>-267000</v>
      </c>
      <c r="S11" s="37"/>
      <c r="T11" s="37">
        <f t="shared" si="0"/>
        <v>547000</v>
      </c>
      <c r="U11" s="42"/>
    </row>
    <row r="12" spans="1:22">
      <c r="A12" s="35" t="s">
        <v>41</v>
      </c>
      <c r="B12" s="37">
        <v>182500</v>
      </c>
      <c r="C12" s="37">
        <v>109000</v>
      </c>
      <c r="D12" s="37">
        <v>122500</v>
      </c>
      <c r="E12" s="37">
        <v>13500</v>
      </c>
      <c r="F12" s="37">
        <v>157200</v>
      </c>
      <c r="G12" s="37">
        <v>0</v>
      </c>
      <c r="H12" s="37">
        <v>120000</v>
      </c>
      <c r="I12" s="37">
        <v>82000</v>
      </c>
      <c r="J12" s="37">
        <v>10000</v>
      </c>
      <c r="K12" s="37"/>
      <c r="L12" s="37"/>
      <c r="M12" s="37"/>
      <c r="N12" s="37"/>
      <c r="O12" s="37">
        <v>0</v>
      </c>
      <c r="P12" s="37"/>
      <c r="Q12" s="37"/>
      <c r="R12" s="37">
        <v>0</v>
      </c>
      <c r="S12" s="37"/>
      <c r="T12" s="37">
        <f t="shared" si="0"/>
        <v>796700</v>
      </c>
      <c r="U12" s="42"/>
    </row>
    <row r="13" spans="1:22">
      <c r="A13" s="35" t="s">
        <v>42</v>
      </c>
      <c r="B13" s="37">
        <v>138000</v>
      </c>
      <c r="C13" s="37">
        <v>89000</v>
      </c>
      <c r="D13" s="37">
        <v>115000</v>
      </c>
      <c r="E13" s="37">
        <v>11000</v>
      </c>
      <c r="F13" s="37">
        <v>130000</v>
      </c>
      <c r="G13" s="37">
        <v>0</v>
      </c>
      <c r="H13" s="37">
        <v>89000</v>
      </c>
      <c r="I13" s="37">
        <v>109000</v>
      </c>
      <c r="J13" s="37">
        <v>12000</v>
      </c>
      <c r="K13" s="37"/>
      <c r="L13" s="37"/>
      <c r="M13" s="37"/>
      <c r="N13" s="37"/>
      <c r="O13" s="37">
        <v>0</v>
      </c>
      <c r="P13" s="37"/>
      <c r="Q13" s="37"/>
      <c r="R13" s="37">
        <v>5000</v>
      </c>
      <c r="S13" s="37"/>
      <c r="T13" s="37">
        <f t="shared" si="0"/>
        <v>698000</v>
      </c>
      <c r="U13" s="42"/>
    </row>
    <row r="14" spans="1:22">
      <c r="A14" s="35" t="s">
        <v>43</v>
      </c>
      <c r="B14" s="37">
        <v>355500</v>
      </c>
      <c r="C14" s="37">
        <v>125000</v>
      </c>
      <c r="D14" s="37">
        <v>70000</v>
      </c>
      <c r="E14" s="37">
        <v>24000</v>
      </c>
      <c r="F14" s="37">
        <v>155000</v>
      </c>
      <c r="G14" s="37">
        <v>0</v>
      </c>
      <c r="H14" s="37">
        <v>42000</v>
      </c>
      <c r="I14" s="37">
        <v>10000</v>
      </c>
      <c r="J14" s="37">
        <v>20000</v>
      </c>
      <c r="K14" s="37"/>
      <c r="L14" s="37"/>
      <c r="M14" s="37"/>
      <c r="N14" s="37"/>
      <c r="O14" s="37">
        <v>0</v>
      </c>
      <c r="P14" s="37"/>
      <c r="Q14" s="37"/>
      <c r="R14" s="37">
        <v>-300000</v>
      </c>
      <c r="S14" s="37"/>
      <c r="T14" s="37">
        <f t="shared" si="0"/>
        <v>501500</v>
      </c>
      <c r="U14" s="42"/>
    </row>
    <row r="15" spans="1:22">
      <c r="A15" s="35" t="s">
        <v>44</v>
      </c>
      <c r="B15" s="37">
        <v>166500</v>
      </c>
      <c r="C15" s="37">
        <v>68000</v>
      </c>
      <c r="D15" s="37">
        <v>113000</v>
      </c>
      <c r="E15" s="37">
        <v>0</v>
      </c>
      <c r="F15" s="37">
        <v>125000</v>
      </c>
      <c r="G15" s="37">
        <v>0</v>
      </c>
      <c r="H15" s="37">
        <v>104000</v>
      </c>
      <c r="I15" s="37">
        <v>59000</v>
      </c>
      <c r="J15" s="37">
        <v>5000</v>
      </c>
      <c r="K15" s="37"/>
      <c r="L15" s="37"/>
      <c r="M15" s="37"/>
      <c r="N15" s="37"/>
      <c r="O15" s="37">
        <v>4000</v>
      </c>
      <c r="P15" s="37"/>
      <c r="Q15" s="37"/>
      <c r="R15" s="37">
        <v>191000</v>
      </c>
      <c r="S15" s="37"/>
      <c r="T15" s="37">
        <f t="shared" si="0"/>
        <v>835500</v>
      </c>
      <c r="U15" s="34"/>
    </row>
    <row r="16" spans="1:22">
      <c r="A16" s="35" t="s">
        <v>45</v>
      </c>
      <c r="B16" s="37">
        <v>184000</v>
      </c>
      <c r="C16" s="37">
        <v>159000</v>
      </c>
      <c r="D16" s="37">
        <v>155000</v>
      </c>
      <c r="E16" s="37">
        <v>3500</v>
      </c>
      <c r="F16" s="37">
        <v>134500</v>
      </c>
      <c r="G16" s="37">
        <v>12000</v>
      </c>
      <c r="H16" s="37">
        <v>66000</v>
      </c>
      <c r="I16" s="37">
        <v>0</v>
      </c>
      <c r="J16" s="37">
        <v>8000</v>
      </c>
      <c r="K16" s="37"/>
      <c r="L16" s="37"/>
      <c r="M16" s="37"/>
      <c r="N16" s="37"/>
      <c r="O16" s="37">
        <v>0</v>
      </c>
      <c r="P16" s="37"/>
      <c r="Q16" s="37"/>
      <c r="R16" s="37">
        <v>251000</v>
      </c>
      <c r="S16" s="37"/>
      <c r="T16" s="37">
        <f t="shared" si="0"/>
        <v>973000</v>
      </c>
      <c r="U16" s="34"/>
    </row>
    <row r="17" spans="1:21">
      <c r="A17" s="35" t="s">
        <v>46</v>
      </c>
      <c r="B17" s="37">
        <v>206500</v>
      </c>
      <c r="C17" s="37">
        <v>142000</v>
      </c>
      <c r="D17" s="37">
        <v>106000</v>
      </c>
      <c r="E17" s="37">
        <v>10000</v>
      </c>
      <c r="F17" s="37">
        <v>88500</v>
      </c>
      <c r="G17" s="37">
        <v>0</v>
      </c>
      <c r="H17" s="37">
        <v>74000</v>
      </c>
      <c r="I17" s="37">
        <v>44000</v>
      </c>
      <c r="J17" s="37">
        <v>0</v>
      </c>
      <c r="K17" s="37"/>
      <c r="L17" s="37"/>
      <c r="M17" s="37"/>
      <c r="N17" s="37"/>
      <c r="O17" s="37">
        <v>0</v>
      </c>
      <c r="P17" s="37"/>
      <c r="Q17" s="37"/>
      <c r="R17" s="37">
        <v>-114000</v>
      </c>
      <c r="S17" s="37"/>
      <c r="T17" s="37">
        <f t="shared" si="0"/>
        <v>557000</v>
      </c>
      <c r="U17" s="34"/>
    </row>
    <row r="18" spans="1:21">
      <c r="A18" s="35" t="s">
        <v>47</v>
      </c>
      <c r="B18" s="37">
        <v>239000</v>
      </c>
      <c r="C18" s="37">
        <v>277000</v>
      </c>
      <c r="D18" s="37">
        <v>69000</v>
      </c>
      <c r="E18" s="37">
        <v>0</v>
      </c>
      <c r="F18" s="37">
        <v>73900</v>
      </c>
      <c r="G18" s="37">
        <v>0</v>
      </c>
      <c r="H18" s="37">
        <v>59000</v>
      </c>
      <c r="I18" s="37">
        <v>0</v>
      </c>
      <c r="J18" s="37">
        <v>0</v>
      </c>
      <c r="K18" s="37"/>
      <c r="L18" s="37"/>
      <c r="M18" s="37"/>
      <c r="N18" s="37"/>
      <c r="O18" s="37">
        <v>0</v>
      </c>
      <c r="P18" s="37"/>
      <c r="Q18" s="37"/>
      <c r="R18" s="37">
        <v>232000</v>
      </c>
      <c r="S18" s="37"/>
      <c r="T18" s="37">
        <f t="shared" si="0"/>
        <v>949900</v>
      </c>
      <c r="U18" s="34"/>
    </row>
    <row r="19" spans="1:21">
      <c r="A19" s="35" t="s">
        <v>48</v>
      </c>
      <c r="B19" s="37">
        <v>151000</v>
      </c>
      <c r="C19" s="37">
        <v>20000</v>
      </c>
      <c r="D19" s="37">
        <v>109000</v>
      </c>
      <c r="E19" s="37">
        <v>81000</v>
      </c>
      <c r="F19" s="37">
        <v>154600</v>
      </c>
      <c r="G19" s="37">
        <v>0</v>
      </c>
      <c r="H19" s="37">
        <v>70000</v>
      </c>
      <c r="I19" s="37">
        <v>51000</v>
      </c>
      <c r="J19" s="37">
        <v>14000</v>
      </c>
      <c r="K19" s="37"/>
      <c r="L19" s="37"/>
      <c r="M19" s="37"/>
      <c r="N19" s="37"/>
      <c r="O19" s="37">
        <v>0</v>
      </c>
      <c r="P19" s="37"/>
      <c r="Q19" s="37"/>
      <c r="R19" s="37">
        <v>0</v>
      </c>
      <c r="S19" s="37"/>
      <c r="T19" s="37">
        <f t="shared" si="0"/>
        <v>650600</v>
      </c>
      <c r="U19" s="34"/>
    </row>
    <row r="20" spans="1:21">
      <c r="A20" s="35" t="s">
        <v>49</v>
      </c>
      <c r="B20" s="37">
        <v>216000</v>
      </c>
      <c r="C20" s="37">
        <v>154000</v>
      </c>
      <c r="D20" s="37">
        <v>75000</v>
      </c>
      <c r="E20" s="37">
        <v>17000</v>
      </c>
      <c r="F20" s="37">
        <v>84000</v>
      </c>
      <c r="G20" s="37">
        <v>0</v>
      </c>
      <c r="H20" s="37">
        <v>56000</v>
      </c>
      <c r="I20" s="37">
        <v>30000</v>
      </c>
      <c r="J20" s="37">
        <v>4000</v>
      </c>
      <c r="K20" s="37"/>
      <c r="L20" s="37"/>
      <c r="M20" s="37"/>
      <c r="N20" s="37"/>
      <c r="O20" s="37">
        <v>0</v>
      </c>
      <c r="P20" s="37"/>
      <c r="Q20" s="37"/>
      <c r="R20" s="37">
        <v>-73000</v>
      </c>
      <c r="S20" s="37"/>
      <c r="T20" s="37">
        <f t="shared" si="0"/>
        <v>563000</v>
      </c>
      <c r="U20" s="34"/>
    </row>
    <row r="21" spans="1:21">
      <c r="A21" s="35" t="s">
        <v>50</v>
      </c>
      <c r="B21" s="37">
        <v>246500</v>
      </c>
      <c r="C21" s="37">
        <v>64000</v>
      </c>
      <c r="D21" s="37">
        <v>96000</v>
      </c>
      <c r="E21" s="37">
        <v>4500</v>
      </c>
      <c r="F21" s="37">
        <v>103000</v>
      </c>
      <c r="G21" s="37">
        <v>0</v>
      </c>
      <c r="H21" s="37">
        <v>77000</v>
      </c>
      <c r="I21" s="37">
        <v>22000</v>
      </c>
      <c r="J21" s="37">
        <v>0</v>
      </c>
      <c r="K21" s="37"/>
      <c r="L21" s="37"/>
      <c r="M21" s="37"/>
      <c r="N21" s="37"/>
      <c r="O21" s="37">
        <v>0</v>
      </c>
      <c r="P21" s="37"/>
      <c r="Q21" s="37"/>
      <c r="R21" s="37">
        <v>46000</v>
      </c>
      <c r="S21" s="37"/>
      <c r="T21" s="37">
        <f t="shared" si="0"/>
        <v>659000</v>
      </c>
      <c r="U21" s="34"/>
    </row>
    <row r="22" spans="1:21">
      <c r="A22" s="35" t="s">
        <v>73</v>
      </c>
      <c r="B22" s="37">
        <v>226000</v>
      </c>
      <c r="C22" s="37">
        <v>240000</v>
      </c>
      <c r="D22" s="37">
        <v>42000</v>
      </c>
      <c r="E22" s="37">
        <v>8000</v>
      </c>
      <c r="F22" s="37">
        <v>65100</v>
      </c>
      <c r="G22" s="37">
        <v>0</v>
      </c>
      <c r="H22" s="37">
        <v>45000</v>
      </c>
      <c r="I22" s="37">
        <v>45500</v>
      </c>
      <c r="J22" s="37">
        <v>0</v>
      </c>
      <c r="K22" s="37"/>
      <c r="L22" s="37"/>
      <c r="M22" s="37"/>
      <c r="N22" s="37"/>
      <c r="O22" s="37">
        <v>0</v>
      </c>
      <c r="P22" s="37"/>
      <c r="Q22" s="37"/>
      <c r="R22" s="37">
        <v>0</v>
      </c>
      <c r="S22" s="37"/>
      <c r="T22" s="37">
        <f t="shared" si="0"/>
        <v>671600</v>
      </c>
      <c r="U22" s="34"/>
    </row>
    <row r="23" spans="1:21">
      <c r="A23" s="35" t="s">
        <v>52</v>
      </c>
      <c r="B23" s="37">
        <v>291500</v>
      </c>
      <c r="C23" s="37">
        <v>79000</v>
      </c>
      <c r="D23" s="37">
        <v>92000</v>
      </c>
      <c r="E23" s="37">
        <v>4500</v>
      </c>
      <c r="F23" s="37">
        <v>115000</v>
      </c>
      <c r="G23" s="37">
        <v>0</v>
      </c>
      <c r="H23" s="37">
        <v>44000</v>
      </c>
      <c r="I23" s="37">
        <v>23500</v>
      </c>
      <c r="J23" s="37">
        <v>4000</v>
      </c>
      <c r="K23" s="37"/>
      <c r="L23" s="37"/>
      <c r="M23" s="37"/>
      <c r="N23" s="37"/>
      <c r="O23" s="37">
        <v>12000</v>
      </c>
      <c r="P23" s="37"/>
      <c r="Q23" s="37"/>
      <c r="R23" s="37">
        <v>30000</v>
      </c>
      <c r="S23" s="37"/>
      <c r="T23" s="37">
        <f t="shared" si="0"/>
        <v>695500</v>
      </c>
      <c r="U23" s="34"/>
    </row>
    <row r="24" spans="1:21">
      <c r="A24" s="35" t="s">
        <v>53</v>
      </c>
      <c r="B24" s="37">
        <v>167000</v>
      </c>
      <c r="C24" s="37">
        <v>62000</v>
      </c>
      <c r="D24" s="37">
        <v>95000</v>
      </c>
      <c r="E24" s="37">
        <v>22500</v>
      </c>
      <c r="F24" s="37">
        <v>121000</v>
      </c>
      <c r="G24" s="37">
        <v>0</v>
      </c>
      <c r="H24" s="37">
        <v>74000</v>
      </c>
      <c r="I24" s="37">
        <v>21000</v>
      </c>
      <c r="J24" s="37">
        <v>6000</v>
      </c>
      <c r="K24" s="37"/>
      <c r="L24" s="37"/>
      <c r="M24" s="37"/>
      <c r="N24" s="37"/>
      <c r="O24" s="37">
        <v>0</v>
      </c>
      <c r="P24" s="37"/>
      <c r="Q24" s="37"/>
      <c r="R24" s="37">
        <v>0</v>
      </c>
      <c r="S24" s="37"/>
      <c r="T24" s="37">
        <f t="shared" si="0"/>
        <v>568500</v>
      </c>
      <c r="U24" s="34"/>
    </row>
    <row r="25" spans="1:21">
      <c r="A25" s="35" t="s">
        <v>54</v>
      </c>
      <c r="B25" s="37">
        <v>191500</v>
      </c>
      <c r="C25" s="37">
        <v>122000</v>
      </c>
      <c r="D25" s="37">
        <v>47000</v>
      </c>
      <c r="E25" s="37">
        <v>44000</v>
      </c>
      <c r="F25" s="37">
        <v>117000</v>
      </c>
      <c r="G25" s="37">
        <v>0</v>
      </c>
      <c r="H25" s="37">
        <v>37000</v>
      </c>
      <c r="I25" s="37">
        <v>26500</v>
      </c>
      <c r="J25" s="37"/>
      <c r="K25" s="37"/>
      <c r="L25" s="37"/>
      <c r="M25" s="37"/>
      <c r="N25" s="37"/>
      <c r="O25" s="37">
        <v>21000</v>
      </c>
      <c r="P25" s="37"/>
      <c r="Q25" s="37"/>
      <c r="R25" s="37">
        <v>-9000</v>
      </c>
      <c r="S25" s="37"/>
      <c r="T25" s="37">
        <f t="shared" si="0"/>
        <v>597000</v>
      </c>
      <c r="U25" s="34"/>
    </row>
    <row r="26" spans="1:21">
      <c r="A26" s="35" t="s">
        <v>55</v>
      </c>
      <c r="B26" s="37">
        <v>156500</v>
      </c>
      <c r="C26" s="37">
        <v>94000</v>
      </c>
      <c r="D26" s="37">
        <v>82500</v>
      </c>
      <c r="E26" s="37">
        <v>7000</v>
      </c>
      <c r="F26" s="37">
        <v>73400</v>
      </c>
      <c r="G26" s="37">
        <v>0</v>
      </c>
      <c r="H26" s="37">
        <v>86000</v>
      </c>
      <c r="I26" s="37">
        <v>22000</v>
      </c>
      <c r="J26" s="37">
        <v>10000</v>
      </c>
      <c r="K26" s="37"/>
      <c r="L26" s="37"/>
      <c r="M26" s="37"/>
      <c r="N26" s="37"/>
      <c r="O26" s="37">
        <v>0</v>
      </c>
      <c r="P26" s="37"/>
      <c r="Q26" s="37"/>
      <c r="R26" s="37">
        <v>-348000</v>
      </c>
      <c r="S26" s="37"/>
      <c r="T26" s="37">
        <f t="shared" si="0"/>
        <v>183400</v>
      </c>
      <c r="U26" s="42"/>
    </row>
    <row r="27" spans="1:21">
      <c r="A27" s="35" t="s">
        <v>56</v>
      </c>
      <c r="B27" s="37">
        <v>112000</v>
      </c>
      <c r="C27" s="37">
        <v>107000</v>
      </c>
      <c r="D27" s="37">
        <v>83000</v>
      </c>
      <c r="E27" s="37">
        <v>6000</v>
      </c>
      <c r="F27" s="37">
        <v>75000</v>
      </c>
      <c r="G27" s="37">
        <v>0</v>
      </c>
      <c r="H27" s="37">
        <v>23000</v>
      </c>
      <c r="I27" s="37">
        <v>24000</v>
      </c>
      <c r="J27" s="37">
        <v>3000</v>
      </c>
      <c r="K27" s="37"/>
      <c r="L27" s="37"/>
      <c r="M27" s="37"/>
      <c r="N27" s="37"/>
      <c r="O27" s="37">
        <v>10000</v>
      </c>
      <c r="P27" s="37"/>
      <c r="Q27" s="37"/>
      <c r="R27" s="37">
        <v>0</v>
      </c>
      <c r="S27" s="37"/>
      <c r="T27" s="37">
        <f t="shared" si="0"/>
        <v>443000</v>
      </c>
      <c r="U27" s="34"/>
    </row>
    <row r="28" spans="1:21">
      <c r="A28" s="35" t="s">
        <v>57</v>
      </c>
      <c r="B28" s="37">
        <v>166000</v>
      </c>
      <c r="C28" s="37">
        <v>202000</v>
      </c>
      <c r="D28" s="37">
        <v>75000</v>
      </c>
      <c r="E28" s="37">
        <v>7000</v>
      </c>
      <c r="F28" s="37">
        <v>100000</v>
      </c>
      <c r="G28" s="37">
        <v>12000</v>
      </c>
      <c r="H28" s="37">
        <v>81000</v>
      </c>
      <c r="I28" s="37">
        <v>63000</v>
      </c>
      <c r="J28" s="37">
        <v>0</v>
      </c>
      <c r="K28" s="37"/>
      <c r="L28" s="37"/>
      <c r="M28" s="37"/>
      <c r="N28" s="37"/>
      <c r="O28" s="31">
        <v>0</v>
      </c>
      <c r="P28" s="37"/>
      <c r="Q28" s="37"/>
      <c r="R28" s="37">
        <v>971000</v>
      </c>
      <c r="S28" s="37"/>
      <c r="T28" s="37">
        <f t="shared" si="0"/>
        <v>1677000</v>
      </c>
      <c r="U28" s="34"/>
    </row>
    <row r="29" spans="1:21">
      <c r="A29" s="35" t="s">
        <v>58</v>
      </c>
      <c r="B29" s="37">
        <v>208000</v>
      </c>
      <c r="C29" s="37">
        <v>109000</v>
      </c>
      <c r="D29" s="37">
        <v>158500</v>
      </c>
      <c r="E29" s="37">
        <v>29000</v>
      </c>
      <c r="F29" s="37">
        <v>169100</v>
      </c>
      <c r="G29" s="37">
        <v>12000</v>
      </c>
      <c r="H29" s="37">
        <v>168500</v>
      </c>
      <c r="I29" s="37">
        <v>29500</v>
      </c>
      <c r="J29" s="37">
        <v>10000</v>
      </c>
      <c r="K29" s="37"/>
      <c r="L29" s="37"/>
      <c r="M29" s="37"/>
      <c r="N29" s="37"/>
      <c r="O29" s="37">
        <v>36000</v>
      </c>
      <c r="P29" s="37"/>
      <c r="Q29" s="37"/>
      <c r="R29" s="37">
        <v>1551000</v>
      </c>
      <c r="S29" s="37"/>
      <c r="T29" s="37">
        <f t="shared" si="0"/>
        <v>2480600</v>
      </c>
      <c r="U29" s="34"/>
    </row>
    <row r="30" spans="1:21">
      <c r="A30" s="35" t="s">
        <v>59</v>
      </c>
      <c r="B30" s="37">
        <v>194000</v>
      </c>
      <c r="C30" s="37">
        <v>70000</v>
      </c>
      <c r="D30" s="37">
        <v>164000</v>
      </c>
      <c r="E30" s="37">
        <v>26500</v>
      </c>
      <c r="F30" s="37">
        <v>190000</v>
      </c>
      <c r="G30" s="37">
        <v>0</v>
      </c>
      <c r="H30" s="37">
        <v>53000</v>
      </c>
      <c r="I30" s="37">
        <v>130000</v>
      </c>
      <c r="J30" s="37">
        <v>0</v>
      </c>
      <c r="K30" s="37"/>
      <c r="L30" s="37"/>
      <c r="M30" s="37"/>
      <c r="N30" s="37"/>
      <c r="O30" s="37">
        <v>10000</v>
      </c>
      <c r="P30" s="37"/>
      <c r="Q30" s="37"/>
      <c r="R30" s="37">
        <v>51000</v>
      </c>
      <c r="S30" s="37"/>
      <c r="T30" s="37">
        <f t="shared" si="0"/>
        <v>888500</v>
      </c>
      <c r="U30" s="34"/>
    </row>
    <row r="31" spans="1:21">
      <c r="A31" s="35" t="s">
        <v>60</v>
      </c>
      <c r="B31" s="37">
        <v>286000</v>
      </c>
      <c r="C31" s="37">
        <v>97000</v>
      </c>
      <c r="D31" s="37">
        <v>150000</v>
      </c>
      <c r="E31" s="37">
        <v>18000</v>
      </c>
      <c r="F31" s="37">
        <v>177500</v>
      </c>
      <c r="G31" s="37">
        <v>12000</v>
      </c>
      <c r="H31" s="37">
        <v>218500</v>
      </c>
      <c r="I31" s="37">
        <v>157000</v>
      </c>
      <c r="J31" s="37">
        <v>17000</v>
      </c>
      <c r="K31" s="37"/>
      <c r="L31" s="37"/>
      <c r="M31" s="37"/>
      <c r="N31" s="37"/>
      <c r="O31" s="37">
        <v>0</v>
      </c>
      <c r="P31" s="37"/>
      <c r="Q31" s="37"/>
      <c r="R31" s="37">
        <v>56000</v>
      </c>
      <c r="S31" s="37"/>
      <c r="T31" s="37">
        <f t="shared" si="0"/>
        <v>1189000</v>
      </c>
      <c r="U31" s="34"/>
    </row>
    <row r="32" spans="1:21">
      <c r="A32" s="35" t="s">
        <v>61</v>
      </c>
      <c r="B32" s="31">
        <v>254000</v>
      </c>
      <c r="C32" s="31">
        <v>216000</v>
      </c>
      <c r="D32" s="31">
        <v>150000</v>
      </c>
      <c r="E32" s="31">
        <v>0</v>
      </c>
      <c r="F32" s="31">
        <v>55000</v>
      </c>
      <c r="G32" s="31">
        <v>12000</v>
      </c>
      <c r="H32" s="31">
        <v>105000</v>
      </c>
      <c r="I32" s="31">
        <v>11000</v>
      </c>
      <c r="J32" s="31">
        <v>5000</v>
      </c>
      <c r="K32" s="31"/>
      <c r="L32" s="31"/>
      <c r="M32" s="31"/>
      <c r="N32" s="31"/>
      <c r="O32" s="31">
        <v>0</v>
      </c>
      <c r="P32" s="31"/>
      <c r="Q32" s="31"/>
      <c r="R32" s="31">
        <v>301000</v>
      </c>
      <c r="S32" s="31"/>
      <c r="T32" s="37">
        <f t="shared" si="0"/>
        <v>1109000</v>
      </c>
      <c r="U32" s="39">
        <v>2920000</v>
      </c>
    </row>
    <row r="33" spans="1:21">
      <c r="A33" s="35" t="s">
        <v>62</v>
      </c>
      <c r="B33" s="31">
        <v>234000</v>
      </c>
      <c r="C33" s="31">
        <v>48000</v>
      </c>
      <c r="D33" s="31">
        <v>137000</v>
      </c>
      <c r="E33" s="31">
        <v>34000</v>
      </c>
      <c r="F33" s="31">
        <v>74200</v>
      </c>
      <c r="G33" s="31">
        <v>0</v>
      </c>
      <c r="H33" s="31">
        <v>65000</v>
      </c>
      <c r="I33" s="31">
        <v>83000</v>
      </c>
      <c r="J33" s="31">
        <v>0</v>
      </c>
      <c r="K33" s="31"/>
      <c r="L33" s="31"/>
      <c r="M33" s="31"/>
      <c r="N33" s="31"/>
      <c r="O33" s="31">
        <v>0</v>
      </c>
      <c r="P33" s="31"/>
      <c r="Q33" s="31"/>
      <c r="R33" s="31">
        <v>1674000</v>
      </c>
      <c r="S33" s="31"/>
      <c r="T33" s="37">
        <f t="shared" si="0"/>
        <v>2349200</v>
      </c>
      <c r="U33" s="39"/>
    </row>
    <row r="34" spans="1:21">
      <c r="A34" s="35" t="s">
        <v>63</v>
      </c>
      <c r="B34" s="31">
        <v>222500</v>
      </c>
      <c r="C34" s="31">
        <v>157000</v>
      </c>
      <c r="D34" s="31">
        <v>76500</v>
      </c>
      <c r="E34" s="31">
        <v>7000</v>
      </c>
      <c r="F34" s="31">
        <v>95900</v>
      </c>
      <c r="G34" s="31">
        <v>36000</v>
      </c>
      <c r="H34" s="31">
        <v>103000</v>
      </c>
      <c r="I34" s="31">
        <v>51000</v>
      </c>
      <c r="J34" s="31">
        <v>0</v>
      </c>
      <c r="K34" s="31"/>
      <c r="L34" s="31"/>
      <c r="M34" s="31"/>
      <c r="N34" s="31"/>
      <c r="O34" s="31">
        <v>0</v>
      </c>
      <c r="P34" s="31"/>
      <c r="Q34" s="31"/>
      <c r="R34" s="31">
        <v>1480500</v>
      </c>
      <c r="S34" s="31"/>
      <c r="T34" s="37">
        <f t="shared" si="0"/>
        <v>2229400</v>
      </c>
      <c r="U34" s="39"/>
    </row>
    <row r="35" spans="1:21">
      <c r="A35" s="35" t="s">
        <v>64</v>
      </c>
      <c r="B35" s="31">
        <v>344000</v>
      </c>
      <c r="C35" s="31">
        <v>308000</v>
      </c>
      <c r="D35" s="31">
        <v>142500</v>
      </c>
      <c r="E35" s="31">
        <v>29500</v>
      </c>
      <c r="F35" s="31">
        <v>102000</v>
      </c>
      <c r="G35" s="31">
        <v>0</v>
      </c>
      <c r="H35" s="31">
        <v>156000</v>
      </c>
      <c r="I35" s="31">
        <v>54500</v>
      </c>
      <c r="J35" s="31">
        <v>0</v>
      </c>
      <c r="K35" s="31"/>
      <c r="L35" s="31"/>
      <c r="M35" s="31"/>
      <c r="N35" s="31"/>
      <c r="O35" s="46">
        <v>22000</v>
      </c>
      <c r="P35" s="31"/>
      <c r="Q35" s="31"/>
      <c r="R35" s="31">
        <v>7000</v>
      </c>
      <c r="S35" s="31"/>
      <c r="T35" s="31">
        <f t="shared" si="0"/>
        <v>1165500</v>
      </c>
      <c r="U35" s="39"/>
    </row>
    <row r="36" spans="1:21">
      <c r="A36" s="35" t="s">
        <v>83</v>
      </c>
      <c r="B36" s="31">
        <v>193000</v>
      </c>
      <c r="C36" s="31">
        <v>104000</v>
      </c>
      <c r="D36" s="31">
        <v>80000</v>
      </c>
      <c r="E36" s="31">
        <v>0</v>
      </c>
      <c r="F36" s="31">
        <v>60500</v>
      </c>
      <c r="G36" s="31">
        <v>0</v>
      </c>
      <c r="H36" s="31">
        <v>70000</v>
      </c>
      <c r="I36" s="31">
        <v>32500</v>
      </c>
      <c r="J36" s="31"/>
      <c r="K36" s="31"/>
      <c r="L36" s="31"/>
      <c r="M36" s="31"/>
      <c r="N36" s="31"/>
      <c r="O36" s="31">
        <v>0</v>
      </c>
      <c r="P36" s="31"/>
      <c r="Q36" s="31"/>
      <c r="R36" s="31">
        <v>11000</v>
      </c>
      <c r="S36" s="31"/>
      <c r="T36" s="31">
        <f t="shared" si="0"/>
        <v>551000</v>
      </c>
      <c r="U36" s="43"/>
    </row>
    <row r="37" spans="1:21">
      <c r="A37" s="35" t="s">
        <v>84</v>
      </c>
      <c r="B37" s="31">
        <v>438000</v>
      </c>
      <c r="C37" s="31">
        <v>360000</v>
      </c>
      <c r="D37" s="31">
        <v>169000</v>
      </c>
      <c r="E37" s="31">
        <v>24500</v>
      </c>
      <c r="F37" s="31">
        <v>276000</v>
      </c>
      <c r="G37" s="31">
        <v>0</v>
      </c>
      <c r="H37" s="31">
        <v>102000</v>
      </c>
      <c r="I37" s="31">
        <v>106000</v>
      </c>
      <c r="J37" s="31">
        <v>11500</v>
      </c>
      <c r="K37" s="31"/>
      <c r="L37" s="31"/>
      <c r="M37" s="31"/>
      <c r="N37" s="31"/>
      <c r="O37" s="31">
        <v>7000</v>
      </c>
      <c r="P37" s="31"/>
      <c r="Q37" s="31"/>
      <c r="R37" s="31"/>
      <c r="S37" s="31"/>
      <c r="T37" s="31">
        <f>SUM(B37:S37)</f>
        <v>1494000</v>
      </c>
      <c r="U37" s="39"/>
    </row>
    <row r="38" spans="1:21">
      <c r="A38" s="40" t="s">
        <v>23</v>
      </c>
      <c r="B38" s="41">
        <f t="shared" ref="B38:J38" si="1">SUM(B7:B37)</f>
        <v>6889000</v>
      </c>
      <c r="C38" s="41">
        <f t="shared" si="1"/>
        <v>4336000</v>
      </c>
      <c r="D38" s="41">
        <f t="shared" si="1"/>
        <v>3329000</v>
      </c>
      <c r="E38" s="41">
        <f t="shared" si="1"/>
        <v>459500</v>
      </c>
      <c r="F38" s="41">
        <f t="shared" si="1"/>
        <v>3622600</v>
      </c>
      <c r="G38" s="41">
        <f t="shared" si="1"/>
        <v>126000</v>
      </c>
      <c r="H38" s="41">
        <f t="shared" si="1"/>
        <v>2520000</v>
      </c>
      <c r="I38" s="41">
        <f t="shared" si="1"/>
        <v>1457000</v>
      </c>
      <c r="J38" s="41">
        <f t="shared" si="1"/>
        <v>170000</v>
      </c>
      <c r="K38" s="31"/>
      <c r="L38" s="31"/>
      <c r="M38" s="31"/>
      <c r="N38" s="31"/>
      <c r="O38" s="31">
        <f>SUM(O7:O37)</f>
        <v>146000</v>
      </c>
      <c r="P38" s="31"/>
      <c r="Q38" s="31"/>
      <c r="R38" s="31">
        <f>SUM(R7:R37)</f>
        <v>5793500</v>
      </c>
      <c r="S38" s="31"/>
      <c r="T38" s="31">
        <f>SUM(B38:S38)</f>
        <v>28848600</v>
      </c>
      <c r="U38" s="45">
        <v>3400000</v>
      </c>
    </row>
    <row r="39" spans="1:21">
      <c r="A39" s="34"/>
      <c r="B39" s="34"/>
      <c r="C39" s="34"/>
      <c r="D39" s="34"/>
      <c r="E39" s="34"/>
      <c r="F39" s="34"/>
      <c r="G39" s="34"/>
      <c r="H39" s="34"/>
      <c r="I39" s="34"/>
      <c r="J39" s="34"/>
      <c r="K39" s="34"/>
      <c r="L39" s="34"/>
      <c r="M39" s="34"/>
      <c r="N39" s="34"/>
      <c r="O39" s="34"/>
      <c r="P39" s="34"/>
      <c r="Q39" s="34"/>
      <c r="R39" s="34"/>
      <c r="S39" s="34"/>
      <c r="T39" s="34"/>
      <c r="U39" s="34"/>
    </row>
  </sheetData>
  <mergeCells count="4">
    <mergeCell ref="B2:T2"/>
    <mergeCell ref="B3:T3"/>
    <mergeCell ref="C4:F4"/>
    <mergeCell ref="C5:F5"/>
  </mergeCells>
  <pageMargins left="0.7" right="0.7" top="0.75" bottom="0.75" header="0.3" footer="0.3"/>
  <pageSetup scale="80" orientation="landscape" horizontalDpi="0" verticalDpi="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29"/>
  <sheetViews>
    <sheetView topLeftCell="A9" workbookViewId="0">
      <selection activeCell="E34" sqref="E34"/>
    </sheetView>
  </sheetViews>
  <sheetFormatPr defaultRowHeight="15"/>
  <cols>
    <col min="1" max="1" width="16.28515625" customWidth="1"/>
    <col min="2" max="2" width="11.5703125" customWidth="1"/>
    <col min="3" max="3" width="14" customWidth="1"/>
    <col min="4" max="5" width="13.28515625" customWidth="1"/>
    <col min="6" max="6" width="11.85546875" customWidth="1"/>
    <col min="7" max="7" width="12.7109375" customWidth="1"/>
  </cols>
  <sheetData>
    <row r="1" spans="1:7" ht="16.5" thickBot="1">
      <c r="A1" s="9"/>
      <c r="B1" s="10"/>
      <c r="C1" s="10"/>
      <c r="D1" s="10"/>
      <c r="E1" s="10"/>
      <c r="F1" s="10"/>
      <c r="G1" s="8"/>
    </row>
    <row r="2" spans="1:7" ht="16.5" thickBot="1">
      <c r="A2" s="6" t="s">
        <v>24</v>
      </c>
      <c r="B2" s="70" t="s">
        <v>93</v>
      </c>
      <c r="C2" s="71"/>
      <c r="D2" s="72"/>
      <c r="E2" s="11"/>
      <c r="F2" s="11"/>
      <c r="G2" s="12"/>
    </row>
    <row r="3" spans="1:7" ht="15.75">
      <c r="A3" s="13" t="s">
        <v>25</v>
      </c>
      <c r="B3" s="14" t="s">
        <v>26</v>
      </c>
      <c r="C3" s="14" t="s">
        <v>27</v>
      </c>
      <c r="D3" s="14" t="s">
        <v>28</v>
      </c>
      <c r="E3" s="14" t="s">
        <v>29</v>
      </c>
      <c r="F3" s="15" t="s">
        <v>30</v>
      </c>
      <c r="G3" s="16" t="s">
        <v>31</v>
      </c>
    </row>
    <row r="4" spans="1:7" ht="15.75">
      <c r="A4" s="17" t="s">
        <v>4</v>
      </c>
      <c r="B4" s="18">
        <v>960500</v>
      </c>
      <c r="C4" s="18">
        <v>1392000</v>
      </c>
      <c r="D4" s="18">
        <v>1537000</v>
      </c>
      <c r="E4" s="18">
        <v>1314000</v>
      </c>
      <c r="F4" s="19">
        <v>1685500</v>
      </c>
      <c r="G4" s="20">
        <f t="shared" ref="G4:G12" si="0">SUM(B4:F4)</f>
        <v>6889000</v>
      </c>
    </row>
    <row r="5" spans="1:7" ht="15.75">
      <c r="A5" s="17" t="s">
        <v>5</v>
      </c>
      <c r="B5" s="18">
        <v>634000</v>
      </c>
      <c r="C5" s="18">
        <v>814000</v>
      </c>
      <c r="D5" s="18">
        <v>896000</v>
      </c>
      <c r="E5" s="18">
        <v>801000</v>
      </c>
      <c r="F5" s="19">
        <v>1193000</v>
      </c>
      <c r="G5" s="20">
        <f>SUM(B5:F5)</f>
        <v>4338000</v>
      </c>
    </row>
    <row r="6" spans="1:7" ht="15.75">
      <c r="A6" s="17" t="s">
        <v>32</v>
      </c>
      <c r="B6" s="18">
        <v>404500</v>
      </c>
      <c r="C6" s="18">
        <v>831500</v>
      </c>
      <c r="D6" s="18">
        <v>578000</v>
      </c>
      <c r="E6" s="18">
        <v>760000</v>
      </c>
      <c r="F6" s="19">
        <v>755000</v>
      </c>
      <c r="G6" s="20">
        <f t="shared" si="0"/>
        <v>3329000</v>
      </c>
    </row>
    <row r="7" spans="1:7" ht="15.75">
      <c r="A7" s="17" t="s">
        <v>33</v>
      </c>
      <c r="B7" s="18">
        <v>16500</v>
      </c>
      <c r="C7" s="18">
        <v>73000</v>
      </c>
      <c r="D7" s="18">
        <v>137500</v>
      </c>
      <c r="E7" s="18">
        <v>119500</v>
      </c>
      <c r="F7" s="19">
        <v>113000</v>
      </c>
      <c r="G7" s="20">
        <f t="shared" si="0"/>
        <v>459500</v>
      </c>
    </row>
    <row r="8" spans="1:7" ht="15.75">
      <c r="A8" s="17" t="s">
        <v>8</v>
      </c>
      <c r="B8" s="18">
        <v>426200</v>
      </c>
      <c r="C8" s="18">
        <v>914200</v>
      </c>
      <c r="D8" s="18">
        <v>714500</v>
      </c>
      <c r="E8" s="18">
        <v>902000</v>
      </c>
      <c r="F8" s="19">
        <v>663600</v>
      </c>
      <c r="G8" s="20">
        <f t="shared" si="0"/>
        <v>3620500</v>
      </c>
    </row>
    <row r="9" spans="1:7" ht="15.75">
      <c r="A9" s="17" t="s">
        <v>9</v>
      </c>
      <c r="B9" s="18">
        <v>0</v>
      </c>
      <c r="C9" s="18">
        <v>42000</v>
      </c>
      <c r="D9" s="18">
        <v>0</v>
      </c>
      <c r="E9" s="18">
        <v>36000</v>
      </c>
      <c r="F9" s="19">
        <v>48000</v>
      </c>
      <c r="G9" s="20">
        <f t="shared" si="0"/>
        <v>126000</v>
      </c>
    </row>
    <row r="10" spans="1:7" ht="15.75">
      <c r="A10" s="17" t="s">
        <v>10</v>
      </c>
      <c r="B10" s="18">
        <v>201000</v>
      </c>
      <c r="C10" s="18">
        <v>626000</v>
      </c>
      <c r="D10" s="18">
        <v>425000</v>
      </c>
      <c r="E10" s="18">
        <v>667000</v>
      </c>
      <c r="F10" s="19">
        <v>601000</v>
      </c>
      <c r="G10" s="20">
        <f t="shared" si="0"/>
        <v>2520000</v>
      </c>
    </row>
    <row r="11" spans="1:7" ht="15.75">
      <c r="A11" s="17" t="s">
        <v>11</v>
      </c>
      <c r="B11" s="18">
        <v>85000</v>
      </c>
      <c r="C11" s="18">
        <v>389000</v>
      </c>
      <c r="D11" s="18">
        <v>193000</v>
      </c>
      <c r="E11" s="18">
        <v>452000</v>
      </c>
      <c r="F11" s="19">
        <v>338000</v>
      </c>
      <c r="G11" s="20">
        <f t="shared" si="0"/>
        <v>1457000</v>
      </c>
    </row>
    <row r="12" spans="1:7" ht="15.75">
      <c r="A12" s="17" t="s">
        <v>12</v>
      </c>
      <c r="B12" s="18">
        <v>28500</v>
      </c>
      <c r="C12" s="18">
        <v>57000</v>
      </c>
      <c r="D12" s="18">
        <v>28000</v>
      </c>
      <c r="E12" s="18">
        <v>40000</v>
      </c>
      <c r="F12" s="19">
        <v>16500</v>
      </c>
      <c r="G12" s="20">
        <f t="shared" si="0"/>
        <v>170000</v>
      </c>
    </row>
    <row r="13" spans="1:7" ht="15.75">
      <c r="A13" s="17" t="s">
        <v>13</v>
      </c>
      <c r="B13" s="18"/>
      <c r="C13" s="18"/>
      <c r="D13" s="18"/>
      <c r="E13" s="18"/>
      <c r="F13" s="19"/>
      <c r="G13" s="20">
        <f t="shared" ref="G13:G20" si="1">SUM(B13:E13)</f>
        <v>0</v>
      </c>
    </row>
    <row r="14" spans="1:7" ht="15.75">
      <c r="A14" s="17" t="s">
        <v>14</v>
      </c>
      <c r="B14" s="18"/>
      <c r="C14" s="18"/>
      <c r="D14" s="18"/>
      <c r="E14" s="18"/>
      <c r="F14" s="19"/>
      <c r="G14" s="20">
        <f t="shared" si="1"/>
        <v>0</v>
      </c>
    </row>
    <row r="15" spans="1:7" ht="15.75">
      <c r="A15" s="17" t="s">
        <v>15</v>
      </c>
      <c r="B15" s="18"/>
      <c r="C15" s="18"/>
      <c r="D15" s="18"/>
      <c r="E15" s="18"/>
      <c r="F15" s="19"/>
      <c r="G15" s="20">
        <f t="shared" si="1"/>
        <v>0</v>
      </c>
    </row>
    <row r="16" spans="1:7" ht="15.75">
      <c r="A16" s="17" t="s">
        <v>16</v>
      </c>
      <c r="B16" s="18"/>
      <c r="C16" s="18"/>
      <c r="D16" s="18"/>
      <c r="E16" s="18"/>
      <c r="F16" s="19"/>
      <c r="G16" s="20">
        <f t="shared" si="1"/>
        <v>0</v>
      </c>
    </row>
    <row r="17" spans="1:7" ht="15.75">
      <c r="A17" s="17" t="s">
        <v>17</v>
      </c>
      <c r="B17" s="18">
        <v>24000</v>
      </c>
      <c r="C17" s="18">
        <v>4000</v>
      </c>
      <c r="D17" s="18">
        <v>12000</v>
      </c>
      <c r="E17" s="18">
        <v>77000</v>
      </c>
      <c r="F17" s="19">
        <v>29000</v>
      </c>
      <c r="G17" s="20">
        <f>SUM(B17:F17)</f>
        <v>146000</v>
      </c>
    </row>
    <row r="18" spans="1:7" ht="15.75">
      <c r="A18" s="17" t="s">
        <v>18</v>
      </c>
      <c r="B18" s="18"/>
      <c r="C18" s="18"/>
      <c r="D18" s="18"/>
      <c r="E18" s="18"/>
      <c r="F18" s="19"/>
      <c r="G18" s="20">
        <f t="shared" si="1"/>
        <v>0</v>
      </c>
    </row>
    <row r="19" spans="1:7" ht="15.75">
      <c r="A19" s="17" t="s">
        <v>19</v>
      </c>
      <c r="B19" s="18"/>
      <c r="C19" s="18"/>
      <c r="D19" s="18"/>
      <c r="E19" s="18"/>
      <c r="F19" s="19"/>
      <c r="G19" s="20">
        <f t="shared" si="1"/>
        <v>0</v>
      </c>
    </row>
    <row r="20" spans="1:7" ht="15.75">
      <c r="A20" s="17" t="s">
        <v>34</v>
      </c>
      <c r="B20" s="18"/>
      <c r="C20" s="18"/>
      <c r="D20" s="18"/>
      <c r="E20" s="18"/>
      <c r="F20" s="19"/>
      <c r="G20" s="20">
        <f t="shared" si="1"/>
        <v>0</v>
      </c>
    </row>
    <row r="21" spans="1:7" ht="16.5" thickBot="1">
      <c r="A21" s="21" t="s">
        <v>35</v>
      </c>
      <c r="B21" s="22">
        <f t="shared" ref="B21:G21" si="2">SUM(B4:B20)</f>
        <v>2780200</v>
      </c>
      <c r="C21" s="22">
        <f t="shared" si="2"/>
        <v>5142700</v>
      </c>
      <c r="D21" s="22">
        <f t="shared" si="2"/>
        <v>4521000</v>
      </c>
      <c r="E21" s="22">
        <f t="shared" si="2"/>
        <v>5168500</v>
      </c>
      <c r="F21" s="22">
        <f t="shared" si="2"/>
        <v>5442600</v>
      </c>
      <c r="G21" s="23">
        <f t="shared" si="2"/>
        <v>23055000</v>
      </c>
    </row>
    <row r="23" spans="1:7" ht="15.75" thickBot="1"/>
    <row r="24" spans="1:7" ht="21.75" thickBot="1">
      <c r="A24" s="73" t="s">
        <v>36</v>
      </c>
      <c r="B24" s="74"/>
      <c r="C24" s="74"/>
      <c r="D24" s="74"/>
      <c r="E24" s="74"/>
      <c r="F24" s="74"/>
      <c r="G24" s="75"/>
    </row>
    <row r="25" spans="1:7" ht="15.75" thickBot="1">
      <c r="A25" s="77"/>
      <c r="B25" s="68"/>
      <c r="C25" s="68"/>
      <c r="D25" s="68"/>
      <c r="E25" s="68"/>
      <c r="F25" s="68"/>
      <c r="G25" s="69"/>
    </row>
    <row r="26" spans="1:7" ht="15.75" thickBot="1">
      <c r="A26" s="24"/>
      <c r="B26" s="25"/>
      <c r="C26" s="25"/>
      <c r="D26" s="25"/>
      <c r="E26" s="25"/>
      <c r="F26" s="25"/>
      <c r="G26" s="26"/>
    </row>
    <row r="27" spans="1:7" ht="15.75" thickBot="1">
      <c r="A27" s="67"/>
      <c r="B27" s="68"/>
      <c r="C27" s="68"/>
      <c r="D27" s="68"/>
      <c r="E27" s="68"/>
      <c r="F27" s="68"/>
      <c r="G27" s="69"/>
    </row>
    <row r="28" spans="1:7" ht="15.75" thickBot="1">
      <c r="A28" s="77" t="s">
        <v>90</v>
      </c>
      <c r="B28" s="68"/>
      <c r="C28" s="68"/>
      <c r="D28" s="68"/>
      <c r="E28" s="68"/>
      <c r="F28" s="68"/>
      <c r="G28" s="69"/>
    </row>
    <row r="29" spans="1:7" ht="15.75" thickBot="1">
      <c r="A29" s="67"/>
      <c r="B29" s="68"/>
      <c r="C29" s="68"/>
      <c r="D29" s="68"/>
      <c r="E29" s="68"/>
      <c r="F29" s="68"/>
      <c r="G29" s="69"/>
    </row>
  </sheetData>
  <mergeCells count="6">
    <mergeCell ref="A29:G29"/>
    <mergeCell ref="B2:D2"/>
    <mergeCell ref="A24:G24"/>
    <mergeCell ref="A25:G25"/>
    <mergeCell ref="A27:G27"/>
    <mergeCell ref="A28:G28"/>
  </mergeCells>
  <pageMargins left="0.7" right="0.7" top="0.75" bottom="0.75" header="0.3" footer="0.3"/>
  <pageSetup orientation="landscape" horizontalDpi="0" verticalDpi="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V39"/>
  <sheetViews>
    <sheetView zoomScale="120" zoomScaleNormal="120" workbookViewId="0">
      <selection activeCell="A2" sqref="A2:U38"/>
    </sheetView>
  </sheetViews>
  <sheetFormatPr defaultRowHeight="15"/>
  <cols>
    <col min="1" max="1" width="12.5703125" customWidth="1"/>
    <col min="2" max="2" width="10.7109375" customWidth="1"/>
    <col min="3" max="4" width="11.28515625" customWidth="1"/>
    <col min="6" max="6" width="12.140625" customWidth="1"/>
    <col min="8" max="8" width="11.85546875" customWidth="1"/>
    <col min="9" max="9" width="10.85546875" customWidth="1"/>
    <col min="11" max="11" width="7.7109375" customWidth="1"/>
    <col min="12" max="12" width="7.140625" customWidth="1"/>
    <col min="13" max="13" width="6.85546875" customWidth="1"/>
    <col min="14" max="14" width="7.140625" customWidth="1"/>
    <col min="15" max="15" width="11.42578125" customWidth="1"/>
    <col min="16" max="16" width="7.140625" customWidth="1"/>
    <col min="17" max="17" width="7" customWidth="1"/>
    <col min="18" max="18" width="11.28515625" customWidth="1"/>
    <col min="20" max="20" width="11" customWidth="1"/>
    <col min="21" max="21" width="9.7109375" customWidth="1"/>
    <col min="22" max="22" width="10.5703125" customWidth="1"/>
  </cols>
  <sheetData>
    <row r="1" spans="1:22" ht="15.75" thickBot="1"/>
    <row r="2" spans="1:22" ht="26.25">
      <c r="A2" s="28"/>
      <c r="B2" s="55" t="s">
        <v>68</v>
      </c>
      <c r="C2" s="56"/>
      <c r="D2" s="56"/>
      <c r="E2" s="56"/>
      <c r="F2" s="56"/>
      <c r="G2" s="56"/>
      <c r="H2" s="56"/>
      <c r="I2" s="56"/>
      <c r="J2" s="56"/>
      <c r="K2" s="56"/>
      <c r="L2" s="56"/>
      <c r="M2" s="56"/>
      <c r="N2" s="56"/>
      <c r="O2" s="56"/>
      <c r="P2" s="56"/>
      <c r="Q2" s="56"/>
      <c r="R2" s="56"/>
      <c r="S2" s="56"/>
      <c r="T2" s="57"/>
    </row>
    <row r="3" spans="1:22" ht="27" thickBot="1">
      <c r="A3" s="4"/>
      <c r="B3" s="58" t="s">
        <v>0</v>
      </c>
      <c r="C3" s="59"/>
      <c r="D3" s="59"/>
      <c r="E3" s="59"/>
      <c r="F3" s="59"/>
      <c r="G3" s="59"/>
      <c r="H3" s="59"/>
      <c r="I3" s="59"/>
      <c r="J3" s="59"/>
      <c r="K3" s="59"/>
      <c r="L3" s="59"/>
      <c r="M3" s="59"/>
      <c r="N3" s="59"/>
      <c r="O3" s="59"/>
      <c r="P3" s="59"/>
      <c r="Q3" s="59"/>
      <c r="R3" s="59"/>
      <c r="S3" s="59"/>
      <c r="T3" s="60"/>
    </row>
    <row r="4" spans="1:22" ht="27" thickBot="1">
      <c r="A4" s="4"/>
      <c r="B4" s="29" t="s">
        <v>1</v>
      </c>
      <c r="C4" s="61" t="s">
        <v>69</v>
      </c>
      <c r="D4" s="62"/>
      <c r="E4" s="62"/>
      <c r="F4" s="63"/>
      <c r="T4" s="5"/>
    </row>
    <row r="5" spans="1:22" ht="21">
      <c r="A5" s="4"/>
      <c r="B5" s="30" t="s">
        <v>2</v>
      </c>
      <c r="C5" s="78">
        <v>45536</v>
      </c>
      <c r="D5" s="79"/>
      <c r="E5" s="79"/>
      <c r="F5" s="80"/>
      <c r="T5" s="5"/>
    </row>
    <row r="6" spans="1:22" ht="67.5">
      <c r="A6" s="32" t="s">
        <v>3</v>
      </c>
      <c r="B6" s="33" t="s">
        <v>4</v>
      </c>
      <c r="C6" s="33" t="s">
        <v>5</v>
      </c>
      <c r="D6" s="33" t="s">
        <v>6</v>
      </c>
      <c r="E6" s="33" t="s">
        <v>7</v>
      </c>
      <c r="F6" s="33" t="s">
        <v>8</v>
      </c>
      <c r="G6" s="33" t="s">
        <v>9</v>
      </c>
      <c r="H6" s="33" t="s">
        <v>10</v>
      </c>
      <c r="I6" s="33" t="s">
        <v>11</v>
      </c>
      <c r="J6" s="33" t="s">
        <v>12</v>
      </c>
      <c r="K6" s="33" t="s">
        <v>13</v>
      </c>
      <c r="L6" s="33" t="s">
        <v>14</v>
      </c>
      <c r="M6" s="33" t="s">
        <v>15</v>
      </c>
      <c r="N6" s="33" t="s">
        <v>16</v>
      </c>
      <c r="O6" s="33" t="s">
        <v>17</v>
      </c>
      <c r="P6" s="33" t="s">
        <v>18</v>
      </c>
      <c r="Q6" s="33" t="s">
        <v>19</v>
      </c>
      <c r="R6" s="33" t="s">
        <v>20</v>
      </c>
      <c r="S6" s="33" t="s">
        <v>21</v>
      </c>
      <c r="T6" s="33" t="s">
        <v>22</v>
      </c>
      <c r="U6" s="34" t="s">
        <v>87</v>
      </c>
    </row>
    <row r="7" spans="1:22">
      <c r="A7" s="35" t="s">
        <v>67</v>
      </c>
      <c r="B7" s="36">
        <v>242000</v>
      </c>
      <c r="C7" s="36">
        <v>117000</v>
      </c>
      <c r="D7" s="36">
        <v>109500</v>
      </c>
      <c r="E7" s="36">
        <v>32500</v>
      </c>
      <c r="F7" s="36">
        <v>80000</v>
      </c>
      <c r="G7" s="36">
        <v>12000</v>
      </c>
      <c r="H7" s="36">
        <v>54000</v>
      </c>
      <c r="I7" s="36">
        <v>88000</v>
      </c>
      <c r="J7" s="36">
        <v>15000</v>
      </c>
      <c r="K7" s="36"/>
      <c r="L7" s="36"/>
      <c r="M7" s="36"/>
      <c r="N7" s="36"/>
      <c r="O7" s="36">
        <v>0</v>
      </c>
      <c r="P7" s="36"/>
      <c r="Q7" s="36"/>
      <c r="R7" s="36">
        <v>0</v>
      </c>
      <c r="S7" s="37"/>
      <c r="T7" s="37">
        <f t="shared" ref="T7:T36" si="0">SUM(B7:S7)</f>
        <v>750000</v>
      </c>
      <c r="U7" s="45"/>
      <c r="V7" s="27"/>
    </row>
    <row r="8" spans="1:22">
      <c r="A8" s="35" t="s">
        <v>37</v>
      </c>
      <c r="B8" s="36">
        <v>199000</v>
      </c>
      <c r="C8" s="36">
        <v>130000</v>
      </c>
      <c r="D8" s="36">
        <v>130000</v>
      </c>
      <c r="E8" s="36">
        <v>5500</v>
      </c>
      <c r="F8" s="36">
        <v>134700</v>
      </c>
      <c r="G8" s="36">
        <v>0</v>
      </c>
      <c r="H8" s="36">
        <v>93000</v>
      </c>
      <c r="I8" s="36">
        <v>34000</v>
      </c>
      <c r="J8" s="36">
        <v>11000</v>
      </c>
      <c r="K8" s="36"/>
      <c r="L8" s="36"/>
      <c r="M8" s="36"/>
      <c r="N8" s="36"/>
      <c r="O8" s="36">
        <v>5000</v>
      </c>
      <c r="P8" s="36"/>
      <c r="Q8" s="36"/>
      <c r="R8" s="36">
        <v>0</v>
      </c>
      <c r="S8" s="37"/>
      <c r="T8" s="37">
        <f t="shared" si="0"/>
        <v>742200</v>
      </c>
      <c r="U8" s="45"/>
      <c r="V8" s="27"/>
    </row>
    <row r="9" spans="1:22">
      <c r="A9" s="35" t="s">
        <v>38</v>
      </c>
      <c r="B9" s="36">
        <v>136000</v>
      </c>
      <c r="C9" s="36">
        <v>30000</v>
      </c>
      <c r="D9" s="36">
        <v>54000</v>
      </c>
      <c r="E9" s="36">
        <v>6000</v>
      </c>
      <c r="F9" s="36">
        <v>56000</v>
      </c>
      <c r="G9" s="36">
        <v>0</v>
      </c>
      <c r="H9" s="36">
        <v>30000</v>
      </c>
      <c r="I9" s="36">
        <v>19000</v>
      </c>
      <c r="J9" s="36">
        <v>14000</v>
      </c>
      <c r="K9" s="36"/>
      <c r="L9" s="36"/>
      <c r="M9" s="36"/>
      <c r="N9" s="36"/>
      <c r="O9" s="36">
        <v>0</v>
      </c>
      <c r="P9" s="36"/>
      <c r="Q9" s="36"/>
      <c r="R9" s="36">
        <v>0</v>
      </c>
      <c r="S9" s="37"/>
      <c r="T9" s="37">
        <f t="shared" si="0"/>
        <v>345000</v>
      </c>
      <c r="U9" s="45"/>
      <c r="V9" s="27"/>
    </row>
    <row r="10" spans="1:22">
      <c r="A10" s="35" t="s">
        <v>39</v>
      </c>
      <c r="B10" s="36">
        <v>127000</v>
      </c>
      <c r="C10" s="36">
        <v>130000</v>
      </c>
      <c r="D10" s="36">
        <v>49000</v>
      </c>
      <c r="E10" s="36">
        <v>12000</v>
      </c>
      <c r="F10" s="36">
        <v>74200</v>
      </c>
      <c r="G10" s="36">
        <v>0</v>
      </c>
      <c r="H10" s="36">
        <v>30000</v>
      </c>
      <c r="I10" s="36">
        <v>64000</v>
      </c>
      <c r="J10" s="36">
        <v>2000</v>
      </c>
      <c r="K10" s="36"/>
      <c r="L10" s="36"/>
      <c r="M10" s="36"/>
      <c r="N10" s="36"/>
      <c r="O10" s="36">
        <v>4000</v>
      </c>
      <c r="Q10" s="36"/>
      <c r="R10" s="36">
        <v>2092000</v>
      </c>
      <c r="S10" s="37"/>
      <c r="T10" s="37">
        <f t="shared" si="0"/>
        <v>2584200</v>
      </c>
      <c r="U10" s="42"/>
    </row>
    <row r="11" spans="1:22">
      <c r="A11" s="35" t="s">
        <v>40</v>
      </c>
      <c r="B11" s="37">
        <v>184000</v>
      </c>
      <c r="C11" s="37">
        <v>98000</v>
      </c>
      <c r="D11" s="37">
        <v>177000</v>
      </c>
      <c r="E11" s="37">
        <v>23000</v>
      </c>
      <c r="F11" s="37">
        <v>159500</v>
      </c>
      <c r="G11" s="37">
        <v>24000</v>
      </c>
      <c r="H11" s="37">
        <v>77000</v>
      </c>
      <c r="I11" s="37">
        <v>26000</v>
      </c>
      <c r="J11" s="37">
        <v>5000</v>
      </c>
      <c r="K11" s="37"/>
      <c r="L11" s="37"/>
      <c r="M11" s="37"/>
      <c r="N11" s="37"/>
      <c r="O11" s="37">
        <v>12000</v>
      </c>
      <c r="P11" s="37"/>
      <c r="Q11" s="37"/>
      <c r="R11" s="37">
        <v>164000</v>
      </c>
      <c r="S11" s="37"/>
      <c r="T11" s="37">
        <f t="shared" si="0"/>
        <v>949500</v>
      </c>
      <c r="U11" s="42"/>
    </row>
    <row r="12" spans="1:22">
      <c r="A12" s="35" t="s">
        <v>41</v>
      </c>
      <c r="B12" s="37">
        <v>223000</v>
      </c>
      <c r="C12" s="37">
        <v>112000</v>
      </c>
      <c r="D12" s="37">
        <v>117000</v>
      </c>
      <c r="E12" s="37">
        <v>0</v>
      </c>
      <c r="F12" s="37">
        <v>97100</v>
      </c>
      <c r="G12" s="37">
        <v>24000</v>
      </c>
      <c r="H12" s="37">
        <v>128000</v>
      </c>
      <c r="I12" s="37">
        <v>23000</v>
      </c>
      <c r="J12" s="37">
        <v>12000</v>
      </c>
      <c r="K12" s="37"/>
      <c r="L12" s="37"/>
      <c r="M12" s="37"/>
      <c r="N12" s="37"/>
      <c r="O12" s="37">
        <v>5000</v>
      </c>
      <c r="P12" s="37"/>
      <c r="Q12" s="37"/>
      <c r="R12" s="37">
        <v>308000</v>
      </c>
      <c r="S12" s="37"/>
      <c r="T12" s="37">
        <f t="shared" si="0"/>
        <v>1049100</v>
      </c>
      <c r="U12" s="42"/>
    </row>
    <row r="13" spans="1:22">
      <c r="A13" s="35" t="s">
        <v>42</v>
      </c>
      <c r="B13" s="37">
        <v>167000</v>
      </c>
      <c r="C13" s="37">
        <v>302000</v>
      </c>
      <c r="D13" s="37">
        <v>135000</v>
      </c>
      <c r="E13" s="37">
        <v>16500</v>
      </c>
      <c r="F13" s="37">
        <v>129000</v>
      </c>
      <c r="G13" s="37">
        <v>0</v>
      </c>
      <c r="H13" s="37">
        <v>120000</v>
      </c>
      <c r="I13" s="37">
        <v>124000</v>
      </c>
      <c r="J13" s="37">
        <v>10000</v>
      </c>
      <c r="K13" s="37"/>
      <c r="L13" s="37"/>
      <c r="M13" s="37"/>
      <c r="N13" s="37"/>
      <c r="O13" s="37">
        <v>11000</v>
      </c>
      <c r="P13" s="37"/>
      <c r="Q13" s="37"/>
      <c r="R13" s="37">
        <v>184000</v>
      </c>
      <c r="S13" s="37"/>
      <c r="T13" s="37">
        <f t="shared" si="0"/>
        <v>1198500</v>
      </c>
      <c r="U13" s="42"/>
    </row>
    <row r="14" spans="1:22">
      <c r="A14" s="35" t="s">
        <v>43</v>
      </c>
      <c r="B14" s="37">
        <v>158000</v>
      </c>
      <c r="C14" s="37">
        <v>101000</v>
      </c>
      <c r="D14" s="37">
        <v>127500</v>
      </c>
      <c r="E14" s="37">
        <v>19000</v>
      </c>
      <c r="F14" s="37">
        <v>145000</v>
      </c>
      <c r="G14" s="37">
        <v>0</v>
      </c>
      <c r="H14" s="37">
        <v>78000</v>
      </c>
      <c r="I14" s="37">
        <v>12000</v>
      </c>
      <c r="J14" s="37">
        <v>0</v>
      </c>
      <c r="K14" s="37"/>
      <c r="L14" s="37"/>
      <c r="M14" s="37"/>
      <c r="N14" s="37"/>
      <c r="O14" s="37">
        <v>0</v>
      </c>
      <c r="P14" s="37"/>
      <c r="Q14" s="37"/>
      <c r="R14" s="37">
        <v>75000</v>
      </c>
      <c r="S14" s="37"/>
      <c r="T14" s="37">
        <f t="shared" si="0"/>
        <v>715500</v>
      </c>
      <c r="U14" s="42"/>
    </row>
    <row r="15" spans="1:22">
      <c r="A15" s="35" t="s">
        <v>44</v>
      </c>
      <c r="B15" s="37">
        <v>300000</v>
      </c>
      <c r="C15" s="37">
        <v>51000</v>
      </c>
      <c r="D15" s="37">
        <v>101000</v>
      </c>
      <c r="E15" s="37">
        <v>5000</v>
      </c>
      <c r="F15" s="37">
        <v>74000</v>
      </c>
      <c r="G15" s="37">
        <v>0</v>
      </c>
      <c r="H15" s="37">
        <v>60000</v>
      </c>
      <c r="I15" s="37">
        <v>55000</v>
      </c>
      <c r="J15" s="37">
        <v>0</v>
      </c>
      <c r="K15" s="37"/>
      <c r="L15" s="37"/>
      <c r="M15" s="37"/>
      <c r="N15" s="37"/>
      <c r="O15" s="37">
        <v>0</v>
      </c>
      <c r="P15" s="37"/>
      <c r="Q15" s="37"/>
      <c r="R15" s="37">
        <v>135000</v>
      </c>
      <c r="S15" s="37"/>
      <c r="T15" s="37">
        <f t="shared" si="0"/>
        <v>781000</v>
      </c>
      <c r="U15" s="34">
        <v>1750000</v>
      </c>
    </row>
    <row r="16" spans="1:22">
      <c r="A16" s="35" t="s">
        <v>45</v>
      </c>
      <c r="B16" s="37">
        <v>184000</v>
      </c>
      <c r="C16" s="37">
        <v>116000</v>
      </c>
      <c r="D16" s="37">
        <v>124500</v>
      </c>
      <c r="E16" s="37">
        <v>9500</v>
      </c>
      <c r="F16" s="37">
        <v>109600</v>
      </c>
      <c r="G16" s="37">
        <v>24000</v>
      </c>
      <c r="H16" s="37">
        <v>77000</v>
      </c>
      <c r="I16" s="37">
        <v>43000</v>
      </c>
      <c r="J16" s="37">
        <v>28000</v>
      </c>
      <c r="K16" s="37"/>
      <c r="L16" s="37"/>
      <c r="M16" s="37"/>
      <c r="N16" s="37"/>
      <c r="O16" s="37">
        <v>6000</v>
      </c>
      <c r="P16" s="37"/>
      <c r="Q16" s="37"/>
      <c r="R16" s="37">
        <v>0</v>
      </c>
      <c r="S16" s="37"/>
      <c r="T16" s="37">
        <f t="shared" si="0"/>
        <v>721600</v>
      </c>
      <c r="U16" s="34"/>
    </row>
    <row r="17" spans="1:21">
      <c r="A17" s="35" t="s">
        <v>46</v>
      </c>
      <c r="B17" s="37">
        <v>351000</v>
      </c>
      <c r="C17" s="37">
        <v>60000</v>
      </c>
      <c r="D17" s="37">
        <v>150000</v>
      </c>
      <c r="E17" s="37">
        <v>9000</v>
      </c>
      <c r="F17" s="37">
        <v>65500</v>
      </c>
      <c r="G17" s="37">
        <v>0</v>
      </c>
      <c r="H17" s="37">
        <v>30000</v>
      </c>
      <c r="I17" s="37">
        <v>47000</v>
      </c>
      <c r="J17" s="37">
        <v>0</v>
      </c>
      <c r="K17" s="37"/>
      <c r="L17" s="37"/>
      <c r="M17" s="37"/>
      <c r="N17" s="37"/>
      <c r="O17" s="37">
        <v>6000</v>
      </c>
      <c r="P17" s="37"/>
      <c r="Q17" s="37"/>
      <c r="R17" s="37">
        <v>0</v>
      </c>
      <c r="S17" s="37"/>
      <c r="T17" s="37">
        <f t="shared" si="0"/>
        <v>718500</v>
      </c>
      <c r="U17" s="34"/>
    </row>
    <row r="18" spans="1:21">
      <c r="A18" s="35" t="s">
        <v>47</v>
      </c>
      <c r="B18" s="37">
        <v>166500</v>
      </c>
      <c r="C18" s="37">
        <v>107000</v>
      </c>
      <c r="D18" s="37">
        <v>52000</v>
      </c>
      <c r="E18" s="37">
        <v>17000</v>
      </c>
      <c r="F18" s="37">
        <v>60000</v>
      </c>
      <c r="G18" s="37">
        <v>0</v>
      </c>
      <c r="H18" s="37">
        <v>31000</v>
      </c>
      <c r="I18" s="37">
        <v>27000</v>
      </c>
      <c r="J18" s="37">
        <v>0</v>
      </c>
      <c r="K18" s="37"/>
      <c r="L18" s="37"/>
      <c r="M18" s="37"/>
      <c r="N18" s="37"/>
      <c r="O18" s="37">
        <v>0</v>
      </c>
      <c r="P18" s="37"/>
      <c r="Q18" s="37"/>
      <c r="R18" s="37">
        <v>0</v>
      </c>
      <c r="S18" s="37"/>
      <c r="T18" s="37">
        <f t="shared" si="0"/>
        <v>460500</v>
      </c>
      <c r="U18" s="34"/>
    </row>
    <row r="19" spans="1:21">
      <c r="A19" s="35" t="s">
        <v>48</v>
      </c>
      <c r="B19" s="37">
        <v>272000</v>
      </c>
      <c r="C19" s="37">
        <v>66000</v>
      </c>
      <c r="D19" s="37">
        <v>89000</v>
      </c>
      <c r="E19" s="37">
        <v>10500</v>
      </c>
      <c r="F19" s="37">
        <v>89500</v>
      </c>
      <c r="G19" s="37">
        <v>24000</v>
      </c>
      <c r="H19" s="37">
        <v>77000</v>
      </c>
      <c r="I19" s="37">
        <v>40000</v>
      </c>
      <c r="J19" s="37">
        <v>6000</v>
      </c>
      <c r="K19" s="37"/>
      <c r="L19" s="37"/>
      <c r="M19" s="37"/>
      <c r="N19" s="37"/>
      <c r="O19" s="37">
        <v>0</v>
      </c>
      <c r="P19" s="37"/>
      <c r="Q19" s="37"/>
      <c r="R19" s="37">
        <v>0</v>
      </c>
      <c r="S19" s="37"/>
      <c r="T19" s="37">
        <f t="shared" si="0"/>
        <v>674000</v>
      </c>
      <c r="U19" s="34"/>
    </row>
    <row r="20" spans="1:21">
      <c r="A20" s="35" t="s">
        <v>49</v>
      </c>
      <c r="B20" s="37">
        <v>348000</v>
      </c>
      <c r="C20" s="37">
        <v>142000</v>
      </c>
      <c r="D20" s="37">
        <v>145500</v>
      </c>
      <c r="E20" s="37">
        <v>21000</v>
      </c>
      <c r="F20" s="37">
        <v>151500</v>
      </c>
      <c r="G20" s="37">
        <v>0</v>
      </c>
      <c r="H20" s="37">
        <v>112000</v>
      </c>
      <c r="I20" s="37">
        <v>37000</v>
      </c>
      <c r="J20" s="37">
        <v>0</v>
      </c>
      <c r="K20" s="37"/>
      <c r="L20" s="37"/>
      <c r="M20" s="37"/>
      <c r="N20" s="37"/>
      <c r="O20" s="37">
        <v>0</v>
      </c>
      <c r="P20" s="37"/>
      <c r="Q20" s="37"/>
      <c r="R20" s="37">
        <v>353500</v>
      </c>
      <c r="S20" s="37"/>
      <c r="T20" s="37">
        <f t="shared" si="0"/>
        <v>1310500</v>
      </c>
      <c r="U20" s="34"/>
    </row>
    <row r="21" spans="1:21">
      <c r="A21" s="35" t="s">
        <v>50</v>
      </c>
      <c r="B21" s="37">
        <v>224500</v>
      </c>
      <c r="C21" s="37">
        <v>110000</v>
      </c>
      <c r="D21" s="37">
        <v>127500</v>
      </c>
      <c r="E21" s="37">
        <v>26500</v>
      </c>
      <c r="F21" s="37">
        <v>128500</v>
      </c>
      <c r="G21" s="37">
        <v>0</v>
      </c>
      <c r="H21" s="37">
        <v>81000</v>
      </c>
      <c r="I21" s="37">
        <v>26000</v>
      </c>
      <c r="J21" s="37">
        <v>0</v>
      </c>
      <c r="K21" s="37"/>
      <c r="L21" s="37"/>
      <c r="M21" s="37"/>
      <c r="N21" s="37"/>
      <c r="O21" s="37">
        <v>0</v>
      </c>
      <c r="P21" s="37"/>
      <c r="Q21" s="37"/>
      <c r="R21" s="37">
        <v>0</v>
      </c>
      <c r="S21" s="37"/>
      <c r="T21" s="37">
        <f t="shared" si="0"/>
        <v>724000</v>
      </c>
      <c r="U21" s="34"/>
    </row>
    <row r="22" spans="1:21">
      <c r="A22" s="35" t="s">
        <v>73</v>
      </c>
      <c r="B22" s="37">
        <v>203000</v>
      </c>
      <c r="C22" s="37">
        <v>22000</v>
      </c>
      <c r="D22" s="37">
        <v>164000</v>
      </c>
      <c r="E22" s="37">
        <v>10000</v>
      </c>
      <c r="F22" s="37">
        <v>155400</v>
      </c>
      <c r="G22" s="37">
        <v>0</v>
      </c>
      <c r="H22" s="37">
        <v>111000</v>
      </c>
      <c r="I22" s="37">
        <v>30000</v>
      </c>
      <c r="J22" s="37">
        <v>5000</v>
      </c>
      <c r="K22" s="37"/>
      <c r="L22" s="37"/>
      <c r="M22" s="37"/>
      <c r="N22" s="37"/>
      <c r="O22" s="37">
        <v>5000</v>
      </c>
      <c r="P22" s="37"/>
      <c r="Q22" s="37"/>
      <c r="R22" s="37">
        <v>0</v>
      </c>
      <c r="S22" s="37"/>
      <c r="T22" s="37">
        <f t="shared" si="0"/>
        <v>705400</v>
      </c>
      <c r="U22" s="34"/>
    </row>
    <row r="23" spans="1:21">
      <c r="A23" s="35" t="s">
        <v>52</v>
      </c>
      <c r="B23" s="37">
        <v>220000</v>
      </c>
      <c r="C23" s="37">
        <v>121000</v>
      </c>
      <c r="D23" s="37">
        <v>122500</v>
      </c>
      <c r="E23" s="37">
        <v>0</v>
      </c>
      <c r="F23" s="37">
        <v>142500</v>
      </c>
      <c r="G23" s="37">
        <v>0</v>
      </c>
      <c r="H23" s="37">
        <v>169000</v>
      </c>
      <c r="I23" s="37">
        <v>60000</v>
      </c>
      <c r="J23" s="37">
        <v>8000</v>
      </c>
      <c r="K23" s="37"/>
      <c r="L23" s="37"/>
      <c r="M23" s="37"/>
      <c r="N23" s="37"/>
      <c r="O23" s="37">
        <v>0</v>
      </c>
      <c r="P23" s="37"/>
      <c r="Q23" s="37"/>
      <c r="R23" s="37">
        <v>222000</v>
      </c>
      <c r="S23" s="37"/>
      <c r="T23" s="37">
        <f t="shared" si="0"/>
        <v>1065000</v>
      </c>
      <c r="U23" s="34"/>
    </row>
    <row r="24" spans="1:21">
      <c r="A24" s="35" t="s">
        <v>53</v>
      </c>
      <c r="B24" s="37">
        <v>138000</v>
      </c>
      <c r="C24" s="37">
        <v>46000</v>
      </c>
      <c r="D24" s="37">
        <v>82000</v>
      </c>
      <c r="E24" s="37">
        <v>12500</v>
      </c>
      <c r="F24" s="37">
        <v>116400</v>
      </c>
      <c r="G24" s="37">
        <v>0</v>
      </c>
      <c r="H24" s="37">
        <v>11000</v>
      </c>
      <c r="I24" s="37">
        <v>17500</v>
      </c>
      <c r="J24" s="37">
        <v>4000</v>
      </c>
      <c r="K24" s="37"/>
      <c r="L24" s="37"/>
      <c r="M24" s="37"/>
      <c r="N24" s="37"/>
      <c r="O24" s="37">
        <v>0</v>
      </c>
      <c r="P24" s="37"/>
      <c r="Q24" s="37"/>
      <c r="R24" s="37">
        <v>377000</v>
      </c>
      <c r="S24" s="37"/>
      <c r="T24" s="37">
        <f t="shared" si="0"/>
        <v>804400</v>
      </c>
      <c r="U24" s="34"/>
    </row>
    <row r="25" spans="1:21">
      <c r="A25" s="35" t="s">
        <v>54</v>
      </c>
      <c r="B25" s="37">
        <v>190000</v>
      </c>
      <c r="C25" s="37">
        <v>109000</v>
      </c>
      <c r="D25" s="37">
        <v>106500</v>
      </c>
      <c r="E25" s="37">
        <v>17000</v>
      </c>
      <c r="F25" s="37">
        <v>106500</v>
      </c>
      <c r="G25" s="37">
        <v>12000</v>
      </c>
      <c r="H25" s="37">
        <v>76000</v>
      </c>
      <c r="I25" s="37">
        <v>33000</v>
      </c>
      <c r="J25" s="37">
        <v>0</v>
      </c>
      <c r="K25" s="37"/>
      <c r="L25" s="37"/>
      <c r="M25" s="37"/>
      <c r="N25" s="37"/>
      <c r="O25" s="37">
        <v>20000</v>
      </c>
      <c r="P25" s="37"/>
      <c r="Q25" s="37"/>
      <c r="R25" s="37">
        <v>-185000</v>
      </c>
      <c r="S25" s="37"/>
      <c r="T25" s="37">
        <f t="shared" si="0"/>
        <v>485000</v>
      </c>
      <c r="U25" s="34"/>
    </row>
    <row r="26" spans="1:21">
      <c r="A26" s="35" t="s">
        <v>55</v>
      </c>
      <c r="B26" s="37">
        <v>168000</v>
      </c>
      <c r="C26" s="37">
        <v>72000</v>
      </c>
      <c r="D26" s="37">
        <v>106500</v>
      </c>
      <c r="E26" s="37">
        <v>3500</v>
      </c>
      <c r="F26" s="37">
        <v>125000</v>
      </c>
      <c r="G26" s="37">
        <v>0</v>
      </c>
      <c r="H26" s="37">
        <v>78000</v>
      </c>
      <c r="I26" s="37">
        <v>15000</v>
      </c>
      <c r="J26" s="37">
        <v>0</v>
      </c>
      <c r="K26" s="37"/>
      <c r="L26" s="37"/>
      <c r="M26" s="37"/>
      <c r="N26" s="37"/>
      <c r="O26" s="37">
        <v>8000</v>
      </c>
      <c r="P26" s="37"/>
      <c r="Q26" s="37"/>
      <c r="R26" s="37">
        <v>-367000</v>
      </c>
      <c r="S26" s="37"/>
      <c r="T26" s="37">
        <f t="shared" si="0"/>
        <v>209000</v>
      </c>
      <c r="U26" s="42"/>
    </row>
    <row r="27" spans="1:21">
      <c r="A27" s="35" t="s">
        <v>56</v>
      </c>
      <c r="B27" s="37">
        <v>173500</v>
      </c>
      <c r="C27" s="37">
        <v>253000</v>
      </c>
      <c r="D27" s="37">
        <v>98000</v>
      </c>
      <c r="E27" s="37">
        <v>10000</v>
      </c>
      <c r="F27" s="37">
        <v>166500</v>
      </c>
      <c r="G27" s="37">
        <v>12000</v>
      </c>
      <c r="H27" s="37">
        <v>67000</v>
      </c>
      <c r="I27" s="37">
        <v>46000</v>
      </c>
      <c r="J27" s="37">
        <v>6000</v>
      </c>
      <c r="K27" s="37"/>
      <c r="L27" s="37"/>
      <c r="M27" s="37"/>
      <c r="N27" s="37"/>
      <c r="O27" s="37">
        <v>18000</v>
      </c>
      <c r="P27" s="37"/>
      <c r="Q27" s="37"/>
      <c r="R27" s="37">
        <v>197000</v>
      </c>
      <c r="S27" s="37"/>
      <c r="T27" s="37">
        <f t="shared" si="0"/>
        <v>1047000</v>
      </c>
      <c r="U27" s="34"/>
    </row>
    <row r="28" spans="1:21">
      <c r="A28" s="35" t="s">
        <v>57</v>
      </c>
      <c r="B28" s="37">
        <v>260000</v>
      </c>
      <c r="C28" s="37">
        <v>56000</v>
      </c>
      <c r="D28" s="37">
        <v>89000</v>
      </c>
      <c r="E28" s="37">
        <v>10000</v>
      </c>
      <c r="F28" s="37">
        <v>81000</v>
      </c>
      <c r="G28" s="37">
        <v>6000</v>
      </c>
      <c r="H28" s="37">
        <v>22000</v>
      </c>
      <c r="I28" s="37">
        <v>36000</v>
      </c>
      <c r="J28" s="37">
        <v>4000</v>
      </c>
      <c r="K28" s="37"/>
      <c r="L28" s="37"/>
      <c r="M28" s="37"/>
      <c r="N28" s="37"/>
      <c r="O28" s="31">
        <v>0</v>
      </c>
      <c r="P28" s="37"/>
      <c r="Q28" s="37"/>
      <c r="R28" s="37">
        <v>257000</v>
      </c>
      <c r="S28" s="37"/>
      <c r="T28" s="37">
        <f t="shared" si="0"/>
        <v>821000</v>
      </c>
      <c r="U28" s="34"/>
    </row>
    <row r="29" spans="1:21">
      <c r="A29" s="35" t="s">
        <v>58</v>
      </c>
      <c r="B29" s="37">
        <v>232000</v>
      </c>
      <c r="C29" s="37">
        <v>54000</v>
      </c>
      <c r="D29" s="37">
        <v>83000</v>
      </c>
      <c r="E29" s="37">
        <v>39000</v>
      </c>
      <c r="F29" s="37">
        <v>108800</v>
      </c>
      <c r="G29" s="37">
        <v>0</v>
      </c>
      <c r="H29" s="37">
        <v>37000</v>
      </c>
      <c r="I29" s="37">
        <v>35000</v>
      </c>
      <c r="J29" s="37">
        <v>5000</v>
      </c>
      <c r="K29" s="37"/>
      <c r="L29" s="37"/>
      <c r="M29" s="37"/>
      <c r="N29" s="37"/>
      <c r="O29" s="37">
        <v>0</v>
      </c>
      <c r="P29" s="37"/>
      <c r="Q29" s="37"/>
      <c r="R29" s="37">
        <v>0</v>
      </c>
      <c r="S29" s="37"/>
      <c r="T29" s="37">
        <f t="shared" si="0"/>
        <v>593800</v>
      </c>
      <c r="U29" s="34"/>
    </row>
    <row r="30" spans="1:21">
      <c r="A30" s="35" t="s">
        <v>59</v>
      </c>
      <c r="B30" s="37">
        <v>192500</v>
      </c>
      <c r="C30" s="37">
        <v>117000</v>
      </c>
      <c r="D30" s="37">
        <v>107000</v>
      </c>
      <c r="E30" s="37">
        <v>0</v>
      </c>
      <c r="F30" s="37">
        <v>141500</v>
      </c>
      <c r="G30" s="37">
        <v>0</v>
      </c>
      <c r="H30" s="37">
        <v>44000</v>
      </c>
      <c r="I30" s="37">
        <v>47000</v>
      </c>
      <c r="J30" s="37">
        <v>25000</v>
      </c>
      <c r="K30" s="37"/>
      <c r="L30" s="37"/>
      <c r="M30" s="37"/>
      <c r="N30" s="37"/>
      <c r="O30" s="37">
        <v>0</v>
      </c>
      <c r="P30" s="37"/>
      <c r="Q30" s="37"/>
      <c r="R30" s="37">
        <v>-112000</v>
      </c>
      <c r="S30" s="37"/>
      <c r="T30" s="37">
        <f t="shared" si="0"/>
        <v>562000</v>
      </c>
      <c r="U30" s="34"/>
    </row>
    <row r="31" spans="1:21">
      <c r="A31" s="35" t="s">
        <v>60</v>
      </c>
      <c r="B31" s="37">
        <v>252000</v>
      </c>
      <c r="C31" s="37">
        <v>37000</v>
      </c>
      <c r="D31" s="37">
        <v>65000</v>
      </c>
      <c r="E31" s="37">
        <v>20000</v>
      </c>
      <c r="F31" s="37">
        <v>75000</v>
      </c>
      <c r="G31" s="37">
        <v>0</v>
      </c>
      <c r="H31" s="37">
        <v>89000</v>
      </c>
      <c r="I31" s="37">
        <v>50000</v>
      </c>
      <c r="J31" s="37">
        <v>6000</v>
      </c>
      <c r="K31" s="37"/>
      <c r="L31" s="37"/>
      <c r="M31" s="37"/>
      <c r="N31" s="37"/>
      <c r="O31" s="37">
        <v>6000</v>
      </c>
      <c r="P31" s="37"/>
      <c r="Q31" s="37"/>
      <c r="R31" s="37">
        <v>30000</v>
      </c>
      <c r="S31" s="37"/>
      <c r="T31" s="37">
        <f t="shared" si="0"/>
        <v>630000</v>
      </c>
      <c r="U31" s="34"/>
    </row>
    <row r="32" spans="1:21">
      <c r="A32" s="35" t="s">
        <v>61</v>
      </c>
      <c r="B32" s="31">
        <v>221000</v>
      </c>
      <c r="C32" s="31">
        <v>44000</v>
      </c>
      <c r="D32" s="31">
        <v>51000</v>
      </c>
      <c r="E32" s="31">
        <v>11000</v>
      </c>
      <c r="F32" s="31">
        <v>91000</v>
      </c>
      <c r="G32" s="31">
        <v>12000</v>
      </c>
      <c r="H32" s="31">
        <v>146000</v>
      </c>
      <c r="I32" s="31">
        <v>68000</v>
      </c>
      <c r="J32" s="31">
        <v>11000</v>
      </c>
      <c r="K32" s="31"/>
      <c r="L32" s="31"/>
      <c r="M32" s="31"/>
      <c r="N32" s="31"/>
      <c r="O32" s="31">
        <v>0</v>
      </c>
      <c r="P32" s="31"/>
      <c r="Q32" s="31"/>
      <c r="R32" s="31">
        <v>664000</v>
      </c>
      <c r="S32" s="31"/>
      <c r="T32" s="37">
        <f t="shared" si="0"/>
        <v>1319000</v>
      </c>
      <c r="U32" s="39"/>
    </row>
    <row r="33" spans="1:21">
      <c r="A33" s="35" t="s">
        <v>62</v>
      </c>
      <c r="B33" s="31">
        <v>280000</v>
      </c>
      <c r="C33" s="31">
        <v>213000</v>
      </c>
      <c r="D33" s="31">
        <v>94000</v>
      </c>
      <c r="E33" s="31">
        <v>20500</v>
      </c>
      <c r="F33" s="31">
        <v>123300</v>
      </c>
      <c r="G33" s="31">
        <v>0</v>
      </c>
      <c r="H33" s="31">
        <v>122000</v>
      </c>
      <c r="I33" s="31">
        <v>73000</v>
      </c>
      <c r="J33" s="31">
        <v>4000</v>
      </c>
      <c r="K33" s="31"/>
      <c r="L33" s="31"/>
      <c r="M33" s="31"/>
      <c r="N33" s="31"/>
      <c r="O33" s="31">
        <v>0</v>
      </c>
      <c r="P33" s="31"/>
      <c r="Q33" s="31"/>
      <c r="R33" s="31">
        <v>128000</v>
      </c>
      <c r="S33" s="31"/>
      <c r="T33" s="37">
        <f t="shared" si="0"/>
        <v>1057800</v>
      </c>
      <c r="U33" s="39">
        <v>1000000</v>
      </c>
    </row>
    <row r="34" spans="1:21">
      <c r="A34" s="35" t="s">
        <v>63</v>
      </c>
      <c r="B34" s="31">
        <v>247000</v>
      </c>
      <c r="C34" s="31">
        <v>256000</v>
      </c>
      <c r="D34" s="31">
        <v>103000</v>
      </c>
      <c r="E34" s="31">
        <v>10000</v>
      </c>
      <c r="F34" s="31">
        <v>151000</v>
      </c>
      <c r="G34" s="31">
        <v>0</v>
      </c>
      <c r="H34" s="31">
        <v>79000</v>
      </c>
      <c r="I34" s="31">
        <v>49000</v>
      </c>
      <c r="J34" s="31">
        <v>8000</v>
      </c>
      <c r="K34" s="31"/>
      <c r="L34" s="31"/>
      <c r="M34" s="31"/>
      <c r="N34" s="31"/>
      <c r="O34" s="31">
        <v>5000</v>
      </c>
      <c r="P34" s="31"/>
      <c r="Q34" s="31"/>
      <c r="R34" s="31">
        <v>39000</v>
      </c>
      <c r="S34" s="31"/>
      <c r="T34" s="37">
        <f t="shared" si="0"/>
        <v>947000</v>
      </c>
      <c r="U34" s="39"/>
    </row>
    <row r="35" spans="1:21">
      <c r="A35" s="35" t="s">
        <v>64</v>
      </c>
      <c r="B35" s="31">
        <v>234000</v>
      </c>
      <c r="C35" s="31">
        <v>54000</v>
      </c>
      <c r="D35" s="31">
        <v>63000</v>
      </c>
      <c r="E35" s="31">
        <v>15000</v>
      </c>
      <c r="F35" s="31">
        <v>82500</v>
      </c>
      <c r="G35" s="31">
        <v>12000</v>
      </c>
      <c r="H35" s="31">
        <v>45000</v>
      </c>
      <c r="I35" s="31">
        <v>60500</v>
      </c>
      <c r="J35" s="31">
        <v>1000</v>
      </c>
      <c r="K35" s="31"/>
      <c r="L35" s="31"/>
      <c r="M35" s="31"/>
      <c r="N35" s="31"/>
      <c r="O35" s="46">
        <v>6000</v>
      </c>
      <c r="P35" s="31"/>
      <c r="Q35" s="31"/>
      <c r="R35" s="31">
        <v>0</v>
      </c>
      <c r="S35" s="31"/>
      <c r="T35" s="31">
        <f t="shared" si="0"/>
        <v>573000</v>
      </c>
      <c r="U35" s="39"/>
    </row>
    <row r="36" spans="1:21">
      <c r="A36" s="35" t="s">
        <v>83</v>
      </c>
      <c r="B36" s="31">
        <v>236500</v>
      </c>
      <c r="C36" s="31">
        <v>190000</v>
      </c>
      <c r="D36" s="31">
        <v>212000</v>
      </c>
      <c r="E36" s="31">
        <v>10000</v>
      </c>
      <c r="F36" s="31">
        <v>186700</v>
      </c>
      <c r="G36" s="31">
        <v>24000</v>
      </c>
      <c r="H36" s="31">
        <v>213000</v>
      </c>
      <c r="I36" s="31">
        <v>73000</v>
      </c>
      <c r="J36" s="31">
        <v>21000</v>
      </c>
      <c r="K36" s="31"/>
      <c r="L36" s="31"/>
      <c r="M36" s="31"/>
      <c r="N36" s="31"/>
      <c r="O36" s="31">
        <v>0</v>
      </c>
      <c r="P36" s="31"/>
      <c r="Q36" s="31"/>
      <c r="R36" s="31">
        <v>101000</v>
      </c>
      <c r="S36" s="31"/>
      <c r="T36" s="31">
        <f t="shared" si="0"/>
        <v>1267200</v>
      </c>
      <c r="U36" s="43">
        <v>700000</v>
      </c>
    </row>
    <row r="37" spans="1:21">
      <c r="A37" s="35" t="s">
        <v>84</v>
      </c>
      <c r="B37" s="31"/>
      <c r="C37" s="31"/>
      <c r="D37" s="31"/>
      <c r="E37" s="31"/>
      <c r="F37" s="31"/>
      <c r="G37" s="31"/>
      <c r="H37" s="31"/>
      <c r="I37" s="31"/>
      <c r="J37" s="31"/>
      <c r="K37" s="31"/>
      <c r="L37" s="31"/>
      <c r="M37" s="31"/>
      <c r="N37" s="31"/>
      <c r="O37" s="31"/>
      <c r="P37" s="31"/>
      <c r="Q37" s="31"/>
      <c r="R37" s="31"/>
      <c r="S37" s="31"/>
      <c r="T37" s="31">
        <f>SUM(B37:S37)</f>
        <v>0</v>
      </c>
      <c r="U37" s="39"/>
    </row>
    <row r="38" spans="1:21">
      <c r="A38" s="40" t="s">
        <v>23</v>
      </c>
      <c r="B38" s="41">
        <f t="shared" ref="B38:J38" si="1">SUM(B7:B37)</f>
        <v>6529500</v>
      </c>
      <c r="C38" s="41">
        <f t="shared" si="1"/>
        <v>3316000</v>
      </c>
      <c r="D38" s="41">
        <f t="shared" si="1"/>
        <v>3235000</v>
      </c>
      <c r="E38" s="41">
        <f t="shared" si="1"/>
        <v>401500</v>
      </c>
      <c r="F38" s="41">
        <f t="shared" si="1"/>
        <v>3407200</v>
      </c>
      <c r="G38" s="41">
        <f t="shared" si="1"/>
        <v>186000</v>
      </c>
      <c r="H38" s="41">
        <f t="shared" si="1"/>
        <v>2387000</v>
      </c>
      <c r="I38" s="41">
        <f t="shared" si="1"/>
        <v>1358000</v>
      </c>
      <c r="J38" s="41">
        <f t="shared" si="1"/>
        <v>211000</v>
      </c>
      <c r="K38" s="31"/>
      <c r="L38" s="31"/>
      <c r="M38" s="31"/>
      <c r="N38" s="31"/>
      <c r="O38" s="31">
        <f>SUM(O7:O37)</f>
        <v>117000</v>
      </c>
      <c r="P38" s="31"/>
      <c r="Q38" s="31"/>
      <c r="R38" s="31">
        <f>SUM(R9:R37)</f>
        <v>4662500</v>
      </c>
      <c r="S38" s="31"/>
      <c r="T38" s="31">
        <f>SUM(B38:S38)</f>
        <v>25810700</v>
      </c>
      <c r="U38" s="45"/>
    </row>
    <row r="39" spans="1:21">
      <c r="A39" s="34"/>
      <c r="B39" s="34"/>
      <c r="C39" s="34"/>
      <c r="D39" s="34"/>
      <c r="E39" s="34"/>
      <c r="F39" s="34"/>
      <c r="G39" s="34"/>
      <c r="H39" s="34"/>
      <c r="I39" s="34"/>
      <c r="J39" s="34"/>
      <c r="K39" s="34"/>
      <c r="L39" s="34"/>
      <c r="M39" s="34"/>
      <c r="N39" s="34"/>
      <c r="O39" s="34"/>
      <c r="P39" s="34"/>
      <c r="Q39" s="34"/>
      <c r="R39" s="34"/>
      <c r="S39" s="34"/>
      <c r="T39" s="34"/>
      <c r="U39" s="34"/>
    </row>
  </sheetData>
  <mergeCells count="4">
    <mergeCell ref="B2:T2"/>
    <mergeCell ref="B3:T3"/>
    <mergeCell ref="C4:F4"/>
    <mergeCell ref="C5:F5"/>
  </mergeCells>
  <pageMargins left="0.7" right="0.7" top="0.75" bottom="0.75" header="0.3" footer="0.3"/>
  <pageSetup scale="80" orientation="landscape" horizontalDpi="0" verticalDpi="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29"/>
  <sheetViews>
    <sheetView workbookViewId="0">
      <selection activeCell="A2" sqref="A2:G29"/>
    </sheetView>
  </sheetViews>
  <sheetFormatPr defaultRowHeight="15"/>
  <cols>
    <col min="1" max="1" width="16.28515625" customWidth="1"/>
    <col min="2" max="2" width="11.5703125" customWidth="1"/>
    <col min="3" max="3" width="14" customWidth="1"/>
    <col min="4" max="5" width="13.28515625" customWidth="1"/>
    <col min="6" max="6" width="11.85546875" customWidth="1"/>
    <col min="7" max="7" width="12.7109375" customWidth="1"/>
  </cols>
  <sheetData>
    <row r="1" spans="1:7" ht="16.5" thickBot="1">
      <c r="A1" s="9"/>
      <c r="B1" s="10"/>
      <c r="C1" s="10"/>
      <c r="D1" s="10"/>
      <c r="E1" s="10"/>
      <c r="F1" s="10"/>
      <c r="G1" s="8"/>
    </row>
    <row r="2" spans="1:7" ht="16.5" thickBot="1">
      <c r="A2" s="6" t="s">
        <v>24</v>
      </c>
      <c r="B2" s="70" t="s">
        <v>94</v>
      </c>
      <c r="C2" s="71"/>
      <c r="D2" s="72"/>
      <c r="E2" s="11"/>
      <c r="F2" s="11"/>
      <c r="G2" s="12"/>
    </row>
    <row r="3" spans="1:7" ht="15.75">
      <c r="A3" s="13" t="s">
        <v>25</v>
      </c>
      <c r="B3" s="14" t="s">
        <v>26</v>
      </c>
      <c r="C3" s="14" t="s">
        <v>27</v>
      </c>
      <c r="D3" s="14" t="s">
        <v>28</v>
      </c>
      <c r="E3" s="14" t="s">
        <v>29</v>
      </c>
      <c r="F3" s="15" t="s">
        <v>30</v>
      </c>
      <c r="G3" s="16" t="s">
        <v>31</v>
      </c>
    </row>
    <row r="4" spans="1:7" ht="15.75">
      <c r="A4" s="17" t="s">
        <v>4</v>
      </c>
      <c r="B4" s="18">
        <v>1436000</v>
      </c>
      <c r="C4" s="18">
        <v>1846000</v>
      </c>
      <c r="D4" s="18">
        <v>1352500</v>
      </c>
      <c r="E4" s="18">
        <v>1895000</v>
      </c>
      <c r="F4" s="19"/>
      <c r="G4" s="20">
        <f t="shared" ref="G4:G12" si="0">SUM(B4:F4)</f>
        <v>6529500</v>
      </c>
    </row>
    <row r="5" spans="1:7" ht="15.75">
      <c r="A5" s="17" t="s">
        <v>5</v>
      </c>
      <c r="B5" s="18">
        <v>1020000</v>
      </c>
      <c r="C5" s="18">
        <v>652000</v>
      </c>
      <c r="D5" s="18">
        <v>679000</v>
      </c>
      <c r="E5" s="18">
        <v>965000</v>
      </c>
      <c r="F5" s="19"/>
      <c r="G5" s="20">
        <f>SUM(B5:F5)</f>
        <v>3316000</v>
      </c>
    </row>
    <row r="6" spans="1:7" ht="15.75">
      <c r="A6" s="17" t="s">
        <v>32</v>
      </c>
      <c r="B6" s="18">
        <v>899000</v>
      </c>
      <c r="C6" s="18">
        <v>789000</v>
      </c>
      <c r="D6" s="18">
        <v>768500</v>
      </c>
      <c r="E6" s="18">
        <v>778000</v>
      </c>
      <c r="F6" s="19"/>
      <c r="G6" s="20">
        <f t="shared" si="0"/>
        <v>3234500</v>
      </c>
    </row>
    <row r="7" spans="1:7" ht="15.75">
      <c r="A7" s="17" t="s">
        <v>33</v>
      </c>
      <c r="B7" s="18">
        <v>114500</v>
      </c>
      <c r="C7" s="18">
        <v>98500</v>
      </c>
      <c r="D7" s="18">
        <v>63000</v>
      </c>
      <c r="E7" s="18">
        <v>125500</v>
      </c>
      <c r="F7" s="19"/>
      <c r="G7" s="20">
        <f t="shared" si="0"/>
        <v>401500</v>
      </c>
    </row>
    <row r="8" spans="1:7" ht="15.75">
      <c r="A8" s="17" t="s">
        <v>8</v>
      </c>
      <c r="B8" s="18">
        <v>875500</v>
      </c>
      <c r="C8" s="18">
        <v>678600</v>
      </c>
      <c r="D8" s="18">
        <v>893800</v>
      </c>
      <c r="E8" s="18">
        <v>959300</v>
      </c>
      <c r="F8" s="19"/>
      <c r="G8" s="20">
        <f t="shared" si="0"/>
        <v>3407200</v>
      </c>
    </row>
    <row r="9" spans="1:7" ht="15.75">
      <c r="A9" s="17" t="s">
        <v>9</v>
      </c>
      <c r="B9" s="18">
        <v>60000</v>
      </c>
      <c r="C9" s="18">
        <v>48000</v>
      </c>
      <c r="D9" s="18">
        <v>30000</v>
      </c>
      <c r="E9" s="18">
        <v>48000</v>
      </c>
      <c r="F9" s="19"/>
      <c r="G9" s="20">
        <f t="shared" si="0"/>
        <v>186000</v>
      </c>
    </row>
    <row r="10" spans="1:7" ht="15.75">
      <c r="A10" s="17" t="s">
        <v>10</v>
      </c>
      <c r="B10" s="18">
        <v>610000</v>
      </c>
      <c r="C10" s="18">
        <v>468000</v>
      </c>
      <c r="D10" s="18">
        <v>534000</v>
      </c>
      <c r="E10" s="18">
        <v>775000</v>
      </c>
      <c r="F10" s="19"/>
      <c r="G10" s="20">
        <f t="shared" si="0"/>
        <v>2387000</v>
      </c>
    </row>
    <row r="11" spans="1:7" ht="15.75">
      <c r="A11" s="17" t="s">
        <v>11</v>
      </c>
      <c r="B11" s="18">
        <v>390000</v>
      </c>
      <c r="C11" s="18">
        <v>275000</v>
      </c>
      <c r="D11" s="18">
        <v>237500</v>
      </c>
      <c r="E11" s="18">
        <v>455500</v>
      </c>
      <c r="F11" s="19"/>
      <c r="G11" s="20">
        <f t="shared" si="0"/>
        <v>1358000</v>
      </c>
    </row>
    <row r="12" spans="1:7" ht="15.75">
      <c r="A12" s="17" t="s">
        <v>12</v>
      </c>
      <c r="B12" s="18">
        <v>69000</v>
      </c>
      <c r="C12" s="18">
        <v>34000</v>
      </c>
      <c r="D12" s="18">
        <v>27000</v>
      </c>
      <c r="E12" s="18">
        <v>81000</v>
      </c>
      <c r="F12" s="19"/>
      <c r="G12" s="20">
        <f t="shared" si="0"/>
        <v>211000</v>
      </c>
    </row>
    <row r="13" spans="1:7" ht="15.75">
      <c r="A13" s="17" t="s">
        <v>13</v>
      </c>
      <c r="B13" s="18"/>
      <c r="C13" s="18"/>
      <c r="D13" s="18"/>
      <c r="E13" s="18"/>
      <c r="F13" s="19"/>
      <c r="G13" s="20">
        <f t="shared" ref="G13:G20" si="1">SUM(B13:E13)</f>
        <v>0</v>
      </c>
    </row>
    <row r="14" spans="1:7" ht="15.75">
      <c r="A14" s="17" t="s">
        <v>14</v>
      </c>
      <c r="B14" s="18"/>
      <c r="C14" s="18"/>
      <c r="D14" s="18"/>
      <c r="E14" s="18"/>
      <c r="F14" s="19"/>
      <c r="G14" s="20">
        <f t="shared" si="1"/>
        <v>0</v>
      </c>
    </row>
    <row r="15" spans="1:7" ht="15.75">
      <c r="A15" s="17" t="s">
        <v>15</v>
      </c>
      <c r="B15" s="18"/>
      <c r="C15" s="18"/>
      <c r="D15" s="18"/>
      <c r="E15" s="18"/>
      <c r="F15" s="19"/>
      <c r="G15" s="20">
        <f t="shared" si="1"/>
        <v>0</v>
      </c>
    </row>
    <row r="16" spans="1:7" ht="15.75">
      <c r="A16" s="17" t="s">
        <v>16</v>
      </c>
      <c r="B16" s="18"/>
      <c r="C16" s="18"/>
      <c r="D16" s="18"/>
      <c r="E16" s="18"/>
      <c r="F16" s="19"/>
      <c r="G16" s="20">
        <f t="shared" si="1"/>
        <v>0</v>
      </c>
    </row>
    <row r="17" spans="1:7" ht="15.75">
      <c r="A17" s="17" t="s">
        <v>17</v>
      </c>
      <c r="B17" s="18">
        <v>37000</v>
      </c>
      <c r="C17" s="18">
        <v>12000</v>
      </c>
      <c r="D17" s="18">
        <v>51000</v>
      </c>
      <c r="E17" s="18">
        <v>17000</v>
      </c>
      <c r="F17" s="19"/>
      <c r="G17" s="20">
        <f>SUM(B17:F17)</f>
        <v>117000</v>
      </c>
    </row>
    <row r="18" spans="1:7" ht="15.75">
      <c r="A18" s="17" t="s">
        <v>18</v>
      </c>
      <c r="B18" s="18"/>
      <c r="C18" s="18"/>
      <c r="D18" s="18"/>
      <c r="E18" s="18"/>
      <c r="F18" s="19"/>
      <c r="G18" s="20">
        <f t="shared" si="1"/>
        <v>0</v>
      </c>
    </row>
    <row r="19" spans="1:7" ht="15.75">
      <c r="A19" s="17" t="s">
        <v>19</v>
      </c>
      <c r="B19" s="18"/>
      <c r="C19" s="18"/>
      <c r="D19" s="18"/>
      <c r="E19" s="18"/>
      <c r="F19" s="19"/>
      <c r="G19" s="20">
        <f t="shared" si="1"/>
        <v>0</v>
      </c>
    </row>
    <row r="20" spans="1:7" ht="15.75">
      <c r="A20" s="17" t="s">
        <v>34</v>
      </c>
      <c r="B20" s="18"/>
      <c r="C20" s="18"/>
      <c r="D20" s="18"/>
      <c r="E20" s="18"/>
      <c r="F20" s="19"/>
      <c r="G20" s="20">
        <f t="shared" si="1"/>
        <v>0</v>
      </c>
    </row>
    <row r="21" spans="1:7" ht="16.5" thickBot="1">
      <c r="A21" s="21" t="s">
        <v>35</v>
      </c>
      <c r="B21" s="22">
        <f t="shared" ref="B21:G21" si="2">SUM(B4:B20)</f>
        <v>5511000</v>
      </c>
      <c r="C21" s="22">
        <f t="shared" si="2"/>
        <v>4901100</v>
      </c>
      <c r="D21" s="22">
        <f t="shared" si="2"/>
        <v>4636300</v>
      </c>
      <c r="E21" s="22">
        <f t="shared" si="2"/>
        <v>6099300</v>
      </c>
      <c r="F21" s="22">
        <f t="shared" si="2"/>
        <v>0</v>
      </c>
      <c r="G21" s="23">
        <f t="shared" si="2"/>
        <v>21147700</v>
      </c>
    </row>
    <row r="23" spans="1:7" ht="15.75" thickBot="1"/>
    <row r="24" spans="1:7" ht="21.75" thickBot="1">
      <c r="A24" s="73" t="s">
        <v>36</v>
      </c>
      <c r="B24" s="74"/>
      <c r="C24" s="74"/>
      <c r="D24" s="74"/>
      <c r="E24" s="74"/>
      <c r="F24" s="74"/>
      <c r="G24" s="75"/>
    </row>
    <row r="25" spans="1:7" ht="15.75" thickBot="1">
      <c r="A25" s="77"/>
      <c r="B25" s="68"/>
      <c r="C25" s="68"/>
      <c r="D25" s="68"/>
      <c r="E25" s="68"/>
      <c r="F25" s="68"/>
      <c r="G25" s="69"/>
    </row>
    <row r="26" spans="1:7" ht="15.75" thickBot="1">
      <c r="A26" s="24"/>
      <c r="B26" s="25"/>
      <c r="C26" s="25"/>
      <c r="D26" s="25"/>
      <c r="E26" s="25"/>
      <c r="F26" s="25"/>
      <c r="G26" s="26"/>
    </row>
    <row r="27" spans="1:7" ht="15.75" thickBot="1">
      <c r="A27" s="67" t="s">
        <v>95</v>
      </c>
      <c r="B27" s="68"/>
      <c r="C27" s="68"/>
      <c r="D27" s="68"/>
      <c r="E27" s="68"/>
      <c r="F27" s="68"/>
      <c r="G27" s="69"/>
    </row>
    <row r="28" spans="1:7" ht="15.75" thickBot="1">
      <c r="A28" s="77"/>
      <c r="B28" s="68"/>
      <c r="C28" s="68"/>
      <c r="D28" s="68"/>
      <c r="E28" s="68"/>
      <c r="F28" s="68"/>
      <c r="G28" s="69"/>
    </row>
    <row r="29" spans="1:7" ht="15.75" thickBot="1">
      <c r="A29" s="67"/>
      <c r="B29" s="68"/>
      <c r="C29" s="68"/>
      <c r="D29" s="68"/>
      <c r="E29" s="68"/>
      <c r="F29" s="68"/>
      <c r="G29" s="69"/>
    </row>
  </sheetData>
  <mergeCells count="6">
    <mergeCell ref="A29:G29"/>
    <mergeCell ref="B2:D2"/>
    <mergeCell ref="A24:G24"/>
    <mergeCell ref="A25:G25"/>
    <mergeCell ref="A27:G27"/>
    <mergeCell ref="A28:G28"/>
  </mergeCells>
  <pageMargins left="0.7" right="0.7" top="0.75" bottom="0.75" header="0.3" footer="0.3"/>
  <pageSetup orientation="landscape" horizontalDpi="0" verticalDpi="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37"/>
  <sheetViews>
    <sheetView topLeftCell="A31" workbookViewId="0">
      <selection activeCell="I33" sqref="I33"/>
    </sheetView>
  </sheetViews>
  <sheetFormatPr defaultRowHeight="15"/>
  <cols>
    <col min="2" max="2" width="10.140625" customWidth="1"/>
    <col min="3" max="3" width="10.5703125" customWidth="1"/>
    <col min="4" max="4" width="11.140625" customWidth="1"/>
    <col min="5" max="5" width="11.85546875" customWidth="1"/>
    <col min="6" max="6" width="11.140625" customWidth="1"/>
    <col min="7" max="7" width="11" customWidth="1"/>
    <col min="8" max="8" width="10.85546875" customWidth="1"/>
    <col min="9" max="9" width="10.42578125" customWidth="1"/>
    <col min="20" max="20" width="10.5703125" customWidth="1"/>
  </cols>
  <sheetData>
    <row r="1" spans="1:21" ht="26.25">
      <c r="A1" s="28"/>
      <c r="B1" s="55" t="s">
        <v>68</v>
      </c>
      <c r="C1" s="56"/>
      <c r="D1" s="56"/>
      <c r="E1" s="56"/>
      <c r="F1" s="56"/>
      <c r="G1" s="56"/>
      <c r="H1" s="56"/>
      <c r="I1" s="56"/>
      <c r="J1" s="56"/>
      <c r="K1" s="56"/>
      <c r="L1" s="56"/>
      <c r="M1" s="56"/>
      <c r="N1" s="56"/>
      <c r="O1" s="56"/>
      <c r="P1" s="56"/>
      <c r="Q1" s="56"/>
      <c r="R1" s="56"/>
      <c r="S1" s="56"/>
      <c r="T1" s="57"/>
    </row>
    <row r="2" spans="1:21" ht="27" thickBot="1">
      <c r="A2" s="4"/>
      <c r="B2" s="58" t="s">
        <v>0</v>
      </c>
      <c r="C2" s="59"/>
      <c r="D2" s="59"/>
      <c r="E2" s="59"/>
      <c r="F2" s="59"/>
      <c r="G2" s="59"/>
      <c r="H2" s="59"/>
      <c r="I2" s="59"/>
      <c r="J2" s="59"/>
      <c r="K2" s="59"/>
      <c r="L2" s="59"/>
      <c r="M2" s="59"/>
      <c r="N2" s="59"/>
      <c r="O2" s="59"/>
      <c r="P2" s="59"/>
      <c r="Q2" s="59"/>
      <c r="R2" s="59"/>
      <c r="S2" s="59"/>
      <c r="T2" s="60"/>
    </row>
    <row r="3" spans="1:21" ht="27" thickBot="1">
      <c r="A3" s="4"/>
      <c r="B3" s="29" t="s">
        <v>1</v>
      </c>
      <c r="C3" s="61" t="s">
        <v>69</v>
      </c>
      <c r="D3" s="62"/>
      <c r="E3" s="62"/>
      <c r="F3" s="63"/>
    </row>
    <row r="4" spans="1:21" ht="21">
      <c r="A4" s="4"/>
      <c r="B4" s="30" t="s">
        <v>2</v>
      </c>
      <c r="C4" s="78">
        <v>45566</v>
      </c>
      <c r="D4" s="79"/>
      <c r="E4" s="79"/>
      <c r="F4" s="80"/>
    </row>
    <row r="5" spans="1:21" ht="67.5">
      <c r="A5" s="32" t="s">
        <v>3</v>
      </c>
      <c r="B5" s="33" t="s">
        <v>4</v>
      </c>
      <c r="C5" s="33" t="s">
        <v>5</v>
      </c>
      <c r="D5" s="33" t="s">
        <v>6</v>
      </c>
      <c r="E5" s="33" t="s">
        <v>7</v>
      </c>
      <c r="F5" s="33" t="s">
        <v>8</v>
      </c>
      <c r="G5" s="33" t="s">
        <v>9</v>
      </c>
      <c r="H5" s="33" t="s">
        <v>10</v>
      </c>
      <c r="I5" s="33" t="s">
        <v>11</v>
      </c>
      <c r="J5" s="33" t="s">
        <v>12</v>
      </c>
      <c r="K5" s="33" t="s">
        <v>13</v>
      </c>
      <c r="L5" s="33" t="s">
        <v>14</v>
      </c>
      <c r="M5" s="33" t="s">
        <v>15</v>
      </c>
      <c r="N5" s="33" t="s">
        <v>16</v>
      </c>
      <c r="O5" s="33" t="s">
        <v>17</v>
      </c>
      <c r="P5" s="33" t="s">
        <v>18</v>
      </c>
      <c r="Q5" s="33" t="s">
        <v>19</v>
      </c>
      <c r="R5" s="33" t="s">
        <v>20</v>
      </c>
      <c r="S5" s="33" t="s">
        <v>21</v>
      </c>
      <c r="T5" s="33" t="s">
        <v>22</v>
      </c>
      <c r="U5" s="34" t="s">
        <v>87</v>
      </c>
    </row>
    <row r="6" spans="1:21" ht="16.5" customHeight="1">
      <c r="A6" s="35" t="s">
        <v>67</v>
      </c>
      <c r="B6" s="36">
        <v>160000</v>
      </c>
      <c r="C6" s="36">
        <v>72000</v>
      </c>
      <c r="D6" s="36">
        <v>108500</v>
      </c>
      <c r="E6" s="36">
        <v>3000</v>
      </c>
      <c r="F6" s="36">
        <v>137000</v>
      </c>
      <c r="G6" s="36">
        <v>36000</v>
      </c>
      <c r="H6" s="36">
        <v>60000</v>
      </c>
      <c r="I6" s="36">
        <v>36000</v>
      </c>
      <c r="J6" s="36">
        <v>0</v>
      </c>
      <c r="K6" s="36"/>
      <c r="L6" s="36"/>
      <c r="M6" s="36"/>
      <c r="N6" s="36"/>
      <c r="O6" s="36">
        <v>0</v>
      </c>
      <c r="P6" s="36"/>
      <c r="Q6" s="36">
        <v>0</v>
      </c>
      <c r="R6" s="36">
        <v>0</v>
      </c>
      <c r="S6" s="37"/>
      <c r="T6" s="37">
        <f t="shared" ref="T6:T35" si="0">SUM(B6:S6)</f>
        <v>612500</v>
      </c>
      <c r="U6" s="45"/>
    </row>
    <row r="7" spans="1:21">
      <c r="A7" s="35" t="s">
        <v>37</v>
      </c>
      <c r="B7" s="36">
        <v>181000</v>
      </c>
      <c r="C7" s="36">
        <v>70000</v>
      </c>
      <c r="D7" s="36">
        <v>124000</v>
      </c>
      <c r="E7" s="36">
        <v>10000</v>
      </c>
      <c r="F7" s="36">
        <v>102000</v>
      </c>
      <c r="G7" s="36">
        <v>12000</v>
      </c>
      <c r="H7" s="36">
        <v>53000</v>
      </c>
      <c r="I7" s="36">
        <v>52000</v>
      </c>
      <c r="J7" s="36">
        <v>7000</v>
      </c>
      <c r="K7" s="36"/>
      <c r="L7" s="36"/>
      <c r="M7" s="36"/>
      <c r="N7" s="36"/>
      <c r="O7" s="36">
        <v>0</v>
      </c>
      <c r="P7" s="36"/>
      <c r="Q7" s="36">
        <v>0</v>
      </c>
      <c r="R7" s="36">
        <v>35000</v>
      </c>
      <c r="S7" s="37"/>
      <c r="T7" s="37">
        <f t="shared" si="0"/>
        <v>646000</v>
      </c>
      <c r="U7" s="45"/>
    </row>
    <row r="8" spans="1:21">
      <c r="A8" s="35" t="s">
        <v>38</v>
      </c>
      <c r="B8" s="36">
        <v>118500</v>
      </c>
      <c r="C8" s="36">
        <v>10000</v>
      </c>
      <c r="D8" s="36">
        <v>63500</v>
      </c>
      <c r="E8" s="36">
        <v>16000</v>
      </c>
      <c r="F8" s="36">
        <v>67000</v>
      </c>
      <c r="G8" s="36">
        <v>0</v>
      </c>
      <c r="H8" s="36">
        <v>30500</v>
      </c>
      <c r="I8" s="36">
        <v>33000</v>
      </c>
      <c r="J8" s="36">
        <v>3000</v>
      </c>
      <c r="K8" s="36"/>
      <c r="L8" s="36"/>
      <c r="M8" s="36"/>
      <c r="N8" s="36"/>
      <c r="O8" s="36">
        <v>0</v>
      </c>
      <c r="P8" s="36"/>
      <c r="Q8" s="36">
        <v>0</v>
      </c>
      <c r="R8" s="36">
        <v>14000</v>
      </c>
      <c r="S8" s="37"/>
      <c r="T8" s="37">
        <f t="shared" si="0"/>
        <v>355500</v>
      </c>
      <c r="U8" s="45">
        <v>500000</v>
      </c>
    </row>
    <row r="9" spans="1:21">
      <c r="A9" s="35" t="s">
        <v>39</v>
      </c>
      <c r="B9" s="36">
        <v>174500</v>
      </c>
      <c r="C9" s="36">
        <v>195000</v>
      </c>
      <c r="D9" s="36">
        <v>113500</v>
      </c>
      <c r="E9" s="36">
        <v>15000</v>
      </c>
      <c r="F9" s="36">
        <v>104800</v>
      </c>
      <c r="G9" s="36">
        <v>0</v>
      </c>
      <c r="H9" s="36">
        <v>40000</v>
      </c>
      <c r="I9" s="36">
        <v>72500</v>
      </c>
      <c r="J9" s="36">
        <v>5000</v>
      </c>
      <c r="K9" s="36"/>
      <c r="L9" s="36"/>
      <c r="M9" s="36"/>
      <c r="N9" s="36"/>
      <c r="O9" s="36">
        <v>0</v>
      </c>
      <c r="Q9" s="36">
        <v>0</v>
      </c>
      <c r="R9" s="36">
        <v>0</v>
      </c>
      <c r="S9" s="37"/>
      <c r="T9" s="37">
        <f t="shared" si="0"/>
        <v>720300</v>
      </c>
      <c r="U9" s="42"/>
    </row>
    <row r="10" spans="1:21">
      <c r="A10" s="35" t="s">
        <v>40</v>
      </c>
      <c r="B10" s="37">
        <v>136000</v>
      </c>
      <c r="C10" s="37">
        <v>74000</v>
      </c>
      <c r="D10" s="37">
        <v>105000</v>
      </c>
      <c r="E10" s="37">
        <v>9000</v>
      </c>
      <c r="F10" s="37">
        <v>95000</v>
      </c>
      <c r="G10" s="37">
        <v>12000</v>
      </c>
      <c r="H10" s="37">
        <v>58000</v>
      </c>
      <c r="I10" s="37">
        <v>42500</v>
      </c>
      <c r="J10" s="37">
        <v>14000</v>
      </c>
      <c r="K10" s="37"/>
      <c r="L10" s="37"/>
      <c r="M10" s="37"/>
      <c r="N10" s="37"/>
      <c r="O10" s="37">
        <v>0</v>
      </c>
      <c r="P10" s="37"/>
      <c r="Q10" s="37">
        <v>0</v>
      </c>
      <c r="R10" s="37">
        <v>0</v>
      </c>
      <c r="S10" s="37"/>
      <c r="T10" s="37">
        <f t="shared" si="0"/>
        <v>545500</v>
      </c>
      <c r="U10" s="42"/>
    </row>
    <row r="11" spans="1:21">
      <c r="A11" s="35" t="s">
        <v>41</v>
      </c>
      <c r="B11" s="37">
        <v>188500</v>
      </c>
      <c r="C11" s="37">
        <v>121000</v>
      </c>
      <c r="D11" s="37">
        <v>44000</v>
      </c>
      <c r="E11" s="37">
        <v>12500</v>
      </c>
      <c r="F11" s="37">
        <v>63000</v>
      </c>
      <c r="G11" s="37">
        <v>0</v>
      </c>
      <c r="H11" s="37">
        <v>24000</v>
      </c>
      <c r="I11" s="37">
        <v>42000</v>
      </c>
      <c r="J11" s="37">
        <v>14000</v>
      </c>
      <c r="K11" s="37"/>
      <c r="L11" s="37"/>
      <c r="M11" s="37"/>
      <c r="N11" s="37"/>
      <c r="O11" s="37">
        <v>6000</v>
      </c>
      <c r="P11" s="37"/>
      <c r="Q11" s="37">
        <v>0</v>
      </c>
      <c r="R11" s="37">
        <v>28000</v>
      </c>
      <c r="S11" s="37"/>
      <c r="T11" s="37">
        <f t="shared" si="0"/>
        <v>543000</v>
      </c>
      <c r="U11" s="42"/>
    </row>
    <row r="12" spans="1:21">
      <c r="A12" s="35" t="s">
        <v>42</v>
      </c>
      <c r="B12" s="37">
        <v>174000</v>
      </c>
      <c r="C12" s="37">
        <v>15000</v>
      </c>
      <c r="D12" s="37">
        <v>102000</v>
      </c>
      <c r="E12" s="37">
        <v>0</v>
      </c>
      <c r="F12" s="37">
        <v>82000</v>
      </c>
      <c r="G12" s="37">
        <v>0</v>
      </c>
      <c r="H12" s="37">
        <v>38000</v>
      </c>
      <c r="I12" s="37">
        <v>13000</v>
      </c>
      <c r="J12" s="37">
        <v>0</v>
      </c>
      <c r="K12" s="37"/>
      <c r="L12" s="37"/>
      <c r="M12" s="37"/>
      <c r="N12" s="37"/>
      <c r="O12" s="37">
        <v>5000</v>
      </c>
      <c r="P12" s="37"/>
      <c r="Q12" s="37">
        <v>0</v>
      </c>
      <c r="R12" s="37">
        <v>0</v>
      </c>
      <c r="S12" s="37"/>
      <c r="T12" s="37">
        <f t="shared" si="0"/>
        <v>429000</v>
      </c>
      <c r="U12" s="42"/>
    </row>
    <row r="13" spans="1:21">
      <c r="A13" s="35" t="s">
        <v>43</v>
      </c>
      <c r="B13" s="37">
        <v>181500</v>
      </c>
      <c r="C13" s="37">
        <v>72000</v>
      </c>
      <c r="D13" s="37">
        <v>97000</v>
      </c>
      <c r="E13" s="37">
        <v>23500</v>
      </c>
      <c r="F13" s="37">
        <v>109000</v>
      </c>
      <c r="G13" s="37">
        <v>0</v>
      </c>
      <c r="H13" s="37">
        <v>86000</v>
      </c>
      <c r="I13" s="37">
        <v>38000</v>
      </c>
      <c r="J13" s="37">
        <v>0</v>
      </c>
      <c r="K13" s="37"/>
      <c r="L13" s="37"/>
      <c r="M13" s="37"/>
      <c r="N13" s="37"/>
      <c r="O13" s="37">
        <v>0</v>
      </c>
      <c r="P13" s="37"/>
      <c r="Q13" s="37">
        <v>30000</v>
      </c>
      <c r="R13" s="37">
        <v>52000</v>
      </c>
      <c r="S13" s="37"/>
      <c r="T13" s="37">
        <f t="shared" si="0"/>
        <v>689000</v>
      </c>
      <c r="U13" s="42"/>
    </row>
    <row r="14" spans="1:21">
      <c r="A14" s="35" t="s">
        <v>44</v>
      </c>
      <c r="B14" s="37">
        <v>141000</v>
      </c>
      <c r="C14" s="37">
        <v>13000</v>
      </c>
      <c r="D14" s="37">
        <v>45000</v>
      </c>
      <c r="E14" s="37">
        <v>9000</v>
      </c>
      <c r="F14" s="37">
        <v>30500</v>
      </c>
      <c r="G14" s="37">
        <v>0</v>
      </c>
      <c r="H14" s="37">
        <v>45500</v>
      </c>
      <c r="I14" s="37">
        <v>11000</v>
      </c>
      <c r="J14" s="37">
        <v>5000</v>
      </c>
      <c r="K14" s="37"/>
      <c r="L14" s="37"/>
      <c r="M14" s="37"/>
      <c r="N14" s="37"/>
      <c r="O14" s="37">
        <v>0</v>
      </c>
      <c r="P14" s="37"/>
      <c r="Q14" s="37">
        <v>0</v>
      </c>
      <c r="R14" s="37">
        <v>222000</v>
      </c>
      <c r="S14" s="37"/>
      <c r="T14" s="37">
        <f t="shared" si="0"/>
        <v>522000</v>
      </c>
      <c r="U14" s="34"/>
    </row>
    <row r="15" spans="1:21">
      <c r="A15" s="35" t="s">
        <v>45</v>
      </c>
      <c r="B15" s="37">
        <v>116000</v>
      </c>
      <c r="C15" s="37">
        <v>31000</v>
      </c>
      <c r="D15" s="37">
        <v>113000</v>
      </c>
      <c r="E15" s="37">
        <v>6000</v>
      </c>
      <c r="F15" s="37">
        <v>46500</v>
      </c>
      <c r="G15" s="37">
        <v>12000</v>
      </c>
      <c r="H15" s="37">
        <v>73000</v>
      </c>
      <c r="I15" s="37">
        <v>40500</v>
      </c>
      <c r="J15" s="37">
        <v>12000</v>
      </c>
      <c r="K15" s="37"/>
      <c r="L15" s="37"/>
      <c r="M15" s="37"/>
      <c r="N15" s="37"/>
      <c r="O15" s="37">
        <v>0</v>
      </c>
      <c r="P15" s="37"/>
      <c r="Q15" s="37">
        <v>0</v>
      </c>
      <c r="R15" s="37">
        <v>31000</v>
      </c>
      <c r="S15" s="37"/>
      <c r="T15" s="37">
        <f t="shared" si="0"/>
        <v>481000</v>
      </c>
      <c r="U15" s="34"/>
    </row>
    <row r="16" spans="1:21">
      <c r="A16" s="35" t="s">
        <v>46</v>
      </c>
      <c r="B16" s="37">
        <v>185000</v>
      </c>
      <c r="C16" s="37">
        <v>59000</v>
      </c>
      <c r="D16" s="37">
        <v>125000</v>
      </c>
      <c r="E16" s="37">
        <v>8000</v>
      </c>
      <c r="F16" s="37">
        <v>120000</v>
      </c>
      <c r="G16" s="37">
        <v>0</v>
      </c>
      <c r="H16" s="37">
        <v>61000</v>
      </c>
      <c r="I16" s="37">
        <v>80000</v>
      </c>
      <c r="J16" s="37">
        <v>8000</v>
      </c>
      <c r="K16" s="37"/>
      <c r="L16" s="37"/>
      <c r="M16" s="37"/>
      <c r="N16" s="37"/>
      <c r="O16" s="37">
        <v>5000</v>
      </c>
      <c r="P16" s="37"/>
      <c r="Q16" s="37">
        <v>20500</v>
      </c>
      <c r="R16" s="37">
        <v>0</v>
      </c>
      <c r="S16" s="37"/>
      <c r="T16" s="37">
        <f t="shared" si="0"/>
        <v>671500</v>
      </c>
      <c r="U16" s="34"/>
    </row>
    <row r="17" spans="1:21">
      <c r="A17" s="35" t="s">
        <v>47</v>
      </c>
      <c r="B17" s="37">
        <v>202000</v>
      </c>
      <c r="C17" s="37">
        <v>314000</v>
      </c>
      <c r="D17" s="37">
        <v>68500</v>
      </c>
      <c r="E17" s="37">
        <v>6000</v>
      </c>
      <c r="F17" s="37">
        <v>90000</v>
      </c>
      <c r="G17" s="37">
        <v>36000</v>
      </c>
      <c r="H17" s="37">
        <v>40000</v>
      </c>
      <c r="I17" s="37">
        <v>80500</v>
      </c>
      <c r="J17" s="37">
        <v>2000</v>
      </c>
      <c r="K17" s="37"/>
      <c r="L17" s="37"/>
      <c r="M17" s="37"/>
      <c r="N17" s="37"/>
      <c r="O17" s="37">
        <v>0</v>
      </c>
      <c r="P17" s="37"/>
      <c r="Q17" s="37">
        <v>0</v>
      </c>
      <c r="R17" s="37">
        <v>0</v>
      </c>
      <c r="S17" s="37"/>
      <c r="T17" s="37">
        <f t="shared" si="0"/>
        <v>839000</v>
      </c>
      <c r="U17" s="34"/>
    </row>
    <row r="18" spans="1:21">
      <c r="A18" s="35" t="s">
        <v>48</v>
      </c>
      <c r="B18" s="37">
        <v>156000</v>
      </c>
      <c r="C18" s="37">
        <v>45000</v>
      </c>
      <c r="D18" s="37">
        <v>84000</v>
      </c>
      <c r="E18" s="37">
        <v>0</v>
      </c>
      <c r="F18" s="37">
        <v>158000</v>
      </c>
      <c r="G18" s="37">
        <v>12000</v>
      </c>
      <c r="H18" s="37">
        <v>64000</v>
      </c>
      <c r="I18" s="37">
        <v>32500</v>
      </c>
      <c r="J18" s="37">
        <v>3000</v>
      </c>
      <c r="K18" s="37"/>
      <c r="L18" s="37"/>
      <c r="M18" s="37"/>
      <c r="N18" s="37"/>
      <c r="O18" s="37">
        <v>0</v>
      </c>
      <c r="P18" s="37"/>
      <c r="Q18" s="37">
        <v>0</v>
      </c>
      <c r="R18" s="37">
        <v>0</v>
      </c>
      <c r="S18" s="37"/>
      <c r="T18" s="37">
        <f t="shared" si="0"/>
        <v>554500</v>
      </c>
      <c r="U18" s="34"/>
    </row>
    <row r="19" spans="1:21">
      <c r="A19" s="35" t="s">
        <v>49</v>
      </c>
      <c r="B19" s="37">
        <v>128000</v>
      </c>
      <c r="C19" s="37">
        <v>112000</v>
      </c>
      <c r="D19" s="37">
        <v>75000</v>
      </c>
      <c r="E19" s="37">
        <v>20000</v>
      </c>
      <c r="F19" s="37">
        <v>80000</v>
      </c>
      <c r="G19" s="37">
        <v>0</v>
      </c>
      <c r="H19" s="37">
        <v>46000</v>
      </c>
      <c r="I19" s="37">
        <v>25000</v>
      </c>
      <c r="J19" s="37">
        <v>16000</v>
      </c>
      <c r="K19" s="37"/>
      <c r="L19" s="37"/>
      <c r="M19" s="37"/>
      <c r="N19" s="37"/>
      <c r="O19" s="37">
        <v>10000</v>
      </c>
      <c r="P19" s="37"/>
      <c r="Q19" s="37">
        <v>0</v>
      </c>
      <c r="R19" s="37">
        <v>0</v>
      </c>
      <c r="S19" s="37"/>
      <c r="T19" s="37">
        <f t="shared" si="0"/>
        <v>512000</v>
      </c>
      <c r="U19" s="34"/>
    </row>
    <row r="20" spans="1:21">
      <c r="A20" s="35" t="s">
        <v>50</v>
      </c>
      <c r="B20" s="37">
        <v>112000</v>
      </c>
      <c r="C20" s="37">
        <v>83000</v>
      </c>
      <c r="D20" s="37">
        <v>54000</v>
      </c>
      <c r="E20" s="37">
        <v>0</v>
      </c>
      <c r="F20" s="37">
        <v>69000</v>
      </c>
      <c r="G20" s="37">
        <v>0</v>
      </c>
      <c r="H20" s="37">
        <v>60000</v>
      </c>
      <c r="I20" s="37">
        <v>31000</v>
      </c>
      <c r="J20" s="37">
        <v>0</v>
      </c>
      <c r="K20" s="37"/>
      <c r="L20" s="37"/>
      <c r="M20" s="37"/>
      <c r="N20" s="37"/>
      <c r="O20" s="37">
        <v>0</v>
      </c>
      <c r="P20" s="37"/>
      <c r="Q20" s="37">
        <v>148000</v>
      </c>
      <c r="R20" s="37">
        <v>0</v>
      </c>
      <c r="S20" s="37"/>
      <c r="T20" s="37">
        <f t="shared" si="0"/>
        <v>557000</v>
      </c>
      <c r="U20" s="34"/>
    </row>
    <row r="21" spans="1:21">
      <c r="A21" s="35" t="s">
        <v>73</v>
      </c>
      <c r="B21" s="37">
        <v>113500</v>
      </c>
      <c r="C21" s="37">
        <v>78000</v>
      </c>
      <c r="D21" s="37">
        <v>49000</v>
      </c>
      <c r="E21" s="37">
        <v>23000</v>
      </c>
      <c r="F21" s="37">
        <v>106500</v>
      </c>
      <c r="G21" s="37">
        <v>24000</v>
      </c>
      <c r="H21" s="37">
        <v>73000</v>
      </c>
      <c r="I21" s="37">
        <v>63000</v>
      </c>
      <c r="J21" s="37">
        <v>20000</v>
      </c>
      <c r="K21" s="37"/>
      <c r="L21" s="37"/>
      <c r="M21" s="37"/>
      <c r="N21" s="37"/>
      <c r="O21" s="37">
        <v>0</v>
      </c>
      <c r="P21" s="37"/>
      <c r="Q21" s="37">
        <v>239000</v>
      </c>
      <c r="R21" s="37">
        <v>0</v>
      </c>
      <c r="S21" s="37"/>
      <c r="T21" s="37">
        <f t="shared" si="0"/>
        <v>789000</v>
      </c>
      <c r="U21" s="34"/>
    </row>
    <row r="22" spans="1:21">
      <c r="A22" s="35" t="s">
        <v>52</v>
      </c>
      <c r="B22" s="37">
        <v>120000</v>
      </c>
      <c r="C22" s="37">
        <v>8000</v>
      </c>
      <c r="D22" s="37">
        <v>95000</v>
      </c>
      <c r="E22" s="37">
        <v>8500</v>
      </c>
      <c r="F22" s="37">
        <v>102000</v>
      </c>
      <c r="G22" s="37">
        <v>0</v>
      </c>
      <c r="H22" s="37">
        <v>23000</v>
      </c>
      <c r="I22" s="37">
        <v>17000</v>
      </c>
      <c r="J22" s="37">
        <v>3000</v>
      </c>
      <c r="K22" s="37"/>
      <c r="L22" s="37"/>
      <c r="M22" s="37"/>
      <c r="N22" s="37"/>
      <c r="O22" s="37">
        <v>0</v>
      </c>
      <c r="P22" s="37"/>
      <c r="Q22" s="37">
        <v>0</v>
      </c>
      <c r="R22" s="37">
        <v>0</v>
      </c>
      <c r="S22" s="37"/>
      <c r="T22" s="37">
        <f t="shared" si="0"/>
        <v>376500</v>
      </c>
      <c r="U22" s="34"/>
    </row>
    <row r="23" spans="1:21">
      <c r="A23" s="35" t="s">
        <v>53</v>
      </c>
      <c r="B23" s="37">
        <v>157000</v>
      </c>
      <c r="C23" s="37">
        <v>96000</v>
      </c>
      <c r="D23" s="37">
        <v>85000</v>
      </c>
      <c r="E23" s="37">
        <v>0</v>
      </c>
      <c r="F23" s="37">
        <v>132200</v>
      </c>
      <c r="G23" s="37">
        <v>24000</v>
      </c>
      <c r="H23" s="37">
        <v>64000</v>
      </c>
      <c r="I23" s="37">
        <v>68000</v>
      </c>
      <c r="J23" s="37">
        <v>14000</v>
      </c>
      <c r="K23" s="37"/>
      <c r="L23" s="37"/>
      <c r="M23" s="37"/>
      <c r="N23" s="37"/>
      <c r="O23" s="37">
        <v>6000</v>
      </c>
      <c r="P23" s="37"/>
      <c r="Q23" s="37">
        <v>119000</v>
      </c>
      <c r="R23" s="37">
        <v>295000</v>
      </c>
      <c r="S23" s="37"/>
      <c r="T23" s="37">
        <f t="shared" si="0"/>
        <v>1060200</v>
      </c>
      <c r="U23" s="34"/>
    </row>
    <row r="24" spans="1:21">
      <c r="A24" s="35" t="s">
        <v>54</v>
      </c>
      <c r="B24" s="37">
        <v>148000</v>
      </c>
      <c r="C24" s="37">
        <v>408000</v>
      </c>
      <c r="D24" s="37">
        <v>156000</v>
      </c>
      <c r="E24" s="37">
        <v>36000</v>
      </c>
      <c r="F24" s="37">
        <v>129000</v>
      </c>
      <c r="G24" s="37">
        <v>6000</v>
      </c>
      <c r="H24" s="37">
        <v>116000</v>
      </c>
      <c r="I24" s="37">
        <v>93000</v>
      </c>
      <c r="J24" s="37">
        <v>8000</v>
      </c>
      <c r="K24" s="37"/>
      <c r="L24" s="37"/>
      <c r="M24" s="37"/>
      <c r="N24" s="37"/>
      <c r="O24" s="37">
        <v>28000</v>
      </c>
      <c r="P24" s="37"/>
      <c r="Q24" s="37">
        <v>0</v>
      </c>
      <c r="R24" s="37">
        <v>5000</v>
      </c>
      <c r="S24" s="37"/>
      <c r="T24" s="37">
        <f t="shared" si="0"/>
        <v>1133000</v>
      </c>
      <c r="U24" s="34"/>
    </row>
    <row r="25" spans="1:21">
      <c r="A25" s="35" t="s">
        <v>55</v>
      </c>
      <c r="B25" s="37">
        <v>179000</v>
      </c>
      <c r="C25" s="37">
        <v>53000</v>
      </c>
      <c r="D25" s="37">
        <v>85000</v>
      </c>
      <c r="E25" s="37">
        <v>30500</v>
      </c>
      <c r="F25" s="37">
        <v>123500</v>
      </c>
      <c r="G25" s="37">
        <v>0</v>
      </c>
      <c r="H25" s="37">
        <v>44000</v>
      </c>
      <c r="I25" s="37">
        <v>47000</v>
      </c>
      <c r="J25" s="37">
        <v>5000</v>
      </c>
      <c r="K25" s="37"/>
      <c r="L25" s="37"/>
      <c r="M25" s="37"/>
      <c r="N25" s="37"/>
      <c r="O25" s="37">
        <v>0</v>
      </c>
      <c r="P25" s="37"/>
      <c r="Q25" s="37">
        <v>0</v>
      </c>
      <c r="R25" s="37">
        <v>0</v>
      </c>
      <c r="S25" s="37"/>
      <c r="T25" s="37">
        <f t="shared" si="0"/>
        <v>567000</v>
      </c>
      <c r="U25" s="42"/>
    </row>
    <row r="26" spans="1:21">
      <c r="A26" s="35" t="s">
        <v>56</v>
      </c>
      <c r="B26" s="37">
        <v>187000</v>
      </c>
      <c r="C26" s="37">
        <v>74000</v>
      </c>
      <c r="D26" s="37">
        <v>78000</v>
      </c>
      <c r="E26" s="37">
        <v>3000</v>
      </c>
      <c r="F26" s="37">
        <v>83000</v>
      </c>
      <c r="G26" s="37">
        <v>12000</v>
      </c>
      <c r="H26" s="37">
        <v>26000</v>
      </c>
      <c r="I26" s="37">
        <v>40000</v>
      </c>
      <c r="J26" s="37">
        <v>0</v>
      </c>
      <c r="K26" s="37"/>
      <c r="L26" s="37"/>
      <c r="M26" s="37"/>
      <c r="N26" s="37"/>
      <c r="O26" s="37">
        <v>0</v>
      </c>
      <c r="P26" s="37"/>
      <c r="Q26" s="37">
        <v>0</v>
      </c>
      <c r="R26" s="37">
        <v>0</v>
      </c>
      <c r="S26" s="37"/>
      <c r="T26" s="37">
        <f t="shared" si="0"/>
        <v>503000</v>
      </c>
      <c r="U26" s="34"/>
    </row>
    <row r="27" spans="1:21">
      <c r="A27" s="35" t="s">
        <v>57</v>
      </c>
      <c r="B27" s="37">
        <v>223000</v>
      </c>
      <c r="C27" s="37">
        <v>94000</v>
      </c>
      <c r="D27" s="37">
        <v>75000</v>
      </c>
      <c r="E27" s="37">
        <v>10000</v>
      </c>
      <c r="F27" s="37">
        <v>84700</v>
      </c>
      <c r="G27" s="37">
        <v>0</v>
      </c>
      <c r="H27" s="37">
        <v>42000</v>
      </c>
      <c r="I27" s="37">
        <v>10000</v>
      </c>
      <c r="J27" s="37">
        <v>2000</v>
      </c>
      <c r="K27" s="37"/>
      <c r="L27" s="37"/>
      <c r="M27" s="37"/>
      <c r="N27" s="37"/>
      <c r="O27" s="31">
        <v>0</v>
      </c>
      <c r="P27" s="37"/>
      <c r="Q27" s="37">
        <v>0</v>
      </c>
      <c r="R27" s="37">
        <v>167000</v>
      </c>
      <c r="S27" s="37"/>
      <c r="T27" s="37">
        <f t="shared" si="0"/>
        <v>707700</v>
      </c>
      <c r="U27" s="34"/>
    </row>
    <row r="28" spans="1:21" ht="21.75" customHeight="1">
      <c r="A28" s="35" t="s">
        <v>58</v>
      </c>
      <c r="B28" s="37">
        <v>185000</v>
      </c>
      <c r="C28" s="37">
        <v>90000</v>
      </c>
      <c r="D28" s="37">
        <v>84000</v>
      </c>
      <c r="E28" s="37">
        <v>26000</v>
      </c>
      <c r="F28" s="37">
        <v>83200</v>
      </c>
      <c r="G28" s="37">
        <v>0</v>
      </c>
      <c r="H28" s="37">
        <v>17000</v>
      </c>
      <c r="I28" s="37">
        <v>95000</v>
      </c>
      <c r="J28" s="37">
        <v>0</v>
      </c>
      <c r="K28" s="37"/>
      <c r="L28" s="37"/>
      <c r="M28" s="37"/>
      <c r="N28" s="37"/>
      <c r="O28" s="37">
        <v>16000</v>
      </c>
      <c r="P28" s="37"/>
      <c r="Q28" s="37">
        <v>0</v>
      </c>
      <c r="R28" s="37">
        <v>0</v>
      </c>
      <c r="S28" s="37"/>
      <c r="T28" s="37">
        <f t="shared" si="0"/>
        <v>596200</v>
      </c>
      <c r="U28" s="34"/>
    </row>
    <row r="29" spans="1:21">
      <c r="A29" s="35" t="s">
        <v>59</v>
      </c>
      <c r="B29" s="37">
        <v>182000</v>
      </c>
      <c r="C29" s="37">
        <v>68000</v>
      </c>
      <c r="D29" s="37">
        <v>70000</v>
      </c>
      <c r="E29" s="37">
        <v>10000</v>
      </c>
      <c r="F29" s="37">
        <v>71500</v>
      </c>
      <c r="G29" s="37">
        <v>0</v>
      </c>
      <c r="H29" s="37">
        <v>200000</v>
      </c>
      <c r="I29" s="37">
        <v>78000</v>
      </c>
      <c r="J29" s="37">
        <v>5000</v>
      </c>
      <c r="K29" s="37"/>
      <c r="L29" s="37"/>
      <c r="M29" s="37"/>
      <c r="N29" s="37"/>
      <c r="O29" s="37">
        <v>6000</v>
      </c>
      <c r="P29" s="37"/>
      <c r="Q29" s="37">
        <v>0</v>
      </c>
      <c r="R29" s="37">
        <v>0</v>
      </c>
      <c r="S29" s="37"/>
      <c r="T29" s="37">
        <f t="shared" si="0"/>
        <v>690500</v>
      </c>
      <c r="U29" s="34"/>
    </row>
    <row r="30" spans="1:21">
      <c r="A30" s="35" t="s">
        <v>60</v>
      </c>
      <c r="B30" s="37">
        <v>258000</v>
      </c>
      <c r="C30" s="37">
        <v>105000</v>
      </c>
      <c r="D30" s="37">
        <v>125000</v>
      </c>
      <c r="E30" s="37">
        <v>25000</v>
      </c>
      <c r="F30" s="37">
        <v>80900</v>
      </c>
      <c r="G30" s="37">
        <v>0</v>
      </c>
      <c r="H30" s="37">
        <v>71000</v>
      </c>
      <c r="I30" s="37">
        <v>72000</v>
      </c>
      <c r="J30" s="37">
        <v>15000</v>
      </c>
      <c r="K30" s="37"/>
      <c r="L30" s="37"/>
      <c r="M30" s="37"/>
      <c r="N30" s="37"/>
      <c r="O30" s="37">
        <v>0</v>
      </c>
      <c r="P30" s="37"/>
      <c r="Q30" s="37">
        <v>0</v>
      </c>
      <c r="R30" s="37">
        <v>213000</v>
      </c>
      <c r="S30" s="37"/>
      <c r="T30" s="37">
        <f t="shared" si="0"/>
        <v>964900</v>
      </c>
      <c r="U30" s="34"/>
    </row>
    <row r="31" spans="1:21" ht="15.75" customHeight="1">
      <c r="A31" s="35" t="s">
        <v>61</v>
      </c>
      <c r="B31" s="31">
        <v>277000</v>
      </c>
      <c r="C31" s="31">
        <v>200000</v>
      </c>
      <c r="D31" s="31">
        <v>133000</v>
      </c>
      <c r="E31" s="31">
        <v>45000</v>
      </c>
      <c r="F31" s="31">
        <v>237000</v>
      </c>
      <c r="G31" s="31">
        <v>24000</v>
      </c>
      <c r="H31" s="31">
        <v>157000</v>
      </c>
      <c r="I31" s="31">
        <v>56000</v>
      </c>
      <c r="J31" s="31">
        <v>16000</v>
      </c>
      <c r="K31" s="31"/>
      <c r="L31" s="31"/>
      <c r="M31" s="31"/>
      <c r="N31" s="31"/>
      <c r="O31" s="31">
        <v>6000</v>
      </c>
      <c r="P31" s="31"/>
      <c r="Q31" s="31">
        <v>0</v>
      </c>
      <c r="R31" s="31">
        <v>52000</v>
      </c>
      <c r="S31" s="31"/>
      <c r="T31" s="37">
        <f t="shared" si="0"/>
        <v>1203000</v>
      </c>
      <c r="U31" s="39"/>
    </row>
    <row r="32" spans="1:21">
      <c r="A32" s="35" t="s">
        <v>62</v>
      </c>
      <c r="B32" s="31">
        <v>157000</v>
      </c>
      <c r="C32" s="31">
        <v>78000</v>
      </c>
      <c r="D32" s="31">
        <v>87000</v>
      </c>
      <c r="E32" s="31">
        <v>3000</v>
      </c>
      <c r="F32" s="31">
        <v>108000</v>
      </c>
      <c r="G32" s="31">
        <v>0</v>
      </c>
      <c r="H32" s="31">
        <v>50000</v>
      </c>
      <c r="I32" s="31">
        <v>44000</v>
      </c>
      <c r="J32" s="31">
        <v>4000</v>
      </c>
      <c r="K32" s="31"/>
      <c r="L32" s="31"/>
      <c r="M32" s="31"/>
      <c r="N32" s="31"/>
      <c r="O32" s="31">
        <v>0</v>
      </c>
      <c r="P32" s="31"/>
      <c r="Q32" s="31">
        <v>179000</v>
      </c>
      <c r="R32" s="31">
        <v>0</v>
      </c>
      <c r="S32" s="31"/>
      <c r="T32" s="37">
        <f t="shared" si="0"/>
        <v>710000</v>
      </c>
      <c r="U32" s="39"/>
    </row>
    <row r="33" spans="1:21">
      <c r="A33" s="35" t="s">
        <v>63</v>
      </c>
      <c r="B33" s="31">
        <v>156000</v>
      </c>
      <c r="C33" s="31">
        <v>436000</v>
      </c>
      <c r="D33" s="31">
        <v>86000</v>
      </c>
      <c r="E33" s="31">
        <v>5000</v>
      </c>
      <c r="F33" s="31">
        <v>81100</v>
      </c>
      <c r="G33" s="31">
        <v>0</v>
      </c>
      <c r="H33" s="31">
        <v>75000</v>
      </c>
      <c r="I33" s="31">
        <v>45000</v>
      </c>
      <c r="J33" s="31">
        <v>5000</v>
      </c>
      <c r="K33" s="31"/>
      <c r="L33" s="31"/>
      <c r="M33" s="31"/>
      <c r="N33" s="31"/>
      <c r="O33" s="31">
        <v>6000</v>
      </c>
      <c r="P33" s="31"/>
      <c r="Q33" s="31">
        <v>0</v>
      </c>
      <c r="R33" s="31">
        <v>65000</v>
      </c>
      <c r="S33" s="31"/>
      <c r="T33" s="37">
        <f t="shared" si="0"/>
        <v>960100</v>
      </c>
      <c r="U33" s="39"/>
    </row>
    <row r="34" spans="1:21">
      <c r="A34" s="35" t="s">
        <v>64</v>
      </c>
      <c r="B34" s="31">
        <v>81000</v>
      </c>
      <c r="C34" s="31">
        <v>102000</v>
      </c>
      <c r="D34" s="31">
        <v>102000</v>
      </c>
      <c r="E34" s="31">
        <v>33000</v>
      </c>
      <c r="F34" s="31">
        <v>129000</v>
      </c>
      <c r="G34" s="31">
        <v>0</v>
      </c>
      <c r="H34" s="31">
        <v>54000</v>
      </c>
      <c r="I34" s="31">
        <v>85000</v>
      </c>
      <c r="J34" s="31">
        <v>0</v>
      </c>
      <c r="K34" s="31"/>
      <c r="L34" s="31"/>
      <c r="M34" s="31"/>
      <c r="N34" s="31"/>
      <c r="O34" s="46">
        <v>0</v>
      </c>
      <c r="P34" s="31"/>
      <c r="Q34" s="31">
        <v>0</v>
      </c>
      <c r="R34" s="31">
        <v>66000</v>
      </c>
      <c r="S34" s="31"/>
      <c r="T34" s="31">
        <f t="shared" si="0"/>
        <v>652000</v>
      </c>
      <c r="U34" s="39"/>
    </row>
    <row r="35" spans="1:21">
      <c r="A35" s="35" t="s">
        <v>83</v>
      </c>
      <c r="B35" s="31">
        <v>143000</v>
      </c>
      <c r="C35" s="31">
        <v>112000</v>
      </c>
      <c r="D35" s="31">
        <v>70500</v>
      </c>
      <c r="E35" s="31">
        <v>11500</v>
      </c>
      <c r="F35" s="31">
        <v>104500</v>
      </c>
      <c r="G35" s="31">
        <v>12000</v>
      </c>
      <c r="H35" s="31">
        <v>54000</v>
      </c>
      <c r="I35" s="31">
        <v>59500</v>
      </c>
      <c r="J35" s="31">
        <v>0</v>
      </c>
      <c r="K35" s="31"/>
      <c r="L35" s="31"/>
      <c r="M35" s="31"/>
      <c r="N35" s="31"/>
      <c r="O35" s="31">
        <v>6000</v>
      </c>
      <c r="P35" s="31"/>
      <c r="Q35" s="31">
        <v>0</v>
      </c>
      <c r="R35" s="31">
        <v>517000</v>
      </c>
      <c r="S35" s="31"/>
      <c r="T35" s="31">
        <f t="shared" si="0"/>
        <v>1090000</v>
      </c>
      <c r="U35" s="43">
        <v>1400000</v>
      </c>
    </row>
    <row r="36" spans="1:21">
      <c r="A36" s="35" t="s">
        <v>84</v>
      </c>
      <c r="B36" s="31">
        <v>146000</v>
      </c>
      <c r="C36" s="31">
        <v>42000</v>
      </c>
      <c r="D36" s="31">
        <v>87000</v>
      </c>
      <c r="E36" s="31">
        <v>3000</v>
      </c>
      <c r="F36" s="31">
        <v>105000</v>
      </c>
      <c r="G36" s="31">
        <v>0</v>
      </c>
      <c r="H36" s="31">
        <v>63000</v>
      </c>
      <c r="I36" s="31">
        <v>37000</v>
      </c>
      <c r="J36" s="31">
        <v>25000</v>
      </c>
      <c r="K36" s="31"/>
      <c r="L36" s="31"/>
      <c r="M36" s="31"/>
      <c r="N36" s="31"/>
      <c r="O36" s="31">
        <v>6000</v>
      </c>
      <c r="P36" s="31"/>
      <c r="Q36" s="31">
        <v>50000</v>
      </c>
      <c r="R36" s="31">
        <v>20000</v>
      </c>
      <c r="S36" s="31"/>
      <c r="T36" s="31">
        <f>SUM(B36:S36)</f>
        <v>584000</v>
      </c>
      <c r="U36" s="39"/>
    </row>
    <row r="37" spans="1:21">
      <c r="A37" s="40" t="s">
        <v>23</v>
      </c>
      <c r="B37" s="41">
        <f t="shared" ref="B37:J37" si="1">SUM(B6:B36)</f>
        <v>5066500</v>
      </c>
      <c r="C37" s="41">
        <f t="shared" si="1"/>
        <v>3330000</v>
      </c>
      <c r="D37" s="41">
        <f t="shared" si="1"/>
        <v>2789500</v>
      </c>
      <c r="E37" s="41">
        <f t="shared" si="1"/>
        <v>410500</v>
      </c>
      <c r="F37" s="41">
        <f t="shared" si="1"/>
        <v>3114900</v>
      </c>
      <c r="G37" s="41">
        <f t="shared" si="1"/>
        <v>222000</v>
      </c>
      <c r="H37" s="41">
        <f t="shared" si="1"/>
        <v>1908000</v>
      </c>
      <c r="I37" s="41">
        <f t="shared" si="1"/>
        <v>1539000</v>
      </c>
      <c r="J37" s="41">
        <f t="shared" si="1"/>
        <v>211000</v>
      </c>
      <c r="K37" s="31"/>
      <c r="L37" s="31"/>
      <c r="M37" s="31"/>
      <c r="N37" s="31"/>
      <c r="O37" s="31">
        <f>SUM(O6:O36)</f>
        <v>106000</v>
      </c>
      <c r="P37" s="31"/>
      <c r="Q37" s="31">
        <f>SUM(Q6:Q36)</f>
        <v>785500</v>
      </c>
      <c r="R37" s="31">
        <f>SUM(R6:R36)</f>
        <v>1782000</v>
      </c>
      <c r="S37" s="31"/>
      <c r="T37" s="31">
        <f>SUM(B37:S37)</f>
        <v>21264900</v>
      </c>
      <c r="U37" s="45"/>
    </row>
  </sheetData>
  <mergeCells count="4">
    <mergeCell ref="B1:T1"/>
    <mergeCell ref="B2:T2"/>
    <mergeCell ref="C3:F3"/>
    <mergeCell ref="C4:F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G28"/>
  <sheetViews>
    <sheetView workbookViewId="0">
      <selection activeCell="B3" sqref="B3"/>
    </sheetView>
  </sheetViews>
  <sheetFormatPr defaultRowHeight="15"/>
  <cols>
    <col min="1" max="1" width="21.42578125" customWidth="1"/>
    <col min="2" max="2" width="14.7109375" customWidth="1"/>
    <col min="3" max="3" width="14.85546875" customWidth="1"/>
    <col min="4" max="4" width="14.7109375" customWidth="1"/>
    <col min="5" max="5" width="12.5703125" customWidth="1"/>
    <col min="6" max="6" width="13.42578125" customWidth="1"/>
    <col min="7" max="7" width="13" customWidth="1"/>
  </cols>
  <sheetData>
    <row r="1" spans="1:7" ht="16.5" thickBot="1">
      <c r="A1" s="6" t="s">
        <v>24</v>
      </c>
      <c r="B1" s="70" t="s">
        <v>96</v>
      </c>
      <c r="C1" s="71"/>
      <c r="D1" s="72"/>
      <c r="E1" s="11"/>
      <c r="F1" s="11"/>
      <c r="G1" s="12"/>
    </row>
    <row r="2" spans="1:7" ht="15.75">
      <c r="A2" s="13" t="s">
        <v>25</v>
      </c>
      <c r="B2" s="14" t="s">
        <v>26</v>
      </c>
      <c r="C2" s="14" t="s">
        <v>27</v>
      </c>
      <c r="D2" s="14" t="s">
        <v>28</v>
      </c>
      <c r="E2" s="14" t="s">
        <v>29</v>
      </c>
      <c r="F2" s="15" t="s">
        <v>30</v>
      </c>
      <c r="G2" s="16" t="s">
        <v>31</v>
      </c>
    </row>
    <row r="3" spans="1:7" ht="15.75">
      <c r="A3" s="17" t="s">
        <v>4</v>
      </c>
      <c r="B3" s="18">
        <v>958500</v>
      </c>
      <c r="C3" s="18">
        <v>1155500</v>
      </c>
      <c r="D3" s="18">
        <v>957500</v>
      </c>
      <c r="E3" s="18">
        <v>1469000</v>
      </c>
      <c r="F3" s="19">
        <v>526000</v>
      </c>
      <c r="G3" s="20">
        <f t="shared" ref="G3:G11" si="0">SUM(B3:F3)</f>
        <v>5066500</v>
      </c>
    </row>
    <row r="4" spans="1:7" ht="15.75">
      <c r="A4" s="17" t="s">
        <v>5</v>
      </c>
      <c r="B4" s="18">
        <v>542000</v>
      </c>
      <c r="C4" s="18">
        <v>549000</v>
      </c>
      <c r="D4" s="18">
        <v>838000</v>
      </c>
      <c r="E4" s="18">
        <v>709000</v>
      </c>
      <c r="F4" s="19">
        <v>692000</v>
      </c>
      <c r="G4" s="20">
        <f>SUM(B4:F4)</f>
        <v>3330000</v>
      </c>
    </row>
    <row r="5" spans="1:7" ht="15.75">
      <c r="A5" s="17" t="s">
        <v>32</v>
      </c>
      <c r="B5" s="18">
        <v>558500</v>
      </c>
      <c r="C5" s="18">
        <v>634500</v>
      </c>
      <c r="D5" s="18">
        <v>599000</v>
      </c>
      <c r="E5" s="18">
        <v>652000</v>
      </c>
      <c r="F5" s="19">
        <v>345500</v>
      </c>
      <c r="G5" s="20">
        <f t="shared" si="0"/>
        <v>2789500</v>
      </c>
    </row>
    <row r="6" spans="1:7" ht="15.75">
      <c r="A6" s="17" t="s">
        <v>33</v>
      </c>
      <c r="B6" s="18">
        <v>65500</v>
      </c>
      <c r="C6" s="18">
        <v>52500</v>
      </c>
      <c r="D6" s="18">
        <v>118000</v>
      </c>
      <c r="E6" s="18">
        <v>122000</v>
      </c>
      <c r="F6" s="19">
        <v>52000</v>
      </c>
      <c r="G6" s="20">
        <f t="shared" si="0"/>
        <v>410000</v>
      </c>
    </row>
    <row r="7" spans="1:7" ht="15.75">
      <c r="A7" s="17" t="s">
        <v>8</v>
      </c>
      <c r="B7" s="18">
        <v>568800</v>
      </c>
      <c r="C7" s="18">
        <v>636000</v>
      </c>
      <c r="D7" s="18">
        <v>742200</v>
      </c>
      <c r="E7" s="18">
        <v>748500</v>
      </c>
      <c r="F7" s="19">
        <v>419600</v>
      </c>
      <c r="G7" s="20">
        <f t="shared" si="0"/>
        <v>3115100</v>
      </c>
    </row>
    <row r="8" spans="1:7" ht="15.75">
      <c r="A8" s="17" t="s">
        <v>9</v>
      </c>
      <c r="B8" s="18">
        <v>60000</v>
      </c>
      <c r="C8" s="18">
        <v>60000</v>
      </c>
      <c r="D8" s="18">
        <v>54000</v>
      </c>
      <c r="E8" s="18">
        <v>36000</v>
      </c>
      <c r="F8" s="19">
        <v>12000</v>
      </c>
      <c r="G8" s="20">
        <f t="shared" si="0"/>
        <v>222000</v>
      </c>
    </row>
    <row r="9" spans="1:7" ht="15.75">
      <c r="A9" s="17" t="s">
        <v>10</v>
      </c>
      <c r="B9" s="18">
        <v>265500</v>
      </c>
      <c r="C9" s="18">
        <v>407500</v>
      </c>
      <c r="D9" s="18">
        <v>426000</v>
      </c>
      <c r="E9" s="18">
        <v>563000</v>
      </c>
      <c r="F9" s="19">
        <v>246000</v>
      </c>
      <c r="G9" s="20">
        <f t="shared" si="0"/>
        <v>1908000</v>
      </c>
    </row>
    <row r="10" spans="1:7" ht="15.75">
      <c r="A10" s="17" t="s">
        <v>11</v>
      </c>
      <c r="B10" s="18">
        <v>278000</v>
      </c>
      <c r="C10" s="18">
        <v>295500</v>
      </c>
      <c r="D10" s="18">
        <v>344000</v>
      </c>
      <c r="E10" s="18">
        <v>395000</v>
      </c>
      <c r="F10" s="19">
        <v>226500</v>
      </c>
      <c r="G10" s="20">
        <f t="shared" si="0"/>
        <v>1539000</v>
      </c>
    </row>
    <row r="11" spans="1:7" ht="15.75">
      <c r="A11" s="17" t="s">
        <v>12</v>
      </c>
      <c r="B11" s="18">
        <v>43000</v>
      </c>
      <c r="C11" s="18">
        <v>30000</v>
      </c>
      <c r="D11" s="18">
        <v>66000</v>
      </c>
      <c r="E11" s="18">
        <v>42000</v>
      </c>
      <c r="F11" s="19">
        <v>30000</v>
      </c>
      <c r="G11" s="20">
        <f t="shared" si="0"/>
        <v>211000</v>
      </c>
    </row>
    <row r="12" spans="1:7" ht="15.75">
      <c r="A12" s="17" t="s">
        <v>13</v>
      </c>
      <c r="B12" s="18"/>
      <c r="C12" s="18"/>
      <c r="D12" s="18"/>
      <c r="E12" s="18"/>
      <c r="F12" s="19"/>
      <c r="G12" s="20">
        <f t="shared" ref="G12:G19" si="1">SUM(B12:E12)</f>
        <v>0</v>
      </c>
    </row>
    <row r="13" spans="1:7" ht="15.75">
      <c r="A13" s="17" t="s">
        <v>14</v>
      </c>
      <c r="B13" s="18"/>
      <c r="C13" s="18"/>
      <c r="D13" s="18"/>
      <c r="E13" s="18"/>
      <c r="F13" s="19"/>
      <c r="G13" s="20">
        <f t="shared" si="1"/>
        <v>0</v>
      </c>
    </row>
    <row r="14" spans="1:7" ht="15.75">
      <c r="A14" s="17" t="s">
        <v>15</v>
      </c>
      <c r="B14" s="18"/>
      <c r="C14" s="18"/>
      <c r="D14" s="18"/>
      <c r="E14" s="18"/>
      <c r="F14" s="19"/>
      <c r="G14" s="20">
        <f t="shared" si="1"/>
        <v>0</v>
      </c>
    </row>
    <row r="15" spans="1:7" ht="15.75">
      <c r="A15" s="17" t="s">
        <v>16</v>
      </c>
      <c r="B15" s="18"/>
      <c r="C15" s="18"/>
      <c r="D15" s="18"/>
      <c r="E15" s="18"/>
      <c r="F15" s="19"/>
      <c r="G15" s="20">
        <f t="shared" si="1"/>
        <v>0</v>
      </c>
    </row>
    <row r="16" spans="1:7" ht="15.75">
      <c r="A16" s="17" t="s">
        <v>17</v>
      </c>
      <c r="B16" s="18">
        <v>11000</v>
      </c>
      <c r="C16" s="18">
        <v>15000</v>
      </c>
      <c r="D16" s="18">
        <v>34000</v>
      </c>
      <c r="E16" s="18">
        <v>34000</v>
      </c>
      <c r="F16" s="19">
        <v>6000</v>
      </c>
      <c r="G16" s="20">
        <v>106000</v>
      </c>
    </row>
    <row r="17" spans="1:7" ht="15.75">
      <c r="A17" s="17" t="s">
        <v>18</v>
      </c>
      <c r="B17" s="18"/>
      <c r="C17" s="18"/>
      <c r="D17" s="18"/>
      <c r="E17" s="18"/>
      <c r="F17" s="19"/>
      <c r="G17" s="20">
        <f t="shared" si="1"/>
        <v>0</v>
      </c>
    </row>
    <row r="18" spans="1:7" ht="15.75">
      <c r="A18" s="17" t="s">
        <v>19</v>
      </c>
      <c r="B18" s="18"/>
      <c r="C18" s="18"/>
      <c r="D18" s="18"/>
      <c r="E18" s="18"/>
      <c r="F18" s="19"/>
      <c r="G18" s="20">
        <f t="shared" si="1"/>
        <v>0</v>
      </c>
    </row>
    <row r="19" spans="1:7" ht="15.75">
      <c r="A19" s="17" t="s">
        <v>34</v>
      </c>
      <c r="B19" s="18"/>
      <c r="C19" s="18"/>
      <c r="D19" s="18"/>
      <c r="E19" s="18"/>
      <c r="F19" s="19"/>
      <c r="G19" s="20">
        <f t="shared" si="1"/>
        <v>0</v>
      </c>
    </row>
    <row r="20" spans="1:7" ht="16.5" thickBot="1">
      <c r="A20" s="21" t="s">
        <v>35</v>
      </c>
      <c r="B20" s="22">
        <f t="shared" ref="B20:G20" si="2">SUM(B3:B19)</f>
        <v>3350800</v>
      </c>
      <c r="C20" s="22">
        <f t="shared" si="2"/>
        <v>3835500</v>
      </c>
      <c r="D20" s="22">
        <f t="shared" si="2"/>
        <v>4178700</v>
      </c>
      <c r="E20" s="22">
        <f t="shared" si="2"/>
        <v>4770500</v>
      </c>
      <c r="F20" s="22">
        <f t="shared" si="2"/>
        <v>2555600</v>
      </c>
      <c r="G20" s="23">
        <f t="shared" si="2"/>
        <v>18697100</v>
      </c>
    </row>
    <row r="22" spans="1:7" ht="15.75" thickBot="1"/>
    <row r="23" spans="1:7" ht="21.75" thickBot="1">
      <c r="A23" s="73" t="s">
        <v>36</v>
      </c>
      <c r="B23" s="74"/>
      <c r="C23" s="74"/>
      <c r="D23" s="74"/>
      <c r="E23" s="74"/>
      <c r="F23" s="74"/>
      <c r="G23" s="75"/>
    </row>
    <row r="24" spans="1:7" ht="15.75" thickBot="1">
      <c r="A24" s="77"/>
      <c r="B24" s="68"/>
      <c r="C24" s="68"/>
      <c r="D24" s="68"/>
      <c r="E24" s="68"/>
      <c r="F24" s="68"/>
      <c r="G24" s="69"/>
    </row>
    <row r="25" spans="1:7" ht="15.75" thickBot="1">
      <c r="A25" s="24"/>
      <c r="B25" s="25"/>
      <c r="C25" s="25"/>
      <c r="D25" s="25"/>
      <c r="E25" s="25"/>
      <c r="F25" s="25"/>
      <c r="G25" s="26"/>
    </row>
    <row r="26" spans="1:7" ht="15.75" thickBot="1">
      <c r="A26" s="67" t="s">
        <v>97</v>
      </c>
      <c r="B26" s="68"/>
      <c r="C26" s="68"/>
      <c r="D26" s="68"/>
      <c r="E26" s="68"/>
      <c r="F26" s="68"/>
      <c r="G26" s="69"/>
    </row>
    <row r="27" spans="1:7" ht="15.75" thickBot="1">
      <c r="A27" s="77"/>
      <c r="B27" s="68"/>
      <c r="C27" s="68"/>
      <c r="D27" s="68"/>
      <c r="E27" s="68"/>
      <c r="F27" s="68"/>
      <c r="G27" s="69"/>
    </row>
    <row r="28" spans="1:7" ht="15.75" thickBot="1">
      <c r="A28" s="67"/>
      <c r="B28" s="68"/>
      <c r="C28" s="68"/>
      <c r="D28" s="68"/>
      <c r="E28" s="68"/>
      <c r="F28" s="68"/>
      <c r="G28" s="69"/>
    </row>
  </sheetData>
  <mergeCells count="6">
    <mergeCell ref="A28:G28"/>
    <mergeCell ref="B1:D1"/>
    <mergeCell ref="A23:G23"/>
    <mergeCell ref="A24:G24"/>
    <mergeCell ref="A26:G26"/>
    <mergeCell ref="A27:G27"/>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38"/>
  <sheetViews>
    <sheetView workbookViewId="0">
      <selection activeCell="B15" sqref="B15"/>
    </sheetView>
  </sheetViews>
  <sheetFormatPr defaultRowHeight="15"/>
  <cols>
    <col min="2" max="2" width="10.140625" customWidth="1"/>
    <col min="3" max="3" width="10.5703125" customWidth="1"/>
    <col min="4" max="4" width="11.140625" customWidth="1"/>
    <col min="5" max="5" width="11.85546875" customWidth="1"/>
    <col min="6" max="6" width="11.140625" customWidth="1"/>
    <col min="7" max="7" width="11" customWidth="1"/>
    <col min="8" max="8" width="10.85546875" customWidth="1"/>
    <col min="9" max="9" width="10.42578125" customWidth="1"/>
    <col min="20" max="20" width="10.5703125" customWidth="1"/>
  </cols>
  <sheetData>
    <row r="1" spans="1:21" ht="26.25">
      <c r="A1" s="28"/>
      <c r="B1" s="55" t="s">
        <v>68</v>
      </c>
      <c r="C1" s="56"/>
      <c r="D1" s="56"/>
      <c r="E1" s="56"/>
      <c r="F1" s="56"/>
      <c r="G1" s="56"/>
      <c r="H1" s="56"/>
      <c r="I1" s="56"/>
      <c r="J1" s="56"/>
      <c r="K1" s="56"/>
      <c r="L1" s="56"/>
      <c r="M1" s="56"/>
      <c r="N1" s="56"/>
      <c r="O1" s="56"/>
      <c r="P1" s="56"/>
      <c r="Q1" s="56"/>
      <c r="R1" s="56"/>
      <c r="S1" s="56"/>
      <c r="T1" s="57"/>
    </row>
    <row r="2" spans="1:21" ht="27" thickBot="1">
      <c r="A2" s="4"/>
      <c r="B2" s="58" t="s">
        <v>0</v>
      </c>
      <c r="C2" s="59"/>
      <c r="D2" s="59"/>
      <c r="E2" s="59"/>
      <c r="F2" s="59"/>
      <c r="G2" s="59"/>
      <c r="H2" s="59"/>
      <c r="I2" s="59"/>
      <c r="J2" s="59"/>
      <c r="K2" s="59"/>
      <c r="L2" s="59"/>
      <c r="M2" s="59"/>
      <c r="N2" s="59"/>
      <c r="O2" s="59"/>
      <c r="P2" s="59"/>
      <c r="Q2" s="59"/>
      <c r="R2" s="59"/>
      <c r="S2" s="59"/>
      <c r="T2" s="60"/>
    </row>
    <row r="3" spans="1:21" ht="27" thickBot="1">
      <c r="A3" s="4"/>
      <c r="B3" s="29" t="s">
        <v>1</v>
      </c>
      <c r="C3" s="61" t="s">
        <v>69</v>
      </c>
      <c r="D3" s="62"/>
      <c r="E3" s="62"/>
      <c r="F3" s="63"/>
    </row>
    <row r="4" spans="1:21" ht="21">
      <c r="A4" s="4"/>
      <c r="B4" s="30" t="s">
        <v>2</v>
      </c>
      <c r="C4" s="78">
        <v>45597</v>
      </c>
      <c r="D4" s="79"/>
      <c r="E4" s="79"/>
      <c r="F4" s="80"/>
    </row>
    <row r="5" spans="1:21" ht="67.5">
      <c r="A5" s="32" t="s">
        <v>3</v>
      </c>
      <c r="B5" s="33" t="s">
        <v>4</v>
      </c>
      <c r="C5" s="33" t="s">
        <v>5</v>
      </c>
      <c r="D5" s="33" t="s">
        <v>6</v>
      </c>
      <c r="E5" s="33" t="s">
        <v>7</v>
      </c>
      <c r="F5" s="33" t="s">
        <v>8</v>
      </c>
      <c r="G5" s="33" t="s">
        <v>9</v>
      </c>
      <c r="H5" s="33" t="s">
        <v>10</v>
      </c>
      <c r="I5" s="33" t="s">
        <v>11</v>
      </c>
      <c r="J5" s="33" t="s">
        <v>12</v>
      </c>
      <c r="K5" s="33" t="s">
        <v>13</v>
      </c>
      <c r="L5" s="33" t="s">
        <v>14</v>
      </c>
      <c r="M5" s="33" t="s">
        <v>15</v>
      </c>
      <c r="N5" s="33" t="s">
        <v>16</v>
      </c>
      <c r="O5" s="33" t="s">
        <v>17</v>
      </c>
      <c r="P5" s="33" t="s">
        <v>18</v>
      </c>
      <c r="Q5" s="33" t="s">
        <v>19</v>
      </c>
      <c r="R5" s="33" t="s">
        <v>20</v>
      </c>
      <c r="S5" s="33" t="s">
        <v>21</v>
      </c>
      <c r="T5" s="33" t="s">
        <v>22</v>
      </c>
      <c r="U5" s="34" t="s">
        <v>87</v>
      </c>
    </row>
    <row r="6" spans="1:21" ht="16.5" customHeight="1">
      <c r="A6" s="35" t="s">
        <v>67</v>
      </c>
      <c r="B6" s="36">
        <v>124500</v>
      </c>
      <c r="C6" s="36">
        <v>69000</v>
      </c>
      <c r="D6" s="36">
        <v>77000</v>
      </c>
      <c r="E6" s="36">
        <v>15000</v>
      </c>
      <c r="F6" s="36">
        <v>100000</v>
      </c>
      <c r="G6" s="36">
        <v>0</v>
      </c>
      <c r="H6" s="36">
        <v>77500</v>
      </c>
      <c r="I6" s="36">
        <v>51000</v>
      </c>
      <c r="J6" s="36">
        <v>12000</v>
      </c>
      <c r="K6" s="36"/>
      <c r="L6" s="36"/>
      <c r="M6" s="36"/>
      <c r="N6" s="36"/>
      <c r="O6" s="36">
        <v>18000</v>
      </c>
      <c r="P6" s="36"/>
      <c r="Q6" s="36">
        <v>0</v>
      </c>
      <c r="R6" s="36">
        <v>21000</v>
      </c>
      <c r="S6" s="37"/>
      <c r="T6" s="37">
        <f t="shared" ref="T6:T35" si="0">SUM(B6:S6)</f>
        <v>565000</v>
      </c>
      <c r="U6" s="45"/>
    </row>
    <row r="7" spans="1:21">
      <c r="A7" s="35" t="s">
        <v>37</v>
      </c>
      <c r="B7" s="36">
        <v>101000</v>
      </c>
      <c r="C7" s="36">
        <v>95000</v>
      </c>
      <c r="D7" s="36">
        <v>103000</v>
      </c>
      <c r="E7" s="36">
        <v>32000</v>
      </c>
      <c r="F7" s="36">
        <v>125000</v>
      </c>
      <c r="G7" s="36">
        <v>6000</v>
      </c>
      <c r="H7" s="36">
        <v>68000</v>
      </c>
      <c r="I7" s="36">
        <v>24000</v>
      </c>
      <c r="J7" s="36">
        <v>6000</v>
      </c>
      <c r="K7" s="36"/>
      <c r="L7" s="36"/>
      <c r="M7" s="36"/>
      <c r="N7" s="36"/>
      <c r="O7" s="36">
        <v>0</v>
      </c>
      <c r="P7" s="36">
        <v>0</v>
      </c>
      <c r="Q7" s="36">
        <v>0</v>
      </c>
      <c r="R7" s="36">
        <v>0</v>
      </c>
      <c r="S7" s="37"/>
      <c r="T7" s="37">
        <f t="shared" si="0"/>
        <v>560000</v>
      </c>
      <c r="U7" s="45"/>
    </row>
    <row r="8" spans="1:21">
      <c r="A8" s="35" t="s">
        <v>38</v>
      </c>
      <c r="B8" s="36">
        <v>144500</v>
      </c>
      <c r="C8" s="36">
        <v>156000</v>
      </c>
      <c r="D8" s="36">
        <v>110000</v>
      </c>
      <c r="E8" s="36">
        <v>24000</v>
      </c>
      <c r="F8" s="36">
        <v>81000</v>
      </c>
      <c r="G8" s="36">
        <v>6000</v>
      </c>
      <c r="H8" s="36">
        <v>152000</v>
      </c>
      <c r="I8" s="36">
        <v>143000</v>
      </c>
      <c r="J8" s="36">
        <v>7000</v>
      </c>
      <c r="K8" s="36"/>
      <c r="L8" s="36"/>
      <c r="M8" s="36"/>
      <c r="N8" s="36"/>
      <c r="O8" s="36">
        <v>18000</v>
      </c>
      <c r="P8" s="36"/>
      <c r="Q8" s="36">
        <v>46000</v>
      </c>
      <c r="R8" s="36">
        <v>15000</v>
      </c>
      <c r="S8" s="37"/>
      <c r="T8" s="37">
        <f t="shared" si="0"/>
        <v>902500</v>
      </c>
      <c r="U8" s="45"/>
    </row>
    <row r="9" spans="1:21">
      <c r="A9" s="35" t="s">
        <v>39</v>
      </c>
      <c r="B9" s="36">
        <v>218000</v>
      </c>
      <c r="C9" s="36">
        <v>79000</v>
      </c>
      <c r="D9" s="36">
        <v>108000</v>
      </c>
      <c r="E9" s="36">
        <v>12500</v>
      </c>
      <c r="F9" s="36">
        <v>83500</v>
      </c>
      <c r="G9" s="36">
        <v>0</v>
      </c>
      <c r="H9" s="36">
        <v>102000</v>
      </c>
      <c r="I9" s="36">
        <v>73000</v>
      </c>
      <c r="J9" s="36">
        <v>5000</v>
      </c>
      <c r="K9" s="36"/>
      <c r="L9" s="36"/>
      <c r="M9" s="36"/>
      <c r="N9" s="36"/>
      <c r="O9" s="36">
        <v>30000</v>
      </c>
      <c r="Q9" s="36">
        <v>0</v>
      </c>
      <c r="R9" s="36">
        <v>0</v>
      </c>
      <c r="S9" s="37"/>
      <c r="T9" s="37">
        <f t="shared" si="0"/>
        <v>711000</v>
      </c>
      <c r="U9" s="42"/>
    </row>
    <row r="10" spans="1:21">
      <c r="A10" s="35" t="s">
        <v>40</v>
      </c>
      <c r="B10" s="37">
        <v>99000</v>
      </c>
      <c r="C10" s="37">
        <v>93000</v>
      </c>
      <c r="D10" s="37">
        <v>75000</v>
      </c>
      <c r="E10" s="37">
        <v>12500</v>
      </c>
      <c r="F10" s="37">
        <v>124500</v>
      </c>
      <c r="G10" s="37">
        <v>24000</v>
      </c>
      <c r="H10" s="37">
        <v>61000</v>
      </c>
      <c r="I10" s="37">
        <v>56000</v>
      </c>
      <c r="J10" s="37">
        <v>13000</v>
      </c>
      <c r="K10" s="37"/>
      <c r="L10" s="37"/>
      <c r="M10" s="37"/>
      <c r="N10" s="37"/>
      <c r="O10" s="37">
        <v>0</v>
      </c>
      <c r="P10" s="37"/>
      <c r="Q10" s="37">
        <v>0</v>
      </c>
      <c r="R10" s="37">
        <v>81000</v>
      </c>
      <c r="S10" s="37"/>
      <c r="T10" s="37">
        <f t="shared" si="0"/>
        <v>639000</v>
      </c>
      <c r="U10" s="42"/>
    </row>
    <row r="11" spans="1:21">
      <c r="A11" s="35" t="s">
        <v>41</v>
      </c>
      <c r="B11" s="37">
        <v>130500</v>
      </c>
      <c r="C11" s="37">
        <v>85000</v>
      </c>
      <c r="D11" s="37">
        <v>71000</v>
      </c>
      <c r="E11" s="37">
        <v>12000</v>
      </c>
      <c r="F11" s="37">
        <v>64500</v>
      </c>
      <c r="G11" s="37">
        <v>0</v>
      </c>
      <c r="H11" s="37">
        <v>42000</v>
      </c>
      <c r="I11" s="37">
        <v>38500</v>
      </c>
      <c r="J11" s="37">
        <v>4000</v>
      </c>
      <c r="K11" s="37"/>
      <c r="L11" s="37"/>
      <c r="M11" s="37"/>
      <c r="N11" s="37"/>
      <c r="O11" s="37">
        <v>0</v>
      </c>
      <c r="P11" s="37"/>
      <c r="Q11" s="37">
        <v>0</v>
      </c>
      <c r="R11" s="37">
        <v>6000</v>
      </c>
      <c r="S11" s="37"/>
      <c r="T11" s="37">
        <f t="shared" si="0"/>
        <v>453500</v>
      </c>
      <c r="U11" s="42"/>
    </row>
    <row r="12" spans="1:21">
      <c r="A12" s="35" t="s">
        <v>42</v>
      </c>
      <c r="B12" s="37">
        <v>139000</v>
      </c>
      <c r="C12" s="37">
        <v>61000</v>
      </c>
      <c r="D12" s="37">
        <v>40500</v>
      </c>
      <c r="E12" s="37">
        <v>9500</v>
      </c>
      <c r="F12" s="37">
        <v>63500</v>
      </c>
      <c r="G12" s="37">
        <v>0</v>
      </c>
      <c r="H12" s="37">
        <v>18000</v>
      </c>
      <c r="I12" s="37">
        <v>18500</v>
      </c>
      <c r="J12" s="37">
        <v>6000</v>
      </c>
      <c r="K12" s="37"/>
      <c r="L12" s="37"/>
      <c r="M12" s="37"/>
      <c r="N12" s="37"/>
      <c r="O12" s="37">
        <v>0</v>
      </c>
      <c r="P12" s="37"/>
      <c r="Q12" s="37">
        <v>0</v>
      </c>
      <c r="R12" s="37">
        <v>0</v>
      </c>
      <c r="S12" s="37"/>
      <c r="T12" s="37">
        <f t="shared" si="0"/>
        <v>356000</v>
      </c>
      <c r="U12" s="42"/>
    </row>
    <row r="13" spans="1:21">
      <c r="A13" s="35" t="s">
        <v>43</v>
      </c>
      <c r="B13" s="37">
        <v>188000</v>
      </c>
      <c r="C13" s="37">
        <v>37000</v>
      </c>
      <c r="D13" s="37">
        <v>74000</v>
      </c>
      <c r="E13" s="37">
        <v>15000</v>
      </c>
      <c r="F13" s="37">
        <v>57500</v>
      </c>
      <c r="G13" s="37">
        <v>24000</v>
      </c>
      <c r="H13" s="37">
        <v>29000</v>
      </c>
      <c r="I13" s="37">
        <v>54000</v>
      </c>
      <c r="J13" s="37">
        <v>0</v>
      </c>
      <c r="K13" s="37"/>
      <c r="L13" s="37"/>
      <c r="M13" s="37"/>
      <c r="N13" s="37"/>
      <c r="O13" s="37">
        <v>0</v>
      </c>
      <c r="P13" s="37"/>
      <c r="Q13" s="37">
        <v>232000</v>
      </c>
      <c r="R13" s="37">
        <v>52000</v>
      </c>
      <c r="S13" s="37"/>
      <c r="T13" s="37">
        <f t="shared" si="0"/>
        <v>762500</v>
      </c>
      <c r="U13" s="42"/>
    </row>
    <row r="14" spans="1:21">
      <c r="A14" s="35" t="s">
        <v>44</v>
      </c>
      <c r="B14" s="37">
        <v>288500</v>
      </c>
      <c r="C14" s="37">
        <v>267000</v>
      </c>
      <c r="D14" s="37">
        <v>122000</v>
      </c>
      <c r="E14" s="37">
        <v>18000</v>
      </c>
      <c r="F14" s="37">
        <v>131800</v>
      </c>
      <c r="G14" s="37">
        <v>30000</v>
      </c>
      <c r="H14" s="37">
        <v>122000</v>
      </c>
      <c r="I14" s="37">
        <v>21000</v>
      </c>
      <c r="J14" s="37">
        <v>17000</v>
      </c>
      <c r="K14" s="37"/>
      <c r="L14" s="37"/>
      <c r="M14" s="37"/>
      <c r="N14" s="37"/>
      <c r="O14" s="37">
        <v>16000</v>
      </c>
      <c r="P14" s="37"/>
      <c r="Q14" s="37">
        <v>218000</v>
      </c>
      <c r="R14" s="37">
        <v>0</v>
      </c>
      <c r="S14" s="37"/>
      <c r="T14" s="37">
        <f t="shared" si="0"/>
        <v>1251300</v>
      </c>
      <c r="U14" s="34"/>
    </row>
    <row r="15" spans="1:21">
      <c r="A15" s="35" t="s">
        <v>45</v>
      </c>
      <c r="B15" s="37">
        <v>183500</v>
      </c>
      <c r="C15" s="37">
        <v>115000</v>
      </c>
      <c r="D15" s="37">
        <v>78000</v>
      </c>
      <c r="E15" s="37">
        <v>4000</v>
      </c>
      <c r="F15" s="37">
        <v>92000</v>
      </c>
      <c r="G15" s="37">
        <v>30000</v>
      </c>
      <c r="H15" s="37">
        <v>87000</v>
      </c>
      <c r="I15" s="37">
        <v>56500</v>
      </c>
      <c r="J15" s="37">
        <v>6000</v>
      </c>
      <c r="K15" s="37"/>
      <c r="L15" s="37"/>
      <c r="M15" s="37"/>
      <c r="N15" s="37"/>
      <c r="O15" s="37">
        <v>0</v>
      </c>
      <c r="P15" s="37"/>
      <c r="Q15" s="37">
        <v>20500</v>
      </c>
      <c r="R15" s="37">
        <v>0</v>
      </c>
      <c r="S15" s="37"/>
      <c r="T15" s="37">
        <f t="shared" si="0"/>
        <v>672500</v>
      </c>
      <c r="U15" s="34"/>
    </row>
    <row r="16" spans="1:21">
      <c r="A16" s="35" t="s">
        <v>46</v>
      </c>
      <c r="B16" s="37">
        <v>113000</v>
      </c>
      <c r="C16" s="37">
        <v>40000</v>
      </c>
      <c r="D16" s="37">
        <v>77000</v>
      </c>
      <c r="E16" s="37">
        <v>9000</v>
      </c>
      <c r="F16" s="37">
        <v>67000</v>
      </c>
      <c r="G16" s="37">
        <v>0</v>
      </c>
      <c r="H16" s="37">
        <v>111000</v>
      </c>
      <c r="I16" s="37">
        <v>29000</v>
      </c>
      <c r="J16" s="37">
        <v>0</v>
      </c>
      <c r="K16" s="37"/>
      <c r="L16" s="37"/>
      <c r="M16" s="37"/>
      <c r="N16" s="37"/>
      <c r="O16" s="37">
        <v>0</v>
      </c>
      <c r="P16" s="37"/>
      <c r="Q16" s="37">
        <v>0</v>
      </c>
      <c r="R16" s="37">
        <v>93000</v>
      </c>
      <c r="S16" s="37"/>
      <c r="T16" s="37">
        <f t="shared" si="0"/>
        <v>539000</v>
      </c>
      <c r="U16" s="34"/>
    </row>
    <row r="17" spans="1:21">
      <c r="A17" s="35" t="s">
        <v>47</v>
      </c>
      <c r="B17" s="37">
        <v>110000</v>
      </c>
      <c r="C17" s="37">
        <v>167000</v>
      </c>
      <c r="D17" s="37">
        <v>97000</v>
      </c>
      <c r="E17" s="37">
        <v>15000</v>
      </c>
      <c r="F17" s="37">
        <v>92500</v>
      </c>
      <c r="G17" s="37">
        <v>24000</v>
      </c>
      <c r="H17" s="37">
        <v>45000</v>
      </c>
      <c r="I17" s="37">
        <v>46500</v>
      </c>
      <c r="J17" s="37">
        <v>17000</v>
      </c>
      <c r="K17" s="37"/>
      <c r="L17" s="37"/>
      <c r="M17" s="37"/>
      <c r="N17" s="37"/>
      <c r="O17" s="37">
        <v>0</v>
      </c>
      <c r="P17" s="37"/>
      <c r="Q17" s="37">
        <v>23000</v>
      </c>
      <c r="R17" s="37">
        <v>361000</v>
      </c>
      <c r="S17" s="37"/>
      <c r="T17" s="37">
        <f t="shared" si="0"/>
        <v>998000</v>
      </c>
      <c r="U17" s="34"/>
    </row>
    <row r="18" spans="1:21">
      <c r="A18" s="35" t="s">
        <v>48</v>
      </c>
      <c r="B18" s="37">
        <v>104500</v>
      </c>
      <c r="C18" s="37">
        <v>96000</v>
      </c>
      <c r="D18" s="37">
        <v>106000</v>
      </c>
      <c r="E18" s="37">
        <v>24000</v>
      </c>
      <c r="F18" s="37">
        <v>74500</v>
      </c>
      <c r="G18" s="37">
        <v>12000</v>
      </c>
      <c r="H18" s="37">
        <v>52000</v>
      </c>
      <c r="I18" s="37">
        <v>23000</v>
      </c>
      <c r="J18" s="37">
        <v>15000</v>
      </c>
      <c r="K18" s="37"/>
      <c r="L18" s="37"/>
      <c r="M18" s="37"/>
      <c r="N18" s="37"/>
      <c r="O18" s="37">
        <v>0</v>
      </c>
      <c r="P18" s="37"/>
      <c r="Q18" s="37">
        <v>302500</v>
      </c>
      <c r="R18" s="37">
        <v>1194000</v>
      </c>
      <c r="S18" s="37"/>
      <c r="T18" s="37">
        <f t="shared" si="0"/>
        <v>2003500</v>
      </c>
      <c r="U18" s="34"/>
    </row>
    <row r="19" spans="1:21">
      <c r="A19" s="35" t="s">
        <v>49</v>
      </c>
      <c r="B19" s="37">
        <v>114500</v>
      </c>
      <c r="C19" s="37">
        <v>80000</v>
      </c>
      <c r="D19" s="37">
        <v>62500</v>
      </c>
      <c r="E19" s="37">
        <v>9500</v>
      </c>
      <c r="F19" s="37">
        <v>66500</v>
      </c>
      <c r="G19" s="37">
        <v>18000</v>
      </c>
      <c r="H19" s="37">
        <v>62000</v>
      </c>
      <c r="I19" s="37">
        <v>59500</v>
      </c>
      <c r="J19" s="37">
        <v>29000</v>
      </c>
      <c r="K19" s="37"/>
      <c r="L19" s="37"/>
      <c r="M19" s="37"/>
      <c r="N19" s="37"/>
      <c r="O19" s="37">
        <v>0</v>
      </c>
      <c r="P19" s="37"/>
      <c r="Q19" s="37">
        <v>46000</v>
      </c>
      <c r="R19" s="37">
        <v>1143000</v>
      </c>
      <c r="S19" s="37"/>
      <c r="T19" s="37">
        <f t="shared" si="0"/>
        <v>1690500</v>
      </c>
      <c r="U19" s="34"/>
    </row>
    <row r="20" spans="1:21">
      <c r="A20" s="35" t="s">
        <v>50</v>
      </c>
      <c r="B20" s="37">
        <v>205000</v>
      </c>
      <c r="C20" s="37">
        <v>27000</v>
      </c>
      <c r="D20" s="37">
        <v>115000</v>
      </c>
      <c r="E20" s="37">
        <v>0</v>
      </c>
      <c r="F20" s="37">
        <v>104000</v>
      </c>
      <c r="G20" s="37">
        <v>12000</v>
      </c>
      <c r="H20" s="37">
        <v>102000</v>
      </c>
      <c r="I20" s="37">
        <v>47500</v>
      </c>
      <c r="J20" s="37">
        <v>3000</v>
      </c>
      <c r="K20" s="37"/>
      <c r="L20" s="37"/>
      <c r="M20" s="37"/>
      <c r="N20" s="37"/>
      <c r="O20" s="37">
        <v>0</v>
      </c>
      <c r="P20" s="37"/>
      <c r="Q20" s="37">
        <v>0</v>
      </c>
      <c r="R20" s="37">
        <v>1000</v>
      </c>
      <c r="S20" s="37"/>
      <c r="T20" s="37">
        <f t="shared" si="0"/>
        <v>616500</v>
      </c>
      <c r="U20" s="34"/>
    </row>
    <row r="21" spans="1:21">
      <c r="A21" s="35" t="s">
        <v>73</v>
      </c>
      <c r="B21" s="37">
        <v>140500</v>
      </c>
      <c r="C21" s="37">
        <v>128000</v>
      </c>
      <c r="D21" s="37">
        <v>125000</v>
      </c>
      <c r="E21" s="37">
        <v>14000</v>
      </c>
      <c r="F21" s="37">
        <v>130000</v>
      </c>
      <c r="G21" s="37">
        <v>12000</v>
      </c>
      <c r="H21" s="37">
        <v>106000</v>
      </c>
      <c r="I21" s="37">
        <v>78500</v>
      </c>
      <c r="J21" s="37">
        <v>11000</v>
      </c>
      <c r="K21" s="37"/>
      <c r="L21" s="37"/>
      <c r="M21" s="37"/>
      <c r="N21" s="37"/>
      <c r="O21" s="37">
        <v>0</v>
      </c>
      <c r="P21" s="37"/>
      <c r="Q21" s="37">
        <v>23000</v>
      </c>
      <c r="R21" s="37">
        <v>5000</v>
      </c>
      <c r="S21" s="37"/>
      <c r="T21" s="37">
        <f t="shared" si="0"/>
        <v>773000</v>
      </c>
      <c r="U21" s="34"/>
    </row>
    <row r="22" spans="1:21">
      <c r="A22" s="35" t="s">
        <v>52</v>
      </c>
      <c r="B22" s="37">
        <v>64000</v>
      </c>
      <c r="C22" s="37">
        <v>171000</v>
      </c>
      <c r="D22" s="37">
        <v>58000</v>
      </c>
      <c r="E22" s="37">
        <v>14000</v>
      </c>
      <c r="F22" s="37">
        <v>31000</v>
      </c>
      <c r="G22" s="37">
        <v>0</v>
      </c>
      <c r="H22" s="37">
        <v>68000</v>
      </c>
      <c r="I22" s="37">
        <v>21000</v>
      </c>
      <c r="J22" s="37">
        <v>6000</v>
      </c>
      <c r="K22" s="37"/>
      <c r="L22" s="37"/>
      <c r="M22" s="37"/>
      <c r="N22" s="37"/>
      <c r="O22" s="37">
        <v>0</v>
      </c>
      <c r="P22" s="37"/>
      <c r="Q22" s="37">
        <v>0</v>
      </c>
      <c r="R22" s="37">
        <v>0</v>
      </c>
      <c r="S22" s="37"/>
      <c r="T22" s="37">
        <f t="shared" si="0"/>
        <v>433000</v>
      </c>
      <c r="U22" s="34"/>
    </row>
    <row r="23" spans="1:21">
      <c r="A23" s="35" t="s">
        <v>53</v>
      </c>
      <c r="B23" s="37">
        <v>229500</v>
      </c>
      <c r="C23" s="37">
        <v>113000</v>
      </c>
      <c r="D23" s="37">
        <v>146000</v>
      </c>
      <c r="E23" s="37">
        <v>12000</v>
      </c>
      <c r="F23" s="37">
        <v>72000</v>
      </c>
      <c r="G23" s="37">
        <v>0</v>
      </c>
      <c r="H23" s="37">
        <v>141000</v>
      </c>
      <c r="I23" s="37">
        <v>100000</v>
      </c>
      <c r="J23" s="37">
        <v>0</v>
      </c>
      <c r="K23" s="37"/>
      <c r="L23" s="37"/>
      <c r="M23" s="37"/>
      <c r="N23" s="37"/>
      <c r="O23" s="37">
        <v>10000</v>
      </c>
      <c r="P23" s="37"/>
      <c r="Q23" s="37">
        <v>0</v>
      </c>
      <c r="R23" s="37">
        <v>0</v>
      </c>
      <c r="S23" s="37"/>
      <c r="T23" s="37">
        <f t="shared" si="0"/>
        <v>823500</v>
      </c>
      <c r="U23" s="34">
        <v>2510000</v>
      </c>
    </row>
    <row r="24" spans="1:21">
      <c r="A24" s="35" t="s">
        <v>54</v>
      </c>
      <c r="B24" s="37">
        <v>181000</v>
      </c>
      <c r="C24" s="37">
        <v>30000</v>
      </c>
      <c r="D24" s="37">
        <v>95000</v>
      </c>
      <c r="E24" s="37">
        <v>6000</v>
      </c>
      <c r="F24" s="37">
        <v>56000</v>
      </c>
      <c r="G24" s="37">
        <v>0</v>
      </c>
      <c r="H24" s="37">
        <v>35000</v>
      </c>
      <c r="I24" s="37">
        <v>59000</v>
      </c>
      <c r="J24" s="37">
        <v>0</v>
      </c>
      <c r="K24" s="37"/>
      <c r="L24" s="37"/>
      <c r="M24" s="37"/>
      <c r="N24" s="37"/>
      <c r="O24" s="37">
        <v>10000</v>
      </c>
      <c r="P24" s="37"/>
      <c r="Q24" s="37">
        <v>0</v>
      </c>
      <c r="R24" s="37">
        <v>0</v>
      </c>
      <c r="S24" s="37"/>
      <c r="T24" s="37">
        <f t="shared" si="0"/>
        <v>472000</v>
      </c>
      <c r="U24" s="34"/>
    </row>
    <row r="25" spans="1:21">
      <c r="A25" s="35" t="s">
        <v>55</v>
      </c>
      <c r="B25" s="37">
        <v>153000</v>
      </c>
      <c r="C25" s="37">
        <v>76000</v>
      </c>
      <c r="D25" s="37">
        <v>120000</v>
      </c>
      <c r="E25" s="37">
        <v>15000</v>
      </c>
      <c r="F25" s="37">
        <v>68800</v>
      </c>
      <c r="G25" s="37">
        <v>0</v>
      </c>
      <c r="H25" s="37">
        <v>78000</v>
      </c>
      <c r="I25" s="37">
        <v>106000</v>
      </c>
      <c r="J25" s="37">
        <v>6000</v>
      </c>
      <c r="K25" s="37"/>
      <c r="L25" s="37"/>
      <c r="M25" s="37"/>
      <c r="N25" s="37"/>
      <c r="O25" s="37">
        <v>0</v>
      </c>
      <c r="P25" s="37"/>
      <c r="Q25" s="37">
        <v>192000</v>
      </c>
      <c r="R25" s="37">
        <v>0</v>
      </c>
      <c r="S25" s="37"/>
      <c r="T25" s="37">
        <f t="shared" si="0"/>
        <v>814800</v>
      </c>
      <c r="U25" s="42"/>
    </row>
    <row r="26" spans="1:21">
      <c r="A26" s="35" t="s">
        <v>56</v>
      </c>
      <c r="B26" s="37">
        <v>185500</v>
      </c>
      <c r="C26" s="37">
        <v>28000</v>
      </c>
      <c r="D26" s="37">
        <v>51000</v>
      </c>
      <c r="E26" s="37">
        <v>8500</v>
      </c>
      <c r="F26" s="37">
        <v>86000</v>
      </c>
      <c r="G26" s="37">
        <v>12000</v>
      </c>
      <c r="H26" s="37">
        <v>25000</v>
      </c>
      <c r="I26" s="37">
        <v>18000</v>
      </c>
      <c r="J26" s="37">
        <v>6000</v>
      </c>
      <c r="K26" s="37"/>
      <c r="L26" s="37"/>
      <c r="M26" s="37"/>
      <c r="N26" s="37"/>
      <c r="O26" s="37">
        <v>0</v>
      </c>
      <c r="P26" s="37"/>
      <c r="Q26" s="37">
        <v>0</v>
      </c>
      <c r="R26" s="37">
        <v>0</v>
      </c>
      <c r="S26" s="37"/>
      <c r="T26" s="37">
        <f t="shared" si="0"/>
        <v>420000</v>
      </c>
      <c r="U26" s="34"/>
    </row>
    <row r="27" spans="1:21">
      <c r="A27" s="35" t="s">
        <v>57</v>
      </c>
      <c r="B27" s="37">
        <v>160000</v>
      </c>
      <c r="C27" s="37">
        <v>74000</v>
      </c>
      <c r="D27" s="37">
        <v>68000</v>
      </c>
      <c r="E27" s="37">
        <v>4000</v>
      </c>
      <c r="F27" s="37">
        <v>71800</v>
      </c>
      <c r="G27" s="37">
        <v>0</v>
      </c>
      <c r="H27" s="37">
        <v>12000</v>
      </c>
      <c r="I27" s="37">
        <v>35000</v>
      </c>
      <c r="J27" s="37">
        <v>0</v>
      </c>
      <c r="K27" s="37"/>
      <c r="L27" s="37"/>
      <c r="M27" s="37"/>
      <c r="N27" s="37"/>
      <c r="O27" s="31">
        <v>0</v>
      </c>
      <c r="P27" s="37"/>
      <c r="Q27" s="37">
        <v>0</v>
      </c>
      <c r="R27" s="37">
        <v>0</v>
      </c>
      <c r="S27" s="37"/>
      <c r="T27" s="37">
        <f t="shared" si="0"/>
        <v>424800</v>
      </c>
      <c r="U27" s="34"/>
    </row>
    <row r="28" spans="1:21" ht="21.75" customHeight="1">
      <c r="A28" s="35" t="s">
        <v>58</v>
      </c>
      <c r="B28" s="37">
        <v>269500</v>
      </c>
      <c r="C28" s="37">
        <v>169000</v>
      </c>
      <c r="D28" s="37">
        <v>140000</v>
      </c>
      <c r="E28" s="37">
        <v>22000</v>
      </c>
      <c r="F28" s="37">
        <v>189600</v>
      </c>
      <c r="G28" s="37">
        <v>12000</v>
      </c>
      <c r="H28" s="37">
        <v>212000</v>
      </c>
      <c r="I28" s="37">
        <v>91000</v>
      </c>
      <c r="J28" s="37">
        <v>36000</v>
      </c>
      <c r="K28" s="37"/>
      <c r="L28" s="37"/>
      <c r="M28" s="37"/>
      <c r="N28" s="37"/>
      <c r="O28" s="37">
        <v>5000</v>
      </c>
      <c r="P28" s="37"/>
      <c r="Q28" s="37">
        <v>0</v>
      </c>
      <c r="R28" s="37">
        <v>0</v>
      </c>
      <c r="S28" s="37"/>
      <c r="T28" s="37">
        <f t="shared" si="0"/>
        <v>1146100</v>
      </c>
      <c r="U28" s="34"/>
    </row>
    <row r="29" spans="1:21">
      <c r="A29" s="35" t="s">
        <v>59</v>
      </c>
      <c r="B29" s="37">
        <v>129000</v>
      </c>
      <c r="C29" s="37">
        <v>90000</v>
      </c>
      <c r="D29" s="37">
        <v>71000</v>
      </c>
      <c r="E29" s="37">
        <v>13000</v>
      </c>
      <c r="F29" s="37">
        <v>109000</v>
      </c>
      <c r="G29" s="37">
        <v>0</v>
      </c>
      <c r="H29" s="37">
        <v>66000</v>
      </c>
      <c r="I29" s="37">
        <v>50000</v>
      </c>
      <c r="J29" s="37">
        <v>2000</v>
      </c>
      <c r="K29" s="37"/>
      <c r="L29" s="37"/>
      <c r="M29" s="37"/>
      <c r="N29" s="37"/>
      <c r="O29" s="37">
        <v>0</v>
      </c>
      <c r="P29" s="37"/>
      <c r="Q29" s="37">
        <v>0</v>
      </c>
      <c r="R29" s="37">
        <v>0</v>
      </c>
      <c r="S29" s="37"/>
      <c r="T29" s="37">
        <f t="shared" si="0"/>
        <v>530000</v>
      </c>
      <c r="U29" s="34"/>
    </row>
    <row r="30" spans="1:21">
      <c r="A30" s="35" t="s">
        <v>60</v>
      </c>
      <c r="B30" s="37">
        <v>114000</v>
      </c>
      <c r="C30" s="37">
        <v>135000</v>
      </c>
      <c r="D30" s="37">
        <v>70000</v>
      </c>
      <c r="E30" s="37">
        <v>10000</v>
      </c>
      <c r="F30" s="37">
        <v>98000</v>
      </c>
      <c r="G30" s="37">
        <v>0</v>
      </c>
      <c r="H30" s="37">
        <v>41000</v>
      </c>
      <c r="I30" s="37">
        <v>65000</v>
      </c>
      <c r="J30" s="37">
        <v>7500</v>
      </c>
      <c r="K30" s="37"/>
      <c r="L30" s="37"/>
      <c r="M30" s="37"/>
      <c r="N30" s="37"/>
      <c r="O30" s="37">
        <v>10000</v>
      </c>
      <c r="P30" s="37"/>
      <c r="Q30" s="37">
        <v>0</v>
      </c>
      <c r="R30" s="37">
        <v>0</v>
      </c>
      <c r="S30" s="37"/>
      <c r="T30" s="37">
        <f t="shared" si="0"/>
        <v>550500</v>
      </c>
      <c r="U30" s="34"/>
    </row>
    <row r="31" spans="1:21" ht="15.75" customHeight="1">
      <c r="A31" s="35" t="s">
        <v>61</v>
      </c>
      <c r="B31" s="31">
        <v>102500</v>
      </c>
      <c r="C31" s="31">
        <v>34000</v>
      </c>
      <c r="D31" s="31">
        <v>96000</v>
      </c>
      <c r="E31" s="31">
        <v>2000</v>
      </c>
      <c r="F31" s="31">
        <v>77600</v>
      </c>
      <c r="G31" s="31">
        <v>0</v>
      </c>
      <c r="H31" s="31">
        <v>88000</v>
      </c>
      <c r="I31" s="31">
        <v>29000</v>
      </c>
      <c r="J31" s="31">
        <v>0</v>
      </c>
      <c r="K31" s="31"/>
      <c r="L31" s="31"/>
      <c r="M31" s="31"/>
      <c r="N31" s="31"/>
      <c r="O31" s="31">
        <v>0</v>
      </c>
      <c r="P31" s="31"/>
      <c r="Q31" s="31">
        <v>0</v>
      </c>
      <c r="R31" s="31">
        <v>0</v>
      </c>
      <c r="S31" s="31"/>
      <c r="T31" s="37">
        <f t="shared" si="0"/>
        <v>429100</v>
      </c>
      <c r="U31" s="39"/>
    </row>
    <row r="32" spans="1:21">
      <c r="A32" s="35" t="s">
        <v>62</v>
      </c>
      <c r="B32" s="31">
        <v>126000</v>
      </c>
      <c r="C32" s="31">
        <v>168000</v>
      </c>
      <c r="D32" s="31">
        <v>62000</v>
      </c>
      <c r="E32" s="31">
        <v>10000</v>
      </c>
      <c r="F32" s="31">
        <v>75000</v>
      </c>
      <c r="G32" s="31">
        <v>0</v>
      </c>
      <c r="H32" s="31">
        <v>60000</v>
      </c>
      <c r="I32" s="31">
        <v>45000</v>
      </c>
      <c r="J32" s="31">
        <v>6000</v>
      </c>
      <c r="K32" s="31"/>
      <c r="L32" s="31"/>
      <c r="M32" s="31"/>
      <c r="N32" s="31"/>
      <c r="O32" s="31">
        <v>6000</v>
      </c>
      <c r="P32" s="31"/>
      <c r="Q32" s="31">
        <v>0</v>
      </c>
      <c r="R32" s="31">
        <v>0</v>
      </c>
      <c r="S32" s="31"/>
      <c r="T32" s="37">
        <f t="shared" si="0"/>
        <v>558000</v>
      </c>
      <c r="U32" s="39"/>
    </row>
    <row r="33" spans="1:21">
      <c r="A33" s="35" t="s">
        <v>63</v>
      </c>
      <c r="B33" s="31">
        <v>126000</v>
      </c>
      <c r="C33" s="31">
        <v>70000</v>
      </c>
      <c r="D33" s="31">
        <v>89000</v>
      </c>
      <c r="E33" s="31">
        <v>10000</v>
      </c>
      <c r="F33" s="31">
        <v>91000</v>
      </c>
      <c r="G33" s="31">
        <v>0</v>
      </c>
      <c r="H33" s="31">
        <v>54000</v>
      </c>
      <c r="I33" s="31">
        <v>34000</v>
      </c>
      <c r="J33" s="31">
        <v>0</v>
      </c>
      <c r="K33" s="31"/>
      <c r="L33" s="31"/>
      <c r="M33" s="31"/>
      <c r="N33" s="31"/>
      <c r="O33" s="31">
        <v>0</v>
      </c>
      <c r="P33" s="31"/>
      <c r="Q33" s="31">
        <v>0</v>
      </c>
      <c r="R33" s="31">
        <v>0</v>
      </c>
      <c r="S33" s="31"/>
      <c r="T33" s="37">
        <f t="shared" si="0"/>
        <v>474000</v>
      </c>
      <c r="U33" s="39"/>
    </row>
    <row r="34" spans="1:21">
      <c r="A34" s="35" t="s">
        <v>64</v>
      </c>
      <c r="B34" s="31">
        <v>209000</v>
      </c>
      <c r="C34" s="31">
        <v>122000</v>
      </c>
      <c r="D34" s="31">
        <v>180000</v>
      </c>
      <c r="E34" s="31">
        <v>35000</v>
      </c>
      <c r="F34" s="31">
        <v>182100</v>
      </c>
      <c r="G34" s="31">
        <v>0</v>
      </c>
      <c r="H34" s="31">
        <v>104000</v>
      </c>
      <c r="I34" s="31">
        <v>60000</v>
      </c>
      <c r="J34" s="31">
        <v>8000</v>
      </c>
      <c r="K34" s="31"/>
      <c r="L34" s="31"/>
      <c r="M34" s="31"/>
      <c r="N34" s="31"/>
      <c r="O34" s="46">
        <v>29000</v>
      </c>
      <c r="P34" s="31"/>
      <c r="Q34" s="31">
        <v>351500</v>
      </c>
      <c r="R34" s="31">
        <v>0</v>
      </c>
      <c r="S34" s="31"/>
      <c r="T34" s="31">
        <f t="shared" si="0"/>
        <v>1280600</v>
      </c>
      <c r="U34" s="39"/>
    </row>
    <row r="35" spans="1:21">
      <c r="A35" s="35" t="s">
        <v>83</v>
      </c>
      <c r="B35" s="31">
        <v>252000</v>
      </c>
      <c r="C35" s="31">
        <v>102000</v>
      </c>
      <c r="D35" s="31">
        <v>103000</v>
      </c>
      <c r="E35" s="31">
        <v>14000</v>
      </c>
      <c r="F35" s="31">
        <v>142200</v>
      </c>
      <c r="G35" s="31">
        <v>36000</v>
      </c>
      <c r="H35" s="31">
        <v>82000</v>
      </c>
      <c r="I35" s="31">
        <v>81000</v>
      </c>
      <c r="J35" s="31">
        <v>26000</v>
      </c>
      <c r="K35" s="31"/>
      <c r="L35" s="31"/>
      <c r="M35" s="31"/>
      <c r="N35" s="31"/>
      <c r="O35" s="31">
        <v>0</v>
      </c>
      <c r="P35" s="31"/>
      <c r="Q35" s="31">
        <v>238500</v>
      </c>
      <c r="R35" s="31">
        <v>0</v>
      </c>
      <c r="S35" s="31"/>
      <c r="T35" s="31">
        <f t="shared" si="0"/>
        <v>1076700</v>
      </c>
      <c r="U35" s="43">
        <v>1400000</v>
      </c>
    </row>
    <row r="36" spans="1:21">
      <c r="A36" s="35" t="s">
        <v>84</v>
      </c>
      <c r="B36" s="31"/>
      <c r="C36" s="31"/>
      <c r="D36" s="31"/>
      <c r="E36" s="31"/>
      <c r="F36" s="31"/>
      <c r="G36" s="31"/>
      <c r="H36" s="31"/>
      <c r="I36" s="31"/>
      <c r="J36" s="31"/>
      <c r="K36" s="31"/>
      <c r="L36" s="31"/>
      <c r="M36" s="31"/>
      <c r="N36" s="31"/>
      <c r="O36" s="31">
        <v>0</v>
      </c>
      <c r="P36" s="31"/>
      <c r="Q36" s="31">
        <v>0</v>
      </c>
      <c r="R36" s="31">
        <v>0</v>
      </c>
      <c r="S36" s="31"/>
      <c r="T36" s="31">
        <f>SUM(B36:S36)</f>
        <v>0</v>
      </c>
      <c r="U36" s="39"/>
    </row>
    <row r="37" spans="1:21">
      <c r="A37" s="40" t="s">
        <v>23</v>
      </c>
      <c r="B37" s="41">
        <f t="shared" ref="B37:J37" si="1">SUM(B6:B36)</f>
        <v>4705000</v>
      </c>
      <c r="C37" s="41">
        <f t="shared" si="1"/>
        <v>2977000</v>
      </c>
      <c r="D37" s="41">
        <f t="shared" si="1"/>
        <v>2790000</v>
      </c>
      <c r="E37" s="41">
        <f t="shared" si="1"/>
        <v>401500</v>
      </c>
      <c r="F37" s="41">
        <f t="shared" si="1"/>
        <v>2807900</v>
      </c>
      <c r="G37" s="41">
        <f t="shared" si="1"/>
        <v>258000</v>
      </c>
      <c r="H37" s="41">
        <f t="shared" si="1"/>
        <v>2302500</v>
      </c>
      <c r="I37" s="41">
        <f t="shared" si="1"/>
        <v>1613500</v>
      </c>
      <c r="J37" s="41">
        <f t="shared" si="1"/>
        <v>254500</v>
      </c>
      <c r="K37" s="31"/>
      <c r="L37" s="31"/>
      <c r="M37" s="31"/>
      <c r="N37" s="31"/>
      <c r="O37" s="31">
        <f>SUM(O6:O36)</f>
        <v>152000</v>
      </c>
      <c r="P37" s="31"/>
      <c r="Q37" s="31">
        <f>SUM(Q6:Q36)</f>
        <v>1693000</v>
      </c>
      <c r="R37" s="31">
        <f>SUM(R6:R36)</f>
        <v>2972000</v>
      </c>
      <c r="S37" s="31"/>
      <c r="T37" s="31">
        <f>SUM(B37:S37)</f>
        <v>22926900</v>
      </c>
      <c r="U37" s="45"/>
    </row>
    <row r="38" spans="1:21">
      <c r="R38" s="47"/>
    </row>
  </sheetData>
  <mergeCells count="4">
    <mergeCell ref="B1:T1"/>
    <mergeCell ref="B2:T2"/>
    <mergeCell ref="C3:F3"/>
    <mergeCell ref="C4:F4"/>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28"/>
  <sheetViews>
    <sheetView workbookViewId="0">
      <selection sqref="A1:G28"/>
    </sheetView>
  </sheetViews>
  <sheetFormatPr defaultRowHeight="15"/>
  <cols>
    <col min="1" max="1" width="21.42578125" customWidth="1"/>
    <col min="2" max="2" width="14.7109375" customWidth="1"/>
    <col min="3" max="3" width="14.85546875" customWidth="1"/>
    <col min="4" max="4" width="14.7109375" customWidth="1"/>
    <col min="5" max="5" width="12.5703125" customWidth="1"/>
    <col min="6" max="6" width="13.42578125" customWidth="1"/>
    <col min="7" max="7" width="13" customWidth="1"/>
  </cols>
  <sheetData>
    <row r="1" spans="1:7" ht="16.5" thickBot="1">
      <c r="A1" s="6" t="s">
        <v>24</v>
      </c>
      <c r="B1" s="70" t="s">
        <v>98</v>
      </c>
      <c r="C1" s="71"/>
      <c r="D1" s="72"/>
      <c r="E1" s="11"/>
      <c r="F1" s="11"/>
      <c r="G1" s="12"/>
    </row>
    <row r="2" spans="1:7" ht="15.75">
      <c r="A2" s="13" t="s">
        <v>25</v>
      </c>
      <c r="B2" s="14" t="s">
        <v>26</v>
      </c>
      <c r="C2" s="14" t="s">
        <v>27</v>
      </c>
      <c r="D2" s="14" t="s">
        <v>28</v>
      </c>
      <c r="E2" s="14" t="s">
        <v>29</v>
      </c>
      <c r="F2" s="15" t="s">
        <v>30</v>
      </c>
      <c r="G2" s="16" t="s">
        <v>31</v>
      </c>
    </row>
    <row r="3" spans="1:7" ht="15.75">
      <c r="A3" s="17" t="s">
        <v>4</v>
      </c>
      <c r="B3" s="18">
        <v>370000</v>
      </c>
      <c r="C3" s="18">
        <v>1246500</v>
      </c>
      <c r="D3" s="18">
        <v>851500</v>
      </c>
      <c r="E3" s="18">
        <v>1307000</v>
      </c>
      <c r="F3" s="19">
        <v>929500</v>
      </c>
      <c r="G3" s="20">
        <f t="shared" ref="G3:G11" si="0">SUM(B3:F3)</f>
        <v>4704500</v>
      </c>
    </row>
    <row r="4" spans="1:7" ht="15.75">
      <c r="A4" s="17" t="s">
        <v>5</v>
      </c>
      <c r="B4" s="18">
        <v>320000</v>
      </c>
      <c r="C4" s="18">
        <v>737000</v>
      </c>
      <c r="D4" s="18">
        <v>709000</v>
      </c>
      <c r="E4" s="18">
        <v>580000</v>
      </c>
      <c r="F4" s="19">
        <v>631000</v>
      </c>
      <c r="G4" s="20">
        <f>SUM(B4:F4)</f>
        <v>2977000</v>
      </c>
    </row>
    <row r="5" spans="1:7" ht="15.75">
      <c r="A5" s="17" t="s">
        <v>32</v>
      </c>
      <c r="B5" s="18">
        <v>290000</v>
      </c>
      <c r="C5" s="18">
        <v>568500</v>
      </c>
      <c r="D5" s="18">
        <v>640500</v>
      </c>
      <c r="E5" s="18">
        <v>691000</v>
      </c>
      <c r="F5" s="19">
        <v>600000</v>
      </c>
      <c r="G5" s="20">
        <f t="shared" si="0"/>
        <v>2790000</v>
      </c>
    </row>
    <row r="6" spans="1:7" ht="15.75">
      <c r="A6" s="17" t="s">
        <v>33</v>
      </c>
      <c r="B6" s="18">
        <v>71000</v>
      </c>
      <c r="C6" s="18">
        <v>83500</v>
      </c>
      <c r="D6" s="18">
        <v>85500</v>
      </c>
      <c r="E6" s="18">
        <v>80500</v>
      </c>
      <c r="F6" s="19">
        <v>81000</v>
      </c>
      <c r="G6" s="20">
        <f t="shared" si="0"/>
        <v>401500</v>
      </c>
    </row>
    <row r="7" spans="1:7" ht="15.75">
      <c r="A7" s="17" t="s">
        <v>8</v>
      </c>
      <c r="B7" s="18">
        <v>306000</v>
      </c>
      <c r="C7" s="18">
        <v>617300</v>
      </c>
      <c r="D7" s="18">
        <v>565500</v>
      </c>
      <c r="E7" s="18">
        <v>653200</v>
      </c>
      <c r="F7" s="19">
        <v>665900</v>
      </c>
      <c r="G7" s="20">
        <f t="shared" si="0"/>
        <v>2807900</v>
      </c>
    </row>
    <row r="8" spans="1:7" ht="15.75">
      <c r="A8" s="17" t="s">
        <v>9</v>
      </c>
      <c r="B8" s="18">
        <v>12000</v>
      </c>
      <c r="C8" s="18">
        <v>108000</v>
      </c>
      <c r="D8" s="18">
        <v>78000</v>
      </c>
      <c r="E8" s="18">
        <v>24000</v>
      </c>
      <c r="F8" s="19">
        <v>36000</v>
      </c>
      <c r="G8" s="20">
        <f t="shared" si="0"/>
        <v>258000</v>
      </c>
    </row>
    <row r="9" spans="1:7" ht="15.75">
      <c r="A9" s="17" t="s">
        <v>10</v>
      </c>
      <c r="B9" s="18">
        <v>297500</v>
      </c>
      <c r="C9" s="18">
        <v>461000</v>
      </c>
      <c r="D9" s="18">
        <v>546000</v>
      </c>
      <c r="E9" s="18">
        <v>569000</v>
      </c>
      <c r="F9" s="19">
        <v>429000</v>
      </c>
      <c r="G9" s="20">
        <f t="shared" si="0"/>
        <v>2302500</v>
      </c>
    </row>
    <row r="10" spans="1:7" ht="15.75">
      <c r="A10" s="17" t="s">
        <v>11</v>
      </c>
      <c r="B10" s="18">
        <v>218000</v>
      </c>
      <c r="C10" s="18">
        <v>317500</v>
      </c>
      <c r="D10" s="18">
        <v>305000</v>
      </c>
      <c r="E10" s="18">
        <v>459000</v>
      </c>
      <c r="F10" s="19">
        <v>314000</v>
      </c>
      <c r="G10" s="20">
        <f t="shared" si="0"/>
        <v>1613500</v>
      </c>
    </row>
    <row r="11" spans="1:7" ht="15.75">
      <c r="A11" s="17" t="s">
        <v>12</v>
      </c>
      <c r="B11" s="18">
        <v>25000</v>
      </c>
      <c r="C11" s="18">
        <v>51000</v>
      </c>
      <c r="D11" s="18">
        <v>81000</v>
      </c>
      <c r="E11" s="18">
        <v>50000</v>
      </c>
      <c r="F11" s="19">
        <v>47500</v>
      </c>
      <c r="G11" s="20">
        <f t="shared" si="0"/>
        <v>254500</v>
      </c>
    </row>
    <row r="12" spans="1:7" ht="15.75">
      <c r="A12" s="17" t="s">
        <v>13</v>
      </c>
      <c r="B12" s="18"/>
      <c r="C12" s="18"/>
      <c r="D12" s="18"/>
      <c r="E12" s="18"/>
      <c r="F12" s="19"/>
      <c r="G12" s="20">
        <f t="shared" ref="G12:G19" si="1">SUM(B12:E12)</f>
        <v>0</v>
      </c>
    </row>
    <row r="13" spans="1:7" ht="15.75">
      <c r="A13" s="17" t="s">
        <v>14</v>
      </c>
      <c r="B13" s="18"/>
      <c r="C13" s="18"/>
      <c r="D13" s="18"/>
      <c r="E13" s="18"/>
      <c r="F13" s="19"/>
      <c r="G13" s="20">
        <f t="shared" si="1"/>
        <v>0</v>
      </c>
    </row>
    <row r="14" spans="1:7" ht="15.75">
      <c r="A14" s="17" t="s">
        <v>15</v>
      </c>
      <c r="B14" s="18"/>
      <c r="C14" s="18"/>
      <c r="D14" s="18"/>
      <c r="E14" s="18"/>
      <c r="F14" s="19"/>
      <c r="G14" s="20">
        <f t="shared" si="1"/>
        <v>0</v>
      </c>
    </row>
    <row r="15" spans="1:7" ht="15.75">
      <c r="A15" s="17" t="s">
        <v>16</v>
      </c>
      <c r="B15" s="18"/>
      <c r="C15" s="18"/>
      <c r="D15" s="18"/>
      <c r="E15" s="18"/>
      <c r="F15" s="19"/>
      <c r="G15" s="20">
        <f t="shared" si="1"/>
        <v>0</v>
      </c>
    </row>
    <row r="16" spans="1:7" ht="15.75">
      <c r="A16" s="17" t="s">
        <v>17</v>
      </c>
      <c r="B16" s="18">
        <v>36000</v>
      </c>
      <c r="C16" s="18">
        <v>40000</v>
      </c>
      <c r="D16" s="18">
        <v>6000</v>
      </c>
      <c r="E16" s="18">
        <v>25000</v>
      </c>
      <c r="F16" s="19">
        <v>45000</v>
      </c>
      <c r="G16" s="20">
        <f>SUM(B16:F16)</f>
        <v>152000</v>
      </c>
    </row>
    <row r="17" spans="1:7" ht="15.75">
      <c r="A17" s="17" t="s">
        <v>18</v>
      </c>
      <c r="B17" s="18"/>
      <c r="C17" s="18"/>
      <c r="D17" s="18"/>
      <c r="E17" s="18"/>
      <c r="F17" s="19"/>
      <c r="G17" s="20">
        <f t="shared" si="1"/>
        <v>0</v>
      </c>
    </row>
    <row r="18" spans="1:7" ht="15.75">
      <c r="A18" s="17" t="s">
        <v>19</v>
      </c>
      <c r="B18" s="18"/>
      <c r="C18" s="18"/>
      <c r="D18" s="18"/>
      <c r="E18" s="18"/>
      <c r="F18" s="19"/>
      <c r="G18" s="20">
        <f t="shared" si="1"/>
        <v>0</v>
      </c>
    </row>
    <row r="19" spans="1:7" ht="15.75">
      <c r="A19" s="17" t="s">
        <v>34</v>
      </c>
      <c r="B19" s="18"/>
      <c r="C19" s="18"/>
      <c r="D19" s="18"/>
      <c r="E19" s="18"/>
      <c r="F19" s="19"/>
      <c r="G19" s="20">
        <f t="shared" si="1"/>
        <v>0</v>
      </c>
    </row>
    <row r="20" spans="1:7" ht="16.5" thickBot="1">
      <c r="A20" s="21" t="s">
        <v>35</v>
      </c>
      <c r="B20" s="22">
        <f t="shared" ref="B20:G20" si="2">SUM(B3:B19)</f>
        <v>1945500</v>
      </c>
      <c r="C20" s="22">
        <f t="shared" si="2"/>
        <v>4230300</v>
      </c>
      <c r="D20" s="22">
        <f t="shared" si="2"/>
        <v>3868000</v>
      </c>
      <c r="E20" s="22">
        <f t="shared" si="2"/>
        <v>4438700</v>
      </c>
      <c r="F20" s="22">
        <f t="shared" si="2"/>
        <v>3778900</v>
      </c>
      <c r="G20" s="23">
        <f t="shared" si="2"/>
        <v>18261400</v>
      </c>
    </row>
    <row r="22" spans="1:7" ht="15.75" thickBot="1"/>
    <row r="23" spans="1:7" ht="21.75" thickBot="1">
      <c r="A23" s="73" t="s">
        <v>36</v>
      </c>
      <c r="B23" s="74"/>
      <c r="C23" s="74"/>
      <c r="D23" s="74"/>
      <c r="E23" s="74"/>
      <c r="F23" s="74"/>
      <c r="G23" s="75"/>
    </row>
    <row r="24" spans="1:7" ht="15.75" thickBot="1">
      <c r="A24" s="93" t="s">
        <v>100</v>
      </c>
      <c r="B24" s="68"/>
      <c r="C24" s="68"/>
      <c r="D24" s="68"/>
      <c r="E24" s="68"/>
      <c r="F24" s="68"/>
      <c r="G24" s="69"/>
    </row>
    <row r="25" spans="1:7" ht="15.75" thickBot="1">
      <c r="A25" s="24"/>
      <c r="B25" s="25"/>
      <c r="C25" s="25"/>
      <c r="D25" s="25"/>
      <c r="E25" s="25"/>
      <c r="F25" s="25"/>
      <c r="G25" s="26"/>
    </row>
    <row r="26" spans="1:7" ht="15.75" thickBot="1">
      <c r="A26" s="67" t="s">
        <v>99</v>
      </c>
      <c r="B26" s="68"/>
      <c r="C26" s="68"/>
      <c r="D26" s="68"/>
      <c r="E26" s="68"/>
      <c r="F26" s="68"/>
      <c r="G26" s="69"/>
    </row>
    <row r="27" spans="1:7" ht="15.75" thickBot="1">
      <c r="A27" s="77"/>
      <c r="B27" s="68"/>
      <c r="C27" s="68"/>
      <c r="D27" s="68"/>
      <c r="E27" s="68"/>
      <c r="F27" s="68"/>
      <c r="G27" s="69"/>
    </row>
    <row r="28" spans="1:7" ht="15.75" thickBot="1">
      <c r="A28" s="67"/>
      <c r="B28" s="68"/>
      <c r="C28" s="68"/>
      <c r="D28" s="68"/>
      <c r="E28" s="68"/>
      <c r="F28" s="68"/>
      <c r="G28" s="69"/>
    </row>
  </sheetData>
  <mergeCells count="6">
    <mergeCell ref="A28:G28"/>
    <mergeCell ref="B1:D1"/>
    <mergeCell ref="A23:G23"/>
    <mergeCell ref="A24:G24"/>
    <mergeCell ref="A26:G26"/>
    <mergeCell ref="A27:G27"/>
  </mergeCells>
  <pageMargins left="0.7" right="0.7" top="0.75" bottom="0.75" header="0.3" footer="0.3"/>
  <pageSetup orientation="portrait" horizontalDpi="0" verticalDpi="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37"/>
  <sheetViews>
    <sheetView topLeftCell="I28" workbookViewId="0">
      <selection activeCell="Q43" sqref="Q43"/>
    </sheetView>
  </sheetViews>
  <sheetFormatPr defaultRowHeight="15"/>
  <cols>
    <col min="1" max="1" width="14" bestFit="1" customWidth="1"/>
    <col min="2" max="2" width="10.5703125" customWidth="1"/>
    <col min="3" max="3" width="10.42578125" customWidth="1"/>
    <col min="4" max="4" width="10.28515625" bestFit="1" customWidth="1"/>
    <col min="5" max="5" width="8.7109375" bestFit="1" customWidth="1"/>
    <col min="6" max="6" width="10.28515625" bestFit="1" customWidth="1"/>
    <col min="8" max="8" width="10.28515625" bestFit="1" customWidth="1"/>
    <col min="9" max="9" width="10.7109375" customWidth="1"/>
    <col min="20" max="20" width="10.85546875" customWidth="1"/>
  </cols>
  <sheetData>
    <row r="1" spans="1:21" ht="26.25">
      <c r="A1" s="28"/>
      <c r="B1" s="55" t="s">
        <v>68</v>
      </c>
      <c r="C1" s="56"/>
      <c r="D1" s="56"/>
      <c r="E1" s="56"/>
      <c r="F1" s="56"/>
      <c r="G1" s="56"/>
      <c r="H1" s="56"/>
      <c r="I1" s="56"/>
      <c r="J1" s="56"/>
      <c r="K1" s="56"/>
      <c r="L1" s="56"/>
      <c r="M1" s="56"/>
      <c r="N1" s="56"/>
      <c r="O1" s="56"/>
      <c r="P1" s="56"/>
      <c r="Q1" s="56"/>
      <c r="R1" s="56"/>
      <c r="S1" s="56"/>
      <c r="T1" s="57"/>
    </row>
    <row r="2" spans="1:21" ht="27" thickBot="1">
      <c r="A2" s="4"/>
      <c r="B2" s="58" t="s">
        <v>0</v>
      </c>
      <c r="C2" s="59"/>
      <c r="D2" s="59"/>
      <c r="E2" s="59"/>
      <c r="F2" s="59"/>
      <c r="G2" s="59"/>
      <c r="H2" s="59"/>
      <c r="I2" s="59"/>
      <c r="J2" s="59"/>
      <c r="K2" s="59"/>
      <c r="L2" s="59"/>
      <c r="M2" s="59"/>
      <c r="N2" s="59"/>
      <c r="O2" s="59"/>
      <c r="P2" s="59"/>
      <c r="Q2" s="59"/>
      <c r="R2" s="59"/>
      <c r="S2" s="59"/>
      <c r="T2" s="60"/>
    </row>
    <row r="3" spans="1:21" ht="27" thickBot="1">
      <c r="A3" s="4"/>
      <c r="B3" s="29" t="s">
        <v>1</v>
      </c>
      <c r="C3" s="61" t="s">
        <v>69</v>
      </c>
      <c r="D3" s="62"/>
      <c r="E3" s="62"/>
      <c r="F3" s="63"/>
    </row>
    <row r="4" spans="1:21" ht="21">
      <c r="A4" s="4"/>
      <c r="B4" s="30" t="s">
        <v>2</v>
      </c>
      <c r="C4" s="78">
        <v>45627</v>
      </c>
      <c r="D4" s="79"/>
      <c r="E4" s="79"/>
      <c r="F4" s="80"/>
    </row>
    <row r="5" spans="1:21" ht="67.5">
      <c r="A5" s="32" t="s">
        <v>3</v>
      </c>
      <c r="B5" s="33" t="s">
        <v>4</v>
      </c>
      <c r="C5" s="33" t="s">
        <v>5</v>
      </c>
      <c r="D5" s="33" t="s">
        <v>6</v>
      </c>
      <c r="E5" s="33" t="s">
        <v>7</v>
      </c>
      <c r="F5" s="33" t="s">
        <v>8</v>
      </c>
      <c r="G5" s="33" t="s">
        <v>9</v>
      </c>
      <c r="H5" s="33" t="s">
        <v>10</v>
      </c>
      <c r="I5" s="33" t="s">
        <v>11</v>
      </c>
      <c r="J5" s="33" t="s">
        <v>12</v>
      </c>
      <c r="K5" s="33" t="s">
        <v>13</v>
      </c>
      <c r="L5" s="33" t="s">
        <v>14</v>
      </c>
      <c r="M5" s="33" t="s">
        <v>15</v>
      </c>
      <c r="N5" s="33" t="s">
        <v>16</v>
      </c>
      <c r="O5" s="33" t="s">
        <v>17</v>
      </c>
      <c r="P5" s="33" t="s">
        <v>18</v>
      </c>
      <c r="Q5" s="33" t="s">
        <v>19</v>
      </c>
      <c r="R5" s="33" t="s">
        <v>20</v>
      </c>
      <c r="S5" s="33" t="s">
        <v>21</v>
      </c>
      <c r="T5" s="33" t="s">
        <v>22</v>
      </c>
    </row>
    <row r="6" spans="1:21">
      <c r="A6" s="35" t="s">
        <v>67</v>
      </c>
      <c r="B6" s="36">
        <v>101000</v>
      </c>
      <c r="C6" s="36">
        <v>190000</v>
      </c>
      <c r="D6" s="36">
        <v>41000</v>
      </c>
      <c r="E6" s="36">
        <v>21000</v>
      </c>
      <c r="F6" s="36">
        <v>47000</v>
      </c>
      <c r="G6" s="36">
        <v>6000</v>
      </c>
      <c r="H6" s="36">
        <v>52000</v>
      </c>
      <c r="I6" s="36">
        <v>45000</v>
      </c>
      <c r="J6" s="36">
        <v>18000</v>
      </c>
      <c r="K6" s="36"/>
      <c r="L6" s="36"/>
      <c r="M6" s="36"/>
      <c r="N6" s="36"/>
      <c r="O6" s="36">
        <v>0</v>
      </c>
      <c r="P6" s="36"/>
      <c r="Q6" s="36">
        <v>21000</v>
      </c>
      <c r="R6" s="36">
        <v>70000</v>
      </c>
      <c r="S6" s="37"/>
      <c r="T6" s="37">
        <f t="shared" ref="T6:T35" si="0">SUM(B6:S6)</f>
        <v>612000</v>
      </c>
      <c r="U6" s="48" t="s">
        <v>71</v>
      </c>
    </row>
    <row r="7" spans="1:21">
      <c r="A7" s="35" t="s">
        <v>37</v>
      </c>
      <c r="B7" s="36">
        <v>165500</v>
      </c>
      <c r="C7" s="36">
        <v>109000</v>
      </c>
      <c r="D7" s="36">
        <v>67000</v>
      </c>
      <c r="E7" s="36">
        <v>4000</v>
      </c>
      <c r="F7" s="36">
        <v>71000</v>
      </c>
      <c r="G7" s="36">
        <v>12000</v>
      </c>
      <c r="H7" s="36">
        <v>144000</v>
      </c>
      <c r="I7" s="36">
        <v>115000</v>
      </c>
      <c r="J7" s="36">
        <v>2000</v>
      </c>
      <c r="K7" s="36"/>
      <c r="L7" s="36"/>
      <c r="M7" s="36"/>
      <c r="N7" s="36"/>
      <c r="O7" s="36">
        <v>0</v>
      </c>
      <c r="P7" s="36"/>
      <c r="Q7" s="36">
        <v>0</v>
      </c>
      <c r="R7" s="36">
        <v>957000</v>
      </c>
      <c r="S7" s="37"/>
      <c r="T7" s="37">
        <f t="shared" si="0"/>
        <v>1646500</v>
      </c>
    </row>
    <row r="8" spans="1:21">
      <c r="A8" s="35" t="s">
        <v>38</v>
      </c>
      <c r="B8" s="36">
        <v>196500</v>
      </c>
      <c r="C8" s="36">
        <v>38000</v>
      </c>
      <c r="D8" s="36">
        <v>77000</v>
      </c>
      <c r="E8" s="36">
        <v>3000</v>
      </c>
      <c r="F8" s="36">
        <v>81000</v>
      </c>
      <c r="G8" s="36">
        <v>0</v>
      </c>
      <c r="H8" s="36">
        <v>68000</v>
      </c>
      <c r="I8" s="36">
        <v>37000</v>
      </c>
      <c r="J8" s="36">
        <v>0</v>
      </c>
      <c r="K8" s="36"/>
      <c r="L8" s="36"/>
      <c r="M8" s="36"/>
      <c r="N8" s="36"/>
      <c r="O8" s="36">
        <v>6000</v>
      </c>
      <c r="P8" s="36"/>
      <c r="Q8" s="36">
        <v>0</v>
      </c>
      <c r="R8" s="36">
        <v>19000</v>
      </c>
      <c r="S8" s="37"/>
      <c r="T8" s="37">
        <f t="shared" si="0"/>
        <v>525500</v>
      </c>
    </row>
    <row r="9" spans="1:21">
      <c r="A9" s="35" t="s">
        <v>39</v>
      </c>
      <c r="B9" s="36">
        <v>220000</v>
      </c>
      <c r="C9" s="36">
        <v>90000</v>
      </c>
      <c r="D9" s="36">
        <v>98000</v>
      </c>
      <c r="E9" s="36">
        <v>14000</v>
      </c>
      <c r="F9" s="36">
        <v>153900</v>
      </c>
      <c r="G9" s="36">
        <v>0</v>
      </c>
      <c r="H9" s="36">
        <v>78000</v>
      </c>
      <c r="I9" s="36">
        <v>48000</v>
      </c>
      <c r="J9" s="36">
        <v>12000</v>
      </c>
      <c r="K9" s="36"/>
      <c r="L9" s="36"/>
      <c r="M9" s="36"/>
      <c r="N9" s="36"/>
      <c r="O9" s="36">
        <v>6000</v>
      </c>
      <c r="Q9" s="36">
        <v>0</v>
      </c>
      <c r="R9" s="36">
        <v>73000</v>
      </c>
      <c r="S9" s="37"/>
      <c r="T9" s="37">
        <f t="shared" si="0"/>
        <v>792900</v>
      </c>
    </row>
    <row r="10" spans="1:21">
      <c r="A10" s="35" t="s">
        <v>40</v>
      </c>
      <c r="B10" s="37">
        <v>184500</v>
      </c>
      <c r="C10" s="37">
        <v>152000</v>
      </c>
      <c r="D10" s="37">
        <v>93000</v>
      </c>
      <c r="E10" s="37">
        <v>22500</v>
      </c>
      <c r="F10" s="37">
        <v>101000</v>
      </c>
      <c r="G10" s="37">
        <v>12000</v>
      </c>
      <c r="H10" s="37">
        <v>136000</v>
      </c>
      <c r="I10" s="37">
        <v>62000</v>
      </c>
      <c r="J10" s="37">
        <v>10000</v>
      </c>
      <c r="K10" s="37"/>
      <c r="L10" s="37"/>
      <c r="M10" s="37" t="s">
        <v>102</v>
      </c>
      <c r="N10" s="37"/>
      <c r="O10" s="37">
        <v>5000</v>
      </c>
      <c r="P10" s="37"/>
      <c r="Q10" s="37">
        <v>0</v>
      </c>
      <c r="R10" s="37">
        <v>51000</v>
      </c>
      <c r="S10" s="37"/>
      <c r="T10" s="37">
        <f t="shared" si="0"/>
        <v>829000</v>
      </c>
    </row>
    <row r="11" spans="1:21">
      <c r="A11" s="35" t="s">
        <v>41</v>
      </c>
      <c r="B11" s="37">
        <v>228500</v>
      </c>
      <c r="C11" s="37">
        <v>181000</v>
      </c>
      <c r="D11" s="37">
        <v>77000</v>
      </c>
      <c r="E11" s="37">
        <v>10500</v>
      </c>
      <c r="F11" s="37">
        <v>91100</v>
      </c>
      <c r="G11" s="37">
        <v>12000</v>
      </c>
      <c r="H11" s="37">
        <v>69000</v>
      </c>
      <c r="I11" s="37">
        <v>57000</v>
      </c>
      <c r="J11" s="37">
        <v>17000</v>
      </c>
      <c r="K11" s="37"/>
      <c r="L11" s="37"/>
      <c r="M11" s="37"/>
      <c r="N11" s="37"/>
      <c r="O11" s="37">
        <v>6000</v>
      </c>
      <c r="P11" s="37"/>
      <c r="Q11" s="37">
        <v>0</v>
      </c>
      <c r="R11" s="37">
        <v>110000</v>
      </c>
      <c r="S11" s="37"/>
      <c r="T11" s="37">
        <f t="shared" si="0"/>
        <v>859100</v>
      </c>
    </row>
    <row r="12" spans="1:21">
      <c r="A12" s="35" t="s">
        <v>42</v>
      </c>
      <c r="B12" s="37">
        <v>232000</v>
      </c>
      <c r="C12" s="37">
        <v>138000</v>
      </c>
      <c r="D12" s="37">
        <v>126000</v>
      </c>
      <c r="E12" s="37">
        <v>20500</v>
      </c>
      <c r="F12" s="37">
        <v>125000</v>
      </c>
      <c r="G12" s="37">
        <v>12000</v>
      </c>
      <c r="H12" s="37">
        <v>114500</v>
      </c>
      <c r="I12" s="37">
        <v>56000</v>
      </c>
      <c r="J12" s="37">
        <v>12000</v>
      </c>
      <c r="K12" s="37"/>
      <c r="L12" s="37"/>
      <c r="M12" s="37"/>
      <c r="N12" s="37"/>
      <c r="O12" s="37">
        <v>0</v>
      </c>
      <c r="P12" s="37"/>
      <c r="Q12" s="37">
        <v>109000</v>
      </c>
      <c r="R12" s="37">
        <v>1166000</v>
      </c>
      <c r="S12" s="37"/>
      <c r="T12" s="37">
        <f t="shared" si="0"/>
        <v>2111000</v>
      </c>
    </row>
    <row r="13" spans="1:21">
      <c r="A13" s="35" t="s">
        <v>43</v>
      </c>
      <c r="B13" s="37">
        <v>164000</v>
      </c>
      <c r="C13" s="37">
        <v>147000</v>
      </c>
      <c r="D13" s="37">
        <v>120000</v>
      </c>
      <c r="E13" s="37">
        <v>5000</v>
      </c>
      <c r="F13" s="37">
        <v>126000</v>
      </c>
      <c r="G13" s="37">
        <v>12000</v>
      </c>
      <c r="H13" s="37">
        <v>115000</v>
      </c>
      <c r="I13" s="37">
        <v>20000</v>
      </c>
      <c r="J13" s="37">
        <v>4000</v>
      </c>
      <c r="K13" s="37"/>
      <c r="L13" s="37"/>
      <c r="M13" s="37"/>
      <c r="N13" s="37"/>
      <c r="O13" s="37">
        <v>0</v>
      </c>
      <c r="P13" s="37"/>
      <c r="Q13" s="37">
        <v>0</v>
      </c>
      <c r="R13" s="37">
        <v>0</v>
      </c>
      <c r="S13" s="37"/>
      <c r="T13" s="37">
        <f t="shared" si="0"/>
        <v>713000</v>
      </c>
    </row>
    <row r="14" spans="1:21">
      <c r="A14" s="35" t="s">
        <v>44</v>
      </c>
      <c r="B14" s="37">
        <v>167000</v>
      </c>
      <c r="C14" s="37">
        <v>27000</v>
      </c>
      <c r="D14" s="37">
        <v>161000</v>
      </c>
      <c r="E14" s="37">
        <v>12000</v>
      </c>
      <c r="F14" s="37">
        <v>141000</v>
      </c>
      <c r="G14" s="37">
        <v>0</v>
      </c>
      <c r="H14" s="37">
        <v>139000</v>
      </c>
      <c r="I14" s="37">
        <v>63000</v>
      </c>
      <c r="J14" s="37">
        <v>11000</v>
      </c>
      <c r="K14" s="37"/>
      <c r="L14" s="37"/>
      <c r="M14" s="37"/>
      <c r="N14" s="37"/>
      <c r="O14" s="37">
        <v>0</v>
      </c>
      <c r="P14" s="37"/>
      <c r="Q14" s="37">
        <v>50000</v>
      </c>
      <c r="R14" s="37">
        <v>392000</v>
      </c>
      <c r="S14" s="37"/>
      <c r="T14" s="37">
        <f t="shared" si="0"/>
        <v>1163000</v>
      </c>
    </row>
    <row r="15" spans="1:21">
      <c r="A15" s="35" t="s">
        <v>45</v>
      </c>
      <c r="B15" s="37">
        <v>125000</v>
      </c>
      <c r="C15" s="37">
        <v>27000</v>
      </c>
      <c r="D15" s="37">
        <v>92000</v>
      </c>
      <c r="E15" s="37">
        <v>55500</v>
      </c>
      <c r="F15" s="37">
        <v>102000</v>
      </c>
      <c r="G15" s="37">
        <v>18000</v>
      </c>
      <c r="H15" s="37">
        <v>76000</v>
      </c>
      <c r="I15" s="37">
        <v>41000</v>
      </c>
      <c r="J15" s="37">
        <v>21000</v>
      </c>
      <c r="K15" s="37"/>
      <c r="L15" s="37"/>
      <c r="M15" s="37"/>
      <c r="N15" s="37"/>
      <c r="O15" s="37">
        <v>0</v>
      </c>
      <c r="P15" s="37"/>
      <c r="Q15" s="37">
        <v>0</v>
      </c>
      <c r="R15" s="37">
        <v>52000</v>
      </c>
      <c r="S15" s="37"/>
      <c r="T15" s="37">
        <f t="shared" si="0"/>
        <v>609500</v>
      </c>
      <c r="U15">
        <v>2540000</v>
      </c>
    </row>
    <row r="16" spans="1:21">
      <c r="A16" s="35" t="s">
        <v>46</v>
      </c>
      <c r="B16" s="37">
        <v>133000</v>
      </c>
      <c r="C16" s="37">
        <v>84000</v>
      </c>
      <c r="D16" s="37">
        <v>107000</v>
      </c>
      <c r="E16" s="37">
        <v>20000</v>
      </c>
      <c r="F16" s="37">
        <v>104000</v>
      </c>
      <c r="G16" s="37">
        <v>24000</v>
      </c>
      <c r="H16" s="37">
        <v>81000</v>
      </c>
      <c r="I16" s="37">
        <v>47000</v>
      </c>
      <c r="J16" s="37">
        <v>9000</v>
      </c>
      <c r="K16" s="37"/>
      <c r="L16" s="37"/>
      <c r="M16" s="37"/>
      <c r="N16" s="37"/>
      <c r="O16" s="37">
        <v>0</v>
      </c>
      <c r="P16" s="37"/>
      <c r="Q16" s="37">
        <v>74000</v>
      </c>
      <c r="R16" s="37">
        <v>3000</v>
      </c>
      <c r="S16" s="37"/>
      <c r="T16" s="37">
        <f t="shared" si="0"/>
        <v>686000</v>
      </c>
    </row>
    <row r="17" spans="1:20">
      <c r="A17" s="35" t="s">
        <v>47</v>
      </c>
      <c r="B17" s="37">
        <v>128000</v>
      </c>
      <c r="C17" s="37">
        <v>46000</v>
      </c>
      <c r="D17" s="37">
        <v>106000</v>
      </c>
      <c r="E17" s="37">
        <v>6000</v>
      </c>
      <c r="F17" s="37">
        <v>121500</v>
      </c>
      <c r="G17" s="37">
        <v>24000</v>
      </c>
      <c r="H17" s="37">
        <v>115000</v>
      </c>
      <c r="I17" s="37">
        <v>42000</v>
      </c>
      <c r="J17" s="37">
        <v>10000</v>
      </c>
      <c r="K17" s="37"/>
      <c r="L17" s="37"/>
      <c r="M17" s="37"/>
      <c r="N17" s="37"/>
      <c r="O17" s="37">
        <v>0</v>
      </c>
      <c r="P17" s="37"/>
      <c r="Q17" s="37">
        <v>0</v>
      </c>
      <c r="R17" s="37">
        <v>0</v>
      </c>
      <c r="S17" s="37"/>
      <c r="T17" s="37">
        <f t="shared" si="0"/>
        <v>598500</v>
      </c>
    </row>
    <row r="18" spans="1:20">
      <c r="A18" s="35" t="s">
        <v>48</v>
      </c>
      <c r="B18" s="37">
        <v>131000</v>
      </c>
      <c r="C18" s="37">
        <v>43000</v>
      </c>
      <c r="D18" s="37">
        <v>117000</v>
      </c>
      <c r="E18" s="37">
        <v>6000</v>
      </c>
      <c r="F18" s="37">
        <v>123500</v>
      </c>
      <c r="G18" s="37">
        <v>24000</v>
      </c>
      <c r="H18" s="37">
        <v>104000</v>
      </c>
      <c r="I18" s="37">
        <v>66000</v>
      </c>
      <c r="J18" s="37">
        <v>12000</v>
      </c>
      <c r="K18" s="37"/>
      <c r="L18" s="37"/>
      <c r="M18" s="37"/>
      <c r="N18" s="37"/>
      <c r="O18" s="37">
        <v>0</v>
      </c>
      <c r="P18" s="37"/>
      <c r="Q18" s="37">
        <v>0</v>
      </c>
      <c r="R18" s="37">
        <v>97000</v>
      </c>
      <c r="S18" s="37"/>
      <c r="T18" s="37">
        <f t="shared" si="0"/>
        <v>723500</v>
      </c>
    </row>
    <row r="19" spans="1:20">
      <c r="A19" s="35" t="s">
        <v>49</v>
      </c>
      <c r="B19" s="37">
        <v>149000</v>
      </c>
      <c r="C19" s="37">
        <v>89000</v>
      </c>
      <c r="D19" s="37">
        <v>136000</v>
      </c>
      <c r="E19" s="37">
        <v>0</v>
      </c>
      <c r="F19" s="37">
        <v>154000</v>
      </c>
      <c r="G19" s="37">
        <v>0</v>
      </c>
      <c r="H19" s="37">
        <v>100000</v>
      </c>
      <c r="I19" s="37">
        <v>87000</v>
      </c>
      <c r="J19" s="37">
        <v>10000</v>
      </c>
      <c r="K19" s="37"/>
      <c r="L19" s="37"/>
      <c r="M19" s="37"/>
      <c r="N19" s="37"/>
      <c r="O19" s="37">
        <v>17000</v>
      </c>
      <c r="P19" s="37"/>
      <c r="Q19" s="37">
        <v>0</v>
      </c>
      <c r="R19" s="37">
        <v>0</v>
      </c>
      <c r="S19" s="37"/>
      <c r="T19" s="37">
        <f t="shared" si="0"/>
        <v>742000</v>
      </c>
    </row>
    <row r="20" spans="1:20">
      <c r="A20" s="35" t="s">
        <v>50</v>
      </c>
      <c r="B20" s="37">
        <v>142000</v>
      </c>
      <c r="C20" s="37">
        <v>132000</v>
      </c>
      <c r="D20" s="37">
        <v>77000</v>
      </c>
      <c r="E20" s="37">
        <v>6000</v>
      </c>
      <c r="F20" s="37">
        <v>62200</v>
      </c>
      <c r="G20" s="37">
        <v>0</v>
      </c>
      <c r="H20" s="37">
        <v>47000</v>
      </c>
      <c r="I20" s="37">
        <v>56000</v>
      </c>
      <c r="J20" s="37">
        <v>12000</v>
      </c>
      <c r="K20" s="37"/>
      <c r="L20" s="37"/>
      <c r="M20" s="37"/>
      <c r="N20" s="37"/>
      <c r="O20" s="37">
        <v>0</v>
      </c>
      <c r="P20" s="37"/>
      <c r="Q20" s="37">
        <v>0</v>
      </c>
      <c r="R20" s="37">
        <v>357000</v>
      </c>
      <c r="S20" s="37"/>
      <c r="T20" s="37">
        <f t="shared" si="0"/>
        <v>891200</v>
      </c>
    </row>
    <row r="21" spans="1:20">
      <c r="A21" s="35" t="s">
        <v>73</v>
      </c>
      <c r="B21" s="37">
        <v>163500</v>
      </c>
      <c r="C21" s="37">
        <v>114000</v>
      </c>
      <c r="D21" s="37">
        <v>66000</v>
      </c>
      <c r="E21" s="37">
        <v>12500</v>
      </c>
      <c r="F21" s="37">
        <v>71000</v>
      </c>
      <c r="G21" s="37">
        <v>12000</v>
      </c>
      <c r="H21" s="37">
        <v>140000</v>
      </c>
      <c r="I21" s="37">
        <v>52000</v>
      </c>
      <c r="J21" s="37">
        <v>39000</v>
      </c>
      <c r="K21" s="37"/>
      <c r="L21" s="37"/>
      <c r="M21" s="37"/>
      <c r="N21" s="37"/>
      <c r="O21" s="37">
        <v>0</v>
      </c>
      <c r="P21" s="37"/>
      <c r="Q21" s="37">
        <v>0</v>
      </c>
      <c r="R21" s="37">
        <v>152000</v>
      </c>
      <c r="S21" s="37"/>
      <c r="T21" s="37">
        <f t="shared" si="0"/>
        <v>822000</v>
      </c>
    </row>
    <row r="22" spans="1:20">
      <c r="A22" s="35" t="s">
        <v>52</v>
      </c>
      <c r="B22" s="37">
        <v>231500</v>
      </c>
      <c r="C22" s="37">
        <v>77000</v>
      </c>
      <c r="D22" s="37">
        <v>54000</v>
      </c>
      <c r="E22" s="37">
        <v>9500</v>
      </c>
      <c r="F22" s="37">
        <v>70000</v>
      </c>
      <c r="G22" s="37">
        <v>30000</v>
      </c>
      <c r="H22" s="37">
        <v>48000</v>
      </c>
      <c r="I22" s="37">
        <v>28000</v>
      </c>
      <c r="J22" s="37">
        <v>13000</v>
      </c>
      <c r="K22" s="37"/>
      <c r="L22" s="37"/>
      <c r="M22" s="37"/>
      <c r="N22" s="37"/>
      <c r="O22" s="37">
        <v>0</v>
      </c>
      <c r="P22" s="37"/>
      <c r="Q22" s="37">
        <v>23000</v>
      </c>
      <c r="R22" s="37">
        <v>66000</v>
      </c>
      <c r="S22" s="37"/>
      <c r="T22" s="37">
        <f t="shared" si="0"/>
        <v>650000</v>
      </c>
    </row>
    <row r="23" spans="1:20">
      <c r="A23" s="35" t="s">
        <v>53</v>
      </c>
      <c r="B23" s="37">
        <v>185000</v>
      </c>
      <c r="C23" s="37">
        <v>90000</v>
      </c>
      <c r="D23" s="37">
        <v>106000</v>
      </c>
      <c r="E23" s="37">
        <v>17500</v>
      </c>
      <c r="F23" s="37">
        <v>105000</v>
      </c>
      <c r="G23" s="37">
        <v>0</v>
      </c>
      <c r="H23" s="37">
        <v>41000</v>
      </c>
      <c r="I23" s="37">
        <v>52000</v>
      </c>
      <c r="J23" s="37">
        <v>2000</v>
      </c>
      <c r="K23" s="37"/>
      <c r="L23" s="37"/>
      <c r="M23" s="37"/>
      <c r="N23" s="37"/>
      <c r="O23" s="37">
        <v>10000</v>
      </c>
      <c r="P23" s="37"/>
      <c r="Q23" s="37">
        <v>0</v>
      </c>
      <c r="R23" s="37">
        <v>94000</v>
      </c>
      <c r="S23" s="37"/>
      <c r="T23" s="37">
        <f t="shared" si="0"/>
        <v>702500</v>
      </c>
    </row>
    <row r="24" spans="1:20">
      <c r="A24" s="35" t="s">
        <v>54</v>
      </c>
      <c r="B24" s="37">
        <v>221000</v>
      </c>
      <c r="C24" s="37">
        <v>151000</v>
      </c>
      <c r="D24" s="37">
        <v>100000</v>
      </c>
      <c r="E24" s="37">
        <v>6500</v>
      </c>
      <c r="F24" s="37">
        <v>109000</v>
      </c>
      <c r="G24" s="37">
        <v>0</v>
      </c>
      <c r="H24" s="37">
        <v>108000</v>
      </c>
      <c r="I24" s="37">
        <v>60000</v>
      </c>
      <c r="J24" s="37">
        <v>10000</v>
      </c>
      <c r="K24" s="37"/>
      <c r="L24" s="37"/>
      <c r="M24" s="37"/>
      <c r="N24" s="37"/>
      <c r="O24" s="37">
        <v>0</v>
      </c>
      <c r="P24" s="37"/>
      <c r="Q24" s="37">
        <v>119500</v>
      </c>
      <c r="R24" s="37">
        <v>470000</v>
      </c>
      <c r="S24" s="37"/>
      <c r="T24" s="37">
        <f t="shared" si="0"/>
        <v>1355000</v>
      </c>
    </row>
    <row r="25" spans="1:20">
      <c r="A25" s="35" t="s">
        <v>55</v>
      </c>
      <c r="B25" s="37">
        <v>218000</v>
      </c>
      <c r="C25" s="37">
        <v>124000</v>
      </c>
      <c r="D25" s="37">
        <v>95000</v>
      </c>
      <c r="E25" s="37">
        <v>14000</v>
      </c>
      <c r="F25" s="37">
        <v>122000</v>
      </c>
      <c r="G25" s="37">
        <v>42000</v>
      </c>
      <c r="H25" s="37">
        <v>105000</v>
      </c>
      <c r="I25" s="37">
        <v>82000</v>
      </c>
      <c r="J25" s="37">
        <v>7000</v>
      </c>
      <c r="K25" s="37"/>
      <c r="L25" s="37"/>
      <c r="M25" s="37"/>
      <c r="N25" s="37"/>
      <c r="O25" s="37">
        <v>0</v>
      </c>
      <c r="P25" s="37"/>
      <c r="Q25" s="37">
        <v>0</v>
      </c>
      <c r="R25" s="37">
        <v>383000</v>
      </c>
      <c r="S25" s="37"/>
      <c r="T25" s="37">
        <f t="shared" si="0"/>
        <v>1192000</v>
      </c>
    </row>
    <row r="26" spans="1:20">
      <c r="A26" s="35" t="s">
        <v>56</v>
      </c>
      <c r="B26" s="37">
        <v>250000</v>
      </c>
      <c r="C26" s="37">
        <v>191000</v>
      </c>
      <c r="D26" s="37">
        <v>143000</v>
      </c>
      <c r="E26" s="37">
        <v>26000</v>
      </c>
      <c r="F26" s="37">
        <v>167000</v>
      </c>
      <c r="G26" s="37">
        <v>24000</v>
      </c>
      <c r="H26" s="37">
        <v>112000</v>
      </c>
      <c r="I26" s="37">
        <v>106000</v>
      </c>
      <c r="J26" s="37">
        <v>17000</v>
      </c>
      <c r="K26" s="37"/>
      <c r="L26" s="37"/>
      <c r="M26" s="37"/>
      <c r="N26" s="37"/>
      <c r="O26" s="37">
        <v>30000</v>
      </c>
      <c r="P26" s="37"/>
      <c r="Q26" s="37">
        <v>0</v>
      </c>
      <c r="R26" s="37">
        <v>0</v>
      </c>
      <c r="S26" s="37"/>
      <c r="T26" s="37">
        <f t="shared" si="0"/>
        <v>1066000</v>
      </c>
    </row>
    <row r="27" spans="1:20">
      <c r="A27" s="35" t="s">
        <v>57</v>
      </c>
      <c r="B27" s="37">
        <v>274000</v>
      </c>
      <c r="C27" s="37">
        <v>234000</v>
      </c>
      <c r="D27" s="37">
        <v>115000</v>
      </c>
      <c r="E27" s="37">
        <v>23500</v>
      </c>
      <c r="F27" s="37">
        <v>211000</v>
      </c>
      <c r="G27" s="37">
        <v>0</v>
      </c>
      <c r="H27" s="37">
        <v>160000</v>
      </c>
      <c r="I27" s="37">
        <v>104500</v>
      </c>
      <c r="J27" s="37">
        <v>29500</v>
      </c>
      <c r="K27" s="37"/>
      <c r="L27" s="37"/>
      <c r="M27" s="37"/>
      <c r="N27" s="37"/>
      <c r="O27" s="31">
        <v>10000</v>
      </c>
      <c r="P27" s="37"/>
      <c r="Q27" s="37">
        <v>0</v>
      </c>
      <c r="R27" s="37">
        <v>0</v>
      </c>
      <c r="S27" s="37"/>
      <c r="T27" s="37">
        <f t="shared" si="0"/>
        <v>1161500</v>
      </c>
    </row>
    <row r="28" spans="1:20">
      <c r="A28" s="35" t="s">
        <v>58</v>
      </c>
      <c r="B28" s="37">
        <v>244000</v>
      </c>
      <c r="C28" s="37">
        <v>265000</v>
      </c>
      <c r="D28" s="37">
        <v>217000</v>
      </c>
      <c r="E28" s="37">
        <v>33000</v>
      </c>
      <c r="F28" s="37">
        <v>165800</v>
      </c>
      <c r="G28" s="37">
        <v>12000</v>
      </c>
      <c r="H28" s="37">
        <v>173000</v>
      </c>
      <c r="I28" s="37">
        <v>111000</v>
      </c>
      <c r="J28" s="37">
        <v>40000</v>
      </c>
      <c r="K28" s="37"/>
      <c r="L28" s="37"/>
      <c r="M28" s="37"/>
      <c r="N28" s="37"/>
      <c r="O28" s="37">
        <v>0</v>
      </c>
      <c r="P28" s="37"/>
      <c r="Q28" s="37">
        <v>0</v>
      </c>
      <c r="R28" s="37">
        <v>112000</v>
      </c>
      <c r="S28" s="37"/>
      <c r="T28" s="37">
        <f t="shared" si="0"/>
        <v>1372800</v>
      </c>
    </row>
    <row r="29" spans="1:20">
      <c r="A29" s="35" t="s">
        <v>59</v>
      </c>
      <c r="B29" s="37">
        <v>330000</v>
      </c>
      <c r="C29" s="37">
        <v>269000</v>
      </c>
      <c r="D29" s="37">
        <v>247500</v>
      </c>
      <c r="E29" s="37">
        <v>53000</v>
      </c>
      <c r="F29" s="37">
        <v>272100</v>
      </c>
      <c r="G29" s="37">
        <v>0</v>
      </c>
      <c r="H29" s="37">
        <v>371000</v>
      </c>
      <c r="I29" s="37">
        <v>151000</v>
      </c>
      <c r="J29" s="37">
        <v>14000</v>
      </c>
      <c r="K29" s="37"/>
      <c r="L29" s="37"/>
      <c r="M29" s="37"/>
      <c r="N29" s="37"/>
      <c r="O29" s="37">
        <v>14000</v>
      </c>
      <c r="P29" s="37"/>
      <c r="Q29" s="37">
        <v>23000</v>
      </c>
      <c r="R29" s="37">
        <v>0</v>
      </c>
      <c r="S29" s="37"/>
      <c r="T29" s="37">
        <f t="shared" si="0"/>
        <v>1744600</v>
      </c>
    </row>
    <row r="30" spans="1:20">
      <c r="A30" s="35" t="s">
        <v>60</v>
      </c>
      <c r="B30" s="37">
        <v>185000</v>
      </c>
      <c r="C30" s="37">
        <v>80000</v>
      </c>
      <c r="D30" s="37">
        <v>134000</v>
      </c>
      <c r="E30" s="37">
        <v>18000</v>
      </c>
      <c r="F30" s="37">
        <v>130000</v>
      </c>
      <c r="G30" s="37">
        <v>12000</v>
      </c>
      <c r="H30" s="37">
        <v>112000</v>
      </c>
      <c r="I30" s="37">
        <v>74000</v>
      </c>
      <c r="J30" s="37">
        <v>26000</v>
      </c>
      <c r="K30" s="37"/>
      <c r="L30" s="37"/>
      <c r="M30" s="37"/>
      <c r="N30" s="37"/>
      <c r="O30" s="37">
        <v>0</v>
      </c>
      <c r="P30" s="37"/>
      <c r="Q30" s="37">
        <v>0</v>
      </c>
      <c r="R30" s="37">
        <v>0</v>
      </c>
      <c r="S30" s="37"/>
      <c r="T30" s="37">
        <f t="shared" si="0"/>
        <v>771000</v>
      </c>
    </row>
    <row r="31" spans="1:20">
      <c r="A31" s="35" t="s">
        <v>61</v>
      </c>
      <c r="B31" s="31">
        <v>244000</v>
      </c>
      <c r="C31" s="31">
        <v>239000</v>
      </c>
      <c r="D31" s="31">
        <v>119000</v>
      </c>
      <c r="E31" s="31">
        <v>61000</v>
      </c>
      <c r="F31" s="31">
        <v>124000</v>
      </c>
      <c r="G31" s="31">
        <v>24000</v>
      </c>
      <c r="H31" s="31">
        <v>105000</v>
      </c>
      <c r="I31" s="31">
        <v>107000</v>
      </c>
      <c r="J31" s="31">
        <v>14000</v>
      </c>
      <c r="K31" s="31"/>
      <c r="L31" s="31"/>
      <c r="M31" s="31"/>
      <c r="N31" s="31"/>
      <c r="O31" s="31">
        <v>0</v>
      </c>
      <c r="P31" s="31"/>
      <c r="Q31" s="31">
        <v>23000</v>
      </c>
      <c r="R31" s="31">
        <v>0</v>
      </c>
      <c r="S31" s="31"/>
      <c r="T31" s="37">
        <f t="shared" si="0"/>
        <v>1060000</v>
      </c>
    </row>
    <row r="32" spans="1:20">
      <c r="A32" s="35" t="s">
        <v>62</v>
      </c>
      <c r="B32" s="31">
        <v>289000</v>
      </c>
      <c r="C32" s="31">
        <v>510000</v>
      </c>
      <c r="D32" s="31">
        <v>159000</v>
      </c>
      <c r="E32" s="31">
        <v>32000</v>
      </c>
      <c r="F32" s="31">
        <v>180000</v>
      </c>
      <c r="G32" s="31">
        <v>36000</v>
      </c>
      <c r="H32" s="31">
        <v>298000</v>
      </c>
      <c r="I32" s="31">
        <v>133000</v>
      </c>
      <c r="J32" s="31">
        <v>34000</v>
      </c>
      <c r="K32" s="31"/>
      <c r="L32" s="31"/>
      <c r="M32" s="31"/>
      <c r="N32" s="31"/>
      <c r="O32" s="31">
        <v>0</v>
      </c>
      <c r="P32" s="31"/>
      <c r="Q32" s="31">
        <v>0</v>
      </c>
      <c r="R32" s="31">
        <v>0</v>
      </c>
      <c r="S32" s="31"/>
      <c r="T32" s="37">
        <f t="shared" si="0"/>
        <v>1671000</v>
      </c>
    </row>
    <row r="33" spans="1:21">
      <c r="A33" s="35" t="s">
        <v>63</v>
      </c>
      <c r="B33" s="31">
        <v>204000</v>
      </c>
      <c r="C33" s="31">
        <v>96000</v>
      </c>
      <c r="D33" s="31">
        <v>131500</v>
      </c>
      <c r="E33" s="31">
        <v>36000</v>
      </c>
      <c r="F33" s="31">
        <v>104000</v>
      </c>
      <c r="G33" s="31">
        <v>12000</v>
      </c>
      <c r="H33" s="31">
        <v>71000</v>
      </c>
      <c r="I33" s="31">
        <v>36000</v>
      </c>
      <c r="J33" s="31">
        <v>43000</v>
      </c>
      <c r="K33" s="31"/>
      <c r="L33" s="31"/>
      <c r="M33" s="31"/>
      <c r="N33" s="31"/>
      <c r="O33" s="31">
        <v>32000</v>
      </c>
      <c r="P33" s="31"/>
      <c r="Q33" s="31">
        <v>46000</v>
      </c>
      <c r="R33" s="31">
        <v>30000</v>
      </c>
      <c r="S33" s="31"/>
      <c r="T33" s="37">
        <f t="shared" si="0"/>
        <v>841500</v>
      </c>
    </row>
    <row r="34" spans="1:21">
      <c r="A34" s="35" t="s">
        <v>64</v>
      </c>
      <c r="B34" s="31">
        <v>244000</v>
      </c>
      <c r="C34" s="31">
        <v>100000</v>
      </c>
      <c r="D34" s="31">
        <v>103000</v>
      </c>
      <c r="E34" s="31">
        <v>27000</v>
      </c>
      <c r="F34" s="31">
        <v>137000</v>
      </c>
      <c r="G34" s="31">
        <v>40000</v>
      </c>
      <c r="H34" s="31">
        <v>91000</v>
      </c>
      <c r="I34" s="31">
        <v>38000</v>
      </c>
      <c r="J34" s="31">
        <v>29000</v>
      </c>
      <c r="K34" s="31"/>
      <c r="L34" s="31"/>
      <c r="M34" s="31"/>
      <c r="N34" s="31"/>
      <c r="O34" s="46">
        <v>6000</v>
      </c>
      <c r="P34" s="31"/>
      <c r="Q34" s="31">
        <v>0</v>
      </c>
      <c r="R34" s="31">
        <v>101000</v>
      </c>
      <c r="S34" s="31"/>
      <c r="T34" s="31">
        <f t="shared" si="0"/>
        <v>916000</v>
      </c>
    </row>
    <row r="35" spans="1:21">
      <c r="A35" s="35" t="s">
        <v>83</v>
      </c>
      <c r="B35" s="31">
        <v>262500</v>
      </c>
      <c r="C35" s="31">
        <v>210000</v>
      </c>
      <c r="D35" s="31">
        <v>169000</v>
      </c>
      <c r="E35" s="31">
        <v>15500</v>
      </c>
      <c r="F35" s="31">
        <v>185000</v>
      </c>
      <c r="G35" s="31">
        <v>12000</v>
      </c>
      <c r="H35" s="31">
        <v>200000</v>
      </c>
      <c r="I35" s="31">
        <v>92000</v>
      </c>
      <c r="J35" s="31">
        <v>10000</v>
      </c>
      <c r="K35" s="31"/>
      <c r="L35" s="31"/>
      <c r="M35" s="31"/>
      <c r="N35" s="31"/>
      <c r="O35" s="31">
        <v>5000</v>
      </c>
      <c r="P35" s="31"/>
      <c r="Q35" s="31">
        <v>0</v>
      </c>
      <c r="R35" s="31">
        <v>0</v>
      </c>
      <c r="S35" s="31"/>
      <c r="T35" s="31">
        <f t="shared" si="0"/>
        <v>1161000</v>
      </c>
    </row>
    <row r="36" spans="1:21">
      <c r="A36" s="35" t="s">
        <v>84</v>
      </c>
      <c r="B36" s="31">
        <v>301000</v>
      </c>
      <c r="C36" s="31">
        <v>167000</v>
      </c>
      <c r="D36" s="31">
        <v>162000</v>
      </c>
      <c r="E36" s="31">
        <v>26000</v>
      </c>
      <c r="F36" s="31">
        <v>179200</v>
      </c>
      <c r="G36" s="31">
        <v>0</v>
      </c>
      <c r="H36" s="31">
        <v>182000</v>
      </c>
      <c r="I36" s="31">
        <v>76000</v>
      </c>
      <c r="J36" s="31">
        <v>21000</v>
      </c>
      <c r="K36" s="31"/>
      <c r="L36" s="31"/>
      <c r="M36" s="31"/>
      <c r="N36" s="31"/>
      <c r="O36" s="31"/>
      <c r="P36" s="31"/>
      <c r="Q36" s="31">
        <v>0</v>
      </c>
      <c r="R36" s="31">
        <v>0</v>
      </c>
      <c r="S36" s="31"/>
      <c r="T36" s="31">
        <f>SUM(B36:S36)</f>
        <v>1114200</v>
      </c>
      <c r="U36">
        <v>1520000</v>
      </c>
    </row>
    <row r="37" spans="1:21">
      <c r="A37" s="40" t="s">
        <v>23</v>
      </c>
      <c r="B37" s="41">
        <f t="shared" ref="B37:J37" si="1">SUM(B6:B36)</f>
        <v>6313500</v>
      </c>
      <c r="C37" s="41">
        <f>SUM(C6:C36)</f>
        <v>4410000</v>
      </c>
      <c r="D37" s="41">
        <f t="shared" si="1"/>
        <v>3616000</v>
      </c>
      <c r="E37" s="41">
        <f t="shared" si="1"/>
        <v>617000</v>
      </c>
      <c r="F37" s="41">
        <f t="shared" si="1"/>
        <v>3936300</v>
      </c>
      <c r="G37" s="41">
        <f t="shared" si="1"/>
        <v>412000</v>
      </c>
      <c r="H37" s="41">
        <f t="shared" si="1"/>
        <v>3755500</v>
      </c>
      <c r="I37" s="41">
        <f t="shared" si="1"/>
        <v>2144500</v>
      </c>
      <c r="J37" s="41">
        <f t="shared" si="1"/>
        <v>508500</v>
      </c>
      <c r="K37" s="31"/>
      <c r="L37" s="31"/>
      <c r="M37" s="31"/>
      <c r="N37" s="31"/>
      <c r="O37" s="31">
        <f>SUM(O6:O36)</f>
        <v>147000</v>
      </c>
      <c r="P37" s="31"/>
      <c r="Q37" s="31">
        <f>SUM(Q6:Q36)</f>
        <v>488500</v>
      </c>
      <c r="R37" s="31">
        <f>SUM(R6:R36)</f>
        <v>4755000</v>
      </c>
      <c r="S37" s="31"/>
      <c r="T37" s="31">
        <f>SUM(B37:S37)</f>
        <v>31103800</v>
      </c>
    </row>
  </sheetData>
  <mergeCells count="4">
    <mergeCell ref="B1:T1"/>
    <mergeCell ref="B2:T2"/>
    <mergeCell ref="C3:F3"/>
    <mergeCell ref="C4:F4"/>
  </mergeCells>
  <pageMargins left="0.7" right="0.7" top="0.75" bottom="0.75" header="0.3" footer="0.3"/>
  <pageSetup orientation="portrait" horizontalDpi="0" verticalDpi="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XFD28"/>
  <sheetViews>
    <sheetView workbookViewId="0">
      <selection sqref="A1:G28"/>
    </sheetView>
  </sheetViews>
  <sheetFormatPr defaultRowHeight="15"/>
  <cols>
    <col min="1" max="1" width="17.85546875" customWidth="1"/>
    <col min="2" max="2" width="12.28515625" customWidth="1"/>
    <col min="3" max="3" width="11.85546875" customWidth="1"/>
    <col min="4" max="4" width="12" customWidth="1"/>
    <col min="5" max="5" width="11.42578125" customWidth="1"/>
    <col min="6" max="6" width="11.85546875" customWidth="1"/>
    <col min="7" max="7" width="12.85546875" customWidth="1"/>
  </cols>
  <sheetData>
    <row r="1" spans="1:7 16384:16384" ht="16.5" thickBot="1">
      <c r="A1" s="6" t="s">
        <v>24</v>
      </c>
      <c r="B1" s="70" t="s">
        <v>101</v>
      </c>
      <c r="C1" s="71"/>
      <c r="D1" s="72"/>
      <c r="E1" s="11"/>
      <c r="F1" s="11"/>
      <c r="G1" s="12"/>
    </row>
    <row r="2" spans="1:7 16384:16384" ht="15.75">
      <c r="A2" s="13" t="s">
        <v>25</v>
      </c>
      <c r="B2" s="14" t="s">
        <v>26</v>
      </c>
      <c r="C2" s="14" t="s">
        <v>27</v>
      </c>
      <c r="D2" s="14" t="s">
        <v>28</v>
      </c>
      <c r="E2" s="14" t="s">
        <v>29</v>
      </c>
      <c r="F2" s="15" t="s">
        <v>30</v>
      </c>
      <c r="G2" s="16" t="s">
        <v>31</v>
      </c>
    </row>
    <row r="3" spans="1:7 16384:16384" ht="15.75">
      <c r="A3" s="17" t="s">
        <v>4</v>
      </c>
      <c r="B3" s="18">
        <v>1492000</v>
      </c>
      <c r="C3" s="18">
        <v>975000</v>
      </c>
      <c r="D3" s="18">
        <v>1543000</v>
      </c>
      <c r="E3" s="18">
        <v>1740000</v>
      </c>
      <c r="F3" s="19">
        <v>563500</v>
      </c>
      <c r="G3" s="20">
        <f t="shared" ref="G3:G11" si="0">SUM(B3:F3)</f>
        <v>6313500</v>
      </c>
    </row>
    <row r="4" spans="1:7 16384:16384" ht="15.75">
      <c r="A4" s="17" t="s">
        <v>5</v>
      </c>
      <c r="B4" s="18">
        <v>1045000</v>
      </c>
      <c r="C4" s="18">
        <v>488000</v>
      </c>
      <c r="D4" s="18">
        <v>981000</v>
      </c>
      <c r="E4" s="18">
        <v>1559000</v>
      </c>
      <c r="F4" s="19">
        <v>377000</v>
      </c>
      <c r="G4" s="20">
        <f>SUM(B4:F4)</f>
        <v>4450000</v>
      </c>
    </row>
    <row r="5" spans="1:7 16384:16384" ht="15.75">
      <c r="A5" s="17" t="s">
        <v>32</v>
      </c>
      <c r="B5" s="18">
        <v>699000</v>
      </c>
      <c r="C5" s="18">
        <v>796000</v>
      </c>
      <c r="D5" s="18">
        <v>679000</v>
      </c>
      <c r="E5" s="18">
        <v>1111000</v>
      </c>
      <c r="F5" s="19">
        <v>331000</v>
      </c>
      <c r="G5" s="20">
        <f>SUM(B5:F5)</f>
        <v>3616000</v>
      </c>
      <c r="XFD5" s="47">
        <f>SUM(B5:XFC5)</f>
        <v>7232000</v>
      </c>
    </row>
    <row r="6" spans="1:7 16384:16384" ht="15.75">
      <c r="A6" s="17" t="s">
        <v>33</v>
      </c>
      <c r="B6" s="18">
        <v>100500</v>
      </c>
      <c r="C6" s="18">
        <v>105500</v>
      </c>
      <c r="D6" s="18">
        <v>109500</v>
      </c>
      <c r="E6" s="18">
        <v>260000</v>
      </c>
      <c r="F6" s="19">
        <v>41500</v>
      </c>
      <c r="G6" s="20">
        <f t="shared" si="0"/>
        <v>617000</v>
      </c>
    </row>
    <row r="7" spans="1:7 16384:16384" ht="15.75">
      <c r="A7" s="17" t="s">
        <v>8</v>
      </c>
      <c r="B7" s="18">
        <v>796000</v>
      </c>
      <c r="C7" s="18">
        <v>808200</v>
      </c>
      <c r="D7" s="18">
        <v>855000</v>
      </c>
      <c r="E7" s="18">
        <v>1112900</v>
      </c>
      <c r="F7" s="19">
        <v>364200</v>
      </c>
      <c r="G7" s="20">
        <f t="shared" si="0"/>
        <v>3936300</v>
      </c>
    </row>
    <row r="8" spans="1:7 16384:16384" ht="15.75">
      <c r="A8" s="17" t="s">
        <v>9</v>
      </c>
      <c r="B8" s="18">
        <v>66000</v>
      </c>
      <c r="C8" s="18">
        <v>90000</v>
      </c>
      <c r="D8" s="18">
        <v>108000</v>
      </c>
      <c r="E8" s="18">
        <v>136000</v>
      </c>
      <c r="F8" s="19">
        <v>12000</v>
      </c>
      <c r="G8" s="20">
        <f t="shared" si="0"/>
        <v>412000</v>
      </c>
    </row>
    <row r="9" spans="1:7 16384:16384" ht="15.75">
      <c r="A9" s="17" t="s">
        <v>10</v>
      </c>
      <c r="B9" s="18">
        <v>776500</v>
      </c>
      <c r="C9" s="18">
        <v>662000</v>
      </c>
      <c r="D9" s="18">
        <v>714000</v>
      </c>
      <c r="E9" s="18">
        <v>1221000</v>
      </c>
      <c r="F9" s="19">
        <v>382000</v>
      </c>
      <c r="G9" s="20">
        <f t="shared" si="0"/>
        <v>3755500</v>
      </c>
    </row>
    <row r="10" spans="1:7 16384:16384" ht="15.75">
      <c r="A10" s="17" t="s">
        <v>11</v>
      </c>
      <c r="B10" s="18">
        <v>440000</v>
      </c>
      <c r="C10" s="18">
        <v>402000</v>
      </c>
      <c r="D10" s="18">
        <v>484500</v>
      </c>
      <c r="E10" s="18">
        <v>650000</v>
      </c>
      <c r="F10" s="19">
        <v>168000</v>
      </c>
      <c r="G10" s="20">
        <f t="shared" si="0"/>
        <v>2144500</v>
      </c>
    </row>
    <row r="11" spans="1:7 16384:16384" ht="15.75">
      <c r="A11" s="17" t="s">
        <v>12</v>
      </c>
      <c r="B11" s="18">
        <v>74000</v>
      </c>
      <c r="C11" s="18">
        <v>85000</v>
      </c>
      <c r="D11" s="18">
        <v>117500</v>
      </c>
      <c r="E11" s="18">
        <v>200000</v>
      </c>
      <c r="F11" s="19">
        <v>31000</v>
      </c>
      <c r="G11" s="20">
        <f t="shared" si="0"/>
        <v>507500</v>
      </c>
    </row>
    <row r="12" spans="1:7 16384:16384" ht="15.75">
      <c r="A12" s="17" t="s">
        <v>13</v>
      </c>
      <c r="B12" s="18"/>
      <c r="C12" s="18"/>
      <c r="D12" s="18"/>
      <c r="E12" s="18"/>
      <c r="F12" s="19"/>
      <c r="G12" s="20">
        <f t="shared" ref="G12:G19" si="1">SUM(B12:E12)</f>
        <v>0</v>
      </c>
    </row>
    <row r="13" spans="1:7 16384:16384" ht="15.75">
      <c r="A13" s="17" t="s">
        <v>14</v>
      </c>
      <c r="B13" s="18"/>
      <c r="C13" s="18"/>
      <c r="D13" s="18"/>
      <c r="E13" s="18"/>
      <c r="F13" s="19"/>
      <c r="G13" s="20">
        <f t="shared" si="1"/>
        <v>0</v>
      </c>
    </row>
    <row r="14" spans="1:7 16384:16384" ht="15.75">
      <c r="A14" s="17" t="s">
        <v>15</v>
      </c>
      <c r="B14" s="18"/>
      <c r="C14" s="18"/>
      <c r="D14" s="18"/>
      <c r="E14" s="18"/>
      <c r="F14" s="19"/>
      <c r="G14" s="20">
        <f t="shared" si="1"/>
        <v>0</v>
      </c>
    </row>
    <row r="15" spans="1:7 16384:16384" ht="15.75">
      <c r="A15" s="17" t="s">
        <v>16</v>
      </c>
      <c r="B15" s="18"/>
      <c r="C15" s="18"/>
      <c r="D15" s="18"/>
      <c r="E15" s="18"/>
      <c r="F15" s="19"/>
      <c r="G15" s="20">
        <f t="shared" si="1"/>
        <v>0</v>
      </c>
    </row>
    <row r="16" spans="1:7 16384:16384" ht="15.75">
      <c r="A16" s="17" t="s">
        <v>17</v>
      </c>
      <c r="B16" s="18">
        <v>40000</v>
      </c>
      <c r="C16" s="18">
        <v>10000</v>
      </c>
      <c r="D16" s="18">
        <v>40000</v>
      </c>
      <c r="E16" s="18">
        <v>57000</v>
      </c>
      <c r="F16" s="19">
        <v>4000</v>
      </c>
      <c r="G16" s="20">
        <f>SUM(B16:F16)</f>
        <v>151000</v>
      </c>
    </row>
    <row r="17" spans="1:7" ht="15.75">
      <c r="A17" s="17" t="s">
        <v>18</v>
      </c>
      <c r="B17" s="18"/>
      <c r="C17" s="18"/>
      <c r="D17" s="18"/>
      <c r="E17" s="18"/>
      <c r="F17" s="19"/>
      <c r="G17" s="20">
        <f t="shared" si="1"/>
        <v>0</v>
      </c>
    </row>
    <row r="18" spans="1:7" ht="15.75">
      <c r="A18" s="17" t="s">
        <v>19</v>
      </c>
      <c r="B18" s="18"/>
      <c r="C18" s="18"/>
      <c r="D18" s="18"/>
      <c r="E18" s="18"/>
      <c r="F18" s="19"/>
      <c r="G18" s="20">
        <f t="shared" si="1"/>
        <v>0</v>
      </c>
    </row>
    <row r="19" spans="1:7" ht="15.75">
      <c r="A19" s="17" t="s">
        <v>34</v>
      </c>
      <c r="B19" s="18"/>
      <c r="C19" s="18"/>
      <c r="D19" s="18"/>
      <c r="E19" s="18"/>
      <c r="F19" s="19"/>
      <c r="G19" s="20">
        <f t="shared" si="1"/>
        <v>0</v>
      </c>
    </row>
    <row r="20" spans="1:7" ht="16.5" thickBot="1">
      <c r="A20" s="21" t="s">
        <v>35</v>
      </c>
      <c r="B20" s="22">
        <f t="shared" ref="B20:G20" si="2">SUM(B3:B19)</f>
        <v>5529000</v>
      </c>
      <c r="C20" s="22">
        <f t="shared" si="2"/>
        <v>4421700</v>
      </c>
      <c r="D20" s="22">
        <f t="shared" si="2"/>
        <v>5631500</v>
      </c>
      <c r="E20" s="22">
        <f t="shared" si="2"/>
        <v>8046900</v>
      </c>
      <c r="F20" s="22">
        <f t="shared" si="2"/>
        <v>2274200</v>
      </c>
      <c r="G20" s="23">
        <f t="shared" si="2"/>
        <v>25903300</v>
      </c>
    </row>
    <row r="22" spans="1:7" ht="15.75" thickBot="1"/>
    <row r="23" spans="1:7" ht="21.75" thickBot="1">
      <c r="A23" s="73" t="s">
        <v>36</v>
      </c>
      <c r="B23" s="74"/>
      <c r="C23" s="74"/>
      <c r="D23" s="74"/>
      <c r="E23" s="74"/>
      <c r="F23" s="74"/>
      <c r="G23" s="75"/>
    </row>
    <row r="24" spans="1:7" ht="15.75" thickBot="1">
      <c r="A24" s="94" t="s">
        <v>103</v>
      </c>
      <c r="B24" s="68"/>
      <c r="C24" s="68"/>
      <c r="D24" s="68"/>
      <c r="E24" s="68"/>
      <c r="F24" s="68"/>
      <c r="G24" s="69"/>
    </row>
    <row r="25" spans="1:7" ht="15.75" thickBot="1">
      <c r="A25" s="24"/>
      <c r="B25" s="25"/>
      <c r="C25" s="25"/>
      <c r="D25" s="25"/>
      <c r="E25" s="25"/>
      <c r="F25" s="25"/>
      <c r="G25" s="26"/>
    </row>
    <row r="26" spans="1:7" ht="15.75" thickBot="1">
      <c r="A26" s="67"/>
      <c r="B26" s="68"/>
      <c r="C26" s="68"/>
      <c r="D26" s="68"/>
      <c r="E26" s="68"/>
      <c r="F26" s="68"/>
      <c r="G26" s="69"/>
    </row>
    <row r="27" spans="1:7" ht="15.75" thickBot="1">
      <c r="A27" s="77"/>
      <c r="B27" s="68"/>
      <c r="C27" s="68"/>
      <c r="D27" s="68"/>
      <c r="E27" s="68"/>
      <c r="F27" s="68"/>
      <c r="G27" s="69"/>
    </row>
    <row r="28" spans="1:7" ht="15.75" thickBot="1">
      <c r="A28" s="67"/>
      <c r="B28" s="68"/>
      <c r="C28" s="68"/>
      <c r="D28" s="68"/>
      <c r="E28" s="68"/>
      <c r="F28" s="68"/>
      <c r="G28" s="69"/>
    </row>
  </sheetData>
  <mergeCells count="6">
    <mergeCell ref="A28:G28"/>
    <mergeCell ref="B1:D1"/>
    <mergeCell ref="A23:G23"/>
    <mergeCell ref="A24:G24"/>
    <mergeCell ref="A26:G26"/>
    <mergeCell ref="A27:G27"/>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37"/>
  <sheetViews>
    <sheetView topLeftCell="G1" workbookViewId="0">
      <selection activeCell="G1" sqref="A1:XFD1048576"/>
    </sheetView>
  </sheetViews>
  <sheetFormatPr defaultRowHeight="15"/>
  <cols>
    <col min="1" max="1" width="9" customWidth="1"/>
    <col min="2" max="2" width="10.5703125" customWidth="1"/>
    <col min="3" max="4" width="10.28515625" customWidth="1"/>
    <col min="5" max="5" width="10.42578125" customWidth="1"/>
    <col min="6" max="6" width="11.140625" customWidth="1"/>
    <col min="7" max="7" width="10.42578125" customWidth="1"/>
    <col min="8" max="8" width="10.5703125" customWidth="1"/>
    <col min="9" max="9" width="11.7109375" customWidth="1"/>
    <col min="10" max="10" width="10.5703125" customWidth="1"/>
    <col min="19" max="19" width="7.5703125" customWidth="1"/>
    <col min="20" max="20" width="10.5703125" customWidth="1"/>
  </cols>
  <sheetData>
    <row r="1" spans="1:21" ht="26.25">
      <c r="A1" s="28"/>
      <c r="B1" s="55" t="s">
        <v>68</v>
      </c>
      <c r="C1" s="56"/>
      <c r="D1" s="56"/>
      <c r="E1" s="56"/>
      <c r="F1" s="56"/>
      <c r="G1" s="56"/>
      <c r="H1" s="56"/>
      <c r="I1" s="56"/>
      <c r="J1" s="56"/>
      <c r="K1" s="56"/>
      <c r="L1" s="56"/>
      <c r="M1" s="56"/>
      <c r="N1" s="56"/>
      <c r="O1" s="56"/>
      <c r="P1" s="56"/>
      <c r="Q1" s="56"/>
      <c r="R1" s="56"/>
      <c r="S1" s="56"/>
      <c r="T1" s="57"/>
    </row>
    <row r="2" spans="1:21" ht="27" thickBot="1">
      <c r="A2" s="4"/>
      <c r="B2" s="58" t="s">
        <v>0</v>
      </c>
      <c r="C2" s="59"/>
      <c r="D2" s="59"/>
      <c r="E2" s="59"/>
      <c r="F2" s="59"/>
      <c r="G2" s="59"/>
      <c r="H2" s="59"/>
      <c r="I2" s="59"/>
      <c r="J2" s="59"/>
      <c r="K2" s="59"/>
      <c r="L2" s="59"/>
      <c r="M2" s="59"/>
      <c r="N2" s="59"/>
      <c r="O2" s="59"/>
      <c r="P2" s="59"/>
      <c r="Q2" s="59"/>
      <c r="R2" s="59"/>
      <c r="S2" s="59"/>
      <c r="T2" s="60"/>
    </row>
    <row r="3" spans="1:21" ht="27" thickBot="1">
      <c r="A3" s="4"/>
      <c r="B3" s="29" t="s">
        <v>1</v>
      </c>
      <c r="C3" s="61" t="s">
        <v>69</v>
      </c>
      <c r="D3" s="62"/>
      <c r="E3" s="62"/>
      <c r="F3" s="63"/>
    </row>
    <row r="4" spans="1:21" ht="21">
      <c r="A4" s="4"/>
      <c r="B4" s="30" t="s">
        <v>2</v>
      </c>
      <c r="C4" s="78"/>
      <c r="D4" s="79"/>
      <c r="E4" s="79"/>
      <c r="F4" s="80"/>
    </row>
    <row r="5" spans="1:21" ht="67.5">
      <c r="A5" s="32" t="s">
        <v>3</v>
      </c>
      <c r="B5" s="33" t="s">
        <v>4</v>
      </c>
      <c r="C5" s="33" t="s">
        <v>5</v>
      </c>
      <c r="D5" s="33" t="s">
        <v>6</v>
      </c>
      <c r="E5" s="33" t="s">
        <v>7</v>
      </c>
      <c r="F5" s="33" t="s">
        <v>8</v>
      </c>
      <c r="G5" s="33" t="s">
        <v>9</v>
      </c>
      <c r="H5" s="33" t="s">
        <v>10</v>
      </c>
      <c r="I5" s="33" t="s">
        <v>11</v>
      </c>
      <c r="J5" s="33" t="s">
        <v>12</v>
      </c>
      <c r="K5" s="33" t="s">
        <v>13</v>
      </c>
      <c r="L5" s="33" t="s">
        <v>14</v>
      </c>
      <c r="M5" s="33" t="s">
        <v>15</v>
      </c>
      <c r="N5" s="33" t="s">
        <v>16</v>
      </c>
      <c r="O5" s="33" t="s">
        <v>17</v>
      </c>
      <c r="P5" s="33" t="s">
        <v>18</v>
      </c>
      <c r="Q5" s="33" t="s">
        <v>19</v>
      </c>
      <c r="R5" s="33" t="s">
        <v>20</v>
      </c>
      <c r="S5" s="33" t="s">
        <v>21</v>
      </c>
      <c r="T5" s="33" t="s">
        <v>22</v>
      </c>
      <c r="U5" s="49" t="s">
        <v>104</v>
      </c>
    </row>
    <row r="6" spans="1:21">
      <c r="A6" s="35" t="s">
        <v>67</v>
      </c>
      <c r="B6" s="36">
        <v>149000</v>
      </c>
      <c r="C6" s="36">
        <v>57000</v>
      </c>
      <c r="D6" s="36">
        <v>90000</v>
      </c>
      <c r="E6" s="36">
        <v>23000</v>
      </c>
      <c r="F6" s="36">
        <v>120000</v>
      </c>
      <c r="G6" s="36">
        <v>12000</v>
      </c>
      <c r="H6" s="36">
        <v>64000</v>
      </c>
      <c r="I6" s="36">
        <v>40000</v>
      </c>
      <c r="J6" s="36">
        <v>11000</v>
      </c>
      <c r="K6" s="36"/>
      <c r="L6" s="36"/>
      <c r="M6" s="36"/>
      <c r="N6" s="36"/>
      <c r="O6" s="36">
        <v>0</v>
      </c>
      <c r="P6" s="36"/>
      <c r="Q6" s="36">
        <v>46000</v>
      </c>
      <c r="R6" s="36">
        <v>0</v>
      </c>
      <c r="S6" s="37"/>
      <c r="T6" s="37">
        <f t="shared" ref="T6:T35" si="0">SUM(B6:S6)</f>
        <v>612000</v>
      </c>
    </row>
    <row r="7" spans="1:21">
      <c r="A7" s="35" t="s">
        <v>37</v>
      </c>
      <c r="B7" s="36">
        <v>121500</v>
      </c>
      <c r="C7" s="36">
        <v>85000</v>
      </c>
      <c r="D7" s="36">
        <v>68000</v>
      </c>
      <c r="E7" s="36">
        <v>20000</v>
      </c>
      <c r="F7" s="36">
        <v>96000</v>
      </c>
      <c r="G7" s="36">
        <v>12000</v>
      </c>
      <c r="H7" s="36">
        <v>47000</v>
      </c>
      <c r="I7" s="36">
        <v>42000</v>
      </c>
      <c r="J7" s="36">
        <v>12000</v>
      </c>
      <c r="K7" s="36"/>
      <c r="L7" s="36"/>
      <c r="M7" s="36"/>
      <c r="N7" s="36"/>
      <c r="O7" s="36">
        <v>0</v>
      </c>
      <c r="P7" s="36"/>
      <c r="Q7" s="36">
        <v>239000</v>
      </c>
      <c r="R7" s="36">
        <v>0</v>
      </c>
      <c r="S7" s="37"/>
      <c r="T7" s="37">
        <f t="shared" si="0"/>
        <v>742500</v>
      </c>
    </row>
    <row r="8" spans="1:21">
      <c r="A8" s="35" t="s">
        <v>38</v>
      </c>
      <c r="B8" s="36">
        <v>210500</v>
      </c>
      <c r="C8" s="36">
        <v>95000</v>
      </c>
      <c r="D8" s="36">
        <v>109000</v>
      </c>
      <c r="E8" s="36">
        <v>30000</v>
      </c>
      <c r="F8" s="36">
        <v>106000</v>
      </c>
      <c r="G8" s="36">
        <v>12000</v>
      </c>
      <c r="H8" s="36">
        <v>81000</v>
      </c>
      <c r="I8" s="36">
        <v>161000</v>
      </c>
      <c r="J8" s="36">
        <v>26000</v>
      </c>
      <c r="K8" s="36"/>
      <c r="L8" s="36"/>
      <c r="M8" s="36"/>
      <c r="N8" s="36"/>
      <c r="O8" s="36">
        <v>16000</v>
      </c>
      <c r="P8" s="36"/>
      <c r="Q8" s="36">
        <v>0</v>
      </c>
      <c r="R8" s="36">
        <v>300000</v>
      </c>
      <c r="S8" s="37"/>
      <c r="T8" s="37">
        <f t="shared" si="0"/>
        <v>1146500</v>
      </c>
    </row>
    <row r="9" spans="1:21">
      <c r="A9" s="35" t="s">
        <v>39</v>
      </c>
      <c r="B9" s="36">
        <v>267500</v>
      </c>
      <c r="C9" s="36">
        <v>172000</v>
      </c>
      <c r="D9" s="36">
        <v>107500</v>
      </c>
      <c r="E9" s="36">
        <v>38000</v>
      </c>
      <c r="F9" s="36">
        <v>67000</v>
      </c>
      <c r="G9" s="36">
        <v>0</v>
      </c>
      <c r="H9" s="36">
        <v>106000</v>
      </c>
      <c r="I9" s="36">
        <v>41000</v>
      </c>
      <c r="J9" s="36">
        <v>8000</v>
      </c>
      <c r="K9" s="36"/>
      <c r="L9" s="36"/>
      <c r="M9" s="36"/>
      <c r="N9" s="36"/>
      <c r="O9" s="36">
        <v>0</v>
      </c>
      <c r="Q9" s="36">
        <v>20000</v>
      </c>
      <c r="R9" s="36">
        <v>-130000</v>
      </c>
      <c r="S9" s="37"/>
      <c r="T9" s="37">
        <f t="shared" si="0"/>
        <v>697000</v>
      </c>
    </row>
    <row r="10" spans="1:21">
      <c r="A10" s="35" t="s">
        <v>40</v>
      </c>
      <c r="B10" s="37">
        <v>97500</v>
      </c>
      <c r="C10" s="37">
        <v>50000</v>
      </c>
      <c r="D10" s="37">
        <v>86000</v>
      </c>
      <c r="E10" s="37">
        <v>15000</v>
      </c>
      <c r="F10" s="37">
        <v>65000</v>
      </c>
      <c r="G10" s="37">
        <v>0</v>
      </c>
      <c r="H10" s="37">
        <v>51000</v>
      </c>
      <c r="I10" s="37">
        <v>23000</v>
      </c>
      <c r="J10" s="37">
        <v>6000</v>
      </c>
      <c r="K10" s="37"/>
      <c r="L10" s="37"/>
      <c r="M10" s="37"/>
      <c r="N10" s="37"/>
      <c r="O10" s="37">
        <v>0</v>
      </c>
      <c r="P10" s="37"/>
      <c r="Q10" s="37">
        <v>0</v>
      </c>
      <c r="R10" s="37">
        <v>300000</v>
      </c>
      <c r="S10" s="37"/>
      <c r="T10" s="37">
        <f t="shared" si="0"/>
        <v>693500</v>
      </c>
    </row>
    <row r="11" spans="1:21">
      <c r="A11" s="35" t="s">
        <v>41</v>
      </c>
      <c r="B11" s="37">
        <v>127000</v>
      </c>
      <c r="C11" s="37">
        <v>56000</v>
      </c>
      <c r="D11" s="37">
        <v>120000</v>
      </c>
      <c r="E11" s="37">
        <v>23000</v>
      </c>
      <c r="F11" s="37">
        <v>112000</v>
      </c>
      <c r="G11" s="37">
        <v>0</v>
      </c>
      <c r="H11" s="37">
        <v>75000</v>
      </c>
      <c r="I11" s="37">
        <v>20000</v>
      </c>
      <c r="J11" s="37">
        <v>0</v>
      </c>
      <c r="K11" s="37"/>
      <c r="L11" s="37"/>
      <c r="M11" s="37"/>
      <c r="N11" s="37"/>
      <c r="O11" s="37">
        <v>33000</v>
      </c>
      <c r="P11" s="37"/>
      <c r="Q11" s="37">
        <v>23000</v>
      </c>
      <c r="R11" s="37">
        <v>100000</v>
      </c>
      <c r="S11" s="37"/>
      <c r="T11" s="37">
        <f t="shared" si="0"/>
        <v>689000</v>
      </c>
    </row>
    <row r="12" spans="1:21">
      <c r="A12" s="35" t="s">
        <v>42</v>
      </c>
      <c r="B12" s="37">
        <v>163500</v>
      </c>
      <c r="C12" s="37">
        <v>244000</v>
      </c>
      <c r="D12" s="37">
        <v>126000</v>
      </c>
      <c r="E12" s="37">
        <v>12000</v>
      </c>
      <c r="F12" s="37">
        <v>130000</v>
      </c>
      <c r="G12" s="37">
        <v>0</v>
      </c>
      <c r="H12" s="37">
        <v>156000</v>
      </c>
      <c r="I12" s="37">
        <v>46000</v>
      </c>
      <c r="J12" s="37">
        <v>9000</v>
      </c>
      <c r="K12" s="37"/>
      <c r="L12" s="37"/>
      <c r="M12" s="37"/>
      <c r="N12" s="37"/>
      <c r="O12" s="37">
        <v>6000</v>
      </c>
      <c r="P12" s="37"/>
      <c r="Q12" s="37">
        <v>23000</v>
      </c>
      <c r="R12" s="37">
        <v>291000</v>
      </c>
      <c r="S12" s="37"/>
      <c r="T12" s="37">
        <f t="shared" si="0"/>
        <v>1206500</v>
      </c>
    </row>
    <row r="13" spans="1:21">
      <c r="A13" s="35" t="s">
        <v>43</v>
      </c>
      <c r="B13" s="37">
        <v>102000</v>
      </c>
      <c r="C13" s="37">
        <v>45000</v>
      </c>
      <c r="D13" s="37">
        <v>78000</v>
      </c>
      <c r="E13" s="37">
        <v>22000</v>
      </c>
      <c r="F13" s="37">
        <v>76000</v>
      </c>
      <c r="G13" s="37">
        <v>0</v>
      </c>
      <c r="H13" s="37">
        <v>137000</v>
      </c>
      <c r="I13" s="37">
        <v>98000</v>
      </c>
      <c r="J13" s="37">
        <v>23000</v>
      </c>
      <c r="K13" s="37"/>
      <c r="L13" s="37"/>
      <c r="M13" s="37"/>
      <c r="N13" s="37"/>
      <c r="O13" s="37">
        <v>0</v>
      </c>
      <c r="P13" s="37"/>
      <c r="Q13" s="37">
        <v>0</v>
      </c>
      <c r="R13" s="37">
        <v>657000</v>
      </c>
      <c r="S13" s="37"/>
      <c r="T13" s="37">
        <f t="shared" si="0"/>
        <v>1238000</v>
      </c>
    </row>
    <row r="14" spans="1:21">
      <c r="A14" s="35" t="s">
        <v>44</v>
      </c>
      <c r="B14" s="37">
        <v>123000</v>
      </c>
      <c r="C14" s="37">
        <v>59000</v>
      </c>
      <c r="D14" s="37">
        <v>116000</v>
      </c>
      <c r="E14" s="37">
        <v>21000</v>
      </c>
      <c r="F14" s="37">
        <v>118300</v>
      </c>
      <c r="G14" s="37">
        <v>0</v>
      </c>
      <c r="H14" s="37">
        <v>95000</v>
      </c>
      <c r="I14" s="37">
        <v>43000</v>
      </c>
      <c r="J14" s="37">
        <v>7000</v>
      </c>
      <c r="K14" s="37"/>
      <c r="L14" s="37"/>
      <c r="M14" s="37"/>
      <c r="N14" s="37"/>
      <c r="O14" s="37">
        <v>10000</v>
      </c>
      <c r="P14" s="37"/>
      <c r="Q14" s="37">
        <v>20500</v>
      </c>
      <c r="R14" s="37">
        <v>435000</v>
      </c>
      <c r="S14" s="37"/>
      <c r="T14" s="37">
        <f t="shared" si="0"/>
        <v>1047800</v>
      </c>
      <c r="U14">
        <v>1300000</v>
      </c>
    </row>
    <row r="15" spans="1:21">
      <c r="A15" s="35" t="s">
        <v>45</v>
      </c>
      <c r="B15" s="37">
        <v>154500</v>
      </c>
      <c r="C15" s="37">
        <v>232000</v>
      </c>
      <c r="D15" s="37">
        <v>134000</v>
      </c>
      <c r="E15" s="37">
        <v>12000</v>
      </c>
      <c r="F15" s="37">
        <v>127000</v>
      </c>
      <c r="G15" s="37">
        <v>0</v>
      </c>
      <c r="H15" s="37">
        <v>204000</v>
      </c>
      <c r="I15" s="37">
        <v>79000</v>
      </c>
      <c r="J15" s="37">
        <v>9000</v>
      </c>
      <c r="K15" s="37"/>
      <c r="L15" s="37"/>
      <c r="M15" s="37"/>
      <c r="N15" s="37"/>
      <c r="O15" s="37">
        <v>6000</v>
      </c>
      <c r="P15" s="37"/>
      <c r="Q15" s="37">
        <v>23000</v>
      </c>
      <c r="R15" s="37">
        <v>0</v>
      </c>
      <c r="S15" s="37"/>
      <c r="T15" s="37">
        <f t="shared" si="0"/>
        <v>980500</v>
      </c>
    </row>
    <row r="16" spans="1:21">
      <c r="A16" s="35" t="s">
        <v>46</v>
      </c>
      <c r="B16" s="37">
        <v>121000</v>
      </c>
      <c r="C16" s="37">
        <v>124000</v>
      </c>
      <c r="D16" s="37">
        <v>129000</v>
      </c>
      <c r="E16" s="37">
        <v>31000</v>
      </c>
      <c r="F16" s="37">
        <v>128000</v>
      </c>
      <c r="G16" s="37">
        <v>6000</v>
      </c>
      <c r="H16" s="37">
        <v>162000</v>
      </c>
      <c r="I16" s="37">
        <v>90000</v>
      </c>
      <c r="J16" s="37">
        <v>12000</v>
      </c>
      <c r="K16" s="37"/>
      <c r="L16" s="37"/>
      <c r="M16" s="37"/>
      <c r="N16" s="37"/>
      <c r="O16" s="37">
        <v>0</v>
      </c>
      <c r="P16" s="37"/>
      <c r="Q16" s="37">
        <v>0</v>
      </c>
      <c r="R16" s="37">
        <v>35000</v>
      </c>
      <c r="S16" s="37"/>
      <c r="T16" s="37">
        <f t="shared" si="0"/>
        <v>838000</v>
      </c>
    </row>
    <row r="17" spans="1:20">
      <c r="A17" s="35" t="s">
        <v>47</v>
      </c>
      <c r="B17" s="37">
        <v>89000</v>
      </c>
      <c r="C17" s="37">
        <v>77000</v>
      </c>
      <c r="D17" s="37">
        <v>63000</v>
      </c>
      <c r="E17" s="37">
        <v>21000</v>
      </c>
      <c r="F17" s="37">
        <v>68000</v>
      </c>
      <c r="G17" s="37">
        <v>6000</v>
      </c>
      <c r="H17" s="37">
        <v>41000</v>
      </c>
      <c r="I17" s="37">
        <v>41000</v>
      </c>
      <c r="J17" s="37">
        <v>6000</v>
      </c>
      <c r="K17" s="37"/>
      <c r="L17" s="37"/>
      <c r="M17" s="37"/>
      <c r="N17" s="37"/>
      <c r="O17" s="37">
        <v>0</v>
      </c>
      <c r="P17" s="37"/>
      <c r="Q17" s="37">
        <v>135500</v>
      </c>
      <c r="R17" s="37">
        <v>251000</v>
      </c>
      <c r="S17" s="37"/>
      <c r="T17" s="37">
        <f t="shared" si="0"/>
        <v>798500</v>
      </c>
    </row>
    <row r="18" spans="1:20">
      <c r="A18" s="35" t="s">
        <v>48</v>
      </c>
      <c r="B18" s="37">
        <v>191000</v>
      </c>
      <c r="C18" s="37">
        <v>105000</v>
      </c>
      <c r="D18" s="37">
        <v>109000</v>
      </c>
      <c r="E18" s="37">
        <v>12000</v>
      </c>
      <c r="F18" s="37">
        <v>70300</v>
      </c>
      <c r="G18" s="37">
        <v>12000</v>
      </c>
      <c r="H18" s="37">
        <v>92000</v>
      </c>
      <c r="I18" s="37">
        <v>68000</v>
      </c>
      <c r="J18" s="37">
        <v>7000</v>
      </c>
      <c r="K18" s="37"/>
      <c r="L18" s="37"/>
      <c r="M18" s="37"/>
      <c r="N18" s="37"/>
      <c r="O18" s="37">
        <v>0</v>
      </c>
      <c r="P18" s="37"/>
      <c r="Q18" s="37">
        <v>0</v>
      </c>
      <c r="R18" s="37">
        <v>50000</v>
      </c>
      <c r="S18" s="37"/>
      <c r="T18" s="37">
        <f t="shared" si="0"/>
        <v>716300</v>
      </c>
    </row>
    <row r="19" spans="1:20">
      <c r="A19" s="35" t="s">
        <v>49</v>
      </c>
      <c r="B19" s="37">
        <v>151000</v>
      </c>
      <c r="C19" s="37">
        <v>32000</v>
      </c>
      <c r="D19" s="37">
        <v>65000</v>
      </c>
      <c r="E19" s="37">
        <v>25000</v>
      </c>
      <c r="F19" s="37">
        <v>56000</v>
      </c>
      <c r="G19" s="37">
        <v>0</v>
      </c>
      <c r="H19" s="37">
        <v>73000</v>
      </c>
      <c r="I19" s="37">
        <v>35000</v>
      </c>
      <c r="J19" s="37">
        <v>8000</v>
      </c>
      <c r="K19" s="37"/>
      <c r="L19" s="37"/>
      <c r="M19" s="37"/>
      <c r="N19" s="37"/>
      <c r="O19" s="37">
        <v>0</v>
      </c>
      <c r="P19" s="37"/>
      <c r="Q19" s="37">
        <v>78000</v>
      </c>
      <c r="R19" s="37">
        <v>0</v>
      </c>
      <c r="S19" s="37"/>
      <c r="T19" s="37">
        <f t="shared" si="0"/>
        <v>523000</v>
      </c>
    </row>
    <row r="20" spans="1:20">
      <c r="A20" s="35" t="s">
        <v>50</v>
      </c>
      <c r="B20" s="37">
        <v>73000</v>
      </c>
      <c r="C20" s="37">
        <v>77000</v>
      </c>
      <c r="D20" s="37">
        <v>96000</v>
      </c>
      <c r="E20" s="37">
        <v>10500</v>
      </c>
      <c r="F20" s="37">
        <v>81000</v>
      </c>
      <c r="G20" s="37">
        <v>0</v>
      </c>
      <c r="H20" s="37">
        <v>45000</v>
      </c>
      <c r="I20" s="37">
        <v>27000</v>
      </c>
      <c r="J20" s="37">
        <v>0</v>
      </c>
      <c r="K20" s="37"/>
      <c r="L20" s="37"/>
      <c r="M20" s="37"/>
      <c r="N20" s="37"/>
      <c r="O20" s="37">
        <v>0</v>
      </c>
      <c r="P20" s="37"/>
      <c r="Q20" s="37">
        <v>0</v>
      </c>
      <c r="R20" s="37">
        <v>0</v>
      </c>
      <c r="S20" s="37"/>
      <c r="T20" s="37">
        <f t="shared" si="0"/>
        <v>409500</v>
      </c>
    </row>
    <row r="21" spans="1:20">
      <c r="A21" s="35" t="s">
        <v>73</v>
      </c>
      <c r="B21" s="37">
        <v>177500</v>
      </c>
      <c r="C21" s="37">
        <v>29000</v>
      </c>
      <c r="D21" s="37">
        <v>61000</v>
      </c>
      <c r="E21" s="37">
        <v>5000</v>
      </c>
      <c r="F21" s="37">
        <v>62000</v>
      </c>
      <c r="G21" s="37">
        <v>12000</v>
      </c>
      <c r="H21" s="37">
        <v>74000</v>
      </c>
      <c r="I21" s="37">
        <v>24000</v>
      </c>
      <c r="J21" s="37">
        <v>3000</v>
      </c>
      <c r="K21" s="37"/>
      <c r="L21" s="37"/>
      <c r="M21" s="37"/>
      <c r="N21" s="37"/>
      <c r="O21" s="37">
        <v>0</v>
      </c>
      <c r="P21" s="37"/>
      <c r="Q21" s="37">
        <v>0</v>
      </c>
      <c r="R21" s="37">
        <v>10000</v>
      </c>
      <c r="S21" s="37"/>
      <c r="T21" s="37">
        <f t="shared" si="0"/>
        <v>457500</v>
      </c>
    </row>
    <row r="22" spans="1:20">
      <c r="A22" s="35" t="s">
        <v>52</v>
      </c>
      <c r="B22" s="37">
        <v>270000</v>
      </c>
      <c r="C22" s="37">
        <v>120000</v>
      </c>
      <c r="D22" s="37">
        <v>93000</v>
      </c>
      <c r="E22" s="37">
        <v>16000</v>
      </c>
      <c r="F22" s="37">
        <v>92000</v>
      </c>
      <c r="G22" s="37">
        <v>0</v>
      </c>
      <c r="H22" s="37">
        <v>140000</v>
      </c>
      <c r="I22" s="37">
        <v>38000</v>
      </c>
      <c r="J22" s="37">
        <v>18000</v>
      </c>
      <c r="K22" s="37"/>
      <c r="L22" s="37"/>
      <c r="M22" s="37"/>
      <c r="N22" s="37"/>
      <c r="O22" s="37">
        <v>0</v>
      </c>
      <c r="P22" s="37"/>
      <c r="Q22" s="37">
        <v>0</v>
      </c>
      <c r="R22" s="37">
        <v>7000</v>
      </c>
      <c r="S22" s="37"/>
      <c r="T22" s="37">
        <f t="shared" si="0"/>
        <v>794000</v>
      </c>
    </row>
    <row r="23" spans="1:20">
      <c r="A23" s="35" t="s">
        <v>53</v>
      </c>
      <c r="B23" s="37">
        <v>247000</v>
      </c>
      <c r="C23" s="37">
        <v>141000</v>
      </c>
      <c r="D23" s="37">
        <v>71000</v>
      </c>
      <c r="E23" s="37">
        <v>0</v>
      </c>
      <c r="F23" s="37">
        <v>108000</v>
      </c>
      <c r="G23" s="37">
        <v>12000</v>
      </c>
      <c r="H23" s="37">
        <v>82000</v>
      </c>
      <c r="I23" s="37">
        <v>41000</v>
      </c>
      <c r="J23" s="37">
        <v>10000</v>
      </c>
      <c r="K23" s="37"/>
      <c r="L23" s="37"/>
      <c r="M23" s="37"/>
      <c r="N23" s="37"/>
      <c r="O23" s="37">
        <v>13000</v>
      </c>
      <c r="P23" s="37"/>
      <c r="Q23" s="37">
        <v>0</v>
      </c>
      <c r="R23" s="37">
        <v>0</v>
      </c>
      <c r="S23" s="37"/>
      <c r="T23" s="37">
        <f t="shared" si="0"/>
        <v>725000</v>
      </c>
    </row>
    <row r="24" spans="1:20">
      <c r="A24" s="35" t="s">
        <v>54</v>
      </c>
      <c r="B24" s="37">
        <v>112000</v>
      </c>
      <c r="C24" s="37">
        <v>71000</v>
      </c>
      <c r="D24" s="37">
        <v>94000</v>
      </c>
      <c r="E24" s="37">
        <v>8000</v>
      </c>
      <c r="F24" s="37">
        <v>118000</v>
      </c>
      <c r="G24" s="37">
        <v>0</v>
      </c>
      <c r="H24" s="37">
        <v>98000</v>
      </c>
      <c r="I24" s="37">
        <v>94000</v>
      </c>
      <c r="J24" s="37">
        <v>5000</v>
      </c>
      <c r="K24" s="37"/>
      <c r="L24" s="37"/>
      <c r="M24" s="37"/>
      <c r="N24" s="37"/>
      <c r="O24" s="37">
        <v>0</v>
      </c>
      <c r="P24" s="37"/>
      <c r="Q24" s="37">
        <v>278000</v>
      </c>
      <c r="R24" s="37">
        <v>0</v>
      </c>
      <c r="S24" s="37"/>
      <c r="T24" s="37">
        <f t="shared" si="0"/>
        <v>878000</v>
      </c>
    </row>
    <row r="25" spans="1:20">
      <c r="A25" s="35" t="s">
        <v>55</v>
      </c>
      <c r="B25" s="37">
        <v>96000</v>
      </c>
      <c r="C25" s="37">
        <v>17000</v>
      </c>
      <c r="D25" s="37">
        <v>74000</v>
      </c>
      <c r="E25" s="37">
        <v>21000</v>
      </c>
      <c r="F25" s="37">
        <v>79700</v>
      </c>
      <c r="G25" s="37">
        <v>0</v>
      </c>
      <c r="H25" s="37">
        <v>61000</v>
      </c>
      <c r="I25" s="37">
        <v>30000</v>
      </c>
      <c r="J25" s="37">
        <v>6000</v>
      </c>
      <c r="K25" s="37"/>
      <c r="L25" s="37"/>
      <c r="M25" s="37"/>
      <c r="N25" s="37"/>
      <c r="O25" s="37">
        <v>0</v>
      </c>
      <c r="P25" s="37"/>
      <c r="Q25" s="37">
        <v>23000</v>
      </c>
      <c r="R25" s="37">
        <v>0</v>
      </c>
      <c r="S25" s="37"/>
      <c r="T25" s="37">
        <f t="shared" si="0"/>
        <v>407700</v>
      </c>
    </row>
    <row r="26" spans="1:20">
      <c r="A26" s="35" t="s">
        <v>56</v>
      </c>
      <c r="B26" s="37">
        <v>100000</v>
      </c>
      <c r="C26" s="37">
        <v>46000</v>
      </c>
      <c r="D26" s="37">
        <v>111000</v>
      </c>
      <c r="E26" s="37">
        <v>18000</v>
      </c>
      <c r="F26" s="37">
        <v>94000</v>
      </c>
      <c r="G26" s="37">
        <v>0</v>
      </c>
      <c r="H26" s="37">
        <v>94500</v>
      </c>
      <c r="I26" s="37">
        <v>48000</v>
      </c>
      <c r="J26" s="37">
        <v>9000</v>
      </c>
      <c r="K26" s="37"/>
      <c r="L26" s="37"/>
      <c r="M26" s="37"/>
      <c r="N26" s="37"/>
      <c r="O26" s="37">
        <v>0</v>
      </c>
      <c r="P26" s="37"/>
      <c r="Q26" s="37">
        <v>0</v>
      </c>
      <c r="R26" s="37">
        <v>0</v>
      </c>
      <c r="S26" s="37"/>
      <c r="T26" s="37">
        <f t="shared" si="0"/>
        <v>520500</v>
      </c>
    </row>
    <row r="27" spans="1:20">
      <c r="A27" s="35" t="s">
        <v>57</v>
      </c>
      <c r="B27" s="37">
        <v>142000</v>
      </c>
      <c r="C27" s="37">
        <v>174000</v>
      </c>
      <c r="D27" s="37">
        <v>134000</v>
      </c>
      <c r="E27" s="37">
        <v>24000</v>
      </c>
      <c r="F27" s="37">
        <v>146600</v>
      </c>
      <c r="G27" s="37">
        <v>0</v>
      </c>
      <c r="H27" s="37">
        <v>102000</v>
      </c>
      <c r="I27" s="37">
        <v>37000</v>
      </c>
      <c r="J27" s="37">
        <v>12000</v>
      </c>
      <c r="K27" s="37"/>
      <c r="L27" s="37"/>
      <c r="M27" s="37"/>
      <c r="N27" s="37"/>
      <c r="O27" s="31">
        <v>6000</v>
      </c>
      <c r="P27" s="37"/>
      <c r="Q27" s="37">
        <v>0</v>
      </c>
      <c r="R27" s="37">
        <v>0</v>
      </c>
      <c r="S27" s="37"/>
      <c r="T27" s="37">
        <f t="shared" si="0"/>
        <v>777600</v>
      </c>
    </row>
    <row r="28" spans="1:20">
      <c r="A28" s="35" t="s">
        <v>58</v>
      </c>
      <c r="B28" s="37">
        <v>101000</v>
      </c>
      <c r="C28" s="37">
        <v>38000</v>
      </c>
      <c r="D28" s="37">
        <v>96000</v>
      </c>
      <c r="E28" s="37">
        <v>9500</v>
      </c>
      <c r="F28" s="37">
        <v>87000</v>
      </c>
      <c r="G28" s="37">
        <v>0</v>
      </c>
      <c r="H28" s="37">
        <v>76000</v>
      </c>
      <c r="I28" s="37">
        <v>30000</v>
      </c>
      <c r="J28" s="37">
        <v>0</v>
      </c>
      <c r="K28" s="37"/>
      <c r="L28" s="37"/>
      <c r="M28" s="37"/>
      <c r="N28" s="37"/>
      <c r="O28" s="37">
        <v>0</v>
      </c>
      <c r="P28" s="37"/>
      <c r="Q28" s="37">
        <v>0</v>
      </c>
      <c r="R28" s="37">
        <v>726000</v>
      </c>
      <c r="S28" s="37"/>
      <c r="T28" s="37">
        <f t="shared" si="0"/>
        <v>1163500</v>
      </c>
    </row>
    <row r="29" spans="1:20">
      <c r="A29" s="35" t="s">
        <v>59</v>
      </c>
      <c r="B29" s="37">
        <v>138000</v>
      </c>
      <c r="C29" s="37">
        <v>80000</v>
      </c>
      <c r="D29" s="37">
        <v>113000</v>
      </c>
      <c r="E29" s="37">
        <v>6000</v>
      </c>
      <c r="F29" s="37">
        <v>145000</v>
      </c>
      <c r="G29" s="37">
        <v>0</v>
      </c>
      <c r="H29" s="37">
        <v>126000</v>
      </c>
      <c r="I29" s="37">
        <v>53000</v>
      </c>
      <c r="J29" s="37">
        <v>19000</v>
      </c>
      <c r="K29" s="37"/>
      <c r="L29" s="37"/>
      <c r="M29" s="37"/>
      <c r="N29" s="37"/>
      <c r="O29" s="37">
        <v>11000</v>
      </c>
      <c r="P29" s="37"/>
      <c r="Q29" s="37">
        <v>46000</v>
      </c>
      <c r="R29" s="37">
        <v>247000</v>
      </c>
      <c r="S29" s="37"/>
      <c r="T29" s="37">
        <f t="shared" si="0"/>
        <v>984000</v>
      </c>
    </row>
    <row r="30" spans="1:20">
      <c r="A30" s="35" t="s">
        <v>60</v>
      </c>
      <c r="B30" s="37">
        <v>162500</v>
      </c>
      <c r="C30" s="37">
        <v>201000</v>
      </c>
      <c r="D30" s="37">
        <v>109000</v>
      </c>
      <c r="E30" s="37">
        <v>28000</v>
      </c>
      <c r="F30" s="37">
        <v>259000</v>
      </c>
      <c r="G30" s="37">
        <v>24000</v>
      </c>
      <c r="H30" s="37">
        <v>119000</v>
      </c>
      <c r="I30" s="37">
        <v>69000</v>
      </c>
      <c r="J30" s="37">
        <v>12000</v>
      </c>
      <c r="K30" s="37"/>
      <c r="L30" s="37"/>
      <c r="M30" s="37"/>
      <c r="N30" s="37"/>
      <c r="O30" s="37">
        <v>29000</v>
      </c>
      <c r="P30" s="37"/>
      <c r="Q30" s="37">
        <v>20500</v>
      </c>
      <c r="R30" s="37">
        <v>355000</v>
      </c>
      <c r="S30" s="37"/>
      <c r="T30" s="37">
        <f t="shared" si="0"/>
        <v>1388000</v>
      </c>
    </row>
    <row r="31" spans="1:20">
      <c r="A31" s="35" t="s">
        <v>61</v>
      </c>
      <c r="B31" s="31">
        <v>165000</v>
      </c>
      <c r="C31" s="31">
        <v>71000</v>
      </c>
      <c r="D31" s="31">
        <v>42000</v>
      </c>
      <c r="E31" s="31">
        <v>26000</v>
      </c>
      <c r="F31" s="31">
        <v>69000</v>
      </c>
      <c r="G31" s="31">
        <v>0</v>
      </c>
      <c r="H31" s="31">
        <v>40000</v>
      </c>
      <c r="I31" s="31">
        <v>28000</v>
      </c>
      <c r="J31" s="31">
        <v>9000</v>
      </c>
      <c r="K31" s="31"/>
      <c r="L31" s="31"/>
      <c r="M31" s="31"/>
      <c r="N31" s="31"/>
      <c r="O31" s="31">
        <v>6000</v>
      </c>
      <c r="P31" s="31"/>
      <c r="Q31" s="31">
        <v>0</v>
      </c>
      <c r="R31" s="31">
        <v>10000</v>
      </c>
      <c r="S31" s="31"/>
      <c r="T31" s="37">
        <f t="shared" si="0"/>
        <v>466000</v>
      </c>
    </row>
    <row r="32" spans="1:20">
      <c r="A32" s="35" t="s">
        <v>62</v>
      </c>
      <c r="B32" s="31">
        <v>132000</v>
      </c>
      <c r="C32" s="31">
        <v>126000</v>
      </c>
      <c r="D32" s="31">
        <v>112000</v>
      </c>
      <c r="E32" s="31">
        <v>13000</v>
      </c>
      <c r="F32" s="31">
        <v>75000</v>
      </c>
      <c r="G32" s="31">
        <v>0</v>
      </c>
      <c r="H32" s="31">
        <v>73000</v>
      </c>
      <c r="I32" s="31">
        <v>48000</v>
      </c>
      <c r="J32" s="31">
        <v>3000</v>
      </c>
      <c r="K32" s="31"/>
      <c r="L32" s="31"/>
      <c r="M32" s="31"/>
      <c r="N32" s="31"/>
      <c r="O32" s="31">
        <v>0</v>
      </c>
      <c r="P32" s="31"/>
      <c r="Q32" s="31">
        <v>119500</v>
      </c>
      <c r="R32" s="31">
        <v>0</v>
      </c>
      <c r="S32" s="31"/>
      <c r="T32" s="37">
        <f t="shared" si="0"/>
        <v>701500</v>
      </c>
    </row>
    <row r="33" spans="1:20">
      <c r="A33" s="35" t="s">
        <v>63</v>
      </c>
      <c r="B33" s="31">
        <v>214000</v>
      </c>
      <c r="C33" s="31">
        <v>114000</v>
      </c>
      <c r="D33" s="31">
        <v>42000</v>
      </c>
      <c r="E33" s="31">
        <v>20000</v>
      </c>
      <c r="F33" s="31">
        <v>52000</v>
      </c>
      <c r="G33" s="31">
        <v>0</v>
      </c>
      <c r="H33" s="31">
        <v>36000</v>
      </c>
      <c r="I33" s="31">
        <v>64000</v>
      </c>
      <c r="J33" s="31">
        <v>0</v>
      </c>
      <c r="K33" s="31"/>
      <c r="L33" s="31"/>
      <c r="M33" s="31"/>
      <c r="N33" s="31"/>
      <c r="O33" s="31">
        <v>5000</v>
      </c>
      <c r="P33" s="31"/>
      <c r="Q33" s="31">
        <v>0</v>
      </c>
      <c r="R33" s="31">
        <v>504000</v>
      </c>
      <c r="S33" s="31"/>
      <c r="T33" s="37">
        <f t="shared" si="0"/>
        <v>1051000</v>
      </c>
    </row>
    <row r="34" spans="1:20">
      <c r="A34" s="35" t="s">
        <v>64</v>
      </c>
      <c r="B34" s="31">
        <v>142000</v>
      </c>
      <c r="C34" s="31">
        <v>41000</v>
      </c>
      <c r="D34" s="31">
        <v>63000</v>
      </c>
      <c r="E34" s="31">
        <v>8000</v>
      </c>
      <c r="F34" s="31">
        <v>74000</v>
      </c>
      <c r="G34" s="31">
        <v>12000</v>
      </c>
      <c r="H34" s="31">
        <v>103000</v>
      </c>
      <c r="I34" s="31">
        <v>64000</v>
      </c>
      <c r="J34" s="31">
        <v>5000</v>
      </c>
      <c r="K34" s="31"/>
      <c r="L34" s="31"/>
      <c r="M34" s="31"/>
      <c r="N34" s="31"/>
      <c r="O34" s="46">
        <v>6000</v>
      </c>
      <c r="P34" s="31"/>
      <c r="Q34" s="31">
        <v>0</v>
      </c>
      <c r="R34" s="31">
        <v>0</v>
      </c>
      <c r="S34" s="31"/>
      <c r="T34" s="31">
        <f t="shared" si="0"/>
        <v>518000</v>
      </c>
    </row>
    <row r="35" spans="1:20">
      <c r="A35" s="35" t="s">
        <v>83</v>
      </c>
      <c r="B35" s="31">
        <v>165500</v>
      </c>
      <c r="C35" s="31">
        <v>28000</v>
      </c>
      <c r="D35" s="31">
        <v>108000</v>
      </c>
      <c r="E35" s="31">
        <v>0</v>
      </c>
      <c r="F35" s="31">
        <v>31000</v>
      </c>
      <c r="G35" s="31">
        <v>0</v>
      </c>
      <c r="H35" s="31">
        <v>18000</v>
      </c>
      <c r="I35" s="31">
        <v>40000</v>
      </c>
      <c r="J35" s="31">
        <v>0</v>
      </c>
      <c r="K35" s="31"/>
      <c r="L35" s="31"/>
      <c r="M35" s="31"/>
      <c r="N35" s="31"/>
      <c r="O35" s="31">
        <v>0</v>
      </c>
      <c r="P35" s="31"/>
      <c r="Q35" s="31">
        <v>23000</v>
      </c>
      <c r="R35" s="31">
        <v>40000</v>
      </c>
      <c r="S35" s="31"/>
      <c r="T35" s="31">
        <f t="shared" si="0"/>
        <v>453500</v>
      </c>
    </row>
    <row r="36" spans="1:20">
      <c r="A36" s="35" t="s">
        <v>84</v>
      </c>
      <c r="B36" s="31">
        <v>230000</v>
      </c>
      <c r="C36" s="31">
        <v>78000</v>
      </c>
      <c r="D36" s="31">
        <v>172000</v>
      </c>
      <c r="E36" s="31">
        <v>9000</v>
      </c>
      <c r="F36" s="31">
        <v>145000</v>
      </c>
      <c r="G36" s="31">
        <v>12000</v>
      </c>
      <c r="H36" s="31">
        <v>26000</v>
      </c>
      <c r="I36" s="31">
        <v>30000</v>
      </c>
      <c r="J36" s="31">
        <v>0</v>
      </c>
      <c r="K36" s="31"/>
      <c r="L36" s="31"/>
      <c r="M36" s="31"/>
      <c r="N36" s="31"/>
      <c r="O36" s="31">
        <v>6000</v>
      </c>
      <c r="P36" s="31"/>
      <c r="Q36" s="31">
        <v>20500</v>
      </c>
      <c r="R36" s="31">
        <v>0</v>
      </c>
      <c r="S36" s="31"/>
      <c r="T36" s="31">
        <f>SUM(B36:S36)</f>
        <v>728500</v>
      </c>
    </row>
    <row r="37" spans="1:20">
      <c r="A37" s="40" t="s">
        <v>23</v>
      </c>
      <c r="B37" s="41">
        <f t="shared" ref="B37:J37" si="1">SUM(B6:B36)</f>
        <v>4735500</v>
      </c>
      <c r="C37" s="41">
        <f t="shared" si="1"/>
        <v>2885000</v>
      </c>
      <c r="D37" s="41">
        <f t="shared" si="1"/>
        <v>2991500</v>
      </c>
      <c r="E37" s="41">
        <f t="shared" si="1"/>
        <v>527000</v>
      </c>
      <c r="F37" s="41">
        <f t="shared" si="1"/>
        <v>3057900</v>
      </c>
      <c r="G37" s="41">
        <f t="shared" si="1"/>
        <v>132000</v>
      </c>
      <c r="H37" s="41">
        <f t="shared" si="1"/>
        <v>2697500</v>
      </c>
      <c r="I37" s="41">
        <f t="shared" si="1"/>
        <v>1592000</v>
      </c>
      <c r="J37" s="41">
        <f t="shared" si="1"/>
        <v>255000</v>
      </c>
      <c r="K37" s="31"/>
      <c r="L37" s="31"/>
      <c r="M37" s="31"/>
      <c r="N37" s="31"/>
      <c r="O37" s="31">
        <f>SUM(O6:O36)</f>
        <v>153000</v>
      </c>
      <c r="P37" s="31"/>
      <c r="Q37" s="31">
        <f>SUM(Q6:Q36)</f>
        <v>1138500</v>
      </c>
      <c r="R37" s="31">
        <f>SUM(R6:R36)</f>
        <v>4188000</v>
      </c>
      <c r="S37" s="31"/>
      <c r="T37" s="31">
        <f>SUM(B37:S37)</f>
        <v>24352900</v>
      </c>
    </row>
  </sheetData>
  <mergeCells count="4">
    <mergeCell ref="B1:T1"/>
    <mergeCell ref="B2:T2"/>
    <mergeCell ref="C3:F3"/>
    <mergeCell ref="C4:F4"/>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G28"/>
  <sheetViews>
    <sheetView workbookViewId="0">
      <selection activeCell="I10" sqref="I10"/>
    </sheetView>
  </sheetViews>
  <sheetFormatPr defaultRowHeight="15"/>
  <cols>
    <col min="1" max="1" width="18.28515625" customWidth="1"/>
    <col min="2" max="2" width="12.85546875" customWidth="1"/>
    <col min="3" max="5" width="12.7109375" customWidth="1"/>
    <col min="6" max="6" width="12.42578125" customWidth="1"/>
    <col min="7" max="7" width="14.140625" customWidth="1"/>
  </cols>
  <sheetData>
    <row r="1" spans="1:7" ht="16.5" thickBot="1">
      <c r="A1" s="6" t="s">
        <v>24</v>
      </c>
      <c r="B1" s="70" t="s">
        <v>105</v>
      </c>
      <c r="C1" s="71"/>
      <c r="D1" s="72"/>
      <c r="E1" s="11"/>
      <c r="F1" s="11"/>
      <c r="G1" s="12"/>
    </row>
    <row r="2" spans="1:7" ht="15.75">
      <c r="A2" s="13" t="s">
        <v>25</v>
      </c>
      <c r="B2" s="14" t="s">
        <v>26</v>
      </c>
      <c r="C2" s="14" t="s">
        <v>27</v>
      </c>
      <c r="D2" s="14" t="s">
        <v>28</v>
      </c>
      <c r="E2" s="14" t="s">
        <v>29</v>
      </c>
      <c r="F2" s="15" t="s">
        <v>30</v>
      </c>
      <c r="G2" s="16" t="s">
        <v>31</v>
      </c>
    </row>
    <row r="3" spans="1:7" ht="15.75">
      <c r="A3" s="17" t="s">
        <v>4</v>
      </c>
      <c r="B3" s="18">
        <v>748500</v>
      </c>
      <c r="C3" s="18">
        <v>888500</v>
      </c>
      <c r="D3" s="18">
        <v>1198500</v>
      </c>
      <c r="E3" s="18">
        <v>851500</v>
      </c>
      <c r="F3" s="19">
        <v>1048500</v>
      </c>
      <c r="G3" s="20">
        <f t="shared" ref="G3:G11" si="0">SUM(B3:F3)</f>
        <v>4735500</v>
      </c>
    </row>
    <row r="4" spans="1:7" ht="15.75">
      <c r="A4" s="17" t="s">
        <v>5</v>
      </c>
      <c r="B4" s="18">
        <v>409000</v>
      </c>
      <c r="C4" s="18">
        <v>810000</v>
      </c>
      <c r="D4" s="18">
        <v>581000</v>
      </c>
      <c r="E4" s="18">
        <v>627000</v>
      </c>
      <c r="F4" s="19">
        <v>458000</v>
      </c>
      <c r="G4" s="20">
        <f>SUM(B4:F4)</f>
        <v>2885000</v>
      </c>
    </row>
    <row r="5" spans="1:7" ht="15.75">
      <c r="A5" s="17" t="s">
        <v>32</v>
      </c>
      <c r="B5" s="18">
        <v>374500</v>
      </c>
      <c r="C5" s="18">
        <v>789000</v>
      </c>
      <c r="D5" s="18">
        <v>558000</v>
      </c>
      <c r="E5" s="18">
        <v>731000</v>
      </c>
      <c r="F5" s="19">
        <v>539000</v>
      </c>
      <c r="G5" s="20">
        <f>SUM(B5:F5)</f>
        <v>2991500</v>
      </c>
    </row>
    <row r="6" spans="1:7" ht="15.75">
      <c r="A6" s="17" t="s">
        <v>33</v>
      </c>
      <c r="B6" s="18">
        <v>111000</v>
      </c>
      <c r="C6" s="18">
        <v>136000</v>
      </c>
      <c r="D6" s="18">
        <v>89500</v>
      </c>
      <c r="E6" s="18">
        <v>114500</v>
      </c>
      <c r="F6" s="19">
        <v>76000</v>
      </c>
      <c r="G6" s="20">
        <f t="shared" si="0"/>
        <v>527000</v>
      </c>
    </row>
    <row r="7" spans="1:7" ht="15.75">
      <c r="A7" s="17" t="s">
        <v>8</v>
      </c>
      <c r="B7" s="18">
        <v>389000</v>
      </c>
      <c r="C7" s="18">
        <v>756300</v>
      </c>
      <c r="D7" s="18">
        <v>537300</v>
      </c>
      <c r="E7" s="18">
        <v>929300</v>
      </c>
      <c r="F7" s="19">
        <v>446000</v>
      </c>
      <c r="G7" s="20">
        <f t="shared" si="0"/>
        <v>3057900</v>
      </c>
    </row>
    <row r="8" spans="1:7" ht="15.75">
      <c r="A8" s="17" t="s">
        <v>9</v>
      </c>
      <c r="B8" s="18">
        <v>6000</v>
      </c>
      <c r="C8" s="18">
        <v>6000</v>
      </c>
      <c r="D8" s="18">
        <v>42000</v>
      </c>
      <c r="E8" s="18">
        <v>24000</v>
      </c>
      <c r="F8" s="19">
        <v>24000</v>
      </c>
      <c r="G8" s="20">
        <f t="shared" si="0"/>
        <v>102000</v>
      </c>
    </row>
    <row r="9" spans="1:7" ht="15.75">
      <c r="A9" s="17" t="s">
        <v>10</v>
      </c>
      <c r="B9" s="18">
        <v>298000</v>
      </c>
      <c r="C9" s="18">
        <v>880000</v>
      </c>
      <c r="D9" s="18">
        <v>547000</v>
      </c>
      <c r="E9" s="18">
        <v>676500</v>
      </c>
      <c r="F9" s="19">
        <v>296000</v>
      </c>
      <c r="G9" s="20">
        <f t="shared" si="0"/>
        <v>2697500</v>
      </c>
    </row>
    <row r="10" spans="1:7" ht="15.75">
      <c r="A10" s="17" t="s">
        <v>11</v>
      </c>
      <c r="B10" s="18">
        <v>284000</v>
      </c>
      <c r="C10" s="18">
        <v>399000</v>
      </c>
      <c r="D10" s="18">
        <v>274000</v>
      </c>
      <c r="E10" s="18">
        <v>361000</v>
      </c>
      <c r="F10" s="19">
        <v>274000</v>
      </c>
      <c r="G10" s="20">
        <f t="shared" si="0"/>
        <v>1592000</v>
      </c>
    </row>
    <row r="11" spans="1:7" ht="15.75">
      <c r="A11" s="17" t="s">
        <v>12</v>
      </c>
      <c r="B11" s="18">
        <v>57000</v>
      </c>
      <c r="C11" s="18">
        <v>66000</v>
      </c>
      <c r="D11" s="18">
        <v>52000</v>
      </c>
      <c r="E11" s="18">
        <v>63000</v>
      </c>
      <c r="F11" s="19">
        <v>17000</v>
      </c>
      <c r="G11" s="20">
        <f t="shared" si="0"/>
        <v>255000</v>
      </c>
    </row>
    <row r="12" spans="1:7" ht="15.75">
      <c r="A12" s="17" t="s">
        <v>13</v>
      </c>
      <c r="B12" s="18"/>
      <c r="C12" s="18"/>
      <c r="D12" s="18"/>
      <c r="E12" s="18"/>
      <c r="F12" s="19"/>
      <c r="G12" s="20">
        <f t="shared" ref="G12:G19" si="1">SUM(B12:E12)</f>
        <v>0</v>
      </c>
    </row>
    <row r="13" spans="1:7" ht="15.75">
      <c r="A13" s="17" t="s">
        <v>14</v>
      </c>
      <c r="B13" s="18"/>
      <c r="C13" s="18"/>
      <c r="D13" s="18"/>
      <c r="E13" s="18"/>
      <c r="F13" s="19"/>
      <c r="G13" s="20">
        <f t="shared" si="1"/>
        <v>0</v>
      </c>
    </row>
    <row r="14" spans="1:7" ht="15.75">
      <c r="A14" s="17" t="s">
        <v>15</v>
      </c>
      <c r="B14" s="18"/>
      <c r="C14" s="18"/>
      <c r="D14" s="18"/>
      <c r="E14" s="18"/>
      <c r="F14" s="19"/>
      <c r="G14" s="20">
        <f t="shared" si="1"/>
        <v>0</v>
      </c>
    </row>
    <row r="15" spans="1:7" ht="15.75">
      <c r="A15" s="17" t="s">
        <v>16</v>
      </c>
      <c r="B15" s="18"/>
      <c r="C15" s="18"/>
      <c r="D15" s="18"/>
      <c r="E15" s="18"/>
      <c r="F15" s="19"/>
      <c r="G15" s="20">
        <f t="shared" si="1"/>
        <v>0</v>
      </c>
    </row>
    <row r="16" spans="1:7" ht="15.75">
      <c r="A16" s="17" t="s">
        <v>17</v>
      </c>
      <c r="B16" s="18">
        <v>16000</v>
      </c>
      <c r="C16" s="18">
        <v>55000</v>
      </c>
      <c r="D16" s="18">
        <v>13000</v>
      </c>
      <c r="E16" s="18">
        <v>101000</v>
      </c>
      <c r="F16" s="19">
        <v>23000</v>
      </c>
      <c r="G16" s="20">
        <f>SUM(B16:F16)</f>
        <v>208000</v>
      </c>
    </row>
    <row r="17" spans="1:7" ht="15.75">
      <c r="A17" s="17" t="s">
        <v>18</v>
      </c>
      <c r="B17" s="18"/>
      <c r="C17" s="18"/>
      <c r="D17" s="18"/>
      <c r="E17" s="18"/>
      <c r="F17" s="19"/>
      <c r="G17" s="20">
        <f t="shared" si="1"/>
        <v>0</v>
      </c>
    </row>
    <row r="18" spans="1:7" ht="15.75">
      <c r="A18" s="17" t="s">
        <v>19</v>
      </c>
      <c r="B18" s="18"/>
      <c r="C18" s="18"/>
      <c r="D18" s="18"/>
      <c r="E18" s="18"/>
      <c r="F18" s="19"/>
      <c r="G18" s="20">
        <f t="shared" si="1"/>
        <v>0</v>
      </c>
    </row>
    <row r="19" spans="1:7" ht="15.75">
      <c r="A19" s="17" t="s">
        <v>34</v>
      </c>
      <c r="B19" s="18"/>
      <c r="C19" s="18"/>
      <c r="D19" s="18"/>
      <c r="E19" s="18"/>
      <c r="F19" s="19"/>
      <c r="G19" s="20">
        <f t="shared" si="1"/>
        <v>0</v>
      </c>
    </row>
    <row r="20" spans="1:7" ht="16.5" thickBot="1">
      <c r="A20" s="21" t="s">
        <v>35</v>
      </c>
      <c r="B20" s="22">
        <f t="shared" ref="B20:G20" si="2">SUM(B3:B19)</f>
        <v>2693000</v>
      </c>
      <c r="C20" s="22">
        <f t="shared" si="2"/>
        <v>4785800</v>
      </c>
      <c r="D20" s="22">
        <f t="shared" si="2"/>
        <v>3892300</v>
      </c>
      <c r="E20" s="22">
        <f t="shared" si="2"/>
        <v>4478800</v>
      </c>
      <c r="F20" s="22">
        <f t="shared" si="2"/>
        <v>3201500</v>
      </c>
      <c r="G20" s="23">
        <f t="shared" si="2"/>
        <v>19051400</v>
      </c>
    </row>
    <row r="22" spans="1:7" ht="15.75" thickBot="1"/>
    <row r="23" spans="1:7" ht="21.75" thickBot="1">
      <c r="A23" s="73" t="s">
        <v>36</v>
      </c>
      <c r="B23" s="74"/>
      <c r="C23" s="74"/>
      <c r="D23" s="74"/>
      <c r="E23" s="74"/>
      <c r="F23" s="74"/>
      <c r="G23" s="75"/>
    </row>
    <row r="24" spans="1:7" ht="15.75" thickBot="1">
      <c r="A24" s="95" t="s">
        <v>106</v>
      </c>
      <c r="B24" s="68"/>
      <c r="C24" s="68"/>
      <c r="D24" s="68"/>
      <c r="E24" s="68"/>
      <c r="F24" s="68"/>
      <c r="G24" s="69"/>
    </row>
    <row r="25" spans="1:7" ht="15.75" thickBot="1">
      <c r="A25" s="24"/>
      <c r="B25" s="25"/>
      <c r="C25" s="25"/>
      <c r="D25" s="25"/>
      <c r="E25" s="25"/>
      <c r="F25" s="25"/>
      <c r="G25" s="26"/>
    </row>
    <row r="26" spans="1:7" ht="15.75" thickBot="1">
      <c r="A26" s="67"/>
      <c r="B26" s="68"/>
      <c r="C26" s="68"/>
      <c r="D26" s="68"/>
      <c r="E26" s="68"/>
      <c r="F26" s="68"/>
      <c r="G26" s="69"/>
    </row>
    <row r="27" spans="1:7" ht="15.75" thickBot="1">
      <c r="A27" s="77"/>
      <c r="B27" s="68"/>
      <c r="C27" s="68"/>
      <c r="D27" s="68"/>
      <c r="E27" s="68"/>
      <c r="F27" s="68"/>
      <c r="G27" s="69"/>
    </row>
    <row r="28" spans="1:7" ht="15.75" thickBot="1">
      <c r="A28" s="67"/>
      <c r="B28" s="68"/>
      <c r="C28" s="68"/>
      <c r="D28" s="68"/>
      <c r="E28" s="68"/>
      <c r="F28" s="68"/>
      <c r="G28" s="69"/>
    </row>
  </sheetData>
  <mergeCells count="6">
    <mergeCell ref="A28:G28"/>
    <mergeCell ref="B1:D1"/>
    <mergeCell ref="A23:G23"/>
    <mergeCell ref="A24:G24"/>
    <mergeCell ref="A26:G26"/>
    <mergeCell ref="A27:G27"/>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37"/>
  <sheetViews>
    <sheetView workbookViewId="0">
      <selection activeCell="G15" sqref="G15"/>
    </sheetView>
  </sheetViews>
  <sheetFormatPr defaultRowHeight="15"/>
  <cols>
    <col min="1" max="1" width="9" customWidth="1"/>
    <col min="2" max="2" width="10.5703125" customWidth="1"/>
    <col min="3" max="4" width="10.28515625" customWidth="1"/>
    <col min="5" max="5" width="10.42578125" customWidth="1"/>
    <col min="6" max="6" width="11.140625" customWidth="1"/>
    <col min="7" max="7" width="10.42578125" customWidth="1"/>
    <col min="8" max="8" width="10.5703125" customWidth="1"/>
    <col min="9" max="9" width="11.7109375" customWidth="1"/>
    <col min="10" max="10" width="10.5703125" customWidth="1"/>
    <col min="19" max="19" width="7.5703125" customWidth="1"/>
    <col min="20" max="20" width="10.5703125" customWidth="1"/>
  </cols>
  <sheetData>
    <row r="1" spans="1:21" ht="26.25">
      <c r="A1" s="28"/>
      <c r="B1" s="55" t="s">
        <v>68</v>
      </c>
      <c r="C1" s="56"/>
      <c r="D1" s="56"/>
      <c r="E1" s="56"/>
      <c r="F1" s="56"/>
      <c r="G1" s="56"/>
      <c r="H1" s="56"/>
      <c r="I1" s="56"/>
      <c r="J1" s="56"/>
      <c r="K1" s="56"/>
      <c r="L1" s="56"/>
      <c r="M1" s="56"/>
      <c r="N1" s="56"/>
      <c r="O1" s="56"/>
      <c r="P1" s="56"/>
      <c r="Q1" s="56"/>
      <c r="R1" s="56"/>
      <c r="S1" s="56"/>
      <c r="T1" s="57"/>
    </row>
    <row r="2" spans="1:21" ht="27" thickBot="1">
      <c r="A2" s="4"/>
      <c r="B2" s="58" t="s">
        <v>0</v>
      </c>
      <c r="C2" s="59"/>
      <c r="D2" s="59"/>
      <c r="E2" s="59"/>
      <c r="F2" s="59"/>
      <c r="G2" s="59"/>
      <c r="H2" s="59"/>
      <c r="I2" s="59"/>
      <c r="J2" s="59"/>
      <c r="K2" s="59"/>
      <c r="L2" s="59"/>
      <c r="M2" s="59"/>
      <c r="N2" s="59"/>
      <c r="O2" s="59"/>
      <c r="P2" s="59"/>
      <c r="Q2" s="59"/>
      <c r="R2" s="59"/>
      <c r="S2" s="59"/>
      <c r="T2" s="60"/>
    </row>
    <row r="3" spans="1:21" ht="27" thickBot="1">
      <c r="A3" s="4"/>
      <c r="B3" s="29" t="s">
        <v>1</v>
      </c>
      <c r="C3" s="61" t="s">
        <v>69</v>
      </c>
      <c r="D3" s="62"/>
      <c r="E3" s="62"/>
      <c r="F3" s="63"/>
      <c r="G3" s="50" t="s">
        <v>107</v>
      </c>
    </row>
    <row r="4" spans="1:21" ht="21">
      <c r="A4" s="4"/>
      <c r="B4" s="30" t="s">
        <v>2</v>
      </c>
      <c r="C4" s="78"/>
      <c r="D4" s="79"/>
      <c r="E4" s="79"/>
      <c r="F4" s="80"/>
    </row>
    <row r="5" spans="1:21" ht="67.5">
      <c r="A5" s="32" t="s">
        <v>3</v>
      </c>
      <c r="B5" s="33" t="s">
        <v>4</v>
      </c>
      <c r="C5" s="33" t="s">
        <v>5</v>
      </c>
      <c r="D5" s="33" t="s">
        <v>6</v>
      </c>
      <c r="E5" s="33" t="s">
        <v>7</v>
      </c>
      <c r="F5" s="33" t="s">
        <v>8</v>
      </c>
      <c r="G5" s="33" t="s">
        <v>9</v>
      </c>
      <c r="H5" s="33" t="s">
        <v>10</v>
      </c>
      <c r="I5" s="33" t="s">
        <v>11</v>
      </c>
      <c r="J5" s="33" t="s">
        <v>12</v>
      </c>
      <c r="K5" s="33" t="s">
        <v>13</v>
      </c>
      <c r="L5" s="33" t="s">
        <v>14</v>
      </c>
      <c r="M5" s="33" t="s">
        <v>15</v>
      </c>
      <c r="N5" s="33" t="s">
        <v>16</v>
      </c>
      <c r="O5" s="33" t="s">
        <v>17</v>
      </c>
      <c r="P5" s="33" t="s">
        <v>18</v>
      </c>
      <c r="Q5" s="33" t="s">
        <v>19</v>
      </c>
      <c r="R5" s="33" t="s">
        <v>20</v>
      </c>
      <c r="S5" s="33" t="s">
        <v>21</v>
      </c>
      <c r="T5" s="33" t="s">
        <v>22</v>
      </c>
      <c r="U5" s="49" t="s">
        <v>104</v>
      </c>
    </row>
    <row r="6" spans="1:21">
      <c r="A6" s="35" t="s">
        <v>67</v>
      </c>
      <c r="B6" s="36">
        <v>163000</v>
      </c>
      <c r="C6" s="36">
        <v>92000</v>
      </c>
      <c r="D6" s="36">
        <v>112000</v>
      </c>
      <c r="E6" s="36">
        <v>12000</v>
      </c>
      <c r="F6" s="36">
        <v>182100</v>
      </c>
      <c r="G6" s="36">
        <v>0</v>
      </c>
      <c r="H6" s="36">
        <v>175000</v>
      </c>
      <c r="I6" s="36">
        <v>85000</v>
      </c>
      <c r="J6" s="36">
        <v>4000</v>
      </c>
      <c r="K6" s="36"/>
      <c r="L6" s="36"/>
      <c r="M6" s="36"/>
      <c r="N6" s="36"/>
      <c r="O6" s="36">
        <v>24000</v>
      </c>
      <c r="P6" s="36"/>
      <c r="Q6" s="36">
        <v>0</v>
      </c>
      <c r="R6" s="36">
        <v>150000</v>
      </c>
      <c r="S6" s="37"/>
      <c r="T6" s="37">
        <f t="shared" ref="T6:T35" si="0">SUM(B6:S6)</f>
        <v>999100</v>
      </c>
    </row>
    <row r="7" spans="1:21">
      <c r="A7" s="35" t="s">
        <v>37</v>
      </c>
      <c r="B7" s="36">
        <v>201000</v>
      </c>
      <c r="C7" s="36">
        <v>48000</v>
      </c>
      <c r="D7" s="36">
        <v>103000</v>
      </c>
      <c r="E7" s="36">
        <v>22000</v>
      </c>
      <c r="F7" s="36">
        <v>169000</v>
      </c>
      <c r="G7" s="36">
        <v>24000</v>
      </c>
      <c r="H7" s="36">
        <v>106000</v>
      </c>
      <c r="I7" s="36">
        <v>25000</v>
      </c>
      <c r="J7" s="36">
        <v>3000</v>
      </c>
      <c r="K7" s="36"/>
      <c r="L7" s="36"/>
      <c r="M7" s="36"/>
      <c r="N7" s="36"/>
      <c r="O7" s="36">
        <v>6000</v>
      </c>
      <c r="P7" s="36"/>
      <c r="Q7" s="36">
        <v>23000</v>
      </c>
      <c r="R7" s="36">
        <v>0</v>
      </c>
      <c r="S7" s="37"/>
      <c r="T7" s="37">
        <f t="shared" si="0"/>
        <v>730000</v>
      </c>
    </row>
    <row r="8" spans="1:21">
      <c r="A8" s="35" t="s">
        <v>38</v>
      </c>
      <c r="B8" s="36">
        <v>214000</v>
      </c>
      <c r="C8" s="36">
        <v>116000</v>
      </c>
      <c r="D8" s="36">
        <v>77000</v>
      </c>
      <c r="E8" s="36">
        <v>14000</v>
      </c>
      <c r="F8" s="36">
        <v>81000</v>
      </c>
      <c r="G8" s="36">
        <v>36000</v>
      </c>
      <c r="H8" s="36">
        <v>94000</v>
      </c>
      <c r="I8" s="36">
        <v>46000</v>
      </c>
      <c r="J8" s="36">
        <v>6000</v>
      </c>
      <c r="K8" s="36"/>
      <c r="L8" s="36"/>
      <c r="M8" s="36"/>
      <c r="N8" s="36"/>
      <c r="O8" s="36">
        <v>16000</v>
      </c>
      <c r="P8" s="36"/>
      <c r="Q8" s="36">
        <v>0</v>
      </c>
      <c r="R8" s="36">
        <v>11000</v>
      </c>
      <c r="S8" s="37"/>
      <c r="T8" s="37">
        <f t="shared" si="0"/>
        <v>711000</v>
      </c>
    </row>
    <row r="9" spans="1:21">
      <c r="A9" s="35" t="s">
        <v>39</v>
      </c>
      <c r="B9" s="36">
        <v>131000</v>
      </c>
      <c r="C9" s="36">
        <v>38000</v>
      </c>
      <c r="D9" s="36">
        <v>105000</v>
      </c>
      <c r="E9" s="36">
        <v>0</v>
      </c>
      <c r="F9" s="36">
        <v>110800</v>
      </c>
      <c r="G9" s="36">
        <v>0</v>
      </c>
      <c r="H9" s="36">
        <v>60000</v>
      </c>
      <c r="I9" s="36">
        <v>38000</v>
      </c>
      <c r="J9" s="36">
        <v>6000</v>
      </c>
      <c r="K9" s="36"/>
      <c r="L9" s="36"/>
      <c r="M9" s="36"/>
      <c r="N9" s="36"/>
      <c r="O9" s="36">
        <v>0</v>
      </c>
      <c r="Q9" s="36">
        <v>0</v>
      </c>
      <c r="R9" s="36">
        <v>0</v>
      </c>
      <c r="S9" s="37"/>
      <c r="T9" s="37">
        <f t="shared" si="0"/>
        <v>488800</v>
      </c>
    </row>
    <row r="10" spans="1:21">
      <c r="A10" s="35" t="s">
        <v>40</v>
      </c>
      <c r="B10" s="37">
        <v>112000</v>
      </c>
      <c r="C10" s="37">
        <v>53000</v>
      </c>
      <c r="D10" s="37">
        <v>93000</v>
      </c>
      <c r="E10" s="37">
        <v>7000</v>
      </c>
      <c r="F10" s="37">
        <v>89000</v>
      </c>
      <c r="G10" s="37">
        <v>12000</v>
      </c>
      <c r="H10" s="37">
        <v>82000</v>
      </c>
      <c r="I10" s="37">
        <v>50000</v>
      </c>
      <c r="J10" s="37">
        <v>9000</v>
      </c>
      <c r="K10" s="37"/>
      <c r="L10" s="37"/>
      <c r="M10" s="37"/>
      <c r="N10" s="37"/>
      <c r="O10" s="37">
        <v>0</v>
      </c>
      <c r="P10" s="37"/>
      <c r="Q10" s="37">
        <v>239000</v>
      </c>
      <c r="R10" s="37">
        <v>0</v>
      </c>
      <c r="S10" s="37"/>
      <c r="T10" s="37">
        <f t="shared" si="0"/>
        <v>746000</v>
      </c>
    </row>
    <row r="11" spans="1:21">
      <c r="A11" s="35" t="s">
        <v>41</v>
      </c>
      <c r="B11" s="37">
        <v>112000</v>
      </c>
      <c r="C11" s="37">
        <v>240000</v>
      </c>
      <c r="D11" s="37">
        <v>107000</v>
      </c>
      <c r="E11" s="37">
        <v>30000</v>
      </c>
      <c r="F11" s="37">
        <v>130900</v>
      </c>
      <c r="G11" s="37">
        <v>0</v>
      </c>
      <c r="H11" s="37">
        <v>99000</v>
      </c>
      <c r="I11" s="37">
        <v>72000</v>
      </c>
      <c r="J11" s="37">
        <v>11000</v>
      </c>
      <c r="K11" s="37"/>
      <c r="L11" s="37"/>
      <c r="M11" s="37"/>
      <c r="N11" s="37"/>
      <c r="O11" s="37">
        <v>11000</v>
      </c>
      <c r="P11" s="37"/>
      <c r="Q11" s="37">
        <v>46000</v>
      </c>
      <c r="R11" s="37">
        <v>23000</v>
      </c>
      <c r="S11" s="37"/>
      <c r="T11" s="37">
        <f t="shared" si="0"/>
        <v>881900</v>
      </c>
    </row>
    <row r="12" spans="1:21">
      <c r="A12" s="35" t="s">
        <v>42</v>
      </c>
      <c r="B12" s="37">
        <v>91000</v>
      </c>
      <c r="C12" s="37">
        <v>62000</v>
      </c>
      <c r="D12" s="37">
        <v>79000</v>
      </c>
      <c r="E12" s="37">
        <v>9500</v>
      </c>
      <c r="F12" s="37">
        <v>80000</v>
      </c>
      <c r="G12" s="37">
        <v>12000</v>
      </c>
      <c r="H12" s="37">
        <v>66000</v>
      </c>
      <c r="I12" s="37">
        <v>69000</v>
      </c>
      <c r="J12" s="37">
        <v>3000</v>
      </c>
      <c r="K12" s="37"/>
      <c r="L12" s="37"/>
      <c r="M12" s="37"/>
      <c r="N12" s="37"/>
      <c r="O12" s="37">
        <v>6000</v>
      </c>
      <c r="P12" s="37"/>
      <c r="Q12" s="37">
        <v>23000</v>
      </c>
      <c r="R12" s="37">
        <v>28000</v>
      </c>
      <c r="S12" s="37"/>
      <c r="T12" s="37">
        <f t="shared" si="0"/>
        <v>528500</v>
      </c>
    </row>
    <row r="13" spans="1:21">
      <c r="A13" s="35" t="s">
        <v>43</v>
      </c>
      <c r="B13" s="37">
        <v>94000</v>
      </c>
      <c r="C13" s="37">
        <v>61000</v>
      </c>
      <c r="D13" s="37">
        <v>84000</v>
      </c>
      <c r="E13" s="37">
        <v>10500</v>
      </c>
      <c r="F13" s="37">
        <v>118000</v>
      </c>
      <c r="G13" s="37">
        <v>12000</v>
      </c>
      <c r="H13" s="37">
        <v>72000</v>
      </c>
      <c r="I13" s="37">
        <v>43000</v>
      </c>
      <c r="J13" s="37">
        <v>7000</v>
      </c>
      <c r="K13" s="37"/>
      <c r="L13" s="37"/>
      <c r="M13" s="37"/>
      <c r="N13" s="37"/>
      <c r="O13" s="37">
        <v>18000</v>
      </c>
      <c r="P13" s="37"/>
      <c r="Q13" s="37">
        <v>0</v>
      </c>
      <c r="R13" s="37">
        <v>-100000</v>
      </c>
      <c r="S13" s="37"/>
      <c r="T13" s="37">
        <f t="shared" si="0"/>
        <v>419500</v>
      </c>
    </row>
    <row r="14" spans="1:21">
      <c r="A14" s="35" t="s">
        <v>44</v>
      </c>
      <c r="B14" s="37">
        <v>233000</v>
      </c>
      <c r="C14" s="37">
        <v>109000</v>
      </c>
      <c r="D14" s="37">
        <v>68000</v>
      </c>
      <c r="E14" s="37">
        <v>41500</v>
      </c>
      <c r="F14" s="37">
        <v>92000</v>
      </c>
      <c r="G14" s="37">
        <v>12000</v>
      </c>
      <c r="H14" s="37">
        <v>82000</v>
      </c>
      <c r="I14" s="37">
        <v>61000</v>
      </c>
      <c r="J14" s="37">
        <v>11000</v>
      </c>
      <c r="K14" s="37"/>
      <c r="L14" s="37"/>
      <c r="M14" s="37"/>
      <c r="N14" s="37"/>
      <c r="O14" s="37">
        <v>30000</v>
      </c>
      <c r="P14" s="37"/>
      <c r="Q14" s="37">
        <v>0</v>
      </c>
      <c r="R14" s="37">
        <v>105000</v>
      </c>
      <c r="S14" s="37"/>
      <c r="T14" s="37">
        <f t="shared" si="0"/>
        <v>844500</v>
      </c>
    </row>
    <row r="15" spans="1:21">
      <c r="A15" s="35" t="s">
        <v>45</v>
      </c>
      <c r="B15" s="37">
        <v>177000</v>
      </c>
      <c r="C15" s="37">
        <v>48000</v>
      </c>
      <c r="D15" s="37">
        <v>82000</v>
      </c>
      <c r="E15" s="37">
        <v>17000</v>
      </c>
      <c r="F15" s="37">
        <v>67500</v>
      </c>
      <c r="G15" s="37">
        <v>12000</v>
      </c>
      <c r="H15" s="37">
        <v>56000</v>
      </c>
      <c r="I15" s="37">
        <v>41000</v>
      </c>
      <c r="J15" s="37">
        <v>7000</v>
      </c>
      <c r="K15" s="37"/>
      <c r="L15" s="37"/>
      <c r="M15" s="37"/>
      <c r="N15" s="37"/>
      <c r="O15" s="37">
        <v>0</v>
      </c>
      <c r="P15" s="37"/>
      <c r="Q15" s="37">
        <v>23000</v>
      </c>
      <c r="R15" s="37">
        <v>0</v>
      </c>
      <c r="S15" s="37"/>
      <c r="T15" s="37">
        <f t="shared" si="0"/>
        <v>530500</v>
      </c>
    </row>
    <row r="16" spans="1:21">
      <c r="A16" s="35" t="s">
        <v>46</v>
      </c>
      <c r="B16" s="37">
        <v>201500</v>
      </c>
      <c r="C16" s="37">
        <v>47000</v>
      </c>
      <c r="D16" s="37">
        <v>57000</v>
      </c>
      <c r="E16" s="37">
        <v>14000</v>
      </c>
      <c r="F16" s="37">
        <v>61000</v>
      </c>
      <c r="G16" s="37">
        <v>30000</v>
      </c>
      <c r="H16" s="37">
        <v>32000</v>
      </c>
      <c r="I16" s="37">
        <v>40000</v>
      </c>
      <c r="J16" s="37">
        <v>13000</v>
      </c>
      <c r="K16" s="37"/>
      <c r="L16" s="37"/>
      <c r="M16" s="37"/>
      <c r="N16" s="37"/>
      <c r="O16" s="37">
        <v>12000</v>
      </c>
      <c r="P16" s="37"/>
      <c r="Q16" s="37">
        <v>0</v>
      </c>
      <c r="R16" s="37">
        <v>0</v>
      </c>
      <c r="S16" s="37"/>
      <c r="T16" s="37">
        <f t="shared" si="0"/>
        <v>507500</v>
      </c>
    </row>
    <row r="17" spans="1:20">
      <c r="A17" s="35" t="s">
        <v>47</v>
      </c>
      <c r="B17" s="37">
        <v>168000</v>
      </c>
      <c r="C17" s="37">
        <v>68000</v>
      </c>
      <c r="D17" s="37">
        <v>86000</v>
      </c>
      <c r="E17" s="37">
        <v>24000</v>
      </c>
      <c r="F17" s="37">
        <v>102000</v>
      </c>
      <c r="G17" s="37">
        <v>24000</v>
      </c>
      <c r="H17" s="37">
        <v>46000</v>
      </c>
      <c r="I17" s="37">
        <v>92000</v>
      </c>
      <c r="J17" s="37">
        <v>12000</v>
      </c>
      <c r="K17" s="37"/>
      <c r="L17" s="37"/>
      <c r="M17" s="37"/>
      <c r="N17" s="37"/>
      <c r="O17" s="37">
        <v>6000</v>
      </c>
      <c r="P17" s="37"/>
      <c r="Q17" s="37">
        <v>0</v>
      </c>
      <c r="R17" s="37">
        <v>0</v>
      </c>
      <c r="S17" s="37"/>
      <c r="T17" s="37">
        <f t="shared" si="0"/>
        <v>628000</v>
      </c>
    </row>
    <row r="18" spans="1:20">
      <c r="A18" s="35" t="s">
        <v>48</v>
      </c>
      <c r="B18" s="37">
        <v>209500</v>
      </c>
      <c r="C18" s="37">
        <v>88000</v>
      </c>
      <c r="D18" s="37">
        <v>51000</v>
      </c>
      <c r="E18" s="37">
        <v>39000</v>
      </c>
      <c r="F18" s="37">
        <v>112000</v>
      </c>
      <c r="G18" s="37">
        <v>36000</v>
      </c>
      <c r="H18" s="37">
        <v>81000</v>
      </c>
      <c r="I18" s="37">
        <v>53000</v>
      </c>
      <c r="J18" s="37">
        <v>7000</v>
      </c>
      <c r="K18" s="37"/>
      <c r="L18" s="37"/>
      <c r="M18" s="37"/>
      <c r="N18" s="37"/>
      <c r="O18" s="37">
        <v>0</v>
      </c>
      <c r="P18" s="37"/>
      <c r="Q18" s="37">
        <v>119500</v>
      </c>
      <c r="R18" s="37">
        <v>3200</v>
      </c>
      <c r="S18" s="37"/>
      <c r="T18" s="37">
        <f t="shared" si="0"/>
        <v>799200</v>
      </c>
    </row>
    <row r="19" spans="1:20">
      <c r="A19" s="35" t="s">
        <v>49</v>
      </c>
      <c r="B19" s="37">
        <v>296000</v>
      </c>
      <c r="C19" s="37">
        <v>62000</v>
      </c>
      <c r="D19" s="37">
        <v>107000</v>
      </c>
      <c r="E19" s="37">
        <v>67000</v>
      </c>
      <c r="F19" s="37">
        <v>142500</v>
      </c>
      <c r="G19" s="37">
        <v>24000</v>
      </c>
      <c r="H19" s="37">
        <v>140000</v>
      </c>
      <c r="I19" s="37">
        <v>57000</v>
      </c>
      <c r="J19" s="37">
        <v>6000</v>
      </c>
      <c r="K19" s="37"/>
      <c r="L19" s="37"/>
      <c r="M19" s="37"/>
      <c r="N19" s="37"/>
      <c r="O19" s="37">
        <v>0</v>
      </c>
      <c r="P19" s="37"/>
      <c r="Q19" s="37">
        <v>0</v>
      </c>
      <c r="R19" s="37">
        <v>0</v>
      </c>
      <c r="S19" s="37"/>
      <c r="T19" s="37">
        <f t="shared" si="0"/>
        <v>901500</v>
      </c>
    </row>
    <row r="20" spans="1:20">
      <c r="A20" s="35" t="s">
        <v>50</v>
      </c>
      <c r="B20" s="37">
        <v>175000</v>
      </c>
      <c r="C20" s="37">
        <v>210000</v>
      </c>
      <c r="D20" s="37">
        <v>69000</v>
      </c>
      <c r="E20" s="37">
        <v>23000</v>
      </c>
      <c r="F20" s="37">
        <v>88000</v>
      </c>
      <c r="G20" s="37">
        <v>12000</v>
      </c>
      <c r="H20" s="37">
        <v>98000</v>
      </c>
      <c r="I20" s="37">
        <v>36000</v>
      </c>
      <c r="J20" s="37">
        <v>12000</v>
      </c>
      <c r="K20" s="37"/>
      <c r="L20" s="37"/>
      <c r="M20" s="37"/>
      <c r="N20" s="37"/>
      <c r="O20" s="37">
        <v>0</v>
      </c>
      <c r="P20" s="37"/>
      <c r="Q20" s="37">
        <v>0</v>
      </c>
      <c r="R20" s="37">
        <v>0</v>
      </c>
      <c r="S20" s="37"/>
      <c r="T20" s="37">
        <f t="shared" si="0"/>
        <v>723000</v>
      </c>
    </row>
    <row r="21" spans="1:20">
      <c r="A21" s="35" t="s">
        <v>73</v>
      </c>
      <c r="B21" s="37">
        <v>163000</v>
      </c>
      <c r="C21" s="37">
        <v>83000</v>
      </c>
      <c r="D21" s="37">
        <v>132000</v>
      </c>
      <c r="E21" s="37">
        <v>15000</v>
      </c>
      <c r="F21" s="37">
        <v>125500</v>
      </c>
      <c r="G21" s="37">
        <v>0</v>
      </c>
      <c r="H21" s="37">
        <v>136000</v>
      </c>
      <c r="I21" s="37">
        <v>136000</v>
      </c>
      <c r="J21" s="37">
        <v>16000</v>
      </c>
      <c r="K21" s="37"/>
      <c r="L21" s="37"/>
      <c r="M21" s="37"/>
      <c r="N21" s="37"/>
      <c r="O21" s="37">
        <v>5000</v>
      </c>
      <c r="P21" s="37"/>
      <c r="Q21" s="37">
        <v>20000</v>
      </c>
      <c r="R21" s="37">
        <v>0</v>
      </c>
      <c r="S21" s="37"/>
      <c r="T21" s="37">
        <f t="shared" si="0"/>
        <v>831500</v>
      </c>
    </row>
    <row r="22" spans="1:20">
      <c r="A22" s="35" t="s">
        <v>52</v>
      </c>
      <c r="B22" s="37">
        <v>144500</v>
      </c>
      <c r="C22" s="37">
        <v>39000</v>
      </c>
      <c r="D22" s="37">
        <v>131000</v>
      </c>
      <c r="E22" s="37">
        <v>12500</v>
      </c>
      <c r="F22" s="37">
        <v>113500</v>
      </c>
      <c r="G22" s="37">
        <v>0</v>
      </c>
      <c r="H22" s="37">
        <v>136000</v>
      </c>
      <c r="I22" s="37">
        <v>32000</v>
      </c>
      <c r="J22" s="37">
        <v>0</v>
      </c>
      <c r="K22" s="37"/>
      <c r="L22" s="37"/>
      <c r="M22" s="37"/>
      <c r="N22" s="37"/>
      <c r="O22" s="37">
        <v>0</v>
      </c>
      <c r="P22" s="37"/>
      <c r="Q22" s="37">
        <v>0</v>
      </c>
      <c r="R22" s="37">
        <v>0</v>
      </c>
      <c r="S22" s="37"/>
      <c r="T22" s="37">
        <f t="shared" si="0"/>
        <v>608500</v>
      </c>
    </row>
    <row r="23" spans="1:20">
      <c r="A23" s="35" t="s">
        <v>53</v>
      </c>
      <c r="B23" s="37">
        <v>123000</v>
      </c>
      <c r="C23" s="37">
        <v>96000</v>
      </c>
      <c r="D23" s="37">
        <v>86500</v>
      </c>
      <c r="E23" s="37">
        <v>10000</v>
      </c>
      <c r="F23" s="37">
        <v>110000</v>
      </c>
      <c r="G23" s="37">
        <v>18000</v>
      </c>
      <c r="H23" s="37">
        <v>69000</v>
      </c>
      <c r="I23" s="37">
        <v>50000</v>
      </c>
      <c r="J23" s="37">
        <v>7000</v>
      </c>
      <c r="K23" s="37"/>
      <c r="L23" s="37"/>
      <c r="M23" s="37"/>
      <c r="N23" s="37"/>
      <c r="O23" s="37">
        <v>0</v>
      </c>
      <c r="P23" s="37"/>
      <c r="Q23" s="37">
        <v>0</v>
      </c>
      <c r="R23" s="37">
        <v>0</v>
      </c>
      <c r="S23" s="37"/>
      <c r="T23" s="37">
        <f t="shared" si="0"/>
        <v>569500</v>
      </c>
    </row>
    <row r="24" spans="1:20">
      <c r="A24" s="35" t="s">
        <v>54</v>
      </c>
      <c r="B24" s="37">
        <v>123000</v>
      </c>
      <c r="C24" s="37">
        <v>50000</v>
      </c>
      <c r="D24" s="37">
        <v>94000</v>
      </c>
      <c r="E24" s="37">
        <v>6000</v>
      </c>
      <c r="F24" s="37">
        <v>110000</v>
      </c>
      <c r="G24" s="37">
        <v>0</v>
      </c>
      <c r="H24" s="37">
        <v>79000</v>
      </c>
      <c r="I24" s="37">
        <v>13000</v>
      </c>
      <c r="J24" s="37">
        <v>7000</v>
      </c>
      <c r="K24" s="37"/>
      <c r="L24" s="37"/>
      <c r="M24" s="37"/>
      <c r="N24" s="37"/>
      <c r="O24" s="37">
        <v>0</v>
      </c>
      <c r="P24" s="37"/>
      <c r="Q24" s="37">
        <v>23000</v>
      </c>
      <c r="R24" s="37">
        <v>50000</v>
      </c>
      <c r="S24" s="37"/>
      <c r="T24" s="37">
        <f t="shared" si="0"/>
        <v>555000</v>
      </c>
    </row>
    <row r="25" spans="1:20">
      <c r="A25" s="35" t="s">
        <v>55</v>
      </c>
      <c r="B25" s="37">
        <v>143000</v>
      </c>
      <c r="C25" s="37">
        <v>37000</v>
      </c>
      <c r="D25" s="37">
        <v>101000</v>
      </c>
      <c r="E25" s="37">
        <v>18000</v>
      </c>
      <c r="F25" s="37">
        <v>130500</v>
      </c>
      <c r="G25" s="37">
        <v>24000</v>
      </c>
      <c r="H25" s="37">
        <v>115000</v>
      </c>
      <c r="I25" s="37">
        <v>86000</v>
      </c>
      <c r="J25" s="37">
        <v>6000</v>
      </c>
      <c r="K25" s="37"/>
      <c r="L25" s="37"/>
      <c r="M25" s="37"/>
      <c r="N25" s="37"/>
      <c r="O25" s="37">
        <v>0</v>
      </c>
      <c r="P25" s="37"/>
      <c r="Q25" s="37">
        <v>0</v>
      </c>
      <c r="R25" s="37">
        <v>121200</v>
      </c>
      <c r="S25" s="37"/>
      <c r="T25" s="37">
        <f t="shared" si="0"/>
        <v>781700</v>
      </c>
    </row>
    <row r="26" spans="1:20">
      <c r="A26" s="35" t="s">
        <v>56</v>
      </c>
      <c r="B26" s="37">
        <v>152000</v>
      </c>
      <c r="C26" s="37">
        <v>53000</v>
      </c>
      <c r="D26" s="37">
        <v>99000</v>
      </c>
      <c r="E26" s="37">
        <v>27000</v>
      </c>
      <c r="F26" s="37">
        <v>154500</v>
      </c>
      <c r="G26" s="37">
        <v>0</v>
      </c>
      <c r="H26" s="37">
        <v>106000</v>
      </c>
      <c r="I26" s="37">
        <v>105000</v>
      </c>
      <c r="J26" s="37">
        <v>22000</v>
      </c>
      <c r="K26" s="37"/>
      <c r="L26" s="37"/>
      <c r="M26" s="37"/>
      <c r="N26" s="37"/>
      <c r="O26" s="37">
        <v>0</v>
      </c>
      <c r="P26" s="37"/>
      <c r="Q26" s="37">
        <v>23000</v>
      </c>
      <c r="R26" s="37">
        <v>0</v>
      </c>
      <c r="S26" s="37"/>
      <c r="T26" s="37">
        <f t="shared" si="0"/>
        <v>741500</v>
      </c>
    </row>
    <row r="27" spans="1:20">
      <c r="A27" s="35" t="s">
        <v>57</v>
      </c>
      <c r="B27" s="37">
        <v>153000</v>
      </c>
      <c r="C27" s="37">
        <v>73000</v>
      </c>
      <c r="D27" s="37">
        <v>101000</v>
      </c>
      <c r="E27" s="37">
        <v>22000</v>
      </c>
      <c r="F27" s="37">
        <v>127500</v>
      </c>
      <c r="G27" s="37">
        <v>48000</v>
      </c>
      <c r="H27" s="37">
        <v>126000</v>
      </c>
      <c r="I27" s="37">
        <v>103000</v>
      </c>
      <c r="J27" s="37">
        <v>18000</v>
      </c>
      <c r="K27" s="37"/>
      <c r="L27" s="37"/>
      <c r="M27" s="37"/>
      <c r="N27" s="37"/>
      <c r="O27" s="31">
        <v>6000</v>
      </c>
      <c r="P27" s="37"/>
      <c r="Q27" s="37">
        <v>23000</v>
      </c>
      <c r="R27" s="37">
        <v>0</v>
      </c>
      <c r="S27" s="37"/>
      <c r="T27" s="37">
        <f t="shared" si="0"/>
        <v>800500</v>
      </c>
    </row>
    <row r="28" spans="1:20">
      <c r="A28" s="35" t="s">
        <v>58</v>
      </c>
      <c r="B28" s="37">
        <v>152500</v>
      </c>
      <c r="C28" s="37">
        <v>202000</v>
      </c>
      <c r="D28" s="37">
        <v>91000</v>
      </c>
      <c r="E28" s="37">
        <v>26000</v>
      </c>
      <c r="F28" s="37">
        <v>62000</v>
      </c>
      <c r="G28" s="37">
        <v>0</v>
      </c>
      <c r="H28" s="37">
        <v>77000</v>
      </c>
      <c r="I28" s="37">
        <v>27000</v>
      </c>
      <c r="J28" s="37">
        <v>0</v>
      </c>
      <c r="K28" s="37"/>
      <c r="L28" s="37"/>
      <c r="M28" s="37"/>
      <c r="N28" s="37"/>
      <c r="O28" s="37">
        <v>12000</v>
      </c>
      <c r="P28" s="37"/>
      <c r="Q28" s="37">
        <v>119500</v>
      </c>
      <c r="R28" s="37">
        <v>0</v>
      </c>
      <c r="S28" s="37"/>
      <c r="T28" s="37">
        <f t="shared" si="0"/>
        <v>769000</v>
      </c>
    </row>
    <row r="29" spans="1:20">
      <c r="A29" s="35" t="s">
        <v>59</v>
      </c>
      <c r="B29" s="37">
        <v>292500</v>
      </c>
      <c r="C29" s="37">
        <v>65000</v>
      </c>
      <c r="D29" s="37">
        <v>91000</v>
      </c>
      <c r="E29" s="37">
        <v>31000</v>
      </c>
      <c r="F29" s="37">
        <v>96000</v>
      </c>
      <c r="G29" s="37">
        <v>18000</v>
      </c>
      <c r="H29" s="37">
        <v>69000</v>
      </c>
      <c r="I29" s="37">
        <v>42000</v>
      </c>
      <c r="J29" s="37">
        <v>11000</v>
      </c>
      <c r="K29" s="37"/>
      <c r="L29" s="37"/>
      <c r="M29" s="37"/>
      <c r="N29" s="37"/>
      <c r="O29" s="37">
        <v>6000</v>
      </c>
      <c r="P29" s="37"/>
      <c r="Q29" s="37">
        <v>0</v>
      </c>
      <c r="R29" s="37">
        <v>19000</v>
      </c>
      <c r="S29" s="37"/>
      <c r="T29" s="37">
        <f t="shared" si="0"/>
        <v>740500</v>
      </c>
    </row>
    <row r="30" spans="1:20">
      <c r="A30" s="35" t="s">
        <v>60</v>
      </c>
      <c r="B30" s="37">
        <v>200500</v>
      </c>
      <c r="C30" s="37">
        <v>62000</v>
      </c>
      <c r="D30" s="37">
        <v>88000</v>
      </c>
      <c r="E30" s="37">
        <v>14000</v>
      </c>
      <c r="F30" s="37">
        <v>63000</v>
      </c>
      <c r="G30" s="37">
        <v>12000</v>
      </c>
      <c r="H30" s="37">
        <v>51000</v>
      </c>
      <c r="I30" s="37">
        <v>69000</v>
      </c>
      <c r="J30" s="37">
        <v>8000</v>
      </c>
      <c r="K30" s="37"/>
      <c r="L30" s="37"/>
      <c r="M30" s="37"/>
      <c r="N30" s="37"/>
      <c r="O30" s="37">
        <v>0</v>
      </c>
      <c r="P30" s="37"/>
      <c r="Q30" s="37">
        <v>78000</v>
      </c>
      <c r="R30" s="37">
        <v>-84000</v>
      </c>
      <c r="S30" s="37"/>
      <c r="T30" s="37">
        <f t="shared" si="0"/>
        <v>561500</v>
      </c>
    </row>
    <row r="31" spans="1:20">
      <c r="A31" s="35" t="s">
        <v>61</v>
      </c>
      <c r="B31" s="31">
        <v>182000</v>
      </c>
      <c r="C31" s="31">
        <v>71000</v>
      </c>
      <c r="D31" s="31">
        <v>131500</v>
      </c>
      <c r="E31" s="31">
        <v>12000</v>
      </c>
      <c r="F31" s="31">
        <v>106000</v>
      </c>
      <c r="G31" s="31">
        <v>0</v>
      </c>
      <c r="H31" s="31">
        <v>47000</v>
      </c>
      <c r="I31" s="31">
        <v>66000</v>
      </c>
      <c r="J31" s="31">
        <v>15000</v>
      </c>
      <c r="K31" s="31"/>
      <c r="L31" s="31"/>
      <c r="M31" s="31"/>
      <c r="N31" s="31"/>
      <c r="O31" s="31">
        <v>11000</v>
      </c>
      <c r="P31" s="31"/>
      <c r="Q31" s="31">
        <v>0</v>
      </c>
      <c r="R31" s="31">
        <v>13000</v>
      </c>
      <c r="S31" s="31"/>
      <c r="T31" s="37">
        <f t="shared" si="0"/>
        <v>654500</v>
      </c>
    </row>
    <row r="32" spans="1:20">
      <c r="A32" s="35" t="s">
        <v>62</v>
      </c>
      <c r="B32" s="31">
        <v>178000</v>
      </c>
      <c r="C32" s="31">
        <v>106000</v>
      </c>
      <c r="D32" s="31">
        <v>96000</v>
      </c>
      <c r="E32" s="31">
        <v>26000</v>
      </c>
      <c r="F32" s="31">
        <v>121300</v>
      </c>
      <c r="G32" s="31">
        <v>0</v>
      </c>
      <c r="H32" s="31">
        <v>82000</v>
      </c>
      <c r="I32" s="31">
        <v>61000</v>
      </c>
      <c r="J32" s="31">
        <v>0</v>
      </c>
      <c r="K32" s="31"/>
      <c r="L32" s="31"/>
      <c r="M32" s="31"/>
      <c r="N32" s="31"/>
      <c r="O32" s="31">
        <v>6000</v>
      </c>
      <c r="P32" s="31"/>
      <c r="Q32" s="31">
        <v>78000</v>
      </c>
      <c r="R32" s="31">
        <v>-95000</v>
      </c>
      <c r="S32" s="31"/>
      <c r="T32" s="37">
        <f t="shared" si="0"/>
        <v>659300</v>
      </c>
    </row>
    <row r="33" spans="1:20">
      <c r="A33" s="35" t="s">
        <v>63</v>
      </c>
      <c r="B33" s="31">
        <v>364000</v>
      </c>
      <c r="C33" s="31">
        <v>672000</v>
      </c>
      <c r="D33" s="31">
        <v>156000</v>
      </c>
      <c r="E33" s="31">
        <v>30000</v>
      </c>
      <c r="F33" s="31">
        <v>143100</v>
      </c>
      <c r="G33" s="31">
        <v>24000</v>
      </c>
      <c r="H33" s="31">
        <v>141000</v>
      </c>
      <c r="I33" s="31">
        <v>96000</v>
      </c>
      <c r="J33" s="31">
        <v>21000</v>
      </c>
      <c r="K33" s="31"/>
      <c r="L33" s="31"/>
      <c r="M33" s="31"/>
      <c r="N33" s="31"/>
      <c r="O33" s="31">
        <v>10000</v>
      </c>
      <c r="P33" s="31"/>
      <c r="Q33" s="31">
        <v>0</v>
      </c>
      <c r="R33" s="31">
        <v>0</v>
      </c>
      <c r="S33" s="31"/>
      <c r="T33" s="37">
        <f t="shared" si="0"/>
        <v>1657100</v>
      </c>
    </row>
    <row r="34" spans="1:20">
      <c r="A34" s="35" t="s">
        <v>64</v>
      </c>
      <c r="B34" s="31"/>
      <c r="C34" s="31"/>
      <c r="D34" s="31"/>
      <c r="E34" s="31"/>
      <c r="F34" s="31"/>
      <c r="G34" s="31"/>
      <c r="H34" s="31"/>
      <c r="I34" s="31"/>
      <c r="J34" s="31"/>
      <c r="K34" s="31"/>
      <c r="L34" s="31"/>
      <c r="M34" s="31"/>
      <c r="N34" s="31"/>
      <c r="O34" s="46"/>
      <c r="P34" s="31"/>
      <c r="Q34" s="31"/>
      <c r="R34" s="31"/>
      <c r="S34" s="31"/>
      <c r="T34" s="31">
        <f t="shared" si="0"/>
        <v>0</v>
      </c>
    </row>
    <row r="35" spans="1:20">
      <c r="A35" s="35" t="s">
        <v>83</v>
      </c>
      <c r="B35" s="31"/>
      <c r="C35" s="31"/>
      <c r="D35" s="31"/>
      <c r="E35" s="31"/>
      <c r="F35" s="31"/>
      <c r="G35" s="31"/>
      <c r="H35" s="31"/>
      <c r="I35" s="31"/>
      <c r="J35" s="31"/>
      <c r="K35" s="31"/>
      <c r="L35" s="31"/>
      <c r="M35" s="31"/>
      <c r="N35" s="31"/>
      <c r="O35" s="31"/>
      <c r="P35" s="31"/>
      <c r="Q35" s="31"/>
      <c r="R35" s="31"/>
      <c r="S35" s="31"/>
      <c r="T35" s="31">
        <f t="shared" si="0"/>
        <v>0</v>
      </c>
    </row>
    <row r="36" spans="1:20">
      <c r="A36" s="35" t="s">
        <v>84</v>
      </c>
      <c r="B36" s="31"/>
      <c r="C36" s="31"/>
      <c r="D36" s="31"/>
      <c r="E36" s="31"/>
      <c r="F36" s="31"/>
      <c r="G36" s="31"/>
      <c r="H36" s="31"/>
      <c r="I36" s="31"/>
      <c r="J36" s="31"/>
      <c r="K36" s="31"/>
      <c r="L36" s="31"/>
      <c r="M36" s="31"/>
      <c r="N36" s="31"/>
      <c r="O36" s="31"/>
      <c r="P36" s="31"/>
      <c r="Q36" s="31"/>
      <c r="R36" s="31"/>
      <c r="S36" s="31"/>
      <c r="T36" s="31">
        <f>SUM(B36:S36)</f>
        <v>0</v>
      </c>
    </row>
    <row r="37" spans="1:20">
      <c r="A37" s="40" t="s">
        <v>23</v>
      </c>
      <c r="B37" s="41">
        <f t="shared" ref="B37:J37" si="1">SUM(B6:B36)</f>
        <v>4949000</v>
      </c>
      <c r="C37" s="41">
        <f t="shared" si="1"/>
        <v>2951000</v>
      </c>
      <c r="D37" s="41">
        <f t="shared" si="1"/>
        <v>2678000</v>
      </c>
      <c r="E37" s="41">
        <f t="shared" si="1"/>
        <v>580000</v>
      </c>
      <c r="F37" s="41">
        <f t="shared" si="1"/>
        <v>3088700</v>
      </c>
      <c r="G37" s="41">
        <f t="shared" si="1"/>
        <v>390000</v>
      </c>
      <c r="H37" s="41">
        <f t="shared" si="1"/>
        <v>2523000</v>
      </c>
      <c r="I37" s="41">
        <f t="shared" si="1"/>
        <v>1694000</v>
      </c>
      <c r="J37" s="41">
        <f t="shared" si="1"/>
        <v>248000</v>
      </c>
      <c r="K37" s="31"/>
      <c r="L37" s="31"/>
      <c r="M37" s="31"/>
      <c r="N37" s="31"/>
      <c r="O37" s="31">
        <f>SUM(O6:O36)</f>
        <v>185000</v>
      </c>
      <c r="P37" s="31"/>
      <c r="Q37" s="31">
        <f>SUM(Q6:Q36)</f>
        <v>838000</v>
      </c>
      <c r="R37" s="31">
        <f>SUM(R6:R36)</f>
        <v>244400</v>
      </c>
      <c r="S37" s="31"/>
      <c r="T37" s="31">
        <f>SUM(B37:S37)</f>
        <v>20369100</v>
      </c>
    </row>
  </sheetData>
  <mergeCells count="4">
    <mergeCell ref="B1:T1"/>
    <mergeCell ref="B2:T2"/>
    <mergeCell ref="C3:F3"/>
    <mergeCell ref="C4:F4"/>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28"/>
  <sheetViews>
    <sheetView topLeftCell="B10" workbookViewId="0">
      <selection activeCell="G30" sqref="G30"/>
    </sheetView>
  </sheetViews>
  <sheetFormatPr defaultRowHeight="15"/>
  <cols>
    <col min="1" max="1" width="18.28515625" bestFit="1" customWidth="1"/>
    <col min="2" max="6" width="11.5703125" bestFit="1" customWidth="1"/>
    <col min="7" max="7" width="12.7109375" bestFit="1" customWidth="1"/>
  </cols>
  <sheetData>
    <row r="1" spans="1:7" ht="16.5" thickBot="1">
      <c r="A1" s="6" t="s">
        <v>24</v>
      </c>
      <c r="B1" s="70" t="s">
        <v>108</v>
      </c>
      <c r="C1" s="71"/>
      <c r="D1" s="72"/>
      <c r="E1" s="11"/>
      <c r="F1" s="11"/>
      <c r="G1" s="12"/>
    </row>
    <row r="2" spans="1:7" ht="15.75">
      <c r="A2" s="13" t="s">
        <v>25</v>
      </c>
      <c r="B2" s="14" t="s">
        <v>26</v>
      </c>
      <c r="C2" s="14" t="s">
        <v>27</v>
      </c>
      <c r="D2" s="14" t="s">
        <v>28</v>
      </c>
      <c r="E2" s="14" t="s">
        <v>29</v>
      </c>
      <c r="F2" s="15" t="s">
        <v>30</v>
      </c>
      <c r="G2" s="16" t="s">
        <v>31</v>
      </c>
    </row>
    <row r="3" spans="1:7" ht="15.75">
      <c r="A3" s="17" t="s">
        <v>4</v>
      </c>
      <c r="B3" s="18">
        <v>163000</v>
      </c>
      <c r="C3" s="18">
        <v>955000</v>
      </c>
      <c r="D3" s="18">
        <v>1460000</v>
      </c>
      <c r="E3" s="18">
        <v>1001500</v>
      </c>
      <c r="F3" s="19">
        <v>1369500</v>
      </c>
      <c r="G3" s="20">
        <f t="shared" ref="G3:G11" si="0">SUM(B3:F3)</f>
        <v>4949000</v>
      </c>
    </row>
    <row r="4" spans="1:7" ht="15.75">
      <c r="A4" s="17" t="s">
        <v>5</v>
      </c>
      <c r="B4" s="18">
        <v>92000</v>
      </c>
      <c r="C4" s="18">
        <v>618000</v>
      </c>
      <c r="D4" s="18">
        <v>632000</v>
      </c>
      <c r="E4" s="18">
        <v>431000</v>
      </c>
      <c r="F4" s="19">
        <v>1178000</v>
      </c>
      <c r="G4" s="20">
        <f>SUM(B4:F4)</f>
        <v>2951000</v>
      </c>
    </row>
    <row r="5" spans="1:7" ht="15.75">
      <c r="A5" s="17" t="s">
        <v>32</v>
      </c>
      <c r="B5" s="18">
        <v>112000</v>
      </c>
      <c r="C5" s="18">
        <v>648000</v>
      </c>
      <c r="D5" s="18">
        <v>520000</v>
      </c>
      <c r="E5" s="18">
        <v>744500</v>
      </c>
      <c r="F5" s="19">
        <v>653500</v>
      </c>
      <c r="G5" s="20">
        <f>SUM(B5:F5)</f>
        <v>2678000</v>
      </c>
    </row>
    <row r="6" spans="1:7" ht="15.75">
      <c r="A6" s="17" t="s">
        <v>33</v>
      </c>
      <c r="B6" s="18">
        <v>12000</v>
      </c>
      <c r="C6" s="18">
        <v>93000</v>
      </c>
      <c r="D6" s="18">
        <v>225500</v>
      </c>
      <c r="E6" s="18">
        <v>110500</v>
      </c>
      <c r="F6" s="19">
        <v>139000</v>
      </c>
      <c r="G6" s="20">
        <f t="shared" si="0"/>
        <v>580000</v>
      </c>
    </row>
    <row r="7" spans="1:7" ht="15.75">
      <c r="A7" s="17" t="s">
        <v>8</v>
      </c>
      <c r="B7" s="18">
        <v>182100</v>
      </c>
      <c r="C7" s="18">
        <v>778700</v>
      </c>
      <c r="D7" s="18">
        <v>665000</v>
      </c>
      <c r="E7" s="18">
        <v>871500</v>
      </c>
      <c r="F7" s="19">
        <v>591400</v>
      </c>
      <c r="G7" s="20">
        <f t="shared" si="0"/>
        <v>3088700</v>
      </c>
    </row>
    <row r="8" spans="1:7" ht="15.75">
      <c r="A8" s="17" t="s">
        <v>9</v>
      </c>
      <c r="B8" s="18">
        <v>0</v>
      </c>
      <c r="C8" s="18">
        <v>96000</v>
      </c>
      <c r="D8" s="18">
        <v>150000</v>
      </c>
      <c r="E8" s="18">
        <v>90000</v>
      </c>
      <c r="F8" s="19">
        <v>54000</v>
      </c>
      <c r="G8" s="20">
        <f t="shared" si="0"/>
        <v>390000</v>
      </c>
    </row>
    <row r="9" spans="1:7" ht="15.75">
      <c r="A9" s="17" t="s">
        <v>10</v>
      </c>
      <c r="B9" s="18">
        <v>175000</v>
      </c>
      <c r="C9" s="18">
        <v>579000</v>
      </c>
      <c r="D9" s="18">
        <v>535000</v>
      </c>
      <c r="E9" s="18">
        <v>767000</v>
      </c>
      <c r="F9" s="19">
        <v>467000</v>
      </c>
      <c r="G9" s="20">
        <f t="shared" si="0"/>
        <v>2523000</v>
      </c>
    </row>
    <row r="10" spans="1:7" ht="15.75">
      <c r="A10" s="17" t="s">
        <v>11</v>
      </c>
      <c r="B10" s="18">
        <v>85000</v>
      </c>
      <c r="C10" s="18">
        <v>343000</v>
      </c>
      <c r="D10" s="18">
        <v>380000</v>
      </c>
      <c r="E10" s="18">
        <v>525000</v>
      </c>
      <c r="F10" s="19">
        <v>361000</v>
      </c>
      <c r="G10" s="20">
        <f t="shared" si="0"/>
        <v>1694000</v>
      </c>
    </row>
    <row r="11" spans="1:7" ht="15.75">
      <c r="A11" s="17" t="s">
        <v>12</v>
      </c>
      <c r="B11" s="18">
        <v>4000</v>
      </c>
      <c r="C11" s="18">
        <v>45000</v>
      </c>
      <c r="D11" s="18">
        <v>68000</v>
      </c>
      <c r="E11" s="18">
        <v>76000</v>
      </c>
      <c r="F11" s="19">
        <v>55000</v>
      </c>
      <c r="G11" s="20">
        <f t="shared" si="0"/>
        <v>248000</v>
      </c>
    </row>
    <row r="12" spans="1:7" ht="15.75">
      <c r="A12" s="17" t="s">
        <v>13</v>
      </c>
      <c r="B12" s="18"/>
      <c r="C12" s="18"/>
      <c r="D12" s="18"/>
      <c r="E12" s="18"/>
      <c r="F12" s="19"/>
      <c r="G12" s="20">
        <f t="shared" ref="G12:G19" si="1">SUM(B12:E12)</f>
        <v>0</v>
      </c>
    </row>
    <row r="13" spans="1:7" ht="15.75">
      <c r="A13" s="17" t="s">
        <v>14</v>
      </c>
      <c r="B13" s="18"/>
      <c r="C13" s="18"/>
      <c r="D13" s="18"/>
      <c r="E13" s="18"/>
      <c r="F13" s="19"/>
      <c r="G13" s="20">
        <f t="shared" si="1"/>
        <v>0</v>
      </c>
    </row>
    <row r="14" spans="1:7" ht="15.75">
      <c r="A14" s="17" t="s">
        <v>15</v>
      </c>
      <c r="B14" s="18"/>
      <c r="C14" s="18"/>
      <c r="D14" s="18"/>
      <c r="E14" s="18"/>
      <c r="F14" s="19"/>
      <c r="G14" s="20">
        <f t="shared" si="1"/>
        <v>0</v>
      </c>
    </row>
    <row r="15" spans="1:7" ht="15.75">
      <c r="A15" s="17" t="s">
        <v>16</v>
      </c>
      <c r="B15" s="18"/>
      <c r="C15" s="18"/>
      <c r="D15" s="18"/>
      <c r="E15" s="18"/>
      <c r="F15" s="19"/>
      <c r="G15" s="20">
        <f t="shared" si="1"/>
        <v>0</v>
      </c>
    </row>
    <row r="16" spans="1:7" ht="15.75">
      <c r="A16" s="17" t="s">
        <v>17</v>
      </c>
      <c r="B16" s="18">
        <v>24000</v>
      </c>
      <c r="C16" s="18">
        <v>57000</v>
      </c>
      <c r="D16" s="18">
        <v>48000</v>
      </c>
      <c r="E16" s="18">
        <v>11000</v>
      </c>
      <c r="F16" s="19">
        <v>45000</v>
      </c>
      <c r="G16" s="20">
        <f>SUM(B16:F16)</f>
        <v>185000</v>
      </c>
    </row>
    <row r="17" spans="1:7" ht="15.75">
      <c r="A17" s="17" t="s">
        <v>18</v>
      </c>
      <c r="B17" s="18"/>
      <c r="C17" s="18"/>
      <c r="D17" s="18"/>
      <c r="E17" s="18"/>
      <c r="F17" s="19"/>
      <c r="G17" s="20">
        <f t="shared" si="1"/>
        <v>0</v>
      </c>
    </row>
    <row r="18" spans="1:7" ht="15.75">
      <c r="A18" s="17" t="s">
        <v>19</v>
      </c>
      <c r="B18" s="18"/>
      <c r="C18" s="18"/>
      <c r="D18" s="18"/>
      <c r="E18" s="18"/>
      <c r="F18" s="19"/>
      <c r="G18" s="20">
        <f t="shared" si="1"/>
        <v>0</v>
      </c>
    </row>
    <row r="19" spans="1:7" ht="15.75">
      <c r="A19" s="17" t="s">
        <v>34</v>
      </c>
      <c r="B19" s="18"/>
      <c r="C19" s="18"/>
      <c r="D19" s="18"/>
      <c r="E19" s="18"/>
      <c r="F19" s="19"/>
      <c r="G19" s="20">
        <f t="shared" si="1"/>
        <v>0</v>
      </c>
    </row>
    <row r="20" spans="1:7" ht="16.5" thickBot="1">
      <c r="A20" s="21" t="s">
        <v>35</v>
      </c>
      <c r="B20" s="22">
        <f t="shared" ref="B20:G20" si="2">SUM(B3:B19)</f>
        <v>849100</v>
      </c>
      <c r="C20" s="22">
        <f t="shared" si="2"/>
        <v>4212700</v>
      </c>
      <c r="D20" s="22">
        <f t="shared" si="2"/>
        <v>4683500</v>
      </c>
      <c r="E20" s="22">
        <f t="shared" si="2"/>
        <v>4628000</v>
      </c>
      <c r="F20" s="22">
        <f t="shared" si="2"/>
        <v>4913400</v>
      </c>
      <c r="G20" s="23">
        <f t="shared" si="2"/>
        <v>19286700</v>
      </c>
    </row>
    <row r="22" spans="1:7" ht="15.75" thickBot="1"/>
    <row r="23" spans="1:7" ht="21.75" thickBot="1">
      <c r="A23" s="73" t="s">
        <v>36</v>
      </c>
      <c r="B23" s="74"/>
      <c r="C23" s="74"/>
      <c r="D23" s="74"/>
      <c r="E23" s="74"/>
      <c r="F23" s="74"/>
      <c r="G23" s="75"/>
    </row>
    <row r="24" spans="1:7" ht="15.75" thickBot="1">
      <c r="A24" s="96" t="s">
        <v>109</v>
      </c>
      <c r="B24" s="68"/>
      <c r="C24" s="68"/>
      <c r="D24" s="68"/>
      <c r="E24" s="68"/>
      <c r="F24" s="68"/>
      <c r="G24" s="69"/>
    </row>
    <row r="25" spans="1:7" ht="15.75" thickBot="1">
      <c r="A25" s="24"/>
      <c r="B25" s="25"/>
      <c r="C25" s="25"/>
      <c r="D25" s="25"/>
      <c r="E25" s="25"/>
      <c r="F25" s="25"/>
      <c r="G25" s="26"/>
    </row>
    <row r="26" spans="1:7" ht="15.75" thickBot="1">
      <c r="A26" s="67"/>
      <c r="B26" s="68"/>
      <c r="C26" s="68"/>
      <c r="D26" s="68"/>
      <c r="E26" s="68"/>
      <c r="F26" s="68"/>
      <c r="G26" s="69"/>
    </row>
    <row r="27" spans="1:7" ht="15.75" thickBot="1">
      <c r="A27" s="77"/>
      <c r="B27" s="68"/>
      <c r="C27" s="68"/>
      <c r="D27" s="68"/>
      <c r="E27" s="68"/>
      <c r="F27" s="68"/>
      <c r="G27" s="69"/>
    </row>
    <row r="28" spans="1:7" ht="15.75" thickBot="1">
      <c r="A28" s="67"/>
      <c r="B28" s="68"/>
      <c r="C28" s="68"/>
      <c r="D28" s="68"/>
      <c r="E28" s="68"/>
      <c r="F28" s="68"/>
      <c r="G28" s="69"/>
    </row>
  </sheetData>
  <mergeCells count="6">
    <mergeCell ref="A28:G28"/>
    <mergeCell ref="B1:D1"/>
    <mergeCell ref="A23:G23"/>
    <mergeCell ref="A24:G24"/>
    <mergeCell ref="A26:G26"/>
    <mergeCell ref="A27:G27"/>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37"/>
  <sheetViews>
    <sheetView workbookViewId="0">
      <selection sqref="A1:T37"/>
    </sheetView>
  </sheetViews>
  <sheetFormatPr defaultRowHeight="15"/>
  <cols>
    <col min="1" max="1" width="9" customWidth="1"/>
    <col min="2" max="2" width="10.5703125" customWidth="1"/>
    <col min="3" max="4" width="10.28515625" customWidth="1"/>
    <col min="5" max="5" width="10.42578125" customWidth="1"/>
    <col min="6" max="6" width="11.140625" customWidth="1"/>
    <col min="7" max="7" width="10.42578125" customWidth="1"/>
    <col min="8" max="8" width="10.5703125" customWidth="1"/>
    <col min="9" max="9" width="11.7109375" customWidth="1"/>
    <col min="10" max="10" width="10.5703125" customWidth="1"/>
    <col min="19" max="19" width="7.5703125" customWidth="1"/>
    <col min="20" max="20" width="10.5703125" customWidth="1"/>
  </cols>
  <sheetData>
    <row r="1" spans="1:21" ht="26.25">
      <c r="A1" s="28"/>
      <c r="B1" s="55" t="s">
        <v>68</v>
      </c>
      <c r="C1" s="56"/>
      <c r="D1" s="56"/>
      <c r="E1" s="56"/>
      <c r="F1" s="56"/>
      <c r="G1" s="56"/>
      <c r="H1" s="56"/>
      <c r="I1" s="56"/>
      <c r="J1" s="56"/>
      <c r="K1" s="56"/>
      <c r="L1" s="56"/>
      <c r="M1" s="56"/>
      <c r="N1" s="56"/>
      <c r="O1" s="56"/>
      <c r="P1" s="56"/>
      <c r="Q1" s="56"/>
      <c r="R1" s="56"/>
      <c r="S1" s="56"/>
      <c r="T1" s="57"/>
    </row>
    <row r="2" spans="1:21" ht="27" thickBot="1">
      <c r="A2" s="4"/>
      <c r="B2" s="58" t="s">
        <v>0</v>
      </c>
      <c r="C2" s="59"/>
      <c r="D2" s="59"/>
      <c r="E2" s="59"/>
      <c r="F2" s="59"/>
      <c r="G2" s="59"/>
      <c r="H2" s="59"/>
      <c r="I2" s="59"/>
      <c r="J2" s="59"/>
      <c r="K2" s="59"/>
      <c r="L2" s="59"/>
      <c r="M2" s="59"/>
      <c r="N2" s="59"/>
      <c r="O2" s="59"/>
      <c r="P2" s="59"/>
      <c r="Q2" s="59"/>
      <c r="R2" s="59"/>
      <c r="S2" s="59"/>
      <c r="T2" s="60"/>
    </row>
    <row r="3" spans="1:21" ht="27" thickBot="1">
      <c r="A3" s="4"/>
      <c r="B3" s="29" t="s">
        <v>1</v>
      </c>
      <c r="C3" s="61" t="s">
        <v>69</v>
      </c>
      <c r="D3" s="62"/>
      <c r="E3" s="62"/>
      <c r="F3" s="63"/>
      <c r="G3" s="50" t="s">
        <v>110</v>
      </c>
    </row>
    <row r="4" spans="1:21" ht="21">
      <c r="A4" s="4"/>
      <c r="B4" s="30" t="s">
        <v>2</v>
      </c>
      <c r="C4" s="78"/>
      <c r="D4" s="79"/>
      <c r="E4" s="79"/>
      <c r="F4" s="80"/>
    </row>
    <row r="5" spans="1:21" ht="67.5">
      <c r="A5" s="32" t="s">
        <v>3</v>
      </c>
      <c r="B5" s="33" t="s">
        <v>4</v>
      </c>
      <c r="C5" s="33" t="s">
        <v>5</v>
      </c>
      <c r="D5" s="33" t="s">
        <v>6</v>
      </c>
      <c r="E5" s="33" t="s">
        <v>7</v>
      </c>
      <c r="F5" s="33" t="s">
        <v>8</v>
      </c>
      <c r="G5" s="33" t="s">
        <v>9</v>
      </c>
      <c r="H5" s="33" t="s">
        <v>10</v>
      </c>
      <c r="I5" s="33" t="s">
        <v>11</v>
      </c>
      <c r="J5" s="33" t="s">
        <v>12</v>
      </c>
      <c r="K5" s="33" t="s">
        <v>13</v>
      </c>
      <c r="L5" s="33" t="s">
        <v>14</v>
      </c>
      <c r="M5" s="33" t="s">
        <v>15</v>
      </c>
      <c r="N5" s="33" t="s">
        <v>16</v>
      </c>
      <c r="O5" s="33" t="s">
        <v>17</v>
      </c>
      <c r="P5" s="33" t="s">
        <v>18</v>
      </c>
      <c r="Q5" s="33" t="s">
        <v>19</v>
      </c>
      <c r="R5" s="33" t="s">
        <v>20</v>
      </c>
      <c r="S5" s="33" t="s">
        <v>21</v>
      </c>
      <c r="T5" s="33" t="s">
        <v>22</v>
      </c>
      <c r="U5" s="49" t="s">
        <v>104</v>
      </c>
    </row>
    <row r="6" spans="1:21">
      <c r="A6" s="35" t="s">
        <v>67</v>
      </c>
      <c r="B6" s="36">
        <v>161000</v>
      </c>
      <c r="C6" s="36">
        <v>146000</v>
      </c>
      <c r="D6" s="36">
        <v>121000</v>
      </c>
      <c r="E6" s="36">
        <v>22000</v>
      </c>
      <c r="F6" s="36">
        <v>131000</v>
      </c>
      <c r="G6" s="36">
        <v>0</v>
      </c>
      <c r="H6" s="36">
        <v>106000</v>
      </c>
      <c r="I6" s="36">
        <v>30000</v>
      </c>
      <c r="J6" s="36">
        <v>0</v>
      </c>
      <c r="K6" s="36"/>
      <c r="L6" s="36"/>
      <c r="M6" s="36"/>
      <c r="N6" s="36"/>
      <c r="O6" s="36">
        <v>12000</v>
      </c>
      <c r="P6" s="36"/>
      <c r="Q6" s="36">
        <v>0</v>
      </c>
      <c r="R6" s="36">
        <v>0</v>
      </c>
      <c r="S6" s="37"/>
      <c r="T6" s="37">
        <f t="shared" ref="T6:T35" si="0">SUM(B6:S6)</f>
        <v>729000</v>
      </c>
    </row>
    <row r="7" spans="1:21">
      <c r="A7" s="35" t="s">
        <v>37</v>
      </c>
      <c r="B7" s="36">
        <v>133000</v>
      </c>
      <c r="C7" s="36">
        <v>44000</v>
      </c>
      <c r="D7" s="36">
        <v>109000</v>
      </c>
      <c r="E7" s="36">
        <v>28000</v>
      </c>
      <c r="F7" s="36">
        <v>103400</v>
      </c>
      <c r="G7" s="36">
        <v>12000</v>
      </c>
      <c r="H7" s="36">
        <v>92000</v>
      </c>
      <c r="I7" s="36">
        <v>38000</v>
      </c>
      <c r="J7" s="36">
        <v>6000</v>
      </c>
      <c r="K7" s="36"/>
      <c r="L7" s="36"/>
      <c r="M7" s="36"/>
      <c r="N7" s="36"/>
      <c r="O7" s="36">
        <v>0</v>
      </c>
      <c r="P7" s="36"/>
      <c r="Q7" s="36">
        <v>0</v>
      </c>
      <c r="R7" s="36">
        <v>0</v>
      </c>
      <c r="S7" s="37"/>
      <c r="T7" s="37">
        <f t="shared" si="0"/>
        <v>565400</v>
      </c>
    </row>
    <row r="8" spans="1:21">
      <c r="A8" s="35" t="s">
        <v>38</v>
      </c>
      <c r="B8" s="36">
        <v>113000</v>
      </c>
      <c r="C8" s="36">
        <v>36000</v>
      </c>
      <c r="D8" s="36">
        <v>70000</v>
      </c>
      <c r="E8" s="36">
        <v>16000</v>
      </c>
      <c r="F8" s="36">
        <v>103000</v>
      </c>
      <c r="G8" s="36">
        <v>24000</v>
      </c>
      <c r="H8" s="36">
        <v>79000</v>
      </c>
      <c r="I8" s="36">
        <v>52000</v>
      </c>
      <c r="J8" s="36">
        <v>20000</v>
      </c>
      <c r="K8" s="36"/>
      <c r="L8" s="36"/>
      <c r="M8" s="36"/>
      <c r="N8" s="36"/>
      <c r="O8" s="36">
        <v>0</v>
      </c>
      <c r="P8" s="36"/>
      <c r="Q8" s="36">
        <v>0</v>
      </c>
      <c r="R8" s="36">
        <v>2000</v>
      </c>
      <c r="S8" s="37"/>
      <c r="T8" s="37">
        <f t="shared" si="0"/>
        <v>515000</v>
      </c>
    </row>
    <row r="9" spans="1:21">
      <c r="A9" s="35" t="s">
        <v>39</v>
      </c>
      <c r="B9" s="36">
        <v>121000</v>
      </c>
      <c r="C9" s="36">
        <v>17000</v>
      </c>
      <c r="D9" s="36">
        <v>113000</v>
      </c>
      <c r="E9" s="36">
        <v>10000</v>
      </c>
      <c r="F9" s="36">
        <v>109000</v>
      </c>
      <c r="G9" s="36">
        <v>0</v>
      </c>
      <c r="H9" s="36">
        <v>112000</v>
      </c>
      <c r="I9" s="36">
        <v>35000</v>
      </c>
      <c r="J9" s="36">
        <v>13000</v>
      </c>
      <c r="K9" s="36"/>
      <c r="L9" s="36"/>
      <c r="M9" s="36"/>
      <c r="N9" s="36"/>
      <c r="O9" s="36">
        <v>0</v>
      </c>
      <c r="Q9" s="36">
        <v>0</v>
      </c>
      <c r="R9" s="36">
        <v>262000</v>
      </c>
      <c r="S9" s="37"/>
      <c r="T9" s="37">
        <f t="shared" si="0"/>
        <v>792000</v>
      </c>
    </row>
    <row r="10" spans="1:21">
      <c r="A10" s="35" t="s">
        <v>40</v>
      </c>
      <c r="B10" s="37">
        <v>103000</v>
      </c>
      <c r="C10" s="37">
        <v>55000</v>
      </c>
      <c r="D10" s="37">
        <v>80000</v>
      </c>
      <c r="E10" s="37">
        <v>22000</v>
      </c>
      <c r="F10" s="37">
        <v>105000</v>
      </c>
      <c r="G10" s="37">
        <v>0</v>
      </c>
      <c r="H10" s="37">
        <v>57000</v>
      </c>
      <c r="I10" s="37">
        <v>42000</v>
      </c>
      <c r="J10" s="37">
        <v>12000</v>
      </c>
      <c r="K10" s="37"/>
      <c r="L10" s="37"/>
      <c r="M10" s="37"/>
      <c r="N10" s="37"/>
      <c r="O10" s="37">
        <v>5000</v>
      </c>
      <c r="P10" s="37"/>
      <c r="Q10" s="37">
        <v>0</v>
      </c>
      <c r="R10" s="37">
        <v>126000</v>
      </c>
      <c r="S10" s="37"/>
      <c r="T10" s="37">
        <f t="shared" si="0"/>
        <v>607000</v>
      </c>
    </row>
    <row r="11" spans="1:21">
      <c r="A11" s="35" t="s">
        <v>41</v>
      </c>
      <c r="B11" s="37">
        <v>132000</v>
      </c>
      <c r="C11" s="37">
        <v>34000</v>
      </c>
      <c r="D11" s="37">
        <v>116000</v>
      </c>
      <c r="E11" s="37">
        <v>25000</v>
      </c>
      <c r="F11" s="37">
        <v>115700</v>
      </c>
      <c r="G11" s="37">
        <v>0</v>
      </c>
      <c r="H11" s="37">
        <v>117000</v>
      </c>
      <c r="I11" s="37">
        <v>51000</v>
      </c>
      <c r="J11" s="37">
        <v>3000</v>
      </c>
      <c r="K11" s="37"/>
      <c r="L11" s="37"/>
      <c r="M11" s="37"/>
      <c r="N11" s="37"/>
      <c r="O11" s="37">
        <v>0</v>
      </c>
      <c r="P11" s="37"/>
      <c r="Q11" s="37">
        <v>0</v>
      </c>
      <c r="R11" s="37">
        <v>765000</v>
      </c>
      <c r="S11" s="37"/>
      <c r="T11" s="37">
        <f t="shared" si="0"/>
        <v>1358700</v>
      </c>
      <c r="U11">
        <v>1000000</v>
      </c>
    </row>
    <row r="12" spans="1:21">
      <c r="A12" s="35" t="s">
        <v>42</v>
      </c>
      <c r="B12" s="37">
        <v>103000</v>
      </c>
      <c r="C12" s="37">
        <v>161000</v>
      </c>
      <c r="D12" s="37">
        <v>103000</v>
      </c>
      <c r="E12" s="37">
        <v>45000</v>
      </c>
      <c r="F12" s="37">
        <v>79000</v>
      </c>
      <c r="G12" s="37">
        <v>0</v>
      </c>
      <c r="H12" s="37">
        <v>85000</v>
      </c>
      <c r="I12" s="37">
        <v>47000</v>
      </c>
      <c r="J12" s="37">
        <v>0</v>
      </c>
      <c r="K12" s="37"/>
      <c r="L12" s="37"/>
      <c r="M12" s="37"/>
      <c r="N12" s="37"/>
      <c r="O12" s="37">
        <v>0</v>
      </c>
      <c r="P12" s="37"/>
      <c r="Q12" s="37">
        <v>0</v>
      </c>
      <c r="R12" s="37">
        <v>4000</v>
      </c>
      <c r="S12" s="37"/>
      <c r="T12" s="37">
        <f t="shared" si="0"/>
        <v>627000</v>
      </c>
    </row>
    <row r="13" spans="1:21">
      <c r="A13" s="35" t="s">
        <v>43</v>
      </c>
      <c r="B13" s="37">
        <v>135000</v>
      </c>
      <c r="C13" s="37">
        <v>52000</v>
      </c>
      <c r="D13" s="37">
        <v>136000</v>
      </c>
      <c r="E13" s="37">
        <v>16000</v>
      </c>
      <c r="F13" s="37">
        <v>107500</v>
      </c>
      <c r="G13" s="37">
        <v>0</v>
      </c>
      <c r="H13" s="37">
        <v>105000</v>
      </c>
      <c r="I13" s="37">
        <v>51000</v>
      </c>
      <c r="J13" s="37">
        <v>6000</v>
      </c>
      <c r="K13" s="37"/>
      <c r="L13" s="37"/>
      <c r="M13" s="37"/>
      <c r="N13" s="37"/>
      <c r="O13" s="37">
        <v>0</v>
      </c>
      <c r="P13" s="37"/>
      <c r="Q13" s="37">
        <v>195500</v>
      </c>
      <c r="R13" s="37">
        <v>150000</v>
      </c>
      <c r="S13" s="37"/>
      <c r="T13" s="37">
        <f t="shared" si="0"/>
        <v>954000</v>
      </c>
    </row>
    <row r="14" spans="1:21">
      <c r="A14" s="35" t="s">
        <v>44</v>
      </c>
      <c r="B14" s="37">
        <v>119000</v>
      </c>
      <c r="C14" s="37">
        <v>151000</v>
      </c>
      <c r="D14" s="37">
        <v>72000</v>
      </c>
      <c r="E14" s="37">
        <v>0</v>
      </c>
      <c r="F14" s="37">
        <v>101000</v>
      </c>
      <c r="G14" s="37">
        <v>0</v>
      </c>
      <c r="H14" s="37">
        <v>92000</v>
      </c>
      <c r="I14" s="37">
        <v>6000</v>
      </c>
      <c r="J14" s="37">
        <v>4000</v>
      </c>
      <c r="K14" s="37"/>
      <c r="L14" s="37"/>
      <c r="M14" s="37"/>
      <c r="N14" s="37"/>
      <c r="O14" s="37">
        <v>11000</v>
      </c>
      <c r="P14" s="37"/>
      <c r="Q14" s="37">
        <v>155000</v>
      </c>
      <c r="R14" s="37">
        <v>150000</v>
      </c>
      <c r="S14" s="37"/>
      <c r="T14" s="37">
        <f t="shared" si="0"/>
        <v>861000</v>
      </c>
    </row>
    <row r="15" spans="1:21">
      <c r="A15" s="35" t="s">
        <v>45</v>
      </c>
      <c r="B15" s="37">
        <v>224500</v>
      </c>
      <c r="C15" s="37">
        <v>96000</v>
      </c>
      <c r="D15" s="37">
        <v>63000</v>
      </c>
      <c r="E15" s="37">
        <v>20500</v>
      </c>
      <c r="F15" s="37">
        <v>93000</v>
      </c>
      <c r="G15" s="37">
        <v>24000</v>
      </c>
      <c r="H15" s="37">
        <v>82000</v>
      </c>
      <c r="I15" s="37">
        <v>41000</v>
      </c>
      <c r="J15" s="37">
        <v>6000</v>
      </c>
      <c r="K15" s="37"/>
      <c r="L15" s="37"/>
      <c r="M15" s="37"/>
      <c r="N15" s="37"/>
      <c r="O15" s="37">
        <v>0</v>
      </c>
      <c r="P15" s="37"/>
      <c r="Q15" s="37">
        <v>119000</v>
      </c>
      <c r="R15" s="37">
        <v>123000</v>
      </c>
      <c r="S15" s="37"/>
      <c r="T15" s="37">
        <f t="shared" si="0"/>
        <v>892000</v>
      </c>
    </row>
    <row r="16" spans="1:21">
      <c r="A16" s="35" t="s">
        <v>46</v>
      </c>
      <c r="B16" s="37">
        <v>153000</v>
      </c>
      <c r="C16" s="37">
        <v>29000</v>
      </c>
      <c r="D16" s="37">
        <v>62000</v>
      </c>
      <c r="E16" s="37">
        <v>15000</v>
      </c>
      <c r="F16" s="37">
        <v>56800</v>
      </c>
      <c r="G16" s="37">
        <v>0</v>
      </c>
      <c r="H16" s="37">
        <v>44000</v>
      </c>
      <c r="I16" s="37">
        <v>35000</v>
      </c>
      <c r="J16" s="37">
        <v>6000</v>
      </c>
      <c r="K16" s="37"/>
      <c r="L16" s="37"/>
      <c r="M16" s="37"/>
      <c r="N16" s="37"/>
      <c r="O16" s="37">
        <v>0</v>
      </c>
      <c r="P16" s="37"/>
      <c r="Q16" s="37">
        <v>102500</v>
      </c>
      <c r="R16" s="37">
        <v>0</v>
      </c>
      <c r="S16" s="37"/>
      <c r="T16" s="37">
        <f t="shared" si="0"/>
        <v>503300</v>
      </c>
    </row>
    <row r="17" spans="1:20">
      <c r="A17" s="35" t="s">
        <v>47</v>
      </c>
      <c r="B17" s="37">
        <v>177500</v>
      </c>
      <c r="C17" s="37">
        <v>90000</v>
      </c>
      <c r="D17" s="37">
        <v>62000</v>
      </c>
      <c r="E17" s="37">
        <v>7500</v>
      </c>
      <c r="F17" s="37">
        <v>93000</v>
      </c>
      <c r="G17" s="37">
        <v>0</v>
      </c>
      <c r="H17" s="37">
        <v>76000</v>
      </c>
      <c r="I17" s="37">
        <v>63000</v>
      </c>
      <c r="J17" s="37">
        <v>0</v>
      </c>
      <c r="K17" s="37"/>
      <c r="L17" s="37"/>
      <c r="M17" s="37"/>
      <c r="N17" s="37"/>
      <c r="O17" s="37">
        <v>0</v>
      </c>
      <c r="P17" s="37"/>
      <c r="Q17" s="37">
        <v>195500</v>
      </c>
      <c r="R17" s="37">
        <v>0</v>
      </c>
      <c r="S17" s="37"/>
      <c r="T17" s="37">
        <f t="shared" si="0"/>
        <v>764500</v>
      </c>
    </row>
    <row r="18" spans="1:20">
      <c r="A18" s="35" t="s">
        <v>48</v>
      </c>
      <c r="B18" s="37">
        <v>164000</v>
      </c>
      <c r="C18" s="37">
        <v>42000</v>
      </c>
      <c r="D18" s="37">
        <v>76000</v>
      </c>
      <c r="E18" s="37">
        <v>30000</v>
      </c>
      <c r="F18" s="37">
        <v>51700</v>
      </c>
      <c r="G18" s="37">
        <v>0</v>
      </c>
      <c r="H18" s="37">
        <v>82000</v>
      </c>
      <c r="I18" s="37">
        <v>41000</v>
      </c>
      <c r="J18" s="37">
        <v>0</v>
      </c>
      <c r="K18" s="37"/>
      <c r="L18" s="37"/>
      <c r="M18" s="37"/>
      <c r="N18" s="37"/>
      <c r="O18" s="37">
        <v>0</v>
      </c>
      <c r="P18" s="37"/>
      <c r="Q18" s="37">
        <v>119500</v>
      </c>
      <c r="R18" s="37">
        <v>13000</v>
      </c>
      <c r="S18" s="37"/>
      <c r="T18" s="37">
        <f t="shared" si="0"/>
        <v>619200</v>
      </c>
    </row>
    <row r="19" spans="1:20">
      <c r="A19" s="35" t="s">
        <v>49</v>
      </c>
      <c r="B19" s="37">
        <v>193000</v>
      </c>
      <c r="C19" s="37">
        <v>52000</v>
      </c>
      <c r="D19" s="37">
        <v>63000</v>
      </c>
      <c r="E19" s="37">
        <v>15000</v>
      </c>
      <c r="F19" s="37">
        <v>142000</v>
      </c>
      <c r="G19" s="37">
        <v>24000</v>
      </c>
      <c r="H19" s="37">
        <v>41000</v>
      </c>
      <c r="I19" s="37">
        <v>50000</v>
      </c>
      <c r="J19" s="37">
        <v>16000</v>
      </c>
      <c r="K19" s="37"/>
      <c r="L19" s="37"/>
      <c r="M19" s="37"/>
      <c r="N19" s="37"/>
      <c r="O19" s="37">
        <v>0</v>
      </c>
      <c r="P19" s="37"/>
      <c r="Q19" s="37">
        <v>156000</v>
      </c>
      <c r="R19" s="37">
        <v>225000</v>
      </c>
      <c r="S19" s="37"/>
      <c r="T19" s="37">
        <f t="shared" si="0"/>
        <v>977000</v>
      </c>
    </row>
    <row r="20" spans="1:20">
      <c r="A20" s="35" t="s">
        <v>50</v>
      </c>
      <c r="B20" s="37">
        <v>200000</v>
      </c>
      <c r="C20" s="37">
        <v>100000</v>
      </c>
      <c r="D20" s="37">
        <v>98000</v>
      </c>
      <c r="E20" s="37">
        <v>15000</v>
      </c>
      <c r="F20" s="37">
        <v>72000</v>
      </c>
      <c r="G20" s="37">
        <v>24000</v>
      </c>
      <c r="H20" s="37">
        <v>107000</v>
      </c>
      <c r="I20" s="37">
        <v>74000</v>
      </c>
      <c r="J20" s="37">
        <v>17000</v>
      </c>
      <c r="K20" s="37"/>
      <c r="L20" s="37"/>
      <c r="M20" s="37"/>
      <c r="N20" s="37"/>
      <c r="O20" s="37">
        <v>12000</v>
      </c>
      <c r="P20" s="37"/>
      <c r="Q20" s="37">
        <v>23000</v>
      </c>
      <c r="R20" s="37">
        <v>0</v>
      </c>
      <c r="S20" s="37"/>
      <c r="T20" s="37">
        <f t="shared" si="0"/>
        <v>742000</v>
      </c>
    </row>
    <row r="21" spans="1:20">
      <c r="A21" s="35" t="s">
        <v>73</v>
      </c>
      <c r="B21" s="37">
        <v>112000</v>
      </c>
      <c r="C21" s="37">
        <v>50000</v>
      </c>
      <c r="D21" s="37">
        <v>79000</v>
      </c>
      <c r="E21" s="37">
        <v>11000</v>
      </c>
      <c r="F21" s="37">
        <v>117000</v>
      </c>
      <c r="G21" s="37">
        <v>12000</v>
      </c>
      <c r="H21" s="37">
        <v>74000</v>
      </c>
      <c r="I21" s="37">
        <v>64000</v>
      </c>
      <c r="J21" s="37">
        <v>3000</v>
      </c>
      <c r="K21" s="37"/>
      <c r="L21" s="37"/>
      <c r="M21" s="37"/>
      <c r="N21" s="37"/>
      <c r="O21" s="37">
        <v>0</v>
      </c>
      <c r="P21" s="37"/>
      <c r="Q21" s="37">
        <v>78000</v>
      </c>
      <c r="R21" s="37">
        <v>0</v>
      </c>
      <c r="S21" s="37"/>
      <c r="T21" s="37">
        <f t="shared" si="0"/>
        <v>600000</v>
      </c>
    </row>
    <row r="22" spans="1:20">
      <c r="A22" s="35" t="s">
        <v>52</v>
      </c>
      <c r="B22" s="37">
        <v>113000</v>
      </c>
      <c r="C22" s="37">
        <v>169000</v>
      </c>
      <c r="D22" s="37">
        <v>113000</v>
      </c>
      <c r="E22" s="37">
        <v>19000</v>
      </c>
      <c r="F22" s="37">
        <v>117500</v>
      </c>
      <c r="G22" s="37">
        <v>12000</v>
      </c>
      <c r="H22" s="37">
        <v>80000</v>
      </c>
      <c r="I22" s="37">
        <v>51000</v>
      </c>
      <c r="J22" s="37">
        <v>3000</v>
      </c>
      <c r="K22" s="37"/>
      <c r="L22" s="37"/>
      <c r="M22" s="37"/>
      <c r="N22" s="37"/>
      <c r="O22" s="37">
        <v>0</v>
      </c>
      <c r="P22" s="37"/>
      <c r="Q22" s="37">
        <v>215500</v>
      </c>
      <c r="R22" s="37">
        <v>0</v>
      </c>
      <c r="S22" s="37"/>
      <c r="T22" s="37">
        <f t="shared" si="0"/>
        <v>893000</v>
      </c>
    </row>
    <row r="23" spans="1:20">
      <c r="A23" s="35" t="s">
        <v>53</v>
      </c>
      <c r="B23" s="37">
        <v>109000</v>
      </c>
      <c r="C23" s="37">
        <v>118000</v>
      </c>
      <c r="D23" s="37">
        <v>82000</v>
      </c>
      <c r="E23" s="37">
        <v>8500</v>
      </c>
      <c r="F23" s="37">
        <v>86000</v>
      </c>
      <c r="G23" s="37">
        <v>18000</v>
      </c>
      <c r="H23" s="37">
        <v>49000</v>
      </c>
      <c r="I23" s="37">
        <v>67000</v>
      </c>
      <c r="J23" s="37">
        <v>4000</v>
      </c>
      <c r="K23" s="37"/>
      <c r="L23" s="37"/>
      <c r="M23" s="37"/>
      <c r="N23" s="37"/>
      <c r="O23" s="37">
        <v>7000</v>
      </c>
      <c r="P23" s="37"/>
      <c r="Q23" s="37">
        <v>23000</v>
      </c>
      <c r="R23" s="37">
        <v>60000</v>
      </c>
      <c r="S23" s="37"/>
      <c r="T23" s="37">
        <f t="shared" si="0"/>
        <v>631500</v>
      </c>
    </row>
    <row r="24" spans="1:20">
      <c r="A24" s="35" t="s">
        <v>54</v>
      </c>
      <c r="B24" s="37">
        <v>122000</v>
      </c>
      <c r="C24" s="37">
        <v>77000</v>
      </c>
      <c r="D24" s="37">
        <v>114500</v>
      </c>
      <c r="E24" s="37">
        <v>4000</v>
      </c>
      <c r="F24" s="37">
        <v>96000</v>
      </c>
      <c r="G24" s="37">
        <v>12000</v>
      </c>
      <c r="H24" s="37">
        <v>79000</v>
      </c>
      <c r="I24" s="37">
        <v>37000</v>
      </c>
      <c r="J24" s="37">
        <v>6000</v>
      </c>
      <c r="K24" s="37"/>
      <c r="L24" s="37"/>
      <c r="M24" s="37"/>
      <c r="N24" s="37"/>
      <c r="O24" s="37">
        <v>6000</v>
      </c>
      <c r="P24" s="37"/>
      <c r="Q24" s="37">
        <v>23000</v>
      </c>
      <c r="R24" s="37">
        <v>0</v>
      </c>
      <c r="S24" s="37"/>
      <c r="T24" s="37">
        <f t="shared" si="0"/>
        <v>576500</v>
      </c>
    </row>
    <row r="25" spans="1:20">
      <c r="A25" s="35" t="s">
        <v>55</v>
      </c>
      <c r="B25" s="37">
        <v>114000</v>
      </c>
      <c r="C25" s="37">
        <v>17000</v>
      </c>
      <c r="D25" s="37">
        <v>75500</v>
      </c>
      <c r="E25" s="37">
        <v>6500</v>
      </c>
      <c r="F25" s="37">
        <v>88000</v>
      </c>
      <c r="G25" s="37">
        <v>12000</v>
      </c>
      <c r="H25" s="37">
        <v>50000</v>
      </c>
      <c r="I25" s="37">
        <v>40000</v>
      </c>
      <c r="J25" s="37">
        <v>0</v>
      </c>
      <c r="K25" s="37"/>
      <c r="L25" s="37"/>
      <c r="M25" s="37"/>
      <c r="N25" s="37"/>
      <c r="O25" s="37">
        <v>0</v>
      </c>
      <c r="P25" s="37"/>
      <c r="Q25" s="37">
        <v>0</v>
      </c>
      <c r="R25" s="37">
        <v>0</v>
      </c>
      <c r="S25" s="37"/>
      <c r="T25" s="37">
        <f t="shared" si="0"/>
        <v>403000</v>
      </c>
    </row>
    <row r="26" spans="1:20">
      <c r="A26" s="35" t="s">
        <v>56</v>
      </c>
      <c r="B26" s="37">
        <v>207000</v>
      </c>
      <c r="C26" s="37">
        <v>118000</v>
      </c>
      <c r="D26" s="37">
        <v>123000</v>
      </c>
      <c r="E26" s="37">
        <v>32000</v>
      </c>
      <c r="F26" s="37">
        <v>135000</v>
      </c>
      <c r="G26" s="37">
        <v>12000</v>
      </c>
      <c r="H26" s="37">
        <v>135000</v>
      </c>
      <c r="I26" s="37">
        <v>142000</v>
      </c>
      <c r="J26" s="37">
        <v>9000</v>
      </c>
      <c r="K26" s="37"/>
      <c r="L26" s="37"/>
      <c r="M26" s="37"/>
      <c r="N26" s="37"/>
      <c r="O26" s="37">
        <v>0</v>
      </c>
      <c r="P26" s="37"/>
      <c r="Q26" s="37">
        <v>23000</v>
      </c>
      <c r="R26" s="37">
        <v>116000</v>
      </c>
      <c r="S26" s="37"/>
      <c r="T26" s="37">
        <f t="shared" si="0"/>
        <v>1052000</v>
      </c>
    </row>
    <row r="27" spans="1:20">
      <c r="A27" s="35" t="s">
        <v>57</v>
      </c>
      <c r="B27" s="37">
        <v>333000</v>
      </c>
      <c r="C27" s="37">
        <v>112000</v>
      </c>
      <c r="D27" s="37">
        <v>202500</v>
      </c>
      <c r="E27" s="37">
        <v>43000</v>
      </c>
      <c r="F27" s="37">
        <v>243000</v>
      </c>
      <c r="G27" s="37">
        <v>18000</v>
      </c>
      <c r="H27" s="37">
        <v>268000</v>
      </c>
      <c r="I27" s="37">
        <v>168000</v>
      </c>
      <c r="J27" s="37">
        <v>33000</v>
      </c>
      <c r="K27" s="37"/>
      <c r="L27" s="37"/>
      <c r="M27" s="37"/>
      <c r="N27" s="37"/>
      <c r="O27" s="31">
        <v>0</v>
      </c>
      <c r="P27" s="37"/>
      <c r="Q27" s="37">
        <v>23000</v>
      </c>
      <c r="R27" s="37">
        <v>1321000</v>
      </c>
      <c r="S27" s="37"/>
      <c r="T27" s="37">
        <f t="shared" si="0"/>
        <v>2764500</v>
      </c>
    </row>
    <row r="28" spans="1:20">
      <c r="A28" s="35" t="s">
        <v>58</v>
      </c>
      <c r="B28" s="37">
        <v>233500</v>
      </c>
      <c r="C28" s="37">
        <v>134000</v>
      </c>
      <c r="D28" s="37">
        <v>87000</v>
      </c>
      <c r="E28" s="37">
        <v>20000</v>
      </c>
      <c r="F28" s="37">
        <v>109400</v>
      </c>
      <c r="G28" s="37">
        <v>0</v>
      </c>
      <c r="H28" s="37">
        <v>92000</v>
      </c>
      <c r="I28" s="37">
        <v>82000</v>
      </c>
      <c r="J28" s="37">
        <v>5000</v>
      </c>
      <c r="K28" s="37"/>
      <c r="L28" s="37"/>
      <c r="M28" s="37"/>
      <c r="N28" s="37"/>
      <c r="O28" s="37">
        <v>6000</v>
      </c>
      <c r="P28" s="37"/>
      <c r="Q28" s="37">
        <v>23000</v>
      </c>
      <c r="R28" s="37">
        <v>0</v>
      </c>
      <c r="S28" s="37"/>
      <c r="T28" s="37">
        <f t="shared" si="0"/>
        <v>791900</v>
      </c>
    </row>
    <row r="29" spans="1:20">
      <c r="A29" s="35" t="s">
        <v>59</v>
      </c>
      <c r="B29" s="37">
        <v>168000</v>
      </c>
      <c r="C29" s="37">
        <v>38000</v>
      </c>
      <c r="D29" s="37">
        <v>83000</v>
      </c>
      <c r="E29" s="37">
        <v>10500</v>
      </c>
      <c r="F29" s="37">
        <v>69000</v>
      </c>
      <c r="G29" s="37">
        <v>0</v>
      </c>
      <c r="H29" s="37">
        <v>61000</v>
      </c>
      <c r="I29" s="37">
        <v>36000</v>
      </c>
      <c r="J29" s="37">
        <v>5000</v>
      </c>
      <c r="K29" s="37"/>
      <c r="L29" s="37"/>
      <c r="M29" s="37"/>
      <c r="N29" s="37"/>
      <c r="O29" s="37">
        <v>0</v>
      </c>
      <c r="P29" s="37"/>
      <c r="Q29" s="37">
        <v>101000</v>
      </c>
      <c r="R29" s="37">
        <v>1087000</v>
      </c>
      <c r="S29" s="37"/>
      <c r="T29" s="37">
        <f t="shared" si="0"/>
        <v>1658500</v>
      </c>
    </row>
    <row r="30" spans="1:20">
      <c r="A30" s="35" t="s">
        <v>60</v>
      </c>
      <c r="B30" s="37">
        <v>197000</v>
      </c>
      <c r="C30" s="37">
        <v>69000</v>
      </c>
      <c r="D30" s="37">
        <v>61000</v>
      </c>
      <c r="E30" s="37">
        <v>24000</v>
      </c>
      <c r="F30" s="37">
        <v>95000</v>
      </c>
      <c r="G30" s="37">
        <v>6000</v>
      </c>
      <c r="H30" s="37">
        <v>85000</v>
      </c>
      <c r="I30" s="37">
        <v>67000</v>
      </c>
      <c r="J30" s="37">
        <v>6000</v>
      </c>
      <c r="K30" s="37"/>
      <c r="L30" s="37"/>
      <c r="M30" s="37"/>
      <c r="N30" s="37"/>
      <c r="O30" s="37">
        <v>6000</v>
      </c>
      <c r="P30" s="37"/>
      <c r="Q30" s="37">
        <v>0</v>
      </c>
      <c r="R30" s="37">
        <v>215000</v>
      </c>
      <c r="S30" s="37"/>
      <c r="T30" s="37">
        <f t="shared" si="0"/>
        <v>831000</v>
      </c>
    </row>
    <row r="31" spans="1:20">
      <c r="A31" s="35" t="s">
        <v>61</v>
      </c>
      <c r="B31" s="31">
        <v>175000</v>
      </c>
      <c r="C31" s="31">
        <v>53000</v>
      </c>
      <c r="D31" s="31">
        <v>62000</v>
      </c>
      <c r="E31" s="31">
        <v>13000</v>
      </c>
      <c r="F31" s="31">
        <v>68000</v>
      </c>
      <c r="G31" s="31">
        <v>13000</v>
      </c>
      <c r="H31" s="31">
        <v>56000</v>
      </c>
      <c r="I31" s="31">
        <v>43000</v>
      </c>
      <c r="J31" s="31">
        <v>3000</v>
      </c>
      <c r="K31" s="31"/>
      <c r="L31" s="31"/>
      <c r="M31" s="31"/>
      <c r="N31" s="31"/>
      <c r="O31" s="31">
        <v>0</v>
      </c>
      <c r="P31" s="31"/>
      <c r="Q31" s="31">
        <v>0</v>
      </c>
      <c r="R31" s="31">
        <v>1475000</v>
      </c>
      <c r="S31" s="31"/>
      <c r="T31" s="37">
        <f t="shared" si="0"/>
        <v>1961000</v>
      </c>
    </row>
    <row r="32" spans="1:20">
      <c r="A32" s="35" t="s">
        <v>62</v>
      </c>
      <c r="B32" s="31">
        <v>136000</v>
      </c>
      <c r="C32" s="31">
        <v>42000</v>
      </c>
      <c r="D32" s="31">
        <v>52000</v>
      </c>
      <c r="E32" s="31">
        <v>4000</v>
      </c>
      <c r="F32" s="31">
        <v>57000</v>
      </c>
      <c r="G32" s="31">
        <v>0</v>
      </c>
      <c r="H32" s="31">
        <v>38000</v>
      </c>
      <c r="I32" s="31">
        <v>36000</v>
      </c>
      <c r="J32" s="31">
        <v>0</v>
      </c>
      <c r="K32" s="31"/>
      <c r="L32" s="31"/>
      <c r="M32" s="31"/>
      <c r="N32" s="31"/>
      <c r="O32" s="31">
        <v>0</v>
      </c>
      <c r="P32" s="31"/>
      <c r="Q32" s="31">
        <v>200000</v>
      </c>
      <c r="R32" s="31">
        <v>385000</v>
      </c>
      <c r="S32" s="31"/>
      <c r="T32" s="37">
        <f t="shared" si="0"/>
        <v>950000</v>
      </c>
    </row>
    <row r="33" spans="1:21">
      <c r="A33" s="35" t="s">
        <v>63</v>
      </c>
      <c r="B33" s="31">
        <v>194000</v>
      </c>
      <c r="C33" s="31">
        <v>91000</v>
      </c>
      <c r="D33" s="31">
        <v>83000</v>
      </c>
      <c r="E33" s="31">
        <v>5000</v>
      </c>
      <c r="F33" s="31">
        <v>72100</v>
      </c>
      <c r="G33" s="31">
        <v>6000</v>
      </c>
      <c r="H33" s="31">
        <v>51000</v>
      </c>
      <c r="I33" s="31">
        <v>31000</v>
      </c>
      <c r="J33" s="31">
        <v>8000</v>
      </c>
      <c r="K33" s="31"/>
      <c r="L33" s="31"/>
      <c r="M33" s="31"/>
      <c r="N33" s="31"/>
      <c r="O33" s="31">
        <v>0</v>
      </c>
      <c r="P33" s="31"/>
      <c r="Q33" s="31">
        <v>0</v>
      </c>
      <c r="R33" s="31">
        <v>437000</v>
      </c>
      <c r="S33" s="31"/>
      <c r="T33" s="37">
        <f t="shared" si="0"/>
        <v>978100</v>
      </c>
    </row>
    <row r="34" spans="1:21">
      <c r="A34" s="35" t="s">
        <v>64</v>
      </c>
      <c r="B34" s="31">
        <v>251000</v>
      </c>
      <c r="C34" s="31">
        <v>302000</v>
      </c>
      <c r="D34" s="31">
        <v>67000</v>
      </c>
      <c r="E34" s="31">
        <v>16000</v>
      </c>
      <c r="F34" s="31">
        <v>92600</v>
      </c>
      <c r="G34" s="31">
        <v>16000</v>
      </c>
      <c r="H34" s="31">
        <v>62000</v>
      </c>
      <c r="I34" s="31">
        <v>94000</v>
      </c>
      <c r="J34" s="31">
        <v>13000</v>
      </c>
      <c r="K34" s="31"/>
      <c r="L34" s="31"/>
      <c r="M34" s="31"/>
      <c r="N34" s="31"/>
      <c r="O34" s="46">
        <v>0</v>
      </c>
      <c r="P34" s="31"/>
      <c r="Q34" s="31">
        <v>41000</v>
      </c>
      <c r="R34" s="31">
        <v>24000</v>
      </c>
      <c r="S34" s="31"/>
      <c r="T34" s="31">
        <f t="shared" si="0"/>
        <v>978600</v>
      </c>
    </row>
    <row r="35" spans="1:21">
      <c r="A35" s="35" t="s">
        <v>83</v>
      </c>
      <c r="B35" s="31">
        <v>170000</v>
      </c>
      <c r="C35" s="31">
        <v>75000</v>
      </c>
      <c r="D35" s="31">
        <v>81000</v>
      </c>
      <c r="E35" s="31">
        <v>15000</v>
      </c>
      <c r="F35" s="31">
        <v>60000</v>
      </c>
      <c r="G35" s="31">
        <v>12000</v>
      </c>
      <c r="H35" s="31">
        <v>61000</v>
      </c>
      <c r="I35" s="31">
        <v>31000</v>
      </c>
      <c r="J35" s="31">
        <v>0</v>
      </c>
      <c r="K35" s="31"/>
      <c r="L35" s="31"/>
      <c r="M35" s="31"/>
      <c r="N35" s="31"/>
      <c r="O35" s="31">
        <v>0</v>
      </c>
      <c r="P35" s="31"/>
      <c r="Q35" s="31">
        <v>0</v>
      </c>
      <c r="R35" s="31">
        <v>2962000</v>
      </c>
      <c r="S35" s="31"/>
      <c r="T35" s="31">
        <f t="shared" si="0"/>
        <v>3467000</v>
      </c>
      <c r="U35">
        <v>2000000</v>
      </c>
    </row>
    <row r="36" spans="1:21">
      <c r="A36" s="35" t="s">
        <v>84</v>
      </c>
      <c r="B36" s="31">
        <v>141000</v>
      </c>
      <c r="C36" s="31">
        <v>109000</v>
      </c>
      <c r="D36" s="31">
        <v>116000</v>
      </c>
      <c r="E36" s="31">
        <v>28000</v>
      </c>
      <c r="F36" s="31">
        <v>103700</v>
      </c>
      <c r="G36" s="31">
        <v>70000</v>
      </c>
      <c r="H36" s="31">
        <v>83000</v>
      </c>
      <c r="I36" s="31">
        <v>75000</v>
      </c>
      <c r="J36" s="31">
        <v>18000</v>
      </c>
      <c r="K36" s="31"/>
      <c r="L36" s="31"/>
      <c r="M36" s="31"/>
      <c r="N36" s="31"/>
      <c r="O36" s="31">
        <v>0</v>
      </c>
      <c r="P36" s="31"/>
      <c r="Q36" s="31">
        <v>0</v>
      </c>
      <c r="R36" s="31">
        <v>11000</v>
      </c>
      <c r="S36" s="31"/>
      <c r="T36" s="31">
        <f>SUM(B36:S36)</f>
        <v>754700</v>
      </c>
    </row>
    <row r="37" spans="1:21">
      <c r="A37" s="40" t="s">
        <v>23</v>
      </c>
      <c r="B37" s="41">
        <f t="shared" ref="B37:J37" si="1">SUM(B6:B36)</f>
        <v>5007500</v>
      </c>
      <c r="C37" s="41">
        <f t="shared" si="1"/>
        <v>2679000</v>
      </c>
      <c r="D37" s="41">
        <f t="shared" si="1"/>
        <v>2825500</v>
      </c>
      <c r="E37" s="41">
        <f t="shared" si="1"/>
        <v>546500</v>
      </c>
      <c r="F37" s="41">
        <f t="shared" si="1"/>
        <v>3072400</v>
      </c>
      <c r="G37" s="41">
        <f t="shared" si="1"/>
        <v>327000</v>
      </c>
      <c r="H37" s="41">
        <f t="shared" si="1"/>
        <v>2601000</v>
      </c>
      <c r="I37" s="41">
        <f t="shared" si="1"/>
        <v>1720000</v>
      </c>
      <c r="J37" s="41">
        <f t="shared" si="1"/>
        <v>225000</v>
      </c>
      <c r="K37" s="31"/>
      <c r="L37" s="31"/>
      <c r="M37" s="31"/>
      <c r="N37" s="31"/>
      <c r="O37" s="31">
        <f>SUM(O6:O36)</f>
        <v>65000</v>
      </c>
      <c r="P37" s="31"/>
      <c r="Q37" s="31">
        <f>SUM(Q6:Q36)</f>
        <v>1816500</v>
      </c>
      <c r="R37" s="31">
        <f>SUM(R6:R36)</f>
        <v>9913000</v>
      </c>
      <c r="S37" s="31"/>
      <c r="T37" s="31">
        <f>SUM(B37:S37)</f>
        <v>30798400</v>
      </c>
    </row>
  </sheetData>
  <mergeCells count="4">
    <mergeCell ref="B1:T1"/>
    <mergeCell ref="B2:T2"/>
    <mergeCell ref="C3:F3"/>
    <mergeCell ref="C4:F4"/>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28"/>
  <sheetViews>
    <sheetView workbookViewId="0">
      <selection activeCell="C16" sqref="C16"/>
    </sheetView>
  </sheetViews>
  <sheetFormatPr defaultRowHeight="15"/>
  <cols>
    <col min="1" max="1" width="18.28515625" bestFit="1" customWidth="1"/>
    <col min="2" max="6" width="11.5703125" bestFit="1" customWidth="1"/>
    <col min="7" max="7" width="12.7109375" bestFit="1" customWidth="1"/>
  </cols>
  <sheetData>
    <row r="1" spans="1:7" ht="16.5" thickBot="1">
      <c r="A1" s="6" t="s">
        <v>24</v>
      </c>
      <c r="B1" s="70" t="s">
        <v>111</v>
      </c>
      <c r="C1" s="71"/>
      <c r="D1" s="72"/>
      <c r="E1" s="11"/>
      <c r="F1" s="11"/>
      <c r="G1" s="12"/>
    </row>
    <row r="2" spans="1:7" ht="15.75">
      <c r="A2" s="13" t="s">
        <v>25</v>
      </c>
      <c r="B2" s="14" t="s">
        <v>26</v>
      </c>
      <c r="C2" s="14" t="s">
        <v>27</v>
      </c>
      <c r="D2" s="14" t="s">
        <v>28</v>
      </c>
      <c r="E2" s="14" t="s">
        <v>29</v>
      </c>
      <c r="F2" s="15" t="s">
        <v>30</v>
      </c>
      <c r="G2" s="16" t="s">
        <v>31</v>
      </c>
    </row>
    <row r="3" spans="1:7" ht="15.75">
      <c r="A3" s="17" t="s">
        <v>4</v>
      </c>
      <c r="B3" s="18">
        <v>866000</v>
      </c>
      <c r="C3" s="18">
        <v>1166000</v>
      </c>
      <c r="D3" s="18">
        <v>977000</v>
      </c>
      <c r="E3" s="18">
        <v>1436500</v>
      </c>
      <c r="F3" s="19">
        <v>562000</v>
      </c>
      <c r="G3" s="20">
        <f t="shared" ref="G3:G11" si="0">SUM(B3:F3)</f>
        <v>5007500</v>
      </c>
    </row>
    <row r="4" spans="1:7" ht="15.75">
      <c r="A4" s="17" t="s">
        <v>5</v>
      </c>
      <c r="B4" s="18">
        <v>493000</v>
      </c>
      <c r="C4" s="18">
        <v>512000</v>
      </c>
      <c r="D4" s="18">
        <v>649000</v>
      </c>
      <c r="E4" s="18">
        <v>539000</v>
      </c>
      <c r="F4" s="19">
        <v>475000</v>
      </c>
      <c r="G4" s="20">
        <f>SUM(B4:F4)</f>
        <v>2668000</v>
      </c>
    </row>
    <row r="5" spans="1:7" ht="15.75">
      <c r="A5" s="17" t="s">
        <v>32</v>
      </c>
      <c r="B5" s="18">
        <v>712000</v>
      </c>
      <c r="C5" s="18">
        <v>534000</v>
      </c>
      <c r="D5" s="18">
        <v>685000</v>
      </c>
      <c r="E5" s="18">
        <v>630500</v>
      </c>
      <c r="F5" s="19">
        <v>264000</v>
      </c>
      <c r="G5" s="20">
        <f>SUM(B5:F5)</f>
        <v>2825500</v>
      </c>
    </row>
    <row r="6" spans="1:7" ht="15.75">
      <c r="A6" s="17" t="s">
        <v>33</v>
      </c>
      <c r="B6" s="18">
        <v>168000</v>
      </c>
      <c r="C6" s="18">
        <v>104000</v>
      </c>
      <c r="D6" s="18">
        <v>96000</v>
      </c>
      <c r="E6" s="18">
        <v>119500</v>
      </c>
      <c r="F6" s="19">
        <v>59000</v>
      </c>
      <c r="G6" s="20">
        <f t="shared" si="0"/>
        <v>546500</v>
      </c>
    </row>
    <row r="7" spans="1:7" ht="15.75">
      <c r="A7" s="17" t="s">
        <v>8</v>
      </c>
      <c r="B7" s="18">
        <v>746100</v>
      </c>
      <c r="C7" s="18">
        <v>654000</v>
      </c>
      <c r="D7" s="18">
        <v>711500</v>
      </c>
      <c r="E7" s="18">
        <v>713500</v>
      </c>
      <c r="F7" s="19">
        <v>256300</v>
      </c>
      <c r="G7" s="20">
        <f t="shared" si="0"/>
        <v>3081400</v>
      </c>
    </row>
    <row r="8" spans="1:7" ht="15.75">
      <c r="A8" s="17" t="s">
        <v>9</v>
      </c>
      <c r="B8" s="18">
        <v>36000</v>
      </c>
      <c r="C8" s="18">
        <v>48000</v>
      </c>
      <c r="D8" s="18">
        <v>105000</v>
      </c>
      <c r="E8" s="18">
        <v>43000</v>
      </c>
      <c r="F8" s="19">
        <v>98000</v>
      </c>
      <c r="G8" s="20">
        <f t="shared" si="0"/>
        <v>330000</v>
      </c>
    </row>
    <row r="9" spans="1:7" ht="15.75">
      <c r="A9" s="17" t="s">
        <v>10</v>
      </c>
      <c r="B9" s="18">
        <v>648000</v>
      </c>
      <c r="C9" s="18">
        <v>522000</v>
      </c>
      <c r="D9" s="18">
        <v>574000</v>
      </c>
      <c r="E9" s="18">
        <v>651000</v>
      </c>
      <c r="F9" s="19">
        <v>206000</v>
      </c>
      <c r="G9" s="20">
        <f t="shared" si="0"/>
        <v>2601000</v>
      </c>
    </row>
    <row r="10" spans="1:7" ht="15.75">
      <c r="A10" s="17" t="s">
        <v>11</v>
      </c>
      <c r="B10" s="18">
        <v>295000</v>
      </c>
      <c r="C10" s="18">
        <v>287000</v>
      </c>
      <c r="D10" s="18">
        <v>475000</v>
      </c>
      <c r="E10" s="18">
        <v>463000</v>
      </c>
      <c r="F10" s="19">
        <v>200000</v>
      </c>
      <c r="G10" s="20">
        <f t="shared" si="0"/>
        <v>1720000</v>
      </c>
    </row>
    <row r="11" spans="1:7" ht="15.75">
      <c r="A11" s="17" t="s">
        <v>12</v>
      </c>
      <c r="B11" s="18">
        <v>54000</v>
      </c>
      <c r="C11" s="18">
        <v>38000</v>
      </c>
      <c r="D11" s="18">
        <v>42000</v>
      </c>
      <c r="E11" s="18">
        <v>60000</v>
      </c>
      <c r="F11" s="19">
        <v>31000</v>
      </c>
      <c r="G11" s="20">
        <f t="shared" si="0"/>
        <v>225000</v>
      </c>
    </row>
    <row r="12" spans="1:7" ht="15.75">
      <c r="A12" s="17" t="s">
        <v>13</v>
      </c>
      <c r="B12" s="18"/>
      <c r="C12" s="18"/>
      <c r="D12" s="18"/>
      <c r="E12" s="18"/>
      <c r="F12" s="19"/>
      <c r="G12" s="20">
        <f t="shared" ref="G12:G19" si="1">SUM(B12:E12)</f>
        <v>0</v>
      </c>
    </row>
    <row r="13" spans="1:7" ht="15.75">
      <c r="A13" s="17" t="s">
        <v>14</v>
      </c>
      <c r="B13" s="18"/>
      <c r="C13" s="18"/>
      <c r="D13" s="18"/>
      <c r="E13" s="18"/>
      <c r="F13" s="19"/>
      <c r="G13" s="20">
        <f t="shared" si="1"/>
        <v>0</v>
      </c>
    </row>
    <row r="14" spans="1:7" ht="15.75">
      <c r="A14" s="17" t="s">
        <v>15</v>
      </c>
      <c r="B14" s="18"/>
      <c r="C14" s="18"/>
      <c r="D14" s="18"/>
      <c r="E14" s="18"/>
      <c r="F14" s="19"/>
      <c r="G14" s="20">
        <f t="shared" si="1"/>
        <v>0</v>
      </c>
    </row>
    <row r="15" spans="1:7" ht="15.75">
      <c r="A15" s="17" t="s">
        <v>16</v>
      </c>
      <c r="B15" s="18"/>
      <c r="C15" s="18"/>
      <c r="D15" s="18"/>
      <c r="E15" s="18"/>
      <c r="F15" s="19"/>
      <c r="G15" s="20">
        <f t="shared" si="1"/>
        <v>0</v>
      </c>
    </row>
    <row r="16" spans="1:7" ht="15.75">
      <c r="A16" s="17" t="s">
        <v>17</v>
      </c>
      <c r="B16" s="18">
        <v>25000</v>
      </c>
      <c r="C16" s="18">
        <v>6000</v>
      </c>
      <c r="D16" s="18">
        <v>11000</v>
      </c>
      <c r="E16" s="18">
        <v>16000</v>
      </c>
      <c r="F16" s="19">
        <v>7000</v>
      </c>
      <c r="G16" s="20">
        <f>SUM(B16:F16)</f>
        <v>65000</v>
      </c>
    </row>
    <row r="17" spans="1:7" ht="15.75">
      <c r="A17" s="17" t="s">
        <v>18</v>
      </c>
      <c r="B17" s="18"/>
      <c r="C17" s="18"/>
      <c r="D17" s="18"/>
      <c r="E17" s="18"/>
      <c r="F17" s="19"/>
      <c r="G17" s="20">
        <f t="shared" si="1"/>
        <v>0</v>
      </c>
    </row>
    <row r="18" spans="1:7" ht="15.75">
      <c r="A18" s="17" t="s">
        <v>19</v>
      </c>
      <c r="B18" s="18"/>
      <c r="C18" s="18"/>
      <c r="D18" s="18"/>
      <c r="E18" s="18"/>
      <c r="F18" s="19"/>
      <c r="G18" s="20">
        <f t="shared" si="1"/>
        <v>0</v>
      </c>
    </row>
    <row r="19" spans="1:7" ht="15.75">
      <c r="A19" s="17" t="s">
        <v>34</v>
      </c>
      <c r="B19" s="18"/>
      <c r="C19" s="18"/>
      <c r="D19" s="18"/>
      <c r="E19" s="18"/>
      <c r="F19" s="19"/>
      <c r="G19" s="20">
        <f t="shared" si="1"/>
        <v>0</v>
      </c>
    </row>
    <row r="20" spans="1:7" ht="16.5" thickBot="1">
      <c r="A20" s="21" t="s">
        <v>35</v>
      </c>
      <c r="B20" s="22">
        <f t="shared" ref="B20:G20" si="2">SUM(B3:B19)</f>
        <v>4043100</v>
      </c>
      <c r="C20" s="22">
        <f t="shared" si="2"/>
        <v>3871000</v>
      </c>
      <c r="D20" s="22">
        <f t="shared" si="2"/>
        <v>4325500</v>
      </c>
      <c r="E20" s="22">
        <f t="shared" si="2"/>
        <v>4672000</v>
      </c>
      <c r="F20" s="22">
        <f t="shared" si="2"/>
        <v>2158300</v>
      </c>
      <c r="G20" s="23">
        <f t="shared" si="2"/>
        <v>19069900</v>
      </c>
    </row>
    <row r="22" spans="1:7" ht="15.75" thickBot="1"/>
    <row r="23" spans="1:7" ht="21.75" thickBot="1">
      <c r="A23" s="73" t="s">
        <v>36</v>
      </c>
      <c r="B23" s="74"/>
      <c r="C23" s="74"/>
      <c r="D23" s="74"/>
      <c r="E23" s="74"/>
      <c r="F23" s="74"/>
      <c r="G23" s="75"/>
    </row>
    <row r="24" spans="1:7" ht="15.75" thickBot="1">
      <c r="A24" s="76" t="s">
        <v>112</v>
      </c>
      <c r="B24" s="68"/>
      <c r="C24" s="68"/>
      <c r="D24" s="68"/>
      <c r="E24" s="68"/>
      <c r="F24" s="68"/>
      <c r="G24" s="69"/>
    </row>
    <row r="25" spans="1:7" ht="15.75" thickBot="1">
      <c r="A25" s="24"/>
      <c r="B25" s="25"/>
      <c r="C25" s="25"/>
      <c r="D25" s="25"/>
      <c r="E25" s="25"/>
      <c r="F25" s="25"/>
      <c r="G25" s="26"/>
    </row>
    <row r="26" spans="1:7" ht="15.75" thickBot="1">
      <c r="A26" s="67"/>
      <c r="B26" s="68"/>
      <c r="C26" s="68"/>
      <c r="D26" s="68"/>
      <c r="E26" s="68"/>
      <c r="F26" s="68"/>
      <c r="G26" s="69"/>
    </row>
    <row r="27" spans="1:7" ht="15.75" thickBot="1">
      <c r="A27" s="77"/>
      <c r="B27" s="68"/>
      <c r="C27" s="68"/>
      <c r="D27" s="68"/>
      <c r="E27" s="68"/>
      <c r="F27" s="68"/>
      <c r="G27" s="69"/>
    </row>
    <row r="28" spans="1:7" ht="15.75" thickBot="1">
      <c r="A28" s="67"/>
      <c r="B28" s="68"/>
      <c r="C28" s="68"/>
      <c r="D28" s="68"/>
      <c r="E28" s="68"/>
      <c r="F28" s="68"/>
      <c r="G28" s="69"/>
    </row>
  </sheetData>
  <mergeCells count="6">
    <mergeCell ref="A28:G28"/>
    <mergeCell ref="B1:D1"/>
    <mergeCell ref="A23:G23"/>
    <mergeCell ref="A24:G24"/>
    <mergeCell ref="A26:G26"/>
    <mergeCell ref="A27:G27"/>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T37"/>
  <sheetViews>
    <sheetView workbookViewId="0">
      <selection sqref="A1:T37"/>
    </sheetView>
  </sheetViews>
  <sheetFormatPr defaultRowHeight="15"/>
  <cols>
    <col min="2" max="2" width="12.5703125" customWidth="1"/>
    <col min="3" max="3" width="10.85546875" customWidth="1"/>
    <col min="4" max="4" width="13.5703125" customWidth="1"/>
    <col min="6" max="6" width="10.85546875" customWidth="1"/>
    <col min="8" max="8" width="11" customWidth="1"/>
    <col min="9" max="9" width="12.7109375" customWidth="1"/>
    <col min="20" max="20" width="13.85546875" customWidth="1"/>
  </cols>
  <sheetData>
    <row r="1" spans="1:20" ht="26.25">
      <c r="A1" s="28"/>
      <c r="B1" s="55" t="s">
        <v>68</v>
      </c>
      <c r="C1" s="56"/>
      <c r="D1" s="56"/>
      <c r="E1" s="56"/>
      <c r="F1" s="56"/>
      <c r="G1" s="56"/>
      <c r="H1" s="56"/>
      <c r="I1" s="56"/>
      <c r="J1" s="56"/>
      <c r="K1" s="56"/>
      <c r="L1" s="56"/>
      <c r="M1" s="56"/>
      <c r="N1" s="56"/>
      <c r="O1" s="56"/>
      <c r="P1" s="56"/>
      <c r="Q1" s="56"/>
      <c r="R1" s="56"/>
      <c r="S1" s="56"/>
      <c r="T1" s="57"/>
    </row>
    <row r="2" spans="1:20" ht="27" thickBot="1">
      <c r="A2" s="4"/>
      <c r="B2" s="58" t="s">
        <v>0</v>
      </c>
      <c r="C2" s="59"/>
      <c r="D2" s="59"/>
      <c r="E2" s="59"/>
      <c r="F2" s="59"/>
      <c r="G2" s="59"/>
      <c r="H2" s="59"/>
      <c r="I2" s="59"/>
      <c r="J2" s="59"/>
      <c r="K2" s="59"/>
      <c r="L2" s="59"/>
      <c r="M2" s="59"/>
      <c r="N2" s="59"/>
      <c r="O2" s="59"/>
      <c r="P2" s="59"/>
      <c r="Q2" s="59"/>
      <c r="R2" s="59"/>
      <c r="S2" s="59"/>
      <c r="T2" s="60"/>
    </row>
    <row r="3" spans="1:20" ht="27" thickBot="1">
      <c r="A3" s="4"/>
      <c r="B3" s="29" t="s">
        <v>1</v>
      </c>
      <c r="C3" s="61" t="s">
        <v>69</v>
      </c>
      <c r="D3" s="62"/>
      <c r="E3" s="62"/>
      <c r="F3" s="63"/>
      <c r="G3" s="50" t="s">
        <v>114</v>
      </c>
    </row>
    <row r="4" spans="1:20" ht="21">
      <c r="A4" s="4"/>
      <c r="B4" s="30" t="s">
        <v>2</v>
      </c>
      <c r="C4" s="78"/>
      <c r="D4" s="79"/>
      <c r="E4" s="79"/>
      <c r="F4" s="80"/>
    </row>
    <row r="5" spans="1:20" ht="67.5">
      <c r="A5" s="32" t="s">
        <v>3</v>
      </c>
      <c r="B5" s="33" t="s">
        <v>4</v>
      </c>
      <c r="C5" s="33" t="s">
        <v>5</v>
      </c>
      <c r="D5" s="33" t="s">
        <v>6</v>
      </c>
      <c r="E5" s="33" t="s">
        <v>7</v>
      </c>
      <c r="F5" s="33" t="s">
        <v>8</v>
      </c>
      <c r="G5" s="33" t="s">
        <v>9</v>
      </c>
      <c r="H5" s="33" t="s">
        <v>10</v>
      </c>
      <c r="I5" s="33" t="s">
        <v>11</v>
      </c>
      <c r="J5" s="33" t="s">
        <v>12</v>
      </c>
      <c r="K5" s="33" t="s">
        <v>13</v>
      </c>
      <c r="L5" s="33" t="s">
        <v>14</v>
      </c>
      <c r="M5" s="33" t="s">
        <v>15</v>
      </c>
      <c r="N5" s="33" t="s">
        <v>16</v>
      </c>
      <c r="O5" s="33" t="s">
        <v>17</v>
      </c>
      <c r="P5" s="33" t="s">
        <v>18</v>
      </c>
      <c r="Q5" s="33" t="s">
        <v>19</v>
      </c>
      <c r="R5" s="33" t="s">
        <v>20</v>
      </c>
      <c r="S5" s="33" t="s">
        <v>21</v>
      </c>
      <c r="T5" s="33" t="s">
        <v>22</v>
      </c>
    </row>
    <row r="6" spans="1:20">
      <c r="A6" s="35" t="s">
        <v>67</v>
      </c>
      <c r="B6" s="36">
        <v>113000</v>
      </c>
      <c r="C6" s="36">
        <v>38000</v>
      </c>
      <c r="D6" s="36">
        <v>61000</v>
      </c>
      <c r="E6" s="36">
        <v>12000</v>
      </c>
      <c r="F6" s="36">
        <v>80000</v>
      </c>
      <c r="G6" s="36">
        <v>0</v>
      </c>
      <c r="H6" s="36">
        <v>45000</v>
      </c>
      <c r="I6" s="36">
        <v>25000</v>
      </c>
      <c r="J6" s="36">
        <v>9000</v>
      </c>
      <c r="K6" s="36"/>
      <c r="L6" s="36"/>
      <c r="M6" s="36"/>
      <c r="N6" s="36"/>
      <c r="O6" s="36">
        <v>0</v>
      </c>
      <c r="P6" s="36"/>
      <c r="Q6" s="36">
        <v>0</v>
      </c>
      <c r="R6" s="36">
        <v>0</v>
      </c>
      <c r="S6" s="37"/>
      <c r="T6" s="37">
        <f t="shared" ref="T6:T35" si="0">SUM(B6:S6)</f>
        <v>383000</v>
      </c>
    </row>
    <row r="7" spans="1:20">
      <c r="A7" s="35" t="s">
        <v>37</v>
      </c>
      <c r="B7" s="36">
        <v>146000</v>
      </c>
      <c r="C7" s="36">
        <v>31000</v>
      </c>
      <c r="D7" s="36">
        <v>83000</v>
      </c>
      <c r="E7" s="36">
        <v>19000</v>
      </c>
      <c r="F7" s="36">
        <v>105000</v>
      </c>
      <c r="G7" s="36">
        <v>0</v>
      </c>
      <c r="H7" s="36">
        <v>80000</v>
      </c>
      <c r="I7" s="36">
        <v>27000</v>
      </c>
      <c r="J7" s="36">
        <v>9000</v>
      </c>
      <c r="K7" s="36"/>
      <c r="L7" s="36"/>
      <c r="M7" s="36"/>
      <c r="N7" s="36"/>
      <c r="O7" s="36">
        <v>0</v>
      </c>
      <c r="P7" s="36"/>
      <c r="Q7" s="36">
        <v>23000</v>
      </c>
      <c r="R7" s="36">
        <v>0</v>
      </c>
      <c r="S7" s="37"/>
      <c r="T7" s="37">
        <f t="shared" si="0"/>
        <v>523000</v>
      </c>
    </row>
    <row r="8" spans="1:20">
      <c r="A8" s="35" t="s">
        <v>38</v>
      </c>
      <c r="B8" s="36">
        <v>75000</v>
      </c>
      <c r="C8" s="36">
        <v>64000</v>
      </c>
      <c r="D8" s="36">
        <v>40000</v>
      </c>
      <c r="E8" s="36">
        <v>6000</v>
      </c>
      <c r="F8" s="36">
        <v>60500</v>
      </c>
      <c r="G8" s="36">
        <v>0</v>
      </c>
      <c r="H8" s="36">
        <v>33000</v>
      </c>
      <c r="I8" s="36">
        <v>25000</v>
      </c>
      <c r="J8" s="36">
        <v>10000</v>
      </c>
      <c r="K8" s="36"/>
      <c r="L8" s="36"/>
      <c r="M8" s="36"/>
      <c r="N8" s="36"/>
      <c r="O8" s="36">
        <v>0</v>
      </c>
      <c r="P8" s="36"/>
      <c r="Q8" s="36">
        <v>0</v>
      </c>
      <c r="R8" s="36">
        <v>0</v>
      </c>
      <c r="S8" s="37"/>
      <c r="T8" s="37">
        <f t="shared" si="0"/>
        <v>313500</v>
      </c>
    </row>
    <row r="9" spans="1:20">
      <c r="A9" s="35" t="s">
        <v>39</v>
      </c>
      <c r="B9" s="36">
        <v>186000</v>
      </c>
      <c r="C9" s="36">
        <v>75000</v>
      </c>
      <c r="D9" s="36">
        <v>48000</v>
      </c>
      <c r="E9" s="36">
        <v>4000</v>
      </c>
      <c r="F9" s="36">
        <v>62000</v>
      </c>
      <c r="G9" s="36">
        <v>12000</v>
      </c>
      <c r="H9" s="36">
        <v>63000</v>
      </c>
      <c r="I9" s="36">
        <v>55000</v>
      </c>
      <c r="J9" s="36">
        <v>8000</v>
      </c>
      <c r="K9" s="36"/>
      <c r="L9" s="36"/>
      <c r="M9" s="36"/>
      <c r="N9" s="36"/>
      <c r="O9" s="36">
        <v>0</v>
      </c>
      <c r="Q9" s="36">
        <v>46000</v>
      </c>
      <c r="R9" s="36">
        <v>0</v>
      </c>
      <c r="S9" s="37"/>
      <c r="T9" s="37">
        <f t="shared" si="0"/>
        <v>559000</v>
      </c>
    </row>
    <row r="10" spans="1:20">
      <c r="A10" s="35" t="s">
        <v>40</v>
      </c>
      <c r="B10" s="37">
        <v>197000</v>
      </c>
      <c r="C10" s="37">
        <v>168000</v>
      </c>
      <c r="D10" s="37">
        <v>97000</v>
      </c>
      <c r="E10" s="37">
        <v>21000</v>
      </c>
      <c r="F10" s="37">
        <v>86400</v>
      </c>
      <c r="G10" s="37">
        <v>24000</v>
      </c>
      <c r="H10" s="37">
        <v>57000</v>
      </c>
      <c r="I10" s="37">
        <v>56000</v>
      </c>
      <c r="J10" s="37">
        <v>3000</v>
      </c>
      <c r="K10" s="37"/>
      <c r="L10" s="37"/>
      <c r="M10" s="37"/>
      <c r="N10" s="37"/>
      <c r="O10" s="37">
        <v>0</v>
      </c>
      <c r="P10" s="37"/>
      <c r="Q10" s="37">
        <v>0</v>
      </c>
      <c r="R10" s="37">
        <v>83000</v>
      </c>
      <c r="S10" s="37"/>
      <c r="T10" s="37">
        <f t="shared" si="0"/>
        <v>792400</v>
      </c>
    </row>
    <row r="11" spans="1:20">
      <c r="A11" s="35" t="s">
        <v>41</v>
      </c>
      <c r="B11" s="37">
        <v>96000</v>
      </c>
      <c r="C11" s="37">
        <v>200000</v>
      </c>
      <c r="D11" s="37">
        <v>72000</v>
      </c>
      <c r="E11" s="37">
        <v>6000</v>
      </c>
      <c r="F11" s="37">
        <v>63900</v>
      </c>
      <c r="G11" s="37">
        <v>0</v>
      </c>
      <c r="H11" s="37">
        <v>117000</v>
      </c>
      <c r="I11" s="37">
        <v>77000</v>
      </c>
      <c r="J11" s="37">
        <v>4000</v>
      </c>
      <c r="K11" s="37"/>
      <c r="L11" s="37"/>
      <c r="M11" s="37"/>
      <c r="N11" s="37"/>
      <c r="O11" s="37">
        <v>0</v>
      </c>
      <c r="P11" s="37"/>
      <c r="Q11" s="37">
        <v>184500</v>
      </c>
      <c r="R11" s="37">
        <v>68000</v>
      </c>
      <c r="S11" s="37"/>
      <c r="T11" s="37">
        <f t="shared" si="0"/>
        <v>888400</v>
      </c>
    </row>
    <row r="12" spans="1:20">
      <c r="A12" s="35" t="s">
        <v>42</v>
      </c>
      <c r="B12" s="37">
        <v>188000</v>
      </c>
      <c r="C12" s="37">
        <v>125000</v>
      </c>
      <c r="D12" s="37">
        <v>81000</v>
      </c>
      <c r="E12" s="37">
        <v>10000</v>
      </c>
      <c r="F12" s="37">
        <v>101500</v>
      </c>
      <c r="G12" s="37">
        <v>12000</v>
      </c>
      <c r="H12" s="37">
        <v>73000</v>
      </c>
      <c r="I12" s="37">
        <v>62000</v>
      </c>
      <c r="J12" s="37">
        <v>16000</v>
      </c>
      <c r="K12" s="37"/>
      <c r="L12" s="37"/>
      <c r="M12" s="37"/>
      <c r="N12" s="37"/>
      <c r="O12" s="37">
        <v>0</v>
      </c>
      <c r="P12" s="37"/>
      <c r="Q12" s="37">
        <v>319500</v>
      </c>
      <c r="R12" s="37">
        <v>0</v>
      </c>
      <c r="S12" s="37"/>
      <c r="T12" s="37">
        <f t="shared" si="0"/>
        <v>988000</v>
      </c>
    </row>
    <row r="13" spans="1:20">
      <c r="A13" s="35" t="s">
        <v>43</v>
      </c>
      <c r="B13" s="37">
        <v>179000</v>
      </c>
      <c r="C13" s="37">
        <v>89000</v>
      </c>
      <c r="D13" s="37">
        <v>51000</v>
      </c>
      <c r="E13" s="37">
        <v>26000</v>
      </c>
      <c r="F13" s="37">
        <v>76100</v>
      </c>
      <c r="G13" s="37">
        <v>0</v>
      </c>
      <c r="H13" s="37">
        <v>71000</v>
      </c>
      <c r="I13" s="37">
        <v>38000</v>
      </c>
      <c r="J13" s="37">
        <v>14000</v>
      </c>
      <c r="K13" s="37"/>
      <c r="L13" s="37"/>
      <c r="M13" s="37"/>
      <c r="N13" s="37"/>
      <c r="O13" s="37">
        <v>0</v>
      </c>
      <c r="P13" s="37"/>
      <c r="Q13" s="37">
        <v>0</v>
      </c>
      <c r="R13" s="37">
        <v>0</v>
      </c>
      <c r="S13" s="37"/>
      <c r="T13" s="37">
        <f t="shared" si="0"/>
        <v>544100</v>
      </c>
    </row>
    <row r="14" spans="1:20">
      <c r="A14" s="35" t="s">
        <v>44</v>
      </c>
      <c r="B14" s="37">
        <v>214000</v>
      </c>
      <c r="C14" s="37">
        <v>98000</v>
      </c>
      <c r="D14" s="37">
        <v>74000</v>
      </c>
      <c r="E14" s="37">
        <v>24000</v>
      </c>
      <c r="F14" s="37">
        <v>90500</v>
      </c>
      <c r="G14" s="37">
        <v>0</v>
      </c>
      <c r="H14" s="37">
        <v>60000</v>
      </c>
      <c r="I14" s="37">
        <v>31000</v>
      </c>
      <c r="J14" s="37">
        <v>10000</v>
      </c>
      <c r="K14" s="37"/>
      <c r="L14" s="37"/>
      <c r="M14" s="37"/>
      <c r="N14" s="37"/>
      <c r="O14" s="37">
        <v>0</v>
      </c>
      <c r="P14" s="37"/>
      <c r="Q14" s="37">
        <v>23000</v>
      </c>
      <c r="R14" s="37">
        <v>0</v>
      </c>
      <c r="S14" s="37"/>
      <c r="T14" s="37">
        <f t="shared" si="0"/>
        <v>624500</v>
      </c>
    </row>
    <row r="15" spans="1:20">
      <c r="A15" s="35" t="s">
        <v>45</v>
      </c>
      <c r="B15" s="37">
        <v>185500</v>
      </c>
      <c r="C15" s="37">
        <v>380000</v>
      </c>
      <c r="D15" s="37">
        <v>66000</v>
      </c>
      <c r="E15" s="37">
        <v>18000</v>
      </c>
      <c r="F15" s="37">
        <v>66000</v>
      </c>
      <c r="G15" s="37">
        <v>12000</v>
      </c>
      <c r="H15" s="37">
        <v>75000</v>
      </c>
      <c r="I15" s="37">
        <v>32000</v>
      </c>
      <c r="J15" s="37">
        <v>21000</v>
      </c>
      <c r="K15" s="37"/>
      <c r="L15" s="37"/>
      <c r="M15" s="37"/>
      <c r="N15" s="37"/>
      <c r="O15" s="37">
        <v>0</v>
      </c>
      <c r="P15" s="37"/>
      <c r="Q15" s="37">
        <v>46000</v>
      </c>
      <c r="R15" s="37">
        <v>0</v>
      </c>
      <c r="S15" s="37"/>
      <c r="T15" s="37">
        <f t="shared" si="0"/>
        <v>901500</v>
      </c>
    </row>
    <row r="16" spans="1:20">
      <c r="A16" s="35" t="s">
        <v>46</v>
      </c>
      <c r="B16" s="37">
        <v>220000</v>
      </c>
      <c r="C16" s="37">
        <v>206000</v>
      </c>
      <c r="D16" s="37">
        <v>109000</v>
      </c>
      <c r="E16" s="37">
        <v>18000</v>
      </c>
      <c r="F16" s="37">
        <v>104900</v>
      </c>
      <c r="G16" s="37">
        <v>12000</v>
      </c>
      <c r="H16" s="37">
        <v>61000</v>
      </c>
      <c r="I16" s="37">
        <v>56000</v>
      </c>
      <c r="J16" s="37">
        <v>15000</v>
      </c>
      <c r="K16" s="37"/>
      <c r="L16" s="37"/>
      <c r="M16" s="37"/>
      <c r="N16" s="37"/>
      <c r="O16" s="37">
        <v>0</v>
      </c>
      <c r="P16" s="37"/>
      <c r="Q16" s="37">
        <v>135000</v>
      </c>
      <c r="R16" s="37">
        <v>0</v>
      </c>
      <c r="S16" s="37"/>
      <c r="T16" s="37">
        <f t="shared" si="0"/>
        <v>936900</v>
      </c>
    </row>
    <row r="17" spans="1:20">
      <c r="A17" s="35" t="s">
        <v>47</v>
      </c>
      <c r="B17" s="37">
        <v>210000</v>
      </c>
      <c r="C17" s="37">
        <v>200000</v>
      </c>
      <c r="D17" s="37">
        <v>98000</v>
      </c>
      <c r="E17" s="37">
        <v>19000</v>
      </c>
      <c r="F17" s="37">
        <v>82600</v>
      </c>
      <c r="G17" s="37">
        <v>24000</v>
      </c>
      <c r="H17" s="37">
        <v>86000</v>
      </c>
      <c r="I17" s="37">
        <v>57000</v>
      </c>
      <c r="J17" s="37">
        <v>25000</v>
      </c>
      <c r="K17" s="37"/>
      <c r="L17" s="37"/>
      <c r="M17" s="37"/>
      <c r="N17" s="37"/>
      <c r="O17" s="37">
        <v>0</v>
      </c>
      <c r="P17" s="37"/>
      <c r="Q17" s="37">
        <v>0</v>
      </c>
      <c r="R17" s="37">
        <v>0</v>
      </c>
      <c r="S17" s="37"/>
      <c r="T17" s="37">
        <f t="shared" si="0"/>
        <v>801600</v>
      </c>
    </row>
    <row r="18" spans="1:20">
      <c r="A18" s="35" t="s">
        <v>48</v>
      </c>
      <c r="B18" s="37">
        <v>149000</v>
      </c>
      <c r="C18" s="37">
        <v>70000</v>
      </c>
      <c r="D18" s="37">
        <v>79000</v>
      </c>
      <c r="E18" s="37">
        <v>6000</v>
      </c>
      <c r="F18" s="37">
        <v>73600</v>
      </c>
      <c r="G18" s="37">
        <v>12000</v>
      </c>
      <c r="H18" s="37">
        <v>73000</v>
      </c>
      <c r="I18" s="37">
        <v>36000</v>
      </c>
      <c r="J18" s="37">
        <v>5000</v>
      </c>
      <c r="K18" s="37"/>
      <c r="L18" s="37"/>
      <c r="M18" s="37"/>
      <c r="N18" s="37"/>
      <c r="O18" s="37">
        <v>0</v>
      </c>
      <c r="P18" s="37"/>
      <c r="Q18" s="37">
        <v>195500</v>
      </c>
      <c r="R18" s="37">
        <v>0</v>
      </c>
      <c r="S18" s="37"/>
      <c r="T18" s="37">
        <f t="shared" si="0"/>
        <v>699100</v>
      </c>
    </row>
    <row r="19" spans="1:20">
      <c r="A19" s="35" t="s">
        <v>49</v>
      </c>
      <c r="B19" s="37">
        <v>105000</v>
      </c>
      <c r="C19" s="37">
        <v>29000</v>
      </c>
      <c r="D19" s="37">
        <v>94000</v>
      </c>
      <c r="E19" s="37">
        <v>0</v>
      </c>
      <c r="F19" s="37">
        <v>81800</v>
      </c>
      <c r="G19" s="37">
        <v>0</v>
      </c>
      <c r="H19" s="37">
        <v>45000</v>
      </c>
      <c r="I19" s="37">
        <v>11000</v>
      </c>
      <c r="J19" s="37">
        <v>9000</v>
      </c>
      <c r="K19" s="37"/>
      <c r="L19" s="37"/>
      <c r="M19" s="37"/>
      <c r="N19" s="37"/>
      <c r="O19" s="37">
        <v>0</v>
      </c>
      <c r="P19" s="37"/>
      <c r="Q19" s="37">
        <v>23000</v>
      </c>
      <c r="R19" s="37">
        <v>7000</v>
      </c>
      <c r="S19" s="37"/>
      <c r="T19" s="37">
        <f t="shared" si="0"/>
        <v>404800</v>
      </c>
    </row>
    <row r="20" spans="1:20">
      <c r="A20" s="35" t="s">
        <v>50</v>
      </c>
      <c r="B20" s="37">
        <v>104000</v>
      </c>
      <c r="C20" s="37">
        <v>49000</v>
      </c>
      <c r="D20" s="37">
        <v>110000</v>
      </c>
      <c r="E20" s="37">
        <v>7000</v>
      </c>
      <c r="F20" s="37">
        <v>94000</v>
      </c>
      <c r="G20" s="37">
        <v>12000</v>
      </c>
      <c r="H20" s="37">
        <v>101000</v>
      </c>
      <c r="I20" s="37">
        <v>51000</v>
      </c>
      <c r="J20" s="37">
        <v>10000</v>
      </c>
      <c r="K20" s="37"/>
      <c r="L20" s="37"/>
      <c r="M20" s="37"/>
      <c r="N20" s="37"/>
      <c r="O20" s="37">
        <v>0</v>
      </c>
      <c r="P20" s="37"/>
      <c r="Q20" s="37">
        <v>0</v>
      </c>
      <c r="R20" s="37">
        <v>0</v>
      </c>
      <c r="S20" s="37"/>
      <c r="T20" s="37">
        <f t="shared" si="0"/>
        <v>538000</v>
      </c>
    </row>
    <row r="21" spans="1:20">
      <c r="A21" s="35" t="s">
        <v>73</v>
      </c>
      <c r="B21" s="37">
        <v>132000</v>
      </c>
      <c r="C21" s="37">
        <v>122000</v>
      </c>
      <c r="D21" s="37">
        <v>130000</v>
      </c>
      <c r="E21" s="37">
        <v>8000</v>
      </c>
      <c r="F21" s="37">
        <v>104700</v>
      </c>
      <c r="G21" s="37">
        <v>24000</v>
      </c>
      <c r="H21" s="37">
        <v>67000</v>
      </c>
      <c r="I21" s="37">
        <v>61000</v>
      </c>
      <c r="J21" s="37">
        <v>44000</v>
      </c>
      <c r="K21" s="37"/>
      <c r="L21" s="37"/>
      <c r="M21" s="37"/>
      <c r="N21" s="37"/>
      <c r="O21" s="37">
        <v>0</v>
      </c>
      <c r="P21" s="37"/>
      <c r="Q21" s="37">
        <v>0</v>
      </c>
      <c r="R21" s="37">
        <v>0</v>
      </c>
      <c r="S21" s="37"/>
      <c r="T21" s="37">
        <f t="shared" si="0"/>
        <v>692700</v>
      </c>
    </row>
    <row r="22" spans="1:20">
      <c r="A22" s="35" t="s">
        <v>52</v>
      </c>
      <c r="B22" s="37">
        <v>190000</v>
      </c>
      <c r="C22" s="37">
        <v>246000</v>
      </c>
      <c r="D22" s="37">
        <v>98000</v>
      </c>
      <c r="E22" s="37">
        <v>6000</v>
      </c>
      <c r="F22" s="37">
        <v>166800</v>
      </c>
      <c r="G22" s="37">
        <v>24000</v>
      </c>
      <c r="H22" s="37">
        <v>104000</v>
      </c>
      <c r="I22" s="37">
        <v>72000</v>
      </c>
      <c r="J22" s="37">
        <v>15000</v>
      </c>
      <c r="K22" s="37"/>
      <c r="L22" s="37"/>
      <c r="M22" s="37"/>
      <c r="N22" s="37"/>
      <c r="O22" s="37">
        <v>0</v>
      </c>
      <c r="P22" s="37"/>
      <c r="Q22" s="37">
        <v>0</v>
      </c>
      <c r="R22" s="37">
        <v>0</v>
      </c>
      <c r="S22" s="37"/>
      <c r="T22" s="37">
        <f t="shared" si="0"/>
        <v>921800</v>
      </c>
    </row>
    <row r="23" spans="1:20">
      <c r="A23" s="35" t="s">
        <v>53</v>
      </c>
      <c r="B23" s="37">
        <v>232000</v>
      </c>
      <c r="C23" s="37">
        <v>110000</v>
      </c>
      <c r="D23" s="37">
        <v>151000</v>
      </c>
      <c r="E23" s="37">
        <v>24000</v>
      </c>
      <c r="F23" s="37">
        <v>113800</v>
      </c>
      <c r="G23" s="37">
        <v>12000</v>
      </c>
      <c r="H23" s="37">
        <v>127000</v>
      </c>
      <c r="I23" s="37">
        <v>121000</v>
      </c>
      <c r="J23" s="37">
        <v>10000</v>
      </c>
      <c r="K23" s="37"/>
      <c r="L23" s="37"/>
      <c r="M23" s="37"/>
      <c r="N23" s="37"/>
      <c r="O23" s="37"/>
      <c r="P23" s="37"/>
      <c r="Q23" s="37">
        <v>0</v>
      </c>
      <c r="R23" s="37">
        <v>0</v>
      </c>
      <c r="S23" s="37"/>
      <c r="T23" s="37">
        <f t="shared" si="0"/>
        <v>900800</v>
      </c>
    </row>
    <row r="24" spans="1:20">
      <c r="A24" s="35" t="s">
        <v>54</v>
      </c>
      <c r="B24" s="37">
        <v>252500</v>
      </c>
      <c r="C24" s="37">
        <v>214000</v>
      </c>
      <c r="D24" s="37">
        <v>169000</v>
      </c>
      <c r="E24" s="37">
        <v>9000</v>
      </c>
      <c r="F24" s="37">
        <v>139000</v>
      </c>
      <c r="G24" s="37">
        <v>24000</v>
      </c>
      <c r="H24" s="37">
        <v>154000</v>
      </c>
      <c r="I24" s="37">
        <v>102000</v>
      </c>
      <c r="J24" s="37">
        <v>15000</v>
      </c>
      <c r="K24" s="37"/>
      <c r="L24" s="37"/>
      <c r="M24" s="37"/>
      <c r="N24" s="37"/>
      <c r="O24" s="37">
        <v>0</v>
      </c>
      <c r="P24" s="37"/>
      <c r="Q24" s="37">
        <v>46000</v>
      </c>
      <c r="R24" s="37">
        <v>0</v>
      </c>
      <c r="S24" s="37"/>
      <c r="T24" s="37">
        <f t="shared" si="0"/>
        <v>1124500</v>
      </c>
    </row>
    <row r="25" spans="1:20">
      <c r="A25" s="35" t="s">
        <v>55</v>
      </c>
      <c r="B25" s="37">
        <v>199000</v>
      </c>
      <c r="C25" s="37">
        <v>118000</v>
      </c>
      <c r="D25" s="37">
        <v>143000</v>
      </c>
      <c r="E25" s="37">
        <v>46000</v>
      </c>
      <c r="F25" s="37">
        <v>155000</v>
      </c>
      <c r="G25" s="37">
        <v>0</v>
      </c>
      <c r="H25" s="37">
        <v>157000</v>
      </c>
      <c r="I25" s="37">
        <v>71500</v>
      </c>
      <c r="J25" s="37">
        <v>12000</v>
      </c>
      <c r="K25" s="37"/>
      <c r="L25" s="37"/>
      <c r="M25" s="37"/>
      <c r="N25" s="37"/>
      <c r="O25" s="37">
        <v>22000</v>
      </c>
      <c r="P25" s="37"/>
      <c r="Q25" s="37">
        <v>0</v>
      </c>
      <c r="R25" s="37">
        <v>0</v>
      </c>
      <c r="S25" s="37"/>
      <c r="T25" s="37">
        <f t="shared" si="0"/>
        <v>923500</v>
      </c>
    </row>
    <row r="26" spans="1:20">
      <c r="A26" s="35" t="s">
        <v>56</v>
      </c>
      <c r="B26" s="37">
        <v>205000</v>
      </c>
      <c r="C26" s="37">
        <v>102000</v>
      </c>
      <c r="D26" s="37">
        <v>67000</v>
      </c>
      <c r="E26" s="37">
        <v>16000</v>
      </c>
      <c r="F26" s="37">
        <v>74500</v>
      </c>
      <c r="G26" s="37">
        <v>12000</v>
      </c>
      <c r="H26" s="37">
        <v>112000</v>
      </c>
      <c r="I26" s="37">
        <v>109000</v>
      </c>
      <c r="J26" s="37">
        <v>9000</v>
      </c>
      <c r="K26" s="37"/>
      <c r="L26" s="37"/>
      <c r="M26" s="37"/>
      <c r="N26" s="37"/>
      <c r="O26" s="37">
        <v>0</v>
      </c>
      <c r="P26" s="37"/>
      <c r="Q26" s="37">
        <v>0</v>
      </c>
      <c r="R26" s="37">
        <v>0</v>
      </c>
      <c r="S26" s="37"/>
      <c r="T26" s="37">
        <f t="shared" si="0"/>
        <v>706500</v>
      </c>
    </row>
    <row r="27" spans="1:20">
      <c r="A27" s="35" t="s">
        <v>57</v>
      </c>
      <c r="B27" s="37">
        <v>138000</v>
      </c>
      <c r="C27" s="37">
        <v>82000</v>
      </c>
      <c r="D27" s="37">
        <v>56000</v>
      </c>
      <c r="E27" s="37">
        <v>10000</v>
      </c>
      <c r="F27" s="37">
        <v>60000</v>
      </c>
      <c r="G27" s="37">
        <v>12000</v>
      </c>
      <c r="H27" s="37">
        <v>88000</v>
      </c>
      <c r="I27" s="37">
        <v>57000</v>
      </c>
      <c r="J27" s="37">
        <v>0</v>
      </c>
      <c r="K27" s="37"/>
      <c r="L27" s="37"/>
      <c r="M27" s="37"/>
      <c r="N27" s="37"/>
      <c r="O27" s="31">
        <v>0</v>
      </c>
      <c r="P27" s="37"/>
      <c r="Q27" s="37">
        <v>46000</v>
      </c>
      <c r="R27" s="37">
        <v>0</v>
      </c>
      <c r="S27" s="37"/>
      <c r="T27" s="37">
        <f t="shared" si="0"/>
        <v>549000</v>
      </c>
    </row>
    <row r="28" spans="1:20">
      <c r="A28" s="35" t="s">
        <v>58</v>
      </c>
      <c r="B28" s="37">
        <v>182500</v>
      </c>
      <c r="C28" s="37">
        <v>48000</v>
      </c>
      <c r="D28" s="37">
        <v>51000</v>
      </c>
      <c r="E28" s="37">
        <v>2500</v>
      </c>
      <c r="F28" s="37">
        <v>52000</v>
      </c>
      <c r="G28" s="37">
        <v>0</v>
      </c>
      <c r="H28" s="37">
        <v>41000</v>
      </c>
      <c r="I28" s="37">
        <v>30000</v>
      </c>
      <c r="J28" s="37">
        <v>7000</v>
      </c>
      <c r="K28" s="37"/>
      <c r="L28" s="37"/>
      <c r="M28" s="37"/>
      <c r="N28" s="37"/>
      <c r="O28" s="37">
        <v>0</v>
      </c>
      <c r="P28" s="37"/>
      <c r="Q28" s="37">
        <v>0</v>
      </c>
      <c r="R28" s="37">
        <v>62000</v>
      </c>
      <c r="S28" s="37"/>
      <c r="T28" s="37">
        <f t="shared" si="0"/>
        <v>476000</v>
      </c>
    </row>
    <row r="29" spans="1:20">
      <c r="A29" s="35" t="s">
        <v>59</v>
      </c>
      <c r="B29" s="37">
        <v>178000</v>
      </c>
      <c r="C29" s="37">
        <v>81000</v>
      </c>
      <c r="D29" s="37">
        <v>56000</v>
      </c>
      <c r="E29" s="37">
        <v>36000</v>
      </c>
      <c r="F29" s="37">
        <v>72100</v>
      </c>
      <c r="G29" s="37">
        <v>0</v>
      </c>
      <c r="H29" s="37">
        <v>70000</v>
      </c>
      <c r="I29" s="37">
        <v>51000</v>
      </c>
      <c r="J29" s="37">
        <v>5000</v>
      </c>
      <c r="K29" s="37"/>
      <c r="L29" s="37"/>
      <c r="M29" s="37"/>
      <c r="N29" s="37"/>
      <c r="O29" s="37">
        <v>6000</v>
      </c>
      <c r="P29" s="37"/>
      <c r="Q29" s="37">
        <v>0</v>
      </c>
      <c r="R29" s="37">
        <v>42000</v>
      </c>
      <c r="S29" s="37"/>
      <c r="T29" s="37">
        <f t="shared" si="0"/>
        <v>597100</v>
      </c>
    </row>
    <row r="30" spans="1:20">
      <c r="A30" s="35" t="s">
        <v>60</v>
      </c>
      <c r="B30" s="37">
        <v>225000</v>
      </c>
      <c r="C30" s="37">
        <v>92000</v>
      </c>
      <c r="D30" s="37">
        <v>101000</v>
      </c>
      <c r="E30" s="37">
        <v>10000</v>
      </c>
      <c r="F30" s="37">
        <v>86200</v>
      </c>
      <c r="G30" s="37">
        <v>12000</v>
      </c>
      <c r="H30" s="37">
        <v>97000</v>
      </c>
      <c r="I30" s="37">
        <v>56000</v>
      </c>
      <c r="J30" s="37">
        <v>46000</v>
      </c>
      <c r="K30" s="37"/>
      <c r="L30" s="37"/>
      <c r="M30" s="37"/>
      <c r="N30" s="37"/>
      <c r="O30" s="37">
        <v>0</v>
      </c>
      <c r="P30" s="37"/>
      <c r="Q30" s="37">
        <v>73000</v>
      </c>
      <c r="R30" s="37">
        <v>656000</v>
      </c>
      <c r="S30" s="37"/>
      <c r="T30" s="37">
        <f t="shared" si="0"/>
        <v>1454200</v>
      </c>
    </row>
    <row r="31" spans="1:20">
      <c r="A31" s="35" t="s">
        <v>61</v>
      </c>
      <c r="B31" s="31">
        <v>252000</v>
      </c>
      <c r="C31" s="31">
        <v>492000</v>
      </c>
      <c r="D31" s="31">
        <v>131000</v>
      </c>
      <c r="E31" s="31">
        <v>30000</v>
      </c>
      <c r="F31" s="31">
        <v>108000</v>
      </c>
      <c r="G31" s="31">
        <v>24000</v>
      </c>
      <c r="H31" s="31">
        <v>72000</v>
      </c>
      <c r="I31" s="31">
        <v>91000</v>
      </c>
      <c r="J31" s="31">
        <v>10000</v>
      </c>
      <c r="K31" s="31"/>
      <c r="L31" s="31"/>
      <c r="M31" s="31"/>
      <c r="N31" s="31"/>
      <c r="O31" s="31">
        <v>0</v>
      </c>
      <c r="P31" s="31"/>
      <c r="Q31" s="31">
        <v>156000</v>
      </c>
      <c r="R31" s="31">
        <v>50000</v>
      </c>
      <c r="S31" s="31"/>
      <c r="T31" s="37">
        <f t="shared" si="0"/>
        <v>1416000</v>
      </c>
    </row>
    <row r="32" spans="1:20">
      <c r="A32" s="35" t="s">
        <v>62</v>
      </c>
      <c r="B32" s="31">
        <v>195000</v>
      </c>
      <c r="C32" s="31">
        <v>91000</v>
      </c>
      <c r="D32" s="31">
        <v>122000</v>
      </c>
      <c r="E32" s="31">
        <v>14000</v>
      </c>
      <c r="F32" s="31">
        <v>104000</v>
      </c>
      <c r="G32" s="31">
        <v>12000</v>
      </c>
      <c r="H32" s="31">
        <v>97000</v>
      </c>
      <c r="I32" s="31">
        <v>55000</v>
      </c>
      <c r="J32" s="31">
        <v>3000</v>
      </c>
      <c r="K32" s="31"/>
      <c r="L32" s="31"/>
      <c r="M32" s="31"/>
      <c r="N32" s="31"/>
      <c r="O32" s="31">
        <v>0</v>
      </c>
      <c r="P32" s="31"/>
      <c r="Q32" s="31">
        <v>23000</v>
      </c>
      <c r="R32" s="31">
        <v>0</v>
      </c>
      <c r="S32" s="31"/>
      <c r="T32" s="37">
        <f t="shared" si="0"/>
        <v>716000</v>
      </c>
    </row>
    <row r="33" spans="1:20">
      <c r="A33" s="35" t="s">
        <v>63</v>
      </c>
      <c r="B33" s="31">
        <v>162000</v>
      </c>
      <c r="C33" s="31">
        <v>50000</v>
      </c>
      <c r="D33" s="31">
        <v>123000</v>
      </c>
      <c r="E33" s="31">
        <v>18000</v>
      </c>
      <c r="F33" s="31">
        <v>109000</v>
      </c>
      <c r="G33" s="31">
        <v>12000</v>
      </c>
      <c r="H33" s="31">
        <v>86000</v>
      </c>
      <c r="I33" s="31">
        <v>60000</v>
      </c>
      <c r="J33" s="31">
        <v>10000</v>
      </c>
      <c r="K33" s="31"/>
      <c r="L33" s="31"/>
      <c r="M33" s="31"/>
      <c r="N33" s="31"/>
      <c r="O33" s="31">
        <v>0</v>
      </c>
      <c r="P33" s="31"/>
      <c r="Q33" s="31">
        <v>405500</v>
      </c>
      <c r="R33" s="31">
        <v>8000</v>
      </c>
      <c r="S33" s="31"/>
      <c r="T33" s="37">
        <f t="shared" si="0"/>
        <v>1043500</v>
      </c>
    </row>
    <row r="34" spans="1:20">
      <c r="A34" s="35" t="s">
        <v>64</v>
      </c>
      <c r="B34" s="31">
        <v>106000</v>
      </c>
      <c r="C34" s="31">
        <v>17000</v>
      </c>
      <c r="D34" s="31">
        <v>78000</v>
      </c>
      <c r="E34" s="31">
        <v>20000</v>
      </c>
      <c r="F34" s="31">
        <v>74000</v>
      </c>
      <c r="G34" s="31">
        <v>12000</v>
      </c>
      <c r="H34" s="31">
        <v>73000</v>
      </c>
      <c r="I34" s="31">
        <v>38000</v>
      </c>
      <c r="J34" s="31">
        <v>3000</v>
      </c>
      <c r="K34" s="31"/>
      <c r="L34" s="31"/>
      <c r="M34" s="31"/>
      <c r="N34" s="31"/>
      <c r="O34" s="46">
        <v>0</v>
      </c>
      <c r="P34" s="31"/>
      <c r="Q34" s="31"/>
      <c r="R34" s="31">
        <v>0</v>
      </c>
      <c r="S34" s="31"/>
      <c r="T34" s="31">
        <f t="shared" si="0"/>
        <v>421000</v>
      </c>
    </row>
    <row r="35" spans="1:20">
      <c r="A35" s="35" t="s">
        <v>83</v>
      </c>
      <c r="B35" s="31">
        <v>271000</v>
      </c>
      <c r="C35" s="31">
        <v>223000</v>
      </c>
      <c r="D35" s="31">
        <v>166000</v>
      </c>
      <c r="E35" s="31">
        <v>51000</v>
      </c>
      <c r="F35" s="31">
        <v>186000</v>
      </c>
      <c r="G35" s="31">
        <v>24000</v>
      </c>
      <c r="H35" s="31">
        <v>119000</v>
      </c>
      <c r="I35" s="31">
        <v>87000</v>
      </c>
      <c r="J35" s="31">
        <v>34000</v>
      </c>
      <c r="K35" s="31"/>
      <c r="L35" s="31"/>
      <c r="M35" s="31"/>
      <c r="N35" s="31"/>
      <c r="O35" s="31">
        <v>17000</v>
      </c>
      <c r="P35" s="31"/>
      <c r="Q35" s="31"/>
      <c r="R35" s="31">
        <v>0</v>
      </c>
      <c r="S35" s="31"/>
      <c r="T35" s="31">
        <f t="shared" si="0"/>
        <v>1178000</v>
      </c>
    </row>
    <row r="36" spans="1:20">
      <c r="A36" s="35" t="s">
        <v>84</v>
      </c>
      <c r="B36" s="31"/>
      <c r="C36" s="31"/>
      <c r="D36" s="31"/>
      <c r="E36" s="31"/>
      <c r="F36" s="31"/>
      <c r="G36" s="31"/>
      <c r="H36" s="31"/>
      <c r="I36" s="31"/>
      <c r="J36" s="31"/>
      <c r="K36" s="31"/>
      <c r="L36" s="31"/>
      <c r="M36" s="31"/>
      <c r="N36" s="31"/>
      <c r="O36" s="31"/>
      <c r="P36" s="31"/>
      <c r="Q36" s="31"/>
      <c r="R36" s="31"/>
      <c r="S36" s="31"/>
      <c r="T36" s="31">
        <f>SUM(B36:S36)</f>
        <v>0</v>
      </c>
    </row>
    <row r="37" spans="1:20">
      <c r="A37" s="40" t="s">
        <v>23</v>
      </c>
      <c r="B37" s="41">
        <f t="shared" ref="B37:J37" si="1">SUM(B6:B36)</f>
        <v>5287500</v>
      </c>
      <c r="C37" s="41">
        <f t="shared" si="1"/>
        <v>3910000</v>
      </c>
      <c r="D37" s="41">
        <f t="shared" si="1"/>
        <v>2805000</v>
      </c>
      <c r="E37" s="41">
        <f t="shared" si="1"/>
        <v>496500</v>
      </c>
      <c r="F37" s="41">
        <f t="shared" si="1"/>
        <v>2833900</v>
      </c>
      <c r="G37" s="41">
        <f t="shared" si="1"/>
        <v>324000</v>
      </c>
      <c r="H37" s="41">
        <f t="shared" si="1"/>
        <v>2504000</v>
      </c>
      <c r="I37" s="41">
        <f t="shared" si="1"/>
        <v>1700500</v>
      </c>
      <c r="J37" s="41">
        <f t="shared" si="1"/>
        <v>391000</v>
      </c>
      <c r="K37" s="31"/>
      <c r="L37" s="31"/>
      <c r="M37" s="31"/>
      <c r="N37" s="31"/>
      <c r="O37" s="31">
        <f>SUM(O6:O36)</f>
        <v>45000</v>
      </c>
      <c r="P37" s="31"/>
      <c r="Q37" s="31">
        <f>SUM(Q6:Q36)</f>
        <v>1745000</v>
      </c>
      <c r="R37" s="31">
        <f>SUM(R6:R36)</f>
        <v>976000</v>
      </c>
      <c r="S37" s="31"/>
      <c r="T37" s="31">
        <f>SUM(B37:S37)</f>
        <v>23018400</v>
      </c>
    </row>
  </sheetData>
  <mergeCells count="4">
    <mergeCell ref="B1:T1"/>
    <mergeCell ref="B2:T2"/>
    <mergeCell ref="C3:F3"/>
    <mergeCell ref="C4:F4"/>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G28"/>
  <sheetViews>
    <sheetView workbookViewId="0">
      <selection sqref="A1:G31"/>
    </sheetView>
  </sheetViews>
  <sheetFormatPr defaultRowHeight="15"/>
  <cols>
    <col min="1" max="1" width="19.5703125" customWidth="1"/>
    <col min="2" max="5" width="11.5703125" bestFit="1" customWidth="1"/>
    <col min="6" max="6" width="14.28515625" customWidth="1"/>
    <col min="7" max="7" width="13.28515625" customWidth="1"/>
  </cols>
  <sheetData>
    <row r="1" spans="1:7" ht="16.5" thickBot="1">
      <c r="A1" s="6" t="s">
        <v>24</v>
      </c>
      <c r="B1" s="70" t="s">
        <v>113</v>
      </c>
      <c r="C1" s="71"/>
      <c r="D1" s="72"/>
      <c r="E1" s="11"/>
      <c r="F1" s="11"/>
      <c r="G1" s="12"/>
    </row>
    <row r="2" spans="1:7" ht="15.75">
      <c r="A2" s="13" t="s">
        <v>25</v>
      </c>
      <c r="B2" s="14" t="s">
        <v>26</v>
      </c>
      <c r="C2" s="14" t="s">
        <v>27</v>
      </c>
      <c r="D2" s="14" t="s">
        <v>28</v>
      </c>
      <c r="E2" s="14" t="s">
        <v>29</v>
      </c>
      <c r="F2" s="15" t="s">
        <v>30</v>
      </c>
      <c r="G2" s="16" t="s">
        <v>31</v>
      </c>
    </row>
    <row r="3" spans="1:7" ht="15.75">
      <c r="A3" s="17" t="s">
        <v>4</v>
      </c>
      <c r="B3" s="18">
        <v>717000</v>
      </c>
      <c r="C3" s="18">
        <v>1292500</v>
      </c>
      <c r="D3" s="18">
        <v>1164500</v>
      </c>
      <c r="E3" s="18">
        <v>1379500</v>
      </c>
      <c r="F3" s="19">
        <v>734000</v>
      </c>
      <c r="G3" s="20">
        <f t="shared" ref="G3:G11" si="0">SUM(B3:F3)</f>
        <v>5287500</v>
      </c>
    </row>
    <row r="4" spans="1:7" ht="15.75">
      <c r="A4" s="17" t="s">
        <v>5</v>
      </c>
      <c r="B4" s="18">
        <v>376000</v>
      </c>
      <c r="C4" s="18">
        <v>1298000</v>
      </c>
      <c r="D4" s="18">
        <v>840000</v>
      </c>
      <c r="E4" s="18">
        <v>1015000</v>
      </c>
      <c r="F4" s="19">
        <v>381000</v>
      </c>
      <c r="G4" s="20">
        <f>SUM(B4:F4)</f>
        <v>3910000</v>
      </c>
    </row>
    <row r="5" spans="1:7" ht="15.75">
      <c r="A5" s="17" t="s">
        <v>32</v>
      </c>
      <c r="B5" s="18">
        <v>329000</v>
      </c>
      <c r="C5" s="18">
        <v>551000</v>
      </c>
      <c r="D5" s="18">
        <v>831000</v>
      </c>
      <c r="E5" s="18">
        <v>605000</v>
      </c>
      <c r="F5" s="19">
        <v>489000</v>
      </c>
      <c r="G5" s="20">
        <f>SUM(B5:F5)</f>
        <v>2805000</v>
      </c>
    </row>
    <row r="6" spans="1:7" ht="15.75">
      <c r="A6" s="17" t="s">
        <v>33</v>
      </c>
      <c r="B6" s="18">
        <v>62000</v>
      </c>
      <c r="C6" s="18">
        <v>121000</v>
      </c>
      <c r="D6" s="18">
        <v>60000</v>
      </c>
      <c r="E6" s="18">
        <v>150500</v>
      </c>
      <c r="F6" s="19">
        <v>103000</v>
      </c>
      <c r="G6" s="20">
        <f t="shared" si="0"/>
        <v>496500</v>
      </c>
    </row>
    <row r="7" spans="1:7" ht="15.75">
      <c r="A7" s="17" t="s">
        <v>8</v>
      </c>
      <c r="B7" s="18">
        <v>393900</v>
      </c>
      <c r="C7" s="18">
        <v>585500</v>
      </c>
      <c r="D7" s="18">
        <v>773700</v>
      </c>
      <c r="E7" s="18">
        <v>607800</v>
      </c>
      <c r="F7" s="19">
        <v>473000</v>
      </c>
      <c r="G7" s="20">
        <f t="shared" si="0"/>
        <v>2833900</v>
      </c>
    </row>
    <row r="8" spans="1:7" ht="15.75">
      <c r="A8" s="17" t="s">
        <v>9</v>
      </c>
      <c r="B8" s="18">
        <v>36000</v>
      </c>
      <c r="C8" s="18">
        <v>60000</v>
      </c>
      <c r="D8" s="18">
        <v>108000</v>
      </c>
      <c r="E8" s="18">
        <v>60000</v>
      </c>
      <c r="F8" s="19">
        <v>60000</v>
      </c>
      <c r="G8" s="20">
        <f t="shared" si="0"/>
        <v>324000</v>
      </c>
    </row>
    <row r="9" spans="1:7" ht="15.75">
      <c r="A9" s="17" t="s">
        <v>10</v>
      </c>
      <c r="B9" s="18">
        <v>278000</v>
      </c>
      <c r="C9" s="18">
        <v>543000</v>
      </c>
      <c r="D9" s="18">
        <v>671000</v>
      </c>
      <c r="E9" s="18">
        <v>637000</v>
      </c>
      <c r="F9" s="19">
        <v>375000</v>
      </c>
      <c r="G9" s="20">
        <f t="shared" si="0"/>
        <v>2504000</v>
      </c>
    </row>
    <row r="10" spans="1:7" ht="15.75">
      <c r="A10" s="17" t="s">
        <v>11</v>
      </c>
      <c r="B10" s="18">
        <v>188000</v>
      </c>
      <c r="C10" s="18">
        <v>353000</v>
      </c>
      <c r="D10" s="18">
        <v>454000</v>
      </c>
      <c r="E10" s="18">
        <v>465500</v>
      </c>
      <c r="F10" s="19">
        <v>240000</v>
      </c>
      <c r="G10" s="20">
        <f t="shared" si="0"/>
        <v>1700500</v>
      </c>
    </row>
    <row r="11" spans="1:7" ht="15.75">
      <c r="A11" s="17" t="s">
        <v>12</v>
      </c>
      <c r="B11" s="18">
        <v>39000</v>
      </c>
      <c r="C11" s="18">
        <v>105000</v>
      </c>
      <c r="D11" s="18">
        <v>108000</v>
      </c>
      <c r="E11" s="18">
        <v>89000</v>
      </c>
      <c r="F11" s="19">
        <v>50000</v>
      </c>
      <c r="G11" s="20">
        <f t="shared" si="0"/>
        <v>391000</v>
      </c>
    </row>
    <row r="12" spans="1:7" ht="15.75">
      <c r="A12" s="17" t="s">
        <v>13</v>
      </c>
      <c r="B12" s="18"/>
      <c r="C12" s="18"/>
      <c r="D12" s="18"/>
      <c r="E12" s="18"/>
      <c r="F12" s="19"/>
      <c r="G12" s="20">
        <f t="shared" ref="G12:G19" si="1">SUM(B12:E12)</f>
        <v>0</v>
      </c>
    </row>
    <row r="13" spans="1:7" ht="15.75">
      <c r="A13" s="17" t="s">
        <v>14</v>
      </c>
      <c r="B13" s="18"/>
      <c r="C13" s="18"/>
      <c r="D13" s="18"/>
      <c r="E13" s="18"/>
      <c r="F13" s="19"/>
      <c r="G13" s="20">
        <f t="shared" si="1"/>
        <v>0</v>
      </c>
    </row>
    <row r="14" spans="1:7" ht="15.75">
      <c r="A14" s="17" t="s">
        <v>15</v>
      </c>
      <c r="B14" s="18"/>
      <c r="C14" s="18"/>
      <c r="D14" s="18"/>
      <c r="E14" s="18"/>
      <c r="F14" s="19"/>
      <c r="G14" s="20">
        <f t="shared" si="1"/>
        <v>0</v>
      </c>
    </row>
    <row r="15" spans="1:7" ht="15.75">
      <c r="A15" s="17" t="s">
        <v>16</v>
      </c>
      <c r="B15" s="18"/>
      <c r="C15" s="18"/>
      <c r="D15" s="18"/>
      <c r="E15" s="18"/>
      <c r="F15" s="19"/>
      <c r="G15" s="20">
        <f t="shared" si="1"/>
        <v>0</v>
      </c>
    </row>
    <row r="16" spans="1:7" ht="15.75">
      <c r="A16" s="17" t="s">
        <v>17</v>
      </c>
      <c r="B16" s="18"/>
      <c r="C16" s="18"/>
      <c r="D16" s="18">
        <v>25000</v>
      </c>
      <c r="E16" s="18">
        <v>3000</v>
      </c>
      <c r="F16" s="19">
        <v>17000</v>
      </c>
      <c r="G16" s="20">
        <f>SUM(B16:F16)</f>
        <v>45000</v>
      </c>
    </row>
    <row r="17" spans="1:7" ht="15.75">
      <c r="A17" s="17" t="s">
        <v>18</v>
      </c>
      <c r="B17" s="18"/>
      <c r="C17" s="18"/>
      <c r="D17" s="18"/>
      <c r="E17" s="18"/>
      <c r="F17" s="19"/>
      <c r="G17" s="20">
        <f t="shared" si="1"/>
        <v>0</v>
      </c>
    </row>
    <row r="18" spans="1:7" ht="15.75">
      <c r="A18" s="17" t="s">
        <v>19</v>
      </c>
      <c r="B18" s="18"/>
      <c r="C18" s="18"/>
      <c r="D18" s="18"/>
      <c r="E18" s="18"/>
      <c r="F18" s="19"/>
      <c r="G18" s="20">
        <f t="shared" si="1"/>
        <v>0</v>
      </c>
    </row>
    <row r="19" spans="1:7" ht="15.75">
      <c r="A19" s="17" t="s">
        <v>34</v>
      </c>
      <c r="B19" s="18"/>
      <c r="C19" s="18"/>
      <c r="D19" s="18"/>
      <c r="E19" s="18"/>
      <c r="F19" s="19"/>
      <c r="G19" s="20">
        <f t="shared" si="1"/>
        <v>0</v>
      </c>
    </row>
    <row r="20" spans="1:7" ht="16.5" thickBot="1">
      <c r="A20" s="21" t="s">
        <v>35</v>
      </c>
      <c r="B20" s="22">
        <f t="shared" ref="B20:G20" si="2">SUM(B3:B19)</f>
        <v>2418900</v>
      </c>
      <c r="C20" s="22">
        <f t="shared" si="2"/>
        <v>4909000</v>
      </c>
      <c r="D20" s="22">
        <f t="shared" si="2"/>
        <v>5035200</v>
      </c>
      <c r="E20" s="22">
        <f t="shared" si="2"/>
        <v>5012300</v>
      </c>
      <c r="F20" s="22">
        <f t="shared" si="2"/>
        <v>2922000</v>
      </c>
      <c r="G20" s="23">
        <f t="shared" si="2"/>
        <v>20297400</v>
      </c>
    </row>
    <row r="22" spans="1:7" ht="15.75" thickBot="1"/>
    <row r="23" spans="1:7" ht="21.75" thickBot="1">
      <c r="A23" s="73" t="s">
        <v>36</v>
      </c>
      <c r="B23" s="74"/>
      <c r="C23" s="74"/>
      <c r="D23" s="74"/>
      <c r="E23" s="74"/>
      <c r="F23" s="74"/>
      <c r="G23" s="75"/>
    </row>
    <row r="24" spans="1:7" ht="15.75" thickBot="1">
      <c r="A24" s="76"/>
      <c r="B24" s="68"/>
      <c r="C24" s="68"/>
      <c r="D24" s="68"/>
      <c r="E24" s="68"/>
      <c r="F24" s="68"/>
      <c r="G24" s="69"/>
    </row>
    <row r="25" spans="1:7" ht="15.75" thickBot="1">
      <c r="A25" s="24"/>
      <c r="B25" s="25"/>
      <c r="C25" s="25"/>
      <c r="D25" s="25"/>
      <c r="E25" s="25"/>
      <c r="F25" s="25"/>
      <c r="G25" s="26"/>
    </row>
    <row r="26" spans="1:7" ht="15.75" thickBot="1">
      <c r="A26" s="67"/>
      <c r="B26" s="68"/>
      <c r="C26" s="68"/>
      <c r="D26" s="68"/>
      <c r="E26" s="68"/>
      <c r="F26" s="68"/>
      <c r="G26" s="69"/>
    </row>
    <row r="27" spans="1:7" ht="15.75" thickBot="1">
      <c r="A27" s="77"/>
      <c r="B27" s="68"/>
      <c r="C27" s="68"/>
      <c r="D27" s="68"/>
      <c r="E27" s="68"/>
      <c r="F27" s="68"/>
      <c r="G27" s="69"/>
    </row>
    <row r="28" spans="1:7" ht="15.75" thickBot="1">
      <c r="A28" s="67"/>
      <c r="B28" s="68"/>
      <c r="C28" s="68"/>
      <c r="D28" s="68"/>
      <c r="E28" s="68"/>
      <c r="F28" s="68"/>
      <c r="G28" s="69"/>
    </row>
  </sheetData>
  <mergeCells count="6">
    <mergeCell ref="A28:G28"/>
    <mergeCell ref="B1:D1"/>
    <mergeCell ref="A23:G23"/>
    <mergeCell ref="A24:G24"/>
    <mergeCell ref="A26:G26"/>
    <mergeCell ref="A27:G27"/>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T37"/>
  <sheetViews>
    <sheetView topLeftCell="H19" workbookViewId="0">
      <selection sqref="A1:T37"/>
    </sheetView>
  </sheetViews>
  <sheetFormatPr defaultRowHeight="15"/>
  <cols>
    <col min="1" max="1" width="13.28515625" customWidth="1"/>
    <col min="2" max="2" width="10.7109375" customWidth="1"/>
    <col min="3" max="4" width="10.140625" customWidth="1"/>
    <col min="5" max="5" width="10.85546875" customWidth="1"/>
    <col min="6" max="6" width="10.28515625" customWidth="1"/>
    <col min="7" max="7" width="10.85546875" customWidth="1"/>
    <col min="8" max="8" width="11" customWidth="1"/>
    <col min="9" max="9" width="10.7109375" customWidth="1"/>
    <col min="10" max="10" width="11" customWidth="1"/>
    <col min="20" max="20" width="12.28515625" customWidth="1"/>
  </cols>
  <sheetData>
    <row r="1" spans="1:20" ht="26.25">
      <c r="A1" s="28"/>
      <c r="B1" s="55" t="s">
        <v>68</v>
      </c>
      <c r="C1" s="56"/>
      <c r="D1" s="56"/>
      <c r="E1" s="56"/>
      <c r="F1" s="56"/>
      <c r="G1" s="56"/>
      <c r="H1" s="56"/>
      <c r="I1" s="56"/>
      <c r="J1" s="56"/>
      <c r="K1" s="56"/>
      <c r="L1" s="56"/>
      <c r="M1" s="56"/>
      <c r="N1" s="56"/>
      <c r="O1" s="56"/>
      <c r="P1" s="56"/>
      <c r="Q1" s="56"/>
      <c r="R1" s="56"/>
      <c r="S1" s="56"/>
      <c r="T1" s="57"/>
    </row>
    <row r="2" spans="1:20" ht="27" thickBot="1">
      <c r="A2" s="4"/>
      <c r="B2" s="58" t="s">
        <v>0</v>
      </c>
      <c r="C2" s="59"/>
      <c r="D2" s="59"/>
      <c r="E2" s="59"/>
      <c r="F2" s="59"/>
      <c r="G2" s="59"/>
      <c r="H2" s="59"/>
      <c r="I2" s="59"/>
      <c r="J2" s="59"/>
      <c r="K2" s="59"/>
      <c r="L2" s="59"/>
      <c r="M2" s="59"/>
      <c r="N2" s="59"/>
      <c r="O2" s="59"/>
      <c r="P2" s="59"/>
      <c r="Q2" s="59"/>
      <c r="R2" s="59"/>
      <c r="S2" s="59"/>
      <c r="T2" s="60"/>
    </row>
    <row r="3" spans="1:20" ht="27" thickBot="1">
      <c r="A3" s="4"/>
      <c r="B3" s="29" t="s">
        <v>1</v>
      </c>
      <c r="C3" s="61" t="s">
        <v>69</v>
      </c>
      <c r="D3" s="62"/>
      <c r="E3" s="62"/>
      <c r="F3" s="63"/>
      <c r="G3" s="50" t="s">
        <v>115</v>
      </c>
    </row>
    <row r="4" spans="1:20" ht="21">
      <c r="A4" s="4"/>
      <c r="B4" s="30" t="s">
        <v>2</v>
      </c>
      <c r="C4" s="78"/>
      <c r="D4" s="79"/>
      <c r="E4" s="79"/>
      <c r="F4" s="80"/>
    </row>
    <row r="5" spans="1:20" ht="67.5">
      <c r="A5" s="32" t="s">
        <v>3</v>
      </c>
      <c r="B5" s="33" t="s">
        <v>4</v>
      </c>
      <c r="C5" s="33" t="s">
        <v>5</v>
      </c>
      <c r="D5" s="33" t="s">
        <v>6</v>
      </c>
      <c r="E5" s="33" t="s">
        <v>7</v>
      </c>
      <c r="F5" s="33" t="s">
        <v>8</v>
      </c>
      <c r="G5" s="33" t="s">
        <v>9</v>
      </c>
      <c r="H5" s="33" t="s">
        <v>10</v>
      </c>
      <c r="I5" s="33" t="s">
        <v>11</v>
      </c>
      <c r="J5" s="33" t="s">
        <v>12</v>
      </c>
      <c r="K5" s="33" t="s">
        <v>13</v>
      </c>
      <c r="L5" s="33" t="s">
        <v>14</v>
      </c>
      <c r="M5" s="33" t="s">
        <v>15</v>
      </c>
      <c r="N5" s="33" t="s">
        <v>16</v>
      </c>
      <c r="O5" s="33" t="s">
        <v>17</v>
      </c>
      <c r="P5" s="33" t="s">
        <v>18</v>
      </c>
      <c r="Q5" s="33" t="s">
        <v>19</v>
      </c>
      <c r="R5" s="33" t="s">
        <v>20</v>
      </c>
      <c r="S5" s="33" t="s">
        <v>21</v>
      </c>
      <c r="T5" s="33" t="s">
        <v>22</v>
      </c>
    </row>
    <row r="6" spans="1:20">
      <c r="A6" s="35" t="s">
        <v>67</v>
      </c>
      <c r="B6" s="36">
        <v>144000</v>
      </c>
      <c r="C6" s="36">
        <v>43000</v>
      </c>
      <c r="D6" s="36">
        <v>116000</v>
      </c>
      <c r="E6" s="36">
        <v>31500</v>
      </c>
      <c r="F6" s="36">
        <v>95000</v>
      </c>
      <c r="G6" s="36">
        <v>12000</v>
      </c>
      <c r="H6" s="36">
        <v>124000</v>
      </c>
      <c r="I6" s="36">
        <v>103000</v>
      </c>
      <c r="J6" s="36">
        <v>6000</v>
      </c>
      <c r="K6" s="36"/>
      <c r="L6" s="36"/>
      <c r="M6" s="36"/>
      <c r="N6" s="36"/>
      <c r="O6" s="36">
        <v>0</v>
      </c>
      <c r="P6" s="36"/>
      <c r="Q6" s="36">
        <v>0</v>
      </c>
      <c r="R6" s="36">
        <v>0</v>
      </c>
      <c r="S6" s="37"/>
      <c r="T6" s="37">
        <f t="shared" ref="T6:T35" si="0">SUM(B6:S6)</f>
        <v>674500</v>
      </c>
    </row>
    <row r="7" spans="1:20">
      <c r="A7" s="35" t="s">
        <v>37</v>
      </c>
      <c r="B7" s="36">
        <v>141000</v>
      </c>
      <c r="C7" s="36">
        <v>48000</v>
      </c>
      <c r="D7" s="36">
        <v>89000</v>
      </c>
      <c r="E7" s="36">
        <v>34000</v>
      </c>
      <c r="F7" s="36">
        <v>103300</v>
      </c>
      <c r="G7" s="36">
        <v>0</v>
      </c>
      <c r="H7" s="36">
        <v>94000</v>
      </c>
      <c r="I7" s="36">
        <v>44000</v>
      </c>
      <c r="J7" s="36">
        <v>3000</v>
      </c>
      <c r="K7" s="36"/>
      <c r="L7" s="36"/>
      <c r="M7" s="36"/>
      <c r="N7" s="36"/>
      <c r="O7" s="36">
        <v>5000</v>
      </c>
      <c r="P7" s="36"/>
      <c r="Q7" s="36">
        <v>23000</v>
      </c>
      <c r="R7" s="36">
        <v>0</v>
      </c>
      <c r="S7" s="37"/>
      <c r="T7" s="37">
        <f t="shared" si="0"/>
        <v>584300</v>
      </c>
    </row>
    <row r="8" spans="1:20">
      <c r="A8" s="35" t="s">
        <v>38</v>
      </c>
      <c r="B8" s="36">
        <v>163000</v>
      </c>
      <c r="C8" s="36">
        <v>50000</v>
      </c>
      <c r="D8" s="36">
        <v>128000</v>
      </c>
      <c r="E8" s="36">
        <v>71000</v>
      </c>
      <c r="F8" s="36">
        <v>110000</v>
      </c>
      <c r="G8" s="36">
        <v>0</v>
      </c>
      <c r="H8" s="36">
        <v>161000</v>
      </c>
      <c r="I8" s="36">
        <v>73000</v>
      </c>
      <c r="J8" s="36">
        <v>4000</v>
      </c>
      <c r="K8" s="36"/>
      <c r="L8" s="36"/>
      <c r="M8" s="36"/>
      <c r="N8" s="36"/>
      <c r="O8" s="36">
        <v>0</v>
      </c>
      <c r="P8" s="36"/>
      <c r="Q8" s="36">
        <v>0</v>
      </c>
      <c r="R8" s="36">
        <v>0</v>
      </c>
      <c r="S8" s="37"/>
      <c r="T8" s="37">
        <f t="shared" si="0"/>
        <v>760000</v>
      </c>
    </row>
    <row r="9" spans="1:20">
      <c r="A9" s="35" t="s">
        <v>39</v>
      </c>
      <c r="B9" s="36">
        <v>96000</v>
      </c>
      <c r="C9" s="36">
        <v>34000</v>
      </c>
      <c r="D9" s="36">
        <v>31000</v>
      </c>
      <c r="E9" s="36">
        <v>6000</v>
      </c>
      <c r="F9" s="36">
        <v>41000</v>
      </c>
      <c r="G9" s="36">
        <v>6000</v>
      </c>
      <c r="H9" s="36">
        <v>12000</v>
      </c>
      <c r="I9" s="36">
        <v>18000</v>
      </c>
      <c r="J9" s="36">
        <v>12000</v>
      </c>
      <c r="K9" s="36"/>
      <c r="L9" s="36"/>
      <c r="M9" s="36"/>
      <c r="N9" s="36"/>
      <c r="O9" s="36">
        <v>5000</v>
      </c>
      <c r="Q9" s="36">
        <v>239000</v>
      </c>
      <c r="R9" s="36">
        <v>0</v>
      </c>
      <c r="S9" s="37"/>
      <c r="T9" s="37">
        <f t="shared" si="0"/>
        <v>500000</v>
      </c>
    </row>
    <row r="10" spans="1:20">
      <c r="A10" s="35" t="s">
        <v>40</v>
      </c>
      <c r="B10" s="37">
        <v>165000</v>
      </c>
      <c r="C10" s="37">
        <v>184000</v>
      </c>
      <c r="D10" s="37">
        <v>58000</v>
      </c>
      <c r="E10" s="37">
        <v>19000</v>
      </c>
      <c r="F10" s="37">
        <v>73000</v>
      </c>
      <c r="G10" s="37">
        <v>0</v>
      </c>
      <c r="H10" s="37">
        <v>67000</v>
      </c>
      <c r="I10" s="37">
        <v>72000</v>
      </c>
      <c r="J10" s="37">
        <v>9000</v>
      </c>
      <c r="K10" s="37"/>
      <c r="L10" s="37"/>
      <c r="M10" s="37"/>
      <c r="N10" s="37"/>
      <c r="O10" s="37">
        <v>6000</v>
      </c>
      <c r="P10" s="37"/>
      <c r="Q10" s="37">
        <v>135500</v>
      </c>
      <c r="R10" s="37">
        <v>0</v>
      </c>
      <c r="S10" s="37"/>
      <c r="T10" s="37">
        <f t="shared" si="0"/>
        <v>788500</v>
      </c>
    </row>
    <row r="11" spans="1:20">
      <c r="A11" s="35" t="s">
        <v>41</v>
      </c>
      <c r="B11" s="37">
        <v>161000</v>
      </c>
      <c r="C11" s="37">
        <v>53000</v>
      </c>
      <c r="D11" s="37">
        <v>55000</v>
      </c>
      <c r="E11" s="37">
        <v>5000</v>
      </c>
      <c r="F11" s="37">
        <v>64000</v>
      </c>
      <c r="G11" s="37">
        <v>0</v>
      </c>
      <c r="H11" s="37">
        <v>37000</v>
      </c>
      <c r="I11" s="37">
        <v>40000</v>
      </c>
      <c r="J11" s="37">
        <v>5000</v>
      </c>
      <c r="K11" s="37"/>
      <c r="L11" s="37"/>
      <c r="M11" s="37"/>
      <c r="N11" s="37"/>
      <c r="O11" s="37">
        <v>6000</v>
      </c>
      <c r="P11" s="37"/>
      <c r="Q11" s="37">
        <v>0</v>
      </c>
      <c r="R11" s="37">
        <v>0</v>
      </c>
      <c r="S11" s="37"/>
      <c r="T11" s="37">
        <f t="shared" si="0"/>
        <v>426000</v>
      </c>
    </row>
    <row r="12" spans="1:20">
      <c r="A12" s="35" t="s">
        <v>42</v>
      </c>
      <c r="B12" s="37">
        <v>90000</v>
      </c>
      <c r="C12" s="37">
        <v>46000</v>
      </c>
      <c r="D12" s="37">
        <v>72000</v>
      </c>
      <c r="E12" s="37">
        <v>4000</v>
      </c>
      <c r="F12" s="37">
        <v>101500</v>
      </c>
      <c r="G12" s="37">
        <v>0</v>
      </c>
      <c r="H12" s="37">
        <v>70000</v>
      </c>
      <c r="I12" s="37">
        <v>61000</v>
      </c>
      <c r="J12" s="37">
        <v>0</v>
      </c>
      <c r="K12" s="37"/>
      <c r="L12" s="37"/>
      <c r="M12" s="37"/>
      <c r="N12" s="37"/>
      <c r="O12" s="37">
        <v>12000</v>
      </c>
      <c r="P12" s="37"/>
      <c r="Q12" s="37">
        <v>23000</v>
      </c>
      <c r="R12" s="37">
        <v>0</v>
      </c>
      <c r="S12" s="37"/>
      <c r="T12" s="37">
        <f t="shared" si="0"/>
        <v>479500</v>
      </c>
    </row>
    <row r="13" spans="1:20">
      <c r="A13" s="35" t="s">
        <v>43</v>
      </c>
      <c r="B13" s="37">
        <v>149000</v>
      </c>
      <c r="C13" s="37">
        <v>76000</v>
      </c>
      <c r="D13" s="37">
        <v>59000</v>
      </c>
      <c r="E13" s="37">
        <v>12000</v>
      </c>
      <c r="F13" s="37">
        <v>54000</v>
      </c>
      <c r="G13" s="37">
        <v>0</v>
      </c>
      <c r="H13" s="37">
        <v>19000</v>
      </c>
      <c r="I13" s="37">
        <v>57000</v>
      </c>
      <c r="J13" s="37">
        <v>6000</v>
      </c>
      <c r="K13" s="37"/>
      <c r="L13" s="37"/>
      <c r="M13" s="37"/>
      <c r="N13" s="37"/>
      <c r="O13" s="37">
        <v>0</v>
      </c>
      <c r="P13" s="37"/>
      <c r="Q13" s="37">
        <v>23000</v>
      </c>
      <c r="R13" s="37">
        <v>0</v>
      </c>
      <c r="S13" s="37"/>
      <c r="T13" s="37">
        <f t="shared" si="0"/>
        <v>455000</v>
      </c>
    </row>
    <row r="14" spans="1:20">
      <c r="A14" s="35" t="s">
        <v>44</v>
      </c>
      <c r="B14" s="37">
        <v>243000</v>
      </c>
      <c r="C14" s="37">
        <v>62000</v>
      </c>
      <c r="D14" s="37">
        <v>166000</v>
      </c>
      <c r="E14" s="37">
        <v>25000</v>
      </c>
      <c r="F14" s="37">
        <v>146500</v>
      </c>
      <c r="G14" s="37">
        <v>6000</v>
      </c>
      <c r="H14" s="37">
        <v>102000</v>
      </c>
      <c r="I14" s="37">
        <v>66000</v>
      </c>
      <c r="J14" s="37">
        <v>19000</v>
      </c>
      <c r="K14" s="37"/>
      <c r="L14" s="37"/>
      <c r="M14" s="37"/>
      <c r="N14" s="37"/>
      <c r="O14" s="37">
        <v>18000</v>
      </c>
      <c r="P14" s="37"/>
      <c r="Q14" s="37">
        <v>69000</v>
      </c>
      <c r="R14" s="37">
        <v>0</v>
      </c>
      <c r="S14" s="37"/>
      <c r="T14" s="37">
        <f t="shared" si="0"/>
        <v>922500</v>
      </c>
    </row>
    <row r="15" spans="1:20">
      <c r="A15" s="35" t="s">
        <v>45</v>
      </c>
      <c r="B15" s="37">
        <v>141000</v>
      </c>
      <c r="C15" s="37">
        <v>154000</v>
      </c>
      <c r="D15" s="37">
        <v>66000</v>
      </c>
      <c r="E15" s="37">
        <v>28000</v>
      </c>
      <c r="F15" s="37">
        <v>52600</v>
      </c>
      <c r="G15" s="37">
        <v>67000</v>
      </c>
      <c r="H15" s="37">
        <v>56000</v>
      </c>
      <c r="I15" s="37">
        <v>56000</v>
      </c>
      <c r="J15" s="37">
        <v>13000</v>
      </c>
      <c r="K15" s="37"/>
      <c r="L15" s="37"/>
      <c r="M15" s="37"/>
      <c r="N15" s="37"/>
      <c r="O15" s="37">
        <v>0</v>
      </c>
      <c r="P15" s="37"/>
      <c r="Q15" s="37">
        <v>23000</v>
      </c>
      <c r="R15" s="37">
        <v>0</v>
      </c>
      <c r="S15" s="37"/>
      <c r="T15" s="37">
        <f t="shared" si="0"/>
        <v>656600</v>
      </c>
    </row>
    <row r="16" spans="1:20">
      <c r="A16" s="35" t="s">
        <v>46</v>
      </c>
      <c r="B16" s="37">
        <v>156000</v>
      </c>
      <c r="C16" s="37">
        <v>113000</v>
      </c>
      <c r="D16" s="37">
        <v>117000</v>
      </c>
      <c r="E16" s="37">
        <v>13000</v>
      </c>
      <c r="F16" s="37">
        <v>109000</v>
      </c>
      <c r="G16" s="37">
        <v>0</v>
      </c>
      <c r="H16" s="37">
        <v>102000</v>
      </c>
      <c r="I16" s="37">
        <v>72000</v>
      </c>
      <c r="J16" s="37">
        <v>12500</v>
      </c>
      <c r="K16" s="37"/>
      <c r="L16" s="37"/>
      <c r="M16" s="37"/>
      <c r="N16" s="37"/>
      <c r="O16" s="37">
        <v>0</v>
      </c>
      <c r="P16" s="37"/>
      <c r="Q16" s="37">
        <v>0</v>
      </c>
      <c r="R16" s="37">
        <v>0</v>
      </c>
      <c r="S16" s="37"/>
      <c r="T16" s="37">
        <f t="shared" si="0"/>
        <v>694500</v>
      </c>
    </row>
    <row r="17" spans="1:20">
      <c r="A17" s="35" t="s">
        <v>47</v>
      </c>
      <c r="B17" s="37">
        <v>121000</v>
      </c>
      <c r="C17" s="37">
        <v>46000</v>
      </c>
      <c r="D17" s="37">
        <v>119000</v>
      </c>
      <c r="E17" s="37">
        <v>3000</v>
      </c>
      <c r="F17" s="37">
        <v>122000</v>
      </c>
      <c r="G17" s="37">
        <v>0</v>
      </c>
      <c r="H17" s="37">
        <v>88000</v>
      </c>
      <c r="I17" s="37">
        <v>35000</v>
      </c>
      <c r="J17" s="37">
        <v>0</v>
      </c>
      <c r="K17" s="37"/>
      <c r="L17" s="37"/>
      <c r="M17" s="37"/>
      <c r="N17" s="37"/>
      <c r="O17" s="37">
        <v>0</v>
      </c>
      <c r="P17" s="37"/>
      <c r="Q17" s="37">
        <v>222000</v>
      </c>
      <c r="R17" s="37">
        <v>0</v>
      </c>
      <c r="S17" s="37"/>
      <c r="T17" s="37">
        <f t="shared" si="0"/>
        <v>756000</v>
      </c>
    </row>
    <row r="18" spans="1:20">
      <c r="A18" s="35" t="s">
        <v>48</v>
      </c>
      <c r="B18" s="37">
        <v>151000</v>
      </c>
      <c r="C18" s="37">
        <v>24000</v>
      </c>
      <c r="D18" s="37">
        <v>80000</v>
      </c>
      <c r="E18" s="37">
        <v>28000</v>
      </c>
      <c r="F18" s="37">
        <v>43100</v>
      </c>
      <c r="G18" s="37">
        <v>0</v>
      </c>
      <c r="H18" s="37">
        <v>66000</v>
      </c>
      <c r="I18" s="37">
        <v>69000</v>
      </c>
      <c r="J18" s="37">
        <v>3000</v>
      </c>
      <c r="K18" s="37"/>
      <c r="L18" s="37"/>
      <c r="M18" s="37"/>
      <c r="N18" s="37"/>
      <c r="O18" s="37">
        <v>0</v>
      </c>
      <c r="P18" s="37"/>
      <c r="Q18" s="37">
        <v>46000</v>
      </c>
      <c r="R18" s="37">
        <v>0</v>
      </c>
      <c r="S18" s="37"/>
      <c r="T18" s="37">
        <f t="shared" si="0"/>
        <v>510100</v>
      </c>
    </row>
    <row r="19" spans="1:20">
      <c r="A19" s="35" t="s">
        <v>49</v>
      </c>
      <c r="B19" s="37">
        <v>161000</v>
      </c>
      <c r="C19" s="37">
        <v>22000</v>
      </c>
      <c r="D19" s="37">
        <v>104000</v>
      </c>
      <c r="E19" s="37">
        <v>13000</v>
      </c>
      <c r="F19" s="37">
        <v>105000</v>
      </c>
      <c r="G19" s="37">
        <v>0</v>
      </c>
      <c r="H19" s="37">
        <v>39000</v>
      </c>
      <c r="I19" s="37">
        <v>33000</v>
      </c>
      <c r="J19" s="37">
        <v>7000</v>
      </c>
      <c r="K19" s="37"/>
      <c r="L19" s="37"/>
      <c r="M19" s="37"/>
      <c r="N19" s="37"/>
      <c r="O19" s="37">
        <v>0</v>
      </c>
      <c r="P19" s="37"/>
      <c r="Q19" s="37">
        <v>0</v>
      </c>
      <c r="R19" s="37">
        <v>0</v>
      </c>
      <c r="S19" s="37"/>
      <c r="T19" s="37">
        <f t="shared" si="0"/>
        <v>484000</v>
      </c>
    </row>
    <row r="20" spans="1:20">
      <c r="A20" s="35" t="s">
        <v>50</v>
      </c>
      <c r="B20" s="37">
        <v>143000</v>
      </c>
      <c r="C20" s="37">
        <v>113000</v>
      </c>
      <c r="D20" s="37">
        <v>109000</v>
      </c>
      <c r="E20" s="37">
        <v>6500</v>
      </c>
      <c r="F20" s="37">
        <v>119000</v>
      </c>
      <c r="G20" s="37">
        <v>6000</v>
      </c>
      <c r="H20" s="37">
        <v>66000</v>
      </c>
      <c r="I20" s="37">
        <v>25000</v>
      </c>
      <c r="J20" s="37">
        <v>3000</v>
      </c>
      <c r="K20" s="37"/>
      <c r="L20" s="37"/>
      <c r="M20" s="37"/>
      <c r="N20" s="37"/>
      <c r="O20" s="37">
        <v>0</v>
      </c>
      <c r="P20" s="37"/>
      <c r="Q20" s="37">
        <v>234000</v>
      </c>
      <c r="R20" s="37">
        <v>0</v>
      </c>
      <c r="S20" s="37"/>
      <c r="T20" s="37">
        <f t="shared" si="0"/>
        <v>824500</v>
      </c>
    </row>
    <row r="21" spans="1:20">
      <c r="A21" s="35" t="s">
        <v>73</v>
      </c>
      <c r="B21" s="37">
        <v>146000</v>
      </c>
      <c r="C21" s="37">
        <v>253000</v>
      </c>
      <c r="D21" s="37">
        <v>143000</v>
      </c>
      <c r="E21" s="37">
        <v>27000</v>
      </c>
      <c r="F21" s="37">
        <v>134000</v>
      </c>
      <c r="G21" s="37">
        <v>0</v>
      </c>
      <c r="H21" s="37">
        <v>113000</v>
      </c>
      <c r="I21" s="37">
        <v>57000</v>
      </c>
      <c r="J21" s="37">
        <v>39000</v>
      </c>
      <c r="K21" s="37"/>
      <c r="L21" s="37"/>
      <c r="M21" s="37"/>
      <c r="N21" s="37"/>
      <c r="O21" s="37">
        <v>0</v>
      </c>
      <c r="P21" s="37"/>
      <c r="Q21" s="37">
        <v>0</v>
      </c>
      <c r="R21" s="37">
        <v>0</v>
      </c>
      <c r="S21" s="37"/>
      <c r="T21" s="37">
        <f t="shared" si="0"/>
        <v>912000</v>
      </c>
    </row>
    <row r="22" spans="1:20">
      <c r="A22" s="35" t="s">
        <v>52</v>
      </c>
      <c r="B22" s="37">
        <v>179000</v>
      </c>
      <c r="C22" s="37">
        <v>197000</v>
      </c>
      <c r="D22" s="37">
        <v>119000</v>
      </c>
      <c r="E22" s="37">
        <v>14000</v>
      </c>
      <c r="F22" s="37">
        <v>73000</v>
      </c>
      <c r="G22" s="37">
        <v>42000</v>
      </c>
      <c r="H22" s="37">
        <v>74000</v>
      </c>
      <c r="I22" s="37">
        <v>41000</v>
      </c>
      <c r="J22" s="37">
        <v>10000</v>
      </c>
      <c r="K22" s="37"/>
      <c r="L22" s="37"/>
      <c r="M22" s="37"/>
      <c r="N22" s="37"/>
      <c r="O22" s="37">
        <v>0</v>
      </c>
      <c r="P22" s="37"/>
      <c r="Q22" s="37">
        <v>239000</v>
      </c>
      <c r="R22" s="37">
        <v>4000</v>
      </c>
      <c r="S22" s="37"/>
      <c r="T22" s="37">
        <f t="shared" si="0"/>
        <v>992000</v>
      </c>
    </row>
    <row r="23" spans="1:20">
      <c r="A23" s="35" t="s">
        <v>53</v>
      </c>
      <c r="B23" s="37">
        <v>151000</v>
      </c>
      <c r="C23" s="37">
        <v>130000</v>
      </c>
      <c r="D23" s="37">
        <v>62000</v>
      </c>
      <c r="E23" s="37">
        <v>27000</v>
      </c>
      <c r="F23" s="37">
        <v>71900</v>
      </c>
      <c r="G23" s="37">
        <v>0</v>
      </c>
      <c r="H23" s="37">
        <v>39000</v>
      </c>
      <c r="I23" s="37">
        <v>57000</v>
      </c>
      <c r="J23" s="37">
        <v>6000</v>
      </c>
      <c r="K23" s="37"/>
      <c r="L23" s="37"/>
      <c r="M23" s="37"/>
      <c r="N23" s="37"/>
      <c r="O23" s="37">
        <v>6000</v>
      </c>
      <c r="P23" s="37"/>
      <c r="Q23" s="37">
        <v>0</v>
      </c>
      <c r="R23" s="37">
        <v>0</v>
      </c>
      <c r="S23" s="37"/>
      <c r="T23" s="37">
        <f t="shared" si="0"/>
        <v>549900</v>
      </c>
    </row>
    <row r="24" spans="1:20">
      <c r="A24" s="35" t="s">
        <v>54</v>
      </c>
      <c r="B24" s="37">
        <v>184000</v>
      </c>
      <c r="C24" s="37">
        <v>57000</v>
      </c>
      <c r="D24" s="37">
        <v>76000</v>
      </c>
      <c r="E24" s="37">
        <v>7500</v>
      </c>
      <c r="F24" s="37">
        <v>61000</v>
      </c>
      <c r="G24" s="37">
        <v>24000</v>
      </c>
      <c r="H24" s="37">
        <v>76000</v>
      </c>
      <c r="I24" s="37">
        <v>68000</v>
      </c>
      <c r="J24" s="37">
        <v>6000</v>
      </c>
      <c r="K24" s="37"/>
      <c r="L24" s="37"/>
      <c r="M24" s="37"/>
      <c r="N24" s="37"/>
      <c r="O24" s="37">
        <v>0</v>
      </c>
      <c r="P24" s="37"/>
      <c r="Q24" s="37">
        <v>0</v>
      </c>
      <c r="R24" s="37">
        <v>0</v>
      </c>
      <c r="S24" s="37"/>
      <c r="T24" s="37">
        <f t="shared" si="0"/>
        <v>559500</v>
      </c>
    </row>
    <row r="25" spans="1:20">
      <c r="A25" s="35" t="s">
        <v>55</v>
      </c>
      <c r="B25" s="37">
        <v>201000</v>
      </c>
      <c r="C25" s="37">
        <v>128000</v>
      </c>
      <c r="D25" s="37">
        <v>109000</v>
      </c>
      <c r="E25" s="37">
        <v>12000</v>
      </c>
      <c r="F25" s="37">
        <v>107000</v>
      </c>
      <c r="G25" s="37">
        <v>0</v>
      </c>
      <c r="H25" s="37">
        <v>102000</v>
      </c>
      <c r="I25" s="37">
        <v>63000</v>
      </c>
      <c r="J25" s="37">
        <v>3000</v>
      </c>
      <c r="K25" s="37"/>
      <c r="L25" s="37"/>
      <c r="M25" s="37"/>
      <c r="N25" s="37"/>
      <c r="O25" s="37"/>
      <c r="P25" s="37"/>
      <c r="Q25" s="37">
        <v>26000</v>
      </c>
      <c r="R25" s="37">
        <v>0</v>
      </c>
      <c r="S25" s="37"/>
      <c r="T25" s="37">
        <f t="shared" si="0"/>
        <v>751000</v>
      </c>
    </row>
    <row r="26" spans="1:20">
      <c r="A26" s="35" t="s">
        <v>56</v>
      </c>
      <c r="B26" s="37">
        <v>95000</v>
      </c>
      <c r="C26" s="37">
        <v>242000</v>
      </c>
      <c r="D26" s="37">
        <v>96000</v>
      </c>
      <c r="E26" s="37">
        <v>26000</v>
      </c>
      <c r="F26" s="37">
        <v>110000</v>
      </c>
      <c r="G26" s="37">
        <v>0</v>
      </c>
      <c r="H26" s="37">
        <v>107000</v>
      </c>
      <c r="I26" s="37">
        <v>104000</v>
      </c>
      <c r="J26" s="37">
        <v>100000</v>
      </c>
      <c r="K26" s="37"/>
      <c r="L26" s="37"/>
      <c r="M26" s="37"/>
      <c r="N26" s="37"/>
      <c r="O26" s="37">
        <v>10000</v>
      </c>
      <c r="P26" s="37"/>
      <c r="Q26" s="37">
        <v>0</v>
      </c>
      <c r="R26" s="37">
        <v>143000</v>
      </c>
      <c r="S26" s="37"/>
      <c r="T26" s="37">
        <f t="shared" si="0"/>
        <v>1033000</v>
      </c>
    </row>
    <row r="27" spans="1:20">
      <c r="A27" s="35" t="s">
        <v>57</v>
      </c>
      <c r="B27" s="37">
        <v>210000</v>
      </c>
      <c r="C27" s="37">
        <v>342000</v>
      </c>
      <c r="D27" s="37">
        <v>119000</v>
      </c>
      <c r="E27" s="37">
        <v>16000</v>
      </c>
      <c r="F27" s="37">
        <v>103000</v>
      </c>
      <c r="G27" s="37">
        <v>0</v>
      </c>
      <c r="H27" s="37">
        <v>113000</v>
      </c>
      <c r="I27" s="37">
        <v>58000</v>
      </c>
      <c r="J27" s="37">
        <v>66000</v>
      </c>
      <c r="K27" s="37"/>
      <c r="L27" s="37"/>
      <c r="M27" s="37"/>
      <c r="N27" s="37"/>
      <c r="O27" s="31">
        <v>0</v>
      </c>
      <c r="P27" s="37"/>
      <c r="Q27" s="37">
        <v>196000</v>
      </c>
      <c r="R27" s="37">
        <v>0</v>
      </c>
      <c r="S27" s="37"/>
      <c r="T27" s="37">
        <f t="shared" si="0"/>
        <v>1223000</v>
      </c>
    </row>
    <row r="28" spans="1:20">
      <c r="A28" s="35" t="s">
        <v>58</v>
      </c>
      <c r="B28" s="37">
        <v>204000</v>
      </c>
      <c r="C28" s="37">
        <v>163000</v>
      </c>
      <c r="D28" s="37">
        <v>74000</v>
      </c>
      <c r="E28" s="37">
        <v>7000</v>
      </c>
      <c r="F28" s="37">
        <v>96000</v>
      </c>
      <c r="G28" s="37">
        <v>0</v>
      </c>
      <c r="H28" s="37">
        <v>92000</v>
      </c>
      <c r="I28" s="37">
        <v>67000</v>
      </c>
      <c r="J28" s="37">
        <v>98000</v>
      </c>
      <c r="K28" s="37"/>
      <c r="L28" s="37"/>
      <c r="M28" s="37"/>
      <c r="N28" s="37"/>
      <c r="O28" s="37">
        <v>0</v>
      </c>
      <c r="P28" s="37"/>
      <c r="Q28" s="37">
        <v>0</v>
      </c>
      <c r="R28" s="37">
        <v>0</v>
      </c>
      <c r="S28" s="37"/>
      <c r="T28" s="37">
        <f t="shared" si="0"/>
        <v>801000</v>
      </c>
    </row>
    <row r="29" spans="1:20">
      <c r="A29" s="35" t="s">
        <v>59</v>
      </c>
      <c r="B29" s="37">
        <v>204500</v>
      </c>
      <c r="C29" s="37">
        <v>226000</v>
      </c>
      <c r="D29" s="37">
        <v>104000</v>
      </c>
      <c r="E29" s="37">
        <v>15000</v>
      </c>
      <c r="F29" s="37">
        <v>92000</v>
      </c>
      <c r="G29" s="37">
        <v>0</v>
      </c>
      <c r="H29" s="37">
        <v>102000</v>
      </c>
      <c r="I29" s="37">
        <v>102000</v>
      </c>
      <c r="J29" s="37">
        <v>75000</v>
      </c>
      <c r="K29" s="37"/>
      <c r="L29" s="37"/>
      <c r="M29" s="37"/>
      <c r="N29" s="37"/>
      <c r="O29" s="37">
        <v>36000</v>
      </c>
      <c r="P29" s="37"/>
      <c r="Q29" s="37">
        <v>46000</v>
      </c>
      <c r="R29" s="37">
        <v>0</v>
      </c>
      <c r="S29" s="37"/>
      <c r="T29" s="37">
        <f t="shared" si="0"/>
        <v>1002500</v>
      </c>
    </row>
    <row r="30" spans="1:20">
      <c r="A30" s="35" t="s">
        <v>60</v>
      </c>
      <c r="B30" s="37">
        <v>175500</v>
      </c>
      <c r="C30" s="37">
        <v>48000</v>
      </c>
      <c r="D30" s="37">
        <v>126000</v>
      </c>
      <c r="E30" s="37">
        <v>24000</v>
      </c>
      <c r="F30" s="37">
        <v>137000</v>
      </c>
      <c r="G30" s="37">
        <v>0</v>
      </c>
      <c r="H30" s="37">
        <v>94000</v>
      </c>
      <c r="I30" s="37">
        <v>103000</v>
      </c>
      <c r="J30" s="37">
        <v>6000</v>
      </c>
      <c r="K30" s="37"/>
      <c r="L30" s="37"/>
      <c r="M30" s="37"/>
      <c r="N30" s="37"/>
      <c r="O30" s="37">
        <v>0</v>
      </c>
      <c r="P30" s="37"/>
      <c r="Q30" s="37">
        <v>0</v>
      </c>
      <c r="R30" s="37">
        <v>0</v>
      </c>
      <c r="S30" s="37"/>
      <c r="T30" s="37">
        <f t="shared" si="0"/>
        <v>713500</v>
      </c>
    </row>
    <row r="31" spans="1:20">
      <c r="A31" s="35" t="s">
        <v>61</v>
      </c>
      <c r="B31" s="31">
        <v>165000</v>
      </c>
      <c r="C31" s="31">
        <v>60000</v>
      </c>
      <c r="D31" s="31">
        <v>132000</v>
      </c>
      <c r="E31" s="31">
        <v>6000</v>
      </c>
      <c r="F31" s="31">
        <v>155000</v>
      </c>
      <c r="G31" s="31">
        <v>24000</v>
      </c>
      <c r="H31" s="31">
        <v>104000</v>
      </c>
      <c r="I31" s="31">
        <v>95000</v>
      </c>
      <c r="J31" s="31">
        <v>6000</v>
      </c>
      <c r="K31" s="31"/>
      <c r="L31" s="31"/>
      <c r="M31" s="31"/>
      <c r="N31" s="31"/>
      <c r="O31" s="31">
        <v>0</v>
      </c>
      <c r="P31" s="31"/>
      <c r="Q31" s="31">
        <v>136000</v>
      </c>
      <c r="R31" s="31">
        <v>0</v>
      </c>
      <c r="S31" s="31"/>
      <c r="T31" s="37">
        <f t="shared" si="0"/>
        <v>883000</v>
      </c>
    </row>
    <row r="32" spans="1:20">
      <c r="A32" s="35" t="s">
        <v>62</v>
      </c>
      <c r="B32" s="31">
        <v>146000</v>
      </c>
      <c r="C32" s="31">
        <v>54000</v>
      </c>
      <c r="D32" s="31">
        <v>104000</v>
      </c>
      <c r="E32" s="31">
        <v>6000</v>
      </c>
      <c r="F32" s="31">
        <v>100000</v>
      </c>
      <c r="G32" s="31">
        <v>0</v>
      </c>
      <c r="H32" s="31">
        <v>42000</v>
      </c>
      <c r="I32" s="31">
        <v>52000</v>
      </c>
      <c r="J32" s="31">
        <v>0</v>
      </c>
      <c r="K32" s="31"/>
      <c r="L32" s="31"/>
      <c r="M32" s="31"/>
      <c r="N32" s="31"/>
      <c r="O32" s="31">
        <v>0</v>
      </c>
      <c r="P32" s="31"/>
      <c r="Q32" s="31">
        <v>114000</v>
      </c>
      <c r="R32" s="31">
        <v>0</v>
      </c>
      <c r="S32" s="31"/>
      <c r="T32" s="37">
        <f t="shared" si="0"/>
        <v>618000</v>
      </c>
    </row>
    <row r="33" spans="1:20">
      <c r="A33" s="35" t="s">
        <v>63</v>
      </c>
      <c r="B33" s="31">
        <v>143000</v>
      </c>
      <c r="C33" s="31">
        <v>116000</v>
      </c>
      <c r="D33" s="31">
        <v>98000</v>
      </c>
      <c r="E33" s="31">
        <v>13500</v>
      </c>
      <c r="F33" s="31">
        <v>105000</v>
      </c>
      <c r="G33" s="31">
        <v>0</v>
      </c>
      <c r="H33" s="31">
        <v>86000</v>
      </c>
      <c r="I33" s="31">
        <v>47000</v>
      </c>
      <c r="J33" s="31">
        <v>0</v>
      </c>
      <c r="K33" s="31"/>
      <c r="L33" s="31"/>
      <c r="M33" s="31"/>
      <c r="N33" s="31"/>
      <c r="O33" s="31">
        <v>0</v>
      </c>
      <c r="P33" s="31"/>
      <c r="Q33" s="31">
        <v>0</v>
      </c>
      <c r="R33" s="31">
        <v>0</v>
      </c>
      <c r="S33" s="31"/>
      <c r="T33" s="37">
        <f t="shared" si="0"/>
        <v>608500</v>
      </c>
    </row>
    <row r="34" spans="1:20">
      <c r="A34" s="35" t="s">
        <v>64</v>
      </c>
      <c r="B34" s="31">
        <v>145000</v>
      </c>
      <c r="C34" s="31">
        <v>62000</v>
      </c>
      <c r="D34" s="31">
        <v>64000</v>
      </c>
      <c r="E34" s="31">
        <v>10000</v>
      </c>
      <c r="F34" s="31">
        <v>94000</v>
      </c>
      <c r="G34" s="31">
        <v>0</v>
      </c>
      <c r="H34" s="31">
        <v>44000</v>
      </c>
      <c r="I34" s="31">
        <v>42000</v>
      </c>
      <c r="J34" s="31">
        <v>46000</v>
      </c>
      <c r="K34" s="31"/>
      <c r="L34" s="31"/>
      <c r="M34" s="31"/>
      <c r="N34" s="31"/>
      <c r="O34" s="46">
        <v>0</v>
      </c>
      <c r="P34" s="31"/>
      <c r="Q34" s="31">
        <v>118000</v>
      </c>
      <c r="R34" s="31">
        <v>0</v>
      </c>
      <c r="S34" s="31"/>
      <c r="T34" s="31">
        <f t="shared" si="0"/>
        <v>625000</v>
      </c>
    </row>
    <row r="35" spans="1:20">
      <c r="A35" s="35" t="s">
        <v>83</v>
      </c>
      <c r="B35" s="31">
        <v>142000</v>
      </c>
      <c r="C35" s="31">
        <v>198000</v>
      </c>
      <c r="D35" s="31">
        <v>104000</v>
      </c>
      <c r="E35" s="31">
        <v>7000</v>
      </c>
      <c r="F35" s="31">
        <v>120000</v>
      </c>
      <c r="G35" s="31">
        <v>0</v>
      </c>
      <c r="H35" s="31">
        <v>56000</v>
      </c>
      <c r="I35" s="31">
        <v>78000</v>
      </c>
      <c r="J35" s="31">
        <v>18000</v>
      </c>
      <c r="K35" s="31"/>
      <c r="L35" s="31"/>
      <c r="M35" s="31"/>
      <c r="N35" s="31"/>
      <c r="O35" s="31">
        <v>6000</v>
      </c>
      <c r="P35" s="31"/>
      <c r="Q35" s="31">
        <v>288000</v>
      </c>
      <c r="R35" s="31">
        <v>0</v>
      </c>
      <c r="S35" s="31"/>
      <c r="T35" s="31">
        <f t="shared" si="0"/>
        <v>1017000</v>
      </c>
    </row>
    <row r="36" spans="1:20">
      <c r="A36" s="35" t="s">
        <v>84</v>
      </c>
      <c r="B36" s="31">
        <v>245000</v>
      </c>
      <c r="C36" s="31">
        <v>112000</v>
      </c>
      <c r="D36" s="31">
        <v>85000</v>
      </c>
      <c r="E36" s="31">
        <v>10000</v>
      </c>
      <c r="F36" s="31">
        <v>84200</v>
      </c>
      <c r="G36" s="31">
        <v>0</v>
      </c>
      <c r="H36" s="31">
        <v>54000</v>
      </c>
      <c r="I36" s="31">
        <v>79000</v>
      </c>
      <c r="J36" s="31">
        <v>6000</v>
      </c>
      <c r="K36" s="31"/>
      <c r="L36" s="31"/>
      <c r="M36" s="31"/>
      <c r="N36" s="31"/>
      <c r="O36" s="31">
        <v>12000</v>
      </c>
      <c r="P36" s="31"/>
      <c r="Q36" s="31"/>
      <c r="R36" s="31">
        <v>0</v>
      </c>
      <c r="S36" s="31"/>
      <c r="T36" s="31">
        <f>SUM(B36:S36)</f>
        <v>687200</v>
      </c>
    </row>
    <row r="37" spans="1:20">
      <c r="A37" s="40" t="s">
        <v>23</v>
      </c>
      <c r="B37" s="41">
        <f>SUM(B6:B36)</f>
        <v>4961000</v>
      </c>
      <c r="C37" s="41">
        <f t="shared" ref="C37:J37" si="1">SUM(C6:C36)</f>
        <v>3456000</v>
      </c>
      <c r="D37" s="41">
        <f t="shared" si="1"/>
        <v>2984000</v>
      </c>
      <c r="E37" s="41">
        <f t="shared" si="1"/>
        <v>527000</v>
      </c>
      <c r="F37" s="41">
        <f t="shared" si="1"/>
        <v>2982100</v>
      </c>
      <c r="G37" s="41">
        <f t="shared" si="1"/>
        <v>187000</v>
      </c>
      <c r="H37" s="41">
        <f t="shared" si="1"/>
        <v>2401000</v>
      </c>
      <c r="I37" s="41">
        <f t="shared" si="1"/>
        <v>1937000</v>
      </c>
      <c r="J37" s="41">
        <f t="shared" si="1"/>
        <v>587500</v>
      </c>
      <c r="K37" s="31"/>
      <c r="L37" s="31"/>
      <c r="M37" s="31"/>
      <c r="N37" s="31"/>
      <c r="O37" s="31">
        <f>SUM(O6:O36)</f>
        <v>122000</v>
      </c>
      <c r="P37" s="31"/>
      <c r="Q37" s="31">
        <f>SUM(Q6:Q36)</f>
        <v>2200500</v>
      </c>
      <c r="R37" s="31">
        <f>SUM(R6:R36)</f>
        <v>147000</v>
      </c>
      <c r="S37" s="31"/>
      <c r="T37" s="31">
        <f>SUM(B37:S37)</f>
        <v>22492100</v>
      </c>
    </row>
  </sheetData>
  <mergeCells count="4">
    <mergeCell ref="B1:T1"/>
    <mergeCell ref="B2:T2"/>
    <mergeCell ref="C3:F3"/>
    <mergeCell ref="C4:F4"/>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G28"/>
  <sheetViews>
    <sheetView workbookViewId="0">
      <selection sqref="A1:G1048576"/>
    </sheetView>
  </sheetViews>
  <sheetFormatPr defaultRowHeight="15"/>
  <cols>
    <col min="1" max="1" width="17.5703125" customWidth="1"/>
    <col min="2" max="2" width="13.7109375" customWidth="1"/>
    <col min="3" max="3" width="14" customWidth="1"/>
    <col min="4" max="4" width="15.42578125" customWidth="1"/>
    <col min="5" max="5" width="14.140625" customWidth="1"/>
    <col min="6" max="6" width="13.42578125" customWidth="1"/>
    <col min="7" max="7" width="18.140625" customWidth="1"/>
  </cols>
  <sheetData>
    <row r="1" spans="1:7" ht="16.5" thickBot="1">
      <c r="A1" s="6" t="s">
        <v>24</v>
      </c>
      <c r="B1" s="70" t="s">
        <v>116</v>
      </c>
      <c r="C1" s="71"/>
      <c r="D1" s="72"/>
      <c r="E1" s="11"/>
      <c r="F1" s="11"/>
      <c r="G1" s="12"/>
    </row>
    <row r="2" spans="1:7" ht="15.75">
      <c r="A2" s="13" t="s">
        <v>25</v>
      </c>
      <c r="B2" s="14" t="s">
        <v>26</v>
      </c>
      <c r="C2" s="14" t="s">
        <v>27</v>
      </c>
      <c r="D2" s="14" t="s">
        <v>28</v>
      </c>
      <c r="E2" s="14" t="s">
        <v>29</v>
      </c>
      <c r="F2" s="15" t="s">
        <v>30</v>
      </c>
      <c r="G2" s="16" t="s">
        <v>31</v>
      </c>
    </row>
    <row r="3" spans="1:7" ht="15.75">
      <c r="A3" s="17" t="s">
        <v>4</v>
      </c>
      <c r="B3" s="18">
        <v>448000</v>
      </c>
      <c r="C3" s="18">
        <v>1045000</v>
      </c>
      <c r="D3" s="18">
        <v>1057000</v>
      </c>
      <c r="E3" s="18">
        <v>1249500</v>
      </c>
      <c r="F3" s="19">
        <v>1161500</v>
      </c>
      <c r="G3" s="20">
        <f t="shared" ref="G3:G11" si="0">SUM(B3:F3)</f>
        <v>4961000</v>
      </c>
    </row>
    <row r="4" spans="1:7" ht="15.75">
      <c r="A4" s="17" t="s">
        <v>5</v>
      </c>
      <c r="B4" s="18">
        <v>141000</v>
      </c>
      <c r="C4" s="18">
        <v>609000</v>
      </c>
      <c r="D4" s="18">
        <v>768000</v>
      </c>
      <c r="E4" s="18">
        <v>1288000</v>
      </c>
      <c r="F4" s="19">
        <v>650000</v>
      </c>
      <c r="G4" s="20">
        <f>SUM(B4:F4)</f>
        <v>3456000</v>
      </c>
    </row>
    <row r="5" spans="1:7" ht="15.75">
      <c r="A5" s="17" t="s">
        <v>32</v>
      </c>
      <c r="B5" s="18">
        <v>333000</v>
      </c>
      <c r="C5" s="18">
        <v>507000</v>
      </c>
      <c r="D5" s="18">
        <v>791000</v>
      </c>
      <c r="E5" s="18">
        <v>640000</v>
      </c>
      <c r="F5" s="19">
        <v>713000</v>
      </c>
      <c r="G5" s="20">
        <f>SUM(B5:F5)</f>
        <v>2984000</v>
      </c>
    </row>
    <row r="6" spans="1:7" ht="15.75">
      <c r="A6" s="17" t="s">
        <v>33</v>
      </c>
      <c r="B6" s="18">
        <v>136500</v>
      </c>
      <c r="C6" s="18">
        <v>99000</v>
      </c>
      <c r="D6" s="18">
        <v>104500</v>
      </c>
      <c r="E6" s="18">
        <v>110500</v>
      </c>
      <c r="F6" s="19">
        <v>76500</v>
      </c>
      <c r="G6" s="20">
        <f t="shared" si="0"/>
        <v>527000</v>
      </c>
    </row>
    <row r="7" spans="1:7" ht="15.75">
      <c r="A7" s="17" t="s">
        <v>8</v>
      </c>
      <c r="B7" s="18">
        <v>308300</v>
      </c>
      <c r="C7" s="18">
        <v>532600</v>
      </c>
      <c r="D7" s="18">
        <v>705100</v>
      </c>
      <c r="E7" s="18">
        <v>640900</v>
      </c>
      <c r="F7" s="19">
        <v>795200</v>
      </c>
      <c r="G7" s="20">
        <f t="shared" si="0"/>
        <v>2982100</v>
      </c>
    </row>
    <row r="8" spans="1:7" ht="15.75">
      <c r="A8" s="17" t="s">
        <v>9</v>
      </c>
      <c r="B8" s="18">
        <v>12000</v>
      </c>
      <c r="C8" s="18">
        <v>79000</v>
      </c>
      <c r="D8" s="18">
        <v>48000</v>
      </c>
      <c r="E8" s="18">
        <v>24000</v>
      </c>
      <c r="F8" s="19">
        <v>24000</v>
      </c>
      <c r="G8" s="20">
        <f t="shared" si="0"/>
        <v>187000</v>
      </c>
    </row>
    <row r="9" spans="1:7" ht="15.75">
      <c r="A9" s="17" t="s">
        <v>10</v>
      </c>
      <c r="B9" s="18">
        <v>379000</v>
      </c>
      <c r="C9" s="18">
        <v>363000</v>
      </c>
      <c r="D9" s="18">
        <v>548000</v>
      </c>
      <c r="E9" s="18">
        <v>631000</v>
      </c>
      <c r="F9" s="19">
        <v>480000</v>
      </c>
      <c r="G9" s="20">
        <f t="shared" si="0"/>
        <v>2401000</v>
      </c>
    </row>
    <row r="10" spans="1:7" ht="15.75">
      <c r="A10" s="17" t="s">
        <v>11</v>
      </c>
      <c r="B10" s="18">
        <v>220000</v>
      </c>
      <c r="C10" s="18">
        <v>370000</v>
      </c>
      <c r="D10" s="18">
        <v>332000</v>
      </c>
      <c r="E10" s="18">
        <v>519000</v>
      </c>
      <c r="F10" s="19">
        <v>496000</v>
      </c>
      <c r="G10" s="20">
        <f t="shared" si="0"/>
        <v>1937000</v>
      </c>
    </row>
    <row r="11" spans="1:7" ht="15.75">
      <c r="A11" s="17" t="s">
        <v>12</v>
      </c>
      <c r="B11" s="18">
        <v>13000</v>
      </c>
      <c r="C11" s="18">
        <v>64000</v>
      </c>
      <c r="D11" s="18">
        <v>74500</v>
      </c>
      <c r="E11" s="18">
        <v>354000</v>
      </c>
      <c r="F11" s="19">
        <v>82000</v>
      </c>
      <c r="G11" s="20">
        <f t="shared" si="0"/>
        <v>587500</v>
      </c>
    </row>
    <row r="12" spans="1:7" ht="15.75">
      <c r="A12" s="17" t="s">
        <v>13</v>
      </c>
      <c r="B12" s="18"/>
      <c r="C12" s="18"/>
      <c r="D12" s="18"/>
      <c r="E12" s="18"/>
      <c r="F12" s="19"/>
      <c r="G12" s="20">
        <f t="shared" ref="G12:G19" si="1">SUM(B12:E12)</f>
        <v>0</v>
      </c>
    </row>
    <row r="13" spans="1:7" ht="15.75">
      <c r="A13" s="17" t="s">
        <v>14</v>
      </c>
      <c r="B13" s="18"/>
      <c r="C13" s="18"/>
      <c r="D13" s="18"/>
      <c r="E13" s="18"/>
      <c r="F13" s="19"/>
      <c r="G13" s="20">
        <f t="shared" si="1"/>
        <v>0</v>
      </c>
    </row>
    <row r="14" spans="1:7" ht="15.75">
      <c r="A14" s="17" t="s">
        <v>15</v>
      </c>
      <c r="B14" s="18"/>
      <c r="C14" s="18"/>
      <c r="D14" s="18"/>
      <c r="E14" s="18"/>
      <c r="F14" s="19"/>
      <c r="G14" s="20">
        <f t="shared" si="1"/>
        <v>0</v>
      </c>
    </row>
    <row r="15" spans="1:7" ht="15.75">
      <c r="A15" s="17" t="s">
        <v>16</v>
      </c>
      <c r="B15" s="18"/>
      <c r="C15" s="18"/>
      <c r="D15" s="18"/>
      <c r="E15" s="18"/>
      <c r="F15" s="19"/>
      <c r="G15" s="20">
        <f t="shared" si="1"/>
        <v>0</v>
      </c>
    </row>
    <row r="16" spans="1:7" ht="15.75">
      <c r="A16" s="17" t="s">
        <v>17</v>
      </c>
      <c r="B16" s="18">
        <v>5000</v>
      </c>
      <c r="C16" s="18">
        <v>47000</v>
      </c>
      <c r="D16" s="18">
        <v>52000</v>
      </c>
      <c r="E16" s="18">
        <v>18000</v>
      </c>
      <c r="F16" s="19"/>
      <c r="G16" s="20">
        <f>SUM(B16:F16)</f>
        <v>122000</v>
      </c>
    </row>
    <row r="17" spans="1:7" ht="15.75">
      <c r="A17" s="17" t="s">
        <v>18</v>
      </c>
      <c r="B17" s="18"/>
      <c r="C17" s="18"/>
      <c r="D17" s="18"/>
      <c r="E17" s="18"/>
      <c r="F17" s="19"/>
      <c r="G17" s="20">
        <f t="shared" si="1"/>
        <v>0</v>
      </c>
    </row>
    <row r="18" spans="1:7" ht="15.75">
      <c r="A18" s="17" t="s">
        <v>19</v>
      </c>
      <c r="B18" s="18"/>
      <c r="C18" s="18"/>
      <c r="D18" s="18"/>
      <c r="E18" s="18"/>
      <c r="F18" s="19"/>
      <c r="G18" s="20">
        <f t="shared" si="1"/>
        <v>0</v>
      </c>
    </row>
    <row r="19" spans="1:7" ht="15.75">
      <c r="A19" s="17" t="s">
        <v>34</v>
      </c>
      <c r="B19" s="18"/>
      <c r="C19" s="18"/>
      <c r="D19" s="18"/>
      <c r="E19" s="18"/>
      <c r="F19" s="19"/>
      <c r="G19" s="20">
        <f t="shared" si="1"/>
        <v>0</v>
      </c>
    </row>
    <row r="20" spans="1:7" ht="16.5" thickBot="1">
      <c r="A20" s="21" t="s">
        <v>35</v>
      </c>
      <c r="B20" s="22">
        <f t="shared" ref="B20:G20" si="2">SUM(B3:B19)</f>
        <v>1995800</v>
      </c>
      <c r="C20" s="22">
        <f t="shared" si="2"/>
        <v>3715600</v>
      </c>
      <c r="D20" s="22">
        <f t="shared" si="2"/>
        <v>4480100</v>
      </c>
      <c r="E20" s="22">
        <f t="shared" si="2"/>
        <v>5474900</v>
      </c>
      <c r="F20" s="22">
        <f t="shared" si="2"/>
        <v>4478200</v>
      </c>
      <c r="G20" s="23">
        <f t="shared" si="2"/>
        <v>20144600</v>
      </c>
    </row>
    <row r="22" spans="1:7" ht="15.75" thickBot="1"/>
    <row r="23" spans="1:7" ht="21.75" thickBot="1">
      <c r="A23" s="73" t="s">
        <v>36</v>
      </c>
      <c r="B23" s="74"/>
      <c r="C23" s="74"/>
      <c r="D23" s="74"/>
      <c r="E23" s="74"/>
      <c r="F23" s="74"/>
      <c r="G23" s="75"/>
    </row>
    <row r="24" spans="1:7" ht="15.75" thickBot="1">
      <c r="A24" s="76"/>
      <c r="B24" s="68"/>
      <c r="C24" s="68"/>
      <c r="D24" s="68"/>
      <c r="E24" s="68"/>
      <c r="F24" s="68"/>
      <c r="G24" s="69"/>
    </row>
    <row r="25" spans="1:7" ht="15.75" thickBot="1">
      <c r="A25" s="24"/>
      <c r="B25" s="25"/>
      <c r="C25" s="25"/>
      <c r="D25" s="25"/>
      <c r="E25" s="25"/>
      <c r="F25" s="25"/>
      <c r="G25" s="26"/>
    </row>
    <row r="26" spans="1:7" ht="15.75" thickBot="1">
      <c r="A26" s="67"/>
      <c r="B26" s="68"/>
      <c r="C26" s="68"/>
      <c r="D26" s="68"/>
      <c r="E26" s="68"/>
      <c r="F26" s="68"/>
      <c r="G26" s="69"/>
    </row>
    <row r="27" spans="1:7" ht="15.75" thickBot="1">
      <c r="A27" s="77"/>
      <c r="B27" s="68"/>
      <c r="C27" s="68"/>
      <c r="D27" s="68"/>
      <c r="E27" s="68"/>
      <c r="F27" s="68"/>
      <c r="G27" s="69"/>
    </row>
    <row r="28" spans="1:7" ht="15.75" thickBot="1">
      <c r="A28" s="67"/>
      <c r="B28" s="68"/>
      <c r="C28" s="68"/>
      <c r="D28" s="68"/>
      <c r="E28" s="68"/>
      <c r="F28" s="68"/>
      <c r="G28" s="69"/>
    </row>
  </sheetData>
  <mergeCells count="6">
    <mergeCell ref="A28:G28"/>
    <mergeCell ref="B1:D1"/>
    <mergeCell ref="A23:G23"/>
    <mergeCell ref="A24:G24"/>
    <mergeCell ref="A26:G26"/>
    <mergeCell ref="A27:G27"/>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T37"/>
  <sheetViews>
    <sheetView workbookViewId="0">
      <selection activeCell="M14" sqref="M14"/>
    </sheetView>
  </sheetViews>
  <sheetFormatPr defaultRowHeight="15"/>
  <cols>
    <col min="1" max="1" width="10.42578125" customWidth="1"/>
    <col min="2" max="2" width="10.7109375" customWidth="1"/>
    <col min="3" max="3" width="10.85546875" customWidth="1"/>
    <col min="4" max="4" width="11" customWidth="1"/>
    <col min="5" max="5" width="10.28515625" customWidth="1"/>
    <col min="6" max="6" width="10.85546875" customWidth="1"/>
    <col min="8" max="8" width="10.28515625" customWidth="1"/>
    <col min="9" max="9" width="10.85546875" customWidth="1"/>
    <col min="20" max="20" width="10.140625" customWidth="1"/>
  </cols>
  <sheetData>
    <row r="1" spans="1:20" ht="26.25">
      <c r="A1" s="28"/>
      <c r="B1" s="55" t="s">
        <v>68</v>
      </c>
      <c r="C1" s="56"/>
      <c r="D1" s="56"/>
      <c r="E1" s="56"/>
      <c r="F1" s="56"/>
      <c r="G1" s="56"/>
      <c r="H1" s="56"/>
      <c r="I1" s="56"/>
      <c r="J1" s="56"/>
      <c r="K1" s="56"/>
      <c r="L1" s="56"/>
      <c r="M1" s="56"/>
      <c r="N1" s="56"/>
      <c r="O1" s="56"/>
      <c r="P1" s="56"/>
      <c r="Q1" s="56"/>
      <c r="R1" s="56"/>
      <c r="S1" s="56"/>
      <c r="T1" s="57"/>
    </row>
    <row r="2" spans="1:20" ht="27" thickBot="1">
      <c r="A2" s="4"/>
      <c r="B2" s="58" t="s">
        <v>0</v>
      </c>
      <c r="C2" s="59"/>
      <c r="D2" s="59"/>
      <c r="E2" s="59"/>
      <c r="F2" s="59"/>
      <c r="G2" s="59"/>
      <c r="H2" s="59"/>
      <c r="I2" s="59"/>
      <c r="J2" s="59"/>
      <c r="K2" s="59"/>
      <c r="L2" s="59"/>
      <c r="M2" s="59"/>
      <c r="N2" s="59"/>
      <c r="O2" s="59"/>
      <c r="P2" s="59"/>
      <c r="Q2" s="59"/>
      <c r="R2" s="59"/>
      <c r="S2" s="59"/>
      <c r="T2" s="60"/>
    </row>
    <row r="3" spans="1:20" ht="27" thickBot="1">
      <c r="A3" s="4"/>
      <c r="B3" s="29" t="s">
        <v>1</v>
      </c>
      <c r="C3" s="61" t="s">
        <v>69</v>
      </c>
      <c r="D3" s="62"/>
      <c r="E3" s="62"/>
      <c r="F3" s="63"/>
      <c r="G3" s="50" t="s">
        <v>117</v>
      </c>
    </row>
    <row r="4" spans="1:20" ht="21">
      <c r="A4" s="4"/>
      <c r="B4" s="30" t="s">
        <v>2</v>
      </c>
      <c r="C4" s="78"/>
      <c r="D4" s="79"/>
      <c r="E4" s="79"/>
      <c r="F4" s="80"/>
    </row>
    <row r="5" spans="1:20" ht="67.5">
      <c r="A5" s="32" t="s">
        <v>3</v>
      </c>
      <c r="B5" s="33" t="s">
        <v>4</v>
      </c>
      <c r="C5" s="33" t="s">
        <v>5</v>
      </c>
      <c r="D5" s="33" t="s">
        <v>6</v>
      </c>
      <c r="E5" s="33" t="s">
        <v>7</v>
      </c>
      <c r="F5" s="33" t="s">
        <v>8</v>
      </c>
      <c r="G5" s="33" t="s">
        <v>9</v>
      </c>
      <c r="H5" s="33" t="s">
        <v>10</v>
      </c>
      <c r="I5" s="33" t="s">
        <v>11</v>
      </c>
      <c r="J5" s="33" t="s">
        <v>12</v>
      </c>
      <c r="K5" s="33" t="s">
        <v>13</v>
      </c>
      <c r="L5" s="33" t="s">
        <v>14</v>
      </c>
      <c r="M5" s="33" t="s">
        <v>15</v>
      </c>
      <c r="N5" s="33" t="s">
        <v>16</v>
      </c>
      <c r="O5" s="33" t="s">
        <v>17</v>
      </c>
      <c r="P5" s="33" t="s">
        <v>18</v>
      </c>
      <c r="Q5" s="33" t="s">
        <v>19</v>
      </c>
      <c r="R5" s="33" t="s">
        <v>20</v>
      </c>
      <c r="S5" s="33" t="s">
        <v>21</v>
      </c>
      <c r="T5" s="33" t="s">
        <v>22</v>
      </c>
    </row>
    <row r="6" spans="1:20">
      <c r="A6" s="35" t="s">
        <v>67</v>
      </c>
      <c r="B6" s="36">
        <v>187000</v>
      </c>
      <c r="C6" s="36">
        <v>76000</v>
      </c>
      <c r="D6" s="36">
        <v>57000</v>
      </c>
      <c r="E6" s="36">
        <v>15000</v>
      </c>
      <c r="F6" s="36">
        <v>83000</v>
      </c>
      <c r="G6" s="36"/>
      <c r="H6" s="36">
        <v>42000</v>
      </c>
      <c r="I6" s="36">
        <v>58000</v>
      </c>
      <c r="J6" s="36">
        <v>6000</v>
      </c>
      <c r="K6" s="36"/>
      <c r="L6" s="36"/>
      <c r="M6" s="36"/>
      <c r="N6" s="36"/>
      <c r="O6" s="36">
        <v>12000</v>
      </c>
      <c r="P6" s="36"/>
      <c r="Q6" s="36">
        <v>0</v>
      </c>
      <c r="R6" s="36">
        <v>0</v>
      </c>
      <c r="S6" s="37"/>
      <c r="T6" s="37">
        <f t="shared" ref="T6:T35" si="0">SUM(B6:S6)</f>
        <v>536000</v>
      </c>
    </row>
    <row r="7" spans="1:20">
      <c r="A7" s="35" t="s">
        <v>37</v>
      </c>
      <c r="B7" s="36">
        <v>193000</v>
      </c>
      <c r="C7" s="36">
        <v>179000</v>
      </c>
      <c r="D7" s="36">
        <v>134000</v>
      </c>
      <c r="E7" s="36">
        <v>41000</v>
      </c>
      <c r="F7" s="36">
        <v>108000</v>
      </c>
      <c r="G7" s="36"/>
      <c r="H7" s="36">
        <v>106000</v>
      </c>
      <c r="I7" s="36">
        <v>60000</v>
      </c>
      <c r="J7" s="36">
        <v>30000</v>
      </c>
      <c r="K7" s="36"/>
      <c r="L7" s="36"/>
      <c r="M7" s="36"/>
      <c r="N7" s="36"/>
      <c r="O7" s="36">
        <v>5000</v>
      </c>
      <c r="P7" s="36"/>
      <c r="Q7" s="36"/>
      <c r="R7" s="36">
        <v>0</v>
      </c>
      <c r="S7" s="37"/>
      <c r="T7" s="37">
        <f t="shared" si="0"/>
        <v>856000</v>
      </c>
    </row>
    <row r="8" spans="1:20">
      <c r="A8" s="35" t="s">
        <v>38</v>
      </c>
      <c r="B8" s="36">
        <v>57000</v>
      </c>
      <c r="C8" s="36">
        <v>43000</v>
      </c>
      <c r="D8" s="36">
        <v>46000</v>
      </c>
      <c r="E8" s="36">
        <v>8000</v>
      </c>
      <c r="F8" s="36">
        <v>41000</v>
      </c>
      <c r="G8" s="36"/>
      <c r="H8" s="36">
        <v>38000</v>
      </c>
      <c r="I8" s="36">
        <v>61000</v>
      </c>
      <c r="J8" s="36">
        <v>16000</v>
      </c>
      <c r="K8" s="36"/>
      <c r="L8" s="36"/>
      <c r="M8" s="36"/>
      <c r="N8" s="36"/>
      <c r="O8" s="36">
        <v>0</v>
      </c>
      <c r="P8" s="36"/>
      <c r="Q8" s="36">
        <v>0</v>
      </c>
      <c r="R8" s="36">
        <v>0</v>
      </c>
      <c r="S8" s="37"/>
      <c r="T8" s="37">
        <f t="shared" si="0"/>
        <v>310000</v>
      </c>
    </row>
    <row r="9" spans="1:20">
      <c r="A9" s="35" t="s">
        <v>39</v>
      </c>
      <c r="B9" s="36">
        <v>160000</v>
      </c>
      <c r="C9" s="36">
        <v>54000</v>
      </c>
      <c r="D9" s="36">
        <v>50000</v>
      </c>
      <c r="E9" s="36">
        <v>9000</v>
      </c>
      <c r="F9" s="36">
        <v>90000</v>
      </c>
      <c r="G9" s="36"/>
      <c r="H9" s="36">
        <v>61000</v>
      </c>
      <c r="I9" s="36">
        <v>55000</v>
      </c>
      <c r="J9" s="36">
        <v>26000</v>
      </c>
      <c r="K9" s="36"/>
      <c r="L9" s="36"/>
      <c r="M9" s="36"/>
      <c r="N9" s="36"/>
      <c r="O9" s="36">
        <v>5000</v>
      </c>
      <c r="Q9" s="36"/>
      <c r="R9" s="36">
        <v>0</v>
      </c>
      <c r="S9" s="37"/>
      <c r="T9" s="37">
        <f t="shared" si="0"/>
        <v>510000</v>
      </c>
    </row>
    <row r="10" spans="1:20">
      <c r="A10" s="35" t="s">
        <v>40</v>
      </c>
      <c r="B10" s="37">
        <v>132000</v>
      </c>
      <c r="C10" s="37">
        <v>60000</v>
      </c>
      <c r="D10" s="37">
        <v>104000</v>
      </c>
      <c r="E10" s="37">
        <v>24000</v>
      </c>
      <c r="F10" s="37">
        <v>76000</v>
      </c>
      <c r="G10" s="37">
        <v>36000</v>
      </c>
      <c r="H10" s="37">
        <v>94000</v>
      </c>
      <c r="I10" s="37">
        <v>48000</v>
      </c>
      <c r="J10" s="37">
        <v>11000</v>
      </c>
      <c r="K10" s="37"/>
      <c r="L10" s="37"/>
      <c r="M10" s="37"/>
      <c r="N10" s="37"/>
      <c r="O10" s="37"/>
      <c r="P10" s="37"/>
      <c r="Q10" s="37">
        <v>199550</v>
      </c>
      <c r="R10" s="37">
        <v>0</v>
      </c>
      <c r="S10" s="37"/>
      <c r="T10" s="37">
        <f t="shared" si="0"/>
        <v>784550</v>
      </c>
    </row>
    <row r="11" spans="1:20">
      <c r="A11" s="35" t="s">
        <v>41</v>
      </c>
      <c r="B11" s="37">
        <v>130000</v>
      </c>
      <c r="C11" s="37">
        <v>97000</v>
      </c>
      <c r="D11" s="37">
        <v>67000</v>
      </c>
      <c r="E11" s="37">
        <v>6000</v>
      </c>
      <c r="F11" s="37">
        <v>95000</v>
      </c>
      <c r="G11" s="37">
        <v>36000</v>
      </c>
      <c r="H11" s="37">
        <v>104000</v>
      </c>
      <c r="I11" s="37">
        <v>59000</v>
      </c>
      <c r="J11" s="37">
        <v>9000</v>
      </c>
      <c r="K11" s="37"/>
      <c r="L11" s="37"/>
      <c r="M11" s="37"/>
      <c r="N11" s="37"/>
      <c r="O11" s="37">
        <v>18000</v>
      </c>
      <c r="P11" s="37"/>
      <c r="Q11" s="37">
        <v>0</v>
      </c>
      <c r="R11" s="37">
        <v>0</v>
      </c>
      <c r="S11" s="37"/>
      <c r="T11" s="37">
        <f t="shared" si="0"/>
        <v>621000</v>
      </c>
    </row>
    <row r="12" spans="1:20">
      <c r="A12" s="35" t="s">
        <v>42</v>
      </c>
      <c r="B12" s="37">
        <v>237500</v>
      </c>
      <c r="C12" s="37">
        <v>260000</v>
      </c>
      <c r="D12" s="37">
        <v>107000</v>
      </c>
      <c r="E12" s="37">
        <v>16500</v>
      </c>
      <c r="F12" s="37">
        <v>88000</v>
      </c>
      <c r="G12" s="37"/>
      <c r="H12" s="37">
        <v>101000</v>
      </c>
      <c r="I12" s="37">
        <v>28000</v>
      </c>
      <c r="J12" s="37">
        <v>30000</v>
      </c>
      <c r="K12" s="37"/>
      <c r="L12" s="37"/>
      <c r="M12" s="37"/>
      <c r="N12" s="37"/>
      <c r="O12" s="37">
        <v>10000</v>
      </c>
      <c r="P12" s="37"/>
      <c r="Q12" s="37"/>
      <c r="R12" s="37">
        <v>0</v>
      </c>
      <c r="S12" s="37"/>
      <c r="T12" s="37">
        <f t="shared" si="0"/>
        <v>878000</v>
      </c>
    </row>
    <row r="13" spans="1:20">
      <c r="A13" s="35" t="s">
        <v>43</v>
      </c>
      <c r="B13" s="37">
        <v>244000</v>
      </c>
      <c r="C13" s="37">
        <v>400000</v>
      </c>
      <c r="D13" s="37">
        <v>131000</v>
      </c>
      <c r="E13" s="37">
        <v>21500</v>
      </c>
      <c r="F13" s="37">
        <v>59500</v>
      </c>
      <c r="G13" s="37"/>
      <c r="H13" s="37">
        <v>126000</v>
      </c>
      <c r="I13" s="37">
        <v>87000</v>
      </c>
      <c r="J13" s="37">
        <v>3000</v>
      </c>
      <c r="K13" s="37"/>
      <c r="L13" s="37"/>
      <c r="M13" s="37"/>
      <c r="N13" s="37"/>
      <c r="O13" s="37">
        <v>0</v>
      </c>
      <c r="P13" s="37"/>
      <c r="Q13" s="37"/>
      <c r="R13" s="37">
        <v>0</v>
      </c>
      <c r="S13" s="37"/>
      <c r="T13" s="37">
        <f t="shared" si="0"/>
        <v>1072000</v>
      </c>
    </row>
    <row r="14" spans="1:20">
      <c r="A14" s="35" t="s">
        <v>44</v>
      </c>
      <c r="B14" s="37">
        <v>158000</v>
      </c>
      <c r="C14" s="37">
        <v>73000</v>
      </c>
      <c r="D14" s="37">
        <v>120000</v>
      </c>
      <c r="E14" s="37">
        <v>15000</v>
      </c>
      <c r="F14" s="37">
        <v>84000</v>
      </c>
      <c r="G14" s="37"/>
      <c r="H14" s="37">
        <v>85000</v>
      </c>
      <c r="I14" s="37">
        <v>47000</v>
      </c>
      <c r="J14" s="37"/>
      <c r="K14" s="37"/>
      <c r="L14" s="37"/>
      <c r="M14" s="37"/>
      <c r="N14" s="37"/>
      <c r="O14" s="37">
        <v>18000</v>
      </c>
      <c r="P14" s="37"/>
      <c r="Q14" s="37"/>
      <c r="R14" s="37">
        <v>0</v>
      </c>
      <c r="S14" s="37"/>
      <c r="T14" s="37">
        <f t="shared" si="0"/>
        <v>600000</v>
      </c>
    </row>
    <row r="15" spans="1:20">
      <c r="A15" s="35" t="s">
        <v>45</v>
      </c>
      <c r="B15" s="37">
        <v>189000</v>
      </c>
      <c r="C15" s="37">
        <v>63000</v>
      </c>
      <c r="D15" s="37">
        <v>126000</v>
      </c>
      <c r="E15" s="37">
        <v>13000</v>
      </c>
      <c r="F15" s="37">
        <v>67000</v>
      </c>
      <c r="G15" s="37"/>
      <c r="H15" s="37">
        <v>86000</v>
      </c>
      <c r="I15" s="37">
        <v>30000</v>
      </c>
      <c r="J15" s="37">
        <v>40000</v>
      </c>
      <c r="K15" s="37"/>
      <c r="L15" s="37">
        <v>0</v>
      </c>
      <c r="M15" s="37"/>
      <c r="N15" s="37"/>
      <c r="O15" s="37">
        <v>0</v>
      </c>
      <c r="P15" s="37"/>
      <c r="Q15" s="37">
        <v>218000</v>
      </c>
      <c r="R15" s="37">
        <v>20000</v>
      </c>
      <c r="S15" s="37"/>
      <c r="T15" s="37">
        <f t="shared" si="0"/>
        <v>852000</v>
      </c>
    </row>
    <row r="16" spans="1:20">
      <c r="A16" s="35" t="s">
        <v>46</v>
      </c>
      <c r="B16" s="37">
        <v>69000</v>
      </c>
      <c r="C16" s="37">
        <v>36000</v>
      </c>
      <c r="D16" s="37">
        <v>102000</v>
      </c>
      <c r="E16" s="37">
        <v>14000</v>
      </c>
      <c r="F16" s="37">
        <v>78000</v>
      </c>
      <c r="G16" s="37">
        <v>64000</v>
      </c>
      <c r="H16" s="37">
        <v>82000</v>
      </c>
      <c r="I16" s="37">
        <v>43000</v>
      </c>
      <c r="J16" s="37">
        <v>31000</v>
      </c>
      <c r="K16" s="37"/>
      <c r="L16" s="37"/>
      <c r="M16" s="37"/>
      <c r="N16" s="37"/>
      <c r="O16" s="37">
        <v>0</v>
      </c>
      <c r="P16" s="37"/>
      <c r="Q16" s="37"/>
      <c r="R16" s="37">
        <v>0</v>
      </c>
      <c r="S16" s="37"/>
      <c r="T16" s="37">
        <f t="shared" si="0"/>
        <v>519000</v>
      </c>
    </row>
    <row r="17" spans="1:20">
      <c r="A17" s="35" t="s">
        <v>47</v>
      </c>
      <c r="B17" s="37">
        <v>112000</v>
      </c>
      <c r="C17" s="37">
        <v>52000</v>
      </c>
      <c r="D17" s="37">
        <v>134000</v>
      </c>
      <c r="E17" s="37">
        <v>10000</v>
      </c>
      <c r="F17" s="37">
        <v>87000</v>
      </c>
      <c r="G17" s="37">
        <v>42000</v>
      </c>
      <c r="H17" s="37">
        <v>113000</v>
      </c>
      <c r="I17" s="37">
        <v>71000</v>
      </c>
      <c r="J17" s="37">
        <v>40000</v>
      </c>
      <c r="K17" s="37"/>
      <c r="L17" s="37"/>
      <c r="M17" s="37"/>
      <c r="N17" s="37"/>
      <c r="O17" s="37">
        <v>0</v>
      </c>
      <c r="P17" s="37"/>
      <c r="Q17" s="37"/>
      <c r="R17" s="37">
        <v>0</v>
      </c>
      <c r="S17" s="37"/>
      <c r="T17" s="37">
        <f t="shared" si="0"/>
        <v>661000</v>
      </c>
    </row>
    <row r="18" spans="1:20">
      <c r="A18" s="35" t="s">
        <v>48</v>
      </c>
      <c r="B18" s="37">
        <v>213000</v>
      </c>
      <c r="C18" s="37">
        <v>37000</v>
      </c>
      <c r="D18" s="37">
        <v>135000</v>
      </c>
      <c r="E18" s="37">
        <v>24000</v>
      </c>
      <c r="F18" s="37">
        <v>95000</v>
      </c>
      <c r="G18" s="37"/>
      <c r="H18" s="37">
        <v>124000</v>
      </c>
      <c r="I18" s="37">
        <v>81000</v>
      </c>
      <c r="J18" s="37">
        <v>58000</v>
      </c>
      <c r="K18" s="37"/>
      <c r="L18" s="37"/>
      <c r="M18" s="37"/>
      <c r="N18" s="37"/>
      <c r="O18" s="37">
        <v>0</v>
      </c>
      <c r="P18" s="37"/>
      <c r="Q18" s="37"/>
      <c r="R18" s="37">
        <v>0</v>
      </c>
      <c r="S18" s="37"/>
      <c r="T18" s="37">
        <f t="shared" si="0"/>
        <v>767000</v>
      </c>
    </row>
    <row r="19" spans="1:20">
      <c r="A19" s="35" t="s">
        <v>49</v>
      </c>
      <c r="B19" s="37">
        <v>188000</v>
      </c>
      <c r="C19" s="37">
        <v>88000</v>
      </c>
      <c r="D19" s="37">
        <v>176000</v>
      </c>
      <c r="E19" s="37">
        <v>6000</v>
      </c>
      <c r="F19" s="37">
        <v>96000</v>
      </c>
      <c r="G19" s="37"/>
      <c r="H19" s="37">
        <v>204000</v>
      </c>
      <c r="I19" s="37">
        <v>55000</v>
      </c>
      <c r="J19" s="37">
        <v>15000</v>
      </c>
      <c r="K19" s="37"/>
      <c r="L19" s="37"/>
      <c r="M19" s="37"/>
      <c r="N19" s="37"/>
      <c r="O19" s="37">
        <v>20000</v>
      </c>
      <c r="P19" s="37"/>
      <c r="Q19" s="37"/>
      <c r="R19" s="37">
        <v>0</v>
      </c>
      <c r="S19" s="37"/>
      <c r="T19" s="37">
        <f t="shared" si="0"/>
        <v>848000</v>
      </c>
    </row>
    <row r="20" spans="1:20">
      <c r="A20" s="35" t="s">
        <v>50</v>
      </c>
      <c r="B20" s="37">
        <v>190000</v>
      </c>
      <c r="C20" s="37">
        <v>146000</v>
      </c>
      <c r="D20" s="37">
        <v>109000</v>
      </c>
      <c r="E20" s="37">
        <v>28000</v>
      </c>
      <c r="F20" s="37">
        <v>72700</v>
      </c>
      <c r="G20" s="37"/>
      <c r="H20" s="37">
        <v>37000</v>
      </c>
      <c r="I20" s="37">
        <v>50000</v>
      </c>
      <c r="J20" s="37">
        <v>6000</v>
      </c>
      <c r="K20" s="37"/>
      <c r="L20" s="37"/>
      <c r="M20" s="37"/>
      <c r="N20" s="37"/>
      <c r="O20" s="37">
        <v>0</v>
      </c>
      <c r="P20" s="37"/>
      <c r="Q20" s="37">
        <v>63000</v>
      </c>
      <c r="R20" s="37">
        <v>0</v>
      </c>
      <c r="S20" s="37"/>
      <c r="T20" s="37">
        <f t="shared" si="0"/>
        <v>701700</v>
      </c>
    </row>
    <row r="21" spans="1:20">
      <c r="A21" s="35" t="s">
        <v>73</v>
      </c>
      <c r="B21" s="37">
        <v>166500</v>
      </c>
      <c r="C21" s="37">
        <v>63000</v>
      </c>
      <c r="D21" s="37">
        <v>76000</v>
      </c>
      <c r="E21" s="37">
        <v>24500</v>
      </c>
      <c r="F21" s="37">
        <v>82000</v>
      </c>
      <c r="G21" s="37"/>
      <c r="H21" s="37">
        <v>47000</v>
      </c>
      <c r="I21" s="37">
        <v>47000</v>
      </c>
      <c r="J21" s="37">
        <v>18000</v>
      </c>
      <c r="K21" s="37"/>
      <c r="L21" s="37"/>
      <c r="M21" s="37"/>
      <c r="N21" s="37"/>
      <c r="O21" s="37">
        <v>0</v>
      </c>
      <c r="P21" s="37"/>
      <c r="Q21" s="37"/>
      <c r="R21" s="37">
        <v>0</v>
      </c>
      <c r="S21" s="37"/>
      <c r="T21" s="37">
        <f t="shared" si="0"/>
        <v>524000</v>
      </c>
    </row>
    <row r="22" spans="1:20">
      <c r="A22" s="35" t="s">
        <v>52</v>
      </c>
      <c r="B22" s="37">
        <v>187500</v>
      </c>
      <c r="C22" s="37">
        <v>61000</v>
      </c>
      <c r="D22" s="37">
        <v>67000</v>
      </c>
      <c r="E22" s="37">
        <v>25500</v>
      </c>
      <c r="F22" s="37">
        <v>56000</v>
      </c>
      <c r="G22" s="37">
        <v>12000</v>
      </c>
      <c r="H22" s="37">
        <v>100000</v>
      </c>
      <c r="I22" s="37">
        <v>56000</v>
      </c>
      <c r="J22" s="37">
        <v>32000</v>
      </c>
      <c r="K22" s="37"/>
      <c r="L22" s="37"/>
      <c r="M22" s="37"/>
      <c r="N22" s="37"/>
      <c r="O22" s="37">
        <v>24000</v>
      </c>
      <c r="P22" s="37"/>
      <c r="Q22" s="37"/>
      <c r="R22" s="37"/>
      <c r="S22" s="37"/>
      <c r="T22" s="37">
        <f t="shared" si="0"/>
        <v>621000</v>
      </c>
    </row>
    <row r="23" spans="1:20">
      <c r="A23" s="35" t="s">
        <v>53</v>
      </c>
      <c r="B23" s="37">
        <v>166000</v>
      </c>
      <c r="C23" s="37">
        <v>36000</v>
      </c>
      <c r="D23" s="37">
        <v>67000</v>
      </c>
      <c r="E23" s="37">
        <v>16000</v>
      </c>
      <c r="F23" s="37">
        <v>83000</v>
      </c>
      <c r="G23" s="37">
        <v>12000</v>
      </c>
      <c r="H23" s="37">
        <v>57000</v>
      </c>
      <c r="I23" s="37">
        <v>56000</v>
      </c>
      <c r="J23" s="37">
        <v>9000</v>
      </c>
      <c r="K23" s="37"/>
      <c r="L23" s="37"/>
      <c r="M23" s="37"/>
      <c r="N23" s="37"/>
      <c r="O23" s="37"/>
      <c r="P23" s="37"/>
      <c r="Q23" s="37"/>
      <c r="R23" s="37">
        <v>34000</v>
      </c>
      <c r="S23" s="37"/>
      <c r="T23" s="37">
        <f t="shared" si="0"/>
        <v>536000</v>
      </c>
    </row>
    <row r="24" spans="1:20">
      <c r="A24" s="35" t="s">
        <v>54</v>
      </c>
      <c r="B24" s="37">
        <v>117000</v>
      </c>
      <c r="C24" s="37">
        <v>127000</v>
      </c>
      <c r="D24" s="37">
        <v>51000</v>
      </c>
      <c r="E24" s="37">
        <v>9000</v>
      </c>
      <c r="F24" s="37">
        <v>81000</v>
      </c>
      <c r="G24" s="37"/>
      <c r="H24" s="37">
        <v>43000</v>
      </c>
      <c r="I24" s="37">
        <v>50000</v>
      </c>
      <c r="J24" s="37">
        <v>3000</v>
      </c>
      <c r="K24" s="37"/>
      <c r="L24" s="37"/>
      <c r="M24" s="37"/>
      <c r="N24" s="37"/>
      <c r="O24" s="37">
        <v>24000</v>
      </c>
      <c r="P24" s="37"/>
      <c r="Q24" s="37"/>
      <c r="R24" s="37">
        <v>0</v>
      </c>
      <c r="S24" s="37"/>
      <c r="T24" s="37">
        <f t="shared" si="0"/>
        <v>505000</v>
      </c>
    </row>
    <row r="25" spans="1:20">
      <c r="A25" s="35" t="s">
        <v>55</v>
      </c>
      <c r="B25" s="37">
        <v>182000</v>
      </c>
      <c r="C25" s="37">
        <v>117000</v>
      </c>
      <c r="D25" s="37">
        <v>87000</v>
      </c>
      <c r="E25" s="37">
        <v>16000</v>
      </c>
      <c r="F25" s="37">
        <v>35000</v>
      </c>
      <c r="G25" s="37">
        <v>38000</v>
      </c>
      <c r="H25" s="37">
        <v>70000</v>
      </c>
      <c r="I25" s="37">
        <v>41000</v>
      </c>
      <c r="J25" s="37">
        <v>32500</v>
      </c>
      <c r="K25" s="37"/>
      <c r="L25" s="37"/>
      <c r="M25" s="37"/>
      <c r="N25" s="37"/>
      <c r="O25" s="37">
        <v>12000</v>
      </c>
      <c r="P25" s="37"/>
      <c r="Q25" s="37">
        <v>63000</v>
      </c>
      <c r="R25" s="37">
        <v>0</v>
      </c>
      <c r="S25" s="37"/>
      <c r="T25" s="37">
        <f t="shared" si="0"/>
        <v>693500</v>
      </c>
    </row>
    <row r="26" spans="1:20">
      <c r="A26" s="35" t="s">
        <v>56</v>
      </c>
      <c r="B26" s="37">
        <v>210000</v>
      </c>
      <c r="C26" s="37">
        <v>117000</v>
      </c>
      <c r="D26" s="37">
        <v>90000</v>
      </c>
      <c r="E26" s="37">
        <v>45000</v>
      </c>
      <c r="F26" s="37">
        <v>46000</v>
      </c>
      <c r="G26" s="37">
        <v>18000</v>
      </c>
      <c r="H26" s="37">
        <v>92000</v>
      </c>
      <c r="I26" s="37">
        <v>54000</v>
      </c>
      <c r="J26" s="37">
        <v>50000</v>
      </c>
      <c r="K26" s="37"/>
      <c r="L26" s="37"/>
      <c r="M26" s="37"/>
      <c r="N26" s="37"/>
      <c r="O26" s="37"/>
      <c r="P26" s="37"/>
      <c r="Q26" s="37"/>
      <c r="R26" s="37"/>
      <c r="S26" s="37"/>
      <c r="T26" s="37">
        <f t="shared" si="0"/>
        <v>722000</v>
      </c>
    </row>
    <row r="27" spans="1:20">
      <c r="A27" s="35" t="s">
        <v>57</v>
      </c>
      <c r="B27" s="37">
        <v>179000</v>
      </c>
      <c r="C27" s="37">
        <v>81000</v>
      </c>
      <c r="D27" s="37">
        <v>86000</v>
      </c>
      <c r="E27" s="37">
        <v>13000</v>
      </c>
      <c r="F27" s="37">
        <v>74000</v>
      </c>
      <c r="G27" s="37">
        <v>12000</v>
      </c>
      <c r="H27" s="37">
        <v>68000</v>
      </c>
      <c r="I27" s="37">
        <v>50000</v>
      </c>
      <c r="J27" s="37"/>
      <c r="K27" s="37"/>
      <c r="L27" s="37"/>
      <c r="M27" s="37"/>
      <c r="N27" s="37"/>
      <c r="O27" s="31">
        <v>5000</v>
      </c>
      <c r="P27" s="37"/>
      <c r="Q27" s="37"/>
      <c r="R27" s="37">
        <v>0</v>
      </c>
      <c r="S27" s="37"/>
      <c r="T27" s="37">
        <f t="shared" si="0"/>
        <v>568000</v>
      </c>
    </row>
    <row r="28" spans="1:20">
      <c r="A28" s="35" t="s">
        <v>58</v>
      </c>
      <c r="B28" s="37">
        <v>102500</v>
      </c>
      <c r="C28" s="37">
        <v>61000</v>
      </c>
      <c r="D28" s="37">
        <v>111000</v>
      </c>
      <c r="E28" s="37">
        <v>8000</v>
      </c>
      <c r="F28" s="37">
        <v>54000</v>
      </c>
      <c r="G28" s="37">
        <v>6000</v>
      </c>
      <c r="H28" s="37">
        <v>64000</v>
      </c>
      <c r="I28" s="37">
        <v>58000</v>
      </c>
      <c r="J28" s="37">
        <v>35500</v>
      </c>
      <c r="K28" s="37"/>
      <c r="L28" s="37"/>
      <c r="M28" s="37"/>
      <c r="N28" s="37"/>
      <c r="O28" s="37">
        <v>13000</v>
      </c>
      <c r="P28" s="37"/>
      <c r="Q28" s="37"/>
      <c r="R28" s="37"/>
      <c r="S28" s="37"/>
      <c r="T28" s="37">
        <f t="shared" si="0"/>
        <v>513000</v>
      </c>
    </row>
    <row r="29" spans="1:20">
      <c r="A29" s="35" t="s">
        <v>59</v>
      </c>
      <c r="B29" s="37">
        <v>113000</v>
      </c>
      <c r="C29" s="37">
        <v>91000</v>
      </c>
      <c r="D29" s="37">
        <v>98000</v>
      </c>
      <c r="E29" s="37"/>
      <c r="F29" s="37">
        <v>38000</v>
      </c>
      <c r="G29" s="37"/>
      <c r="H29" s="37">
        <v>58000</v>
      </c>
      <c r="I29" s="37">
        <v>66000</v>
      </c>
      <c r="J29" s="37">
        <v>17000</v>
      </c>
      <c r="K29" s="37"/>
      <c r="L29" s="37"/>
      <c r="M29" s="37"/>
      <c r="N29" s="37"/>
      <c r="O29" s="37"/>
      <c r="P29" s="37"/>
      <c r="Q29" s="37"/>
      <c r="R29" s="37">
        <v>0</v>
      </c>
      <c r="S29" s="37"/>
      <c r="T29" s="37">
        <f t="shared" si="0"/>
        <v>481000</v>
      </c>
    </row>
    <row r="30" spans="1:20">
      <c r="A30" s="35" t="s">
        <v>60</v>
      </c>
      <c r="B30" s="37">
        <v>55000</v>
      </c>
      <c r="C30" s="37">
        <v>37000</v>
      </c>
      <c r="D30" s="37">
        <v>112000</v>
      </c>
      <c r="E30" s="37">
        <v>8000</v>
      </c>
      <c r="F30" s="37">
        <v>83000</v>
      </c>
      <c r="G30" s="37">
        <v>18000</v>
      </c>
      <c r="H30" s="37">
        <v>92000</v>
      </c>
      <c r="I30" s="37">
        <v>135000</v>
      </c>
      <c r="J30" s="37">
        <v>34000</v>
      </c>
      <c r="K30" s="37"/>
      <c r="L30" s="37"/>
      <c r="M30" s="37"/>
      <c r="N30" s="37"/>
      <c r="O30" s="37"/>
      <c r="P30" s="37"/>
      <c r="Q30" s="37"/>
      <c r="R30" s="37">
        <v>0</v>
      </c>
      <c r="S30" s="37"/>
      <c r="T30" s="37">
        <f t="shared" si="0"/>
        <v>574000</v>
      </c>
    </row>
    <row r="31" spans="1:20">
      <c r="A31" s="35" t="s">
        <v>61</v>
      </c>
      <c r="B31" s="31">
        <v>307500</v>
      </c>
      <c r="C31" s="31">
        <v>178000</v>
      </c>
      <c r="D31" s="31">
        <v>91000</v>
      </c>
      <c r="E31" s="31">
        <v>33500</v>
      </c>
      <c r="F31" s="31">
        <v>96100</v>
      </c>
      <c r="G31" s="31">
        <v>12000</v>
      </c>
      <c r="H31" s="31">
        <v>63000</v>
      </c>
      <c r="I31" s="31">
        <v>72000</v>
      </c>
      <c r="J31" s="31">
        <v>47000</v>
      </c>
      <c r="K31" s="31"/>
      <c r="L31" s="31"/>
      <c r="M31" s="31"/>
      <c r="N31" s="31"/>
      <c r="O31" s="31"/>
      <c r="P31" s="31"/>
      <c r="Q31" s="31">
        <v>265000</v>
      </c>
      <c r="R31" s="31">
        <v>0</v>
      </c>
      <c r="S31" s="31"/>
      <c r="T31" s="37">
        <f t="shared" si="0"/>
        <v>1165100</v>
      </c>
    </row>
    <row r="32" spans="1:20">
      <c r="A32" s="35" t="s">
        <v>62</v>
      </c>
      <c r="B32" s="31">
        <v>275500</v>
      </c>
      <c r="C32" s="31">
        <v>58000</v>
      </c>
      <c r="D32" s="31">
        <v>87000</v>
      </c>
      <c r="E32" s="31">
        <v>16000</v>
      </c>
      <c r="F32" s="31">
        <v>41000</v>
      </c>
      <c r="G32" s="31"/>
      <c r="H32" s="31">
        <v>22500</v>
      </c>
      <c r="I32" s="31">
        <v>89000</v>
      </c>
      <c r="J32" s="31">
        <v>10000</v>
      </c>
      <c r="K32" s="31"/>
      <c r="L32" s="31"/>
      <c r="M32" s="31"/>
      <c r="N32" s="31"/>
      <c r="O32" s="31"/>
      <c r="P32" s="31"/>
      <c r="Q32" s="31"/>
      <c r="R32" s="31">
        <v>0</v>
      </c>
      <c r="S32" s="31"/>
      <c r="T32" s="37">
        <f t="shared" si="0"/>
        <v>599000</v>
      </c>
    </row>
    <row r="33" spans="1:20">
      <c r="A33" s="35" t="s">
        <v>63</v>
      </c>
      <c r="B33" s="31">
        <v>391000</v>
      </c>
      <c r="C33" s="31">
        <v>222000</v>
      </c>
      <c r="D33" s="31">
        <v>57000</v>
      </c>
      <c r="E33" s="31">
        <v>16000</v>
      </c>
      <c r="F33" s="31">
        <v>56400</v>
      </c>
      <c r="G33" s="31"/>
      <c r="H33" s="31">
        <v>52000</v>
      </c>
      <c r="I33" s="31">
        <v>51000</v>
      </c>
      <c r="J33" s="31">
        <v>11000</v>
      </c>
      <c r="K33" s="31"/>
      <c r="L33" s="31"/>
      <c r="M33" s="31"/>
      <c r="N33" s="31"/>
      <c r="O33" s="31">
        <v>0</v>
      </c>
      <c r="P33" s="31"/>
      <c r="Q33" s="31"/>
      <c r="R33" s="31">
        <v>0</v>
      </c>
      <c r="S33" s="31"/>
      <c r="T33" s="37">
        <f t="shared" si="0"/>
        <v>856400</v>
      </c>
    </row>
    <row r="34" spans="1:20">
      <c r="A34" s="35" t="s">
        <v>64</v>
      </c>
      <c r="B34" s="31">
        <v>101000</v>
      </c>
      <c r="C34" s="31">
        <v>143000</v>
      </c>
      <c r="D34" s="31">
        <v>69000</v>
      </c>
      <c r="E34" s="31">
        <v>17000</v>
      </c>
      <c r="F34" s="31">
        <v>73000</v>
      </c>
      <c r="G34" s="31"/>
      <c r="H34" s="31">
        <v>102000</v>
      </c>
      <c r="I34" s="31">
        <v>57000</v>
      </c>
      <c r="J34" s="31">
        <v>36000</v>
      </c>
      <c r="K34" s="31"/>
      <c r="L34" s="31"/>
      <c r="M34" s="31"/>
      <c r="N34" s="31"/>
      <c r="O34" s="46">
        <v>10000</v>
      </c>
      <c r="P34" s="31"/>
      <c r="Q34" s="31"/>
      <c r="R34" s="31">
        <v>0</v>
      </c>
      <c r="S34" s="31"/>
      <c r="T34" s="31">
        <f t="shared" si="0"/>
        <v>608000</v>
      </c>
    </row>
    <row r="35" spans="1:20">
      <c r="A35" s="35" t="s">
        <v>83</v>
      </c>
      <c r="B35" s="31">
        <v>123000</v>
      </c>
      <c r="C35" s="31">
        <v>82000</v>
      </c>
      <c r="D35" s="31">
        <v>93000</v>
      </c>
      <c r="E35" s="31">
        <v>10000</v>
      </c>
      <c r="F35" s="31">
        <v>77000</v>
      </c>
      <c r="G35" s="31"/>
      <c r="H35" s="31">
        <v>73000</v>
      </c>
      <c r="I35" s="31">
        <v>46000</v>
      </c>
      <c r="J35" s="31">
        <v>73000</v>
      </c>
      <c r="K35" s="31"/>
      <c r="L35" s="31"/>
      <c r="M35" s="31"/>
      <c r="N35" s="31"/>
      <c r="O35" s="31"/>
      <c r="P35" s="31"/>
      <c r="Q35" s="31">
        <v>200000</v>
      </c>
      <c r="R35" s="31">
        <v>0</v>
      </c>
      <c r="S35" s="31"/>
      <c r="T35" s="31">
        <f t="shared" si="0"/>
        <v>777000</v>
      </c>
    </row>
    <row r="36" spans="1:20">
      <c r="A36" s="35" t="s">
        <v>84</v>
      </c>
      <c r="B36" s="31"/>
      <c r="C36" s="31"/>
      <c r="D36" s="31"/>
      <c r="E36" s="31"/>
      <c r="F36" s="31"/>
      <c r="G36" s="31"/>
      <c r="H36" s="31"/>
      <c r="I36" s="31"/>
      <c r="J36" s="31"/>
      <c r="K36" s="31"/>
      <c r="L36" s="31"/>
      <c r="M36" s="31"/>
      <c r="N36" s="31"/>
      <c r="O36" s="31"/>
      <c r="P36" s="31"/>
      <c r="Q36" s="31"/>
      <c r="R36" s="31">
        <v>0</v>
      </c>
      <c r="S36" s="31"/>
      <c r="T36" s="31">
        <f>SUM(B36:S36)</f>
        <v>0</v>
      </c>
    </row>
    <row r="37" spans="1:20">
      <c r="A37" s="40" t="s">
        <v>23</v>
      </c>
      <c r="B37" s="41">
        <f>SUM(B6:B36)</f>
        <v>5136000</v>
      </c>
      <c r="C37" s="41">
        <f t="shared" ref="C37:J37" si="1">SUM(C6:C36)</f>
        <v>3138000</v>
      </c>
      <c r="D37" s="41">
        <f t="shared" si="1"/>
        <v>2840000</v>
      </c>
      <c r="E37" s="41">
        <f t="shared" si="1"/>
        <v>508500</v>
      </c>
      <c r="F37" s="41">
        <f t="shared" si="1"/>
        <v>2195700</v>
      </c>
      <c r="G37" s="41">
        <f t="shared" si="1"/>
        <v>306000</v>
      </c>
      <c r="H37" s="41">
        <f t="shared" si="1"/>
        <v>2406500</v>
      </c>
      <c r="I37" s="41">
        <f t="shared" si="1"/>
        <v>1761000</v>
      </c>
      <c r="J37" s="41">
        <f t="shared" si="1"/>
        <v>729000</v>
      </c>
      <c r="K37" s="31"/>
      <c r="L37" s="31"/>
      <c r="M37" s="31"/>
      <c r="N37" s="31"/>
      <c r="O37" s="31">
        <f>SUM(O6:O36)</f>
        <v>176000</v>
      </c>
      <c r="P37" s="31"/>
      <c r="Q37" s="31">
        <f>SUM(Q6:Q36)</f>
        <v>1008550</v>
      </c>
      <c r="R37" s="31">
        <f>SUM(R6:R36)</f>
        <v>54000</v>
      </c>
      <c r="S37" s="31"/>
      <c r="T37" s="31">
        <f>SUM(B37:S37)</f>
        <v>20259250</v>
      </c>
    </row>
  </sheetData>
  <mergeCells count="4">
    <mergeCell ref="B1:T1"/>
    <mergeCell ref="B2:T2"/>
    <mergeCell ref="C3:F3"/>
    <mergeCell ref="C4:F4"/>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G28"/>
  <sheetViews>
    <sheetView workbookViewId="0">
      <selection activeCell="I28" sqref="I28"/>
    </sheetView>
  </sheetViews>
  <sheetFormatPr defaultRowHeight="15"/>
  <cols>
    <col min="1" max="1" width="17.5703125" customWidth="1"/>
    <col min="2" max="2" width="13.7109375" customWidth="1"/>
    <col min="3" max="3" width="14" customWidth="1"/>
    <col min="4" max="4" width="15.42578125" customWidth="1"/>
    <col min="5" max="5" width="14.140625" customWidth="1"/>
    <col min="6" max="6" width="13.42578125" customWidth="1"/>
    <col min="7" max="7" width="18.140625" customWidth="1"/>
  </cols>
  <sheetData>
    <row r="1" spans="1:7" ht="16.5" thickBot="1">
      <c r="A1" s="6" t="s">
        <v>24</v>
      </c>
      <c r="B1" s="70" t="s">
        <v>118</v>
      </c>
      <c r="C1" s="71"/>
      <c r="D1" s="72"/>
      <c r="E1" s="11"/>
      <c r="F1" s="11"/>
      <c r="G1" s="12"/>
    </row>
    <row r="2" spans="1:7" ht="15.75">
      <c r="A2" s="13" t="s">
        <v>25</v>
      </c>
      <c r="B2" s="14" t="s">
        <v>26</v>
      </c>
      <c r="C2" s="14" t="s">
        <v>27</v>
      </c>
      <c r="D2" s="14" t="s">
        <v>28</v>
      </c>
      <c r="E2" s="14" t="s">
        <v>29</v>
      </c>
      <c r="F2" s="15" t="s">
        <v>30</v>
      </c>
      <c r="G2" s="16" t="s">
        <v>31</v>
      </c>
    </row>
    <row r="3" spans="1:7" ht="15.75">
      <c r="A3" s="17" t="s">
        <v>4</v>
      </c>
      <c r="B3" s="18">
        <v>1096500</v>
      </c>
      <c r="C3" s="18">
        <v>1173000</v>
      </c>
      <c r="D3" s="18">
        <v>1219000</v>
      </c>
      <c r="E3" s="18">
        <v>1423500</v>
      </c>
      <c r="F3" s="19">
        <v>224000</v>
      </c>
      <c r="G3" s="20">
        <f t="shared" ref="G3:G11" si="0">SUM(B3:F3)</f>
        <v>5136000</v>
      </c>
    </row>
    <row r="4" spans="1:7" ht="15.75">
      <c r="A4" s="17" t="s">
        <v>5</v>
      </c>
      <c r="B4" s="18">
        <v>769000</v>
      </c>
      <c r="C4" s="18">
        <v>749000</v>
      </c>
      <c r="D4" s="18">
        <v>667000</v>
      </c>
      <c r="E4" s="18">
        <v>728000</v>
      </c>
      <c r="F4" s="19">
        <v>225000</v>
      </c>
      <c r="G4" s="20">
        <f>SUM(B4:F4)</f>
        <v>3138000</v>
      </c>
    </row>
    <row r="5" spans="1:7" ht="15.75">
      <c r="A5" s="17" t="s">
        <v>32</v>
      </c>
      <c r="B5" s="18">
        <v>565000</v>
      </c>
      <c r="C5" s="18">
        <v>924000</v>
      </c>
      <c r="D5" s="18">
        <v>547000</v>
      </c>
      <c r="E5" s="18">
        <v>642000</v>
      </c>
      <c r="F5" s="19">
        <v>162000</v>
      </c>
      <c r="G5" s="20">
        <f>SUM(B5:F5)</f>
        <v>2840000</v>
      </c>
    </row>
    <row r="6" spans="1:7" ht="15.75">
      <c r="A6" s="17" t="s">
        <v>33</v>
      </c>
      <c r="B6" s="18">
        <v>119500</v>
      </c>
      <c r="C6" s="18">
        <v>103500</v>
      </c>
      <c r="D6" s="18">
        <v>164000</v>
      </c>
      <c r="E6" s="18">
        <v>94500</v>
      </c>
      <c r="F6" s="19">
        <v>27000</v>
      </c>
      <c r="G6" s="20">
        <f t="shared" si="0"/>
        <v>508500</v>
      </c>
    </row>
    <row r="7" spans="1:7" ht="15.75">
      <c r="A7" s="17" t="s">
        <v>8</v>
      </c>
      <c r="B7" s="18">
        <v>581000</v>
      </c>
      <c r="C7" s="18">
        <v>566500</v>
      </c>
      <c r="D7" s="18">
        <v>455700</v>
      </c>
      <c r="E7" s="18">
        <v>442500</v>
      </c>
      <c r="F7" s="19">
        <v>150000</v>
      </c>
      <c r="G7" s="20">
        <f t="shared" si="0"/>
        <v>2195700</v>
      </c>
    </row>
    <row r="8" spans="1:7" ht="15.75">
      <c r="A8" s="17" t="s">
        <v>9</v>
      </c>
      <c r="B8" s="18">
        <v>72000</v>
      </c>
      <c r="C8" s="18">
        <v>106000</v>
      </c>
      <c r="D8" s="18">
        <v>80000</v>
      </c>
      <c r="E8" s="18">
        <v>48000</v>
      </c>
      <c r="F8" s="19">
        <v>0</v>
      </c>
      <c r="G8" s="20">
        <f t="shared" si="0"/>
        <v>306000</v>
      </c>
    </row>
    <row r="9" spans="1:7" ht="15.75">
      <c r="A9" s="17" t="s">
        <v>10</v>
      </c>
      <c r="B9" s="18">
        <v>546000</v>
      </c>
      <c r="C9" s="18">
        <v>820000</v>
      </c>
      <c r="D9" s="18">
        <v>446000</v>
      </c>
      <c r="E9" s="18">
        <v>419500</v>
      </c>
      <c r="F9" s="19">
        <v>175000</v>
      </c>
      <c r="G9" s="20">
        <f t="shared" si="0"/>
        <v>2406500</v>
      </c>
    </row>
    <row r="10" spans="1:7" ht="15.75">
      <c r="A10" s="17" t="s">
        <v>11</v>
      </c>
      <c r="B10" s="18">
        <v>369000</v>
      </c>
      <c r="C10" s="18">
        <v>414000</v>
      </c>
      <c r="D10" s="18">
        <v>354000</v>
      </c>
      <c r="E10" s="18">
        <v>521000</v>
      </c>
      <c r="F10" s="19">
        <v>103000</v>
      </c>
      <c r="G10" s="20">
        <f t="shared" si="0"/>
        <v>1761000</v>
      </c>
    </row>
    <row r="11" spans="1:7" ht="15.75">
      <c r="A11" s="17" t="s">
        <v>12</v>
      </c>
      <c r="B11" s="18">
        <v>128000</v>
      </c>
      <c r="C11" s="18">
        <v>187000</v>
      </c>
      <c r="D11" s="18">
        <v>150500</v>
      </c>
      <c r="E11" s="18">
        <v>154500</v>
      </c>
      <c r="F11" s="19">
        <v>109000</v>
      </c>
      <c r="G11" s="20">
        <f t="shared" si="0"/>
        <v>729000</v>
      </c>
    </row>
    <row r="12" spans="1:7" ht="15.75">
      <c r="A12" s="17" t="s">
        <v>13</v>
      </c>
      <c r="B12" s="18"/>
      <c r="C12" s="18"/>
      <c r="D12" s="18"/>
      <c r="E12" s="18"/>
      <c r="F12" s="19"/>
      <c r="G12" s="20">
        <f t="shared" ref="G12:G19" si="1">SUM(B12:E12)</f>
        <v>0</v>
      </c>
    </row>
    <row r="13" spans="1:7" ht="15.75">
      <c r="A13" s="17" t="s">
        <v>14</v>
      </c>
      <c r="B13" s="18"/>
      <c r="C13" s="18"/>
      <c r="D13" s="18"/>
      <c r="E13" s="18"/>
      <c r="F13" s="19"/>
      <c r="G13" s="20">
        <f t="shared" si="1"/>
        <v>0</v>
      </c>
    </row>
    <row r="14" spans="1:7" ht="15.75">
      <c r="A14" s="17" t="s">
        <v>15</v>
      </c>
      <c r="B14" s="18"/>
      <c r="C14" s="18"/>
      <c r="D14" s="18"/>
      <c r="E14" s="18"/>
      <c r="F14" s="19"/>
      <c r="G14" s="20">
        <f t="shared" si="1"/>
        <v>0</v>
      </c>
    </row>
    <row r="15" spans="1:7" ht="15.75">
      <c r="A15" s="17" t="s">
        <v>16</v>
      </c>
      <c r="B15" s="18"/>
      <c r="C15" s="18"/>
      <c r="D15" s="18"/>
      <c r="E15" s="18"/>
      <c r="F15" s="19"/>
      <c r="G15" s="20">
        <f t="shared" si="1"/>
        <v>0</v>
      </c>
    </row>
    <row r="16" spans="1:7" ht="15.75">
      <c r="A16" s="17" t="s">
        <v>17</v>
      </c>
      <c r="B16" s="18">
        <v>50000</v>
      </c>
      <c r="C16" s="18">
        <v>38000</v>
      </c>
      <c r="D16" s="18">
        <v>60000</v>
      </c>
      <c r="E16" s="18">
        <v>28000</v>
      </c>
      <c r="F16" s="19"/>
      <c r="G16" s="20">
        <f>SUM(B16:F16)</f>
        <v>176000</v>
      </c>
    </row>
    <row r="17" spans="1:7" ht="15.75">
      <c r="A17" s="17" t="s">
        <v>18</v>
      </c>
      <c r="B17" s="18"/>
      <c r="C17" s="18"/>
      <c r="D17" s="18"/>
      <c r="E17" s="18"/>
      <c r="F17" s="19"/>
      <c r="G17" s="20">
        <f t="shared" si="1"/>
        <v>0</v>
      </c>
    </row>
    <row r="18" spans="1:7" ht="15.75">
      <c r="A18" s="17" t="s">
        <v>19</v>
      </c>
      <c r="B18" s="18"/>
      <c r="C18" s="18"/>
      <c r="D18" s="18"/>
      <c r="E18" s="18"/>
      <c r="F18" s="19"/>
      <c r="G18" s="20">
        <f t="shared" si="1"/>
        <v>0</v>
      </c>
    </row>
    <row r="19" spans="1:7" ht="15.75">
      <c r="A19" s="17" t="s">
        <v>34</v>
      </c>
      <c r="B19" s="18"/>
      <c r="C19" s="18"/>
      <c r="D19" s="18"/>
      <c r="E19" s="18"/>
      <c r="F19" s="19"/>
      <c r="G19" s="20">
        <f t="shared" si="1"/>
        <v>0</v>
      </c>
    </row>
    <row r="20" spans="1:7" ht="16.5" thickBot="1">
      <c r="A20" s="21" t="s">
        <v>35</v>
      </c>
      <c r="B20" s="22">
        <f t="shared" ref="B20:G20" si="2">SUM(B3:B19)</f>
        <v>4296000</v>
      </c>
      <c r="C20" s="22">
        <f t="shared" si="2"/>
        <v>5081000</v>
      </c>
      <c r="D20" s="22">
        <f t="shared" si="2"/>
        <v>4143200</v>
      </c>
      <c r="E20" s="22">
        <f t="shared" si="2"/>
        <v>4501500</v>
      </c>
      <c r="F20" s="22">
        <f t="shared" si="2"/>
        <v>1175000</v>
      </c>
      <c r="G20" s="23">
        <f t="shared" si="2"/>
        <v>19196700</v>
      </c>
    </row>
    <row r="22" spans="1:7" ht="15.75" thickBot="1"/>
    <row r="23" spans="1:7" ht="21.75" thickBot="1">
      <c r="A23" s="73" t="s">
        <v>36</v>
      </c>
      <c r="B23" s="74"/>
      <c r="C23" s="74"/>
      <c r="D23" s="74"/>
      <c r="E23" s="74"/>
      <c r="F23" s="74"/>
      <c r="G23" s="75"/>
    </row>
    <row r="24" spans="1:7" ht="15.75" thickBot="1">
      <c r="A24" s="76"/>
      <c r="B24" s="68"/>
      <c r="C24" s="68"/>
      <c r="D24" s="68"/>
      <c r="E24" s="68"/>
      <c r="F24" s="68"/>
      <c r="G24" s="69"/>
    </row>
    <row r="25" spans="1:7" ht="15.75" thickBot="1">
      <c r="A25" s="24"/>
      <c r="B25" s="25"/>
      <c r="C25" s="25"/>
      <c r="D25" s="25"/>
      <c r="E25" s="25"/>
      <c r="F25" s="25"/>
      <c r="G25" s="26"/>
    </row>
    <row r="26" spans="1:7" ht="15.75" thickBot="1">
      <c r="A26" s="67"/>
      <c r="B26" s="68"/>
      <c r="C26" s="68"/>
      <c r="D26" s="68"/>
      <c r="E26" s="68"/>
      <c r="F26" s="68"/>
      <c r="G26" s="69"/>
    </row>
    <row r="27" spans="1:7" ht="15.75" thickBot="1">
      <c r="A27" s="77"/>
      <c r="B27" s="68"/>
      <c r="C27" s="68"/>
      <c r="D27" s="68"/>
      <c r="E27" s="68"/>
      <c r="F27" s="68"/>
      <c r="G27" s="69"/>
    </row>
    <row r="28" spans="1:7" ht="15.75" thickBot="1">
      <c r="A28" s="67"/>
      <c r="B28" s="68"/>
      <c r="C28" s="68"/>
      <c r="D28" s="68"/>
      <c r="E28" s="68"/>
      <c r="F28" s="68"/>
      <c r="G28" s="69"/>
    </row>
  </sheetData>
  <mergeCells count="6">
    <mergeCell ref="A28:G28"/>
    <mergeCell ref="B1:D1"/>
    <mergeCell ref="A23:G23"/>
    <mergeCell ref="A24:G24"/>
    <mergeCell ref="A26:G26"/>
    <mergeCell ref="A27:G27"/>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T37"/>
  <sheetViews>
    <sheetView topLeftCell="B1" workbookViewId="0">
      <selection sqref="A1:T37"/>
    </sheetView>
  </sheetViews>
  <sheetFormatPr defaultRowHeight="15"/>
  <cols>
    <col min="1" max="1" width="10.42578125" customWidth="1"/>
    <col min="2" max="2" width="10.7109375" customWidth="1"/>
    <col min="3" max="3" width="10.85546875" customWidth="1"/>
    <col min="4" max="4" width="11" customWidth="1"/>
    <col min="5" max="5" width="10.28515625" customWidth="1"/>
    <col min="6" max="6" width="10.85546875" customWidth="1"/>
    <col min="8" max="8" width="10.28515625" customWidth="1"/>
    <col min="9" max="9" width="10.85546875" customWidth="1"/>
    <col min="20" max="20" width="10.140625" customWidth="1"/>
  </cols>
  <sheetData>
    <row r="1" spans="1:20" ht="26.25">
      <c r="A1" s="28"/>
      <c r="B1" s="55" t="s">
        <v>68</v>
      </c>
      <c r="C1" s="56"/>
      <c r="D1" s="56"/>
      <c r="E1" s="56"/>
      <c r="F1" s="56"/>
      <c r="G1" s="56"/>
      <c r="H1" s="56"/>
      <c r="I1" s="56"/>
      <c r="J1" s="56"/>
      <c r="K1" s="56"/>
      <c r="L1" s="56"/>
      <c r="M1" s="56"/>
      <c r="N1" s="56"/>
      <c r="O1" s="56"/>
      <c r="P1" s="56"/>
      <c r="Q1" s="56"/>
      <c r="R1" s="56"/>
      <c r="S1" s="56"/>
      <c r="T1" s="57"/>
    </row>
    <row r="2" spans="1:20" ht="27" thickBot="1">
      <c r="A2" s="4"/>
      <c r="B2" s="58" t="s">
        <v>0</v>
      </c>
      <c r="C2" s="59"/>
      <c r="D2" s="59"/>
      <c r="E2" s="59"/>
      <c r="F2" s="59"/>
      <c r="G2" s="59"/>
      <c r="H2" s="59"/>
      <c r="I2" s="59"/>
      <c r="J2" s="59"/>
      <c r="K2" s="59"/>
      <c r="L2" s="59"/>
      <c r="M2" s="59"/>
      <c r="N2" s="59"/>
      <c r="O2" s="59"/>
      <c r="P2" s="59"/>
      <c r="Q2" s="59"/>
      <c r="R2" s="59"/>
      <c r="S2" s="59"/>
      <c r="T2" s="60"/>
    </row>
    <row r="3" spans="1:20" ht="27" thickBot="1">
      <c r="A3" s="4"/>
      <c r="B3" s="29" t="s">
        <v>1</v>
      </c>
      <c r="C3" s="61" t="s">
        <v>69</v>
      </c>
      <c r="D3" s="62"/>
      <c r="E3" s="62"/>
      <c r="F3" s="63"/>
      <c r="G3" s="50" t="s">
        <v>119</v>
      </c>
    </row>
    <row r="4" spans="1:20" ht="21">
      <c r="A4" s="4"/>
      <c r="B4" s="30" t="s">
        <v>2</v>
      </c>
      <c r="C4" s="78"/>
      <c r="D4" s="79"/>
      <c r="E4" s="79"/>
      <c r="F4" s="80"/>
    </row>
    <row r="5" spans="1:20" ht="67.5">
      <c r="A5" s="32" t="s">
        <v>3</v>
      </c>
      <c r="B5" s="33" t="s">
        <v>4</v>
      </c>
      <c r="C5" s="33" t="s">
        <v>5</v>
      </c>
      <c r="D5" s="33" t="s">
        <v>6</v>
      </c>
      <c r="E5" s="33" t="s">
        <v>7</v>
      </c>
      <c r="F5" s="33" t="s">
        <v>8</v>
      </c>
      <c r="G5" s="33" t="s">
        <v>9</v>
      </c>
      <c r="H5" s="33" t="s">
        <v>10</v>
      </c>
      <c r="I5" s="33" t="s">
        <v>11</v>
      </c>
      <c r="J5" s="33" t="s">
        <v>12</v>
      </c>
      <c r="K5" s="33" t="s">
        <v>13</v>
      </c>
      <c r="L5" s="33" t="s">
        <v>14</v>
      </c>
      <c r="M5" s="33" t="s">
        <v>15</v>
      </c>
      <c r="N5" s="33" t="s">
        <v>16</v>
      </c>
      <c r="O5" s="33" t="s">
        <v>17</v>
      </c>
      <c r="P5" s="33" t="s">
        <v>18</v>
      </c>
      <c r="Q5" s="33" t="s">
        <v>19</v>
      </c>
      <c r="R5" s="33" t="s">
        <v>20</v>
      </c>
      <c r="S5" s="33" t="s">
        <v>21</v>
      </c>
      <c r="T5" s="33" t="s">
        <v>22</v>
      </c>
    </row>
    <row r="6" spans="1:20">
      <c r="A6" s="35" t="s">
        <v>67</v>
      </c>
      <c r="B6" s="36">
        <v>165500</v>
      </c>
      <c r="C6" s="36">
        <v>74000</v>
      </c>
      <c r="D6" s="36">
        <v>74000</v>
      </c>
      <c r="E6" s="36">
        <v>17000</v>
      </c>
      <c r="F6" s="36">
        <v>65000</v>
      </c>
      <c r="G6" s="36">
        <v>0</v>
      </c>
      <c r="H6" s="36">
        <v>41000</v>
      </c>
      <c r="I6" s="36">
        <v>61000</v>
      </c>
      <c r="J6" s="36">
        <v>6000</v>
      </c>
      <c r="K6" s="36"/>
      <c r="L6" s="36"/>
      <c r="M6" s="36"/>
      <c r="N6" s="36"/>
      <c r="O6" s="36">
        <v>12000</v>
      </c>
      <c r="P6" s="36"/>
      <c r="Q6" s="36">
        <v>92000</v>
      </c>
      <c r="R6" s="36" t="s">
        <v>121</v>
      </c>
      <c r="S6" s="37"/>
      <c r="T6" s="37">
        <f t="shared" ref="T6:T35" si="0">SUM(B6:S6)</f>
        <v>607500</v>
      </c>
    </row>
    <row r="7" spans="1:20">
      <c r="A7" s="35" t="s">
        <v>37</v>
      </c>
      <c r="B7" s="36">
        <v>278000</v>
      </c>
      <c r="C7" s="36">
        <v>49000</v>
      </c>
      <c r="D7" s="36">
        <v>60000</v>
      </c>
      <c r="E7" s="36">
        <v>20000</v>
      </c>
      <c r="F7" s="36">
        <v>106000</v>
      </c>
      <c r="G7" s="36">
        <v>0</v>
      </c>
      <c r="H7" s="36">
        <v>82000</v>
      </c>
      <c r="I7" s="36">
        <v>46000</v>
      </c>
      <c r="J7" s="36">
        <v>19000</v>
      </c>
      <c r="K7" s="36"/>
      <c r="L7" s="36"/>
      <c r="M7" s="36"/>
      <c r="N7" s="36"/>
      <c r="O7" s="36">
        <v>34000</v>
      </c>
      <c r="P7" s="36"/>
      <c r="Q7" s="36"/>
      <c r="R7" s="36"/>
      <c r="S7" s="37"/>
      <c r="T7" s="37">
        <f t="shared" si="0"/>
        <v>694000</v>
      </c>
    </row>
    <row r="8" spans="1:20">
      <c r="A8" s="35" t="s">
        <v>38</v>
      </c>
      <c r="B8" s="36">
        <v>166500</v>
      </c>
      <c r="C8" s="36">
        <v>64000</v>
      </c>
      <c r="D8" s="36">
        <v>104000</v>
      </c>
      <c r="E8" s="36">
        <v>11000</v>
      </c>
      <c r="F8" s="36">
        <v>60000</v>
      </c>
      <c r="G8" s="36">
        <v>0</v>
      </c>
      <c r="H8" s="36">
        <v>80000</v>
      </c>
      <c r="I8" s="36">
        <v>48000</v>
      </c>
      <c r="J8" s="36">
        <v>33000</v>
      </c>
      <c r="K8" s="36"/>
      <c r="L8" s="36"/>
      <c r="M8" s="36"/>
      <c r="N8" s="36"/>
      <c r="O8" s="36"/>
      <c r="P8" s="36"/>
      <c r="Q8" s="36"/>
      <c r="R8" s="36"/>
      <c r="S8" s="37"/>
      <c r="T8" s="37">
        <f t="shared" si="0"/>
        <v>566500</v>
      </c>
    </row>
    <row r="9" spans="1:20">
      <c r="A9" s="35" t="s">
        <v>39</v>
      </c>
      <c r="B9" s="36">
        <v>248000</v>
      </c>
      <c r="C9" s="36">
        <v>192000</v>
      </c>
      <c r="D9" s="36">
        <v>114000</v>
      </c>
      <c r="E9" s="36">
        <v>51000</v>
      </c>
      <c r="F9" s="36">
        <v>101000</v>
      </c>
      <c r="G9" s="36">
        <v>12000</v>
      </c>
      <c r="H9" s="36">
        <v>96000</v>
      </c>
      <c r="I9" s="36">
        <v>69000</v>
      </c>
      <c r="J9" s="36">
        <v>26000</v>
      </c>
      <c r="K9" s="36"/>
      <c r="L9" s="36"/>
      <c r="M9" s="36"/>
      <c r="N9" s="36"/>
      <c r="O9" s="36">
        <v>7000</v>
      </c>
      <c r="Q9" s="36"/>
      <c r="R9" s="36"/>
      <c r="S9" s="37"/>
      <c r="T9" s="37">
        <f t="shared" si="0"/>
        <v>916000</v>
      </c>
    </row>
    <row r="10" spans="1:20">
      <c r="A10" s="35" t="s">
        <v>40</v>
      </c>
      <c r="B10" s="37">
        <v>175000</v>
      </c>
      <c r="C10" s="37">
        <v>48000</v>
      </c>
      <c r="D10" s="37">
        <v>87000</v>
      </c>
      <c r="E10" s="37">
        <v>11000</v>
      </c>
      <c r="F10" s="37">
        <v>42000</v>
      </c>
      <c r="G10" s="37">
        <v>12000</v>
      </c>
      <c r="H10" s="37">
        <v>46000</v>
      </c>
      <c r="I10" s="37">
        <v>28000</v>
      </c>
      <c r="J10" s="37">
        <v>0</v>
      </c>
      <c r="K10" s="37"/>
      <c r="L10" s="37"/>
      <c r="M10" s="37"/>
      <c r="N10" s="37"/>
      <c r="O10" s="37"/>
      <c r="P10" s="37"/>
      <c r="Q10" s="37"/>
      <c r="R10" s="37"/>
      <c r="S10" s="37"/>
      <c r="T10" s="37">
        <f t="shared" si="0"/>
        <v>449000</v>
      </c>
    </row>
    <row r="11" spans="1:20">
      <c r="A11" s="35" t="s">
        <v>41</v>
      </c>
      <c r="B11" s="37">
        <v>200000</v>
      </c>
      <c r="C11" s="37">
        <v>105000</v>
      </c>
      <c r="D11" s="37">
        <v>147000</v>
      </c>
      <c r="E11" s="37">
        <v>28000</v>
      </c>
      <c r="F11" s="37">
        <v>155000</v>
      </c>
      <c r="G11" s="37">
        <v>36000</v>
      </c>
      <c r="H11" s="37">
        <v>260000</v>
      </c>
      <c r="I11" s="37">
        <v>181000</v>
      </c>
      <c r="J11" s="37">
        <v>88000</v>
      </c>
      <c r="K11" s="37"/>
      <c r="L11" s="37"/>
      <c r="M11" s="37"/>
      <c r="N11" s="37"/>
      <c r="O11" s="37">
        <v>12000</v>
      </c>
      <c r="P11" s="37"/>
      <c r="Q11" s="37"/>
      <c r="R11" s="37"/>
      <c r="S11" s="37"/>
      <c r="T11" s="37">
        <f t="shared" si="0"/>
        <v>1212000</v>
      </c>
    </row>
    <row r="12" spans="1:20">
      <c r="A12" s="35" t="s">
        <v>42</v>
      </c>
      <c r="B12" s="37">
        <v>153000</v>
      </c>
      <c r="C12" s="37">
        <v>102000</v>
      </c>
      <c r="D12" s="37">
        <v>110000</v>
      </c>
      <c r="E12" s="37">
        <v>17000</v>
      </c>
      <c r="F12" s="37">
        <v>96600</v>
      </c>
      <c r="G12" s="37">
        <v>0</v>
      </c>
      <c r="H12" s="37">
        <v>111000</v>
      </c>
      <c r="I12" s="37">
        <v>64000</v>
      </c>
      <c r="J12" s="37">
        <v>33000</v>
      </c>
      <c r="K12" s="37"/>
      <c r="L12" s="37"/>
      <c r="M12" s="37"/>
      <c r="N12" s="37"/>
      <c r="O12" s="37"/>
      <c r="P12" s="37"/>
      <c r="Q12" s="37"/>
      <c r="R12" s="37"/>
      <c r="S12" s="37"/>
      <c r="T12" s="37">
        <f t="shared" si="0"/>
        <v>686600</v>
      </c>
    </row>
    <row r="13" spans="1:20">
      <c r="A13" s="35" t="s">
        <v>43</v>
      </c>
      <c r="B13" s="37">
        <v>145000</v>
      </c>
      <c r="C13" s="37">
        <v>30000</v>
      </c>
      <c r="D13" s="37">
        <v>133000</v>
      </c>
      <c r="E13" s="37">
        <v>9000</v>
      </c>
      <c r="F13" s="37">
        <v>125800</v>
      </c>
      <c r="G13" s="37">
        <v>0</v>
      </c>
      <c r="H13" s="37">
        <v>118000</v>
      </c>
      <c r="I13" s="37">
        <v>75000</v>
      </c>
      <c r="J13" s="37">
        <v>10000</v>
      </c>
      <c r="K13" s="37"/>
      <c r="L13" s="37"/>
      <c r="M13" s="37"/>
      <c r="N13" s="37"/>
      <c r="O13" s="37">
        <v>11000</v>
      </c>
      <c r="P13" s="37"/>
      <c r="Q13" s="37"/>
      <c r="R13" s="37"/>
      <c r="S13" s="37"/>
      <c r="T13" s="37">
        <f t="shared" si="0"/>
        <v>656800</v>
      </c>
    </row>
    <row r="14" spans="1:20">
      <c r="A14" s="35" t="s">
        <v>44</v>
      </c>
      <c r="B14" s="37">
        <v>143000</v>
      </c>
      <c r="C14" s="37">
        <v>70000</v>
      </c>
      <c r="D14" s="37">
        <v>82500</v>
      </c>
      <c r="E14" s="37">
        <v>10000</v>
      </c>
      <c r="F14" s="37">
        <v>103000</v>
      </c>
      <c r="G14" s="37">
        <v>0</v>
      </c>
      <c r="H14" s="37">
        <v>66000</v>
      </c>
      <c r="I14" s="37">
        <v>30000</v>
      </c>
      <c r="J14" s="37">
        <v>5000</v>
      </c>
      <c r="K14" s="37"/>
      <c r="L14" s="37"/>
      <c r="M14" s="37"/>
      <c r="N14" s="37"/>
      <c r="O14" s="37"/>
      <c r="P14" s="37"/>
      <c r="Q14" s="37"/>
      <c r="R14" s="37"/>
      <c r="S14" s="37"/>
      <c r="T14" s="37">
        <f t="shared" si="0"/>
        <v>509500</v>
      </c>
    </row>
    <row r="15" spans="1:20">
      <c r="A15" s="35" t="s">
        <v>45</v>
      </c>
      <c r="B15" s="37">
        <v>187000</v>
      </c>
      <c r="C15" s="37">
        <v>162000</v>
      </c>
      <c r="D15" s="37">
        <v>147000</v>
      </c>
      <c r="E15" s="37">
        <v>51000</v>
      </c>
      <c r="F15" s="37">
        <v>146000</v>
      </c>
      <c r="G15" s="37">
        <v>0</v>
      </c>
      <c r="H15" s="37">
        <v>83000</v>
      </c>
      <c r="I15" s="37">
        <v>115000</v>
      </c>
      <c r="J15" s="37">
        <v>20000</v>
      </c>
      <c r="K15" s="37"/>
      <c r="L15" s="37">
        <v>0</v>
      </c>
      <c r="M15" s="37"/>
      <c r="N15" s="37"/>
      <c r="O15" s="37"/>
      <c r="P15" s="37"/>
      <c r="Q15" s="37"/>
      <c r="R15" s="37"/>
      <c r="S15" s="37"/>
      <c r="T15" s="37">
        <f t="shared" si="0"/>
        <v>911000</v>
      </c>
    </row>
    <row r="16" spans="1:20">
      <c r="A16" s="35" t="s">
        <v>46</v>
      </c>
      <c r="B16" s="37">
        <v>194000</v>
      </c>
      <c r="C16" s="37">
        <v>78000</v>
      </c>
      <c r="D16" s="37">
        <v>139000</v>
      </c>
      <c r="E16" s="37">
        <v>29500</v>
      </c>
      <c r="F16" s="37">
        <v>135000</v>
      </c>
      <c r="G16" s="37">
        <v>0</v>
      </c>
      <c r="H16" s="37">
        <v>130000</v>
      </c>
      <c r="I16" s="37">
        <v>75000</v>
      </c>
      <c r="J16" s="37">
        <v>20000</v>
      </c>
      <c r="K16" s="37"/>
      <c r="L16" s="37"/>
      <c r="M16" s="37"/>
      <c r="N16" s="37"/>
      <c r="O16" s="37">
        <v>24000</v>
      </c>
      <c r="P16" s="37"/>
      <c r="Q16" s="37"/>
      <c r="R16" s="37"/>
      <c r="S16" s="37"/>
      <c r="T16" s="37">
        <f t="shared" si="0"/>
        <v>824500</v>
      </c>
    </row>
    <row r="17" spans="1:20">
      <c r="A17" s="35" t="s">
        <v>47</v>
      </c>
      <c r="B17" s="37">
        <v>367000</v>
      </c>
      <c r="C17" s="37">
        <v>127000</v>
      </c>
      <c r="D17" s="37">
        <v>295000</v>
      </c>
      <c r="E17" s="37">
        <v>55000</v>
      </c>
      <c r="F17" s="37">
        <v>253000</v>
      </c>
      <c r="G17" s="37">
        <v>0</v>
      </c>
      <c r="H17" s="37">
        <v>351000</v>
      </c>
      <c r="I17" s="37">
        <v>128000</v>
      </c>
      <c r="J17" s="37">
        <v>24000</v>
      </c>
      <c r="K17" s="37"/>
      <c r="L17" s="37"/>
      <c r="M17" s="37"/>
      <c r="N17" s="37"/>
      <c r="O17" s="37"/>
      <c r="P17" s="37"/>
      <c r="Q17" s="37"/>
      <c r="R17" s="37"/>
      <c r="S17" s="37"/>
      <c r="T17" s="37">
        <f t="shared" si="0"/>
        <v>1600000</v>
      </c>
    </row>
    <row r="18" spans="1:20">
      <c r="A18" s="35" t="s">
        <v>48</v>
      </c>
      <c r="B18" s="37">
        <v>287000</v>
      </c>
      <c r="C18" s="37">
        <v>122000</v>
      </c>
      <c r="D18" s="37">
        <v>138000</v>
      </c>
      <c r="E18" s="37">
        <v>14000</v>
      </c>
      <c r="F18" s="37">
        <v>100000</v>
      </c>
      <c r="G18" s="37">
        <v>6000</v>
      </c>
      <c r="H18" s="37">
        <v>185000</v>
      </c>
      <c r="I18" s="37">
        <v>150000</v>
      </c>
      <c r="J18" s="37">
        <v>0</v>
      </c>
      <c r="K18" s="37"/>
      <c r="L18" s="37"/>
      <c r="M18" s="37"/>
      <c r="N18" s="37"/>
      <c r="O18" s="37">
        <v>26000</v>
      </c>
      <c r="P18" s="37"/>
      <c r="Q18" s="37"/>
      <c r="R18" s="37"/>
      <c r="S18" s="37"/>
      <c r="T18" s="37">
        <f t="shared" si="0"/>
        <v>1028000</v>
      </c>
    </row>
    <row r="19" spans="1:20">
      <c r="A19" s="35" t="s">
        <v>49</v>
      </c>
      <c r="B19" s="37">
        <v>251000</v>
      </c>
      <c r="C19" s="37">
        <v>109000</v>
      </c>
      <c r="D19" s="37">
        <v>97000</v>
      </c>
      <c r="E19" s="37">
        <v>41000</v>
      </c>
      <c r="F19" s="37">
        <v>135000</v>
      </c>
      <c r="G19" s="37">
        <v>0</v>
      </c>
      <c r="H19" s="37">
        <v>103000</v>
      </c>
      <c r="I19" s="37">
        <v>88000</v>
      </c>
      <c r="J19" s="37">
        <v>6000</v>
      </c>
      <c r="K19" s="37"/>
      <c r="L19" s="37"/>
      <c r="M19" s="37"/>
      <c r="N19" s="37"/>
      <c r="O19" s="37"/>
      <c r="P19" s="37"/>
      <c r="Q19" s="37"/>
      <c r="R19" s="37"/>
      <c r="S19" s="37"/>
      <c r="T19" s="37">
        <f t="shared" si="0"/>
        <v>830000</v>
      </c>
    </row>
    <row r="20" spans="1:20">
      <c r="A20" s="35" t="s">
        <v>50</v>
      </c>
      <c r="B20" s="37">
        <v>226000</v>
      </c>
      <c r="C20" s="37">
        <v>43000</v>
      </c>
      <c r="D20" s="37">
        <v>107000</v>
      </c>
      <c r="E20" s="37">
        <v>13500</v>
      </c>
      <c r="F20" s="37">
        <v>108000</v>
      </c>
      <c r="G20" s="37">
        <v>0</v>
      </c>
      <c r="H20" s="37">
        <v>88000</v>
      </c>
      <c r="I20" s="37">
        <v>60000</v>
      </c>
      <c r="J20" s="37">
        <v>12000</v>
      </c>
      <c r="K20" s="37"/>
      <c r="L20" s="37"/>
      <c r="M20" s="37"/>
      <c r="N20" s="37"/>
      <c r="O20" s="37">
        <v>6000</v>
      </c>
      <c r="P20" s="37"/>
      <c r="Q20" s="37"/>
      <c r="R20" s="37"/>
      <c r="S20" s="37"/>
      <c r="T20" s="37">
        <f t="shared" si="0"/>
        <v>663500</v>
      </c>
    </row>
    <row r="21" spans="1:20">
      <c r="A21" s="35" t="s">
        <v>73</v>
      </c>
      <c r="B21" s="37">
        <v>217000</v>
      </c>
      <c r="C21" s="37">
        <v>158000</v>
      </c>
      <c r="D21" s="37">
        <v>71000</v>
      </c>
      <c r="E21" s="37">
        <v>15000</v>
      </c>
      <c r="F21" s="37">
        <v>63000</v>
      </c>
      <c r="G21" s="37">
        <v>0</v>
      </c>
      <c r="H21" s="37">
        <v>57000</v>
      </c>
      <c r="I21" s="37">
        <v>57000</v>
      </c>
      <c r="J21" s="37">
        <v>10000</v>
      </c>
      <c r="K21" s="37"/>
      <c r="L21" s="37"/>
      <c r="M21" s="37"/>
      <c r="N21" s="37"/>
      <c r="O21" s="37"/>
      <c r="P21" s="37"/>
      <c r="Q21" s="37"/>
      <c r="R21" s="37"/>
      <c r="S21" s="37"/>
      <c r="T21" s="37">
        <f t="shared" si="0"/>
        <v>648000</v>
      </c>
    </row>
    <row r="22" spans="1:20">
      <c r="A22" s="35" t="s">
        <v>52</v>
      </c>
      <c r="B22" s="37">
        <v>165000</v>
      </c>
      <c r="C22" s="37">
        <v>128000</v>
      </c>
      <c r="D22" s="37">
        <v>11000</v>
      </c>
      <c r="E22" s="37">
        <v>7500</v>
      </c>
      <c r="F22" s="37">
        <v>81000</v>
      </c>
      <c r="G22" s="37">
        <v>0</v>
      </c>
      <c r="H22" s="37">
        <v>73000</v>
      </c>
      <c r="I22" s="37">
        <v>33500</v>
      </c>
      <c r="J22" s="37">
        <v>12000</v>
      </c>
      <c r="K22" s="37"/>
      <c r="L22" s="37"/>
      <c r="M22" s="37"/>
      <c r="N22" s="37"/>
      <c r="O22" s="37"/>
      <c r="P22" s="37"/>
      <c r="Q22" s="37"/>
      <c r="R22" s="37"/>
      <c r="S22" s="37"/>
      <c r="T22" s="37">
        <f t="shared" si="0"/>
        <v>511000</v>
      </c>
    </row>
    <row r="23" spans="1:20">
      <c r="A23" s="35" t="s">
        <v>53</v>
      </c>
      <c r="B23" s="37">
        <v>236000</v>
      </c>
      <c r="C23" s="37">
        <v>156000</v>
      </c>
      <c r="D23" s="37">
        <v>97000</v>
      </c>
      <c r="E23" s="37">
        <v>30000</v>
      </c>
      <c r="F23" s="37">
        <v>102000</v>
      </c>
      <c r="G23" s="37">
        <v>18000</v>
      </c>
      <c r="H23" s="37">
        <v>132000</v>
      </c>
      <c r="I23" s="37">
        <v>52000</v>
      </c>
      <c r="J23" s="37">
        <v>0</v>
      </c>
      <c r="K23" s="37"/>
      <c r="L23" s="37"/>
      <c r="M23" s="37"/>
      <c r="N23" s="37"/>
      <c r="O23" s="37">
        <v>25000</v>
      </c>
      <c r="P23" s="37"/>
      <c r="Q23" s="37"/>
      <c r="R23" s="37"/>
      <c r="S23" s="37"/>
      <c r="T23" s="37">
        <f t="shared" si="0"/>
        <v>848000</v>
      </c>
    </row>
    <row r="24" spans="1:20">
      <c r="A24" s="35" t="s">
        <v>54</v>
      </c>
      <c r="B24" s="37">
        <v>252000</v>
      </c>
      <c r="C24" s="37">
        <v>233000</v>
      </c>
      <c r="D24" s="37">
        <v>110000</v>
      </c>
      <c r="E24" s="37">
        <v>10500</v>
      </c>
      <c r="F24" s="37">
        <v>86500</v>
      </c>
      <c r="G24" s="37">
        <v>0</v>
      </c>
      <c r="H24" s="37">
        <v>152000</v>
      </c>
      <c r="I24" s="37">
        <v>82000</v>
      </c>
      <c r="J24" s="37">
        <v>4000</v>
      </c>
      <c r="K24" s="37"/>
      <c r="L24" s="37"/>
      <c r="M24" s="37"/>
      <c r="N24" s="37"/>
      <c r="O24" s="37"/>
      <c r="P24" s="37"/>
      <c r="Q24" s="37"/>
      <c r="R24" s="37"/>
      <c r="S24" s="37"/>
      <c r="T24" s="37">
        <f t="shared" si="0"/>
        <v>930000</v>
      </c>
    </row>
    <row r="25" spans="1:20">
      <c r="A25" s="35" t="s">
        <v>55</v>
      </c>
      <c r="B25" s="37">
        <v>198500</v>
      </c>
      <c r="C25" s="37">
        <v>155000</v>
      </c>
      <c r="D25" s="37">
        <v>119000</v>
      </c>
      <c r="E25" s="37">
        <v>29000</v>
      </c>
      <c r="F25" s="37">
        <v>165900</v>
      </c>
      <c r="G25" s="37">
        <v>0</v>
      </c>
      <c r="H25" s="37">
        <v>119500</v>
      </c>
      <c r="I25" s="37">
        <v>15000</v>
      </c>
      <c r="J25" s="37">
        <v>37000</v>
      </c>
      <c r="K25" s="37"/>
      <c r="L25" s="37"/>
      <c r="M25" s="37"/>
      <c r="N25" s="37"/>
      <c r="O25" s="37">
        <v>5000</v>
      </c>
      <c r="P25" s="37"/>
      <c r="Q25" s="37"/>
      <c r="R25" s="37"/>
      <c r="S25" s="37"/>
      <c r="T25" s="37">
        <f t="shared" si="0"/>
        <v>843900</v>
      </c>
    </row>
    <row r="26" spans="1:20">
      <c r="A26" s="35" t="s">
        <v>56</v>
      </c>
      <c r="B26" s="37">
        <v>179000</v>
      </c>
      <c r="C26" s="37">
        <v>93000</v>
      </c>
      <c r="D26" s="37">
        <v>124000</v>
      </c>
      <c r="E26" s="37">
        <v>4000</v>
      </c>
      <c r="F26" s="37">
        <v>153000</v>
      </c>
      <c r="G26" s="37">
        <v>0</v>
      </c>
      <c r="H26" s="37">
        <v>104000</v>
      </c>
      <c r="I26" s="37">
        <v>70000</v>
      </c>
      <c r="J26" s="37">
        <v>16000</v>
      </c>
      <c r="K26" s="37"/>
      <c r="L26" s="37"/>
      <c r="M26" s="37"/>
      <c r="N26" s="37"/>
      <c r="O26" s="37"/>
      <c r="P26" s="37"/>
      <c r="Q26" s="37"/>
      <c r="R26" s="37"/>
      <c r="S26" s="37"/>
      <c r="T26" s="37">
        <f t="shared" si="0"/>
        <v>743000</v>
      </c>
    </row>
    <row r="27" spans="1:20">
      <c r="A27" s="35" t="s">
        <v>57</v>
      </c>
      <c r="B27" s="37">
        <v>154000</v>
      </c>
      <c r="C27" s="37">
        <v>84000</v>
      </c>
      <c r="D27" s="37">
        <v>128000</v>
      </c>
      <c r="E27" s="37">
        <v>11500</v>
      </c>
      <c r="F27" s="37">
        <v>130000</v>
      </c>
      <c r="G27" s="37">
        <v>0</v>
      </c>
      <c r="H27" s="37">
        <v>97000</v>
      </c>
      <c r="I27" s="37">
        <v>55000</v>
      </c>
      <c r="J27" s="37">
        <v>3000</v>
      </c>
      <c r="K27" s="37"/>
      <c r="L27" s="37"/>
      <c r="M27" s="37"/>
      <c r="N27" s="37"/>
      <c r="O27" s="31"/>
      <c r="P27" s="37"/>
      <c r="Q27" s="37"/>
      <c r="R27" s="37"/>
      <c r="S27" s="37"/>
      <c r="T27" s="37">
        <f t="shared" si="0"/>
        <v>662500</v>
      </c>
    </row>
    <row r="28" spans="1:20">
      <c r="A28" s="35" t="s">
        <v>58</v>
      </c>
      <c r="B28" s="37">
        <v>116000</v>
      </c>
      <c r="C28" s="37">
        <v>50000</v>
      </c>
      <c r="D28" s="37">
        <v>112000</v>
      </c>
      <c r="E28" s="37">
        <v>21000</v>
      </c>
      <c r="F28" s="37">
        <v>107000</v>
      </c>
      <c r="G28" s="37">
        <v>0</v>
      </c>
      <c r="H28" s="37">
        <v>57000</v>
      </c>
      <c r="I28" s="37">
        <v>44000</v>
      </c>
      <c r="J28" s="37">
        <v>0</v>
      </c>
      <c r="K28" s="37"/>
      <c r="L28" s="37"/>
      <c r="M28" s="37"/>
      <c r="N28" s="37"/>
      <c r="O28" s="37">
        <v>18000</v>
      </c>
      <c r="P28" s="37"/>
      <c r="Q28" s="37"/>
      <c r="R28" s="37"/>
      <c r="S28" s="37"/>
      <c r="T28" s="37">
        <f t="shared" si="0"/>
        <v>525000</v>
      </c>
    </row>
    <row r="29" spans="1:20">
      <c r="A29" s="35" t="s">
        <v>59</v>
      </c>
      <c r="B29" s="37">
        <v>152000</v>
      </c>
      <c r="C29" s="37">
        <v>35000</v>
      </c>
      <c r="D29" s="37">
        <v>119000</v>
      </c>
      <c r="E29" s="37">
        <v>11000</v>
      </c>
      <c r="F29" s="37">
        <v>140400</v>
      </c>
      <c r="G29" s="37">
        <v>42000</v>
      </c>
      <c r="H29" s="37">
        <v>127000</v>
      </c>
      <c r="I29" s="37">
        <v>114000</v>
      </c>
      <c r="J29" s="37">
        <v>6000</v>
      </c>
      <c r="K29" s="37"/>
      <c r="L29" s="37"/>
      <c r="M29" s="37"/>
      <c r="N29" s="37"/>
      <c r="O29" s="37"/>
      <c r="P29" s="37"/>
      <c r="Q29" s="37"/>
      <c r="R29" s="37"/>
      <c r="S29" s="37"/>
      <c r="T29" s="37">
        <f t="shared" si="0"/>
        <v>746400</v>
      </c>
    </row>
    <row r="30" spans="1:20">
      <c r="A30" s="35" t="s">
        <v>60</v>
      </c>
      <c r="B30" s="37">
        <v>188000</v>
      </c>
      <c r="C30" s="37">
        <v>135000</v>
      </c>
      <c r="D30" s="37">
        <v>134000</v>
      </c>
      <c r="E30" s="37">
        <v>23000</v>
      </c>
      <c r="F30" s="37">
        <v>153000</v>
      </c>
      <c r="G30" s="37">
        <v>6000</v>
      </c>
      <c r="H30" s="37">
        <v>150500</v>
      </c>
      <c r="I30" s="37">
        <v>103000</v>
      </c>
      <c r="J30" s="37">
        <v>20000</v>
      </c>
      <c r="K30" s="37"/>
      <c r="L30" s="37"/>
      <c r="M30" s="37"/>
      <c r="N30" s="37"/>
      <c r="O30" s="37"/>
      <c r="P30" s="37"/>
      <c r="Q30" s="37"/>
      <c r="R30" s="37"/>
      <c r="S30" s="37"/>
      <c r="T30" s="37">
        <f t="shared" si="0"/>
        <v>912500</v>
      </c>
    </row>
    <row r="31" spans="1:20">
      <c r="A31" s="35" t="s">
        <v>61</v>
      </c>
      <c r="B31" s="31">
        <v>160000</v>
      </c>
      <c r="C31" s="31">
        <v>107000</v>
      </c>
      <c r="D31" s="31">
        <v>140000</v>
      </c>
      <c r="E31" s="31">
        <v>49000</v>
      </c>
      <c r="F31" s="31">
        <v>114000</v>
      </c>
      <c r="G31" s="31">
        <v>0</v>
      </c>
      <c r="H31" s="31">
        <v>106000</v>
      </c>
      <c r="I31" s="31">
        <v>72000</v>
      </c>
      <c r="J31" s="31">
        <v>12000</v>
      </c>
      <c r="K31" s="31"/>
      <c r="L31" s="31"/>
      <c r="M31" s="31"/>
      <c r="N31" s="31"/>
      <c r="O31" s="31"/>
      <c r="P31" s="31"/>
      <c r="Q31" s="31"/>
      <c r="R31" s="31"/>
      <c r="S31" s="31"/>
      <c r="T31" s="37">
        <f t="shared" si="0"/>
        <v>760000</v>
      </c>
    </row>
    <row r="32" spans="1:20">
      <c r="A32" s="35" t="s">
        <v>62</v>
      </c>
      <c r="B32" s="31">
        <v>238000</v>
      </c>
      <c r="C32" s="31">
        <v>123000</v>
      </c>
      <c r="D32" s="31">
        <v>127000</v>
      </c>
      <c r="E32" s="31">
        <v>36000</v>
      </c>
      <c r="F32" s="31">
        <v>120000</v>
      </c>
      <c r="G32" s="31">
        <v>24000</v>
      </c>
      <c r="H32" s="31">
        <v>97000</v>
      </c>
      <c r="I32" s="31">
        <v>90000</v>
      </c>
      <c r="J32" s="31">
        <v>0</v>
      </c>
      <c r="K32" s="31"/>
      <c r="L32" s="31"/>
      <c r="M32" s="31"/>
      <c r="N32" s="31"/>
      <c r="O32" s="31"/>
      <c r="P32" s="31"/>
      <c r="Q32" s="31"/>
      <c r="R32" s="31"/>
      <c r="S32" s="31"/>
      <c r="T32" s="37">
        <f t="shared" si="0"/>
        <v>855000</v>
      </c>
    </row>
    <row r="33" spans="1:20">
      <c r="A33" s="35" t="s">
        <v>63</v>
      </c>
      <c r="B33" s="31">
        <v>165500</v>
      </c>
      <c r="C33" s="31">
        <v>101000</v>
      </c>
      <c r="D33" s="31">
        <v>149000</v>
      </c>
      <c r="E33" s="31">
        <v>14500</v>
      </c>
      <c r="F33" s="31">
        <v>91000</v>
      </c>
      <c r="G33" s="31">
        <v>0</v>
      </c>
      <c r="H33" s="31">
        <v>52000</v>
      </c>
      <c r="I33" s="31">
        <v>64000</v>
      </c>
      <c r="J33" s="31">
        <v>17000</v>
      </c>
      <c r="K33" s="31"/>
      <c r="L33" s="31"/>
      <c r="M33" s="31"/>
      <c r="N33" s="31"/>
      <c r="O33" s="31"/>
      <c r="P33" s="31"/>
      <c r="Q33" s="31"/>
      <c r="R33" s="31"/>
      <c r="S33" s="31"/>
      <c r="T33" s="37">
        <f t="shared" si="0"/>
        <v>654000</v>
      </c>
    </row>
    <row r="34" spans="1:20">
      <c r="A34" s="35" t="s">
        <v>64</v>
      </c>
      <c r="B34" s="31">
        <v>240500</v>
      </c>
      <c r="C34" s="31">
        <v>113000</v>
      </c>
      <c r="D34" s="31">
        <v>89000</v>
      </c>
      <c r="E34" s="31">
        <v>8000</v>
      </c>
      <c r="F34" s="31">
        <v>84000</v>
      </c>
      <c r="G34" s="31">
        <v>12000</v>
      </c>
      <c r="H34" s="31">
        <v>110000</v>
      </c>
      <c r="I34" s="31">
        <v>37000</v>
      </c>
      <c r="J34" s="31">
        <v>10000</v>
      </c>
      <c r="K34" s="31"/>
      <c r="L34" s="31"/>
      <c r="M34" s="31"/>
      <c r="N34" s="31"/>
      <c r="O34" s="46"/>
      <c r="P34" s="31"/>
      <c r="Q34" s="31"/>
      <c r="R34" s="31"/>
      <c r="S34" s="31"/>
      <c r="T34" s="31">
        <f t="shared" si="0"/>
        <v>703500</v>
      </c>
    </row>
    <row r="35" spans="1:20">
      <c r="A35" s="35" t="s">
        <v>83</v>
      </c>
      <c r="B35" s="31">
        <v>152000</v>
      </c>
      <c r="C35" s="31">
        <v>62000</v>
      </c>
      <c r="D35" s="31">
        <v>74000</v>
      </c>
      <c r="E35" s="31">
        <v>22500</v>
      </c>
      <c r="F35" s="31">
        <v>67000</v>
      </c>
      <c r="G35" s="31">
        <v>0</v>
      </c>
      <c r="H35" s="31">
        <v>56000</v>
      </c>
      <c r="I35" s="31">
        <v>58000</v>
      </c>
      <c r="J35" s="31">
        <v>9000</v>
      </c>
      <c r="K35" s="31"/>
      <c r="L35" s="31"/>
      <c r="M35" s="31"/>
      <c r="N35" s="31"/>
      <c r="O35" s="31"/>
      <c r="P35" s="31"/>
      <c r="Q35" s="31"/>
      <c r="R35" s="31"/>
      <c r="S35" s="31"/>
      <c r="T35" s="31">
        <f t="shared" si="0"/>
        <v>500500</v>
      </c>
    </row>
    <row r="36" spans="1:20">
      <c r="A36" s="35" t="s">
        <v>84</v>
      </c>
      <c r="B36" s="31">
        <v>169000</v>
      </c>
      <c r="C36" s="31">
        <v>81000</v>
      </c>
      <c r="D36" s="31">
        <v>141000</v>
      </c>
      <c r="E36" s="31">
        <v>23000</v>
      </c>
      <c r="F36" s="31">
        <v>157000</v>
      </c>
      <c r="G36" s="31">
        <v>24000</v>
      </c>
      <c r="H36" s="31">
        <v>70000</v>
      </c>
      <c r="I36" s="31">
        <v>68000</v>
      </c>
      <c r="J36" s="31">
        <v>6000</v>
      </c>
      <c r="K36" s="31"/>
      <c r="L36" s="31"/>
      <c r="M36" s="31"/>
      <c r="N36" s="31"/>
      <c r="O36" s="31"/>
      <c r="P36" s="31"/>
      <c r="Q36" s="31"/>
      <c r="R36" s="31">
        <v>0</v>
      </c>
      <c r="S36" s="31"/>
      <c r="T36" s="31">
        <f>SUM(B36:S36)</f>
        <v>739000</v>
      </c>
    </row>
    <row r="37" spans="1:20">
      <c r="A37" s="40" t="s">
        <v>23</v>
      </c>
      <c r="B37" s="41">
        <f>SUM(B6:B36)</f>
        <v>6168500</v>
      </c>
      <c r="C37" s="41">
        <f t="shared" ref="C37:J37" si="1">SUM(C6:C36)</f>
        <v>3189000</v>
      </c>
      <c r="D37" s="41">
        <f t="shared" si="1"/>
        <v>3579500</v>
      </c>
      <c r="E37" s="41">
        <f t="shared" si="1"/>
        <v>693500</v>
      </c>
      <c r="F37" s="41">
        <f t="shared" si="1"/>
        <v>3546200</v>
      </c>
      <c r="G37" s="41">
        <f t="shared" si="1"/>
        <v>192000</v>
      </c>
      <c r="H37" s="41">
        <f t="shared" si="1"/>
        <v>3400000</v>
      </c>
      <c r="I37" s="41">
        <f t="shared" si="1"/>
        <v>2232500</v>
      </c>
      <c r="J37" s="41">
        <f t="shared" si="1"/>
        <v>464000</v>
      </c>
      <c r="K37" s="31"/>
      <c r="L37" s="31"/>
      <c r="M37" s="31"/>
      <c r="N37" s="31"/>
      <c r="O37" s="31">
        <f>SUM(O6:O36)</f>
        <v>180000</v>
      </c>
      <c r="P37" s="31"/>
      <c r="Q37" s="31"/>
      <c r="R37" s="31">
        <f>SUM(R6:R36)</f>
        <v>0</v>
      </c>
      <c r="S37" s="31"/>
      <c r="T37" s="31">
        <f>SUM(B37:S37)</f>
        <v>23645200</v>
      </c>
    </row>
  </sheetData>
  <mergeCells count="4">
    <mergeCell ref="B1:T1"/>
    <mergeCell ref="B2:T2"/>
    <mergeCell ref="C3:F3"/>
    <mergeCell ref="C4:F4"/>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G28"/>
  <sheetViews>
    <sheetView workbookViewId="0">
      <selection sqref="A1:G28"/>
    </sheetView>
  </sheetViews>
  <sheetFormatPr defaultRowHeight="15"/>
  <cols>
    <col min="1" max="1" width="17.5703125" customWidth="1"/>
    <col min="2" max="2" width="13.7109375" customWidth="1"/>
    <col min="3" max="3" width="14" customWidth="1"/>
    <col min="4" max="4" width="15.42578125" customWidth="1"/>
    <col min="5" max="5" width="14.140625" customWidth="1"/>
    <col min="6" max="6" width="13.42578125" customWidth="1"/>
    <col min="7" max="7" width="18.140625" customWidth="1"/>
  </cols>
  <sheetData>
    <row r="1" spans="1:7" ht="16.5" thickBot="1">
      <c r="A1" s="6" t="s">
        <v>24</v>
      </c>
      <c r="B1" s="70" t="s">
        <v>120</v>
      </c>
      <c r="C1" s="71"/>
      <c r="D1" s="72"/>
      <c r="E1" s="11"/>
      <c r="F1" s="11"/>
      <c r="G1" s="12"/>
    </row>
    <row r="2" spans="1:7" ht="15.75">
      <c r="A2" s="13" t="s">
        <v>25</v>
      </c>
      <c r="B2" s="14" t="s">
        <v>26</v>
      </c>
      <c r="C2" s="14" t="s">
        <v>27</v>
      </c>
      <c r="D2" s="14" t="s">
        <v>28</v>
      </c>
      <c r="E2" s="14" t="s">
        <v>29</v>
      </c>
      <c r="F2" s="15" t="s">
        <v>30</v>
      </c>
      <c r="G2" s="16" t="s">
        <v>31</v>
      </c>
    </row>
    <row r="3" spans="1:7" ht="15.75">
      <c r="A3" s="17" t="s">
        <v>4</v>
      </c>
      <c r="B3" s="18">
        <v>1386000</v>
      </c>
      <c r="C3" s="18">
        <v>1574000</v>
      </c>
      <c r="D3" s="18">
        <v>1473500</v>
      </c>
      <c r="E3" s="18">
        <v>1173500</v>
      </c>
      <c r="F3" s="19">
        <v>544500</v>
      </c>
      <c r="G3" s="20">
        <f t="shared" ref="G3:G11" si="0">SUM(B3:F3)</f>
        <v>6151500</v>
      </c>
    </row>
    <row r="4" spans="1:7" ht="15.75">
      <c r="A4" s="17" t="s">
        <v>5</v>
      </c>
      <c r="B4" s="18">
        <v>634000</v>
      </c>
      <c r="C4" s="18">
        <v>698000</v>
      </c>
      <c r="D4" s="18">
        <v>966000</v>
      </c>
      <c r="E4" s="18">
        <v>635000</v>
      </c>
      <c r="F4" s="19">
        <v>256000</v>
      </c>
      <c r="G4" s="20">
        <f>SUM(B4:F4)</f>
        <v>3189000</v>
      </c>
    </row>
    <row r="5" spans="1:7" ht="15.75">
      <c r="A5" s="17" t="s">
        <v>32</v>
      </c>
      <c r="B5" s="18">
        <v>696000</v>
      </c>
      <c r="C5" s="18">
        <v>1031500</v>
      </c>
      <c r="D5" s="18">
        <v>639000</v>
      </c>
      <c r="E5" s="18">
        <v>909000</v>
      </c>
      <c r="F5" s="19">
        <v>304000</v>
      </c>
      <c r="G5" s="20">
        <f>SUM(B5:F5)</f>
        <v>3579500</v>
      </c>
    </row>
    <row r="6" spans="1:7" ht="15.75">
      <c r="A6" s="17" t="s">
        <v>33</v>
      </c>
      <c r="B6" s="18">
        <v>155000</v>
      </c>
      <c r="C6" s="18">
        <v>209500</v>
      </c>
      <c r="D6" s="18">
        <v>109500</v>
      </c>
      <c r="E6" s="18">
        <v>166000</v>
      </c>
      <c r="F6" s="19">
        <v>53500</v>
      </c>
      <c r="G6" s="20">
        <f t="shared" si="0"/>
        <v>693500</v>
      </c>
    </row>
    <row r="7" spans="1:7" ht="15.75">
      <c r="A7" s="17" t="s">
        <v>8</v>
      </c>
      <c r="B7" s="18">
        <v>625600</v>
      </c>
      <c r="C7" s="18">
        <v>997800</v>
      </c>
      <c r="D7" s="18">
        <v>759400</v>
      </c>
      <c r="E7" s="18">
        <v>855400</v>
      </c>
      <c r="F7" s="19">
        <v>308000</v>
      </c>
      <c r="G7" s="20">
        <f t="shared" si="0"/>
        <v>3546200</v>
      </c>
    </row>
    <row r="8" spans="1:7" ht="15.75">
      <c r="A8" s="17" t="s">
        <v>9</v>
      </c>
      <c r="B8" s="18">
        <v>60000</v>
      </c>
      <c r="C8" s="18">
        <v>6000</v>
      </c>
      <c r="D8" s="18">
        <v>18000</v>
      </c>
      <c r="E8" s="18">
        <v>72000</v>
      </c>
      <c r="F8" s="19">
        <v>36000</v>
      </c>
      <c r="G8" s="20">
        <f t="shared" si="0"/>
        <v>192000</v>
      </c>
    </row>
    <row r="9" spans="1:7" ht="15.75">
      <c r="A9" s="17" t="s">
        <v>10</v>
      </c>
      <c r="B9" s="18">
        <v>716000</v>
      </c>
      <c r="C9" s="18">
        <v>1036000</v>
      </c>
      <c r="D9" s="18">
        <v>725500</v>
      </c>
      <c r="E9" s="18">
        <v>686500</v>
      </c>
      <c r="F9" s="19">
        <v>236000</v>
      </c>
      <c r="G9" s="20">
        <f t="shared" si="0"/>
        <v>3400000</v>
      </c>
    </row>
    <row r="10" spans="1:7" ht="15.75">
      <c r="A10" s="17" t="s">
        <v>11</v>
      </c>
      <c r="B10" s="18">
        <v>497000</v>
      </c>
      <c r="C10" s="18">
        <v>661000</v>
      </c>
      <c r="D10" s="18">
        <v>369500</v>
      </c>
      <c r="E10" s="18">
        <v>542000</v>
      </c>
      <c r="F10" s="19">
        <v>163000</v>
      </c>
      <c r="G10" s="20">
        <f t="shared" si="0"/>
        <v>2232500</v>
      </c>
    </row>
    <row r="11" spans="1:7" ht="15.75">
      <c r="A11" s="17" t="s">
        <v>12</v>
      </c>
      <c r="B11" s="18">
        <v>205000</v>
      </c>
      <c r="C11" s="18">
        <v>85000</v>
      </c>
      <c r="D11" s="18">
        <v>91000</v>
      </c>
      <c r="E11" s="18">
        <v>75000</v>
      </c>
      <c r="F11" s="19">
        <v>25000</v>
      </c>
      <c r="G11" s="20">
        <f t="shared" si="0"/>
        <v>481000</v>
      </c>
    </row>
    <row r="12" spans="1:7" ht="15.75">
      <c r="A12" s="17" t="s">
        <v>13</v>
      </c>
      <c r="B12" s="18"/>
      <c r="C12" s="18"/>
      <c r="D12" s="18"/>
      <c r="E12" s="18"/>
      <c r="F12" s="19"/>
      <c r="G12" s="20">
        <f t="shared" ref="G12:G19" si="1">SUM(B12:E12)</f>
        <v>0</v>
      </c>
    </row>
    <row r="13" spans="1:7" ht="15.75">
      <c r="A13" s="17" t="s">
        <v>14</v>
      </c>
      <c r="B13" s="18"/>
      <c r="C13" s="18"/>
      <c r="D13" s="18"/>
      <c r="E13" s="18"/>
      <c r="F13" s="19"/>
      <c r="G13" s="20">
        <f t="shared" si="1"/>
        <v>0</v>
      </c>
    </row>
    <row r="14" spans="1:7" ht="15.75">
      <c r="A14" s="17" t="s">
        <v>15</v>
      </c>
      <c r="B14" s="18"/>
      <c r="C14" s="18"/>
      <c r="D14" s="18"/>
      <c r="E14" s="18"/>
      <c r="F14" s="19"/>
      <c r="G14" s="20">
        <f t="shared" si="1"/>
        <v>0</v>
      </c>
    </row>
    <row r="15" spans="1:7" ht="15.75">
      <c r="A15" s="17" t="s">
        <v>16</v>
      </c>
      <c r="B15" s="18"/>
      <c r="C15" s="18"/>
      <c r="D15" s="18"/>
      <c r="E15" s="18"/>
      <c r="F15" s="19"/>
      <c r="G15" s="20">
        <f t="shared" si="1"/>
        <v>0</v>
      </c>
    </row>
    <row r="16" spans="1:7" ht="15.75">
      <c r="A16" s="17" t="s">
        <v>17</v>
      </c>
      <c r="B16" s="18">
        <v>31000</v>
      </c>
      <c r="C16" s="18">
        <v>28000</v>
      </c>
      <c r="D16" s="18">
        <v>56000</v>
      </c>
      <c r="E16" s="18">
        <v>48000</v>
      </c>
      <c r="F16" s="19">
        <v>17000</v>
      </c>
      <c r="G16" s="20">
        <f>SUM(B16:F16)</f>
        <v>180000</v>
      </c>
    </row>
    <row r="17" spans="1:7" ht="15.75">
      <c r="A17" s="17" t="s">
        <v>18</v>
      </c>
      <c r="B17" s="18"/>
      <c r="C17" s="18"/>
      <c r="D17" s="18"/>
      <c r="E17" s="18"/>
      <c r="F17" s="19"/>
      <c r="G17" s="20">
        <f t="shared" si="1"/>
        <v>0</v>
      </c>
    </row>
    <row r="18" spans="1:7" ht="15.75">
      <c r="A18" s="17" t="s">
        <v>19</v>
      </c>
      <c r="B18" s="18"/>
      <c r="C18" s="18"/>
      <c r="D18" s="18"/>
      <c r="E18" s="18"/>
      <c r="F18" s="19"/>
      <c r="G18" s="20">
        <f t="shared" si="1"/>
        <v>0</v>
      </c>
    </row>
    <row r="19" spans="1:7" ht="15.75">
      <c r="A19" s="17" t="s">
        <v>34</v>
      </c>
      <c r="B19" s="18"/>
      <c r="C19" s="18"/>
      <c r="D19" s="18"/>
      <c r="E19" s="18"/>
      <c r="F19" s="19"/>
      <c r="G19" s="20">
        <f t="shared" si="1"/>
        <v>0</v>
      </c>
    </row>
    <row r="20" spans="1:7" ht="16.5" thickBot="1">
      <c r="A20" s="21" t="s">
        <v>35</v>
      </c>
      <c r="B20" s="22">
        <f t="shared" ref="B20:G20" si="2">SUM(B3:B19)</f>
        <v>5005600</v>
      </c>
      <c r="C20" s="22">
        <f t="shared" si="2"/>
        <v>6326800</v>
      </c>
      <c r="D20" s="22">
        <f t="shared" si="2"/>
        <v>5207400</v>
      </c>
      <c r="E20" s="22">
        <f t="shared" si="2"/>
        <v>5162400</v>
      </c>
      <c r="F20" s="22">
        <f t="shared" si="2"/>
        <v>1943000</v>
      </c>
      <c r="G20" s="23">
        <f t="shared" si="2"/>
        <v>23645200</v>
      </c>
    </row>
    <row r="22" spans="1:7" ht="15.75" thickBot="1"/>
    <row r="23" spans="1:7" ht="21.75" thickBot="1">
      <c r="A23" s="73" t="s">
        <v>36</v>
      </c>
      <c r="B23" s="74"/>
      <c r="C23" s="74"/>
      <c r="D23" s="74"/>
      <c r="E23" s="74"/>
      <c r="F23" s="74"/>
      <c r="G23" s="75"/>
    </row>
    <row r="24" spans="1:7" ht="15.75" thickBot="1">
      <c r="A24" s="76"/>
      <c r="B24" s="68"/>
      <c r="C24" s="68"/>
      <c r="D24" s="68"/>
      <c r="E24" s="68"/>
      <c r="F24" s="68"/>
      <c r="G24" s="69"/>
    </row>
    <row r="25" spans="1:7" ht="15.75" thickBot="1">
      <c r="A25" s="24"/>
      <c r="B25" s="25"/>
      <c r="C25" s="25"/>
      <c r="D25" s="25"/>
      <c r="E25" s="25"/>
      <c r="F25" s="25"/>
      <c r="G25" s="26"/>
    </row>
    <row r="26" spans="1:7" ht="15.75" thickBot="1">
      <c r="A26" s="67"/>
      <c r="B26" s="68"/>
      <c r="C26" s="68"/>
      <c r="D26" s="68"/>
      <c r="E26" s="68"/>
      <c r="F26" s="68"/>
      <c r="G26" s="69"/>
    </row>
    <row r="27" spans="1:7" ht="15.75" thickBot="1">
      <c r="A27" s="77"/>
      <c r="B27" s="68"/>
      <c r="C27" s="68"/>
      <c r="D27" s="68"/>
      <c r="E27" s="68"/>
      <c r="F27" s="68"/>
      <c r="G27" s="69"/>
    </row>
    <row r="28" spans="1:7" ht="15.75" thickBot="1">
      <c r="A28" s="67"/>
      <c r="B28" s="68"/>
      <c r="C28" s="68"/>
      <c r="D28" s="68"/>
      <c r="E28" s="68"/>
      <c r="F28" s="68"/>
      <c r="G28" s="69"/>
    </row>
  </sheetData>
  <mergeCells count="6">
    <mergeCell ref="A28:G28"/>
    <mergeCell ref="B1:D1"/>
    <mergeCell ref="A23:G23"/>
    <mergeCell ref="A24:G24"/>
    <mergeCell ref="A26:G26"/>
    <mergeCell ref="A27:G27"/>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T37"/>
  <sheetViews>
    <sheetView topLeftCell="F16" workbookViewId="0">
      <selection activeCell="A2" sqref="A2"/>
    </sheetView>
  </sheetViews>
  <sheetFormatPr defaultRowHeight="15"/>
  <cols>
    <col min="2" max="2" width="11.85546875" customWidth="1"/>
    <col min="3" max="3" width="12.7109375" customWidth="1"/>
    <col min="4" max="4" width="11.7109375" customWidth="1"/>
    <col min="5" max="5" width="11.28515625" customWidth="1"/>
    <col min="6" max="6" width="12.140625" customWidth="1"/>
    <col min="7" max="7" width="11.42578125" customWidth="1"/>
    <col min="8" max="8" width="11.85546875" customWidth="1"/>
    <col min="9" max="9" width="11.5703125" customWidth="1"/>
    <col min="10" max="10" width="12.5703125" customWidth="1"/>
    <col min="20" max="20" width="11.7109375" customWidth="1"/>
  </cols>
  <sheetData>
    <row r="1" spans="1:20" ht="26.25">
      <c r="A1" s="28"/>
      <c r="B1" s="55" t="s">
        <v>68</v>
      </c>
      <c r="C1" s="56"/>
      <c r="D1" s="56"/>
      <c r="E1" s="56"/>
      <c r="F1" s="56"/>
      <c r="G1" s="56"/>
      <c r="H1" s="56"/>
      <c r="I1" s="56"/>
      <c r="J1" s="56"/>
      <c r="K1" s="56"/>
      <c r="L1" s="56"/>
      <c r="M1" s="56"/>
      <c r="N1" s="56"/>
      <c r="O1" s="56"/>
      <c r="P1" s="56"/>
      <c r="Q1" s="56"/>
      <c r="R1" s="56"/>
      <c r="S1" s="56"/>
      <c r="T1" s="57"/>
    </row>
    <row r="2" spans="1:20" ht="27" thickBot="1">
      <c r="A2" s="4"/>
      <c r="B2" s="58" t="s">
        <v>0</v>
      </c>
      <c r="C2" s="59"/>
      <c r="D2" s="59"/>
      <c r="E2" s="59"/>
      <c r="F2" s="59"/>
      <c r="G2" s="59"/>
      <c r="H2" s="59"/>
      <c r="I2" s="59"/>
      <c r="J2" s="59"/>
      <c r="K2" s="59"/>
      <c r="L2" s="59"/>
      <c r="M2" s="59"/>
      <c r="N2" s="59"/>
      <c r="O2" s="59"/>
      <c r="P2" s="59"/>
      <c r="Q2" s="59"/>
      <c r="R2" s="59"/>
      <c r="S2" s="59"/>
      <c r="T2" s="60"/>
    </row>
    <row r="3" spans="1:20" ht="27" thickBot="1">
      <c r="A3" s="4"/>
      <c r="B3" s="29" t="s">
        <v>1</v>
      </c>
      <c r="C3" s="61" t="s">
        <v>69</v>
      </c>
      <c r="D3" s="62"/>
      <c r="E3" s="62"/>
      <c r="F3" s="63"/>
      <c r="G3" s="50" t="s">
        <v>123</v>
      </c>
    </row>
    <row r="4" spans="1:20" ht="21">
      <c r="A4" s="4"/>
      <c r="B4" s="30" t="s">
        <v>2</v>
      </c>
      <c r="C4" s="78"/>
      <c r="D4" s="79"/>
      <c r="E4" s="79"/>
      <c r="F4" s="80"/>
    </row>
    <row r="5" spans="1:20" ht="67.5">
      <c r="A5" s="32" t="s">
        <v>3</v>
      </c>
      <c r="B5" s="33" t="s">
        <v>4</v>
      </c>
      <c r="C5" s="33" t="s">
        <v>5</v>
      </c>
      <c r="D5" s="33" t="s">
        <v>6</v>
      </c>
      <c r="E5" s="33" t="s">
        <v>7</v>
      </c>
      <c r="F5" s="33" t="s">
        <v>8</v>
      </c>
      <c r="G5" s="33" t="s">
        <v>9</v>
      </c>
      <c r="H5" s="33" t="s">
        <v>10</v>
      </c>
      <c r="I5" s="33" t="s">
        <v>11</v>
      </c>
      <c r="J5" s="33" t="s">
        <v>12</v>
      </c>
      <c r="K5" s="33" t="s">
        <v>13</v>
      </c>
      <c r="L5" s="33" t="s">
        <v>14</v>
      </c>
      <c r="M5" s="33" t="s">
        <v>15</v>
      </c>
      <c r="N5" s="33" t="s">
        <v>16</v>
      </c>
      <c r="O5" s="33" t="s">
        <v>17</v>
      </c>
      <c r="P5" s="33" t="s">
        <v>18</v>
      </c>
      <c r="Q5" s="33" t="s">
        <v>19</v>
      </c>
      <c r="R5" s="33" t="s">
        <v>20</v>
      </c>
      <c r="S5" s="33" t="s">
        <v>21</v>
      </c>
      <c r="T5" s="33" t="s">
        <v>22</v>
      </c>
    </row>
    <row r="6" spans="1:20">
      <c r="A6" s="35" t="s">
        <v>67</v>
      </c>
      <c r="B6" s="36">
        <v>257500</v>
      </c>
      <c r="C6" s="36">
        <v>149000</v>
      </c>
      <c r="D6" s="36">
        <v>163000</v>
      </c>
      <c r="E6" s="36">
        <v>45000</v>
      </c>
      <c r="F6" s="36">
        <v>104000</v>
      </c>
      <c r="G6" s="36">
        <v>0</v>
      </c>
      <c r="H6" s="36">
        <v>128000</v>
      </c>
      <c r="I6" s="36">
        <v>77000</v>
      </c>
      <c r="J6" s="36">
        <v>15000</v>
      </c>
      <c r="K6" s="36"/>
      <c r="L6" s="36"/>
      <c r="M6" s="36"/>
      <c r="N6" s="36"/>
      <c r="O6" s="36">
        <v>0</v>
      </c>
      <c r="P6" s="36"/>
      <c r="Q6" s="36"/>
      <c r="R6" s="36" t="s">
        <v>121</v>
      </c>
      <c r="S6" s="37"/>
      <c r="T6" s="37">
        <f t="shared" ref="T6:T35" si="0">SUM(B6:S6)</f>
        <v>938500</v>
      </c>
    </row>
    <row r="7" spans="1:20">
      <c r="A7" s="35" t="s">
        <v>37</v>
      </c>
      <c r="B7" s="36">
        <v>213000</v>
      </c>
      <c r="C7" s="36">
        <v>152000</v>
      </c>
      <c r="D7" s="36">
        <v>132000</v>
      </c>
      <c r="E7" s="36">
        <v>30000</v>
      </c>
      <c r="F7" s="36">
        <v>124000</v>
      </c>
      <c r="G7" s="36">
        <v>24000</v>
      </c>
      <c r="H7" s="36">
        <v>94000</v>
      </c>
      <c r="I7" s="36">
        <v>56000</v>
      </c>
      <c r="J7" s="36">
        <v>30000</v>
      </c>
      <c r="K7" s="36"/>
      <c r="L7" s="36"/>
      <c r="M7" s="36"/>
      <c r="N7" s="36"/>
      <c r="O7" s="36">
        <v>0</v>
      </c>
      <c r="P7" s="36"/>
      <c r="Q7" s="36"/>
      <c r="R7" s="36"/>
      <c r="S7" s="37"/>
      <c r="T7" s="37">
        <f t="shared" si="0"/>
        <v>855000</v>
      </c>
    </row>
    <row r="8" spans="1:20">
      <c r="A8" s="35" t="s">
        <v>38</v>
      </c>
      <c r="B8" s="36">
        <v>41000</v>
      </c>
      <c r="C8" s="36">
        <v>28000</v>
      </c>
      <c r="D8" s="36">
        <v>15000</v>
      </c>
      <c r="E8" s="36">
        <v>5500</v>
      </c>
      <c r="F8" s="36">
        <v>21000</v>
      </c>
      <c r="G8" s="36">
        <v>0</v>
      </c>
      <c r="H8" s="36">
        <v>14000</v>
      </c>
      <c r="I8" s="36">
        <v>12000</v>
      </c>
      <c r="J8" s="36">
        <v>0</v>
      </c>
      <c r="K8" s="36"/>
      <c r="L8" s="36"/>
      <c r="M8" s="36"/>
      <c r="N8" s="36"/>
      <c r="O8" s="36">
        <v>0</v>
      </c>
      <c r="P8" s="36"/>
      <c r="Q8" s="36"/>
      <c r="R8" s="36"/>
      <c r="S8" s="37"/>
      <c r="T8" s="37">
        <f t="shared" si="0"/>
        <v>136500</v>
      </c>
    </row>
    <row r="9" spans="1:20">
      <c r="A9" s="35" t="s">
        <v>39</v>
      </c>
      <c r="B9" s="36">
        <v>189000</v>
      </c>
      <c r="C9" s="36">
        <v>98000</v>
      </c>
      <c r="D9" s="36">
        <v>114500</v>
      </c>
      <c r="E9" s="36">
        <v>12500</v>
      </c>
      <c r="F9" s="36">
        <v>120400</v>
      </c>
      <c r="G9" s="36">
        <v>12000</v>
      </c>
      <c r="H9" s="36">
        <v>118000</v>
      </c>
      <c r="I9" s="36">
        <v>92000</v>
      </c>
      <c r="J9" s="36">
        <v>25000</v>
      </c>
      <c r="K9" s="36"/>
      <c r="L9" s="36"/>
      <c r="M9" s="36"/>
      <c r="N9" s="36"/>
      <c r="O9" s="36">
        <v>13000</v>
      </c>
      <c r="Q9" s="36"/>
      <c r="R9" s="36"/>
      <c r="S9" s="37"/>
      <c r="T9" s="37">
        <f t="shared" si="0"/>
        <v>794400</v>
      </c>
    </row>
    <row r="10" spans="1:20">
      <c r="A10" s="35" t="s">
        <v>40</v>
      </c>
      <c r="B10" s="37">
        <v>174000</v>
      </c>
      <c r="C10" s="37">
        <v>113000</v>
      </c>
      <c r="D10" s="37">
        <v>127000</v>
      </c>
      <c r="E10" s="37">
        <v>32000</v>
      </c>
      <c r="F10" s="37">
        <v>104900</v>
      </c>
      <c r="G10" s="37">
        <v>0</v>
      </c>
      <c r="H10" s="37">
        <v>107000</v>
      </c>
      <c r="I10" s="37">
        <v>54000</v>
      </c>
      <c r="J10" s="37">
        <v>10000</v>
      </c>
      <c r="K10" s="37"/>
      <c r="L10" s="37"/>
      <c r="M10" s="37"/>
      <c r="N10" s="37"/>
      <c r="O10" s="37">
        <v>12000</v>
      </c>
      <c r="P10" s="37"/>
      <c r="Q10" s="37"/>
      <c r="R10" s="37"/>
      <c r="S10" s="37"/>
      <c r="T10" s="37">
        <f t="shared" si="0"/>
        <v>733900</v>
      </c>
    </row>
    <row r="11" spans="1:20">
      <c r="A11" s="35" t="s">
        <v>41</v>
      </c>
      <c r="B11" s="37">
        <v>291000</v>
      </c>
      <c r="C11" s="37">
        <v>109000</v>
      </c>
      <c r="D11" s="37">
        <v>163000</v>
      </c>
      <c r="E11" s="37">
        <v>26000</v>
      </c>
      <c r="F11" s="37">
        <v>147000</v>
      </c>
      <c r="G11" s="37">
        <v>0</v>
      </c>
      <c r="H11" s="37">
        <v>142000</v>
      </c>
      <c r="I11" s="37">
        <v>44000</v>
      </c>
      <c r="J11" s="37">
        <v>18000</v>
      </c>
      <c r="K11" s="37"/>
      <c r="L11" s="37"/>
      <c r="M11" s="37"/>
      <c r="N11" s="37"/>
      <c r="O11" s="37">
        <v>0</v>
      </c>
      <c r="P11" s="37"/>
      <c r="Q11" s="37"/>
      <c r="R11" s="37"/>
      <c r="S11" s="37"/>
      <c r="T11" s="37">
        <f t="shared" si="0"/>
        <v>940000</v>
      </c>
    </row>
    <row r="12" spans="1:20">
      <c r="A12" s="35" t="s">
        <v>42</v>
      </c>
      <c r="B12" s="37">
        <v>157000</v>
      </c>
      <c r="C12" s="37">
        <v>160000</v>
      </c>
      <c r="D12" s="37">
        <v>117000</v>
      </c>
      <c r="E12" s="37">
        <v>55000</v>
      </c>
      <c r="F12" s="37">
        <v>164000</v>
      </c>
      <c r="G12" s="37">
        <v>0</v>
      </c>
      <c r="H12" s="37">
        <v>132000</v>
      </c>
      <c r="I12" s="37">
        <v>92000</v>
      </c>
      <c r="J12" s="37">
        <v>3000</v>
      </c>
      <c r="K12" s="37"/>
      <c r="L12" s="37"/>
      <c r="M12" s="37"/>
      <c r="N12" s="37"/>
      <c r="O12" s="37">
        <v>34000</v>
      </c>
      <c r="P12" s="37"/>
      <c r="Q12" s="37"/>
      <c r="R12" s="37"/>
      <c r="S12" s="37"/>
      <c r="T12" s="37">
        <f t="shared" si="0"/>
        <v>914000</v>
      </c>
    </row>
    <row r="13" spans="1:20">
      <c r="A13" s="35" t="s">
        <v>43</v>
      </c>
      <c r="B13" s="37">
        <v>182000</v>
      </c>
      <c r="C13" s="37">
        <v>95000</v>
      </c>
      <c r="D13" s="37">
        <v>134000</v>
      </c>
      <c r="E13" s="37">
        <v>4000</v>
      </c>
      <c r="F13" s="37">
        <v>121000</v>
      </c>
      <c r="G13" s="37">
        <v>6000</v>
      </c>
      <c r="H13" s="37">
        <v>132000</v>
      </c>
      <c r="I13" s="37">
        <v>151000</v>
      </c>
      <c r="J13" s="37">
        <v>12000</v>
      </c>
      <c r="K13" s="37"/>
      <c r="L13" s="37"/>
      <c r="M13" s="37"/>
      <c r="N13" s="37"/>
      <c r="O13" s="37">
        <v>0</v>
      </c>
      <c r="P13" s="37"/>
      <c r="Q13" s="37"/>
      <c r="R13" s="37"/>
      <c r="S13" s="37"/>
      <c r="T13" s="37">
        <f t="shared" si="0"/>
        <v>837000</v>
      </c>
    </row>
    <row r="14" spans="1:20">
      <c r="A14" s="35" t="s">
        <v>44</v>
      </c>
      <c r="B14" s="37">
        <v>143000</v>
      </c>
      <c r="C14" s="37">
        <v>75000</v>
      </c>
      <c r="D14" s="37">
        <v>116000</v>
      </c>
      <c r="E14" s="37">
        <v>13500</v>
      </c>
      <c r="F14" s="37">
        <v>109000</v>
      </c>
      <c r="G14" s="37">
        <v>0</v>
      </c>
      <c r="H14" s="37">
        <v>100000</v>
      </c>
      <c r="I14" s="37">
        <v>39000</v>
      </c>
      <c r="J14" s="37">
        <v>0</v>
      </c>
      <c r="K14" s="37"/>
      <c r="L14" s="37"/>
      <c r="M14" s="37"/>
      <c r="N14" s="37"/>
      <c r="O14" s="37">
        <v>13000</v>
      </c>
      <c r="P14" s="37"/>
      <c r="Q14" s="37"/>
      <c r="R14" s="37"/>
      <c r="S14" s="37"/>
      <c r="T14" s="37">
        <f t="shared" si="0"/>
        <v>608500</v>
      </c>
    </row>
    <row r="15" spans="1:20">
      <c r="A15" s="35" t="s">
        <v>45</v>
      </c>
      <c r="B15" s="37">
        <v>134000</v>
      </c>
      <c r="C15" s="37">
        <v>139000</v>
      </c>
      <c r="D15" s="37">
        <v>41000</v>
      </c>
      <c r="E15" s="37">
        <v>12000</v>
      </c>
      <c r="F15" s="37">
        <v>63000</v>
      </c>
      <c r="G15" s="37">
        <v>12000</v>
      </c>
      <c r="H15" s="37">
        <v>62000</v>
      </c>
      <c r="I15" s="37">
        <v>31000</v>
      </c>
      <c r="J15" s="37">
        <v>0</v>
      </c>
      <c r="K15" s="37"/>
      <c r="L15" s="37"/>
      <c r="M15" s="37"/>
      <c r="N15" s="37"/>
      <c r="O15" s="37">
        <v>0</v>
      </c>
      <c r="P15" s="37"/>
      <c r="Q15" s="37"/>
      <c r="R15" s="37"/>
      <c r="S15" s="37"/>
      <c r="T15" s="37">
        <f t="shared" si="0"/>
        <v>494000</v>
      </c>
    </row>
    <row r="16" spans="1:20">
      <c r="A16" s="35" t="s">
        <v>46</v>
      </c>
      <c r="B16" s="37">
        <v>221000</v>
      </c>
      <c r="C16" s="37">
        <v>59000</v>
      </c>
      <c r="D16" s="37">
        <v>43000</v>
      </c>
      <c r="E16" s="37">
        <v>5000</v>
      </c>
      <c r="F16" s="37">
        <v>72000</v>
      </c>
      <c r="G16" s="37">
        <v>0</v>
      </c>
      <c r="H16" s="37">
        <v>60000</v>
      </c>
      <c r="I16" s="37">
        <v>121000</v>
      </c>
      <c r="J16" s="37">
        <v>5000</v>
      </c>
      <c r="K16" s="37"/>
      <c r="L16" s="37"/>
      <c r="M16" s="37"/>
      <c r="N16" s="37"/>
      <c r="O16" s="37">
        <v>0</v>
      </c>
      <c r="P16" s="37"/>
      <c r="Q16" s="37"/>
      <c r="R16" s="37"/>
      <c r="S16" s="37"/>
      <c r="T16" s="37">
        <f t="shared" si="0"/>
        <v>586000</v>
      </c>
    </row>
    <row r="17" spans="1:20">
      <c r="A17" s="35" t="s">
        <v>47</v>
      </c>
      <c r="B17" s="37">
        <v>184000</v>
      </c>
      <c r="C17" s="37">
        <v>91000</v>
      </c>
      <c r="D17" s="37">
        <v>61000</v>
      </c>
      <c r="E17" s="37">
        <v>24500</v>
      </c>
      <c r="F17" s="37">
        <v>71000</v>
      </c>
      <c r="G17" s="37">
        <v>24000</v>
      </c>
      <c r="H17" s="37">
        <v>63000</v>
      </c>
      <c r="I17" s="37">
        <v>42000</v>
      </c>
      <c r="J17" s="37">
        <v>25000</v>
      </c>
      <c r="K17" s="37"/>
      <c r="L17" s="37"/>
      <c r="M17" s="37"/>
      <c r="N17" s="37"/>
      <c r="O17" s="37">
        <v>24000</v>
      </c>
      <c r="P17" s="37"/>
      <c r="Q17" s="37"/>
      <c r="R17" s="37"/>
      <c r="S17" s="37"/>
      <c r="T17" s="37">
        <f t="shared" si="0"/>
        <v>609500</v>
      </c>
    </row>
    <row r="18" spans="1:20">
      <c r="A18" s="35" t="s">
        <v>48</v>
      </c>
      <c r="B18" s="37">
        <v>230000</v>
      </c>
      <c r="C18" s="37">
        <v>102000</v>
      </c>
      <c r="D18" s="37">
        <v>79000</v>
      </c>
      <c r="E18" s="37">
        <v>31000</v>
      </c>
      <c r="F18" s="37">
        <v>103000</v>
      </c>
      <c r="G18" s="37">
        <v>12000</v>
      </c>
      <c r="H18" s="37">
        <v>60000</v>
      </c>
      <c r="I18" s="37">
        <v>37000</v>
      </c>
      <c r="J18" s="37">
        <v>18000</v>
      </c>
      <c r="K18" s="37"/>
      <c r="L18" s="37"/>
      <c r="M18" s="37"/>
      <c r="N18" s="37"/>
      <c r="O18" s="37">
        <v>0</v>
      </c>
      <c r="P18" s="37"/>
      <c r="Q18" s="37"/>
      <c r="R18" s="37"/>
      <c r="S18" s="37"/>
      <c r="T18" s="37">
        <f t="shared" si="0"/>
        <v>672000</v>
      </c>
    </row>
    <row r="19" spans="1:20">
      <c r="A19" s="35" t="s">
        <v>49</v>
      </c>
      <c r="B19" s="37">
        <v>212000</v>
      </c>
      <c r="C19" s="37">
        <v>83000</v>
      </c>
      <c r="D19" s="37">
        <v>61000</v>
      </c>
      <c r="E19" s="37">
        <v>15000</v>
      </c>
      <c r="F19" s="37">
        <v>76000</v>
      </c>
      <c r="G19" s="37">
        <v>0</v>
      </c>
      <c r="H19" s="37">
        <v>46000</v>
      </c>
      <c r="I19" s="37">
        <v>40000</v>
      </c>
      <c r="J19" s="37">
        <v>0</v>
      </c>
      <c r="K19" s="37"/>
      <c r="L19" s="37"/>
      <c r="M19" s="37"/>
      <c r="N19" s="37"/>
      <c r="O19" s="37">
        <v>0</v>
      </c>
      <c r="P19" s="37"/>
      <c r="Q19" s="37"/>
      <c r="R19" s="37"/>
      <c r="S19" s="37"/>
      <c r="T19" s="37">
        <f t="shared" si="0"/>
        <v>533000</v>
      </c>
    </row>
    <row r="20" spans="1:20">
      <c r="A20" s="35" t="s">
        <v>50</v>
      </c>
      <c r="B20" s="37">
        <v>257000</v>
      </c>
      <c r="C20" s="37">
        <v>95000</v>
      </c>
      <c r="D20" s="37">
        <v>92000</v>
      </c>
      <c r="E20" s="37">
        <v>17000</v>
      </c>
      <c r="F20" s="37">
        <v>109000</v>
      </c>
      <c r="G20" s="37">
        <v>0</v>
      </c>
      <c r="H20" s="37">
        <v>51000</v>
      </c>
      <c r="I20" s="37">
        <v>50000</v>
      </c>
      <c r="J20" s="37">
        <v>30000</v>
      </c>
      <c r="K20" s="37"/>
      <c r="L20" s="37"/>
      <c r="M20" s="37"/>
      <c r="N20" s="37"/>
      <c r="O20" s="37">
        <v>0</v>
      </c>
      <c r="P20" s="37"/>
      <c r="Q20" s="37"/>
      <c r="R20" s="37"/>
      <c r="S20" s="37"/>
      <c r="T20" s="37">
        <f t="shared" si="0"/>
        <v>701000</v>
      </c>
    </row>
    <row r="21" spans="1:20">
      <c r="A21" s="35" t="s">
        <v>73</v>
      </c>
      <c r="B21" s="37">
        <v>121000</v>
      </c>
      <c r="C21" s="37">
        <v>62000</v>
      </c>
      <c r="D21" s="37">
        <v>65000</v>
      </c>
      <c r="E21" s="37">
        <v>12500</v>
      </c>
      <c r="F21" s="37">
        <v>167000</v>
      </c>
      <c r="G21" s="37">
        <v>0</v>
      </c>
      <c r="H21" s="37">
        <v>101000</v>
      </c>
      <c r="I21" s="37">
        <v>24000</v>
      </c>
      <c r="J21" s="37">
        <v>15000</v>
      </c>
      <c r="K21" s="37"/>
      <c r="L21" s="37"/>
      <c r="M21" s="37"/>
      <c r="N21" s="37"/>
      <c r="O21" s="37">
        <v>0</v>
      </c>
      <c r="P21" s="37"/>
      <c r="Q21" s="37"/>
      <c r="R21" s="37"/>
      <c r="S21" s="37"/>
      <c r="T21" s="37">
        <f t="shared" si="0"/>
        <v>567500</v>
      </c>
    </row>
    <row r="22" spans="1:20">
      <c r="A22" s="35" t="s">
        <v>52</v>
      </c>
      <c r="B22" s="37">
        <v>134000</v>
      </c>
      <c r="C22" s="37">
        <v>26000</v>
      </c>
      <c r="D22" s="37">
        <v>70000</v>
      </c>
      <c r="E22" s="37">
        <v>10500</v>
      </c>
      <c r="F22" s="37">
        <v>53500</v>
      </c>
      <c r="G22" s="37">
        <v>0</v>
      </c>
      <c r="H22" s="37">
        <v>46000</v>
      </c>
      <c r="I22" s="37">
        <v>43000</v>
      </c>
      <c r="J22" s="37">
        <v>3000</v>
      </c>
      <c r="K22" s="37"/>
      <c r="L22" s="37"/>
      <c r="M22" s="37"/>
      <c r="N22" s="37"/>
      <c r="O22" s="37">
        <v>0</v>
      </c>
      <c r="P22" s="37"/>
      <c r="Q22" s="37"/>
      <c r="R22" s="37"/>
      <c r="S22" s="37"/>
      <c r="T22" s="37">
        <f t="shared" si="0"/>
        <v>386000</v>
      </c>
    </row>
    <row r="23" spans="1:20">
      <c r="A23" s="35" t="s">
        <v>53</v>
      </c>
      <c r="B23" s="37">
        <v>133000</v>
      </c>
      <c r="C23" s="37">
        <v>57000</v>
      </c>
      <c r="D23" s="37">
        <v>119000</v>
      </c>
      <c r="E23" s="37">
        <v>0</v>
      </c>
      <c r="F23" s="37">
        <v>108600</v>
      </c>
      <c r="G23" s="37">
        <v>0</v>
      </c>
      <c r="H23" s="37">
        <v>91000</v>
      </c>
      <c r="I23" s="37">
        <v>42000</v>
      </c>
      <c r="J23" s="37">
        <v>6000</v>
      </c>
      <c r="K23" s="37"/>
      <c r="L23" s="37"/>
      <c r="M23" s="37"/>
      <c r="N23" s="37"/>
      <c r="O23" s="37">
        <v>0</v>
      </c>
      <c r="P23" s="37"/>
      <c r="Q23" s="37"/>
      <c r="R23" s="37"/>
      <c r="S23" s="37"/>
      <c r="T23" s="37">
        <f t="shared" si="0"/>
        <v>556600</v>
      </c>
    </row>
    <row r="24" spans="1:20">
      <c r="A24" s="35" t="s">
        <v>54</v>
      </c>
      <c r="B24" s="37">
        <v>142000</v>
      </c>
      <c r="C24" s="37">
        <v>28000</v>
      </c>
      <c r="D24" s="37">
        <v>100000</v>
      </c>
      <c r="E24" s="37">
        <v>4000</v>
      </c>
      <c r="F24" s="37">
        <v>90000</v>
      </c>
      <c r="G24" s="37">
        <v>0</v>
      </c>
      <c r="H24" s="37">
        <v>100000</v>
      </c>
      <c r="I24" s="37">
        <v>22000</v>
      </c>
      <c r="J24" s="37">
        <v>8000</v>
      </c>
      <c r="K24" s="37"/>
      <c r="L24" s="37"/>
      <c r="M24" s="37"/>
      <c r="N24" s="37"/>
      <c r="O24" s="37">
        <v>12000</v>
      </c>
      <c r="P24" s="37"/>
      <c r="Q24" s="37"/>
      <c r="R24" s="37"/>
      <c r="S24" s="37"/>
      <c r="T24" s="37">
        <f t="shared" si="0"/>
        <v>506000</v>
      </c>
    </row>
    <row r="25" spans="1:20">
      <c r="A25" s="35" t="s">
        <v>55</v>
      </c>
      <c r="B25" s="37">
        <v>220000</v>
      </c>
      <c r="C25" s="37">
        <v>154000</v>
      </c>
      <c r="D25" s="37">
        <v>108000</v>
      </c>
      <c r="E25" s="37">
        <v>20000</v>
      </c>
      <c r="F25" s="37">
        <v>109100</v>
      </c>
      <c r="G25" s="37">
        <v>0</v>
      </c>
      <c r="H25" s="37">
        <v>117000</v>
      </c>
      <c r="I25" s="37">
        <v>44000</v>
      </c>
      <c r="J25" s="37">
        <v>16000</v>
      </c>
      <c r="K25" s="37"/>
      <c r="L25" s="37"/>
      <c r="M25" s="37"/>
      <c r="N25" s="37"/>
      <c r="O25" s="37">
        <v>6000</v>
      </c>
      <c r="P25" s="37"/>
      <c r="Q25" s="37"/>
      <c r="R25" s="37"/>
      <c r="S25" s="37"/>
      <c r="T25" s="37">
        <f t="shared" si="0"/>
        <v>794100</v>
      </c>
    </row>
    <row r="26" spans="1:20">
      <c r="A26" s="35" t="s">
        <v>56</v>
      </c>
      <c r="B26" s="37">
        <v>122000</v>
      </c>
      <c r="C26" s="37">
        <v>12000</v>
      </c>
      <c r="D26" s="37">
        <v>115500</v>
      </c>
      <c r="E26" s="37">
        <v>36000</v>
      </c>
      <c r="F26" s="37">
        <v>91300</v>
      </c>
      <c r="G26" s="37">
        <v>0</v>
      </c>
      <c r="H26" s="37">
        <v>87000</v>
      </c>
      <c r="I26" s="37">
        <v>45000</v>
      </c>
      <c r="J26" s="37">
        <v>3000</v>
      </c>
      <c r="K26" s="37"/>
      <c r="L26" s="37"/>
      <c r="M26" s="37"/>
      <c r="N26" s="37"/>
      <c r="O26" s="37">
        <v>12000</v>
      </c>
      <c r="P26" s="37"/>
      <c r="Q26" s="37"/>
      <c r="R26" s="37"/>
      <c r="S26" s="37"/>
      <c r="T26" s="37">
        <f t="shared" si="0"/>
        <v>523800</v>
      </c>
    </row>
    <row r="27" spans="1:20">
      <c r="A27" s="35" t="s">
        <v>57</v>
      </c>
      <c r="B27" s="37">
        <v>242000</v>
      </c>
      <c r="C27" s="37">
        <v>154000</v>
      </c>
      <c r="D27" s="37">
        <v>203000</v>
      </c>
      <c r="E27" s="37">
        <v>44500</v>
      </c>
      <c r="F27" s="37">
        <v>206000</v>
      </c>
      <c r="G27" s="37">
        <v>24000</v>
      </c>
      <c r="H27" s="37">
        <v>202000</v>
      </c>
      <c r="I27" s="37">
        <v>145000</v>
      </c>
      <c r="J27" s="37">
        <v>13000</v>
      </c>
      <c r="K27" s="37"/>
      <c r="L27" s="37"/>
      <c r="M27" s="37"/>
      <c r="N27" s="37"/>
      <c r="O27" s="31">
        <v>40000</v>
      </c>
      <c r="P27" s="37"/>
      <c r="Q27" s="37"/>
      <c r="R27" s="37"/>
      <c r="S27" s="37"/>
      <c r="T27" s="37">
        <f t="shared" si="0"/>
        <v>1273500</v>
      </c>
    </row>
    <row r="28" spans="1:20">
      <c r="A28" s="35" t="s">
        <v>58</v>
      </c>
      <c r="B28" s="37">
        <v>184000</v>
      </c>
      <c r="C28" s="37">
        <v>109000</v>
      </c>
      <c r="D28" s="37">
        <v>129000</v>
      </c>
      <c r="E28" s="37">
        <v>5000</v>
      </c>
      <c r="F28" s="37">
        <v>120500</v>
      </c>
      <c r="G28" s="37">
        <v>0</v>
      </c>
      <c r="H28" s="37">
        <v>144000</v>
      </c>
      <c r="I28" s="37">
        <v>67000</v>
      </c>
      <c r="J28" s="37">
        <v>7000</v>
      </c>
      <c r="K28" s="37"/>
      <c r="L28" s="37"/>
      <c r="M28" s="37"/>
      <c r="N28" s="37"/>
      <c r="O28" s="37">
        <v>6000</v>
      </c>
      <c r="P28" s="37"/>
      <c r="Q28" s="37"/>
      <c r="R28" s="37"/>
      <c r="S28" s="37"/>
      <c r="T28" s="37">
        <f t="shared" si="0"/>
        <v>771500</v>
      </c>
    </row>
    <row r="29" spans="1:20">
      <c r="A29" s="35" t="s">
        <v>59</v>
      </c>
      <c r="B29" s="37">
        <v>226000</v>
      </c>
      <c r="C29" s="37">
        <v>119000</v>
      </c>
      <c r="D29" s="37">
        <v>93000</v>
      </c>
      <c r="E29" s="37">
        <v>13000</v>
      </c>
      <c r="F29" s="37">
        <v>108200</v>
      </c>
      <c r="G29" s="37">
        <v>0</v>
      </c>
      <c r="H29" s="37">
        <v>81000</v>
      </c>
      <c r="I29" s="37">
        <v>68000</v>
      </c>
      <c r="J29" s="37">
        <v>6000</v>
      </c>
      <c r="K29" s="37"/>
      <c r="L29" s="37"/>
      <c r="M29" s="37"/>
      <c r="N29" s="37"/>
      <c r="O29" s="37">
        <v>0</v>
      </c>
      <c r="P29" s="37"/>
      <c r="Q29" s="37"/>
      <c r="R29" s="37"/>
      <c r="S29" s="37"/>
      <c r="T29" s="37">
        <f t="shared" si="0"/>
        <v>714200</v>
      </c>
    </row>
    <row r="30" spans="1:20">
      <c r="A30" s="35" t="s">
        <v>60</v>
      </c>
      <c r="B30" s="37">
        <v>241500</v>
      </c>
      <c r="C30" s="37">
        <v>120000</v>
      </c>
      <c r="D30" s="37">
        <v>107000</v>
      </c>
      <c r="E30" s="37">
        <v>19000</v>
      </c>
      <c r="F30" s="37">
        <v>102000</v>
      </c>
      <c r="G30" s="37">
        <v>0</v>
      </c>
      <c r="H30" s="37">
        <v>104000</v>
      </c>
      <c r="I30" s="37">
        <v>107000</v>
      </c>
      <c r="J30" s="37">
        <v>0</v>
      </c>
      <c r="K30" s="37"/>
      <c r="L30" s="37"/>
      <c r="M30" s="37"/>
      <c r="N30" s="37"/>
      <c r="O30" s="37">
        <v>7000</v>
      </c>
      <c r="P30" s="37"/>
      <c r="Q30" s="37"/>
      <c r="R30" s="37"/>
      <c r="S30" s="37"/>
      <c r="T30" s="37">
        <f t="shared" si="0"/>
        <v>807500</v>
      </c>
    </row>
    <row r="31" spans="1:20">
      <c r="A31" s="35" t="s">
        <v>61</v>
      </c>
      <c r="B31" s="31">
        <v>210000</v>
      </c>
      <c r="C31" s="31">
        <v>103000</v>
      </c>
      <c r="D31" s="31">
        <v>87000</v>
      </c>
      <c r="E31" s="31">
        <v>17500</v>
      </c>
      <c r="F31" s="31">
        <v>87000</v>
      </c>
      <c r="G31" s="31">
        <v>0</v>
      </c>
      <c r="H31" s="31">
        <v>85000</v>
      </c>
      <c r="I31" s="31">
        <v>81000</v>
      </c>
      <c r="J31" s="31">
        <v>8000</v>
      </c>
      <c r="K31" s="31"/>
      <c r="L31" s="31"/>
      <c r="M31" s="31"/>
      <c r="N31" s="31"/>
      <c r="O31" s="31">
        <v>0</v>
      </c>
      <c r="P31" s="31"/>
      <c r="Q31" s="31"/>
      <c r="R31" s="31"/>
      <c r="S31" s="31"/>
      <c r="T31" s="37">
        <f t="shared" si="0"/>
        <v>678500</v>
      </c>
    </row>
    <row r="32" spans="1:20">
      <c r="A32" s="35" t="s">
        <v>62</v>
      </c>
      <c r="B32" s="31">
        <v>243000</v>
      </c>
      <c r="C32" s="31">
        <v>207000</v>
      </c>
      <c r="D32" s="31">
        <v>68000</v>
      </c>
      <c r="E32" s="31">
        <v>10000</v>
      </c>
      <c r="F32" s="31">
        <v>87000</v>
      </c>
      <c r="G32" s="31">
        <v>0</v>
      </c>
      <c r="H32" s="31">
        <v>123000</v>
      </c>
      <c r="I32" s="31">
        <v>61000</v>
      </c>
      <c r="J32" s="31">
        <v>3000</v>
      </c>
      <c r="K32" s="31"/>
      <c r="L32" s="31"/>
      <c r="M32" s="31"/>
      <c r="N32" s="31"/>
      <c r="O32" s="31">
        <v>0</v>
      </c>
      <c r="P32" s="31"/>
      <c r="Q32" s="31"/>
      <c r="R32" s="31"/>
      <c r="S32" s="31"/>
      <c r="T32" s="37">
        <f t="shared" si="0"/>
        <v>802000</v>
      </c>
    </row>
    <row r="33" spans="1:20">
      <c r="A33" s="35" t="s">
        <v>63</v>
      </c>
      <c r="B33" s="31">
        <v>223000</v>
      </c>
      <c r="C33" s="31">
        <v>107000</v>
      </c>
      <c r="D33" s="31">
        <v>121000</v>
      </c>
      <c r="E33" s="31">
        <v>21000</v>
      </c>
      <c r="F33" s="31">
        <v>103000</v>
      </c>
      <c r="G33" s="31">
        <v>12000</v>
      </c>
      <c r="H33" s="31">
        <v>75000</v>
      </c>
      <c r="I33" s="31">
        <v>98000</v>
      </c>
      <c r="J33" s="31">
        <v>25000</v>
      </c>
      <c r="K33" s="31"/>
      <c r="L33" s="31"/>
      <c r="M33" s="31"/>
      <c r="N33" s="31"/>
      <c r="O33" s="31">
        <v>0</v>
      </c>
      <c r="P33" s="31"/>
      <c r="Q33" s="31"/>
      <c r="R33" s="31"/>
      <c r="S33" s="31"/>
      <c r="T33" s="37">
        <f t="shared" si="0"/>
        <v>785000</v>
      </c>
    </row>
    <row r="34" spans="1:20">
      <c r="A34" s="35" t="s">
        <v>64</v>
      </c>
      <c r="B34" s="31">
        <v>350000</v>
      </c>
      <c r="C34" s="31">
        <v>275000</v>
      </c>
      <c r="D34" s="31">
        <v>150000</v>
      </c>
      <c r="E34" s="31">
        <v>15000</v>
      </c>
      <c r="F34" s="31">
        <v>192000</v>
      </c>
      <c r="G34" s="31">
        <v>12000</v>
      </c>
      <c r="H34" s="31">
        <v>145000</v>
      </c>
      <c r="I34" s="31">
        <v>65000</v>
      </c>
      <c r="J34" s="31">
        <v>6000</v>
      </c>
      <c r="K34" s="31"/>
      <c r="L34" s="31"/>
      <c r="M34" s="31"/>
      <c r="N34" s="31"/>
      <c r="O34" s="46">
        <v>7000</v>
      </c>
      <c r="P34" s="31"/>
      <c r="Q34" s="31"/>
      <c r="R34" s="31"/>
      <c r="S34" s="31"/>
      <c r="T34" s="31">
        <f t="shared" si="0"/>
        <v>1217000</v>
      </c>
    </row>
    <row r="35" spans="1:20">
      <c r="A35" s="35" t="s">
        <v>83</v>
      </c>
      <c r="B35" s="31">
        <v>221000</v>
      </c>
      <c r="C35" s="31">
        <v>211000</v>
      </c>
      <c r="D35" s="31">
        <v>146000</v>
      </c>
      <c r="E35" s="31">
        <v>20000</v>
      </c>
      <c r="F35" s="31">
        <v>117000</v>
      </c>
      <c r="G35" s="31">
        <v>12000</v>
      </c>
      <c r="H35" s="31">
        <v>170000</v>
      </c>
      <c r="I35" s="31">
        <v>85000</v>
      </c>
      <c r="J35" s="31">
        <v>10000</v>
      </c>
      <c r="K35" s="31"/>
      <c r="L35" s="31"/>
      <c r="M35" s="31"/>
      <c r="N35" s="31"/>
      <c r="O35" s="31">
        <v>0</v>
      </c>
      <c r="P35" s="31"/>
      <c r="Q35" s="31"/>
      <c r="R35" s="31"/>
      <c r="S35" s="31"/>
      <c r="T35" s="31">
        <f t="shared" si="0"/>
        <v>992000</v>
      </c>
    </row>
    <row r="36" spans="1:20">
      <c r="A36" s="35" t="s">
        <v>84</v>
      </c>
      <c r="B36" s="31">
        <v>106000</v>
      </c>
      <c r="C36" s="31">
        <v>42000</v>
      </c>
      <c r="D36" s="31">
        <v>100000</v>
      </c>
      <c r="E36" s="31">
        <v>14500</v>
      </c>
      <c r="F36" s="31">
        <v>106000</v>
      </c>
      <c r="G36" s="31">
        <v>0</v>
      </c>
      <c r="H36" s="31">
        <v>101000</v>
      </c>
      <c r="I36" s="31">
        <v>26000</v>
      </c>
      <c r="J36" s="31">
        <v>7000</v>
      </c>
      <c r="K36" s="31"/>
      <c r="L36" s="31"/>
      <c r="M36" s="31"/>
      <c r="N36" s="31"/>
      <c r="O36" s="31">
        <v>0</v>
      </c>
      <c r="P36" s="31"/>
      <c r="Q36" s="31"/>
      <c r="R36" s="31">
        <v>0</v>
      </c>
      <c r="S36" s="31"/>
      <c r="T36" s="31">
        <f>SUM(B36:S36)</f>
        <v>502500</v>
      </c>
    </row>
    <row r="37" spans="1:20">
      <c r="A37" s="40" t="s">
        <v>23</v>
      </c>
      <c r="B37" s="41">
        <f>SUM(B6:B36)</f>
        <v>6004000</v>
      </c>
      <c r="C37" s="41">
        <f t="shared" ref="C37:J37" si="1">SUM(C6:C36)</f>
        <v>3334000</v>
      </c>
      <c r="D37" s="41">
        <f t="shared" si="1"/>
        <v>3240000</v>
      </c>
      <c r="E37" s="41">
        <f t="shared" si="1"/>
        <v>590500</v>
      </c>
      <c r="F37" s="41">
        <f t="shared" si="1"/>
        <v>3357500</v>
      </c>
      <c r="G37" s="41">
        <f t="shared" si="1"/>
        <v>150000</v>
      </c>
      <c r="H37" s="41">
        <f t="shared" si="1"/>
        <v>3081000</v>
      </c>
      <c r="I37" s="41">
        <f t="shared" si="1"/>
        <v>1961000</v>
      </c>
      <c r="J37" s="41">
        <f t="shared" si="1"/>
        <v>327000</v>
      </c>
      <c r="K37" s="31"/>
      <c r="L37" s="31"/>
      <c r="M37" s="31"/>
      <c r="N37" s="31"/>
      <c r="O37" s="31">
        <f>SUM(O6:O36)</f>
        <v>186000</v>
      </c>
      <c r="P37" s="31"/>
      <c r="Q37" s="31"/>
      <c r="R37" s="31">
        <f>SUM(R6:R36)</f>
        <v>0</v>
      </c>
      <c r="S37" s="31"/>
      <c r="T37" s="31">
        <f>SUM(B37:S37)</f>
        <v>22231000</v>
      </c>
    </row>
  </sheetData>
  <mergeCells count="4">
    <mergeCell ref="B1:T1"/>
    <mergeCell ref="B2:T2"/>
    <mergeCell ref="C3:F3"/>
    <mergeCell ref="C4:F4"/>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28"/>
  <sheetViews>
    <sheetView workbookViewId="0">
      <selection activeCell="D12" sqref="D12"/>
    </sheetView>
  </sheetViews>
  <sheetFormatPr defaultRowHeight="15"/>
  <cols>
    <col min="1" max="1" width="17.7109375" customWidth="1"/>
    <col min="2" max="2" width="13.5703125" customWidth="1"/>
    <col min="3" max="3" width="13.42578125" customWidth="1"/>
    <col min="4" max="4" width="13.5703125" customWidth="1"/>
    <col min="5" max="5" width="14.28515625" customWidth="1"/>
    <col min="6" max="6" width="13.140625" customWidth="1"/>
    <col min="7" max="7" width="14.28515625" customWidth="1"/>
  </cols>
  <sheetData>
    <row r="1" spans="1:7" ht="16.5" thickBot="1">
      <c r="A1" s="6" t="s">
        <v>24</v>
      </c>
      <c r="B1" s="70" t="s">
        <v>122</v>
      </c>
      <c r="C1" s="71"/>
      <c r="D1" s="72"/>
      <c r="E1" s="11"/>
      <c r="F1" s="11"/>
      <c r="G1" s="12"/>
    </row>
    <row r="2" spans="1:7" ht="15.75">
      <c r="A2" s="13" t="s">
        <v>25</v>
      </c>
      <c r="B2" s="14" t="s">
        <v>26</v>
      </c>
      <c r="C2" s="14" t="s">
        <v>27</v>
      </c>
      <c r="D2" s="14" t="s">
        <v>28</v>
      </c>
      <c r="E2" s="14" t="s">
        <v>29</v>
      </c>
      <c r="F2" s="15" t="s">
        <v>30</v>
      </c>
      <c r="G2" s="16" t="s">
        <v>31</v>
      </c>
    </row>
    <row r="3" spans="1:7" ht="15.75">
      <c r="A3" s="17" t="s">
        <v>4</v>
      </c>
      <c r="B3" s="18">
        <v>511500</v>
      </c>
      <c r="C3" s="18">
        <v>1270000</v>
      </c>
      <c r="D3" s="18">
        <v>1354000</v>
      </c>
      <c r="E3" s="18">
        <v>1269000</v>
      </c>
      <c r="F3" s="19">
        <v>1594500</v>
      </c>
      <c r="G3" s="20">
        <f t="shared" ref="G3:G11" si="0">SUM(B3:F3)</f>
        <v>5999000</v>
      </c>
    </row>
    <row r="4" spans="1:7" ht="15.75">
      <c r="A4" s="17" t="s">
        <v>5</v>
      </c>
      <c r="B4" s="18">
        <v>329000</v>
      </c>
      <c r="C4" s="18">
        <v>789000</v>
      </c>
      <c r="D4" s="18">
        <v>518000</v>
      </c>
      <c r="E4" s="18">
        <v>633000</v>
      </c>
      <c r="F4" s="19">
        <v>1065000</v>
      </c>
      <c r="G4" s="20">
        <f>SUM(B4:F4)</f>
        <v>3334000</v>
      </c>
    </row>
    <row r="5" spans="1:7" ht="15.75">
      <c r="A5" s="17" t="s">
        <v>32</v>
      </c>
      <c r="B5" s="18">
        <v>310000</v>
      </c>
      <c r="C5" s="18">
        <v>812500</v>
      </c>
      <c r="D5" s="18">
        <v>471000</v>
      </c>
      <c r="E5" s="18">
        <v>867500</v>
      </c>
      <c r="F5" s="19">
        <v>779000</v>
      </c>
      <c r="G5" s="20">
        <f>SUM(B5:F5)</f>
        <v>3240000</v>
      </c>
    </row>
    <row r="6" spans="1:7" ht="15.75">
      <c r="A6" s="17" t="s">
        <v>33</v>
      </c>
      <c r="B6" s="18">
        <v>80500</v>
      </c>
      <c r="C6" s="18">
        <v>155000</v>
      </c>
      <c r="D6" s="18">
        <v>115500</v>
      </c>
      <c r="E6" s="18">
        <v>122500</v>
      </c>
      <c r="F6" s="19">
        <v>117000</v>
      </c>
      <c r="G6" s="20">
        <f t="shared" si="0"/>
        <v>590500</v>
      </c>
    </row>
    <row r="7" spans="1:7" ht="15.75">
      <c r="A7" s="17" t="s">
        <v>8</v>
      </c>
      <c r="B7" s="18">
        <v>249000</v>
      </c>
      <c r="C7" s="18">
        <v>829300</v>
      </c>
      <c r="D7" s="18">
        <v>651500</v>
      </c>
      <c r="E7" s="18">
        <v>833700</v>
      </c>
      <c r="F7" s="19">
        <v>794000</v>
      </c>
      <c r="G7" s="20">
        <f t="shared" si="0"/>
        <v>3357500</v>
      </c>
    </row>
    <row r="8" spans="1:7" ht="15.75">
      <c r="A8" s="17" t="s">
        <v>9</v>
      </c>
      <c r="B8" s="18">
        <v>24000</v>
      </c>
      <c r="C8" s="18">
        <v>30000</v>
      </c>
      <c r="D8" s="18">
        <v>36000</v>
      </c>
      <c r="E8" s="18">
        <v>24000</v>
      </c>
      <c r="F8" s="19">
        <v>36000</v>
      </c>
      <c r="G8" s="20">
        <f t="shared" si="0"/>
        <v>150000</v>
      </c>
    </row>
    <row r="9" spans="1:7" ht="15.75">
      <c r="A9" s="17" t="s">
        <v>10</v>
      </c>
      <c r="B9" s="18">
        <v>236000</v>
      </c>
      <c r="C9" s="18">
        <v>793000</v>
      </c>
      <c r="D9" s="18">
        <v>427000</v>
      </c>
      <c r="E9" s="18">
        <v>822000</v>
      </c>
      <c r="F9" s="19">
        <v>803000</v>
      </c>
      <c r="G9" s="20">
        <f t="shared" si="0"/>
        <v>3081000</v>
      </c>
    </row>
    <row r="10" spans="1:7" ht="15.75">
      <c r="A10" s="17" t="s">
        <v>11</v>
      </c>
      <c r="B10" s="18">
        <v>145000</v>
      </c>
      <c r="C10" s="18">
        <v>503000</v>
      </c>
      <c r="D10" s="18">
        <v>357000</v>
      </c>
      <c r="E10" s="18">
        <v>433000</v>
      </c>
      <c r="F10" s="19">
        <v>528000</v>
      </c>
      <c r="G10" s="20">
        <f t="shared" si="0"/>
        <v>1966000</v>
      </c>
    </row>
    <row r="11" spans="1:7" ht="15.75">
      <c r="A11" s="17" t="s">
        <v>12</v>
      </c>
      <c r="B11" s="18">
        <v>45000</v>
      </c>
      <c r="C11" s="18">
        <v>68000</v>
      </c>
      <c r="D11" s="18">
        <v>96000</v>
      </c>
      <c r="E11" s="18">
        <v>59000</v>
      </c>
      <c r="F11" s="19">
        <v>59000</v>
      </c>
      <c r="G11" s="20">
        <f t="shared" si="0"/>
        <v>327000</v>
      </c>
    </row>
    <row r="12" spans="1:7" ht="15.75">
      <c r="A12" s="17" t="s">
        <v>13</v>
      </c>
      <c r="B12" s="18"/>
      <c r="C12" s="18"/>
      <c r="D12" s="18"/>
      <c r="E12" s="18"/>
      <c r="F12" s="19"/>
      <c r="G12" s="20">
        <f t="shared" ref="G12:G19" si="1">SUM(B12:E12)</f>
        <v>0</v>
      </c>
    </row>
    <row r="13" spans="1:7" ht="15.75">
      <c r="A13" s="17" t="s">
        <v>14</v>
      </c>
      <c r="B13" s="18"/>
      <c r="C13" s="18"/>
      <c r="D13" s="18"/>
      <c r="E13" s="18"/>
      <c r="F13" s="19"/>
      <c r="G13" s="20">
        <f t="shared" si="1"/>
        <v>0</v>
      </c>
    </row>
    <row r="14" spans="1:7" ht="15.75">
      <c r="A14" s="17" t="s">
        <v>15</v>
      </c>
      <c r="B14" s="18"/>
      <c r="C14" s="18"/>
      <c r="D14" s="18"/>
      <c r="E14" s="18"/>
      <c r="F14" s="19"/>
      <c r="G14" s="20">
        <f t="shared" si="1"/>
        <v>0</v>
      </c>
    </row>
    <row r="15" spans="1:7" ht="15.75">
      <c r="A15" s="17" t="s">
        <v>16</v>
      </c>
      <c r="B15" s="18"/>
      <c r="C15" s="18"/>
      <c r="D15" s="18"/>
      <c r="E15" s="18"/>
      <c r="F15" s="19"/>
      <c r="G15" s="20">
        <f t="shared" si="1"/>
        <v>0</v>
      </c>
    </row>
    <row r="16" spans="1:7" ht="15.75">
      <c r="A16" s="17" t="s">
        <v>17</v>
      </c>
      <c r="B16" s="18">
        <v>25000</v>
      </c>
      <c r="C16" s="18">
        <v>71000</v>
      </c>
      <c r="D16" s="18">
        <v>30000</v>
      </c>
      <c r="E16" s="18">
        <v>46000</v>
      </c>
      <c r="F16" s="19">
        <v>14000</v>
      </c>
      <c r="G16" s="20">
        <f>SUM(B16:F16)</f>
        <v>186000</v>
      </c>
    </row>
    <row r="17" spans="1:7" ht="15.75">
      <c r="A17" s="17" t="s">
        <v>18</v>
      </c>
      <c r="B17" s="18"/>
      <c r="C17" s="18"/>
      <c r="D17" s="18"/>
      <c r="E17" s="18"/>
      <c r="F17" s="19"/>
      <c r="G17" s="20">
        <f t="shared" si="1"/>
        <v>0</v>
      </c>
    </row>
    <row r="18" spans="1:7" ht="15.75">
      <c r="A18" s="17" t="s">
        <v>19</v>
      </c>
      <c r="B18" s="18"/>
      <c r="C18" s="18"/>
      <c r="D18" s="18"/>
      <c r="E18" s="18"/>
      <c r="F18" s="19"/>
      <c r="G18" s="20">
        <f t="shared" si="1"/>
        <v>0</v>
      </c>
    </row>
    <row r="19" spans="1:7" ht="15.75">
      <c r="A19" s="17" t="s">
        <v>34</v>
      </c>
      <c r="B19" s="18"/>
      <c r="C19" s="18"/>
      <c r="D19" s="18"/>
      <c r="E19" s="18"/>
      <c r="F19" s="19"/>
      <c r="G19" s="20">
        <f t="shared" si="1"/>
        <v>0</v>
      </c>
    </row>
    <row r="20" spans="1:7" ht="16.5" thickBot="1">
      <c r="A20" s="21" t="s">
        <v>35</v>
      </c>
      <c r="B20" s="22">
        <f t="shared" ref="B20:G20" si="2">SUM(B3:B19)</f>
        <v>1955000</v>
      </c>
      <c r="C20" s="22">
        <f t="shared" si="2"/>
        <v>5320800</v>
      </c>
      <c r="D20" s="22">
        <f t="shared" si="2"/>
        <v>4056000</v>
      </c>
      <c r="E20" s="22">
        <f t="shared" si="2"/>
        <v>5109700</v>
      </c>
      <c r="F20" s="22">
        <f t="shared" si="2"/>
        <v>5789500</v>
      </c>
      <c r="G20" s="23">
        <f t="shared" si="2"/>
        <v>22231000</v>
      </c>
    </row>
    <row r="22" spans="1:7" ht="15.75" thickBot="1"/>
    <row r="23" spans="1:7" ht="21.75" thickBot="1">
      <c r="A23" s="73" t="s">
        <v>36</v>
      </c>
      <c r="B23" s="74"/>
      <c r="C23" s="74"/>
      <c r="D23" s="74"/>
      <c r="E23" s="74"/>
      <c r="F23" s="74"/>
      <c r="G23" s="75"/>
    </row>
    <row r="24" spans="1:7" ht="15.75" thickBot="1">
      <c r="A24" s="76"/>
      <c r="B24" s="68"/>
      <c r="C24" s="68"/>
      <c r="D24" s="68"/>
      <c r="E24" s="68"/>
      <c r="F24" s="68"/>
      <c r="G24" s="69"/>
    </row>
    <row r="25" spans="1:7" ht="15.75" thickBot="1">
      <c r="A25" s="24"/>
      <c r="B25" s="25"/>
      <c r="C25" s="25"/>
      <c r="D25" s="25"/>
      <c r="E25" s="25"/>
      <c r="F25" s="25"/>
      <c r="G25" s="26"/>
    </row>
    <row r="26" spans="1:7" ht="15.75" thickBot="1">
      <c r="A26" s="67"/>
      <c r="B26" s="68"/>
      <c r="C26" s="68"/>
      <c r="D26" s="68"/>
      <c r="E26" s="68"/>
      <c r="F26" s="68"/>
      <c r="G26" s="69"/>
    </row>
    <row r="27" spans="1:7" ht="15.75" thickBot="1">
      <c r="A27" s="77"/>
      <c r="B27" s="68"/>
      <c r="C27" s="68"/>
      <c r="D27" s="68"/>
      <c r="E27" s="68"/>
      <c r="F27" s="68"/>
      <c r="G27" s="69"/>
    </row>
    <row r="28" spans="1:7" ht="15.75" thickBot="1">
      <c r="A28" s="67"/>
      <c r="B28" s="68"/>
      <c r="C28" s="68"/>
      <c r="D28" s="68"/>
      <c r="E28" s="68"/>
      <c r="F28" s="68"/>
      <c r="G28" s="69"/>
    </row>
  </sheetData>
  <mergeCells count="6">
    <mergeCell ref="A28:G28"/>
    <mergeCell ref="B1:D1"/>
    <mergeCell ref="A23:G23"/>
    <mergeCell ref="A24:G24"/>
    <mergeCell ref="A26:G26"/>
    <mergeCell ref="A27:G27"/>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T37"/>
  <sheetViews>
    <sheetView workbookViewId="0">
      <selection sqref="A1:T37"/>
    </sheetView>
  </sheetViews>
  <sheetFormatPr defaultRowHeight="15"/>
  <cols>
    <col min="1" max="1" width="10.5703125" customWidth="1"/>
    <col min="2" max="2" width="10.85546875" customWidth="1"/>
    <col min="3" max="3" width="10.28515625" bestFit="1" customWidth="1"/>
    <col min="4" max="4" width="10" customWidth="1"/>
    <col min="5" max="5" width="9.7109375" customWidth="1"/>
    <col min="6" max="6" width="10.7109375" customWidth="1"/>
    <col min="7" max="9" width="10" customWidth="1"/>
    <col min="10" max="10" width="10.42578125" customWidth="1"/>
    <col min="20" max="20" width="10.28515625" customWidth="1"/>
  </cols>
  <sheetData>
    <row r="1" spans="1:20" ht="26.25">
      <c r="A1" s="28"/>
      <c r="B1" s="55" t="s">
        <v>68</v>
      </c>
      <c r="C1" s="56"/>
      <c r="D1" s="56"/>
      <c r="E1" s="56"/>
      <c r="F1" s="56"/>
      <c r="G1" s="56"/>
      <c r="H1" s="56"/>
      <c r="I1" s="56"/>
      <c r="J1" s="56"/>
      <c r="K1" s="56"/>
      <c r="L1" s="56"/>
      <c r="M1" s="56"/>
      <c r="N1" s="56"/>
      <c r="O1" s="56"/>
      <c r="P1" s="56"/>
      <c r="Q1" s="56"/>
      <c r="R1" s="56"/>
      <c r="S1" s="56"/>
      <c r="T1" s="57"/>
    </row>
    <row r="2" spans="1:20" ht="27" thickBot="1">
      <c r="A2" s="4"/>
      <c r="B2" s="58" t="s">
        <v>0</v>
      </c>
      <c r="C2" s="59"/>
      <c r="D2" s="59"/>
      <c r="E2" s="59"/>
      <c r="F2" s="59"/>
      <c r="G2" s="59"/>
      <c r="H2" s="59"/>
      <c r="I2" s="59"/>
      <c r="J2" s="59"/>
      <c r="K2" s="59"/>
      <c r="L2" s="59"/>
      <c r="M2" s="59"/>
      <c r="N2" s="59"/>
      <c r="O2" s="59"/>
      <c r="P2" s="59"/>
      <c r="Q2" s="59"/>
      <c r="R2" s="59"/>
      <c r="S2" s="59"/>
      <c r="T2" s="60"/>
    </row>
    <row r="3" spans="1:20" ht="27" thickBot="1">
      <c r="A3" s="4"/>
      <c r="B3" s="29" t="s">
        <v>1</v>
      </c>
      <c r="C3" s="61" t="s">
        <v>69</v>
      </c>
      <c r="D3" s="62"/>
      <c r="E3" s="62"/>
      <c r="F3" s="63"/>
      <c r="G3" s="50" t="s">
        <v>124</v>
      </c>
    </row>
    <row r="4" spans="1:20" ht="21">
      <c r="A4" s="4"/>
      <c r="B4" s="30" t="s">
        <v>2</v>
      </c>
      <c r="C4" s="64"/>
      <c r="D4" s="65"/>
      <c r="E4" s="65"/>
      <c r="F4" s="66"/>
    </row>
    <row r="5" spans="1:20" ht="67.5">
      <c r="A5" s="32" t="s">
        <v>3</v>
      </c>
      <c r="B5" s="33" t="s">
        <v>4</v>
      </c>
      <c r="C5" s="33" t="s">
        <v>5</v>
      </c>
      <c r="D5" s="33" t="s">
        <v>6</v>
      </c>
      <c r="E5" s="33" t="s">
        <v>7</v>
      </c>
      <c r="F5" s="33" t="s">
        <v>8</v>
      </c>
      <c r="G5" s="33" t="s">
        <v>9</v>
      </c>
      <c r="H5" s="33" t="s">
        <v>10</v>
      </c>
      <c r="I5" s="33" t="s">
        <v>11</v>
      </c>
      <c r="J5" s="33" t="s">
        <v>12</v>
      </c>
      <c r="K5" s="33" t="s">
        <v>13</v>
      </c>
      <c r="L5" s="33" t="s">
        <v>14</v>
      </c>
      <c r="M5" s="33" t="s">
        <v>15</v>
      </c>
      <c r="N5" s="33" t="s">
        <v>16</v>
      </c>
      <c r="O5" s="33" t="s">
        <v>17</v>
      </c>
      <c r="P5" s="33" t="s">
        <v>18</v>
      </c>
      <c r="Q5" s="33" t="s">
        <v>19</v>
      </c>
      <c r="R5" s="33" t="s">
        <v>20</v>
      </c>
      <c r="S5" s="33" t="s">
        <v>21</v>
      </c>
      <c r="T5" s="33" t="s">
        <v>22</v>
      </c>
    </row>
    <row r="6" spans="1:20">
      <c r="A6" s="35" t="s">
        <v>67</v>
      </c>
      <c r="B6" s="36">
        <v>196000</v>
      </c>
      <c r="C6" s="36">
        <v>64000</v>
      </c>
      <c r="D6" s="36">
        <v>128000</v>
      </c>
      <c r="E6" s="36">
        <v>10500</v>
      </c>
      <c r="F6" s="36">
        <v>135100</v>
      </c>
      <c r="G6" s="36">
        <v>12000</v>
      </c>
      <c r="H6" s="36">
        <v>85000</v>
      </c>
      <c r="I6" s="36">
        <v>31000</v>
      </c>
      <c r="J6" s="36">
        <v>10000</v>
      </c>
      <c r="K6" s="36"/>
      <c r="L6" s="36"/>
      <c r="M6" s="36"/>
      <c r="N6" s="36"/>
      <c r="O6" s="36"/>
      <c r="P6" s="36"/>
      <c r="Q6" s="36"/>
      <c r="R6" s="36"/>
      <c r="S6" s="37"/>
      <c r="T6" s="37">
        <f t="shared" ref="T6:T37" si="0">SUM(B6:S6)</f>
        <v>671600</v>
      </c>
    </row>
    <row r="7" spans="1:20">
      <c r="A7" s="35" t="s">
        <v>37</v>
      </c>
      <c r="B7" s="36">
        <v>147000</v>
      </c>
      <c r="C7" s="36">
        <v>81000</v>
      </c>
      <c r="D7" s="36">
        <v>105000</v>
      </c>
      <c r="E7" s="36">
        <v>16000</v>
      </c>
      <c r="F7" s="36">
        <v>123000</v>
      </c>
      <c r="G7" s="36">
        <v>0</v>
      </c>
      <c r="H7" s="36">
        <v>79000</v>
      </c>
      <c r="I7" s="36">
        <v>32000</v>
      </c>
      <c r="J7" s="36">
        <v>0</v>
      </c>
      <c r="K7" s="36"/>
      <c r="L7" s="36"/>
      <c r="M7" s="36"/>
      <c r="N7" s="36"/>
      <c r="O7" s="36">
        <v>6000</v>
      </c>
      <c r="P7" s="36"/>
      <c r="Q7" s="36"/>
      <c r="R7" s="36"/>
      <c r="S7" s="37"/>
      <c r="T7" s="37">
        <f t="shared" si="0"/>
        <v>589000</v>
      </c>
    </row>
    <row r="8" spans="1:20">
      <c r="A8" s="35" t="s">
        <v>38</v>
      </c>
      <c r="B8" s="36">
        <v>205000</v>
      </c>
      <c r="C8" s="36">
        <v>92000</v>
      </c>
      <c r="D8" s="36">
        <v>155000</v>
      </c>
      <c r="E8" s="36">
        <v>17000</v>
      </c>
      <c r="F8" s="36">
        <v>164000</v>
      </c>
      <c r="G8" s="36">
        <v>12000</v>
      </c>
      <c r="H8" s="36">
        <v>123000</v>
      </c>
      <c r="I8" s="36">
        <v>150000</v>
      </c>
      <c r="J8" s="36">
        <v>10000</v>
      </c>
      <c r="K8" s="36"/>
      <c r="L8" s="36"/>
      <c r="M8" s="36"/>
      <c r="N8" s="36"/>
      <c r="O8" s="36">
        <v>0</v>
      </c>
      <c r="P8" s="36"/>
      <c r="Q8" s="36"/>
      <c r="R8" s="36"/>
      <c r="S8" s="37"/>
      <c r="T8" s="37">
        <f t="shared" si="0"/>
        <v>928000</v>
      </c>
    </row>
    <row r="9" spans="1:20">
      <c r="A9" s="35" t="s">
        <v>39</v>
      </c>
      <c r="B9" s="36">
        <v>204000</v>
      </c>
      <c r="C9" s="36">
        <v>74000</v>
      </c>
      <c r="D9" s="36">
        <v>109000</v>
      </c>
      <c r="E9" s="36">
        <v>19500</v>
      </c>
      <c r="F9" s="36">
        <v>88000</v>
      </c>
      <c r="G9" s="36">
        <v>0</v>
      </c>
      <c r="H9" s="36">
        <v>44000</v>
      </c>
      <c r="I9" s="36">
        <v>29000</v>
      </c>
      <c r="J9" s="36">
        <v>0</v>
      </c>
      <c r="K9" s="36"/>
      <c r="L9" s="36"/>
      <c r="M9" s="36"/>
      <c r="N9" s="36"/>
      <c r="O9" s="36">
        <v>0</v>
      </c>
      <c r="Q9" s="36"/>
      <c r="R9" s="36"/>
      <c r="S9" s="37"/>
      <c r="T9" s="37">
        <f t="shared" si="0"/>
        <v>567500</v>
      </c>
    </row>
    <row r="10" spans="1:20">
      <c r="A10" s="35" t="s">
        <v>40</v>
      </c>
      <c r="B10" s="37">
        <v>200000</v>
      </c>
      <c r="C10" s="37">
        <v>101000</v>
      </c>
      <c r="D10" s="37">
        <v>132000</v>
      </c>
      <c r="E10" s="37">
        <v>5500</v>
      </c>
      <c r="F10" s="37">
        <v>143000</v>
      </c>
      <c r="G10" s="37">
        <v>61000</v>
      </c>
      <c r="H10" s="37">
        <v>112000</v>
      </c>
      <c r="I10" s="37">
        <v>45000</v>
      </c>
      <c r="J10" s="37">
        <v>25000</v>
      </c>
      <c r="K10" s="37"/>
      <c r="L10" s="37"/>
      <c r="M10" s="37"/>
      <c r="N10" s="37"/>
      <c r="O10" s="37">
        <v>7000</v>
      </c>
      <c r="P10" s="37"/>
      <c r="Q10" s="37"/>
      <c r="R10" s="37"/>
      <c r="S10" s="37"/>
      <c r="T10" s="37">
        <f t="shared" si="0"/>
        <v>831500</v>
      </c>
    </row>
    <row r="11" spans="1:20">
      <c r="A11" s="35" t="s">
        <v>41</v>
      </c>
      <c r="B11" s="37">
        <v>159000</v>
      </c>
      <c r="C11" s="37">
        <v>207000</v>
      </c>
      <c r="D11" s="37">
        <v>221000</v>
      </c>
      <c r="E11" s="37">
        <v>0</v>
      </c>
      <c r="F11" s="37">
        <v>189000</v>
      </c>
      <c r="G11" s="37">
        <v>0</v>
      </c>
      <c r="H11" s="37">
        <v>214000</v>
      </c>
      <c r="I11" s="37">
        <v>145000</v>
      </c>
      <c r="J11" s="37">
        <v>26000</v>
      </c>
      <c r="K11" s="37"/>
      <c r="L11" s="37"/>
      <c r="M11" s="37"/>
      <c r="N11" s="37"/>
      <c r="O11" s="37">
        <v>0</v>
      </c>
      <c r="P11" s="37"/>
      <c r="Q11" s="37"/>
      <c r="R11" s="37"/>
      <c r="S11" s="37"/>
      <c r="T11" s="37">
        <f t="shared" si="0"/>
        <v>1161000</v>
      </c>
    </row>
    <row r="12" spans="1:20">
      <c r="A12" s="35" t="s">
        <v>42</v>
      </c>
      <c r="B12" s="37">
        <v>212000</v>
      </c>
      <c r="C12" s="37">
        <v>130000</v>
      </c>
      <c r="D12" s="37">
        <v>91000</v>
      </c>
      <c r="E12" s="37">
        <v>51000</v>
      </c>
      <c r="F12" s="37">
        <v>90000</v>
      </c>
      <c r="G12" s="37">
        <v>12000</v>
      </c>
      <c r="H12" s="37">
        <v>79000</v>
      </c>
      <c r="I12" s="37">
        <v>53000</v>
      </c>
      <c r="J12" s="37">
        <v>8000</v>
      </c>
      <c r="K12" s="37"/>
      <c r="L12" s="37"/>
      <c r="M12" s="37"/>
      <c r="N12" s="37"/>
      <c r="O12" s="37">
        <v>0</v>
      </c>
      <c r="P12" s="37"/>
      <c r="Q12" s="37"/>
      <c r="R12" s="37"/>
      <c r="S12" s="37"/>
      <c r="T12" s="37">
        <f t="shared" si="0"/>
        <v>726000</v>
      </c>
    </row>
    <row r="13" spans="1:20">
      <c r="A13" s="35" t="s">
        <v>43</v>
      </c>
      <c r="B13" s="37">
        <v>238000</v>
      </c>
      <c r="C13" s="37">
        <v>101000</v>
      </c>
      <c r="D13" s="37">
        <v>79000</v>
      </c>
      <c r="E13" s="37">
        <v>17500</v>
      </c>
      <c r="F13" s="37">
        <v>59000</v>
      </c>
      <c r="G13" s="37">
        <v>36000</v>
      </c>
      <c r="H13" s="37">
        <v>33000</v>
      </c>
      <c r="I13" s="37">
        <v>31000</v>
      </c>
      <c r="J13" s="37">
        <v>3000</v>
      </c>
      <c r="K13" s="37"/>
      <c r="L13" s="37"/>
      <c r="M13" s="37"/>
      <c r="N13" s="37"/>
      <c r="O13" s="37">
        <v>0</v>
      </c>
      <c r="P13" s="37"/>
      <c r="Q13" s="37"/>
      <c r="R13" s="37"/>
      <c r="S13" s="37"/>
      <c r="T13" s="37">
        <f t="shared" si="0"/>
        <v>597500</v>
      </c>
    </row>
    <row r="14" spans="1:20">
      <c r="A14" s="35" t="s">
        <v>44</v>
      </c>
      <c r="B14" s="37">
        <v>155000</v>
      </c>
      <c r="C14" s="37">
        <v>123000</v>
      </c>
      <c r="D14" s="37">
        <v>97000</v>
      </c>
      <c r="E14" s="37">
        <v>10000</v>
      </c>
      <c r="F14" s="37">
        <v>72000</v>
      </c>
      <c r="G14" s="37">
        <v>0</v>
      </c>
      <c r="H14" s="37">
        <v>62000</v>
      </c>
      <c r="I14" s="37">
        <v>86000</v>
      </c>
      <c r="J14" s="37">
        <v>2000</v>
      </c>
      <c r="K14" s="37"/>
      <c r="L14" s="37"/>
      <c r="M14" s="37"/>
      <c r="N14" s="37"/>
      <c r="O14" s="37">
        <v>6000</v>
      </c>
      <c r="P14" s="37"/>
      <c r="Q14" s="37"/>
      <c r="R14" s="37"/>
      <c r="S14" s="37"/>
      <c r="T14" s="37">
        <f t="shared" si="0"/>
        <v>613000</v>
      </c>
    </row>
    <row r="15" spans="1:20">
      <c r="A15" s="35" t="s">
        <v>45</v>
      </c>
      <c r="B15" s="37">
        <v>264500</v>
      </c>
      <c r="C15" s="37">
        <v>182000</v>
      </c>
      <c r="D15" s="37">
        <v>87000</v>
      </c>
      <c r="E15" s="37">
        <v>15000</v>
      </c>
      <c r="F15" s="37">
        <v>99000</v>
      </c>
      <c r="G15" s="37">
        <v>0</v>
      </c>
      <c r="H15" s="37">
        <v>65000</v>
      </c>
      <c r="I15" s="37">
        <v>34000</v>
      </c>
      <c r="J15" s="37">
        <v>6000</v>
      </c>
      <c r="K15" s="37"/>
      <c r="L15" s="37"/>
      <c r="M15" s="37"/>
      <c r="N15" s="37"/>
      <c r="O15" s="37">
        <v>0</v>
      </c>
      <c r="P15" s="37"/>
      <c r="Q15" s="37"/>
      <c r="R15" s="37"/>
      <c r="S15" s="37"/>
      <c r="T15" s="37">
        <f t="shared" si="0"/>
        <v>752500</v>
      </c>
    </row>
    <row r="16" spans="1:20">
      <c r="A16" s="35" t="s">
        <v>46</v>
      </c>
      <c r="B16" s="37">
        <v>182500</v>
      </c>
      <c r="C16" s="37">
        <v>62000</v>
      </c>
      <c r="D16" s="37">
        <v>61000</v>
      </c>
      <c r="E16" s="37">
        <v>24500</v>
      </c>
      <c r="F16" s="37">
        <v>72000</v>
      </c>
      <c r="G16" s="37">
        <v>0</v>
      </c>
      <c r="H16" s="37">
        <v>48000</v>
      </c>
      <c r="I16" s="37">
        <v>24000</v>
      </c>
      <c r="J16" s="37">
        <v>2000</v>
      </c>
      <c r="K16" s="37"/>
      <c r="L16" s="37"/>
      <c r="M16" s="37"/>
      <c r="N16" s="37"/>
      <c r="O16" s="37">
        <v>0</v>
      </c>
      <c r="P16" s="37"/>
      <c r="Q16" s="37"/>
      <c r="R16" s="37"/>
      <c r="S16" s="37"/>
      <c r="T16" s="37">
        <f t="shared" si="0"/>
        <v>476000</v>
      </c>
    </row>
    <row r="17" spans="1:20">
      <c r="A17" s="35" t="s">
        <v>47</v>
      </c>
      <c r="B17" s="37">
        <v>238000</v>
      </c>
      <c r="C17" s="37">
        <v>245000</v>
      </c>
      <c r="D17" s="37">
        <v>114000</v>
      </c>
      <c r="E17" s="37">
        <v>11000</v>
      </c>
      <c r="F17" s="37">
        <v>98000</v>
      </c>
      <c r="G17" s="37">
        <v>0</v>
      </c>
      <c r="H17" s="37">
        <v>93000</v>
      </c>
      <c r="I17" s="37">
        <v>56000</v>
      </c>
      <c r="J17" s="37">
        <v>13000</v>
      </c>
      <c r="K17" s="37"/>
      <c r="L17" s="37"/>
      <c r="M17" s="37"/>
      <c r="N17" s="37"/>
      <c r="O17" s="37">
        <v>0</v>
      </c>
      <c r="P17" s="37"/>
      <c r="Q17" s="37"/>
      <c r="R17" s="37"/>
      <c r="S17" s="37"/>
      <c r="T17" s="37">
        <f t="shared" si="0"/>
        <v>868000</v>
      </c>
    </row>
    <row r="18" spans="1:20">
      <c r="A18" s="35" t="s">
        <v>48</v>
      </c>
      <c r="B18" s="37">
        <v>138000</v>
      </c>
      <c r="C18" s="37">
        <v>65000</v>
      </c>
      <c r="D18" s="37">
        <v>60000</v>
      </c>
      <c r="E18" s="37">
        <v>5000</v>
      </c>
      <c r="F18" s="37">
        <v>63000</v>
      </c>
      <c r="G18" s="37">
        <v>0</v>
      </c>
      <c r="H18" s="37">
        <v>45000</v>
      </c>
      <c r="I18" s="37">
        <v>30000</v>
      </c>
      <c r="J18" s="37">
        <v>6000</v>
      </c>
      <c r="K18" s="37"/>
      <c r="L18" s="37"/>
      <c r="M18" s="37"/>
      <c r="N18" s="37"/>
      <c r="O18" s="37">
        <v>12000</v>
      </c>
      <c r="P18" s="37"/>
      <c r="Q18" s="37"/>
      <c r="R18" s="37"/>
      <c r="S18" s="37"/>
      <c r="T18" s="37">
        <f t="shared" si="0"/>
        <v>424000</v>
      </c>
    </row>
    <row r="19" spans="1:20">
      <c r="A19" s="35" t="s">
        <v>49</v>
      </c>
      <c r="B19" s="37">
        <v>165000</v>
      </c>
      <c r="C19" s="37">
        <v>42000</v>
      </c>
      <c r="D19" s="37">
        <v>76000</v>
      </c>
      <c r="E19" s="37">
        <v>25000</v>
      </c>
      <c r="F19" s="37">
        <v>133000</v>
      </c>
      <c r="G19" s="37">
        <v>6000</v>
      </c>
      <c r="H19" s="37">
        <v>85000</v>
      </c>
      <c r="I19" s="37">
        <v>55000</v>
      </c>
      <c r="J19" s="37">
        <v>19000</v>
      </c>
      <c r="K19" s="37"/>
      <c r="L19" s="37"/>
      <c r="M19" s="37"/>
      <c r="N19" s="37"/>
      <c r="O19" s="37">
        <v>0</v>
      </c>
      <c r="P19" s="37"/>
      <c r="Q19" s="37"/>
      <c r="R19" s="37"/>
      <c r="S19" s="37"/>
      <c r="T19" s="37">
        <f t="shared" si="0"/>
        <v>606000</v>
      </c>
    </row>
    <row r="20" spans="1:20">
      <c r="A20" s="35" t="s">
        <v>50</v>
      </c>
      <c r="B20" s="37">
        <v>155000</v>
      </c>
      <c r="C20" s="37">
        <v>15000</v>
      </c>
      <c r="D20" s="37">
        <v>83000</v>
      </c>
      <c r="E20" s="37">
        <v>10000</v>
      </c>
      <c r="F20" s="37">
        <v>108000</v>
      </c>
      <c r="G20" s="37">
        <v>6000</v>
      </c>
      <c r="H20" s="37">
        <v>70000</v>
      </c>
      <c r="I20" s="37">
        <v>47000</v>
      </c>
      <c r="J20" s="37">
        <v>6000</v>
      </c>
      <c r="K20" s="37"/>
      <c r="L20" s="37"/>
      <c r="M20" s="37"/>
      <c r="N20" s="37"/>
      <c r="O20" s="37">
        <v>0</v>
      </c>
      <c r="P20" s="37"/>
      <c r="Q20" s="37"/>
      <c r="R20" s="37"/>
      <c r="S20" s="37"/>
      <c r="T20" s="37">
        <f t="shared" si="0"/>
        <v>500000</v>
      </c>
    </row>
    <row r="21" spans="1:20">
      <c r="A21" s="35" t="s">
        <v>73</v>
      </c>
      <c r="B21" s="37">
        <v>140000</v>
      </c>
      <c r="C21" s="37">
        <v>71000</v>
      </c>
      <c r="D21" s="37">
        <v>126000</v>
      </c>
      <c r="E21" s="37">
        <v>8000</v>
      </c>
      <c r="F21" s="37">
        <v>104000</v>
      </c>
      <c r="G21" s="37">
        <v>0</v>
      </c>
      <c r="H21" s="37">
        <v>100000</v>
      </c>
      <c r="I21" s="37">
        <v>25000</v>
      </c>
      <c r="J21" s="37">
        <v>6000</v>
      </c>
      <c r="K21" s="37"/>
      <c r="L21" s="37"/>
      <c r="M21" s="37"/>
      <c r="N21" s="37"/>
      <c r="O21" s="37">
        <v>5000</v>
      </c>
      <c r="P21" s="37"/>
      <c r="Q21" s="37"/>
      <c r="R21" s="37"/>
      <c r="S21" s="37"/>
      <c r="T21" s="37">
        <f t="shared" si="0"/>
        <v>585000</v>
      </c>
    </row>
    <row r="22" spans="1:20">
      <c r="A22" s="35" t="s">
        <v>52</v>
      </c>
      <c r="B22" s="37">
        <v>140000</v>
      </c>
      <c r="C22" s="37">
        <v>124000</v>
      </c>
      <c r="D22" s="37">
        <v>131000</v>
      </c>
      <c r="E22" s="37">
        <v>12000</v>
      </c>
      <c r="F22" s="37">
        <v>130000</v>
      </c>
      <c r="G22" s="37">
        <v>0</v>
      </c>
      <c r="H22" s="37">
        <v>126000</v>
      </c>
      <c r="I22" s="37">
        <v>107000</v>
      </c>
      <c r="J22" s="37">
        <v>15000</v>
      </c>
      <c r="K22" s="37"/>
      <c r="L22" s="37"/>
      <c r="M22" s="37"/>
      <c r="N22" s="37"/>
      <c r="O22" s="37">
        <v>0</v>
      </c>
      <c r="P22" s="37"/>
      <c r="Q22" s="37"/>
      <c r="R22" s="37"/>
      <c r="S22" s="37"/>
      <c r="T22" s="37">
        <f t="shared" si="0"/>
        <v>785000</v>
      </c>
    </row>
    <row r="23" spans="1:20">
      <c r="A23" s="35" t="s">
        <v>53</v>
      </c>
      <c r="B23" s="37">
        <v>119000</v>
      </c>
      <c r="C23" s="37">
        <v>21000</v>
      </c>
      <c r="D23" s="37">
        <v>87000</v>
      </c>
      <c r="E23" s="37">
        <v>4000</v>
      </c>
      <c r="F23" s="37">
        <v>77000</v>
      </c>
      <c r="G23" s="37">
        <v>12000</v>
      </c>
      <c r="H23" s="37">
        <v>73000</v>
      </c>
      <c r="I23" s="37">
        <v>78000</v>
      </c>
      <c r="J23" s="37">
        <v>2000</v>
      </c>
      <c r="K23" s="37"/>
      <c r="L23" s="37"/>
      <c r="M23" s="37"/>
      <c r="N23" s="37"/>
      <c r="O23" s="37"/>
      <c r="P23" s="37"/>
      <c r="Q23" s="37"/>
      <c r="R23" s="37"/>
      <c r="S23" s="37"/>
      <c r="T23" s="37">
        <f t="shared" si="0"/>
        <v>473000</v>
      </c>
    </row>
    <row r="24" spans="1:20">
      <c r="A24" s="35" t="s">
        <v>54</v>
      </c>
      <c r="B24" s="37">
        <v>193000</v>
      </c>
      <c r="C24" s="37">
        <v>119000</v>
      </c>
      <c r="D24" s="37">
        <v>144000</v>
      </c>
      <c r="E24" s="37">
        <v>21000</v>
      </c>
      <c r="F24" s="37">
        <v>139000</v>
      </c>
      <c r="G24" s="37">
        <v>0</v>
      </c>
      <c r="H24" s="37">
        <v>119000</v>
      </c>
      <c r="I24" s="37">
        <v>96000</v>
      </c>
      <c r="J24" s="37">
        <v>6000</v>
      </c>
      <c r="K24" s="37"/>
      <c r="L24" s="37"/>
      <c r="M24" s="37"/>
      <c r="N24" s="37"/>
      <c r="O24" s="37">
        <v>12000</v>
      </c>
      <c r="P24" s="37"/>
      <c r="Q24" s="37"/>
      <c r="R24" s="37"/>
      <c r="S24" s="37"/>
      <c r="T24" s="37">
        <f t="shared" si="0"/>
        <v>849000</v>
      </c>
    </row>
    <row r="25" spans="1:20">
      <c r="A25" s="35" t="s">
        <v>55</v>
      </c>
      <c r="B25" s="37">
        <v>183000</v>
      </c>
      <c r="C25" s="37">
        <v>84000</v>
      </c>
      <c r="D25" s="37">
        <v>146000</v>
      </c>
      <c r="E25" s="37">
        <v>12000</v>
      </c>
      <c r="F25" s="37">
        <v>141500</v>
      </c>
      <c r="G25" s="37">
        <v>0</v>
      </c>
      <c r="H25" s="37">
        <v>114000</v>
      </c>
      <c r="I25" s="37">
        <v>42000</v>
      </c>
      <c r="J25" s="37">
        <v>4000</v>
      </c>
      <c r="K25" s="37"/>
      <c r="L25" s="37"/>
      <c r="M25" s="37"/>
      <c r="N25" s="37"/>
      <c r="O25" s="37">
        <v>0</v>
      </c>
      <c r="P25" s="37"/>
      <c r="Q25" s="37"/>
      <c r="R25" s="37"/>
      <c r="S25" s="37"/>
      <c r="T25" s="37">
        <f t="shared" si="0"/>
        <v>726500</v>
      </c>
    </row>
    <row r="26" spans="1:20">
      <c r="A26" s="35" t="s">
        <v>56</v>
      </c>
      <c r="B26" s="37">
        <v>191000</v>
      </c>
      <c r="C26" s="37">
        <v>104000</v>
      </c>
      <c r="D26" s="37">
        <v>65000</v>
      </c>
      <c r="E26" s="37">
        <v>16000</v>
      </c>
      <c r="F26" s="37">
        <v>79000</v>
      </c>
      <c r="G26" s="37">
        <v>0</v>
      </c>
      <c r="H26" s="37">
        <v>92000</v>
      </c>
      <c r="I26" s="37">
        <v>30000</v>
      </c>
      <c r="J26" s="37">
        <v>4000</v>
      </c>
      <c r="K26" s="37"/>
      <c r="L26" s="37"/>
      <c r="M26" s="37"/>
      <c r="N26" s="37"/>
      <c r="O26" s="37">
        <v>0</v>
      </c>
      <c r="P26" s="37"/>
      <c r="Q26" s="37"/>
      <c r="R26" s="37"/>
      <c r="S26" s="37"/>
      <c r="T26" s="37">
        <f t="shared" si="0"/>
        <v>581000</v>
      </c>
    </row>
    <row r="27" spans="1:20">
      <c r="A27" s="35" t="s">
        <v>57</v>
      </c>
      <c r="B27" s="37">
        <v>128000</v>
      </c>
      <c r="C27" s="37">
        <v>89000</v>
      </c>
      <c r="D27" s="37">
        <v>57000</v>
      </c>
      <c r="E27" s="37">
        <v>26000</v>
      </c>
      <c r="F27" s="37">
        <v>78000</v>
      </c>
      <c r="G27" s="37">
        <v>0</v>
      </c>
      <c r="H27" s="37">
        <v>91000</v>
      </c>
      <c r="I27" s="37">
        <v>83000</v>
      </c>
      <c r="J27" s="37">
        <v>4000</v>
      </c>
      <c r="K27" s="37"/>
      <c r="L27" s="37"/>
      <c r="M27" s="37"/>
      <c r="N27" s="37"/>
      <c r="O27" s="31">
        <v>0</v>
      </c>
      <c r="P27" s="37"/>
      <c r="Q27" s="37"/>
      <c r="R27" s="37"/>
      <c r="S27" s="37"/>
      <c r="T27" s="37">
        <f t="shared" si="0"/>
        <v>556000</v>
      </c>
    </row>
    <row r="28" spans="1:20">
      <c r="A28" s="35" t="s">
        <v>58</v>
      </c>
      <c r="B28" s="37">
        <v>196000</v>
      </c>
      <c r="C28" s="37">
        <v>98000</v>
      </c>
      <c r="D28" s="37">
        <v>68000</v>
      </c>
      <c r="E28" s="37">
        <v>10000</v>
      </c>
      <c r="F28" s="37">
        <v>70000</v>
      </c>
      <c r="G28" s="37">
        <v>0</v>
      </c>
      <c r="H28" s="37">
        <v>68000</v>
      </c>
      <c r="I28" s="37">
        <v>59000</v>
      </c>
      <c r="J28" s="37">
        <v>3000</v>
      </c>
      <c r="K28" s="37"/>
      <c r="L28" s="37"/>
      <c r="M28" s="37"/>
      <c r="N28" s="37"/>
      <c r="O28" s="37">
        <v>18000</v>
      </c>
      <c r="P28" s="37"/>
      <c r="Q28" s="37"/>
      <c r="R28" s="37"/>
      <c r="S28" s="37"/>
      <c r="T28" s="37">
        <f t="shared" si="0"/>
        <v>590000</v>
      </c>
    </row>
    <row r="29" spans="1:20">
      <c r="A29" s="35" t="s">
        <v>59</v>
      </c>
      <c r="B29" s="37">
        <v>151500</v>
      </c>
      <c r="C29" s="37">
        <v>47000</v>
      </c>
      <c r="D29" s="37">
        <v>37000</v>
      </c>
      <c r="E29" s="37">
        <v>26000</v>
      </c>
      <c r="F29" s="37">
        <v>52500</v>
      </c>
      <c r="G29" s="37">
        <v>0</v>
      </c>
      <c r="H29" s="37">
        <v>30000</v>
      </c>
      <c r="I29" s="37">
        <v>32000</v>
      </c>
      <c r="J29" s="37">
        <v>2000</v>
      </c>
      <c r="K29" s="37"/>
      <c r="L29" s="37"/>
      <c r="M29" s="37"/>
      <c r="N29" s="37"/>
      <c r="O29" s="37">
        <v>0</v>
      </c>
      <c r="P29" s="37"/>
      <c r="Q29" s="37"/>
      <c r="R29" s="37"/>
      <c r="S29" s="37"/>
      <c r="T29" s="37">
        <f t="shared" si="0"/>
        <v>378000</v>
      </c>
    </row>
    <row r="30" spans="1:20">
      <c r="A30" s="35" t="s">
        <v>60</v>
      </c>
      <c r="B30" s="37">
        <v>132500</v>
      </c>
      <c r="C30" s="37">
        <v>80000</v>
      </c>
      <c r="D30" s="37">
        <v>82000</v>
      </c>
      <c r="E30" s="37">
        <v>24000</v>
      </c>
      <c r="F30" s="37">
        <v>52000</v>
      </c>
      <c r="G30" s="37">
        <v>0</v>
      </c>
      <c r="H30" s="37">
        <v>41000</v>
      </c>
      <c r="I30" s="37">
        <v>21500</v>
      </c>
      <c r="J30" s="37">
        <v>2000</v>
      </c>
      <c r="K30" s="37"/>
      <c r="L30" s="37"/>
      <c r="M30" s="37"/>
      <c r="N30" s="37"/>
      <c r="O30" s="37">
        <v>0</v>
      </c>
      <c r="P30" s="37"/>
      <c r="Q30" s="37"/>
      <c r="R30" s="37"/>
      <c r="S30" s="37"/>
      <c r="T30" s="37">
        <f t="shared" si="0"/>
        <v>435000</v>
      </c>
    </row>
    <row r="31" spans="1:20">
      <c r="A31" s="35" t="s">
        <v>61</v>
      </c>
      <c r="B31" s="31">
        <v>230000</v>
      </c>
      <c r="C31" s="31">
        <v>226000</v>
      </c>
      <c r="D31" s="31">
        <v>81000</v>
      </c>
      <c r="E31" s="31">
        <v>28000</v>
      </c>
      <c r="F31" s="31">
        <v>70000</v>
      </c>
      <c r="G31" s="31">
        <v>0</v>
      </c>
      <c r="H31" s="31">
        <v>73000</v>
      </c>
      <c r="I31" s="31">
        <v>27000</v>
      </c>
      <c r="J31" s="31">
        <v>9000</v>
      </c>
      <c r="K31" s="31"/>
      <c r="L31" s="31"/>
      <c r="M31" s="31"/>
      <c r="N31" s="31"/>
      <c r="O31" s="31">
        <v>0</v>
      </c>
      <c r="P31" s="31"/>
      <c r="Q31" s="31"/>
      <c r="R31" s="31"/>
      <c r="S31" s="31"/>
      <c r="T31" s="37">
        <f t="shared" si="0"/>
        <v>744000</v>
      </c>
    </row>
    <row r="32" spans="1:20">
      <c r="A32" s="35" t="s">
        <v>62</v>
      </c>
      <c r="B32" s="31">
        <v>148000</v>
      </c>
      <c r="C32" s="31">
        <v>135000</v>
      </c>
      <c r="D32" s="31">
        <v>74000</v>
      </c>
      <c r="E32" s="31">
        <v>18000</v>
      </c>
      <c r="F32" s="31">
        <v>77000</v>
      </c>
      <c r="G32" s="31">
        <v>0</v>
      </c>
      <c r="H32" s="31">
        <v>101000</v>
      </c>
      <c r="I32" s="31">
        <v>25000</v>
      </c>
      <c r="J32" s="31">
        <v>0</v>
      </c>
      <c r="K32" s="31"/>
      <c r="L32" s="31"/>
      <c r="M32" s="31"/>
      <c r="N32" s="31"/>
      <c r="O32" s="31">
        <v>11000</v>
      </c>
      <c r="P32" s="31"/>
      <c r="Q32" s="31"/>
      <c r="R32" s="31"/>
      <c r="S32" s="31"/>
      <c r="T32" s="37">
        <f t="shared" si="0"/>
        <v>589000</v>
      </c>
    </row>
    <row r="33" spans="1:20">
      <c r="A33" s="35" t="s">
        <v>63</v>
      </c>
      <c r="B33" s="31">
        <v>100000</v>
      </c>
      <c r="C33" s="31">
        <v>132000</v>
      </c>
      <c r="D33" s="31">
        <v>101000</v>
      </c>
      <c r="E33" s="31">
        <v>15000</v>
      </c>
      <c r="F33" s="31">
        <v>132000</v>
      </c>
      <c r="G33" s="31">
        <v>0</v>
      </c>
      <c r="H33" s="31">
        <v>66000</v>
      </c>
      <c r="I33" s="31">
        <v>13000</v>
      </c>
      <c r="J33" s="31">
        <v>6000</v>
      </c>
      <c r="K33" s="31"/>
      <c r="L33" s="31"/>
      <c r="M33" s="31"/>
      <c r="N33" s="31"/>
      <c r="O33" s="31">
        <v>0</v>
      </c>
      <c r="P33" s="31"/>
      <c r="Q33" s="31"/>
      <c r="R33" s="31"/>
      <c r="S33" s="31"/>
      <c r="T33" s="37">
        <f t="shared" si="0"/>
        <v>565000</v>
      </c>
    </row>
    <row r="34" spans="1:20">
      <c r="A34" s="35" t="s">
        <v>64</v>
      </c>
      <c r="B34" s="31">
        <v>132000</v>
      </c>
      <c r="C34" s="31">
        <v>11000</v>
      </c>
      <c r="D34" s="31">
        <v>103000</v>
      </c>
      <c r="E34" s="31">
        <v>32000</v>
      </c>
      <c r="F34" s="31">
        <v>89000</v>
      </c>
      <c r="G34" s="31">
        <v>12000</v>
      </c>
      <c r="H34" s="31">
        <v>86000</v>
      </c>
      <c r="I34" s="31">
        <v>26000</v>
      </c>
      <c r="J34" s="31">
        <v>9000</v>
      </c>
      <c r="K34" s="31"/>
      <c r="L34" s="31"/>
      <c r="M34" s="31"/>
      <c r="N34" s="31"/>
      <c r="O34" s="46"/>
      <c r="P34" s="31"/>
      <c r="Q34" s="31"/>
      <c r="R34" s="31"/>
      <c r="S34" s="31"/>
      <c r="T34" s="31">
        <f t="shared" si="0"/>
        <v>500000</v>
      </c>
    </row>
    <row r="35" spans="1:20">
      <c r="A35" s="35" t="s">
        <v>83</v>
      </c>
      <c r="B35" s="31">
        <v>101000</v>
      </c>
      <c r="C35" s="31">
        <v>39000</v>
      </c>
      <c r="D35" s="31">
        <v>79000</v>
      </c>
      <c r="E35" s="31">
        <v>12000</v>
      </c>
      <c r="F35" s="31">
        <v>86500</v>
      </c>
      <c r="G35" s="31">
        <v>24000</v>
      </c>
      <c r="H35" s="31">
        <v>74000</v>
      </c>
      <c r="I35" s="31">
        <v>15000</v>
      </c>
      <c r="J35" s="31">
        <v>6000</v>
      </c>
      <c r="K35" s="31"/>
      <c r="L35" s="31"/>
      <c r="M35" s="31"/>
      <c r="N35" s="31"/>
      <c r="O35" s="31"/>
      <c r="P35" s="31"/>
      <c r="Q35" s="31"/>
      <c r="R35" s="31"/>
      <c r="S35" s="31"/>
      <c r="T35" s="31">
        <f t="shared" si="0"/>
        <v>436500</v>
      </c>
    </row>
    <row r="36" spans="1:20">
      <c r="A36" s="35" t="s">
        <v>84</v>
      </c>
      <c r="B36" s="31"/>
      <c r="C36" s="31"/>
      <c r="D36" s="31"/>
      <c r="E36" s="31"/>
      <c r="F36" s="31"/>
      <c r="G36" s="31"/>
      <c r="H36" s="31"/>
      <c r="I36" s="31"/>
      <c r="J36" s="31"/>
      <c r="K36" s="31"/>
      <c r="L36" s="31"/>
      <c r="M36" s="31"/>
      <c r="N36" s="31"/>
      <c r="O36" s="31"/>
      <c r="P36" s="31"/>
      <c r="Q36" s="31"/>
      <c r="R36" s="31"/>
      <c r="S36" s="31"/>
      <c r="T36" s="31">
        <f t="shared" si="0"/>
        <v>0</v>
      </c>
    </row>
    <row r="37" spans="1:20">
      <c r="A37" s="40" t="s">
        <v>23</v>
      </c>
      <c r="B37" s="41">
        <f>SUM(B6:B36)</f>
        <v>5144000</v>
      </c>
      <c r="C37" s="41">
        <f t="shared" ref="C37:J37" si="1">SUM(C6:C36)</f>
        <v>2964000</v>
      </c>
      <c r="D37" s="41">
        <f t="shared" si="1"/>
        <v>2979000</v>
      </c>
      <c r="E37" s="41">
        <f t="shared" si="1"/>
        <v>501500</v>
      </c>
      <c r="F37" s="41">
        <f t="shared" si="1"/>
        <v>3013600</v>
      </c>
      <c r="G37" s="41">
        <f t="shared" si="1"/>
        <v>193000</v>
      </c>
      <c r="H37" s="41">
        <f t="shared" si="1"/>
        <v>2491000</v>
      </c>
      <c r="I37" s="41">
        <f>SUM(I6:I36)</f>
        <v>1527500</v>
      </c>
      <c r="J37" s="41">
        <f t="shared" si="1"/>
        <v>214000</v>
      </c>
      <c r="K37" s="31"/>
      <c r="L37" s="31"/>
      <c r="M37" s="31"/>
      <c r="N37" s="31"/>
      <c r="O37" s="31">
        <f>SUM(O6:O36)</f>
        <v>77000</v>
      </c>
      <c r="P37" s="31"/>
      <c r="Q37" s="31"/>
      <c r="R37" s="31">
        <f>SUM(R6:R36)</f>
        <v>0</v>
      </c>
      <c r="S37" s="31"/>
      <c r="T37" s="31">
        <f t="shared" si="0"/>
        <v>19104600</v>
      </c>
    </row>
  </sheetData>
  <mergeCells count="4">
    <mergeCell ref="B1:T1"/>
    <mergeCell ref="B2:T2"/>
    <mergeCell ref="C3:F3"/>
    <mergeCell ref="C4:F4"/>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E1:K20"/>
  <sheetViews>
    <sheetView topLeftCell="D1" workbookViewId="0">
      <selection activeCell="I13" sqref="I13"/>
    </sheetView>
  </sheetViews>
  <sheetFormatPr defaultRowHeight="15"/>
  <cols>
    <col min="5" max="5" width="17" customWidth="1"/>
    <col min="6" max="6" width="15.28515625" customWidth="1"/>
    <col min="7" max="7" width="13.7109375" customWidth="1"/>
    <col min="8" max="8" width="14.7109375" customWidth="1"/>
    <col min="9" max="9" width="14.5703125" customWidth="1"/>
    <col min="10" max="10" width="14" customWidth="1"/>
    <col min="11" max="11" width="19" customWidth="1"/>
  </cols>
  <sheetData>
    <row r="1" spans="5:11" ht="16.5" thickBot="1">
      <c r="E1" s="6" t="s">
        <v>24</v>
      </c>
      <c r="F1" s="70" t="s">
        <v>125</v>
      </c>
      <c r="G1" s="71"/>
      <c r="H1" s="72"/>
      <c r="I1" s="11"/>
      <c r="J1" s="11"/>
      <c r="K1" s="12"/>
    </row>
    <row r="2" spans="5:11" ht="15.75">
      <c r="E2" s="13" t="s">
        <v>25</v>
      </c>
      <c r="F2" s="14" t="s">
        <v>26</v>
      </c>
      <c r="G2" s="14" t="s">
        <v>27</v>
      </c>
      <c r="H2" s="14" t="s">
        <v>28</v>
      </c>
      <c r="I2" s="14" t="s">
        <v>29</v>
      </c>
      <c r="J2" s="15" t="s">
        <v>30</v>
      </c>
      <c r="K2" s="16" t="s">
        <v>31</v>
      </c>
    </row>
    <row r="3" spans="5:11" ht="15.75">
      <c r="E3" s="17" t="s">
        <v>4</v>
      </c>
      <c r="F3" s="18">
        <v>1111000</v>
      </c>
      <c r="G3" s="18">
        <v>1428000</v>
      </c>
      <c r="H3" s="18">
        <v>1095000</v>
      </c>
      <c r="I3" s="18">
        <v>1177000</v>
      </c>
      <c r="J3" s="19">
        <v>333000</v>
      </c>
      <c r="K3" s="20">
        <f t="shared" ref="K3:K11" si="0">SUM(F3:J3)</f>
        <v>5144000</v>
      </c>
    </row>
    <row r="4" spans="5:11" ht="15.75">
      <c r="E4" s="17" t="s">
        <v>5</v>
      </c>
      <c r="F4" s="18">
        <v>619000</v>
      </c>
      <c r="G4" s="18">
        <v>908000</v>
      </c>
      <c r="H4" s="18">
        <v>476000</v>
      </c>
      <c r="I4" s="18">
        <v>779000</v>
      </c>
      <c r="J4" s="19">
        <v>182000</v>
      </c>
      <c r="K4" s="20">
        <f>SUM(F4:J4)</f>
        <v>2964000</v>
      </c>
    </row>
    <row r="5" spans="5:11" ht="15.75">
      <c r="E5" s="17" t="s">
        <v>32</v>
      </c>
      <c r="F5" s="18">
        <v>850000</v>
      </c>
      <c r="G5" s="18">
        <v>589000</v>
      </c>
      <c r="H5" s="18">
        <v>793000</v>
      </c>
      <c r="I5" s="18">
        <v>464000</v>
      </c>
      <c r="J5" s="19">
        <v>283000</v>
      </c>
      <c r="K5" s="20">
        <f>SUM(F5:J5)</f>
        <v>2979000</v>
      </c>
    </row>
    <row r="6" spans="5:11" ht="15.75">
      <c r="E6" s="17" t="s">
        <v>33</v>
      </c>
      <c r="F6" s="18">
        <v>68500</v>
      </c>
      <c r="G6" s="18">
        <v>134000</v>
      </c>
      <c r="H6" s="18">
        <v>92000</v>
      </c>
      <c r="I6" s="18">
        <v>148000</v>
      </c>
      <c r="J6" s="19">
        <v>59000</v>
      </c>
      <c r="K6" s="20">
        <f t="shared" si="0"/>
        <v>501500</v>
      </c>
    </row>
    <row r="7" spans="5:11" ht="15.75">
      <c r="E7" s="17" t="s">
        <v>8</v>
      </c>
      <c r="F7" s="18">
        <v>842100</v>
      </c>
      <c r="G7" s="18">
        <v>553000</v>
      </c>
      <c r="H7" s="18">
        <v>832500</v>
      </c>
      <c r="I7" s="18">
        <v>478500</v>
      </c>
      <c r="J7" s="19">
        <v>307500</v>
      </c>
      <c r="K7" s="20">
        <f t="shared" si="0"/>
        <v>3013600</v>
      </c>
    </row>
    <row r="8" spans="5:11" ht="15.75">
      <c r="E8" s="17" t="s">
        <v>9</v>
      </c>
      <c r="F8" s="18">
        <v>85000</v>
      </c>
      <c r="G8" s="18">
        <v>48000</v>
      </c>
      <c r="H8" s="18">
        <v>24000</v>
      </c>
      <c r="I8" s="18">
        <v>0</v>
      </c>
      <c r="J8" s="19">
        <v>36000</v>
      </c>
      <c r="K8" s="20">
        <f t="shared" si="0"/>
        <v>193000</v>
      </c>
    </row>
    <row r="9" spans="5:11" ht="15.75">
      <c r="E9" s="17" t="s">
        <v>10</v>
      </c>
      <c r="F9" s="18">
        <v>657000</v>
      </c>
      <c r="G9" s="18">
        <v>425000</v>
      </c>
      <c r="H9" s="18">
        <v>687000</v>
      </c>
      <c r="I9" s="18">
        <v>496000</v>
      </c>
      <c r="J9" s="19">
        <v>226000</v>
      </c>
      <c r="K9" s="20">
        <f t="shared" si="0"/>
        <v>2491000</v>
      </c>
    </row>
    <row r="10" spans="5:11" ht="15.75">
      <c r="E10" s="17" t="s">
        <v>11</v>
      </c>
      <c r="F10" s="18">
        <v>432000</v>
      </c>
      <c r="G10" s="18">
        <v>314000</v>
      </c>
      <c r="H10" s="18">
        <v>450000</v>
      </c>
      <c r="I10" s="18">
        <v>277500</v>
      </c>
      <c r="J10" s="19">
        <v>54000</v>
      </c>
      <c r="K10" s="20">
        <f t="shared" si="0"/>
        <v>1527500</v>
      </c>
    </row>
    <row r="11" spans="5:11" ht="15.75">
      <c r="E11" s="17" t="s">
        <v>12</v>
      </c>
      <c r="F11" s="18">
        <v>71000</v>
      </c>
      <c r="G11" s="18">
        <v>40000</v>
      </c>
      <c r="H11" s="18">
        <v>58000</v>
      </c>
      <c r="I11" s="18">
        <v>24000</v>
      </c>
      <c r="J11" s="19">
        <v>21000</v>
      </c>
      <c r="K11" s="20">
        <f t="shared" si="0"/>
        <v>214000</v>
      </c>
    </row>
    <row r="12" spans="5:11" ht="15.75">
      <c r="E12" s="17" t="s">
        <v>13</v>
      </c>
      <c r="F12" s="18"/>
      <c r="G12" s="18"/>
      <c r="H12" s="18"/>
      <c r="I12" s="18"/>
      <c r="J12" s="19"/>
      <c r="K12" s="20">
        <f t="shared" ref="K12:K19" si="1">SUM(F12:I12)</f>
        <v>0</v>
      </c>
    </row>
    <row r="13" spans="5:11" ht="15.75">
      <c r="E13" s="17" t="s">
        <v>14</v>
      </c>
      <c r="F13" s="18"/>
      <c r="G13" s="18"/>
      <c r="H13" s="18"/>
      <c r="I13" s="18"/>
      <c r="J13" s="19"/>
      <c r="K13" s="20">
        <f t="shared" si="1"/>
        <v>0</v>
      </c>
    </row>
    <row r="14" spans="5:11" ht="15.75">
      <c r="E14" s="17" t="s">
        <v>15</v>
      </c>
      <c r="F14" s="18"/>
      <c r="G14" s="18"/>
      <c r="H14" s="18"/>
      <c r="I14" s="18"/>
      <c r="J14" s="19"/>
      <c r="K14" s="20">
        <f t="shared" si="1"/>
        <v>0</v>
      </c>
    </row>
    <row r="15" spans="5:11" ht="15.75">
      <c r="E15" s="17" t="s">
        <v>16</v>
      </c>
      <c r="F15" s="18"/>
      <c r="G15" s="18"/>
      <c r="H15" s="18"/>
      <c r="I15" s="18"/>
      <c r="J15" s="19"/>
      <c r="K15" s="20">
        <f t="shared" si="1"/>
        <v>0</v>
      </c>
    </row>
    <row r="16" spans="5:11" ht="15.75">
      <c r="E16" s="17" t="s">
        <v>17</v>
      </c>
      <c r="F16" s="18">
        <v>21000</v>
      </c>
      <c r="G16" s="18">
        <v>19000</v>
      </c>
      <c r="H16" s="18">
        <v>12000</v>
      </c>
      <c r="I16" s="18">
        <v>12000</v>
      </c>
      <c r="J16" s="19">
        <v>13000</v>
      </c>
      <c r="K16" s="20">
        <f>SUM(F16:J16)</f>
        <v>77000</v>
      </c>
    </row>
    <row r="17" spans="5:11" ht="15.75">
      <c r="E17" s="17" t="s">
        <v>18</v>
      </c>
      <c r="F17" s="18"/>
      <c r="G17" s="18"/>
      <c r="H17" s="18"/>
      <c r="I17" s="18"/>
      <c r="J17" s="19"/>
      <c r="K17" s="20">
        <f t="shared" si="1"/>
        <v>0</v>
      </c>
    </row>
    <row r="18" spans="5:11" ht="15.75">
      <c r="E18" s="17" t="s">
        <v>19</v>
      </c>
      <c r="F18" s="18"/>
      <c r="G18" s="18"/>
      <c r="H18" s="18"/>
      <c r="I18" s="18"/>
      <c r="J18" s="19"/>
      <c r="K18" s="20">
        <f t="shared" si="1"/>
        <v>0</v>
      </c>
    </row>
    <row r="19" spans="5:11" ht="15.75">
      <c r="E19" s="17" t="s">
        <v>34</v>
      </c>
      <c r="F19" s="18"/>
      <c r="G19" s="18"/>
      <c r="H19" s="18"/>
      <c r="I19" s="18"/>
      <c r="J19" s="19"/>
      <c r="K19" s="20">
        <f t="shared" si="1"/>
        <v>0</v>
      </c>
    </row>
    <row r="20" spans="5:11" ht="16.5" thickBot="1">
      <c r="E20" s="21" t="s">
        <v>35</v>
      </c>
      <c r="F20" s="22">
        <f t="shared" ref="F20:K20" si="2">SUM(F3:F19)</f>
        <v>4756600</v>
      </c>
      <c r="G20" s="22">
        <f t="shared" si="2"/>
        <v>4458000</v>
      </c>
      <c r="H20" s="22">
        <f t="shared" si="2"/>
        <v>4519500</v>
      </c>
      <c r="I20" s="22">
        <f t="shared" si="2"/>
        <v>3856000</v>
      </c>
      <c r="J20" s="22">
        <f t="shared" si="2"/>
        <v>1514500</v>
      </c>
      <c r="K20" s="23">
        <f t="shared" si="2"/>
        <v>19104600</v>
      </c>
    </row>
  </sheetData>
  <mergeCells count="1">
    <mergeCell ref="F1:H1"/>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T37"/>
  <sheetViews>
    <sheetView workbookViewId="0">
      <selection sqref="A1:U39"/>
    </sheetView>
  </sheetViews>
  <sheetFormatPr defaultRowHeight="15"/>
  <cols>
    <col min="2" max="2" width="10.5703125" customWidth="1"/>
    <col min="3" max="3" width="11.28515625" customWidth="1"/>
    <col min="4" max="4" width="11.85546875" customWidth="1"/>
    <col min="6" max="6" width="11.140625" customWidth="1"/>
    <col min="8" max="8" width="11.28515625" customWidth="1"/>
    <col min="9" max="9" width="11.7109375" customWidth="1"/>
    <col min="19" max="19" width="7.42578125" customWidth="1"/>
    <col min="20" max="20" width="17.85546875" customWidth="1"/>
  </cols>
  <sheetData>
    <row r="1" spans="1:20" ht="26.25">
      <c r="A1" s="28"/>
      <c r="B1" s="55" t="s">
        <v>68</v>
      </c>
      <c r="C1" s="56"/>
      <c r="D1" s="56"/>
      <c r="E1" s="56"/>
      <c r="F1" s="56"/>
      <c r="G1" s="56"/>
      <c r="H1" s="56"/>
      <c r="I1" s="56"/>
      <c r="J1" s="56"/>
      <c r="K1" s="56"/>
      <c r="L1" s="56"/>
      <c r="M1" s="56"/>
      <c r="N1" s="56"/>
      <c r="O1" s="56"/>
      <c r="P1" s="56"/>
      <c r="Q1" s="56"/>
      <c r="R1" s="56"/>
      <c r="S1" s="56"/>
      <c r="T1" s="57"/>
    </row>
    <row r="2" spans="1:20" ht="27" thickBot="1">
      <c r="A2" s="4"/>
      <c r="B2" s="58" t="s">
        <v>0</v>
      </c>
      <c r="C2" s="59"/>
      <c r="D2" s="59"/>
      <c r="E2" s="59"/>
      <c r="F2" s="59"/>
      <c r="G2" s="59"/>
      <c r="H2" s="59"/>
      <c r="I2" s="59"/>
      <c r="J2" s="59"/>
      <c r="K2" s="59"/>
      <c r="L2" s="59"/>
      <c r="M2" s="59"/>
      <c r="N2" s="59"/>
      <c r="O2" s="59"/>
      <c r="P2" s="59"/>
      <c r="Q2" s="59"/>
      <c r="R2" s="59"/>
      <c r="S2" s="59"/>
      <c r="T2" s="60"/>
    </row>
    <row r="3" spans="1:20" ht="27" thickBot="1">
      <c r="A3" s="4"/>
      <c r="B3" s="29" t="s">
        <v>1</v>
      </c>
      <c r="C3" s="61" t="s">
        <v>69</v>
      </c>
      <c r="D3" s="62"/>
      <c r="E3" s="62"/>
      <c r="F3" s="63"/>
      <c r="G3" s="50" t="s">
        <v>127</v>
      </c>
    </row>
    <row r="4" spans="1:20" ht="21">
      <c r="A4" s="4"/>
      <c r="B4" s="30" t="s">
        <v>2</v>
      </c>
      <c r="C4" s="64"/>
      <c r="D4" s="65"/>
      <c r="E4" s="65"/>
      <c r="F4" s="66"/>
    </row>
    <row r="5" spans="1:20" ht="78.75">
      <c r="A5" s="32" t="s">
        <v>3</v>
      </c>
      <c r="B5" s="33" t="s">
        <v>4</v>
      </c>
      <c r="C5" s="33" t="s">
        <v>5</v>
      </c>
      <c r="D5" s="33" t="s">
        <v>6</v>
      </c>
      <c r="E5" s="33" t="s">
        <v>7</v>
      </c>
      <c r="F5" s="33" t="s">
        <v>8</v>
      </c>
      <c r="G5" s="33" t="s">
        <v>9</v>
      </c>
      <c r="H5" s="33" t="s">
        <v>10</v>
      </c>
      <c r="I5" s="33" t="s">
        <v>11</v>
      </c>
      <c r="J5" s="33" t="s">
        <v>12</v>
      </c>
      <c r="K5" s="33" t="s">
        <v>13</v>
      </c>
      <c r="L5" s="33" t="s">
        <v>14</v>
      </c>
      <c r="M5" s="33" t="s">
        <v>15</v>
      </c>
      <c r="N5" s="33" t="s">
        <v>16</v>
      </c>
      <c r="O5" s="33" t="s">
        <v>17</v>
      </c>
      <c r="P5" s="33" t="s">
        <v>18</v>
      </c>
      <c r="Q5" s="33" t="s">
        <v>19</v>
      </c>
      <c r="R5" s="33" t="s">
        <v>20</v>
      </c>
      <c r="S5" s="33" t="s">
        <v>21</v>
      </c>
      <c r="T5" s="33" t="s">
        <v>22</v>
      </c>
    </row>
    <row r="6" spans="1:20">
      <c r="A6" s="35" t="s">
        <v>67</v>
      </c>
      <c r="B6" s="36">
        <v>158000</v>
      </c>
      <c r="C6" s="36">
        <v>47000</v>
      </c>
      <c r="D6" s="36">
        <v>48000</v>
      </c>
      <c r="E6" s="36">
        <v>6000</v>
      </c>
      <c r="F6" s="36">
        <v>48000</v>
      </c>
      <c r="G6" s="36"/>
      <c r="H6" s="36">
        <v>40000</v>
      </c>
      <c r="I6" s="36">
        <v>15000</v>
      </c>
      <c r="J6" s="36"/>
      <c r="K6" s="36"/>
      <c r="L6" s="36"/>
      <c r="M6" s="36"/>
      <c r="N6" s="36"/>
      <c r="O6" s="36"/>
      <c r="P6" s="36"/>
      <c r="Q6" s="36"/>
      <c r="R6" s="36"/>
      <c r="S6" s="37"/>
      <c r="T6" s="37">
        <f t="shared" ref="T6:T36" si="0">SUM(B6:S6)</f>
        <v>362000</v>
      </c>
    </row>
    <row r="7" spans="1:20">
      <c r="A7" s="35" t="s">
        <v>37</v>
      </c>
      <c r="B7" s="36">
        <v>121000</v>
      </c>
      <c r="C7" s="36">
        <v>8000</v>
      </c>
      <c r="D7" s="36">
        <v>157500</v>
      </c>
      <c r="E7" s="36">
        <v>15000</v>
      </c>
      <c r="F7" s="36">
        <v>143000</v>
      </c>
      <c r="G7" s="36">
        <v>0</v>
      </c>
      <c r="H7" s="36">
        <v>60000</v>
      </c>
      <c r="I7" s="36">
        <v>29500</v>
      </c>
      <c r="J7" s="36">
        <v>4000</v>
      </c>
      <c r="K7" s="36"/>
      <c r="L7" s="36"/>
      <c r="M7" s="36"/>
      <c r="N7" s="36"/>
      <c r="O7" s="36">
        <v>6000</v>
      </c>
      <c r="P7" s="36"/>
      <c r="Q7" s="36"/>
      <c r="R7" s="36"/>
      <c r="S7" s="37"/>
      <c r="T7" s="37">
        <f t="shared" si="0"/>
        <v>544000</v>
      </c>
    </row>
    <row r="8" spans="1:20">
      <c r="A8" s="35" t="s">
        <v>38</v>
      </c>
      <c r="B8" s="36">
        <v>164500</v>
      </c>
      <c r="C8" s="36">
        <v>81000</v>
      </c>
      <c r="D8" s="36">
        <v>64500</v>
      </c>
      <c r="E8" s="36">
        <v>22000</v>
      </c>
      <c r="F8" s="36">
        <v>129500</v>
      </c>
      <c r="G8" s="36"/>
      <c r="H8" s="36">
        <v>57000</v>
      </c>
      <c r="I8" s="36">
        <v>29500</v>
      </c>
      <c r="J8" s="36">
        <v>3000</v>
      </c>
      <c r="K8" s="36"/>
      <c r="L8" s="36"/>
      <c r="M8" s="36"/>
      <c r="N8" s="36"/>
      <c r="O8" s="36">
        <v>1000</v>
      </c>
      <c r="P8" s="36"/>
      <c r="Q8" s="36"/>
      <c r="R8" s="36"/>
      <c r="S8" s="37"/>
      <c r="T8" s="37">
        <f t="shared" si="0"/>
        <v>552000</v>
      </c>
    </row>
    <row r="9" spans="1:20">
      <c r="A9" s="35" t="s">
        <v>39</v>
      </c>
      <c r="B9" s="36">
        <v>184500</v>
      </c>
      <c r="C9" s="36">
        <v>191000</v>
      </c>
      <c r="D9" s="36">
        <v>180000</v>
      </c>
      <c r="E9" s="36">
        <v>42000</v>
      </c>
      <c r="F9" s="36">
        <v>142000</v>
      </c>
      <c r="G9" s="36">
        <v>0</v>
      </c>
      <c r="H9" s="36">
        <v>134000</v>
      </c>
      <c r="I9" s="36">
        <v>138500</v>
      </c>
      <c r="J9" s="36">
        <v>0</v>
      </c>
      <c r="K9" s="36"/>
      <c r="L9" s="36"/>
      <c r="M9" s="36"/>
      <c r="N9" s="36"/>
      <c r="O9" s="36">
        <v>5000</v>
      </c>
      <c r="Q9" s="36"/>
      <c r="R9" s="36"/>
      <c r="S9" s="37"/>
      <c r="T9" s="37">
        <f t="shared" si="0"/>
        <v>1017000</v>
      </c>
    </row>
    <row r="10" spans="1:20">
      <c r="A10" s="35" t="s">
        <v>40</v>
      </c>
      <c r="B10" s="37">
        <v>148000</v>
      </c>
      <c r="C10" s="37">
        <v>86000</v>
      </c>
      <c r="D10" s="37">
        <v>129000</v>
      </c>
      <c r="E10" s="37">
        <v>6000</v>
      </c>
      <c r="F10" s="37">
        <v>109000</v>
      </c>
      <c r="G10" s="37"/>
      <c r="H10" s="37">
        <v>80000</v>
      </c>
      <c r="I10" s="37">
        <v>43000</v>
      </c>
      <c r="J10" s="37"/>
      <c r="K10" s="37"/>
      <c r="L10" s="37"/>
      <c r="M10" s="37"/>
      <c r="N10" s="37"/>
      <c r="O10" s="37"/>
      <c r="P10" s="37"/>
      <c r="Q10" s="37"/>
      <c r="R10" s="37"/>
      <c r="S10" s="37"/>
      <c r="T10" s="37">
        <f t="shared" si="0"/>
        <v>601000</v>
      </c>
    </row>
    <row r="11" spans="1:20">
      <c r="A11" s="35" t="s">
        <v>41</v>
      </c>
      <c r="B11" s="37">
        <v>154000</v>
      </c>
      <c r="C11" s="37">
        <v>4000</v>
      </c>
      <c r="D11" s="37">
        <v>82000</v>
      </c>
      <c r="E11" s="37">
        <v>4000</v>
      </c>
      <c r="F11" s="37">
        <v>96000</v>
      </c>
      <c r="G11" s="37">
        <v>0</v>
      </c>
      <c r="H11" s="37">
        <v>59500</v>
      </c>
      <c r="I11" s="37">
        <v>45000</v>
      </c>
      <c r="J11" s="37">
        <v>5000</v>
      </c>
      <c r="K11" s="37"/>
      <c r="L11" s="37"/>
      <c r="M11" s="37"/>
      <c r="N11" s="37"/>
      <c r="O11" s="37">
        <v>0</v>
      </c>
      <c r="P11" s="37"/>
      <c r="Q11" s="37"/>
      <c r="R11" s="37"/>
      <c r="S11" s="37"/>
      <c r="T11" s="37">
        <f t="shared" si="0"/>
        <v>449500</v>
      </c>
    </row>
    <row r="12" spans="1:20">
      <c r="A12" s="35" t="s">
        <v>42</v>
      </c>
      <c r="B12" s="37">
        <v>155500</v>
      </c>
      <c r="C12" s="37">
        <v>49000</v>
      </c>
      <c r="D12" s="37">
        <v>110000</v>
      </c>
      <c r="E12" s="37">
        <v>6000</v>
      </c>
      <c r="F12" s="37">
        <v>98500</v>
      </c>
      <c r="G12" s="37"/>
      <c r="H12" s="37">
        <v>105000</v>
      </c>
      <c r="I12" s="37">
        <v>27000</v>
      </c>
      <c r="J12" s="37"/>
      <c r="K12" s="37"/>
      <c r="L12" s="37"/>
      <c r="M12" s="37"/>
      <c r="N12" s="37"/>
      <c r="O12" s="37">
        <v>0</v>
      </c>
      <c r="P12" s="37"/>
      <c r="Q12" s="37"/>
      <c r="R12" s="37"/>
      <c r="S12" s="37"/>
      <c r="T12" s="37">
        <f t="shared" si="0"/>
        <v>551000</v>
      </c>
    </row>
    <row r="13" spans="1:20">
      <c r="A13" s="35" t="s">
        <v>43</v>
      </c>
      <c r="B13" s="37">
        <v>142000</v>
      </c>
      <c r="C13" s="37">
        <v>174000</v>
      </c>
      <c r="D13" s="37">
        <v>94000</v>
      </c>
      <c r="E13" s="37">
        <v>6000</v>
      </c>
      <c r="F13" s="37">
        <v>72000</v>
      </c>
      <c r="G13" s="37">
        <v>12000</v>
      </c>
      <c r="H13" s="37">
        <v>68000</v>
      </c>
      <c r="I13" s="37">
        <v>20000</v>
      </c>
      <c r="J13" s="37">
        <v>2000</v>
      </c>
      <c r="K13" s="37"/>
      <c r="L13" s="37"/>
      <c r="M13" s="37"/>
      <c r="N13" s="37"/>
      <c r="O13" s="37">
        <v>0</v>
      </c>
      <c r="P13" s="37"/>
      <c r="Q13" s="37"/>
      <c r="R13" s="37"/>
      <c r="S13" s="37"/>
      <c r="T13" s="37">
        <f t="shared" si="0"/>
        <v>590000</v>
      </c>
    </row>
    <row r="14" spans="1:20">
      <c r="A14" s="35" t="s">
        <v>44</v>
      </c>
      <c r="B14" s="37">
        <v>122000</v>
      </c>
      <c r="C14" s="37">
        <v>58000</v>
      </c>
      <c r="D14" s="37">
        <v>95000</v>
      </c>
      <c r="E14" s="37">
        <v>15000</v>
      </c>
      <c r="F14" s="37">
        <v>67000</v>
      </c>
      <c r="G14" s="37">
        <v>0</v>
      </c>
      <c r="H14" s="37">
        <v>71000</v>
      </c>
      <c r="I14" s="37">
        <v>19000</v>
      </c>
      <c r="J14" s="37">
        <v>26000</v>
      </c>
      <c r="K14" s="37"/>
      <c r="L14" s="37"/>
      <c r="M14" s="37"/>
      <c r="N14" s="37"/>
      <c r="O14" s="37"/>
      <c r="P14" s="37"/>
      <c r="Q14" s="37"/>
      <c r="R14" s="37"/>
      <c r="S14" s="37"/>
      <c r="T14" s="37">
        <f t="shared" si="0"/>
        <v>473000</v>
      </c>
    </row>
    <row r="15" spans="1:20">
      <c r="A15" s="35" t="s">
        <v>45</v>
      </c>
      <c r="B15" s="37">
        <v>191000</v>
      </c>
      <c r="C15" s="37">
        <v>48000</v>
      </c>
      <c r="D15" s="37">
        <v>117000</v>
      </c>
      <c r="E15" s="37">
        <v>13000</v>
      </c>
      <c r="F15" s="37">
        <v>121000</v>
      </c>
      <c r="G15" s="37">
        <v>0</v>
      </c>
      <c r="H15" s="37">
        <v>95500</v>
      </c>
      <c r="I15" s="37">
        <v>52000</v>
      </c>
      <c r="J15" s="37">
        <v>10000</v>
      </c>
      <c r="K15" s="37"/>
      <c r="L15" s="37"/>
      <c r="M15" s="37"/>
      <c r="N15" s="37"/>
      <c r="O15" s="37">
        <v>0</v>
      </c>
      <c r="P15" s="37"/>
      <c r="Q15" s="37"/>
      <c r="R15" s="37"/>
      <c r="S15" s="37"/>
      <c r="T15" s="37">
        <f t="shared" si="0"/>
        <v>647500</v>
      </c>
    </row>
    <row r="16" spans="1:20">
      <c r="A16" s="35" t="s">
        <v>46</v>
      </c>
      <c r="B16" s="37">
        <v>211000</v>
      </c>
      <c r="C16" s="37">
        <v>96000</v>
      </c>
      <c r="D16" s="37">
        <v>174500</v>
      </c>
      <c r="E16" s="37">
        <v>27000</v>
      </c>
      <c r="F16" s="37">
        <v>118500</v>
      </c>
      <c r="G16" s="37">
        <v>0</v>
      </c>
      <c r="H16" s="37">
        <v>58000</v>
      </c>
      <c r="I16" s="37">
        <v>28000</v>
      </c>
      <c r="J16" s="37">
        <v>26000</v>
      </c>
      <c r="K16" s="37"/>
      <c r="L16" s="37"/>
      <c r="M16" s="37"/>
      <c r="N16" s="37"/>
      <c r="O16" s="37">
        <v>6000</v>
      </c>
      <c r="P16" s="37"/>
      <c r="Q16" s="37"/>
      <c r="R16" s="37"/>
      <c r="S16" s="37"/>
      <c r="T16" s="37">
        <f t="shared" si="0"/>
        <v>745000</v>
      </c>
    </row>
    <row r="17" spans="1:20">
      <c r="A17" s="35" t="s">
        <v>47</v>
      </c>
      <c r="B17" s="37">
        <v>154500</v>
      </c>
      <c r="C17" s="37">
        <v>17000</v>
      </c>
      <c r="D17" s="37">
        <v>186000</v>
      </c>
      <c r="E17" s="37">
        <v>19000</v>
      </c>
      <c r="F17" s="37">
        <v>164500</v>
      </c>
      <c r="G17" s="37">
        <v>12000</v>
      </c>
      <c r="H17" s="37">
        <v>128000</v>
      </c>
      <c r="I17" s="37">
        <v>100500</v>
      </c>
      <c r="J17" s="37"/>
      <c r="K17" s="37"/>
      <c r="L17" s="37"/>
      <c r="M17" s="37"/>
      <c r="N17" s="37"/>
      <c r="O17" s="37">
        <v>0</v>
      </c>
      <c r="P17" s="37"/>
      <c r="Q17" s="37"/>
      <c r="R17" s="37"/>
      <c r="S17" s="37"/>
      <c r="T17" s="37">
        <f t="shared" si="0"/>
        <v>781500</v>
      </c>
    </row>
    <row r="18" spans="1:20">
      <c r="A18" s="35" t="s">
        <v>48</v>
      </c>
      <c r="B18" s="37">
        <v>98500</v>
      </c>
      <c r="C18" s="37">
        <v>56000</v>
      </c>
      <c r="D18" s="37">
        <v>62000</v>
      </c>
      <c r="E18" s="37">
        <v>11500</v>
      </c>
      <c r="F18" s="37">
        <v>102500</v>
      </c>
      <c r="G18" s="37">
        <v>0</v>
      </c>
      <c r="H18" s="37">
        <v>65000</v>
      </c>
      <c r="I18" s="37">
        <v>96500</v>
      </c>
      <c r="J18" s="37"/>
      <c r="K18" s="37"/>
      <c r="L18" s="37"/>
      <c r="M18" s="37"/>
      <c r="N18" s="37"/>
      <c r="O18" s="37">
        <v>6000</v>
      </c>
      <c r="P18" s="37"/>
      <c r="Q18" s="37"/>
      <c r="R18" s="37"/>
      <c r="S18" s="37"/>
      <c r="T18" s="37">
        <f t="shared" si="0"/>
        <v>498000</v>
      </c>
    </row>
    <row r="19" spans="1:20">
      <c r="A19" s="35" t="s">
        <v>49</v>
      </c>
      <c r="B19" s="37">
        <v>102500</v>
      </c>
      <c r="C19" s="37">
        <v>55000</v>
      </c>
      <c r="D19" s="37">
        <v>67000</v>
      </c>
      <c r="E19" s="37">
        <v>7000</v>
      </c>
      <c r="F19" s="37">
        <v>117000</v>
      </c>
      <c r="G19" s="37"/>
      <c r="H19" s="37">
        <v>62000</v>
      </c>
      <c r="I19" s="37">
        <v>27500</v>
      </c>
      <c r="J19" s="37">
        <v>20000</v>
      </c>
      <c r="K19" s="37"/>
      <c r="L19" s="37"/>
      <c r="M19" s="37"/>
      <c r="N19" s="37"/>
      <c r="O19" s="37">
        <v>0</v>
      </c>
      <c r="P19" s="37"/>
      <c r="Q19" s="37"/>
      <c r="R19" s="37"/>
      <c r="S19" s="37"/>
      <c r="T19" s="37">
        <f t="shared" si="0"/>
        <v>458000</v>
      </c>
    </row>
    <row r="20" spans="1:20">
      <c r="A20" s="35" t="s">
        <v>50</v>
      </c>
      <c r="B20" s="37">
        <v>150500</v>
      </c>
      <c r="C20" s="37">
        <v>77000</v>
      </c>
      <c r="D20" s="37">
        <v>99000</v>
      </c>
      <c r="E20" s="37">
        <v>4000</v>
      </c>
      <c r="F20" s="37">
        <v>91500</v>
      </c>
      <c r="G20" s="37"/>
      <c r="H20" s="37">
        <v>108000</v>
      </c>
      <c r="I20" s="37">
        <v>64000</v>
      </c>
      <c r="J20" s="37">
        <v>35000</v>
      </c>
      <c r="K20" s="37"/>
      <c r="L20" s="37"/>
      <c r="M20" s="37"/>
      <c r="N20" s="37"/>
      <c r="O20" s="37">
        <v>5000</v>
      </c>
      <c r="P20" s="37"/>
      <c r="Q20" s="37"/>
      <c r="R20" s="37"/>
      <c r="S20" s="37"/>
      <c r="T20" s="37">
        <v>632000</v>
      </c>
    </row>
    <row r="21" spans="1:20">
      <c r="A21" s="35" t="s">
        <v>73</v>
      </c>
      <c r="B21" s="37">
        <v>124500</v>
      </c>
      <c r="C21" s="37">
        <v>54000</v>
      </c>
      <c r="D21" s="37">
        <v>113000</v>
      </c>
      <c r="E21" s="37">
        <v>21500</v>
      </c>
      <c r="F21" s="37">
        <v>131500</v>
      </c>
      <c r="G21" s="37">
        <v>0</v>
      </c>
      <c r="H21" s="37">
        <v>132000</v>
      </c>
      <c r="I21" s="37">
        <v>120500</v>
      </c>
      <c r="J21" s="37"/>
      <c r="K21" s="37"/>
      <c r="L21" s="37"/>
      <c r="M21" s="37"/>
      <c r="N21" s="37"/>
      <c r="O21" s="37">
        <v>13000</v>
      </c>
      <c r="P21" s="37"/>
      <c r="Q21" s="37"/>
      <c r="R21" s="37"/>
      <c r="S21" s="37"/>
      <c r="T21" s="37">
        <f t="shared" si="0"/>
        <v>710000</v>
      </c>
    </row>
    <row r="22" spans="1:20">
      <c r="A22" s="35" t="s">
        <v>52</v>
      </c>
      <c r="B22" s="37">
        <v>101000</v>
      </c>
      <c r="C22" s="37">
        <v>56000</v>
      </c>
      <c r="D22" s="37">
        <v>107000</v>
      </c>
      <c r="E22" s="37">
        <v>12000</v>
      </c>
      <c r="F22" s="37">
        <v>135000</v>
      </c>
      <c r="G22" s="37">
        <v>12000</v>
      </c>
      <c r="H22" s="37">
        <v>76000</v>
      </c>
      <c r="I22" s="37">
        <v>61000</v>
      </c>
      <c r="J22" s="37"/>
      <c r="K22" s="37"/>
      <c r="L22" s="37"/>
      <c r="M22" s="37"/>
      <c r="N22" s="37"/>
      <c r="O22" s="37">
        <v>8000</v>
      </c>
      <c r="P22" s="37"/>
      <c r="Q22" s="37"/>
      <c r="R22" s="37"/>
      <c r="S22" s="37"/>
      <c r="T22" s="37">
        <f t="shared" si="0"/>
        <v>568000</v>
      </c>
    </row>
    <row r="23" spans="1:20">
      <c r="A23" s="35" t="s">
        <v>53</v>
      </c>
      <c r="B23" s="37">
        <v>155000</v>
      </c>
      <c r="C23" s="37">
        <v>71000</v>
      </c>
      <c r="D23" s="37">
        <v>143000</v>
      </c>
      <c r="E23" s="37">
        <v>6000</v>
      </c>
      <c r="F23" s="37">
        <v>104000</v>
      </c>
      <c r="G23" s="37">
        <v>6000</v>
      </c>
      <c r="H23" s="37">
        <v>107000</v>
      </c>
      <c r="I23" s="37">
        <v>98500</v>
      </c>
      <c r="J23" s="37">
        <v>2000</v>
      </c>
      <c r="K23" s="37"/>
      <c r="L23" s="37"/>
      <c r="M23" s="37"/>
      <c r="N23" s="37"/>
      <c r="O23" s="37">
        <v>17000</v>
      </c>
      <c r="P23" s="37"/>
      <c r="Q23" s="37"/>
      <c r="R23" s="37"/>
      <c r="S23" s="37"/>
      <c r="T23" s="37">
        <f t="shared" si="0"/>
        <v>709500</v>
      </c>
    </row>
    <row r="24" spans="1:20">
      <c r="A24" s="35" t="s">
        <v>54</v>
      </c>
      <c r="B24" s="37">
        <v>150500</v>
      </c>
      <c r="C24" s="37">
        <v>136000</v>
      </c>
      <c r="D24" s="37">
        <v>108000</v>
      </c>
      <c r="E24" s="37">
        <v>26000</v>
      </c>
      <c r="F24" s="37">
        <v>143000</v>
      </c>
      <c r="G24" s="37">
        <v>0</v>
      </c>
      <c r="H24" s="37">
        <v>121500</v>
      </c>
      <c r="I24" s="37">
        <v>36000</v>
      </c>
      <c r="J24" s="37">
        <v>7000</v>
      </c>
      <c r="K24" s="37"/>
      <c r="L24" s="37"/>
      <c r="M24" s="37"/>
      <c r="N24" s="37"/>
      <c r="O24" s="37">
        <v>6000</v>
      </c>
      <c r="P24" s="37"/>
      <c r="Q24" s="37"/>
      <c r="R24" s="37"/>
      <c r="S24" s="37"/>
      <c r="T24" s="37">
        <f t="shared" si="0"/>
        <v>734000</v>
      </c>
    </row>
    <row r="25" spans="1:20">
      <c r="A25" s="35" t="s">
        <v>55</v>
      </c>
      <c r="B25" s="37">
        <v>135000</v>
      </c>
      <c r="C25" s="37">
        <v>88000</v>
      </c>
      <c r="D25" s="37">
        <v>144500</v>
      </c>
      <c r="E25" s="37"/>
      <c r="F25" s="37">
        <v>118500</v>
      </c>
      <c r="G25" s="37">
        <v>0</v>
      </c>
      <c r="H25" s="37">
        <v>106000</v>
      </c>
      <c r="I25" s="37">
        <v>15000</v>
      </c>
      <c r="J25" s="37">
        <v>37000</v>
      </c>
      <c r="K25" s="37"/>
      <c r="L25" s="37"/>
      <c r="M25" s="37"/>
      <c r="N25" s="37"/>
      <c r="O25" s="37">
        <v>29000</v>
      </c>
      <c r="P25" s="37"/>
      <c r="Q25" s="37"/>
      <c r="R25" s="37"/>
      <c r="S25" s="37"/>
      <c r="T25" s="37">
        <f t="shared" si="0"/>
        <v>673000</v>
      </c>
    </row>
    <row r="26" spans="1:20">
      <c r="A26" s="35" t="s">
        <v>56</v>
      </c>
      <c r="B26" s="37">
        <v>144500</v>
      </c>
      <c r="C26" s="37">
        <v>65000</v>
      </c>
      <c r="D26" s="37">
        <v>106000</v>
      </c>
      <c r="E26" s="37">
        <v>10500</v>
      </c>
      <c r="F26" s="37">
        <v>77000</v>
      </c>
      <c r="G26" s="37">
        <v>0</v>
      </c>
      <c r="H26" s="37">
        <v>65000</v>
      </c>
      <c r="I26" s="37">
        <v>17000</v>
      </c>
      <c r="J26" s="37">
        <v>9000</v>
      </c>
      <c r="K26" s="37"/>
      <c r="L26" s="37"/>
      <c r="M26" s="37"/>
      <c r="N26" s="37"/>
      <c r="O26" s="37">
        <v>6000</v>
      </c>
      <c r="P26" s="37"/>
      <c r="Q26" s="37"/>
      <c r="R26" s="37"/>
      <c r="S26" s="37"/>
      <c r="T26" s="37">
        <f t="shared" si="0"/>
        <v>500000</v>
      </c>
    </row>
    <row r="27" spans="1:20">
      <c r="A27" s="35" t="s">
        <v>57</v>
      </c>
      <c r="B27" s="37">
        <v>115500</v>
      </c>
      <c r="C27" s="37">
        <v>76000</v>
      </c>
      <c r="D27" s="37">
        <v>105000</v>
      </c>
      <c r="E27" s="37">
        <v>3000</v>
      </c>
      <c r="F27" s="37">
        <v>96000</v>
      </c>
      <c r="G27" s="37">
        <v>12000</v>
      </c>
      <c r="H27" s="37">
        <v>43000</v>
      </c>
      <c r="I27" s="37">
        <v>67500</v>
      </c>
      <c r="J27" s="37">
        <v>4000</v>
      </c>
      <c r="K27" s="37"/>
      <c r="L27" s="37"/>
      <c r="M27" s="37"/>
      <c r="N27" s="37"/>
      <c r="O27" s="31">
        <v>19000</v>
      </c>
      <c r="P27" s="37"/>
      <c r="Q27" s="37"/>
      <c r="R27" s="37"/>
      <c r="S27" s="37"/>
      <c r="T27" s="37">
        <f t="shared" si="0"/>
        <v>541000</v>
      </c>
    </row>
    <row r="28" spans="1:20">
      <c r="A28" s="35" t="s">
        <v>58</v>
      </c>
      <c r="B28" s="37">
        <v>166000</v>
      </c>
      <c r="C28" s="37">
        <v>133000</v>
      </c>
      <c r="D28" s="37">
        <v>122000</v>
      </c>
      <c r="E28" s="37">
        <v>6000</v>
      </c>
      <c r="F28" s="37">
        <v>157000</v>
      </c>
      <c r="G28" s="37">
        <v>0</v>
      </c>
      <c r="H28" s="37">
        <v>83000</v>
      </c>
      <c r="I28" s="37">
        <v>6000</v>
      </c>
      <c r="J28" s="37">
        <v>2500</v>
      </c>
      <c r="K28" s="37"/>
      <c r="L28" s="37"/>
      <c r="M28" s="37"/>
      <c r="N28" s="37"/>
      <c r="O28" s="37"/>
      <c r="P28" s="37"/>
      <c r="Q28" s="37"/>
      <c r="R28" s="37"/>
      <c r="S28" s="37"/>
      <c r="T28" s="37">
        <f t="shared" si="0"/>
        <v>675500</v>
      </c>
    </row>
    <row r="29" spans="1:20">
      <c r="A29" s="35" t="s">
        <v>59</v>
      </c>
      <c r="B29" s="37">
        <v>142500</v>
      </c>
      <c r="C29" s="37">
        <v>17000</v>
      </c>
      <c r="D29" s="37">
        <v>86000</v>
      </c>
      <c r="E29" s="37">
        <v>99000</v>
      </c>
      <c r="F29" s="37">
        <v>82000</v>
      </c>
      <c r="G29" s="37">
        <v>0</v>
      </c>
      <c r="H29" s="37">
        <v>82000</v>
      </c>
      <c r="I29" s="37">
        <v>17500</v>
      </c>
      <c r="J29" s="37">
        <v>2000</v>
      </c>
      <c r="K29" s="37"/>
      <c r="L29" s="37"/>
      <c r="M29" s="37"/>
      <c r="N29" s="37"/>
      <c r="O29" s="37">
        <v>20000</v>
      </c>
      <c r="P29" s="37"/>
      <c r="Q29" s="37"/>
      <c r="R29" s="37"/>
      <c r="S29" s="37"/>
      <c r="T29" s="37">
        <f t="shared" si="0"/>
        <v>548000</v>
      </c>
    </row>
    <row r="30" spans="1:20">
      <c r="A30" s="35" t="s">
        <v>60</v>
      </c>
      <c r="B30" s="37">
        <v>336000</v>
      </c>
      <c r="C30" s="37">
        <v>141000</v>
      </c>
      <c r="D30" s="37">
        <v>204000</v>
      </c>
      <c r="E30" s="37">
        <v>26500</v>
      </c>
      <c r="F30" s="37">
        <v>280000</v>
      </c>
      <c r="G30" s="37">
        <v>12000</v>
      </c>
      <c r="H30" s="37">
        <v>154000</v>
      </c>
      <c r="I30" s="37">
        <v>93000</v>
      </c>
      <c r="J30" s="37">
        <v>8000</v>
      </c>
      <c r="K30" s="37"/>
      <c r="L30" s="37"/>
      <c r="M30" s="37"/>
      <c r="N30" s="37"/>
      <c r="O30" s="37">
        <v>7000</v>
      </c>
      <c r="P30" s="37"/>
      <c r="Q30" s="37"/>
      <c r="R30" s="37"/>
      <c r="S30" s="37"/>
      <c r="T30" s="37">
        <f t="shared" si="0"/>
        <v>1261500</v>
      </c>
    </row>
    <row r="31" spans="1:20">
      <c r="A31" s="35" t="s">
        <v>61</v>
      </c>
      <c r="B31" s="31">
        <v>186000</v>
      </c>
      <c r="C31" s="31">
        <v>137000</v>
      </c>
      <c r="D31" s="31">
        <v>59000</v>
      </c>
      <c r="E31" s="31">
        <v>30000</v>
      </c>
      <c r="F31" s="31">
        <v>159500</v>
      </c>
      <c r="G31" s="31">
        <v>0</v>
      </c>
      <c r="H31" s="31">
        <v>161000</v>
      </c>
      <c r="I31" s="31">
        <v>20500</v>
      </c>
      <c r="J31" s="31">
        <v>10000</v>
      </c>
      <c r="K31" s="31"/>
      <c r="L31" s="31"/>
      <c r="M31" s="31"/>
      <c r="N31" s="31"/>
      <c r="O31" s="31">
        <v>24000</v>
      </c>
      <c r="P31" s="31"/>
      <c r="Q31" s="31"/>
      <c r="R31" s="31"/>
      <c r="S31" s="31"/>
      <c r="T31" s="37">
        <f t="shared" si="0"/>
        <v>787000</v>
      </c>
    </row>
    <row r="32" spans="1:20">
      <c r="A32" s="35" t="s">
        <v>62</v>
      </c>
      <c r="B32" s="31">
        <v>109500</v>
      </c>
      <c r="C32" s="31">
        <v>95000</v>
      </c>
      <c r="D32" s="31">
        <v>169500</v>
      </c>
      <c r="E32" s="31">
        <v>20000</v>
      </c>
      <c r="F32" s="31">
        <v>158000</v>
      </c>
      <c r="G32" s="31">
        <v>6000</v>
      </c>
      <c r="H32" s="31">
        <v>154000</v>
      </c>
      <c r="I32" s="31">
        <v>131000</v>
      </c>
      <c r="J32" s="31"/>
      <c r="K32" s="31"/>
      <c r="L32" s="31"/>
      <c r="M32" s="31"/>
      <c r="N32" s="31"/>
      <c r="O32" s="31">
        <v>12000</v>
      </c>
      <c r="P32" s="31"/>
      <c r="Q32" s="31"/>
      <c r="R32" s="31"/>
      <c r="S32" s="31"/>
      <c r="T32" s="37">
        <f t="shared" si="0"/>
        <v>855000</v>
      </c>
    </row>
    <row r="33" spans="1:20">
      <c r="A33" s="35" t="s">
        <v>63</v>
      </c>
      <c r="B33" s="31">
        <v>109000</v>
      </c>
      <c r="C33" s="31">
        <v>57000</v>
      </c>
      <c r="D33" s="31">
        <v>112000</v>
      </c>
      <c r="E33" s="31"/>
      <c r="F33" s="31">
        <v>80500</v>
      </c>
      <c r="G33" s="31">
        <v>0</v>
      </c>
      <c r="H33" s="31">
        <v>90000</v>
      </c>
      <c r="I33" s="31">
        <v>17000</v>
      </c>
      <c r="J33" s="31"/>
      <c r="K33" s="31"/>
      <c r="L33" s="31"/>
      <c r="M33" s="31"/>
      <c r="N33" s="31"/>
      <c r="O33" s="31">
        <v>6000</v>
      </c>
      <c r="P33" s="31"/>
      <c r="Q33" s="31"/>
      <c r="R33" s="31"/>
      <c r="S33" s="31"/>
      <c r="T33" s="37">
        <f t="shared" si="0"/>
        <v>471500</v>
      </c>
    </row>
    <row r="34" spans="1:20">
      <c r="A34" s="35" t="s">
        <v>64</v>
      </c>
      <c r="B34" s="31">
        <v>83000</v>
      </c>
      <c r="C34" s="31">
        <v>18000</v>
      </c>
      <c r="D34" s="31">
        <v>145500</v>
      </c>
      <c r="E34" s="31">
        <v>2000</v>
      </c>
      <c r="F34" s="31">
        <v>75000</v>
      </c>
      <c r="G34" s="31"/>
      <c r="H34" s="31">
        <v>127500</v>
      </c>
      <c r="I34" s="31">
        <v>101000</v>
      </c>
      <c r="J34" s="31">
        <v>10500</v>
      </c>
      <c r="K34" s="31"/>
      <c r="L34" s="31"/>
      <c r="M34" s="31"/>
      <c r="N34" s="31"/>
      <c r="O34" s="46"/>
      <c r="P34" s="31"/>
      <c r="Q34" s="31"/>
      <c r="R34" s="31"/>
      <c r="S34" s="31"/>
      <c r="T34" s="31">
        <f t="shared" si="0"/>
        <v>562500</v>
      </c>
    </row>
    <row r="35" spans="1:20">
      <c r="A35" s="35" t="s">
        <v>83</v>
      </c>
      <c r="B35" s="31">
        <v>95500</v>
      </c>
      <c r="C35" s="31">
        <v>129000</v>
      </c>
      <c r="D35" s="31">
        <v>63000</v>
      </c>
      <c r="E35" s="31">
        <v>2500</v>
      </c>
      <c r="F35" s="31">
        <v>161000</v>
      </c>
      <c r="G35" s="31">
        <v>6000</v>
      </c>
      <c r="H35" s="31">
        <v>27000</v>
      </c>
      <c r="I35" s="31">
        <v>26000</v>
      </c>
      <c r="J35" s="31"/>
      <c r="K35" s="31"/>
      <c r="L35" s="31"/>
      <c r="M35" s="31"/>
      <c r="N35" s="31"/>
      <c r="O35" s="31"/>
      <c r="P35" s="31"/>
      <c r="Q35" s="31"/>
      <c r="R35" s="31"/>
      <c r="S35" s="31"/>
      <c r="T35" s="31">
        <f t="shared" si="0"/>
        <v>510000</v>
      </c>
    </row>
    <row r="36" spans="1:20">
      <c r="A36" s="35" t="s">
        <v>84</v>
      </c>
      <c r="B36" s="31">
        <v>133500</v>
      </c>
      <c r="C36" s="31">
        <v>77000</v>
      </c>
      <c r="D36" s="31">
        <v>98500</v>
      </c>
      <c r="E36" s="31">
        <v>7000</v>
      </c>
      <c r="F36" s="31">
        <v>143500</v>
      </c>
      <c r="G36" s="31"/>
      <c r="H36" s="31">
        <v>104000</v>
      </c>
      <c r="I36" s="31">
        <v>54500</v>
      </c>
      <c r="J36" s="31">
        <v>4000</v>
      </c>
      <c r="K36" s="31"/>
      <c r="L36" s="31"/>
      <c r="M36" s="31"/>
      <c r="N36" s="31"/>
      <c r="O36" s="31"/>
      <c r="P36" s="31"/>
      <c r="Q36" s="31"/>
      <c r="R36" s="31"/>
      <c r="S36" s="31"/>
      <c r="T36" s="31">
        <f t="shared" si="0"/>
        <v>622000</v>
      </c>
    </row>
    <row r="37" spans="1:20">
      <c r="A37" s="40" t="s">
        <v>23</v>
      </c>
      <c r="B37" s="41">
        <f>SUM(B6:B36)</f>
        <v>4544500</v>
      </c>
      <c r="C37" s="41">
        <f t="shared" ref="C37:J37" si="1">SUM(C6:C36)</f>
        <v>2397000</v>
      </c>
      <c r="D37" s="41">
        <f t="shared" si="1"/>
        <v>3551500</v>
      </c>
      <c r="E37" s="41">
        <f t="shared" si="1"/>
        <v>475500</v>
      </c>
      <c r="F37" s="41">
        <f t="shared" si="1"/>
        <v>3721500</v>
      </c>
      <c r="G37" s="41">
        <f t="shared" si="1"/>
        <v>78000</v>
      </c>
      <c r="H37" s="41">
        <f t="shared" si="1"/>
        <v>2824000</v>
      </c>
      <c r="I37" s="41">
        <f>SUM(I6:I36)</f>
        <v>1617000</v>
      </c>
      <c r="J37" s="41">
        <f t="shared" si="1"/>
        <v>227000</v>
      </c>
      <c r="K37" s="31"/>
      <c r="L37" s="31"/>
      <c r="M37" s="31"/>
      <c r="N37" s="31"/>
      <c r="O37" s="31">
        <v>184000</v>
      </c>
      <c r="P37" s="31"/>
      <c r="Q37" s="31"/>
      <c r="R37" s="31">
        <f>SUM(R6:R36)</f>
        <v>0</v>
      </c>
      <c r="S37" s="31"/>
      <c r="T37" s="31">
        <v>19618000</v>
      </c>
    </row>
  </sheetData>
  <mergeCells count="4">
    <mergeCell ref="B1:T1"/>
    <mergeCell ref="B2:T2"/>
    <mergeCell ref="C3:F3"/>
    <mergeCell ref="C4:F4"/>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G20"/>
  <sheetViews>
    <sheetView workbookViewId="0">
      <selection sqref="A1:G21"/>
    </sheetView>
  </sheetViews>
  <sheetFormatPr defaultRowHeight="15"/>
  <cols>
    <col min="1" max="1" width="18.28515625" bestFit="1" customWidth="1"/>
    <col min="2" max="6" width="11.5703125" bestFit="1" customWidth="1"/>
    <col min="7" max="7" width="12.7109375" bestFit="1" customWidth="1"/>
  </cols>
  <sheetData>
    <row r="1" spans="1:7" ht="16.5" thickBot="1">
      <c r="A1" s="6" t="s">
        <v>24</v>
      </c>
      <c r="B1" s="70" t="s">
        <v>126</v>
      </c>
      <c r="C1" s="71"/>
      <c r="D1" s="72"/>
      <c r="E1" s="11"/>
      <c r="F1" s="11"/>
      <c r="G1" s="12"/>
    </row>
    <row r="2" spans="1:7" ht="15.75">
      <c r="A2" s="13" t="s">
        <v>25</v>
      </c>
      <c r="B2" s="14" t="s">
        <v>26</v>
      </c>
      <c r="C2" s="14" t="s">
        <v>27</v>
      </c>
      <c r="D2" s="14" t="s">
        <v>28</v>
      </c>
      <c r="E2" s="14" t="s">
        <v>29</v>
      </c>
      <c r="F2" s="15" t="s">
        <v>30</v>
      </c>
      <c r="G2" s="16" t="s">
        <v>31</v>
      </c>
    </row>
    <row r="3" spans="1:7" ht="15.75">
      <c r="A3" s="17" t="s">
        <v>4</v>
      </c>
      <c r="B3" s="18">
        <v>776000</v>
      </c>
      <c r="C3" s="18">
        <v>1130000</v>
      </c>
      <c r="D3" s="18">
        <v>982500</v>
      </c>
      <c r="E3" s="18">
        <v>1225500</v>
      </c>
      <c r="F3" s="19">
        <v>830500</v>
      </c>
      <c r="G3" s="20">
        <f t="shared" ref="G3:G11" si="0">SUM(B3:F3)</f>
        <v>4944500</v>
      </c>
    </row>
    <row r="4" spans="1:7" ht="15.75">
      <c r="A4" s="17" t="s">
        <v>5</v>
      </c>
      <c r="B4" s="18">
        <v>413000</v>
      </c>
      <c r="C4" s="18">
        <v>446000</v>
      </c>
      <c r="D4" s="18">
        <v>505000</v>
      </c>
      <c r="E4" s="18">
        <v>657000</v>
      </c>
      <c r="F4" s="19">
        <v>376000</v>
      </c>
      <c r="G4" s="20">
        <f>SUM(B4:F4)</f>
        <v>2397000</v>
      </c>
    </row>
    <row r="5" spans="1:7" ht="15.75">
      <c r="A5" s="17" t="s">
        <v>32</v>
      </c>
      <c r="B5" s="18">
        <v>579000</v>
      </c>
      <c r="C5" s="18">
        <v>858500</v>
      </c>
      <c r="D5" s="18">
        <v>288000</v>
      </c>
      <c r="E5" s="18">
        <v>236500</v>
      </c>
      <c r="F5" s="19">
        <v>588500</v>
      </c>
      <c r="G5" s="20">
        <f>SUM(B5:F5)</f>
        <v>2550500</v>
      </c>
    </row>
    <row r="6" spans="1:7" ht="15.75">
      <c r="A6" s="17" t="s">
        <v>33</v>
      </c>
      <c r="B6" s="18">
        <v>91000</v>
      </c>
      <c r="C6" s="18">
        <v>90000</v>
      </c>
      <c r="D6" s="18">
        <v>108000</v>
      </c>
      <c r="E6" s="18">
        <v>97000</v>
      </c>
      <c r="F6" s="19">
        <v>31500</v>
      </c>
      <c r="G6" s="20">
        <f t="shared" si="0"/>
        <v>417500</v>
      </c>
    </row>
    <row r="7" spans="1:7" ht="15.75">
      <c r="A7" s="17" t="s">
        <v>8</v>
      </c>
      <c r="B7" s="18">
        <v>571500</v>
      </c>
      <c r="C7" s="18">
        <v>737500</v>
      </c>
      <c r="D7" s="18">
        <v>824500</v>
      </c>
      <c r="E7" s="18">
        <v>826500</v>
      </c>
      <c r="F7" s="19">
        <v>617500</v>
      </c>
      <c r="G7" s="20">
        <f t="shared" si="0"/>
        <v>3577500</v>
      </c>
    </row>
    <row r="8" spans="1:7" ht="15.75">
      <c r="A8" s="17" t="s">
        <v>9</v>
      </c>
      <c r="B8" s="18">
        <v>12000</v>
      </c>
      <c r="C8" s="18">
        <v>24000</v>
      </c>
      <c r="D8" s="18">
        <v>30000</v>
      </c>
      <c r="E8" s="18">
        <v>6000</v>
      </c>
      <c r="F8" s="19">
        <v>12000</v>
      </c>
      <c r="G8" s="20">
        <f t="shared" si="0"/>
        <v>84000</v>
      </c>
    </row>
    <row r="9" spans="1:7" ht="15.75">
      <c r="A9" s="17" t="s">
        <v>10</v>
      </c>
      <c r="B9" s="18">
        <v>971000</v>
      </c>
      <c r="C9" s="18">
        <v>585000</v>
      </c>
      <c r="D9" s="18">
        <v>671500</v>
      </c>
      <c r="E9" s="18">
        <v>692000</v>
      </c>
      <c r="F9" s="19">
        <v>502500</v>
      </c>
      <c r="G9" s="20">
        <f t="shared" si="0"/>
        <v>3422000</v>
      </c>
    </row>
    <row r="10" spans="1:7" ht="15.75">
      <c r="A10" s="17" t="s">
        <v>11</v>
      </c>
      <c r="B10" s="18">
        <v>255500</v>
      </c>
      <c r="C10" s="18">
        <v>291500</v>
      </c>
      <c r="D10" s="18">
        <v>504000</v>
      </c>
      <c r="E10" s="18">
        <v>336500</v>
      </c>
      <c r="F10" s="19">
        <v>329500</v>
      </c>
      <c r="G10" s="20">
        <f t="shared" si="0"/>
        <v>1717000</v>
      </c>
    </row>
    <row r="11" spans="1:7" ht="15.75">
      <c r="A11" s="17" t="s">
        <v>12</v>
      </c>
      <c r="B11" s="18">
        <v>7000</v>
      </c>
      <c r="C11" s="18">
        <v>69000</v>
      </c>
      <c r="D11" s="18">
        <v>141000</v>
      </c>
      <c r="E11" s="18">
        <v>72500</v>
      </c>
      <c r="F11" s="19">
        <v>34500</v>
      </c>
      <c r="G11" s="20">
        <f t="shared" si="0"/>
        <v>324000</v>
      </c>
    </row>
    <row r="12" spans="1:7" ht="15.75">
      <c r="A12" s="17" t="s">
        <v>13</v>
      </c>
      <c r="B12" s="18"/>
      <c r="C12" s="18"/>
      <c r="D12" s="18"/>
      <c r="E12" s="18"/>
      <c r="F12" s="19"/>
      <c r="G12" s="20">
        <f t="shared" ref="G12:G19" si="1">SUM(B12:E12)</f>
        <v>0</v>
      </c>
    </row>
    <row r="13" spans="1:7" ht="15.75">
      <c r="A13" s="17" t="s">
        <v>14</v>
      </c>
      <c r="B13" s="18"/>
      <c r="C13" s="18"/>
      <c r="D13" s="18"/>
      <c r="E13" s="18"/>
      <c r="F13" s="19"/>
      <c r="G13" s="20">
        <f t="shared" si="1"/>
        <v>0</v>
      </c>
    </row>
    <row r="14" spans="1:7" ht="15.75">
      <c r="A14" s="17" t="s">
        <v>15</v>
      </c>
      <c r="B14" s="18"/>
      <c r="C14" s="18"/>
      <c r="D14" s="18"/>
      <c r="E14" s="18"/>
      <c r="F14" s="19"/>
      <c r="G14" s="20">
        <f t="shared" si="1"/>
        <v>0</v>
      </c>
    </row>
    <row r="15" spans="1:7" ht="15.75">
      <c r="A15" s="17" t="s">
        <v>16</v>
      </c>
      <c r="B15" s="18"/>
      <c r="C15" s="18"/>
      <c r="D15" s="18"/>
      <c r="E15" s="18"/>
      <c r="F15" s="19"/>
      <c r="G15" s="20">
        <f t="shared" si="1"/>
        <v>0</v>
      </c>
    </row>
    <row r="16" spans="1:7" ht="15.75">
      <c r="A16" s="17" t="s">
        <v>17</v>
      </c>
      <c r="B16" s="18">
        <v>61000</v>
      </c>
      <c r="C16" s="18">
        <v>117000</v>
      </c>
      <c r="D16" s="18">
        <v>6000</v>
      </c>
      <c r="E16" s="18"/>
      <c r="F16" s="19"/>
      <c r="G16" s="20">
        <f>SUM(B16:F16)</f>
        <v>184000</v>
      </c>
    </row>
    <row r="17" spans="1:7" ht="15.75">
      <c r="A17" s="17" t="s">
        <v>18</v>
      </c>
      <c r="B17" s="18"/>
      <c r="C17" s="18"/>
      <c r="D17" s="18"/>
      <c r="E17" s="18"/>
      <c r="F17" s="19"/>
      <c r="G17" s="20">
        <f t="shared" si="1"/>
        <v>0</v>
      </c>
    </row>
    <row r="18" spans="1:7" ht="15.75">
      <c r="A18" s="17" t="s">
        <v>19</v>
      </c>
      <c r="B18" s="18"/>
      <c r="C18" s="18"/>
      <c r="D18" s="18"/>
      <c r="E18" s="18"/>
      <c r="F18" s="19"/>
      <c r="G18" s="20">
        <f t="shared" si="1"/>
        <v>0</v>
      </c>
    </row>
    <row r="19" spans="1:7" ht="15.75">
      <c r="A19" s="17" t="s">
        <v>34</v>
      </c>
      <c r="B19" s="18"/>
      <c r="C19" s="18"/>
      <c r="D19" s="18"/>
      <c r="E19" s="18"/>
      <c r="F19" s="19"/>
      <c r="G19" s="20">
        <f t="shared" si="1"/>
        <v>0</v>
      </c>
    </row>
    <row r="20" spans="1:7" ht="16.5" thickBot="1">
      <c r="A20" s="21" t="s">
        <v>35</v>
      </c>
      <c r="B20" s="22">
        <f t="shared" ref="B20:G20" si="2">SUM(B3:B19)</f>
        <v>3737000</v>
      </c>
      <c r="C20" s="22">
        <f t="shared" si="2"/>
        <v>4348500</v>
      </c>
      <c r="D20" s="22">
        <f t="shared" si="2"/>
        <v>4060500</v>
      </c>
      <c r="E20" s="22">
        <f t="shared" si="2"/>
        <v>4149500</v>
      </c>
      <c r="F20" s="22">
        <f t="shared" si="2"/>
        <v>3322500</v>
      </c>
      <c r="G20" s="23">
        <f t="shared" si="2"/>
        <v>19618000</v>
      </c>
    </row>
  </sheetData>
  <mergeCells count="1">
    <mergeCell ref="B1:D1"/>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T37"/>
  <sheetViews>
    <sheetView view="pageBreakPreview" zoomScaleSheetLayoutView="100" workbookViewId="0">
      <selection sqref="A1:U42"/>
    </sheetView>
  </sheetViews>
  <sheetFormatPr defaultRowHeight="15"/>
  <cols>
    <col min="2" max="2" width="13.42578125" customWidth="1"/>
    <col min="3" max="3" width="12.42578125" customWidth="1"/>
    <col min="4" max="4" width="16.85546875" customWidth="1"/>
    <col min="5" max="5" width="13.7109375" customWidth="1"/>
    <col min="6" max="6" width="12.140625" customWidth="1"/>
    <col min="7" max="7" width="15.140625" customWidth="1"/>
    <col min="8" max="8" width="13.5703125" customWidth="1"/>
    <col min="9" max="9" width="12.5703125" customWidth="1"/>
    <col min="10" max="10" width="12.42578125" customWidth="1"/>
    <col min="15" max="15" width="14.7109375" customWidth="1"/>
    <col min="20" max="20" width="12.28515625" customWidth="1"/>
  </cols>
  <sheetData>
    <row r="1" spans="1:20" ht="26.25" customHeight="1">
      <c r="A1" s="28"/>
      <c r="B1" s="55" t="s">
        <v>68</v>
      </c>
      <c r="C1" s="56"/>
      <c r="D1" s="56"/>
      <c r="E1" s="56"/>
      <c r="F1" s="56"/>
      <c r="G1" s="56"/>
      <c r="H1" s="56"/>
      <c r="I1" s="56"/>
      <c r="J1" s="56"/>
      <c r="K1" s="56"/>
      <c r="L1" s="56"/>
      <c r="M1" s="56"/>
      <c r="N1" s="56"/>
      <c r="O1" s="56"/>
      <c r="P1" s="56"/>
      <c r="Q1" s="56"/>
      <c r="R1" s="56"/>
      <c r="S1" s="56"/>
      <c r="T1" s="57"/>
    </row>
    <row r="2" spans="1:20" ht="27" thickBot="1">
      <c r="A2" s="4"/>
      <c r="B2" s="58" t="s">
        <v>0</v>
      </c>
      <c r="C2" s="59"/>
      <c r="D2" s="59"/>
      <c r="E2" s="59"/>
      <c r="F2" s="59"/>
      <c r="G2" s="59"/>
      <c r="H2" s="59"/>
      <c r="I2" s="59"/>
      <c r="J2" s="59"/>
      <c r="K2" s="59"/>
      <c r="L2" s="59"/>
      <c r="M2" s="59"/>
      <c r="N2" s="59"/>
      <c r="O2" s="59"/>
      <c r="P2" s="59"/>
      <c r="Q2" s="59"/>
      <c r="R2" s="59"/>
      <c r="S2" s="59"/>
      <c r="T2" s="60"/>
    </row>
    <row r="3" spans="1:20" ht="27" customHeight="1" thickBot="1">
      <c r="A3" s="4"/>
      <c r="B3" s="29" t="s">
        <v>1</v>
      </c>
      <c r="C3" s="61" t="s">
        <v>69</v>
      </c>
      <c r="D3" s="62"/>
      <c r="E3" s="62"/>
      <c r="F3" s="63"/>
      <c r="G3" s="50" t="s">
        <v>127</v>
      </c>
    </row>
    <row r="4" spans="1:20" ht="21">
      <c r="A4" s="4"/>
      <c r="B4" s="30" t="s">
        <v>2</v>
      </c>
      <c r="C4" s="64"/>
      <c r="D4" s="65"/>
      <c r="E4" s="65"/>
      <c r="F4" s="66"/>
    </row>
    <row r="5" spans="1:20" ht="67.5">
      <c r="A5" s="32" t="s">
        <v>3</v>
      </c>
      <c r="B5" s="33" t="s">
        <v>4</v>
      </c>
      <c r="C5" s="33" t="s">
        <v>5</v>
      </c>
      <c r="D5" s="33" t="s">
        <v>6</v>
      </c>
      <c r="E5" s="33" t="s">
        <v>7</v>
      </c>
      <c r="F5" s="33" t="s">
        <v>8</v>
      </c>
      <c r="G5" s="33" t="s">
        <v>9</v>
      </c>
      <c r="H5" s="33" t="s">
        <v>10</v>
      </c>
      <c r="I5" s="33" t="s">
        <v>11</v>
      </c>
      <c r="J5" s="33" t="s">
        <v>12</v>
      </c>
      <c r="K5" s="33" t="s">
        <v>13</v>
      </c>
      <c r="L5" s="33" t="s">
        <v>14</v>
      </c>
      <c r="M5" s="33" t="s">
        <v>15</v>
      </c>
      <c r="N5" s="33" t="s">
        <v>16</v>
      </c>
      <c r="O5" s="33" t="s">
        <v>17</v>
      </c>
      <c r="P5" s="33" t="s">
        <v>18</v>
      </c>
      <c r="Q5" s="33" t="s">
        <v>19</v>
      </c>
      <c r="R5" s="33" t="s">
        <v>20</v>
      </c>
      <c r="S5" s="33" t="s">
        <v>21</v>
      </c>
      <c r="T5" s="33" t="s">
        <v>22</v>
      </c>
    </row>
    <row r="6" spans="1:20">
      <c r="A6" s="35" t="s">
        <v>67</v>
      </c>
      <c r="B6" s="36">
        <v>102000</v>
      </c>
      <c r="C6" s="36">
        <v>78000</v>
      </c>
      <c r="D6" s="36">
        <v>103000</v>
      </c>
      <c r="E6" s="36">
        <v>66500</v>
      </c>
      <c r="F6" s="36">
        <v>80500</v>
      </c>
      <c r="G6" s="36">
        <v>24000</v>
      </c>
      <c r="H6" s="36">
        <v>68000</v>
      </c>
      <c r="I6" s="36">
        <v>74000</v>
      </c>
      <c r="J6" s="36">
        <v>23000</v>
      </c>
      <c r="K6" s="36"/>
      <c r="L6" s="36"/>
      <c r="M6" s="36"/>
      <c r="N6" s="36"/>
      <c r="O6" s="36"/>
      <c r="P6" s="36"/>
      <c r="Q6" s="36"/>
      <c r="R6" s="36"/>
      <c r="S6" s="37"/>
      <c r="T6" s="37">
        <f t="shared" ref="T6:T33" si="0">SUM(B6:S6)</f>
        <v>619000</v>
      </c>
    </row>
    <row r="7" spans="1:20">
      <c r="A7" s="35" t="s">
        <v>37</v>
      </c>
      <c r="B7" s="36">
        <v>107000</v>
      </c>
      <c r="C7" s="36">
        <v>132000</v>
      </c>
      <c r="D7" s="36">
        <v>108000</v>
      </c>
      <c r="E7" s="36">
        <v>7000</v>
      </c>
      <c r="F7" s="36">
        <v>130000</v>
      </c>
      <c r="G7" s="36">
        <v>0</v>
      </c>
      <c r="H7" s="36">
        <v>102000</v>
      </c>
      <c r="I7" s="36">
        <v>16000</v>
      </c>
      <c r="J7" s="36">
        <v>2000</v>
      </c>
      <c r="K7" s="36"/>
      <c r="L7" s="36"/>
      <c r="M7" s="36"/>
      <c r="N7" s="36"/>
      <c r="O7" s="36"/>
      <c r="P7" s="36"/>
      <c r="Q7" s="36"/>
      <c r="R7" s="36"/>
      <c r="S7" s="37"/>
      <c r="T7" s="37">
        <f t="shared" si="0"/>
        <v>604000</v>
      </c>
    </row>
    <row r="8" spans="1:20">
      <c r="A8" s="35" t="s">
        <v>38</v>
      </c>
      <c r="B8" s="36">
        <v>122000</v>
      </c>
      <c r="C8" s="36">
        <v>22000</v>
      </c>
      <c r="D8" s="36">
        <v>45500</v>
      </c>
      <c r="E8" s="36">
        <v>10000</v>
      </c>
      <c r="F8" s="36">
        <v>105000</v>
      </c>
      <c r="G8" s="36"/>
      <c r="H8" s="36">
        <v>123500</v>
      </c>
      <c r="I8" s="36">
        <v>52000</v>
      </c>
      <c r="J8" s="36">
        <v>4000</v>
      </c>
      <c r="K8" s="36"/>
      <c r="L8" s="36"/>
      <c r="M8" s="36"/>
      <c r="N8" s="36"/>
      <c r="O8" s="36">
        <v>5000</v>
      </c>
      <c r="P8" s="36"/>
      <c r="Q8" s="36"/>
      <c r="R8" s="36"/>
      <c r="S8" s="37"/>
      <c r="T8" s="37">
        <f t="shared" si="0"/>
        <v>489000</v>
      </c>
    </row>
    <row r="9" spans="1:20">
      <c r="A9" s="35" t="s">
        <v>39</v>
      </c>
      <c r="B9" s="36">
        <v>153000</v>
      </c>
      <c r="C9" s="36">
        <v>132000</v>
      </c>
      <c r="D9" s="36">
        <v>114000</v>
      </c>
      <c r="E9" s="36">
        <v>13000</v>
      </c>
      <c r="F9" s="36">
        <v>117500</v>
      </c>
      <c r="G9" s="36">
        <v>0</v>
      </c>
      <c r="H9" s="36">
        <v>104000</v>
      </c>
      <c r="I9" s="36">
        <v>46500</v>
      </c>
      <c r="J9" s="36">
        <v>6000</v>
      </c>
      <c r="K9" s="36"/>
      <c r="L9" s="36"/>
      <c r="M9" s="36"/>
      <c r="N9" s="36"/>
      <c r="O9" s="36">
        <v>7000</v>
      </c>
      <c r="Q9" s="36"/>
      <c r="R9" s="36"/>
      <c r="S9" s="37"/>
      <c r="T9" s="37">
        <f t="shared" si="0"/>
        <v>693000</v>
      </c>
    </row>
    <row r="10" spans="1:20">
      <c r="A10" s="35" t="s">
        <v>40</v>
      </c>
      <c r="B10" s="37">
        <v>136000</v>
      </c>
      <c r="C10" s="37">
        <v>49000</v>
      </c>
      <c r="D10" s="37">
        <v>113500</v>
      </c>
      <c r="E10" s="37">
        <v>6000</v>
      </c>
      <c r="F10" s="37">
        <v>94000</v>
      </c>
      <c r="G10" s="37">
        <v>0</v>
      </c>
      <c r="H10" s="37">
        <v>27000</v>
      </c>
      <c r="I10" s="37">
        <v>17500</v>
      </c>
      <c r="J10" s="37"/>
      <c r="K10" s="37"/>
      <c r="L10" s="37"/>
      <c r="M10" s="37"/>
      <c r="N10" s="37"/>
      <c r="O10" s="37">
        <v>6000</v>
      </c>
      <c r="P10" s="37"/>
      <c r="Q10" s="37"/>
      <c r="R10" s="37"/>
      <c r="S10" s="37"/>
      <c r="T10" s="37">
        <f t="shared" si="0"/>
        <v>449000</v>
      </c>
    </row>
    <row r="11" spans="1:20">
      <c r="A11" s="35" t="s">
        <v>41</v>
      </c>
      <c r="B11" s="37">
        <v>167000</v>
      </c>
      <c r="C11" s="37">
        <v>60000</v>
      </c>
      <c r="D11" s="37">
        <v>87000</v>
      </c>
      <c r="E11" s="37">
        <v>6000</v>
      </c>
      <c r="F11" s="37">
        <v>90000</v>
      </c>
      <c r="G11" s="37">
        <v>12000</v>
      </c>
      <c r="H11" s="37">
        <v>66500</v>
      </c>
      <c r="I11" s="37">
        <v>6000</v>
      </c>
      <c r="J11" s="37">
        <v>2000</v>
      </c>
      <c r="K11" s="37"/>
      <c r="L11" s="37"/>
      <c r="M11" s="37"/>
      <c r="N11" s="37"/>
      <c r="O11" s="37">
        <v>0</v>
      </c>
      <c r="P11" s="37"/>
      <c r="Q11" s="37"/>
      <c r="R11" s="37"/>
      <c r="S11" s="37"/>
      <c r="T11" s="37">
        <f t="shared" si="0"/>
        <v>496500</v>
      </c>
    </row>
    <row r="12" spans="1:20">
      <c r="A12" s="35" t="s">
        <v>42</v>
      </c>
      <c r="B12" s="37">
        <v>138000</v>
      </c>
      <c r="C12" s="37">
        <v>105000</v>
      </c>
      <c r="D12" s="37">
        <v>124000</v>
      </c>
      <c r="E12" s="37">
        <v>5000</v>
      </c>
      <c r="F12" s="37">
        <v>160000</v>
      </c>
      <c r="G12" s="37">
        <v>0</v>
      </c>
      <c r="H12" s="37">
        <v>151000</v>
      </c>
      <c r="I12" s="37">
        <v>3000</v>
      </c>
      <c r="J12" s="37">
        <v>6000</v>
      </c>
      <c r="K12" s="37"/>
      <c r="L12" s="37"/>
      <c r="M12" s="37"/>
      <c r="N12" s="37"/>
      <c r="O12" s="37">
        <v>12000</v>
      </c>
      <c r="P12" s="37"/>
      <c r="Q12" s="37"/>
      <c r="R12" s="37"/>
      <c r="S12" s="37"/>
      <c r="T12" s="37">
        <f t="shared" si="0"/>
        <v>704000</v>
      </c>
    </row>
    <row r="13" spans="1:20">
      <c r="A13" s="35" t="s">
        <v>43</v>
      </c>
      <c r="B13" s="37">
        <v>161000</v>
      </c>
      <c r="C13" s="37">
        <v>192000</v>
      </c>
      <c r="D13" s="37">
        <v>111000</v>
      </c>
      <c r="E13" s="37">
        <v>0</v>
      </c>
      <c r="F13" s="37">
        <v>113500</v>
      </c>
      <c r="G13" s="37">
        <v>0</v>
      </c>
      <c r="H13" s="37">
        <v>156500</v>
      </c>
      <c r="I13" s="37">
        <v>93000</v>
      </c>
      <c r="J13" s="37">
        <v>9000</v>
      </c>
      <c r="K13" s="37"/>
      <c r="L13" s="37"/>
      <c r="M13" s="37"/>
      <c r="N13" s="37"/>
      <c r="O13" s="37">
        <v>10000</v>
      </c>
      <c r="P13" s="37"/>
      <c r="Q13" s="37"/>
      <c r="R13" s="37"/>
      <c r="S13" s="37"/>
      <c r="T13" s="37">
        <f t="shared" si="0"/>
        <v>846000</v>
      </c>
    </row>
    <row r="14" spans="1:20">
      <c r="A14" s="35" t="s">
        <v>44</v>
      </c>
      <c r="B14" s="37">
        <v>138500</v>
      </c>
      <c r="C14" s="37">
        <v>31000</v>
      </c>
      <c r="D14" s="37">
        <v>103000</v>
      </c>
      <c r="E14" s="37">
        <v>1500</v>
      </c>
      <c r="F14" s="37">
        <v>70500</v>
      </c>
      <c r="G14" s="37">
        <v>0</v>
      </c>
      <c r="H14" s="37">
        <v>36000</v>
      </c>
      <c r="I14" s="37">
        <v>89500</v>
      </c>
      <c r="J14" s="37">
        <v>7000</v>
      </c>
      <c r="K14" s="37"/>
      <c r="L14" s="37"/>
      <c r="M14" s="37"/>
      <c r="N14" s="37"/>
      <c r="O14" s="37">
        <v>22000</v>
      </c>
      <c r="P14" s="37"/>
      <c r="Q14" s="37"/>
      <c r="R14" s="37"/>
      <c r="S14" s="37"/>
      <c r="T14" s="37">
        <f t="shared" si="0"/>
        <v>499000</v>
      </c>
    </row>
    <row r="15" spans="1:20">
      <c r="A15" s="35" t="s">
        <v>45</v>
      </c>
      <c r="B15" s="37">
        <v>124500</v>
      </c>
      <c r="C15" s="37">
        <v>72000</v>
      </c>
      <c r="D15" s="37">
        <v>111000</v>
      </c>
      <c r="E15" s="37">
        <v>19500</v>
      </c>
      <c r="F15" s="37">
        <v>111000</v>
      </c>
      <c r="G15" s="37">
        <v>12000</v>
      </c>
      <c r="H15" s="37">
        <v>32000</v>
      </c>
      <c r="I15" s="37">
        <v>54000</v>
      </c>
      <c r="J15" s="37">
        <v>0</v>
      </c>
      <c r="K15" s="37"/>
      <c r="L15" s="37"/>
      <c r="M15" s="37"/>
      <c r="N15" s="37"/>
      <c r="O15" s="37">
        <v>20000</v>
      </c>
      <c r="P15" s="37"/>
      <c r="Q15" s="37"/>
      <c r="R15" s="37"/>
      <c r="S15" s="37"/>
      <c r="T15" s="37">
        <f t="shared" si="0"/>
        <v>556000</v>
      </c>
    </row>
    <row r="16" spans="1:20">
      <c r="A16" s="35" t="s">
        <v>46</v>
      </c>
      <c r="B16" s="37">
        <v>110500</v>
      </c>
      <c r="C16" s="37">
        <v>53000</v>
      </c>
      <c r="D16" s="37">
        <v>54000</v>
      </c>
      <c r="E16" s="37">
        <v>4500</v>
      </c>
      <c r="F16" s="37">
        <v>118500</v>
      </c>
      <c r="G16" s="37">
        <v>0</v>
      </c>
      <c r="H16" s="37">
        <v>148500</v>
      </c>
      <c r="I16" s="37">
        <v>47000</v>
      </c>
      <c r="J16" s="37">
        <v>40500</v>
      </c>
      <c r="K16" s="37"/>
      <c r="L16" s="37"/>
      <c r="M16" s="37"/>
      <c r="N16" s="37"/>
      <c r="O16" s="37">
        <v>18000</v>
      </c>
      <c r="P16" s="37"/>
      <c r="Q16" s="37"/>
      <c r="R16" s="37"/>
      <c r="S16" s="37"/>
      <c r="T16" s="37">
        <f t="shared" si="0"/>
        <v>594500</v>
      </c>
    </row>
    <row r="17" spans="1:20">
      <c r="A17" s="35" t="s">
        <v>47</v>
      </c>
      <c r="B17" s="37">
        <v>88000</v>
      </c>
      <c r="C17" s="37">
        <v>141000</v>
      </c>
      <c r="D17" s="37">
        <v>62500</v>
      </c>
      <c r="E17" s="37">
        <v>17000</v>
      </c>
      <c r="F17" s="37">
        <v>35000</v>
      </c>
      <c r="G17" s="37">
        <v>0</v>
      </c>
      <c r="H17" s="37">
        <v>61000</v>
      </c>
      <c r="I17" s="37">
        <v>36000</v>
      </c>
      <c r="J17" s="37">
        <v>4000</v>
      </c>
      <c r="K17" s="37"/>
      <c r="L17" s="37"/>
      <c r="M17" s="37"/>
      <c r="N17" s="37"/>
      <c r="O17" s="37">
        <v>0</v>
      </c>
      <c r="P17" s="37"/>
      <c r="Q17" s="37"/>
      <c r="R17" s="37"/>
      <c r="S17" s="37"/>
      <c r="T17" s="37">
        <f t="shared" si="0"/>
        <v>444500</v>
      </c>
    </row>
    <row r="18" spans="1:20">
      <c r="A18" s="35" t="s">
        <v>48</v>
      </c>
      <c r="B18" s="37">
        <v>79000</v>
      </c>
      <c r="C18" s="37">
        <v>173000</v>
      </c>
      <c r="D18" s="37">
        <v>102500</v>
      </c>
      <c r="E18" s="37">
        <v>22500</v>
      </c>
      <c r="F18" s="37">
        <v>120000</v>
      </c>
      <c r="G18" s="37">
        <v>0</v>
      </c>
      <c r="H18" s="37">
        <v>103500</v>
      </c>
      <c r="I18" s="37">
        <v>93000</v>
      </c>
      <c r="J18" s="37">
        <v>10500</v>
      </c>
      <c r="K18" s="37"/>
      <c r="L18" s="37"/>
      <c r="M18" s="37"/>
      <c r="N18" s="37"/>
      <c r="O18" s="37">
        <v>0</v>
      </c>
      <c r="P18" s="37"/>
      <c r="Q18" s="37"/>
      <c r="R18" s="37"/>
      <c r="S18" s="37"/>
      <c r="T18" s="37">
        <f t="shared" si="0"/>
        <v>704000</v>
      </c>
    </row>
    <row r="19" spans="1:20">
      <c r="A19" s="35" t="s">
        <v>49</v>
      </c>
      <c r="B19" s="37">
        <v>109500</v>
      </c>
      <c r="C19" s="37">
        <v>176000</v>
      </c>
      <c r="D19" s="37">
        <v>77500</v>
      </c>
      <c r="E19" s="37">
        <v>2500</v>
      </c>
      <c r="F19" s="37">
        <v>155500</v>
      </c>
      <c r="G19" s="37">
        <v>0</v>
      </c>
      <c r="H19" s="37">
        <v>80000</v>
      </c>
      <c r="I19" s="37">
        <v>30000</v>
      </c>
      <c r="J19" s="37">
        <v>0</v>
      </c>
      <c r="K19" s="37"/>
      <c r="L19" s="37"/>
      <c r="M19" s="37"/>
      <c r="N19" s="37"/>
      <c r="O19" s="37">
        <v>7000</v>
      </c>
      <c r="P19" s="37"/>
      <c r="Q19" s="37"/>
      <c r="R19" s="37"/>
      <c r="S19" s="37"/>
      <c r="T19" s="37">
        <f t="shared" si="0"/>
        <v>638000</v>
      </c>
    </row>
    <row r="20" spans="1:20">
      <c r="A20" s="35" t="s">
        <v>50</v>
      </c>
      <c r="B20" s="37">
        <v>140500</v>
      </c>
      <c r="C20" s="37">
        <v>97500</v>
      </c>
      <c r="D20" s="37">
        <v>155000</v>
      </c>
      <c r="E20" s="37">
        <v>28000</v>
      </c>
      <c r="F20" s="37">
        <v>150000</v>
      </c>
      <c r="G20" s="37">
        <v>0</v>
      </c>
      <c r="H20" s="37">
        <v>132000</v>
      </c>
      <c r="I20" s="37">
        <v>54000</v>
      </c>
      <c r="J20" s="37">
        <v>31000</v>
      </c>
      <c r="K20" s="37"/>
      <c r="L20" s="37"/>
      <c r="M20" s="37"/>
      <c r="N20" s="37"/>
      <c r="O20" s="37">
        <v>11000</v>
      </c>
      <c r="P20" s="37"/>
      <c r="Q20" s="37"/>
      <c r="R20" s="37"/>
      <c r="S20" s="37"/>
      <c r="T20" s="37">
        <v>799000</v>
      </c>
    </row>
    <row r="21" spans="1:20">
      <c r="A21" s="35" t="s">
        <v>73</v>
      </c>
      <c r="B21" s="37">
        <v>116500</v>
      </c>
      <c r="C21" s="37">
        <v>127000</v>
      </c>
      <c r="D21" s="37">
        <v>93500</v>
      </c>
      <c r="E21" s="37">
        <v>15500</v>
      </c>
      <c r="F21" s="37">
        <v>105500</v>
      </c>
      <c r="G21" s="37">
        <v>0</v>
      </c>
      <c r="H21" s="37">
        <v>42000</v>
      </c>
      <c r="I21" s="37">
        <v>27000</v>
      </c>
      <c r="J21" s="37">
        <v>0</v>
      </c>
      <c r="K21" s="37"/>
      <c r="L21" s="37"/>
      <c r="M21" s="37"/>
      <c r="N21" s="37"/>
      <c r="O21" s="37">
        <v>0</v>
      </c>
      <c r="P21" s="37"/>
      <c r="Q21" s="37"/>
      <c r="R21" s="37"/>
      <c r="S21" s="37"/>
      <c r="T21" s="37">
        <f t="shared" si="0"/>
        <v>527000</v>
      </c>
    </row>
    <row r="22" spans="1:20">
      <c r="A22" s="35" t="s">
        <v>52</v>
      </c>
      <c r="B22" s="37">
        <v>133000</v>
      </c>
      <c r="C22" s="37">
        <v>24000</v>
      </c>
      <c r="D22" s="37">
        <v>145000</v>
      </c>
      <c r="E22" s="37">
        <v>12000</v>
      </c>
      <c r="F22" s="37">
        <v>121000</v>
      </c>
      <c r="G22" s="37">
        <v>0</v>
      </c>
      <c r="H22" s="37">
        <v>106000</v>
      </c>
      <c r="I22" s="37">
        <v>13500</v>
      </c>
      <c r="J22" s="37">
        <v>9000</v>
      </c>
      <c r="K22" s="37"/>
      <c r="L22" s="37"/>
      <c r="M22" s="37"/>
      <c r="N22" s="37"/>
      <c r="O22" s="37">
        <v>0</v>
      </c>
      <c r="P22" s="37"/>
      <c r="Q22" s="37"/>
      <c r="R22" s="37"/>
      <c r="S22" s="37"/>
      <c r="T22" s="37">
        <f t="shared" si="0"/>
        <v>563500</v>
      </c>
    </row>
    <row r="23" spans="1:20">
      <c r="A23" s="35" t="s">
        <v>53</v>
      </c>
      <c r="B23" s="37">
        <v>134000</v>
      </c>
      <c r="C23" s="37">
        <v>50000</v>
      </c>
      <c r="D23" s="37">
        <v>72000</v>
      </c>
      <c r="E23" s="37">
        <v>19500</v>
      </c>
      <c r="F23" s="37">
        <v>80000</v>
      </c>
      <c r="G23" s="37">
        <v>0</v>
      </c>
      <c r="H23" s="37">
        <v>12000</v>
      </c>
      <c r="I23" s="37">
        <v>25000</v>
      </c>
      <c r="J23" s="37">
        <v>15000</v>
      </c>
      <c r="K23" s="37"/>
      <c r="L23" s="37"/>
      <c r="M23" s="37"/>
      <c r="N23" s="37"/>
      <c r="O23" s="37">
        <v>7000</v>
      </c>
      <c r="P23" s="37"/>
      <c r="Q23" s="37"/>
      <c r="R23" s="37"/>
      <c r="S23" s="37"/>
      <c r="T23" s="37">
        <f t="shared" si="0"/>
        <v>414500</v>
      </c>
    </row>
    <row r="24" spans="1:20">
      <c r="A24" s="35" t="s">
        <v>54</v>
      </c>
      <c r="B24" s="37">
        <v>150000</v>
      </c>
      <c r="C24" s="37">
        <v>141000</v>
      </c>
      <c r="D24" s="37">
        <v>119500</v>
      </c>
      <c r="E24" s="37">
        <v>12500</v>
      </c>
      <c r="F24" s="37">
        <v>137000</v>
      </c>
      <c r="G24" s="37">
        <v>6000</v>
      </c>
      <c r="H24" s="37">
        <v>38000</v>
      </c>
      <c r="I24" s="37">
        <v>67000</v>
      </c>
      <c r="J24" s="37">
        <v>16000</v>
      </c>
      <c r="K24" s="37"/>
      <c r="L24" s="37"/>
      <c r="M24" s="37"/>
      <c r="N24" s="37"/>
      <c r="O24" s="37">
        <v>31000</v>
      </c>
      <c r="P24" s="37"/>
      <c r="Q24" s="37"/>
      <c r="R24" s="37"/>
      <c r="S24" s="37"/>
      <c r="T24" s="37">
        <f t="shared" si="0"/>
        <v>718000</v>
      </c>
    </row>
    <row r="25" spans="1:20">
      <c r="A25" s="35" t="s">
        <v>55</v>
      </c>
      <c r="B25" s="37">
        <v>172000</v>
      </c>
      <c r="C25" s="37">
        <v>27000</v>
      </c>
      <c r="D25" s="37">
        <v>122000</v>
      </c>
      <c r="E25" s="37">
        <v>11500</v>
      </c>
      <c r="F25" s="37">
        <v>110000</v>
      </c>
      <c r="G25" s="37">
        <v>0</v>
      </c>
      <c r="H25" s="37">
        <v>101000</v>
      </c>
      <c r="I25" s="37">
        <v>23000</v>
      </c>
      <c r="J25" s="37">
        <v>4500</v>
      </c>
      <c r="K25" s="37"/>
      <c r="L25" s="37"/>
      <c r="M25" s="37"/>
      <c r="N25" s="37"/>
      <c r="O25" s="37">
        <v>6000</v>
      </c>
      <c r="P25" s="37"/>
      <c r="Q25" s="37"/>
      <c r="R25" s="37"/>
      <c r="S25" s="37"/>
      <c r="T25" s="37">
        <f t="shared" si="0"/>
        <v>577000</v>
      </c>
    </row>
    <row r="26" spans="1:20">
      <c r="A26" s="35" t="s">
        <v>56</v>
      </c>
      <c r="B26" s="37">
        <v>148000</v>
      </c>
      <c r="C26" s="37">
        <v>114000</v>
      </c>
      <c r="D26" s="37">
        <v>149000</v>
      </c>
      <c r="E26" s="37">
        <v>29500</v>
      </c>
      <c r="F26" s="37">
        <v>162000</v>
      </c>
      <c r="G26" s="37">
        <v>0</v>
      </c>
      <c r="H26" s="37">
        <v>136000</v>
      </c>
      <c r="I26" s="37">
        <v>67500</v>
      </c>
      <c r="J26" s="37">
        <v>8000</v>
      </c>
      <c r="K26" s="37"/>
      <c r="L26" s="37"/>
      <c r="M26" s="37"/>
      <c r="N26" s="37"/>
      <c r="O26" s="37">
        <v>0</v>
      </c>
      <c r="P26" s="37"/>
      <c r="Q26" s="37"/>
      <c r="R26" s="37"/>
      <c r="S26" s="37"/>
      <c r="T26" s="37">
        <f t="shared" si="0"/>
        <v>814000</v>
      </c>
    </row>
    <row r="27" spans="1:20">
      <c r="A27" s="35" t="s">
        <v>57</v>
      </c>
      <c r="B27" s="37">
        <v>252000</v>
      </c>
      <c r="C27" s="37">
        <v>145000</v>
      </c>
      <c r="D27" s="37">
        <v>155500</v>
      </c>
      <c r="E27" s="37">
        <v>33000</v>
      </c>
      <c r="F27" s="37">
        <v>208000</v>
      </c>
      <c r="G27" s="37">
        <v>0</v>
      </c>
      <c r="H27" s="37">
        <v>198000</v>
      </c>
      <c r="I27" s="37">
        <v>38500</v>
      </c>
      <c r="J27" s="37">
        <v>0</v>
      </c>
      <c r="K27" s="37"/>
      <c r="L27" s="37"/>
      <c r="M27" s="37"/>
      <c r="N27" s="37"/>
      <c r="O27" s="31">
        <v>0</v>
      </c>
      <c r="P27" s="37"/>
      <c r="Q27" s="37"/>
      <c r="R27" s="37"/>
      <c r="S27" s="37"/>
      <c r="T27" s="37">
        <f>SUM(B27:S27)</f>
        <v>1030000</v>
      </c>
    </row>
    <row r="28" spans="1:20">
      <c r="A28" s="35" t="s">
        <v>58</v>
      </c>
      <c r="B28" s="37">
        <v>226000</v>
      </c>
      <c r="C28" s="37">
        <v>162000</v>
      </c>
      <c r="D28" s="37">
        <v>150500</v>
      </c>
      <c r="E28" s="37">
        <v>4500</v>
      </c>
      <c r="F28" s="37">
        <v>128000</v>
      </c>
      <c r="G28" s="37">
        <v>0</v>
      </c>
      <c r="H28" s="37">
        <v>89000</v>
      </c>
      <c r="I28" s="37">
        <v>72000</v>
      </c>
      <c r="J28" s="37">
        <v>38500</v>
      </c>
      <c r="K28" s="37"/>
      <c r="L28" s="37"/>
      <c r="M28" s="37"/>
      <c r="N28" s="37"/>
      <c r="O28" s="37">
        <v>10000</v>
      </c>
      <c r="P28" s="37"/>
      <c r="Q28" s="37"/>
      <c r="R28" s="37"/>
      <c r="S28" s="37"/>
      <c r="T28" s="37">
        <f t="shared" si="0"/>
        <v>880500</v>
      </c>
    </row>
    <row r="29" spans="1:20">
      <c r="A29" s="35" t="s">
        <v>59</v>
      </c>
      <c r="B29" s="37">
        <v>112000</v>
      </c>
      <c r="C29" s="37">
        <v>32000</v>
      </c>
      <c r="D29" s="37">
        <v>84000</v>
      </c>
      <c r="E29" s="37">
        <v>18000</v>
      </c>
      <c r="F29" s="37">
        <v>115000</v>
      </c>
      <c r="G29" s="37">
        <v>0</v>
      </c>
      <c r="H29" s="37">
        <v>72000</v>
      </c>
      <c r="I29" s="37">
        <v>35000</v>
      </c>
      <c r="J29" s="37">
        <v>2000</v>
      </c>
      <c r="K29" s="37"/>
      <c r="L29" s="37"/>
      <c r="M29" s="37"/>
      <c r="N29" s="37"/>
      <c r="O29" s="37">
        <v>0</v>
      </c>
      <c r="P29" s="37"/>
      <c r="Q29" s="37"/>
      <c r="R29" s="37"/>
      <c r="S29" s="37"/>
      <c r="T29" s="37">
        <f t="shared" si="0"/>
        <v>470000</v>
      </c>
    </row>
    <row r="30" spans="1:20">
      <c r="A30" s="35" t="s">
        <v>60</v>
      </c>
      <c r="B30" s="37">
        <v>109000</v>
      </c>
      <c r="C30" s="37">
        <v>35000</v>
      </c>
      <c r="D30" s="37">
        <v>96500</v>
      </c>
      <c r="E30" s="37">
        <v>20500</v>
      </c>
      <c r="F30" s="37">
        <v>106000</v>
      </c>
      <c r="G30" s="37">
        <v>0</v>
      </c>
      <c r="H30" s="37">
        <v>108000</v>
      </c>
      <c r="I30" s="37">
        <v>29000</v>
      </c>
      <c r="J30" s="37">
        <v>24000</v>
      </c>
      <c r="K30" s="37"/>
      <c r="L30" s="37"/>
      <c r="M30" s="37"/>
      <c r="N30" s="37"/>
      <c r="O30" s="37">
        <v>6000</v>
      </c>
      <c r="P30" s="37"/>
      <c r="Q30" s="37"/>
      <c r="R30" s="37"/>
      <c r="S30" s="37"/>
      <c r="T30" s="37">
        <f t="shared" si="0"/>
        <v>534000</v>
      </c>
    </row>
    <row r="31" spans="1:20">
      <c r="A31" s="35" t="s">
        <v>61</v>
      </c>
      <c r="B31" s="31">
        <v>106500</v>
      </c>
      <c r="C31" s="31">
        <v>62000</v>
      </c>
      <c r="D31" s="31">
        <v>113000</v>
      </c>
      <c r="E31" s="31">
        <v>8000</v>
      </c>
      <c r="F31" s="31">
        <v>127500</v>
      </c>
      <c r="G31" s="31">
        <v>0</v>
      </c>
      <c r="H31" s="31">
        <v>68000</v>
      </c>
      <c r="I31" s="31">
        <v>68000</v>
      </c>
      <c r="J31" s="31">
        <v>2000</v>
      </c>
      <c r="K31" s="31"/>
      <c r="L31" s="31"/>
      <c r="M31" s="31"/>
      <c r="N31" s="31"/>
      <c r="O31" s="31">
        <v>22000</v>
      </c>
      <c r="P31" s="31"/>
      <c r="Q31" s="31"/>
      <c r="R31" s="31"/>
      <c r="S31" s="31"/>
      <c r="T31" s="37">
        <f t="shared" si="0"/>
        <v>577000</v>
      </c>
    </row>
    <row r="32" spans="1:20">
      <c r="A32" s="35" t="s">
        <v>62</v>
      </c>
      <c r="B32" s="31">
        <v>128000</v>
      </c>
      <c r="C32" s="31">
        <v>201000</v>
      </c>
      <c r="D32" s="31">
        <v>93500</v>
      </c>
      <c r="E32" s="31">
        <v>11500</v>
      </c>
      <c r="F32" s="31">
        <v>128000</v>
      </c>
      <c r="G32" s="31">
        <v>0</v>
      </c>
      <c r="H32" s="31">
        <v>101000</v>
      </c>
      <c r="I32" s="31">
        <v>84000</v>
      </c>
      <c r="J32" s="31">
        <v>2000</v>
      </c>
      <c r="K32" s="31"/>
      <c r="L32" s="31"/>
      <c r="M32" s="31"/>
      <c r="N32" s="31"/>
      <c r="O32" s="31">
        <v>0</v>
      </c>
      <c r="P32" s="31"/>
      <c r="Q32" s="31"/>
      <c r="R32" s="31"/>
      <c r="S32" s="31"/>
      <c r="T32" s="37">
        <f t="shared" si="0"/>
        <v>749000</v>
      </c>
    </row>
    <row r="33" spans="1:20">
      <c r="A33" s="35" t="s">
        <v>63</v>
      </c>
      <c r="B33" s="31">
        <v>157500</v>
      </c>
      <c r="C33" s="31">
        <v>190000</v>
      </c>
      <c r="D33" s="31">
        <v>151500</v>
      </c>
      <c r="E33" s="31">
        <v>27500</v>
      </c>
      <c r="F33" s="31">
        <v>159000</v>
      </c>
      <c r="G33" s="31">
        <v>18000</v>
      </c>
      <c r="H33" s="31">
        <v>19000</v>
      </c>
      <c r="I33" s="31">
        <v>40500</v>
      </c>
      <c r="J33" s="31">
        <v>3000</v>
      </c>
      <c r="K33" s="31"/>
      <c r="L33" s="31"/>
      <c r="M33" s="31"/>
      <c r="N33" s="31"/>
      <c r="O33" s="31">
        <v>11000</v>
      </c>
      <c r="P33" s="31"/>
      <c r="Q33" s="31"/>
      <c r="R33" s="31"/>
      <c r="S33" s="31"/>
      <c r="T33" s="37">
        <f t="shared" si="0"/>
        <v>777000</v>
      </c>
    </row>
    <row r="34" spans="1:20">
      <c r="A34" s="35" t="s">
        <v>64</v>
      </c>
      <c r="B34" s="31">
        <v>192000</v>
      </c>
      <c r="C34" s="31">
        <v>243000</v>
      </c>
      <c r="D34" s="31">
        <v>120000</v>
      </c>
      <c r="E34" s="31">
        <v>26000</v>
      </c>
      <c r="F34" s="31">
        <v>102000</v>
      </c>
      <c r="G34" s="31">
        <v>0</v>
      </c>
      <c r="H34" s="31">
        <v>162000</v>
      </c>
      <c r="I34" s="31">
        <v>117000</v>
      </c>
      <c r="J34" s="31">
        <v>9000</v>
      </c>
      <c r="K34" s="31"/>
      <c r="L34" s="31"/>
      <c r="M34" s="31"/>
      <c r="N34" s="31"/>
      <c r="O34" s="46">
        <v>14000</v>
      </c>
      <c r="P34" s="31"/>
      <c r="Q34" s="31"/>
      <c r="R34" s="31"/>
      <c r="S34" s="31"/>
      <c r="T34" s="31">
        <f>SUM(B34:S34)</f>
        <v>985000</v>
      </c>
    </row>
    <row r="35" spans="1:20">
      <c r="A35" s="35" t="s">
        <v>83</v>
      </c>
      <c r="B35" s="31">
        <v>140500</v>
      </c>
      <c r="C35" s="31">
        <v>144000</v>
      </c>
      <c r="D35" s="31">
        <v>163000</v>
      </c>
      <c r="E35" s="31">
        <v>27000</v>
      </c>
      <c r="F35" s="31">
        <v>177500</v>
      </c>
      <c r="G35" s="31">
        <v>12000</v>
      </c>
      <c r="H35" s="31">
        <v>166000</v>
      </c>
      <c r="I35" s="31">
        <v>191500</v>
      </c>
      <c r="J35" s="31">
        <v>112000</v>
      </c>
      <c r="K35" s="31"/>
      <c r="L35" s="31"/>
      <c r="M35" s="31"/>
      <c r="N35" s="31"/>
      <c r="O35" s="31">
        <v>6000</v>
      </c>
      <c r="P35" s="31"/>
      <c r="Q35" s="31"/>
      <c r="R35" s="31"/>
      <c r="S35" s="31"/>
      <c r="T35" s="31">
        <v>113550</v>
      </c>
    </row>
    <row r="36" spans="1:20">
      <c r="A36" s="35" t="s">
        <v>84</v>
      </c>
      <c r="B36" s="31"/>
      <c r="C36" s="31"/>
      <c r="D36" s="31"/>
      <c r="E36" s="31"/>
      <c r="F36" s="31"/>
      <c r="G36" s="31"/>
      <c r="H36" s="31"/>
      <c r="I36" s="31"/>
      <c r="J36" s="31"/>
      <c r="K36" s="31"/>
      <c r="L36" s="31"/>
      <c r="M36" s="31"/>
      <c r="N36" s="31"/>
      <c r="O36" s="31">
        <v>231000</v>
      </c>
      <c r="P36" s="31"/>
      <c r="Q36" s="31"/>
      <c r="R36" s="31"/>
      <c r="S36" s="31"/>
      <c r="T36" s="31">
        <v>19887500</v>
      </c>
    </row>
    <row r="37" spans="1:20">
      <c r="A37" s="40" t="s">
        <v>23</v>
      </c>
      <c r="B37" s="41">
        <f t="shared" ref="B37:J37" si="1">SUM(B6:B36)</f>
        <v>4153500</v>
      </c>
      <c r="C37" s="41">
        <f t="shared" si="1"/>
        <v>3210500</v>
      </c>
      <c r="D37" s="41">
        <f t="shared" si="1"/>
        <v>3300000</v>
      </c>
      <c r="E37" s="41">
        <f t="shared" si="1"/>
        <v>485500</v>
      </c>
      <c r="F37" s="41">
        <f t="shared" si="1"/>
        <v>3617500</v>
      </c>
      <c r="G37" s="41">
        <f t="shared" si="1"/>
        <v>84000</v>
      </c>
      <c r="H37" s="41">
        <f t="shared" si="1"/>
        <v>2809500</v>
      </c>
      <c r="I37" s="41">
        <f t="shared" si="1"/>
        <v>1610000</v>
      </c>
      <c r="J37" s="41">
        <f t="shared" si="1"/>
        <v>390000</v>
      </c>
      <c r="K37" s="31"/>
      <c r="L37" s="31"/>
      <c r="M37" s="31"/>
      <c r="N37" s="31"/>
      <c r="O37" s="31"/>
      <c r="P37" s="31"/>
      <c r="Q37" s="31"/>
      <c r="R37" s="31">
        <f>SUM(R6:R36)</f>
        <v>0</v>
      </c>
      <c r="S37" s="31"/>
      <c r="T37" s="31"/>
    </row>
  </sheetData>
  <mergeCells count="4">
    <mergeCell ref="B1:T1"/>
    <mergeCell ref="B2:T2"/>
    <mergeCell ref="C3:F3"/>
    <mergeCell ref="C4:F4"/>
  </mergeCells>
  <pageMargins left="0.7" right="0.7" top="0.75" bottom="0.75" header="0.3" footer="0.3"/>
  <pageSetup orientation="portrait" horizontalDpi="360" verticalDpi="360"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G20"/>
  <sheetViews>
    <sheetView topLeftCell="B1" workbookViewId="0">
      <selection activeCell="I12" sqref="I12"/>
    </sheetView>
  </sheetViews>
  <sheetFormatPr defaultRowHeight="15"/>
  <cols>
    <col min="1" max="1" width="19.5703125" customWidth="1"/>
    <col min="2" max="3" width="13.28515625" customWidth="1"/>
    <col min="4" max="4" width="14" customWidth="1"/>
    <col min="5" max="5" width="15.5703125" customWidth="1"/>
    <col min="6" max="6" width="13.28515625" customWidth="1"/>
    <col min="7" max="7" width="13.5703125" customWidth="1"/>
  </cols>
  <sheetData>
    <row r="1" spans="1:7" ht="16.5" thickBot="1">
      <c r="A1" s="6" t="s">
        <v>24</v>
      </c>
      <c r="B1" s="70" t="s">
        <v>128</v>
      </c>
      <c r="C1" s="71"/>
      <c r="D1" s="72"/>
      <c r="E1" s="11"/>
      <c r="F1" s="11"/>
      <c r="G1" s="12"/>
    </row>
    <row r="2" spans="1:7" ht="15.75">
      <c r="A2" s="13" t="s">
        <v>25</v>
      </c>
      <c r="B2" s="14" t="s">
        <v>26</v>
      </c>
      <c r="C2" s="14" t="s">
        <v>27</v>
      </c>
      <c r="D2" s="14" t="s">
        <v>28</v>
      </c>
      <c r="E2" s="14" t="s">
        <v>29</v>
      </c>
      <c r="F2" s="15" t="s">
        <v>30</v>
      </c>
      <c r="G2" s="16" t="s">
        <v>31</v>
      </c>
    </row>
    <row r="3" spans="1:7" ht="15.75">
      <c r="A3" s="17" t="s">
        <v>4</v>
      </c>
      <c r="B3" s="18">
        <v>725000</v>
      </c>
      <c r="C3" s="18">
        <v>811000</v>
      </c>
      <c r="D3" s="18">
        <v>994000</v>
      </c>
      <c r="E3" s="18">
        <v>1031000</v>
      </c>
      <c r="F3" s="19">
        <v>332500</v>
      </c>
      <c r="G3" s="20">
        <f t="shared" ref="G3:G11" si="0">SUM(B3:F3)</f>
        <v>3893500</v>
      </c>
    </row>
    <row r="4" spans="1:7" ht="15.75">
      <c r="A4" s="17" t="s">
        <v>5</v>
      </c>
      <c r="B4" s="18">
        <v>578000</v>
      </c>
      <c r="C4" s="18">
        <v>838000</v>
      </c>
      <c r="D4" s="18">
        <v>580500</v>
      </c>
      <c r="E4" s="18">
        <v>925000</v>
      </c>
      <c r="F4" s="19">
        <v>387000</v>
      </c>
      <c r="G4" s="20">
        <f t="shared" si="0"/>
        <v>3308500</v>
      </c>
    </row>
    <row r="5" spans="1:7" ht="15.75">
      <c r="A5" s="17" t="s">
        <v>32</v>
      </c>
      <c r="B5" s="18">
        <v>695000</v>
      </c>
      <c r="C5" s="18">
        <v>621500</v>
      </c>
      <c r="D5" s="18">
        <v>856000</v>
      </c>
      <c r="E5" s="18">
        <v>809000</v>
      </c>
      <c r="F5" s="19">
        <v>283000</v>
      </c>
      <c r="G5" s="20">
        <f t="shared" si="0"/>
        <v>3264500</v>
      </c>
    </row>
    <row r="6" spans="1:7" ht="15.75">
      <c r="A6" s="17" t="s">
        <v>33</v>
      </c>
      <c r="B6" s="18">
        <v>113500</v>
      </c>
      <c r="C6" s="18">
        <v>167500</v>
      </c>
      <c r="D6" s="18">
        <v>128500</v>
      </c>
      <c r="E6" s="18">
        <v>116000</v>
      </c>
      <c r="F6" s="19">
        <v>53000</v>
      </c>
      <c r="G6" s="20">
        <f t="shared" si="0"/>
        <v>578500</v>
      </c>
    </row>
    <row r="7" spans="1:7" ht="15.75">
      <c r="A7" s="17" t="s">
        <v>8</v>
      </c>
      <c r="B7" s="18">
        <v>777000</v>
      </c>
      <c r="C7" s="18">
        <v>724000</v>
      </c>
      <c r="D7" s="18">
        <v>865500</v>
      </c>
      <c r="E7" s="18">
        <v>865500</v>
      </c>
      <c r="F7" s="19">
        <v>379500</v>
      </c>
      <c r="G7" s="20">
        <f t="shared" si="0"/>
        <v>3611500</v>
      </c>
    </row>
    <row r="8" spans="1:7" ht="15.75">
      <c r="A8" s="17" t="s">
        <v>9</v>
      </c>
      <c r="B8" s="18">
        <v>36000</v>
      </c>
      <c r="C8" s="18">
        <v>12000</v>
      </c>
      <c r="D8" s="18">
        <v>6000</v>
      </c>
      <c r="E8" s="18">
        <v>18000</v>
      </c>
      <c r="F8" s="19">
        <v>12000</v>
      </c>
      <c r="G8" s="20">
        <f t="shared" si="0"/>
        <v>84000</v>
      </c>
    </row>
    <row r="9" spans="1:7" ht="15.75">
      <c r="A9" s="17" t="s">
        <v>10</v>
      </c>
      <c r="B9" s="18">
        <v>642000</v>
      </c>
      <c r="C9" s="18">
        <v>617500</v>
      </c>
      <c r="D9" s="18">
        <v>567000</v>
      </c>
      <c r="E9" s="18">
        <v>619000</v>
      </c>
      <c r="F9" s="19">
        <v>328000</v>
      </c>
      <c r="G9" s="20">
        <f t="shared" si="0"/>
        <v>2773500</v>
      </c>
    </row>
    <row r="10" spans="1:7" ht="15.75">
      <c r="A10" s="17" t="s">
        <v>11</v>
      </c>
      <c r="B10" s="18">
        <v>215000</v>
      </c>
      <c r="C10" s="18">
        <v>442500</v>
      </c>
      <c r="D10" s="18">
        <v>305000</v>
      </c>
      <c r="E10" s="18">
        <v>445500</v>
      </c>
      <c r="F10" s="19">
        <v>308500</v>
      </c>
      <c r="G10" s="20">
        <f t="shared" si="0"/>
        <v>1716500</v>
      </c>
    </row>
    <row r="11" spans="1:7" ht="15.75">
      <c r="A11" s="17" t="s">
        <v>12</v>
      </c>
      <c r="B11" s="18">
        <v>43000</v>
      </c>
      <c r="C11" s="18">
        <v>71000</v>
      </c>
      <c r="D11" s="18">
        <v>83500</v>
      </c>
      <c r="E11" s="18">
        <v>80500</v>
      </c>
      <c r="F11" s="19">
        <v>121000</v>
      </c>
      <c r="G11" s="20">
        <f t="shared" si="0"/>
        <v>399000</v>
      </c>
    </row>
    <row r="12" spans="1:7" ht="15.75">
      <c r="A12" s="17" t="s">
        <v>13</v>
      </c>
      <c r="B12" s="18"/>
      <c r="C12" s="18"/>
      <c r="D12" s="18"/>
      <c r="E12" s="18"/>
      <c r="F12" s="19"/>
      <c r="G12" s="20"/>
    </row>
    <row r="13" spans="1:7" ht="15.75">
      <c r="A13" s="17" t="s">
        <v>14</v>
      </c>
      <c r="B13" s="18"/>
      <c r="C13" s="18"/>
      <c r="D13" s="18"/>
      <c r="E13" s="18"/>
      <c r="F13" s="19"/>
      <c r="G13" s="20"/>
    </row>
    <row r="14" spans="1:7" ht="15.75">
      <c r="A14" s="17" t="s">
        <v>15</v>
      </c>
      <c r="B14" s="18"/>
      <c r="C14" s="18"/>
      <c r="D14" s="18"/>
      <c r="E14" s="18"/>
      <c r="F14" s="19"/>
      <c r="G14" s="20"/>
    </row>
    <row r="15" spans="1:7" ht="15.75">
      <c r="A15" s="17" t="s">
        <v>16</v>
      </c>
      <c r="B15" s="18"/>
      <c r="C15" s="18"/>
      <c r="D15" s="18"/>
      <c r="E15" s="18"/>
      <c r="F15" s="19"/>
      <c r="G15" s="20"/>
    </row>
    <row r="16" spans="1:7" ht="15.75">
      <c r="A16" s="17" t="s">
        <v>17</v>
      </c>
      <c r="B16" s="18">
        <v>63000</v>
      </c>
      <c r="C16" s="18">
        <v>77000</v>
      </c>
      <c r="D16" s="18">
        <v>65000</v>
      </c>
      <c r="E16" s="18">
        <v>53000</v>
      </c>
      <c r="F16" s="19"/>
      <c r="G16" s="20">
        <f>SUM(B16:F16)</f>
        <v>258000</v>
      </c>
    </row>
    <row r="17" spans="1:7" ht="15.75">
      <c r="A17" s="17" t="s">
        <v>18</v>
      </c>
      <c r="B17" s="18"/>
      <c r="C17" s="18"/>
      <c r="D17" s="18"/>
      <c r="E17" s="18"/>
      <c r="F17" s="19"/>
      <c r="G17" s="20"/>
    </row>
    <row r="18" spans="1:7" ht="15.75">
      <c r="A18" s="17" t="s">
        <v>19</v>
      </c>
      <c r="B18" s="18"/>
      <c r="C18" s="18"/>
      <c r="D18" s="18"/>
      <c r="E18" s="18"/>
      <c r="F18" s="19"/>
      <c r="G18" s="20"/>
    </row>
    <row r="19" spans="1:7" ht="15.75">
      <c r="A19" s="17" t="s">
        <v>34</v>
      </c>
      <c r="B19" s="18"/>
      <c r="C19" s="18"/>
      <c r="D19" s="18"/>
      <c r="E19" s="18"/>
      <c r="F19" s="19"/>
      <c r="G19" s="20"/>
    </row>
    <row r="20" spans="1:7" ht="16.5" thickBot="1">
      <c r="A20" s="21" t="s">
        <v>35</v>
      </c>
      <c r="B20" s="22">
        <f>SUM(B3:B19)</f>
        <v>3887500</v>
      </c>
      <c r="C20" s="22">
        <f>SUM(C3:C19)</f>
        <v>4382000</v>
      </c>
      <c r="D20" s="22">
        <f>SUM(D3:D19)</f>
        <v>4451000</v>
      </c>
      <c r="E20" s="22">
        <f>SUM(E3:E19)</f>
        <v>4962500</v>
      </c>
      <c r="F20" s="22">
        <f>SUM(F3:F19)</f>
        <v>2204500</v>
      </c>
      <c r="G20" s="23">
        <f>SUM(B20:F20)</f>
        <v>19887500</v>
      </c>
    </row>
  </sheetData>
  <mergeCells count="1">
    <mergeCell ref="B1:D1"/>
  </mergeCell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37"/>
  <sheetViews>
    <sheetView topLeftCell="H15" workbookViewId="0">
      <selection activeCell="H9" sqref="H9"/>
    </sheetView>
  </sheetViews>
  <sheetFormatPr defaultRowHeight="15"/>
  <cols>
    <col min="1" max="1" width="12.85546875" customWidth="1"/>
    <col min="2" max="2" width="13.28515625" customWidth="1"/>
    <col min="3" max="3" width="12.28515625" customWidth="1"/>
    <col min="4" max="4" width="13" customWidth="1"/>
    <col min="5" max="5" width="10.28515625" customWidth="1"/>
    <col min="6" max="7" width="10" customWidth="1"/>
    <col min="8" max="8" width="11.42578125" customWidth="1"/>
    <col min="9" max="9" width="10.7109375" customWidth="1"/>
    <col min="10" max="10" width="11.42578125" customWidth="1"/>
    <col min="11" max="11" width="9.7109375" customWidth="1"/>
    <col min="12" max="12" width="9.85546875" customWidth="1"/>
    <col min="13" max="13" width="10.5703125" customWidth="1"/>
    <col min="15" max="15" width="9.5703125" customWidth="1"/>
    <col min="16" max="16" width="10.140625" customWidth="1"/>
    <col min="17" max="17" width="10.5703125" customWidth="1"/>
    <col min="18" max="18" width="10.28515625" customWidth="1"/>
    <col min="19" max="19" width="11" customWidth="1"/>
    <col min="20" max="20" width="12.140625" customWidth="1"/>
  </cols>
  <sheetData>
    <row r="1" spans="1:20" ht="26.25">
      <c r="A1" s="28"/>
      <c r="B1" s="55" t="s">
        <v>68</v>
      </c>
      <c r="C1" s="56"/>
      <c r="D1" s="56"/>
      <c r="E1" s="56"/>
      <c r="F1" s="56"/>
      <c r="G1" s="56"/>
      <c r="H1" s="56"/>
      <c r="I1" s="56"/>
      <c r="J1" s="56"/>
      <c r="K1" s="56"/>
      <c r="L1" s="56"/>
      <c r="M1" s="56"/>
      <c r="N1" s="56"/>
      <c r="O1" s="56"/>
      <c r="P1" s="56"/>
      <c r="Q1" s="56"/>
      <c r="R1" s="56"/>
      <c r="S1" s="56"/>
      <c r="T1" s="57"/>
    </row>
    <row r="2" spans="1:20" ht="27" thickBot="1">
      <c r="A2" s="4"/>
      <c r="B2" s="58" t="s">
        <v>0</v>
      </c>
      <c r="C2" s="59"/>
      <c r="D2" s="59"/>
      <c r="E2" s="59"/>
      <c r="F2" s="59"/>
      <c r="G2" s="59"/>
      <c r="H2" s="59"/>
      <c r="I2" s="59"/>
      <c r="J2" s="59"/>
      <c r="K2" s="59"/>
      <c r="L2" s="59"/>
      <c r="M2" s="59"/>
      <c r="N2" s="59"/>
      <c r="O2" s="59"/>
      <c r="P2" s="59"/>
      <c r="Q2" s="59"/>
      <c r="R2" s="59"/>
      <c r="S2" s="59"/>
      <c r="T2" s="60"/>
    </row>
    <row r="3" spans="1:20" ht="27" thickBot="1">
      <c r="A3" s="4"/>
      <c r="B3" s="29" t="s">
        <v>1</v>
      </c>
      <c r="C3" s="61" t="s">
        <v>69</v>
      </c>
      <c r="D3" s="62"/>
      <c r="E3" s="62"/>
      <c r="F3" s="63"/>
      <c r="G3" s="50" t="s">
        <v>130</v>
      </c>
    </row>
    <row r="4" spans="1:20" ht="21">
      <c r="A4" s="4"/>
      <c r="B4" s="30" t="s">
        <v>2</v>
      </c>
      <c r="C4" s="64"/>
      <c r="D4" s="65"/>
      <c r="E4" s="65"/>
      <c r="F4" s="66"/>
    </row>
    <row r="5" spans="1:20" ht="56.25">
      <c r="A5" s="32" t="s">
        <v>3</v>
      </c>
      <c r="B5" s="33" t="s">
        <v>4</v>
      </c>
      <c r="C5" s="33" t="s">
        <v>5</v>
      </c>
      <c r="D5" s="33" t="s">
        <v>6</v>
      </c>
      <c r="E5" s="33" t="s">
        <v>7</v>
      </c>
      <c r="F5" s="33" t="s">
        <v>8</v>
      </c>
      <c r="G5" s="33" t="s">
        <v>9</v>
      </c>
      <c r="H5" s="33" t="s">
        <v>10</v>
      </c>
      <c r="I5" s="33" t="s">
        <v>11</v>
      </c>
      <c r="J5" s="33" t="s">
        <v>12</v>
      </c>
      <c r="K5" s="33" t="s">
        <v>13</v>
      </c>
      <c r="L5" s="33" t="s">
        <v>14</v>
      </c>
      <c r="M5" s="33" t="s">
        <v>15</v>
      </c>
      <c r="N5" s="33" t="s">
        <v>16</v>
      </c>
      <c r="O5" s="33" t="s">
        <v>17</v>
      </c>
      <c r="P5" s="33" t="s">
        <v>18</v>
      </c>
      <c r="Q5" s="33" t="s">
        <v>19</v>
      </c>
      <c r="R5" s="33" t="s">
        <v>20</v>
      </c>
      <c r="S5" s="33" t="s">
        <v>21</v>
      </c>
      <c r="T5" s="33" t="s">
        <v>22</v>
      </c>
    </row>
    <row r="6" spans="1:20">
      <c r="A6" s="35">
        <v>45992</v>
      </c>
      <c r="B6" s="36">
        <v>201000</v>
      </c>
      <c r="C6" s="36">
        <v>42000</v>
      </c>
      <c r="D6" s="36">
        <v>114000</v>
      </c>
      <c r="E6" s="36">
        <v>22000</v>
      </c>
      <c r="F6" s="36">
        <v>91000</v>
      </c>
      <c r="G6" s="36">
        <v>0</v>
      </c>
      <c r="H6" s="36">
        <v>57000</v>
      </c>
      <c r="I6" s="36">
        <v>39000</v>
      </c>
      <c r="J6" s="36">
        <v>7000</v>
      </c>
      <c r="K6" s="36">
        <v>0</v>
      </c>
      <c r="L6" s="36">
        <v>0</v>
      </c>
      <c r="M6" s="36"/>
      <c r="N6" s="36"/>
      <c r="O6" s="36">
        <v>0</v>
      </c>
      <c r="P6" s="36"/>
      <c r="Q6" s="36"/>
      <c r="R6" s="36"/>
      <c r="S6" s="37"/>
      <c r="T6" s="37">
        <f t="shared" ref="T6:T33" si="0">SUM(B6:S6)</f>
        <v>573000</v>
      </c>
    </row>
    <row r="7" spans="1:20">
      <c r="A7" s="35">
        <v>45993</v>
      </c>
      <c r="B7" s="36">
        <v>239500</v>
      </c>
      <c r="C7" s="36">
        <v>125000</v>
      </c>
      <c r="D7" s="36">
        <v>131000</v>
      </c>
      <c r="E7" s="36">
        <v>42500</v>
      </c>
      <c r="F7" s="36">
        <v>188500</v>
      </c>
      <c r="G7" s="36">
        <v>12000</v>
      </c>
      <c r="H7" s="36">
        <v>111000</v>
      </c>
      <c r="I7" s="36">
        <v>97500</v>
      </c>
      <c r="J7" s="36">
        <v>4000</v>
      </c>
      <c r="K7" s="36"/>
      <c r="L7" s="36"/>
      <c r="M7" s="36"/>
      <c r="N7" s="36"/>
      <c r="O7" s="36">
        <v>11000</v>
      </c>
      <c r="P7" s="36"/>
      <c r="Q7" s="36"/>
      <c r="R7" s="36"/>
      <c r="S7" s="37"/>
      <c r="T7" s="37">
        <f t="shared" si="0"/>
        <v>962000</v>
      </c>
    </row>
    <row r="8" spans="1:20">
      <c r="A8" s="35">
        <v>45994</v>
      </c>
      <c r="B8" s="36">
        <v>182000</v>
      </c>
      <c r="C8" s="36">
        <v>181000</v>
      </c>
      <c r="D8" s="36">
        <v>142000</v>
      </c>
      <c r="E8" s="36">
        <v>27000</v>
      </c>
      <c r="F8" s="36">
        <v>179000</v>
      </c>
      <c r="G8" s="36">
        <v>12000</v>
      </c>
      <c r="H8" s="36">
        <v>98000</v>
      </c>
      <c r="I8" s="36">
        <v>51000</v>
      </c>
      <c r="J8" s="36">
        <v>125000</v>
      </c>
      <c r="K8" s="36"/>
      <c r="L8" s="36"/>
      <c r="M8" s="36"/>
      <c r="N8" s="36"/>
      <c r="O8" s="36">
        <v>11000</v>
      </c>
      <c r="P8" s="36"/>
      <c r="Q8" s="36"/>
      <c r="R8" s="36"/>
      <c r="S8" s="37"/>
      <c r="T8" s="37">
        <f t="shared" si="0"/>
        <v>1008000</v>
      </c>
    </row>
    <row r="9" spans="1:20">
      <c r="A9" s="35">
        <v>45995</v>
      </c>
      <c r="B9" s="36">
        <v>250000</v>
      </c>
      <c r="C9" s="36">
        <v>47000</v>
      </c>
      <c r="D9" s="36">
        <v>178000</v>
      </c>
      <c r="E9" s="36">
        <v>37000</v>
      </c>
      <c r="F9" s="36">
        <v>134000</v>
      </c>
      <c r="G9" s="36">
        <v>0</v>
      </c>
      <c r="H9" s="36">
        <v>148000</v>
      </c>
      <c r="I9" s="36">
        <v>93000</v>
      </c>
      <c r="J9" s="36">
        <v>0</v>
      </c>
      <c r="K9" s="36"/>
      <c r="L9" s="36"/>
      <c r="M9" s="36"/>
      <c r="N9" s="36"/>
      <c r="O9" s="36">
        <v>12000</v>
      </c>
      <c r="Q9" s="36"/>
      <c r="R9" s="36"/>
      <c r="S9" s="37"/>
      <c r="T9" s="37">
        <f t="shared" si="0"/>
        <v>899000</v>
      </c>
    </row>
    <row r="10" spans="1:20">
      <c r="A10" s="35">
        <v>45996</v>
      </c>
      <c r="B10" s="37">
        <v>168500</v>
      </c>
      <c r="C10" s="37">
        <v>217000</v>
      </c>
      <c r="D10" s="37">
        <v>100000</v>
      </c>
      <c r="E10" s="37">
        <v>0</v>
      </c>
      <c r="F10" s="37">
        <v>148000</v>
      </c>
      <c r="G10" s="37">
        <v>18000</v>
      </c>
      <c r="H10" s="37">
        <v>105000</v>
      </c>
      <c r="I10" s="37">
        <v>68500</v>
      </c>
      <c r="J10" s="37">
        <v>75000</v>
      </c>
      <c r="K10" s="37"/>
      <c r="L10" s="37"/>
      <c r="M10" s="37"/>
      <c r="N10" s="37"/>
      <c r="O10" s="37">
        <v>0</v>
      </c>
      <c r="P10" s="37"/>
      <c r="Q10" s="37"/>
      <c r="R10" s="37"/>
      <c r="S10" s="37"/>
      <c r="T10" s="37">
        <f t="shared" si="0"/>
        <v>900000</v>
      </c>
    </row>
    <row r="11" spans="1:20">
      <c r="A11" s="35">
        <v>46362</v>
      </c>
      <c r="B11" s="37">
        <v>249500</v>
      </c>
      <c r="C11" s="37">
        <v>112000</v>
      </c>
      <c r="D11" s="37">
        <v>139000</v>
      </c>
      <c r="E11" s="37">
        <v>16000</v>
      </c>
      <c r="F11" s="37">
        <v>183500</v>
      </c>
      <c r="G11" s="37">
        <v>0</v>
      </c>
      <c r="H11" s="37">
        <v>127000</v>
      </c>
      <c r="I11" s="37">
        <v>141000</v>
      </c>
      <c r="J11" s="37">
        <v>5000</v>
      </c>
      <c r="K11" s="37"/>
      <c r="L11" s="37"/>
      <c r="M11" s="37"/>
      <c r="N11" s="37"/>
      <c r="O11" s="37">
        <v>0</v>
      </c>
      <c r="P11" s="37"/>
      <c r="Q11" s="37"/>
      <c r="R11" s="37"/>
      <c r="S11" s="37"/>
      <c r="T11" s="37">
        <f t="shared" si="0"/>
        <v>973000</v>
      </c>
    </row>
    <row r="12" spans="1:20">
      <c r="A12" s="35">
        <v>46363</v>
      </c>
      <c r="B12" s="37">
        <v>140500</v>
      </c>
      <c r="C12" s="37">
        <v>238000</v>
      </c>
      <c r="D12" s="37">
        <v>87000</v>
      </c>
      <c r="E12" s="37">
        <v>4000</v>
      </c>
      <c r="F12" s="37">
        <v>102500</v>
      </c>
      <c r="G12" s="37">
        <v>0</v>
      </c>
      <c r="H12" s="37">
        <v>80500</v>
      </c>
      <c r="I12" s="37">
        <v>36500</v>
      </c>
      <c r="J12" s="37">
        <v>17000</v>
      </c>
      <c r="K12" s="37"/>
      <c r="L12" s="37"/>
      <c r="M12" s="37"/>
      <c r="N12" s="37"/>
      <c r="O12" s="37">
        <v>16000</v>
      </c>
      <c r="P12" s="37"/>
      <c r="Q12" s="37"/>
      <c r="R12" s="37"/>
      <c r="S12" s="37"/>
      <c r="T12" s="37">
        <f t="shared" si="0"/>
        <v>722000</v>
      </c>
    </row>
    <row r="13" spans="1:20">
      <c r="A13" s="35">
        <v>46364</v>
      </c>
      <c r="B13" s="37">
        <v>195000</v>
      </c>
      <c r="C13" s="37">
        <v>141000</v>
      </c>
      <c r="D13" s="37">
        <v>88000</v>
      </c>
      <c r="E13" s="37">
        <v>31000</v>
      </c>
      <c r="F13" s="37">
        <v>135000</v>
      </c>
      <c r="G13" s="37">
        <v>8000</v>
      </c>
      <c r="H13" s="37">
        <v>54000</v>
      </c>
      <c r="I13" s="37">
        <v>35000</v>
      </c>
      <c r="J13" s="37">
        <v>36000</v>
      </c>
      <c r="K13" s="37"/>
      <c r="L13" s="37"/>
      <c r="M13" s="37"/>
      <c r="N13" s="37"/>
      <c r="O13" s="37">
        <v>18000</v>
      </c>
      <c r="P13" s="37"/>
      <c r="Q13" s="37"/>
      <c r="R13" s="37"/>
      <c r="S13" s="37"/>
      <c r="T13" s="37">
        <f t="shared" si="0"/>
        <v>741000</v>
      </c>
    </row>
    <row r="14" spans="1:20">
      <c r="A14" s="35">
        <v>46365</v>
      </c>
      <c r="B14" s="37">
        <v>168000</v>
      </c>
      <c r="C14" s="37">
        <v>133000</v>
      </c>
      <c r="D14" s="37">
        <v>100500</v>
      </c>
      <c r="E14" s="37">
        <v>10000</v>
      </c>
      <c r="F14" s="37">
        <v>118500</v>
      </c>
      <c r="G14" s="37">
        <v>0</v>
      </c>
      <c r="H14" s="37">
        <v>89000</v>
      </c>
      <c r="I14" s="37">
        <v>76000</v>
      </c>
      <c r="J14" s="37">
        <v>36000</v>
      </c>
      <c r="K14" s="37"/>
      <c r="L14" s="37"/>
      <c r="M14" s="37"/>
      <c r="N14" s="37"/>
      <c r="O14" s="37">
        <v>4000</v>
      </c>
      <c r="P14" s="37"/>
      <c r="Q14" s="37"/>
      <c r="R14" s="37"/>
      <c r="S14" s="37"/>
      <c r="T14" s="37">
        <f t="shared" si="0"/>
        <v>735000</v>
      </c>
    </row>
    <row r="15" spans="1:20">
      <c r="A15" s="35">
        <v>46366</v>
      </c>
      <c r="B15" s="37">
        <v>113000</v>
      </c>
      <c r="C15" s="37">
        <v>48000</v>
      </c>
      <c r="D15" s="37">
        <v>53000</v>
      </c>
      <c r="E15" s="37">
        <v>2500</v>
      </c>
      <c r="F15" s="37">
        <v>44500</v>
      </c>
      <c r="G15" s="37">
        <v>0</v>
      </c>
      <c r="H15" s="37">
        <v>42000</v>
      </c>
      <c r="I15" s="37">
        <v>21000</v>
      </c>
      <c r="J15" s="37">
        <v>0</v>
      </c>
      <c r="K15" s="37"/>
      <c r="L15" s="37"/>
      <c r="M15" s="37"/>
      <c r="N15" s="37"/>
      <c r="O15" s="37">
        <v>0</v>
      </c>
      <c r="P15" s="37"/>
      <c r="Q15" s="37"/>
      <c r="R15" s="37"/>
      <c r="S15" s="37"/>
      <c r="T15" s="37">
        <f t="shared" si="0"/>
        <v>324000</v>
      </c>
    </row>
    <row r="16" spans="1:20">
      <c r="A16" s="35">
        <v>46367</v>
      </c>
      <c r="B16" s="37">
        <v>132000</v>
      </c>
      <c r="C16" s="37">
        <v>32000</v>
      </c>
      <c r="D16" s="37">
        <v>78500</v>
      </c>
      <c r="E16" s="37">
        <v>0</v>
      </c>
      <c r="F16" s="37">
        <v>151000</v>
      </c>
      <c r="G16" s="37"/>
      <c r="H16" s="37">
        <v>54000</v>
      </c>
      <c r="I16" s="37">
        <v>66500</v>
      </c>
      <c r="J16" s="37">
        <v>0</v>
      </c>
      <c r="K16" s="37"/>
      <c r="L16" s="37"/>
      <c r="M16" s="37"/>
      <c r="N16" s="37"/>
      <c r="O16" s="37">
        <v>0</v>
      </c>
      <c r="P16" s="37"/>
      <c r="Q16" s="37"/>
      <c r="R16" s="37"/>
      <c r="S16" s="37"/>
      <c r="T16" s="37">
        <f t="shared" si="0"/>
        <v>514000</v>
      </c>
    </row>
    <row r="17" spans="1:20">
      <c r="A17" s="35">
        <v>46368</v>
      </c>
      <c r="B17" s="37">
        <v>180500</v>
      </c>
      <c r="C17" s="37">
        <v>177000</v>
      </c>
      <c r="D17" s="37">
        <v>84000</v>
      </c>
      <c r="E17" s="37">
        <v>0</v>
      </c>
      <c r="F17" s="37">
        <v>129000</v>
      </c>
      <c r="G17" s="37">
        <v>18000</v>
      </c>
      <c r="H17" s="37">
        <v>69000</v>
      </c>
      <c r="I17" s="37">
        <v>58500</v>
      </c>
      <c r="J17" s="37">
        <v>0</v>
      </c>
      <c r="K17" s="37"/>
      <c r="L17" s="37"/>
      <c r="M17" s="37"/>
      <c r="N17" s="37"/>
      <c r="O17" s="37">
        <v>5000</v>
      </c>
      <c r="P17" s="37"/>
      <c r="Q17" s="37"/>
      <c r="R17" s="37"/>
      <c r="S17" s="37"/>
      <c r="T17" s="37">
        <f t="shared" si="0"/>
        <v>721000</v>
      </c>
    </row>
    <row r="18" spans="1:20">
      <c r="A18" s="35">
        <v>46369</v>
      </c>
      <c r="B18" s="37">
        <v>149000</v>
      </c>
      <c r="C18" s="37">
        <v>94000</v>
      </c>
      <c r="D18" s="37">
        <v>86500</v>
      </c>
      <c r="E18" s="37">
        <v>25000</v>
      </c>
      <c r="F18" s="37">
        <v>90500</v>
      </c>
      <c r="G18" s="37">
        <v>19000</v>
      </c>
      <c r="H18" s="37">
        <v>100500</v>
      </c>
      <c r="I18" s="37">
        <v>90000</v>
      </c>
      <c r="J18" s="37">
        <v>40500</v>
      </c>
      <c r="K18" s="37"/>
      <c r="L18" s="37"/>
      <c r="M18" s="37"/>
      <c r="N18" s="37"/>
      <c r="O18" s="37">
        <v>0</v>
      </c>
      <c r="P18" s="37"/>
      <c r="Q18" s="37"/>
      <c r="R18" s="37"/>
      <c r="S18" s="37"/>
      <c r="T18" s="37">
        <f t="shared" si="0"/>
        <v>695000</v>
      </c>
    </row>
    <row r="19" spans="1:20">
      <c r="A19" s="35">
        <v>46370</v>
      </c>
      <c r="B19" s="37">
        <v>114000</v>
      </c>
      <c r="C19" s="37">
        <v>13000</v>
      </c>
      <c r="D19" s="37">
        <v>81500</v>
      </c>
      <c r="E19" s="37">
        <v>12000</v>
      </c>
      <c r="F19" s="37">
        <v>123000</v>
      </c>
      <c r="G19" s="37">
        <v>12000</v>
      </c>
      <c r="H19" s="37">
        <v>71000</v>
      </c>
      <c r="I19" s="37">
        <v>47000</v>
      </c>
      <c r="J19" s="37">
        <v>6500</v>
      </c>
      <c r="K19" s="37"/>
      <c r="L19" s="37"/>
      <c r="M19" s="37"/>
      <c r="N19" s="37"/>
      <c r="O19" s="37">
        <v>0</v>
      </c>
      <c r="P19" s="37"/>
      <c r="Q19" s="37"/>
      <c r="R19" s="37"/>
      <c r="S19" s="37"/>
      <c r="T19" s="37">
        <f t="shared" si="0"/>
        <v>480000</v>
      </c>
    </row>
    <row r="20" spans="1:20">
      <c r="A20" s="35">
        <v>46371</v>
      </c>
      <c r="B20" s="37">
        <v>117500</v>
      </c>
      <c r="C20" s="37">
        <v>30000</v>
      </c>
      <c r="D20" s="37">
        <v>106500</v>
      </c>
      <c r="E20" s="37">
        <v>5000</v>
      </c>
      <c r="F20" s="37">
        <v>136600</v>
      </c>
      <c r="G20" s="37">
        <v>0</v>
      </c>
      <c r="H20" s="37">
        <v>70000</v>
      </c>
      <c r="I20" s="37">
        <v>60000</v>
      </c>
      <c r="J20" s="37">
        <v>18000</v>
      </c>
      <c r="K20" s="37"/>
      <c r="L20" s="37"/>
      <c r="M20" s="37"/>
      <c r="N20" s="37"/>
      <c r="O20" s="37">
        <v>18000</v>
      </c>
      <c r="P20" s="37"/>
      <c r="Q20" s="37"/>
      <c r="R20" s="37"/>
      <c r="S20" s="37"/>
      <c r="T20" s="37">
        <f t="shared" si="0"/>
        <v>561600</v>
      </c>
    </row>
    <row r="21" spans="1:20">
      <c r="A21" s="35">
        <v>46372</v>
      </c>
      <c r="B21" s="37">
        <v>143500</v>
      </c>
      <c r="C21" s="37">
        <v>125000</v>
      </c>
      <c r="D21" s="37">
        <v>69500</v>
      </c>
      <c r="E21" s="37">
        <v>11500</v>
      </c>
      <c r="F21" s="37">
        <v>133000</v>
      </c>
      <c r="G21" s="37">
        <v>0</v>
      </c>
      <c r="H21" s="37">
        <v>66000</v>
      </c>
      <c r="I21" s="37">
        <v>36500</v>
      </c>
      <c r="J21" s="37">
        <v>8000</v>
      </c>
      <c r="K21" s="37"/>
      <c r="L21" s="37"/>
      <c r="M21" s="37"/>
      <c r="N21" s="37"/>
      <c r="O21" s="37">
        <v>0</v>
      </c>
      <c r="P21" s="37"/>
      <c r="Q21" s="37"/>
      <c r="R21" s="37"/>
      <c r="S21" s="37"/>
      <c r="T21" s="37">
        <f t="shared" si="0"/>
        <v>593000</v>
      </c>
    </row>
    <row r="22" spans="1:20">
      <c r="A22" s="35">
        <v>46373</v>
      </c>
      <c r="B22" s="37">
        <v>119500</v>
      </c>
      <c r="C22" s="37">
        <v>49000</v>
      </c>
      <c r="D22" s="37">
        <v>101000</v>
      </c>
      <c r="E22" s="37">
        <v>11000</v>
      </c>
      <c r="F22" s="37">
        <v>79500</v>
      </c>
      <c r="G22" s="37">
        <v>0</v>
      </c>
      <c r="H22" s="37">
        <v>18000</v>
      </c>
      <c r="I22" s="37">
        <v>98000</v>
      </c>
      <c r="J22" s="37">
        <v>5000</v>
      </c>
      <c r="K22" s="37"/>
      <c r="L22" s="37"/>
      <c r="M22" s="37"/>
      <c r="N22" s="37"/>
      <c r="O22" s="37">
        <v>0</v>
      </c>
      <c r="P22" s="37"/>
      <c r="Q22" s="37"/>
      <c r="R22" s="37"/>
      <c r="S22" s="37"/>
      <c r="T22" s="37">
        <f t="shared" si="0"/>
        <v>481000</v>
      </c>
    </row>
    <row r="23" spans="1:20">
      <c r="A23" s="35">
        <v>46374</v>
      </c>
      <c r="B23" s="37">
        <v>137000</v>
      </c>
      <c r="C23" s="37">
        <v>96000</v>
      </c>
      <c r="D23" s="37">
        <v>109500</v>
      </c>
      <c r="E23" s="37">
        <v>4000</v>
      </c>
      <c r="F23" s="37">
        <v>111000</v>
      </c>
      <c r="G23" s="37">
        <v>12000</v>
      </c>
      <c r="H23" s="37">
        <v>95000</v>
      </c>
      <c r="I23" s="37">
        <v>48500</v>
      </c>
      <c r="J23" s="37">
        <v>9000</v>
      </c>
      <c r="K23" s="37"/>
      <c r="L23" s="37"/>
      <c r="M23" s="37"/>
      <c r="N23" s="37"/>
      <c r="O23" s="37">
        <v>0</v>
      </c>
      <c r="P23" s="37"/>
      <c r="Q23" s="37"/>
      <c r="R23" s="37"/>
      <c r="S23" s="37"/>
      <c r="T23" s="37">
        <f t="shared" si="0"/>
        <v>622000</v>
      </c>
    </row>
    <row r="24" spans="1:20">
      <c r="A24" s="35">
        <v>46010</v>
      </c>
      <c r="B24" s="37">
        <v>173500</v>
      </c>
      <c r="C24" s="37">
        <v>138000</v>
      </c>
      <c r="D24" s="37">
        <v>190000</v>
      </c>
      <c r="E24" s="37">
        <v>20500</v>
      </c>
      <c r="F24" s="37">
        <v>121000</v>
      </c>
      <c r="G24" s="37">
        <v>0</v>
      </c>
      <c r="H24" s="37">
        <v>145000</v>
      </c>
      <c r="I24" s="37">
        <v>12000</v>
      </c>
      <c r="J24" s="37">
        <v>20000</v>
      </c>
      <c r="K24" s="37"/>
      <c r="L24" s="37"/>
      <c r="M24" s="37"/>
      <c r="N24" s="37"/>
      <c r="O24" s="37">
        <v>0</v>
      </c>
      <c r="P24" s="37"/>
      <c r="Q24" s="37"/>
      <c r="R24" s="37"/>
      <c r="S24" s="37"/>
      <c r="T24" s="37">
        <f t="shared" si="0"/>
        <v>820000</v>
      </c>
    </row>
    <row r="25" spans="1:20">
      <c r="A25" s="35">
        <v>46376</v>
      </c>
      <c r="B25" s="37">
        <v>184000</v>
      </c>
      <c r="C25" s="37">
        <v>83000</v>
      </c>
      <c r="D25" s="37">
        <v>148000</v>
      </c>
      <c r="E25" s="37">
        <v>37000</v>
      </c>
      <c r="F25" s="37">
        <v>158000</v>
      </c>
      <c r="G25" s="37">
        <v>6000</v>
      </c>
      <c r="H25" s="37">
        <v>146000</v>
      </c>
      <c r="I25" s="37">
        <v>145000</v>
      </c>
      <c r="J25" s="37">
        <v>52000</v>
      </c>
      <c r="K25" s="37"/>
      <c r="L25" s="37"/>
      <c r="M25" s="37"/>
      <c r="N25" s="37"/>
      <c r="O25" s="37">
        <v>16000</v>
      </c>
      <c r="P25" s="37"/>
      <c r="Q25" s="37"/>
      <c r="R25" s="37"/>
      <c r="S25" s="37"/>
      <c r="T25" s="37">
        <f t="shared" si="0"/>
        <v>975000</v>
      </c>
    </row>
    <row r="26" spans="1:20">
      <c r="A26" s="35">
        <v>46377</v>
      </c>
      <c r="B26" s="37">
        <v>219000</v>
      </c>
      <c r="C26" s="37">
        <v>661000</v>
      </c>
      <c r="D26" s="37">
        <v>116400</v>
      </c>
      <c r="E26" s="37">
        <v>30000</v>
      </c>
      <c r="F26" s="37">
        <v>177000</v>
      </c>
      <c r="G26" s="37">
        <v>0</v>
      </c>
      <c r="H26" s="37">
        <v>150000</v>
      </c>
      <c r="I26" s="37">
        <v>46500</v>
      </c>
      <c r="J26" s="37">
        <v>33500</v>
      </c>
      <c r="K26" s="37"/>
      <c r="L26" s="37"/>
      <c r="M26" s="37"/>
      <c r="N26" s="37"/>
      <c r="O26" s="37">
        <v>0</v>
      </c>
      <c r="P26" s="37"/>
      <c r="Q26" s="37"/>
      <c r="R26" s="37"/>
      <c r="S26" s="37"/>
      <c r="T26" s="37">
        <f t="shared" si="0"/>
        <v>1433400</v>
      </c>
    </row>
    <row r="27" spans="1:20">
      <c r="A27" s="35">
        <v>46378</v>
      </c>
      <c r="B27" s="37">
        <v>218000</v>
      </c>
      <c r="C27" s="37">
        <v>268000</v>
      </c>
      <c r="D27" s="37">
        <v>88500</v>
      </c>
      <c r="E27" s="37">
        <v>19000</v>
      </c>
      <c r="F27" s="37">
        <v>119500</v>
      </c>
      <c r="G27" s="37">
        <v>58000</v>
      </c>
      <c r="H27" s="37">
        <v>51500</v>
      </c>
      <c r="I27" s="37">
        <v>54500</v>
      </c>
      <c r="J27" s="37">
        <v>25000</v>
      </c>
      <c r="K27" s="37"/>
      <c r="L27" s="37"/>
      <c r="M27" s="37"/>
      <c r="N27" s="37"/>
      <c r="O27" s="31">
        <v>5000</v>
      </c>
      <c r="P27" s="37"/>
      <c r="Q27" s="37"/>
      <c r="R27" s="37"/>
      <c r="S27" s="37"/>
      <c r="T27" s="37">
        <f>SUM(B27:S27)</f>
        <v>907000</v>
      </c>
    </row>
    <row r="28" spans="1:20">
      <c r="A28" s="35">
        <v>46014</v>
      </c>
      <c r="B28" s="37">
        <v>366000</v>
      </c>
      <c r="C28" s="37">
        <v>317000</v>
      </c>
      <c r="D28" s="37">
        <v>175000</v>
      </c>
      <c r="E28" s="37">
        <v>0</v>
      </c>
      <c r="F28" s="37">
        <v>224000</v>
      </c>
      <c r="G28" s="37">
        <v>0</v>
      </c>
      <c r="H28" s="37">
        <v>222000</v>
      </c>
      <c r="I28" s="37">
        <v>115000</v>
      </c>
      <c r="J28" s="37">
        <v>75000</v>
      </c>
      <c r="K28" s="37"/>
      <c r="L28" s="37"/>
      <c r="M28" s="37"/>
      <c r="N28" s="37"/>
      <c r="O28" s="37">
        <v>0</v>
      </c>
      <c r="P28" s="37"/>
      <c r="Q28" s="37"/>
      <c r="R28" s="37"/>
      <c r="S28" s="37"/>
      <c r="T28" s="37">
        <f t="shared" si="0"/>
        <v>1494000</v>
      </c>
    </row>
    <row r="29" spans="1:20">
      <c r="A29" s="35">
        <v>46380</v>
      </c>
      <c r="B29" s="37">
        <v>221000</v>
      </c>
      <c r="C29" s="37">
        <v>877000</v>
      </c>
      <c r="D29" s="37">
        <v>276500</v>
      </c>
      <c r="E29" s="37">
        <v>22500</v>
      </c>
      <c r="F29" s="37">
        <v>238000</v>
      </c>
      <c r="G29" s="37">
        <v>12000</v>
      </c>
      <c r="H29" s="37">
        <v>312500</v>
      </c>
      <c r="I29" s="37">
        <v>182000</v>
      </c>
      <c r="J29" s="37">
        <v>41000</v>
      </c>
      <c r="K29" s="37"/>
      <c r="L29" s="37"/>
      <c r="M29" s="37"/>
      <c r="N29" s="37"/>
      <c r="O29" s="37">
        <v>16000</v>
      </c>
      <c r="P29" s="37"/>
      <c r="Q29" s="37"/>
      <c r="R29" s="37"/>
      <c r="S29" s="37"/>
      <c r="T29" s="37">
        <f t="shared" si="0"/>
        <v>2198500</v>
      </c>
    </row>
    <row r="30" spans="1:20">
      <c r="A30" s="35">
        <v>46381</v>
      </c>
      <c r="B30" s="37">
        <v>116000</v>
      </c>
      <c r="C30" s="37">
        <v>59000</v>
      </c>
      <c r="D30" s="37">
        <v>89500</v>
      </c>
      <c r="E30" s="37">
        <v>11500</v>
      </c>
      <c r="F30" s="37">
        <v>141000</v>
      </c>
      <c r="G30" s="37">
        <v>24000</v>
      </c>
      <c r="H30" s="37">
        <v>90000</v>
      </c>
      <c r="I30" s="37">
        <v>51000</v>
      </c>
      <c r="J30" s="37">
        <v>4000</v>
      </c>
      <c r="K30" s="37"/>
      <c r="L30" s="37"/>
      <c r="M30" s="37"/>
      <c r="N30" s="37"/>
      <c r="O30" s="37">
        <v>0</v>
      </c>
      <c r="P30" s="37"/>
      <c r="Q30" s="37"/>
      <c r="R30" s="37"/>
      <c r="S30" s="37"/>
      <c r="T30" s="37">
        <f t="shared" si="0"/>
        <v>586000</v>
      </c>
    </row>
    <row r="31" spans="1:20">
      <c r="A31" s="35">
        <v>46382</v>
      </c>
      <c r="B31" s="31">
        <v>140500</v>
      </c>
      <c r="C31" s="31">
        <v>47000</v>
      </c>
      <c r="D31" s="31">
        <v>109000</v>
      </c>
      <c r="E31" s="31">
        <v>11000</v>
      </c>
      <c r="F31" s="31">
        <v>151000</v>
      </c>
      <c r="G31" s="31">
        <v>6000</v>
      </c>
      <c r="H31" s="31">
        <v>135000</v>
      </c>
      <c r="I31" s="31">
        <v>57500</v>
      </c>
      <c r="J31" s="31">
        <v>4000</v>
      </c>
      <c r="K31" s="31"/>
      <c r="L31" s="31"/>
      <c r="M31" s="31"/>
      <c r="N31" s="31"/>
      <c r="O31" s="31"/>
      <c r="P31" s="31"/>
      <c r="Q31" s="31"/>
      <c r="R31" s="31"/>
      <c r="S31" s="31"/>
      <c r="T31" s="37">
        <f t="shared" si="0"/>
        <v>661000</v>
      </c>
    </row>
    <row r="32" spans="1:20">
      <c r="A32" s="35">
        <v>46383</v>
      </c>
      <c r="B32" s="31">
        <v>202000</v>
      </c>
      <c r="C32" s="31">
        <v>124000</v>
      </c>
      <c r="D32" s="31">
        <v>175500</v>
      </c>
      <c r="E32" s="31">
        <v>11000</v>
      </c>
      <c r="F32" s="31">
        <v>182000</v>
      </c>
      <c r="G32" s="31">
        <v>12000</v>
      </c>
      <c r="H32" s="31">
        <v>118000</v>
      </c>
      <c r="I32" s="31">
        <v>112500</v>
      </c>
      <c r="J32" s="31">
        <v>6000</v>
      </c>
      <c r="K32" s="31"/>
      <c r="L32" s="31"/>
      <c r="M32" s="31"/>
      <c r="N32" s="31"/>
      <c r="O32" s="31">
        <v>0</v>
      </c>
      <c r="P32" s="31"/>
      <c r="Q32" s="31"/>
      <c r="R32" s="31"/>
      <c r="S32" s="31"/>
      <c r="T32" s="37">
        <f t="shared" si="0"/>
        <v>943000</v>
      </c>
    </row>
    <row r="33" spans="1:20">
      <c r="A33" s="35">
        <v>46384</v>
      </c>
      <c r="B33" s="31">
        <v>207000</v>
      </c>
      <c r="C33" s="31">
        <v>230000</v>
      </c>
      <c r="D33" s="31">
        <v>135000</v>
      </c>
      <c r="E33" s="31">
        <v>36500</v>
      </c>
      <c r="F33" s="31">
        <v>194500</v>
      </c>
      <c r="G33" s="31">
        <v>0</v>
      </c>
      <c r="H33" s="31">
        <v>136000</v>
      </c>
      <c r="I33" s="31">
        <v>57000</v>
      </c>
      <c r="J33" s="31">
        <v>6000</v>
      </c>
      <c r="K33" s="31"/>
      <c r="L33" s="31"/>
      <c r="M33" s="31"/>
      <c r="N33" s="31"/>
      <c r="O33" s="31"/>
      <c r="P33" s="31"/>
      <c r="Q33" s="31"/>
      <c r="R33" s="31"/>
      <c r="S33" s="31"/>
      <c r="T33" s="37">
        <f t="shared" si="0"/>
        <v>1002000</v>
      </c>
    </row>
    <row r="34" spans="1:20">
      <c r="A34" s="35">
        <v>46385</v>
      </c>
      <c r="B34" s="31">
        <v>174500</v>
      </c>
      <c r="C34" s="31">
        <v>179000</v>
      </c>
      <c r="D34" s="31">
        <v>107000</v>
      </c>
      <c r="E34" s="31">
        <v>37600</v>
      </c>
      <c r="F34" s="31">
        <v>107500</v>
      </c>
      <c r="G34" s="31">
        <v>24000</v>
      </c>
      <c r="H34" s="31">
        <v>79000</v>
      </c>
      <c r="I34" s="31">
        <v>60500</v>
      </c>
      <c r="J34" s="31">
        <v>13500</v>
      </c>
      <c r="K34" s="31"/>
      <c r="L34" s="31"/>
      <c r="M34" s="31"/>
      <c r="N34" s="31"/>
      <c r="O34" s="46">
        <v>5000</v>
      </c>
      <c r="P34" s="31"/>
      <c r="Q34" s="31"/>
      <c r="R34" s="31"/>
      <c r="S34" s="31"/>
      <c r="T34" s="31">
        <f>SUM(B34:S34)</f>
        <v>787600</v>
      </c>
    </row>
    <row r="35" spans="1:20">
      <c r="A35" s="35">
        <v>46386</v>
      </c>
      <c r="B35" s="31">
        <v>134500</v>
      </c>
      <c r="C35" s="31">
        <v>149000</v>
      </c>
      <c r="D35" s="31">
        <v>115000</v>
      </c>
      <c r="E35" s="31">
        <v>43000</v>
      </c>
      <c r="F35" s="31">
        <v>146500</v>
      </c>
      <c r="G35" s="31">
        <v>30000</v>
      </c>
      <c r="H35" s="31">
        <v>97000</v>
      </c>
      <c r="I35" s="31">
        <v>81000</v>
      </c>
      <c r="J35" s="31">
        <v>4000</v>
      </c>
      <c r="K35" s="31"/>
      <c r="L35" s="31"/>
      <c r="M35" s="31"/>
      <c r="N35" s="31"/>
      <c r="O35" s="31">
        <v>7000</v>
      </c>
      <c r="P35" s="31"/>
      <c r="Q35" s="31"/>
      <c r="R35" s="31"/>
      <c r="S35" s="31"/>
      <c r="T35" s="31">
        <v>814000</v>
      </c>
    </row>
    <row r="36" spans="1:20">
      <c r="A36" s="35">
        <v>46387</v>
      </c>
      <c r="B36" s="31">
        <v>459000</v>
      </c>
      <c r="C36" s="31">
        <v>145000</v>
      </c>
      <c r="D36" s="31">
        <v>97000</v>
      </c>
      <c r="E36" s="31">
        <v>32000</v>
      </c>
      <c r="F36" s="31">
        <v>126500</v>
      </c>
      <c r="G36" s="31">
        <v>0</v>
      </c>
      <c r="H36" s="31">
        <v>77000</v>
      </c>
      <c r="I36" s="31">
        <v>38500</v>
      </c>
      <c r="J36" s="31">
        <v>11000</v>
      </c>
      <c r="K36" s="31"/>
      <c r="L36" s="31"/>
      <c r="M36" s="31"/>
      <c r="N36" s="31"/>
      <c r="O36" s="31">
        <v>17000</v>
      </c>
      <c r="P36" s="31"/>
      <c r="Q36" s="31"/>
      <c r="R36" s="31"/>
      <c r="S36" s="31"/>
      <c r="T36" s="31">
        <v>1003000</v>
      </c>
    </row>
    <row r="37" spans="1:20">
      <c r="A37" s="40" t="s">
        <v>23</v>
      </c>
      <c r="B37" s="41">
        <f t="shared" ref="B37:J37" si="1">SUM(B6:B36)</f>
        <v>5815000</v>
      </c>
      <c r="C37" s="41">
        <f t="shared" si="1"/>
        <v>5177000</v>
      </c>
      <c r="D37" s="41">
        <f t="shared" si="1"/>
        <v>3671900</v>
      </c>
      <c r="E37" s="41">
        <f t="shared" si="1"/>
        <v>572100</v>
      </c>
      <c r="F37" s="41">
        <f t="shared" si="1"/>
        <v>4364600</v>
      </c>
      <c r="G37" s="41">
        <f t="shared" si="1"/>
        <v>283000</v>
      </c>
      <c r="H37" s="41">
        <f t="shared" si="1"/>
        <v>3214000</v>
      </c>
      <c r="I37" s="41">
        <f t="shared" si="1"/>
        <v>2176500</v>
      </c>
      <c r="J37" s="41">
        <f t="shared" si="1"/>
        <v>687000</v>
      </c>
      <c r="K37" s="31"/>
      <c r="L37" s="31"/>
      <c r="M37" s="31"/>
      <c r="N37" s="31"/>
      <c r="O37" s="31">
        <v>216000</v>
      </c>
      <c r="P37" s="31"/>
      <c r="Q37" s="31"/>
      <c r="R37" s="31">
        <f>SUM(R6:R36)</f>
        <v>0</v>
      </c>
      <c r="S37" s="31"/>
      <c r="T37" s="31">
        <v>26221600</v>
      </c>
    </row>
  </sheetData>
  <mergeCells count="4">
    <mergeCell ref="B1:T1"/>
    <mergeCell ref="B2:T2"/>
    <mergeCell ref="C3:F3"/>
    <mergeCell ref="C4:F4"/>
  </mergeCell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I20"/>
  <sheetViews>
    <sheetView workbookViewId="0">
      <selection activeCell="I10" sqref="I10"/>
    </sheetView>
  </sheetViews>
  <sheetFormatPr defaultRowHeight="15"/>
  <cols>
    <col min="1" max="1" width="18.140625" customWidth="1"/>
    <col min="2" max="2" width="15.85546875" customWidth="1"/>
    <col min="3" max="3" width="15" customWidth="1"/>
    <col min="4" max="4" width="12.85546875" customWidth="1"/>
    <col min="5" max="5" width="13.42578125" customWidth="1"/>
    <col min="6" max="6" width="12.42578125" customWidth="1"/>
    <col min="7" max="7" width="15.85546875" customWidth="1"/>
  </cols>
  <sheetData>
    <row r="1" spans="1:9" ht="16.5" thickBot="1">
      <c r="A1" s="6" t="s">
        <v>24</v>
      </c>
      <c r="B1" s="70" t="s">
        <v>133</v>
      </c>
      <c r="C1" s="71"/>
      <c r="D1" s="72"/>
      <c r="E1" s="11"/>
      <c r="F1" s="11"/>
      <c r="G1" s="12"/>
    </row>
    <row r="2" spans="1:9" ht="15.75">
      <c r="A2" s="13" t="s">
        <v>25</v>
      </c>
      <c r="B2" s="14" t="s">
        <v>26</v>
      </c>
      <c r="C2" s="14" t="s">
        <v>27</v>
      </c>
      <c r="D2" s="14" t="s">
        <v>129</v>
      </c>
      <c r="E2" s="14" t="s">
        <v>29</v>
      </c>
      <c r="F2" s="15" t="s">
        <v>30</v>
      </c>
      <c r="G2" s="16" t="s">
        <v>31</v>
      </c>
    </row>
    <row r="3" spans="1:9" ht="15.75">
      <c r="A3" s="17" t="s">
        <v>4</v>
      </c>
      <c r="B3" s="18">
        <v>1294100</v>
      </c>
      <c r="C3" s="18">
        <v>1605600</v>
      </c>
      <c r="D3" s="18">
        <v>957100</v>
      </c>
      <c r="E3" s="18">
        <v>1333600</v>
      </c>
      <c r="F3" s="19">
        <v>631100</v>
      </c>
      <c r="G3" s="20">
        <f t="shared" ref="G3:G11" si="0">SUM(B3:F3)</f>
        <v>5821500</v>
      </c>
    </row>
    <row r="4" spans="1:9" ht="15.75">
      <c r="A4" s="17" t="s">
        <v>5</v>
      </c>
      <c r="B4" s="18">
        <v>962000</v>
      </c>
      <c r="C4" s="18">
        <v>638000</v>
      </c>
      <c r="D4" s="18">
        <v>1126000</v>
      </c>
      <c r="E4" s="18">
        <v>1922000</v>
      </c>
      <c r="F4" s="19">
        <v>473000</v>
      </c>
      <c r="G4" s="20">
        <f t="shared" si="0"/>
        <v>5121000</v>
      </c>
    </row>
    <row r="5" spans="1:9" ht="15.75">
      <c r="A5" s="17" t="s">
        <v>32</v>
      </c>
      <c r="B5" s="18">
        <v>891000</v>
      </c>
      <c r="C5" s="18">
        <v>733000</v>
      </c>
      <c r="D5" s="18">
        <v>904000</v>
      </c>
      <c r="E5" s="18">
        <v>1049000</v>
      </c>
      <c r="F5" s="19">
        <v>319000</v>
      </c>
      <c r="G5" s="20">
        <f t="shared" si="0"/>
        <v>3896000</v>
      </c>
    </row>
    <row r="6" spans="1:9" ht="15.75">
      <c r="A6" s="17" t="s">
        <v>33</v>
      </c>
      <c r="B6" s="18">
        <v>148500</v>
      </c>
      <c r="C6" s="18">
        <v>59500</v>
      </c>
      <c r="D6" s="18">
        <v>98000</v>
      </c>
      <c r="E6" s="18">
        <v>111500</v>
      </c>
      <c r="F6" s="19">
        <v>112000</v>
      </c>
      <c r="G6" s="20">
        <f t="shared" si="0"/>
        <v>529500</v>
      </c>
      <c r="I6" t="s">
        <v>131</v>
      </c>
    </row>
    <row r="7" spans="1:9" ht="15.75">
      <c r="A7" s="17" t="s">
        <v>8</v>
      </c>
      <c r="B7" s="18">
        <v>1026500</v>
      </c>
      <c r="C7" s="18">
        <v>791500</v>
      </c>
      <c r="D7" s="18">
        <v>908600</v>
      </c>
      <c r="E7" s="18">
        <v>1210000</v>
      </c>
      <c r="F7" s="19">
        <v>380500</v>
      </c>
      <c r="G7" s="20">
        <f t="shared" si="0"/>
        <v>4317100</v>
      </c>
    </row>
    <row r="8" spans="1:9" ht="15.75">
      <c r="A8" s="17" t="s">
        <v>9</v>
      </c>
      <c r="B8" s="18">
        <v>42000</v>
      </c>
      <c r="C8" s="18">
        <v>48000</v>
      </c>
      <c r="D8" s="18">
        <v>18000</v>
      </c>
      <c r="E8" s="18">
        <v>54000</v>
      </c>
      <c r="F8" s="19">
        <v>54000</v>
      </c>
      <c r="G8" s="20">
        <f t="shared" si="0"/>
        <v>216000</v>
      </c>
    </row>
    <row r="9" spans="1:9" ht="15.75">
      <c r="A9" s="17" t="s">
        <v>10</v>
      </c>
      <c r="B9" s="18">
        <v>718500</v>
      </c>
      <c r="C9" s="18">
        <v>479500</v>
      </c>
      <c r="D9" s="18">
        <v>720000</v>
      </c>
      <c r="E9" s="18">
        <v>1065000</v>
      </c>
      <c r="F9" s="19">
        <v>253000</v>
      </c>
      <c r="G9" s="20">
        <f t="shared" si="0"/>
        <v>3236000</v>
      </c>
    </row>
    <row r="10" spans="1:9" ht="15.75">
      <c r="A10" s="17" t="s">
        <v>11</v>
      </c>
      <c r="B10" s="18">
        <v>526500</v>
      </c>
      <c r="C10" s="18">
        <v>399000</v>
      </c>
      <c r="D10" s="18">
        <v>436500</v>
      </c>
      <c r="E10" s="18">
        <v>629500</v>
      </c>
      <c r="F10" s="19">
        <v>180000</v>
      </c>
      <c r="G10" s="20">
        <f t="shared" si="0"/>
        <v>2171500</v>
      </c>
    </row>
    <row r="11" spans="1:9" ht="15.75">
      <c r="A11" s="17" t="s">
        <v>12</v>
      </c>
      <c r="B11" s="18">
        <v>233000</v>
      </c>
      <c r="C11" s="18">
        <v>119000</v>
      </c>
      <c r="D11" s="18">
        <v>155500</v>
      </c>
      <c r="E11" s="18">
        <v>161000</v>
      </c>
      <c r="F11" s="19">
        <v>28500</v>
      </c>
      <c r="G11" s="20">
        <f t="shared" si="0"/>
        <v>697000</v>
      </c>
    </row>
    <row r="12" spans="1:9" ht="15.75">
      <c r="A12" s="17" t="s">
        <v>13</v>
      </c>
      <c r="B12" s="18"/>
      <c r="C12" s="18"/>
      <c r="D12" s="18"/>
      <c r="E12" s="18"/>
      <c r="F12" s="19"/>
      <c r="G12" s="20"/>
    </row>
    <row r="13" spans="1:9" ht="15.75">
      <c r="A13" s="17" t="s">
        <v>14</v>
      </c>
      <c r="B13" s="18"/>
      <c r="C13" s="18"/>
      <c r="D13" s="18"/>
      <c r="E13" s="18"/>
      <c r="F13" s="19"/>
      <c r="G13" s="20"/>
    </row>
    <row r="14" spans="1:9" ht="15.75">
      <c r="A14" s="17" t="s">
        <v>15</v>
      </c>
      <c r="B14" s="18"/>
      <c r="C14" s="18"/>
      <c r="D14" s="18"/>
      <c r="E14" s="18"/>
      <c r="F14" s="19"/>
      <c r="G14" s="20"/>
    </row>
    <row r="15" spans="1:9" ht="15.75">
      <c r="A15" s="17" t="s">
        <v>16</v>
      </c>
      <c r="B15" s="18"/>
      <c r="C15" s="18"/>
      <c r="D15" s="18"/>
      <c r="E15" s="18"/>
      <c r="F15" s="19"/>
      <c r="G15" s="20"/>
    </row>
    <row r="16" spans="1:9" ht="15.75">
      <c r="A16" s="17" t="s">
        <v>17</v>
      </c>
      <c r="B16" s="18">
        <v>50000</v>
      </c>
      <c r="C16" s="18">
        <v>27000</v>
      </c>
      <c r="D16" s="18">
        <v>34000</v>
      </c>
      <c r="E16" s="18">
        <v>21000</v>
      </c>
      <c r="F16" s="19">
        <v>84000</v>
      </c>
      <c r="G16" s="20">
        <v>216000</v>
      </c>
    </row>
    <row r="17" spans="1:7" ht="15.75">
      <c r="A17" s="17" t="s">
        <v>18</v>
      </c>
      <c r="B17" s="18"/>
      <c r="C17" s="18"/>
      <c r="D17" s="18"/>
      <c r="E17" s="18"/>
      <c r="F17" s="19"/>
      <c r="G17" s="20"/>
    </row>
    <row r="18" spans="1:7" ht="15.75">
      <c r="A18" s="17" t="s">
        <v>19</v>
      </c>
      <c r="B18" s="18"/>
      <c r="C18" s="18"/>
      <c r="D18" s="18"/>
      <c r="E18" s="18"/>
      <c r="F18" s="19"/>
      <c r="G18" s="20"/>
    </row>
    <row r="19" spans="1:7" ht="15.75">
      <c r="A19" s="17" t="s">
        <v>34</v>
      </c>
      <c r="B19" s="18"/>
      <c r="C19" s="18"/>
      <c r="D19" s="18"/>
      <c r="E19" s="18"/>
      <c r="F19" s="19"/>
      <c r="G19" s="20"/>
    </row>
    <row r="20" spans="1:7" ht="16.5" thickBot="1">
      <c r="A20" s="21" t="s">
        <v>35</v>
      </c>
      <c r="B20" s="22">
        <v>5892100</v>
      </c>
      <c r="C20" s="22">
        <f>SUM(C3:C19)</f>
        <v>4900100</v>
      </c>
      <c r="D20" s="22">
        <f>SUM(D3:D19)</f>
        <v>5357700</v>
      </c>
      <c r="E20" s="22">
        <f>SUM(E3:E19)</f>
        <v>7556600</v>
      </c>
      <c r="F20" s="22">
        <f>SUM(F3:F19)</f>
        <v>2515100</v>
      </c>
      <c r="G20" s="23">
        <v>26221600</v>
      </c>
    </row>
  </sheetData>
  <mergeCells count="1">
    <mergeCell ref="B1:D1"/>
  </mergeCells>
  <pageMargins left="0.7" right="0.7" top="0.75" bottom="0.75" header="0.3" footer="0.3"/>
  <pageSetup orientation="portrait" horizontalDpi="0" verticalDpi="0"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T38"/>
  <sheetViews>
    <sheetView workbookViewId="0">
      <selection activeCell="S37" sqref="S37"/>
    </sheetView>
  </sheetViews>
  <sheetFormatPr defaultRowHeight="15"/>
  <cols>
    <col min="1" max="1" width="12.7109375" customWidth="1"/>
    <col min="2" max="2" width="11.140625" customWidth="1"/>
    <col min="3" max="3" width="11" customWidth="1"/>
    <col min="4" max="4" width="11.140625" customWidth="1"/>
    <col min="5" max="5" width="11" customWidth="1"/>
    <col min="6" max="6" width="11.85546875" customWidth="1"/>
    <col min="7" max="7" width="11.140625" customWidth="1"/>
    <col min="8" max="8" width="11.5703125" customWidth="1"/>
    <col min="9" max="9" width="11.7109375" customWidth="1"/>
    <col min="10" max="10" width="11.85546875" customWidth="1"/>
    <col min="20" max="20" width="12" customWidth="1"/>
  </cols>
  <sheetData>
    <row r="1" spans="1:20" ht="26.25">
      <c r="A1" s="28"/>
      <c r="B1" s="55" t="s">
        <v>68</v>
      </c>
      <c r="C1" s="56"/>
      <c r="D1" s="56"/>
      <c r="E1" s="56"/>
      <c r="F1" s="56"/>
      <c r="G1" s="56"/>
      <c r="H1" s="56"/>
      <c r="I1" s="56"/>
      <c r="J1" s="56"/>
      <c r="K1" s="56"/>
      <c r="L1" s="56"/>
      <c r="M1" s="56"/>
      <c r="N1" s="56"/>
      <c r="O1" s="56"/>
      <c r="P1" s="56"/>
      <c r="Q1" s="56"/>
      <c r="R1" s="56"/>
      <c r="S1" s="56"/>
      <c r="T1" s="57"/>
    </row>
    <row r="2" spans="1:20" ht="27" thickBot="1">
      <c r="A2" s="4"/>
      <c r="B2" s="58" t="s">
        <v>0</v>
      </c>
      <c r="C2" s="59"/>
      <c r="D2" s="59"/>
      <c r="E2" s="59"/>
      <c r="F2" s="59"/>
      <c r="G2" s="59"/>
      <c r="H2" s="59"/>
      <c r="I2" s="59"/>
      <c r="J2" s="59"/>
      <c r="K2" s="59"/>
      <c r="L2" s="59"/>
      <c r="M2" s="59"/>
      <c r="N2" s="59"/>
      <c r="O2" s="59"/>
      <c r="P2" s="59"/>
      <c r="Q2" s="59"/>
      <c r="R2" s="59"/>
      <c r="S2" s="59"/>
      <c r="T2" s="60"/>
    </row>
    <row r="3" spans="1:20" ht="27" thickBot="1">
      <c r="A3" s="4"/>
      <c r="B3" s="29" t="s">
        <v>1</v>
      </c>
      <c r="C3" s="61" t="s">
        <v>69</v>
      </c>
      <c r="D3" s="62"/>
      <c r="E3" s="62"/>
      <c r="F3" s="63"/>
      <c r="G3" s="50" t="s">
        <v>132</v>
      </c>
      <c r="N3" s="51">
        <v>46023</v>
      </c>
    </row>
    <row r="4" spans="1:20" ht="21">
      <c r="A4" s="4"/>
      <c r="B4" s="30" t="s">
        <v>2</v>
      </c>
      <c r="C4" s="64"/>
      <c r="D4" s="65"/>
      <c r="E4" s="65"/>
      <c r="F4" s="66"/>
    </row>
    <row r="5" spans="1:20" ht="67.5">
      <c r="A5" s="32" t="s">
        <v>3</v>
      </c>
      <c r="B5" s="33" t="s">
        <v>4</v>
      </c>
      <c r="C5" s="33" t="s">
        <v>5</v>
      </c>
      <c r="D5" s="33" t="s">
        <v>6</v>
      </c>
      <c r="E5" s="33" t="s">
        <v>7</v>
      </c>
      <c r="F5" s="33" t="s">
        <v>8</v>
      </c>
      <c r="G5" s="33" t="s">
        <v>9</v>
      </c>
      <c r="H5" s="33" t="s">
        <v>10</v>
      </c>
      <c r="I5" s="33" t="s">
        <v>11</v>
      </c>
      <c r="J5" s="33" t="s">
        <v>12</v>
      </c>
      <c r="K5" s="33" t="s">
        <v>13</v>
      </c>
      <c r="L5" s="33" t="s">
        <v>14</v>
      </c>
      <c r="M5" s="33" t="s">
        <v>15</v>
      </c>
      <c r="N5" s="33" t="s">
        <v>16</v>
      </c>
      <c r="O5" s="33" t="s">
        <v>17</v>
      </c>
      <c r="P5" s="33" t="s">
        <v>18</v>
      </c>
      <c r="Q5" s="33" t="s">
        <v>19</v>
      </c>
      <c r="R5" s="33" t="s">
        <v>20</v>
      </c>
      <c r="S5" s="33" t="s">
        <v>21</v>
      </c>
      <c r="T5" s="33" t="s">
        <v>22</v>
      </c>
    </row>
    <row r="6" spans="1:20">
      <c r="A6" s="35">
        <v>46023</v>
      </c>
      <c r="B6" s="36">
        <v>170300</v>
      </c>
      <c r="C6" s="36">
        <v>173000</v>
      </c>
      <c r="D6" s="36">
        <v>136000</v>
      </c>
      <c r="E6" s="36">
        <v>0</v>
      </c>
      <c r="F6" s="36">
        <v>83500</v>
      </c>
      <c r="G6" s="36">
        <v>6000</v>
      </c>
      <c r="H6" s="36">
        <v>77000</v>
      </c>
      <c r="I6" s="36">
        <v>6000</v>
      </c>
      <c r="J6" s="36">
        <v>9000</v>
      </c>
      <c r="K6" s="36">
        <v>0</v>
      </c>
      <c r="L6" s="36">
        <v>0</v>
      </c>
      <c r="M6" s="36"/>
      <c r="N6" s="36"/>
      <c r="O6" s="36">
        <v>9000</v>
      </c>
      <c r="P6" s="36"/>
      <c r="Q6" s="36"/>
      <c r="R6" s="36"/>
      <c r="S6" s="37"/>
      <c r="T6" s="37">
        <f t="shared" ref="T6:T33" si="0">SUM(B6:S6)</f>
        <v>669800</v>
      </c>
    </row>
    <row r="7" spans="1:20">
      <c r="A7" s="35">
        <v>9499</v>
      </c>
      <c r="B7" s="36">
        <v>201500</v>
      </c>
      <c r="C7" s="36">
        <v>90000</v>
      </c>
      <c r="D7" s="36">
        <v>97500</v>
      </c>
      <c r="E7" s="36">
        <v>9000</v>
      </c>
      <c r="F7" s="36">
        <v>99000</v>
      </c>
      <c r="G7" s="36">
        <v>0</v>
      </c>
      <c r="H7" s="36">
        <v>45000</v>
      </c>
      <c r="I7" s="36">
        <v>12000</v>
      </c>
      <c r="J7" s="36">
        <v>22000</v>
      </c>
      <c r="K7" s="36"/>
      <c r="L7" s="36"/>
      <c r="M7" s="36"/>
      <c r="N7" s="36"/>
      <c r="O7" s="36">
        <v>0</v>
      </c>
      <c r="P7" s="36"/>
      <c r="Q7" s="36"/>
      <c r="R7" s="36"/>
      <c r="S7" s="37"/>
      <c r="T7" s="37">
        <f t="shared" si="0"/>
        <v>576000</v>
      </c>
    </row>
    <row r="8" spans="1:20">
      <c r="A8" s="35">
        <v>9500</v>
      </c>
      <c r="B8" s="36">
        <v>153000</v>
      </c>
      <c r="C8" s="36">
        <v>196000</v>
      </c>
      <c r="D8" s="36">
        <v>166000</v>
      </c>
      <c r="E8" s="36">
        <v>48000</v>
      </c>
      <c r="F8" s="36">
        <v>199000</v>
      </c>
      <c r="G8" s="36">
        <v>0</v>
      </c>
      <c r="H8" s="36">
        <v>150000</v>
      </c>
      <c r="I8" s="36">
        <v>60000</v>
      </c>
      <c r="J8" s="36">
        <v>5000</v>
      </c>
      <c r="K8" s="36"/>
      <c r="L8" s="36"/>
      <c r="M8" s="36"/>
      <c r="N8" s="36"/>
      <c r="O8" s="36">
        <v>10000</v>
      </c>
      <c r="P8" s="36"/>
      <c r="Q8" s="36"/>
      <c r="R8" s="36"/>
      <c r="S8" s="37"/>
      <c r="T8" s="37">
        <v>977200</v>
      </c>
    </row>
    <row r="9" spans="1:20">
      <c r="A9" s="35">
        <v>9501</v>
      </c>
      <c r="B9" s="36">
        <v>184000</v>
      </c>
      <c r="C9" s="36">
        <v>109500</v>
      </c>
      <c r="D9" s="36">
        <v>64000</v>
      </c>
      <c r="E9" s="36">
        <v>37500</v>
      </c>
      <c r="F9" s="36">
        <v>55000</v>
      </c>
      <c r="G9" s="36">
        <v>0</v>
      </c>
      <c r="H9" s="36">
        <v>131000</v>
      </c>
      <c r="I9" s="36">
        <v>8000</v>
      </c>
      <c r="J9" s="36">
        <v>10000</v>
      </c>
      <c r="K9" s="36"/>
      <c r="L9" s="36"/>
      <c r="M9" s="36"/>
      <c r="N9" s="36"/>
      <c r="O9" s="36"/>
      <c r="Q9" s="36"/>
      <c r="R9" s="36"/>
      <c r="S9" s="37"/>
      <c r="T9" s="37">
        <f t="shared" si="0"/>
        <v>599000</v>
      </c>
    </row>
    <row r="10" spans="1:20">
      <c r="A10" s="35">
        <v>9502</v>
      </c>
      <c r="B10" s="37">
        <v>156000</v>
      </c>
      <c r="C10" s="37">
        <v>62000</v>
      </c>
      <c r="D10" s="37">
        <v>110500</v>
      </c>
      <c r="E10" s="37">
        <v>9000</v>
      </c>
      <c r="F10" s="37">
        <v>95000</v>
      </c>
      <c r="G10" s="37">
        <v>0</v>
      </c>
      <c r="H10" s="37">
        <v>90000</v>
      </c>
      <c r="I10" s="37">
        <v>37500</v>
      </c>
      <c r="J10" s="37">
        <v>6000</v>
      </c>
      <c r="K10" s="37"/>
      <c r="L10" s="37"/>
      <c r="M10" s="37"/>
      <c r="N10" s="37"/>
      <c r="O10" s="37"/>
      <c r="P10" s="37"/>
      <c r="Q10" s="37"/>
      <c r="R10" s="37"/>
      <c r="S10" s="37"/>
      <c r="T10" s="37">
        <f t="shared" si="0"/>
        <v>566000</v>
      </c>
    </row>
    <row r="11" spans="1:20">
      <c r="A11" s="35">
        <v>9503</v>
      </c>
      <c r="B11" s="37">
        <v>210000</v>
      </c>
      <c r="C11" s="37">
        <v>118000</v>
      </c>
      <c r="D11" s="37">
        <v>96000</v>
      </c>
      <c r="E11" s="37">
        <v>9000</v>
      </c>
      <c r="F11" s="37">
        <v>98000</v>
      </c>
      <c r="G11" s="37">
        <v>0</v>
      </c>
      <c r="H11" s="37">
        <v>31000</v>
      </c>
      <c r="I11" s="37">
        <v>38000</v>
      </c>
      <c r="J11" s="37">
        <v>10000</v>
      </c>
      <c r="K11" s="37"/>
      <c r="L11" s="37"/>
      <c r="M11" s="37"/>
      <c r="N11" s="37"/>
      <c r="O11" s="37">
        <v>0</v>
      </c>
      <c r="P11" s="37"/>
      <c r="Q11" s="37"/>
      <c r="R11" s="37"/>
      <c r="S11" s="37"/>
      <c r="T11" s="37">
        <f t="shared" si="0"/>
        <v>610000</v>
      </c>
    </row>
    <row r="12" spans="1:20">
      <c r="A12" s="35">
        <v>9504</v>
      </c>
      <c r="B12" s="37">
        <v>127500</v>
      </c>
      <c r="C12" s="37">
        <v>83000</v>
      </c>
      <c r="D12" s="37">
        <v>130000</v>
      </c>
      <c r="E12" s="37">
        <v>44000</v>
      </c>
      <c r="F12" s="37">
        <v>74500</v>
      </c>
      <c r="G12" s="37">
        <v>12000</v>
      </c>
      <c r="H12" s="37">
        <v>135000</v>
      </c>
      <c r="I12" s="37">
        <v>89000</v>
      </c>
      <c r="J12" s="37">
        <v>2000</v>
      </c>
      <c r="K12" s="37"/>
      <c r="L12" s="37"/>
      <c r="M12" s="37"/>
      <c r="N12" s="37"/>
      <c r="O12" s="37"/>
      <c r="P12" s="37"/>
      <c r="Q12" s="37"/>
      <c r="R12" s="37"/>
      <c r="S12" s="37"/>
      <c r="T12" s="37">
        <f t="shared" si="0"/>
        <v>697000</v>
      </c>
    </row>
    <row r="13" spans="1:20">
      <c r="A13" s="35">
        <v>9505</v>
      </c>
      <c r="B13" s="37">
        <v>101000</v>
      </c>
      <c r="C13" s="37">
        <v>4000</v>
      </c>
      <c r="D13" s="37">
        <v>115500</v>
      </c>
      <c r="E13" s="37">
        <v>10000</v>
      </c>
      <c r="F13" s="37">
        <v>117000</v>
      </c>
      <c r="G13" s="37">
        <v>0</v>
      </c>
      <c r="H13" s="37">
        <v>57000</v>
      </c>
      <c r="I13" s="37">
        <v>9500</v>
      </c>
      <c r="J13" s="37">
        <v>0</v>
      </c>
      <c r="K13" s="37"/>
      <c r="L13" s="37"/>
      <c r="M13" s="37"/>
      <c r="N13" s="37"/>
      <c r="O13" s="37">
        <v>0</v>
      </c>
      <c r="P13" s="37"/>
      <c r="Q13" s="37"/>
      <c r="R13" s="37"/>
      <c r="S13" s="37"/>
      <c r="T13" s="37">
        <f t="shared" si="0"/>
        <v>414000</v>
      </c>
    </row>
    <row r="14" spans="1:20">
      <c r="A14" s="35">
        <v>9506</v>
      </c>
      <c r="B14" s="37">
        <v>146000</v>
      </c>
      <c r="C14" s="37">
        <v>141000</v>
      </c>
      <c r="D14" s="37">
        <v>124000</v>
      </c>
      <c r="E14" s="37">
        <v>16000</v>
      </c>
      <c r="F14" s="37">
        <v>66000</v>
      </c>
      <c r="G14" s="37">
        <v>0</v>
      </c>
      <c r="H14" s="37">
        <v>54000</v>
      </c>
      <c r="I14" s="37">
        <v>69000</v>
      </c>
      <c r="J14" s="37">
        <v>18000</v>
      </c>
      <c r="K14" s="37"/>
      <c r="L14" s="37"/>
      <c r="M14" s="37"/>
      <c r="N14" s="37"/>
      <c r="O14" s="37"/>
      <c r="P14" s="37"/>
      <c r="Q14" s="37"/>
      <c r="R14" s="37"/>
      <c r="S14" s="37"/>
      <c r="T14" s="37">
        <f t="shared" si="0"/>
        <v>634000</v>
      </c>
    </row>
    <row r="15" spans="1:20">
      <c r="A15" s="35">
        <v>9507</v>
      </c>
      <c r="B15" s="37">
        <v>110500</v>
      </c>
      <c r="C15" s="37">
        <v>59000</v>
      </c>
      <c r="D15" s="37">
        <v>51500</v>
      </c>
      <c r="E15" s="37">
        <v>14500</v>
      </c>
      <c r="F15" s="37">
        <v>52000</v>
      </c>
      <c r="G15" s="37">
        <v>0</v>
      </c>
      <c r="H15" s="37">
        <v>58000</v>
      </c>
      <c r="I15" s="37">
        <v>38500</v>
      </c>
      <c r="J15" s="37">
        <v>2000</v>
      </c>
      <c r="K15" s="37"/>
      <c r="L15" s="37"/>
      <c r="M15" s="37"/>
      <c r="N15" s="37"/>
      <c r="O15" s="37"/>
      <c r="P15" s="37"/>
      <c r="Q15" s="37"/>
      <c r="R15" s="37"/>
      <c r="S15" s="37"/>
      <c r="T15" s="37">
        <f t="shared" si="0"/>
        <v>386000</v>
      </c>
    </row>
    <row r="16" spans="1:20">
      <c r="A16" s="35">
        <v>9508</v>
      </c>
      <c r="B16" s="37">
        <v>99000</v>
      </c>
      <c r="C16" s="37">
        <v>30000</v>
      </c>
      <c r="D16" s="37">
        <v>103000</v>
      </c>
      <c r="E16" s="37">
        <v>4000</v>
      </c>
      <c r="F16" s="37">
        <v>130000</v>
      </c>
      <c r="G16" s="37">
        <v>0</v>
      </c>
      <c r="H16" s="37">
        <v>17000</v>
      </c>
      <c r="I16" s="37">
        <v>29000</v>
      </c>
      <c r="J16" s="37">
        <v>5000</v>
      </c>
      <c r="K16" s="37"/>
      <c r="L16" s="37"/>
      <c r="M16" s="37"/>
      <c r="N16" s="37"/>
      <c r="O16" s="37"/>
      <c r="P16" s="37"/>
      <c r="Q16" s="37"/>
      <c r="R16" s="37"/>
      <c r="S16" s="37"/>
      <c r="T16" s="37">
        <f t="shared" si="0"/>
        <v>417000</v>
      </c>
    </row>
    <row r="17" spans="1:20">
      <c r="A17" s="35">
        <v>9509</v>
      </c>
      <c r="B17" s="37">
        <v>142000</v>
      </c>
      <c r="C17" s="37">
        <v>47000</v>
      </c>
      <c r="D17" s="37">
        <v>105500</v>
      </c>
      <c r="E17" s="37">
        <v>16500</v>
      </c>
      <c r="F17" s="37">
        <v>111500</v>
      </c>
      <c r="G17" s="37">
        <v>0</v>
      </c>
      <c r="H17" s="37">
        <v>62000</v>
      </c>
      <c r="I17" s="37">
        <v>61500</v>
      </c>
      <c r="J17" s="37">
        <v>12000</v>
      </c>
      <c r="K17" s="37"/>
      <c r="L17" s="37"/>
      <c r="M17" s="37"/>
      <c r="N17" s="37"/>
      <c r="O17" s="37">
        <v>11000</v>
      </c>
      <c r="P17" s="37"/>
      <c r="Q17" s="37"/>
      <c r="R17" s="37"/>
      <c r="S17" s="37"/>
      <c r="T17" s="37">
        <f t="shared" si="0"/>
        <v>569000</v>
      </c>
    </row>
    <row r="18" spans="1:20">
      <c r="A18" s="35">
        <v>9510</v>
      </c>
      <c r="B18" s="37">
        <v>139500</v>
      </c>
      <c r="C18" s="37">
        <v>219000</v>
      </c>
      <c r="D18" s="37">
        <v>134500</v>
      </c>
      <c r="E18" s="37">
        <v>19000</v>
      </c>
      <c r="F18" s="37">
        <v>186500</v>
      </c>
      <c r="G18" s="37">
        <v>0</v>
      </c>
      <c r="H18" s="37">
        <v>102000</v>
      </c>
      <c r="I18" s="37">
        <v>77500</v>
      </c>
      <c r="J18" s="37">
        <v>83000</v>
      </c>
      <c r="K18" s="37"/>
      <c r="L18" s="37"/>
      <c r="M18" s="37"/>
      <c r="N18" s="37"/>
      <c r="O18" s="37">
        <v>0</v>
      </c>
      <c r="P18" s="37"/>
      <c r="Q18" s="37"/>
      <c r="R18" s="37"/>
      <c r="S18" s="37"/>
      <c r="T18" s="37">
        <v>881000</v>
      </c>
    </row>
    <row r="19" spans="1:20">
      <c r="A19" s="35">
        <v>9511</v>
      </c>
      <c r="B19" s="37">
        <v>181500</v>
      </c>
      <c r="C19" s="37">
        <v>170000</v>
      </c>
      <c r="D19" s="37">
        <v>127500</v>
      </c>
      <c r="E19" s="37">
        <v>32500</v>
      </c>
      <c r="F19" s="37">
        <v>154000</v>
      </c>
      <c r="G19" s="37">
        <v>0</v>
      </c>
      <c r="H19" s="37">
        <v>85000</v>
      </c>
      <c r="I19" s="37">
        <v>33500</v>
      </c>
      <c r="J19" s="37">
        <v>0</v>
      </c>
      <c r="K19" s="37"/>
      <c r="L19" s="37"/>
      <c r="M19" s="37"/>
      <c r="N19" s="37"/>
      <c r="O19" s="37">
        <v>35000</v>
      </c>
      <c r="P19" s="37"/>
      <c r="Q19" s="37"/>
      <c r="R19" s="37"/>
      <c r="S19" s="37"/>
      <c r="T19" s="37">
        <f t="shared" si="0"/>
        <v>819000</v>
      </c>
    </row>
    <row r="20" spans="1:20">
      <c r="A20" s="35">
        <v>9512</v>
      </c>
      <c r="B20" s="37">
        <v>127000</v>
      </c>
      <c r="C20" s="37">
        <v>89000</v>
      </c>
      <c r="D20" s="37">
        <v>110000</v>
      </c>
      <c r="E20" s="37">
        <v>33500</v>
      </c>
      <c r="F20" s="37">
        <v>109000</v>
      </c>
      <c r="G20" s="37">
        <v>0</v>
      </c>
      <c r="H20" s="37">
        <v>101000</v>
      </c>
      <c r="I20" s="37">
        <v>93500</v>
      </c>
      <c r="J20" s="37">
        <v>10000</v>
      </c>
      <c r="K20" s="37"/>
      <c r="L20" s="37"/>
      <c r="M20" s="37"/>
      <c r="N20" s="37"/>
      <c r="O20" s="37">
        <v>12000</v>
      </c>
      <c r="P20" s="37"/>
      <c r="Q20" s="37"/>
      <c r="R20" s="37"/>
      <c r="S20" s="37"/>
      <c r="T20" s="37">
        <f t="shared" si="0"/>
        <v>685000</v>
      </c>
    </row>
    <row r="21" spans="1:20">
      <c r="A21" s="35">
        <v>9513</v>
      </c>
      <c r="B21" s="37">
        <v>130000</v>
      </c>
      <c r="C21" s="37">
        <v>86000</v>
      </c>
      <c r="D21" s="37">
        <v>109000</v>
      </c>
      <c r="E21" s="37">
        <v>65000</v>
      </c>
      <c r="F21" s="37">
        <v>124300</v>
      </c>
      <c r="G21" s="37">
        <v>0</v>
      </c>
      <c r="H21" s="37">
        <v>70000</v>
      </c>
      <c r="I21" s="37">
        <v>25000</v>
      </c>
      <c r="J21" s="37">
        <v>0</v>
      </c>
      <c r="K21" s="37"/>
      <c r="L21" s="37"/>
      <c r="M21" s="37"/>
      <c r="N21" s="37"/>
      <c r="O21" s="37">
        <v>0</v>
      </c>
      <c r="P21" s="37"/>
      <c r="Q21" s="37"/>
      <c r="R21" s="37"/>
      <c r="S21" s="37"/>
      <c r="T21" s="37">
        <f t="shared" si="0"/>
        <v>609300</v>
      </c>
    </row>
    <row r="22" spans="1:20">
      <c r="A22" s="35">
        <v>9514</v>
      </c>
      <c r="B22" s="37">
        <v>113500</v>
      </c>
      <c r="C22" s="37">
        <v>36000</v>
      </c>
      <c r="D22" s="37">
        <v>85000</v>
      </c>
      <c r="E22" s="37">
        <v>20000</v>
      </c>
      <c r="F22" s="37">
        <v>70500</v>
      </c>
      <c r="G22" s="37">
        <v>0</v>
      </c>
      <c r="H22" s="37">
        <v>34000</v>
      </c>
      <c r="I22" s="37">
        <v>21000</v>
      </c>
      <c r="J22" s="37">
        <v>27000</v>
      </c>
      <c r="K22" s="37"/>
      <c r="L22" s="37"/>
      <c r="M22" s="37"/>
      <c r="N22" s="37"/>
      <c r="O22" s="37">
        <v>24000</v>
      </c>
      <c r="P22" s="37"/>
      <c r="Q22" s="37"/>
      <c r="R22" s="37"/>
      <c r="S22" s="37"/>
      <c r="T22" s="37">
        <f t="shared" si="0"/>
        <v>431000</v>
      </c>
    </row>
    <row r="23" spans="1:20">
      <c r="A23" s="35">
        <v>9515</v>
      </c>
      <c r="B23" s="37">
        <v>163000</v>
      </c>
      <c r="C23" s="37">
        <v>53000</v>
      </c>
      <c r="D23" s="37">
        <v>77500</v>
      </c>
      <c r="E23" s="37">
        <v>12500</v>
      </c>
      <c r="F23" s="37">
        <v>100000</v>
      </c>
      <c r="G23" s="37">
        <v>0</v>
      </c>
      <c r="H23" s="37">
        <v>63000</v>
      </c>
      <c r="I23" s="37">
        <v>19000</v>
      </c>
      <c r="J23" s="37">
        <v>9000</v>
      </c>
      <c r="K23" s="37"/>
      <c r="L23" s="37"/>
      <c r="M23" s="37"/>
      <c r="N23" s="37"/>
      <c r="O23" s="37">
        <v>12000</v>
      </c>
      <c r="P23" s="37"/>
      <c r="Q23" s="37"/>
      <c r="R23" s="37"/>
      <c r="S23" s="37"/>
      <c r="T23" s="37">
        <f t="shared" si="0"/>
        <v>509000</v>
      </c>
    </row>
    <row r="24" spans="1:20">
      <c r="A24" s="35">
        <v>9516</v>
      </c>
      <c r="B24" s="37">
        <v>138000</v>
      </c>
      <c r="C24" s="37">
        <v>59000</v>
      </c>
      <c r="D24" s="37">
        <v>116000</v>
      </c>
      <c r="E24" s="37">
        <v>40000</v>
      </c>
      <c r="F24" s="37">
        <v>116000</v>
      </c>
      <c r="G24" s="37">
        <v>0</v>
      </c>
      <c r="H24" s="37">
        <v>82000</v>
      </c>
      <c r="I24" s="37">
        <v>20000</v>
      </c>
      <c r="J24" s="37">
        <v>25000</v>
      </c>
      <c r="K24" s="37"/>
      <c r="L24" s="37"/>
      <c r="M24" s="37"/>
      <c r="N24" s="37"/>
      <c r="O24" s="37">
        <v>27000</v>
      </c>
      <c r="P24" s="37"/>
      <c r="Q24" s="37"/>
      <c r="R24" s="37"/>
      <c r="S24" s="37"/>
      <c r="T24" s="37">
        <f t="shared" si="0"/>
        <v>623000</v>
      </c>
    </row>
    <row r="25" spans="1:20">
      <c r="A25" s="35">
        <v>9517</v>
      </c>
      <c r="B25" s="37">
        <v>128000</v>
      </c>
      <c r="C25" s="37">
        <v>91000</v>
      </c>
      <c r="D25" s="37">
        <v>57000</v>
      </c>
      <c r="E25" s="37">
        <v>20000</v>
      </c>
      <c r="F25" s="37">
        <v>52500</v>
      </c>
      <c r="G25" s="37">
        <v>0</v>
      </c>
      <c r="H25" s="37">
        <v>28000</v>
      </c>
      <c r="I25" s="37">
        <v>97500</v>
      </c>
      <c r="J25" s="37">
        <v>0</v>
      </c>
      <c r="K25" s="37"/>
      <c r="L25" s="37"/>
      <c r="M25" s="37"/>
      <c r="N25" s="37"/>
      <c r="O25" s="37">
        <v>25000</v>
      </c>
      <c r="P25" s="37"/>
      <c r="Q25" s="37"/>
      <c r="R25" s="37"/>
      <c r="S25" s="37"/>
      <c r="T25" s="37">
        <f t="shared" si="0"/>
        <v>499000</v>
      </c>
    </row>
    <row r="26" spans="1:20">
      <c r="A26" s="35">
        <v>9518</v>
      </c>
      <c r="B26" s="37">
        <v>201000</v>
      </c>
      <c r="C26" s="37">
        <v>96000</v>
      </c>
      <c r="D26" s="37">
        <v>114000</v>
      </c>
      <c r="E26" s="37">
        <v>14000</v>
      </c>
      <c r="F26" s="37">
        <v>122000</v>
      </c>
      <c r="G26" s="37">
        <v>0</v>
      </c>
      <c r="H26" s="37">
        <v>105000</v>
      </c>
      <c r="I26" s="37">
        <v>179000</v>
      </c>
      <c r="J26" s="37">
        <v>45000</v>
      </c>
      <c r="K26" s="37"/>
      <c r="L26" s="37"/>
      <c r="M26" s="37"/>
      <c r="N26" s="37"/>
      <c r="O26" s="37">
        <v>10000</v>
      </c>
      <c r="P26" s="37"/>
      <c r="Q26" s="37"/>
      <c r="R26" s="37"/>
      <c r="S26" s="37"/>
      <c r="T26" s="37">
        <f t="shared" si="0"/>
        <v>886000</v>
      </c>
    </row>
    <row r="27" spans="1:20">
      <c r="A27" s="35">
        <v>9519</v>
      </c>
      <c r="B27" s="37">
        <v>189000</v>
      </c>
      <c r="C27" s="37">
        <v>207000</v>
      </c>
      <c r="D27" s="37">
        <v>83500</v>
      </c>
      <c r="E27" s="37">
        <v>6500</v>
      </c>
      <c r="F27" s="37">
        <v>72000</v>
      </c>
      <c r="G27" s="37">
        <v>0</v>
      </c>
      <c r="H27" s="37">
        <v>97000</v>
      </c>
      <c r="I27" s="37">
        <v>100000</v>
      </c>
      <c r="J27" s="37">
        <v>0</v>
      </c>
      <c r="K27" s="37"/>
      <c r="L27" s="37"/>
      <c r="M27" s="37"/>
      <c r="N27" s="37"/>
      <c r="O27" s="31">
        <v>6000</v>
      </c>
      <c r="P27" s="37"/>
      <c r="Q27" s="37"/>
      <c r="R27" s="37"/>
      <c r="S27" s="37"/>
      <c r="T27" s="37">
        <f>SUM(B27:S27)</f>
        <v>761000</v>
      </c>
    </row>
    <row r="28" spans="1:20">
      <c r="A28" s="35">
        <v>9520</v>
      </c>
      <c r="B28" s="37">
        <v>227500</v>
      </c>
      <c r="C28" s="37">
        <v>40000</v>
      </c>
      <c r="D28" s="37">
        <v>112000</v>
      </c>
      <c r="E28" s="37">
        <v>38000</v>
      </c>
      <c r="F28" s="37">
        <v>109000</v>
      </c>
      <c r="G28" s="37">
        <v>50000</v>
      </c>
      <c r="H28" s="37">
        <v>84000</v>
      </c>
      <c r="I28" s="37">
        <v>81000</v>
      </c>
      <c r="J28" s="37">
        <v>7000</v>
      </c>
      <c r="K28" s="37"/>
      <c r="L28" s="37"/>
      <c r="M28" s="37"/>
      <c r="N28" s="37"/>
      <c r="O28" s="37">
        <v>0</v>
      </c>
      <c r="P28" s="37"/>
      <c r="Q28" s="37"/>
      <c r="R28" s="37"/>
      <c r="S28" s="37"/>
      <c r="T28" s="37">
        <v>648500</v>
      </c>
    </row>
    <row r="29" spans="1:20">
      <c r="A29" s="35">
        <v>9521</v>
      </c>
      <c r="B29" s="37">
        <v>224000</v>
      </c>
      <c r="C29" s="37">
        <v>65000</v>
      </c>
      <c r="D29" s="37">
        <v>113000</v>
      </c>
      <c r="E29" s="37">
        <v>31000</v>
      </c>
      <c r="F29" s="37">
        <v>82000</v>
      </c>
      <c r="G29" s="37">
        <v>0</v>
      </c>
      <c r="H29" s="37">
        <v>98000</v>
      </c>
      <c r="I29" s="37">
        <v>41500</v>
      </c>
      <c r="J29" s="37">
        <v>44000</v>
      </c>
      <c r="K29" s="37"/>
      <c r="L29" s="37"/>
      <c r="M29" s="37"/>
      <c r="N29" s="37"/>
      <c r="O29" s="37">
        <v>0</v>
      </c>
      <c r="P29" s="37"/>
      <c r="Q29" s="37"/>
      <c r="R29" s="37"/>
      <c r="S29" s="37"/>
      <c r="T29" s="37">
        <f t="shared" si="0"/>
        <v>698500</v>
      </c>
    </row>
    <row r="30" spans="1:20">
      <c r="A30" s="35">
        <v>9522</v>
      </c>
      <c r="B30" s="37">
        <v>158000</v>
      </c>
      <c r="C30" s="37">
        <v>163000</v>
      </c>
      <c r="D30" s="37">
        <v>121000</v>
      </c>
      <c r="E30" s="37">
        <v>20000</v>
      </c>
      <c r="F30" s="37">
        <v>919000</v>
      </c>
      <c r="G30" s="37">
        <v>0</v>
      </c>
      <c r="H30" s="37">
        <v>82000</v>
      </c>
      <c r="I30" s="37">
        <v>63500</v>
      </c>
      <c r="J30" s="37">
        <v>9000</v>
      </c>
      <c r="K30" s="37"/>
      <c r="L30" s="37"/>
      <c r="M30" s="37"/>
      <c r="N30" s="37"/>
      <c r="O30" s="37">
        <v>0</v>
      </c>
      <c r="P30" s="37"/>
      <c r="Q30" s="37"/>
      <c r="R30" s="37"/>
      <c r="S30" s="37"/>
      <c r="T30" s="37">
        <v>749500</v>
      </c>
    </row>
    <row r="31" spans="1:20">
      <c r="A31" s="35">
        <v>9523</v>
      </c>
      <c r="B31" s="31">
        <v>184000</v>
      </c>
      <c r="C31" s="31">
        <v>8000</v>
      </c>
      <c r="D31" s="31">
        <v>91000</v>
      </c>
      <c r="E31" s="31">
        <v>17500</v>
      </c>
      <c r="F31" s="31">
        <v>94000</v>
      </c>
      <c r="G31" s="31">
        <v>30000</v>
      </c>
      <c r="H31" s="31">
        <v>68000</v>
      </c>
      <c r="I31" s="31">
        <v>10500</v>
      </c>
      <c r="J31" s="31">
        <v>0</v>
      </c>
      <c r="K31" s="31"/>
      <c r="L31" s="31"/>
      <c r="M31" s="31"/>
      <c r="N31" s="31"/>
      <c r="O31" s="31">
        <v>0</v>
      </c>
      <c r="P31" s="31"/>
      <c r="Q31" s="31"/>
      <c r="R31" s="31"/>
      <c r="S31" s="31"/>
      <c r="T31" s="37">
        <f t="shared" si="0"/>
        <v>503000</v>
      </c>
    </row>
    <row r="32" spans="1:20">
      <c r="A32" s="35">
        <v>9524</v>
      </c>
      <c r="B32" s="31">
        <v>132000</v>
      </c>
      <c r="C32" s="31">
        <v>23000</v>
      </c>
      <c r="D32" s="31">
        <v>125000</v>
      </c>
      <c r="E32" s="31">
        <v>5500</v>
      </c>
      <c r="F32" s="31">
        <v>138200</v>
      </c>
      <c r="G32" s="31">
        <v>12000</v>
      </c>
      <c r="H32" s="31">
        <v>6000</v>
      </c>
      <c r="I32" s="31">
        <v>28000</v>
      </c>
      <c r="J32" s="31">
        <v>0</v>
      </c>
      <c r="K32" s="31"/>
      <c r="L32" s="31"/>
      <c r="M32" s="31"/>
      <c r="N32" s="31"/>
      <c r="O32" s="31">
        <v>0</v>
      </c>
      <c r="P32" s="31"/>
      <c r="Q32" s="31"/>
      <c r="R32" s="31"/>
      <c r="S32" s="31"/>
      <c r="T32" s="37">
        <f t="shared" si="0"/>
        <v>469700</v>
      </c>
    </row>
    <row r="33" spans="1:20">
      <c r="A33" s="35">
        <v>9525</v>
      </c>
      <c r="B33" s="31">
        <v>167000</v>
      </c>
      <c r="C33" s="31">
        <v>62000</v>
      </c>
      <c r="D33" s="31">
        <v>99000</v>
      </c>
      <c r="E33" s="31">
        <v>5000</v>
      </c>
      <c r="F33" s="31">
        <v>107000</v>
      </c>
      <c r="G33" s="31">
        <v>0</v>
      </c>
      <c r="H33" s="31">
        <v>29000</v>
      </c>
      <c r="I33" s="31">
        <v>54000</v>
      </c>
      <c r="J33" s="31">
        <v>22000</v>
      </c>
      <c r="K33" s="31"/>
      <c r="L33" s="31"/>
      <c r="M33" s="31"/>
      <c r="N33" s="31"/>
      <c r="O33" s="31">
        <v>0</v>
      </c>
      <c r="P33" s="31"/>
      <c r="Q33" s="31"/>
      <c r="R33" s="31"/>
      <c r="S33" s="31"/>
      <c r="T33" s="37">
        <f t="shared" si="0"/>
        <v>545000</v>
      </c>
    </row>
    <row r="34" spans="1:20">
      <c r="A34" s="35">
        <v>9526</v>
      </c>
      <c r="B34" s="31">
        <v>184500</v>
      </c>
      <c r="C34" s="31">
        <v>88000</v>
      </c>
      <c r="D34" s="31">
        <v>147000</v>
      </c>
      <c r="E34" s="31">
        <v>25000</v>
      </c>
      <c r="F34" s="31">
        <v>162000</v>
      </c>
      <c r="G34" s="31">
        <v>0</v>
      </c>
      <c r="H34" s="31">
        <v>183000</v>
      </c>
      <c r="I34" s="31">
        <v>151500</v>
      </c>
      <c r="J34" s="31">
        <v>0</v>
      </c>
      <c r="K34" s="31"/>
      <c r="L34" s="31"/>
      <c r="M34" s="31"/>
      <c r="N34" s="31"/>
      <c r="O34" s="46">
        <v>0</v>
      </c>
      <c r="P34" s="31"/>
      <c r="Q34" s="31"/>
      <c r="R34" s="31"/>
      <c r="S34" s="31"/>
      <c r="T34" s="31">
        <f>SUM(B34:S34)</f>
        <v>941000</v>
      </c>
    </row>
    <row r="35" spans="1:20">
      <c r="A35" s="35">
        <v>9527</v>
      </c>
      <c r="B35" s="31">
        <v>29500</v>
      </c>
      <c r="C35" s="31">
        <v>8000</v>
      </c>
      <c r="D35" s="31">
        <v>158000</v>
      </c>
      <c r="E35" s="31">
        <v>57500</v>
      </c>
      <c r="F35" s="31">
        <v>124000</v>
      </c>
      <c r="G35" s="31">
        <v>0</v>
      </c>
      <c r="H35" s="31">
        <v>120000</v>
      </c>
      <c r="I35" s="31">
        <v>25000</v>
      </c>
      <c r="J35" s="31">
        <v>0</v>
      </c>
      <c r="K35" s="31"/>
      <c r="L35" s="31"/>
      <c r="M35" s="31"/>
      <c r="N35" s="31"/>
      <c r="O35" s="31">
        <v>0</v>
      </c>
      <c r="P35" s="31"/>
      <c r="Q35" s="31"/>
      <c r="R35" s="31"/>
      <c r="S35" s="31"/>
      <c r="T35" s="31">
        <v>668000</v>
      </c>
    </row>
    <row r="36" spans="1:20">
      <c r="A36" s="35">
        <v>9528</v>
      </c>
      <c r="B36" s="31">
        <v>200000</v>
      </c>
      <c r="C36" s="31">
        <v>100000</v>
      </c>
      <c r="D36" s="31">
        <v>140000</v>
      </c>
      <c r="E36" s="31">
        <v>10000</v>
      </c>
      <c r="F36" s="31">
        <v>230000</v>
      </c>
      <c r="G36" s="31">
        <v>13500</v>
      </c>
      <c r="H36" s="31">
        <v>130000</v>
      </c>
      <c r="I36" s="31">
        <v>106500</v>
      </c>
      <c r="J36" s="31">
        <v>100000</v>
      </c>
      <c r="K36" s="31"/>
      <c r="L36" s="31"/>
      <c r="M36" s="31"/>
      <c r="N36" s="31"/>
      <c r="O36" s="31">
        <v>0</v>
      </c>
      <c r="P36" s="31"/>
      <c r="Q36" s="31"/>
      <c r="R36" s="31"/>
      <c r="S36" s="31"/>
      <c r="T36" s="31">
        <v>1016500</v>
      </c>
    </row>
    <row r="37" spans="1:20">
      <c r="A37" s="40" t="s">
        <v>23</v>
      </c>
      <c r="B37" s="41">
        <v>4972300</v>
      </c>
      <c r="C37" s="41">
        <v>2700500</v>
      </c>
      <c r="D37" s="41">
        <f>SUM(D6:D36)</f>
        <v>3419500</v>
      </c>
      <c r="E37" s="41">
        <f t="shared" ref="E37:J37" si="1">SUM(E6:E36)</f>
        <v>690000</v>
      </c>
      <c r="F37" s="41">
        <f t="shared" si="1"/>
        <v>4252500</v>
      </c>
      <c r="G37" s="41">
        <f t="shared" si="1"/>
        <v>123500</v>
      </c>
      <c r="H37" s="41">
        <f t="shared" si="1"/>
        <v>2474000</v>
      </c>
      <c r="I37" s="41">
        <f t="shared" si="1"/>
        <v>1685500</v>
      </c>
      <c r="J37" s="41">
        <f t="shared" si="1"/>
        <v>482000</v>
      </c>
      <c r="K37" s="31"/>
      <c r="L37" s="31"/>
      <c r="M37" s="31"/>
      <c r="N37" s="31"/>
      <c r="O37" s="31">
        <v>204000</v>
      </c>
      <c r="P37" s="31"/>
      <c r="Q37" s="31"/>
      <c r="R37" s="31">
        <f>SUM(R6:R36)</f>
        <v>0</v>
      </c>
      <c r="S37" s="31"/>
      <c r="T37" s="31">
        <v>20058000</v>
      </c>
    </row>
    <row r="38" spans="1:20">
      <c r="T38" s="47"/>
    </row>
  </sheetData>
  <mergeCells count="4">
    <mergeCell ref="B1:T1"/>
    <mergeCell ref="B2:T2"/>
    <mergeCell ref="C3:F3"/>
    <mergeCell ref="C4:F4"/>
  </mergeCells>
  <pageMargins left="0.7" right="0.7" top="0.75" bottom="0.75" header="0.3" footer="0.3"/>
  <pageSetup orientation="portrait" horizontalDpi="0" verticalDpi="0"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43"/>
  <sheetViews>
    <sheetView topLeftCell="K23" workbookViewId="0">
      <selection activeCell="T38" sqref="T38"/>
    </sheetView>
  </sheetViews>
  <sheetFormatPr defaultRowHeight="15"/>
  <cols>
    <col min="1" max="1" width="13.7109375" customWidth="1"/>
    <col min="2" max="2" width="16.28515625" customWidth="1"/>
    <col min="3" max="3" width="11" customWidth="1"/>
    <col min="4" max="4" width="10.7109375" customWidth="1"/>
    <col min="5" max="5" width="10.42578125" customWidth="1"/>
    <col min="6" max="6" width="10.28515625" customWidth="1"/>
    <col min="8" max="8" width="10.5703125" customWidth="1"/>
    <col min="9" max="9" width="11" customWidth="1"/>
    <col min="10" max="10" width="10.42578125" customWidth="1"/>
    <col min="20" max="20" width="11.28515625" customWidth="1"/>
  </cols>
  <sheetData>
    <row r="1" spans="1:20" ht="26.25" customHeight="1">
      <c r="A1" s="28"/>
      <c r="B1" s="55" t="s">
        <v>68</v>
      </c>
      <c r="C1" s="56"/>
      <c r="D1" s="56"/>
      <c r="E1" s="56"/>
      <c r="F1" s="56"/>
      <c r="G1" s="56"/>
      <c r="H1" s="56"/>
      <c r="I1" s="56"/>
      <c r="J1" s="56"/>
      <c r="K1" s="56"/>
      <c r="L1" s="56"/>
      <c r="M1" s="56"/>
      <c r="N1" s="56"/>
      <c r="O1" s="56"/>
      <c r="P1" s="56"/>
      <c r="Q1" s="56"/>
      <c r="R1" s="56"/>
      <c r="S1" s="56"/>
      <c r="T1" s="57"/>
    </row>
    <row r="2" spans="1:20" ht="27" thickBot="1">
      <c r="A2" s="4"/>
      <c r="B2" s="58" t="s">
        <v>135</v>
      </c>
      <c r="C2" s="59"/>
      <c r="D2" s="59"/>
      <c r="E2" s="59"/>
      <c r="F2" s="59"/>
      <c r="G2" s="59"/>
      <c r="H2" s="59"/>
      <c r="I2" s="59"/>
      <c r="J2" s="59"/>
      <c r="K2" s="59"/>
      <c r="L2" s="59"/>
      <c r="M2" s="59"/>
      <c r="N2" s="59"/>
      <c r="O2" s="59"/>
      <c r="P2" s="59"/>
      <c r="Q2" s="59"/>
      <c r="R2" s="59"/>
      <c r="S2" s="59"/>
      <c r="T2" s="60"/>
    </row>
    <row r="3" spans="1:20" ht="27" customHeight="1" thickBot="1">
      <c r="A3" s="4"/>
      <c r="B3" s="29" t="s">
        <v>1</v>
      </c>
      <c r="C3" s="61" t="s">
        <v>69</v>
      </c>
      <c r="D3" s="62"/>
      <c r="E3" s="62"/>
      <c r="F3" s="63"/>
      <c r="G3" s="52">
        <v>46054</v>
      </c>
    </row>
    <row r="4" spans="1:20" ht="21">
      <c r="A4" s="4"/>
      <c r="B4" s="30" t="s">
        <v>2</v>
      </c>
      <c r="C4" s="64">
        <v>46054</v>
      </c>
      <c r="D4" s="65"/>
      <c r="E4" s="65"/>
      <c r="F4" s="66"/>
    </row>
    <row r="5" spans="1:20" ht="67.5">
      <c r="A5" s="32" t="s">
        <v>3</v>
      </c>
      <c r="B5" s="33" t="s">
        <v>4</v>
      </c>
      <c r="C5" s="33" t="s">
        <v>5</v>
      </c>
      <c r="D5" s="33" t="s">
        <v>6</v>
      </c>
      <c r="E5" s="33" t="s">
        <v>7</v>
      </c>
      <c r="F5" s="33" t="s">
        <v>8</v>
      </c>
      <c r="G5" s="33" t="s">
        <v>9</v>
      </c>
      <c r="H5" s="33" t="s">
        <v>10</v>
      </c>
      <c r="I5" s="33" t="s">
        <v>11</v>
      </c>
      <c r="J5" s="33" t="s">
        <v>12</v>
      </c>
      <c r="K5" s="33" t="s">
        <v>13</v>
      </c>
      <c r="L5" s="33" t="s">
        <v>14</v>
      </c>
      <c r="M5" s="33" t="s">
        <v>15</v>
      </c>
      <c r="N5" s="33" t="s">
        <v>16</v>
      </c>
      <c r="O5" s="33" t="s">
        <v>17</v>
      </c>
      <c r="P5" s="33" t="s">
        <v>18</v>
      </c>
      <c r="Q5" s="33" t="s">
        <v>19</v>
      </c>
      <c r="R5" s="33" t="s">
        <v>20</v>
      </c>
      <c r="S5" s="33" t="s">
        <v>21</v>
      </c>
      <c r="T5" s="33" t="s">
        <v>22</v>
      </c>
    </row>
    <row r="6" spans="1:20" ht="26.25" customHeight="1">
      <c r="A6" s="35" t="s">
        <v>67</v>
      </c>
      <c r="B6" s="36">
        <v>160000</v>
      </c>
      <c r="C6" s="36">
        <v>57000</v>
      </c>
      <c r="D6" s="36">
        <v>64000</v>
      </c>
      <c r="E6" s="36">
        <v>46000</v>
      </c>
      <c r="F6" s="36">
        <v>67800</v>
      </c>
      <c r="G6" s="36">
        <v>0</v>
      </c>
      <c r="H6" s="36">
        <v>31000</v>
      </c>
      <c r="I6" s="36">
        <v>26000</v>
      </c>
      <c r="J6" s="36">
        <v>0</v>
      </c>
      <c r="K6" s="36"/>
      <c r="L6" s="36"/>
      <c r="M6" s="36"/>
      <c r="N6" s="36"/>
      <c r="O6" s="36">
        <f t="shared" ref="O6:O37" si="0">SUM(O37)</f>
        <v>0</v>
      </c>
      <c r="P6" s="36"/>
      <c r="Q6" s="36"/>
      <c r="R6" s="36"/>
      <c r="S6" s="37"/>
      <c r="T6" s="37">
        <f t="shared" ref="T6:T36" si="1">SUM(B6:S6)</f>
        <v>451800</v>
      </c>
    </row>
    <row r="7" spans="1:20">
      <c r="A7" s="35" t="s">
        <v>37</v>
      </c>
      <c r="B7" s="36">
        <v>123000</v>
      </c>
      <c r="C7" s="36">
        <v>163000</v>
      </c>
      <c r="D7" s="36">
        <v>99000</v>
      </c>
      <c r="E7" s="36">
        <v>3000</v>
      </c>
      <c r="F7" s="36">
        <v>115000</v>
      </c>
      <c r="G7" s="36">
        <v>0</v>
      </c>
      <c r="H7" s="36">
        <v>92000</v>
      </c>
      <c r="I7" s="36">
        <v>49000</v>
      </c>
      <c r="J7" s="36">
        <v>0</v>
      </c>
      <c r="K7" s="36"/>
      <c r="L7" s="36"/>
      <c r="M7" s="36"/>
      <c r="N7" s="36"/>
      <c r="O7" s="36">
        <f t="shared" si="0"/>
        <v>0</v>
      </c>
      <c r="P7" s="36"/>
      <c r="Q7" s="36"/>
      <c r="R7" s="36"/>
      <c r="S7" s="37"/>
      <c r="T7" s="37">
        <f t="shared" si="1"/>
        <v>644000</v>
      </c>
    </row>
    <row r="8" spans="1:20" ht="27" customHeight="1">
      <c r="A8" s="35" t="s">
        <v>38</v>
      </c>
      <c r="B8" s="36">
        <v>99000</v>
      </c>
      <c r="C8" s="36">
        <v>39000</v>
      </c>
      <c r="D8" s="36">
        <v>58500</v>
      </c>
      <c r="E8" s="36">
        <v>8000</v>
      </c>
      <c r="F8" s="36">
        <v>51000</v>
      </c>
      <c r="G8" s="36">
        <v>0</v>
      </c>
      <c r="H8" s="36">
        <v>50000</v>
      </c>
      <c r="I8" s="36">
        <v>9500</v>
      </c>
      <c r="J8" s="36">
        <v>31000</v>
      </c>
      <c r="K8" s="36"/>
      <c r="L8" s="36"/>
      <c r="M8" s="36"/>
      <c r="N8" s="36"/>
      <c r="O8" s="36">
        <f t="shared" si="0"/>
        <v>0</v>
      </c>
      <c r="P8" s="36"/>
      <c r="Q8" s="36"/>
      <c r="R8" s="36"/>
      <c r="S8" s="37"/>
      <c r="T8" s="37">
        <f t="shared" si="1"/>
        <v>346000</v>
      </c>
    </row>
    <row r="9" spans="1:20">
      <c r="A9" s="35" t="s">
        <v>39</v>
      </c>
      <c r="B9" s="36">
        <v>148000</v>
      </c>
      <c r="C9" s="36">
        <v>43000</v>
      </c>
      <c r="D9" s="36">
        <v>95000</v>
      </c>
      <c r="E9" s="36">
        <v>12000</v>
      </c>
      <c r="F9" s="36">
        <v>122000</v>
      </c>
      <c r="G9" s="36">
        <v>0</v>
      </c>
      <c r="H9" s="36">
        <v>48000</v>
      </c>
      <c r="I9" s="36">
        <v>20000</v>
      </c>
      <c r="J9" s="36">
        <v>26000</v>
      </c>
      <c r="K9" s="36"/>
      <c r="L9" s="36"/>
      <c r="M9" s="36"/>
      <c r="N9" s="36"/>
      <c r="O9" s="36">
        <f t="shared" si="0"/>
        <v>0</v>
      </c>
      <c r="Q9" s="36"/>
      <c r="R9" s="36"/>
      <c r="S9" s="37"/>
      <c r="T9" s="37">
        <f t="shared" si="1"/>
        <v>514000</v>
      </c>
    </row>
    <row r="10" spans="1:20">
      <c r="A10" s="35" t="s">
        <v>40</v>
      </c>
      <c r="B10" s="37">
        <v>124000</v>
      </c>
      <c r="C10" s="37">
        <v>4000</v>
      </c>
      <c r="D10" s="37">
        <v>83000</v>
      </c>
      <c r="E10" s="37">
        <v>6500</v>
      </c>
      <c r="F10" s="37">
        <v>116000</v>
      </c>
      <c r="G10" s="37">
        <v>0</v>
      </c>
      <c r="H10" s="37">
        <v>57000</v>
      </c>
      <c r="I10" s="37">
        <v>49500</v>
      </c>
      <c r="J10" s="37">
        <v>0</v>
      </c>
      <c r="K10" s="37"/>
      <c r="L10" s="37"/>
      <c r="M10" s="37"/>
      <c r="N10" s="37"/>
      <c r="O10" s="37">
        <f t="shared" si="0"/>
        <v>0</v>
      </c>
      <c r="P10" s="37"/>
      <c r="Q10" s="37"/>
      <c r="R10" s="37"/>
      <c r="S10" s="37"/>
      <c r="T10" s="37">
        <f t="shared" si="1"/>
        <v>440000</v>
      </c>
    </row>
    <row r="11" spans="1:20">
      <c r="A11" s="35" t="s">
        <v>41</v>
      </c>
      <c r="B11" s="37">
        <v>169500</v>
      </c>
      <c r="C11" s="37">
        <v>45000</v>
      </c>
      <c r="D11" s="37">
        <v>150500</v>
      </c>
      <c r="E11" s="37">
        <v>2500</v>
      </c>
      <c r="F11" s="37">
        <v>124500</v>
      </c>
      <c r="G11" s="37">
        <v>0</v>
      </c>
      <c r="H11" s="37">
        <v>97000</v>
      </c>
      <c r="I11" s="37">
        <v>133000</v>
      </c>
      <c r="J11" s="37">
        <v>6000</v>
      </c>
      <c r="K11" s="37"/>
      <c r="L11" s="37"/>
      <c r="M11" s="37"/>
      <c r="N11" s="37"/>
      <c r="O11" s="37">
        <f t="shared" si="0"/>
        <v>0</v>
      </c>
      <c r="P11" s="37"/>
      <c r="Q11" s="37"/>
      <c r="R11" s="37"/>
      <c r="S11" s="37"/>
      <c r="T11" s="37">
        <f t="shared" si="1"/>
        <v>728000</v>
      </c>
    </row>
    <row r="12" spans="1:20">
      <c r="A12" s="35" t="s">
        <v>42</v>
      </c>
      <c r="B12" s="37">
        <v>135500</v>
      </c>
      <c r="C12" s="37">
        <v>165000</v>
      </c>
      <c r="D12" s="37">
        <v>145000</v>
      </c>
      <c r="E12" s="37">
        <v>20000</v>
      </c>
      <c r="F12" s="37">
        <v>187000</v>
      </c>
      <c r="G12" s="37">
        <v>0</v>
      </c>
      <c r="H12" s="37">
        <v>185000</v>
      </c>
      <c r="I12" s="37">
        <v>143000</v>
      </c>
      <c r="J12" s="37">
        <v>28500</v>
      </c>
      <c r="K12" s="37"/>
      <c r="L12" s="37"/>
      <c r="M12" s="37"/>
      <c r="N12" s="37"/>
      <c r="O12" s="37">
        <f t="shared" si="0"/>
        <v>0</v>
      </c>
      <c r="P12" s="37"/>
      <c r="Q12" s="37"/>
      <c r="R12" s="37"/>
      <c r="S12" s="37"/>
      <c r="T12" s="37">
        <f t="shared" si="1"/>
        <v>1009000</v>
      </c>
    </row>
    <row r="13" spans="1:20">
      <c r="A13" s="35" t="s">
        <v>43</v>
      </c>
      <c r="B13" s="37">
        <v>150500</v>
      </c>
      <c r="C13" s="37">
        <v>171000</v>
      </c>
      <c r="D13" s="37">
        <v>143500</v>
      </c>
      <c r="E13" s="37">
        <v>27000</v>
      </c>
      <c r="F13" s="37">
        <v>167500</v>
      </c>
      <c r="G13" s="37">
        <v>0</v>
      </c>
      <c r="H13" s="37">
        <v>112000</v>
      </c>
      <c r="I13" s="37">
        <v>45000</v>
      </c>
      <c r="J13" s="37">
        <v>6000</v>
      </c>
      <c r="K13" s="37"/>
      <c r="L13" s="37"/>
      <c r="M13" s="37"/>
      <c r="N13" s="37"/>
      <c r="O13" s="37">
        <f t="shared" si="0"/>
        <v>0</v>
      </c>
      <c r="P13" s="37"/>
      <c r="Q13" s="37"/>
      <c r="R13" s="37"/>
      <c r="S13" s="37"/>
      <c r="T13" s="37">
        <f t="shared" si="1"/>
        <v>822500</v>
      </c>
    </row>
    <row r="14" spans="1:20">
      <c r="A14" s="35" t="s">
        <v>44</v>
      </c>
      <c r="B14" s="37">
        <v>141500</v>
      </c>
      <c r="C14" s="37">
        <v>32000</v>
      </c>
      <c r="D14" s="37">
        <v>111000</v>
      </c>
      <c r="E14" s="37">
        <v>4000</v>
      </c>
      <c r="F14" s="37">
        <v>118000</v>
      </c>
      <c r="G14" s="37">
        <v>0</v>
      </c>
      <c r="H14" s="37">
        <v>66000</v>
      </c>
      <c r="I14" s="37">
        <v>24500</v>
      </c>
      <c r="J14" s="37">
        <v>0</v>
      </c>
      <c r="K14" s="37"/>
      <c r="L14" s="37"/>
      <c r="M14" s="37"/>
      <c r="N14" s="37"/>
      <c r="O14" s="37">
        <f t="shared" si="0"/>
        <v>0</v>
      </c>
      <c r="P14" s="37"/>
      <c r="Q14" s="37"/>
      <c r="R14" s="37"/>
      <c r="S14" s="37"/>
      <c r="T14" s="37">
        <f t="shared" si="1"/>
        <v>497000</v>
      </c>
    </row>
    <row r="15" spans="1:20">
      <c r="A15" s="35" t="s">
        <v>45</v>
      </c>
      <c r="B15" s="37">
        <v>108000</v>
      </c>
      <c r="C15" s="37">
        <v>13000</v>
      </c>
      <c r="D15" s="37">
        <v>112000</v>
      </c>
      <c r="E15" s="37">
        <v>6500</v>
      </c>
      <c r="F15" s="37">
        <v>108500</v>
      </c>
      <c r="G15" s="37">
        <v>0</v>
      </c>
      <c r="H15" s="37">
        <v>132500</v>
      </c>
      <c r="I15" s="37">
        <v>30000</v>
      </c>
      <c r="J15" s="37">
        <v>29000</v>
      </c>
      <c r="K15" s="37"/>
      <c r="L15" s="37"/>
      <c r="M15" s="37"/>
      <c r="N15" s="37"/>
      <c r="O15" s="37">
        <f t="shared" si="0"/>
        <v>0</v>
      </c>
      <c r="P15" s="37"/>
      <c r="Q15" s="37"/>
      <c r="R15" s="37"/>
      <c r="S15" s="37"/>
      <c r="T15" s="37">
        <f t="shared" si="1"/>
        <v>539500</v>
      </c>
    </row>
    <row r="16" spans="1:20">
      <c r="A16" s="35" t="s">
        <v>46</v>
      </c>
      <c r="B16" s="37">
        <v>195000</v>
      </c>
      <c r="C16" s="37">
        <v>42000</v>
      </c>
      <c r="D16" s="37">
        <v>136000</v>
      </c>
      <c r="E16" s="37">
        <v>19500</v>
      </c>
      <c r="F16" s="37">
        <v>132500</v>
      </c>
      <c r="G16" s="37">
        <v>0</v>
      </c>
      <c r="H16" s="37">
        <v>123000</v>
      </c>
      <c r="I16" s="37">
        <v>52500</v>
      </c>
      <c r="J16" s="37">
        <v>0</v>
      </c>
      <c r="K16" s="37"/>
      <c r="L16" s="37"/>
      <c r="M16" s="37"/>
      <c r="N16" s="37"/>
      <c r="O16" s="37">
        <f t="shared" si="0"/>
        <v>0</v>
      </c>
      <c r="P16" s="37"/>
      <c r="Q16" s="37"/>
      <c r="R16" s="37"/>
      <c r="S16" s="37"/>
      <c r="T16" s="37">
        <f t="shared" si="1"/>
        <v>700500</v>
      </c>
    </row>
    <row r="17" spans="1:20">
      <c r="A17" s="35" t="s">
        <v>47</v>
      </c>
      <c r="B17" s="37">
        <v>156000</v>
      </c>
      <c r="C17" s="37">
        <v>12000</v>
      </c>
      <c r="D17" s="37">
        <v>114500</v>
      </c>
      <c r="E17" s="37">
        <v>7500</v>
      </c>
      <c r="F17" s="37">
        <v>101500</v>
      </c>
      <c r="G17" s="37">
        <v>6000</v>
      </c>
      <c r="H17" s="37">
        <v>91000</v>
      </c>
      <c r="I17" s="37">
        <v>0</v>
      </c>
      <c r="J17" s="37">
        <v>2000</v>
      </c>
      <c r="K17" s="37"/>
      <c r="L17" s="37"/>
      <c r="M17" s="37"/>
      <c r="N17" s="37"/>
      <c r="O17" s="37">
        <f t="shared" si="0"/>
        <v>0</v>
      </c>
      <c r="P17" s="37"/>
      <c r="Q17" s="37"/>
      <c r="R17" s="37"/>
      <c r="S17" s="37"/>
      <c r="T17" s="37">
        <f t="shared" si="1"/>
        <v>490500</v>
      </c>
    </row>
    <row r="18" spans="1:20">
      <c r="A18" s="35" t="s">
        <v>48</v>
      </c>
      <c r="B18" s="37">
        <v>159000</v>
      </c>
      <c r="C18" s="37">
        <v>34000</v>
      </c>
      <c r="D18" s="37">
        <v>153500</v>
      </c>
      <c r="E18" s="37">
        <v>21500</v>
      </c>
      <c r="F18" s="37">
        <v>138500</v>
      </c>
      <c r="G18" s="37">
        <v>0</v>
      </c>
      <c r="H18" s="37">
        <v>137000</v>
      </c>
      <c r="I18" s="37">
        <v>73000</v>
      </c>
      <c r="J18" s="37">
        <v>4000</v>
      </c>
      <c r="K18" s="37"/>
      <c r="L18" s="37"/>
      <c r="M18" s="37"/>
      <c r="N18" s="37"/>
      <c r="O18" s="37">
        <f t="shared" si="0"/>
        <v>0</v>
      </c>
      <c r="P18" s="37"/>
      <c r="Q18" s="37"/>
      <c r="R18" s="37"/>
      <c r="S18" s="37"/>
      <c r="T18" s="37">
        <f t="shared" si="1"/>
        <v>720500</v>
      </c>
    </row>
    <row r="19" spans="1:20">
      <c r="A19" s="35" t="s">
        <v>49</v>
      </c>
      <c r="B19" s="37">
        <v>177500</v>
      </c>
      <c r="C19" s="37">
        <v>94000</v>
      </c>
      <c r="D19" s="37">
        <v>133500</v>
      </c>
      <c r="E19" s="37">
        <v>13000</v>
      </c>
      <c r="F19" s="37">
        <v>156000</v>
      </c>
      <c r="G19" s="37">
        <v>0</v>
      </c>
      <c r="H19" s="37">
        <v>120000</v>
      </c>
      <c r="I19" s="37">
        <v>46000</v>
      </c>
      <c r="J19" s="37">
        <v>2000</v>
      </c>
      <c r="K19" s="37"/>
      <c r="L19" s="37"/>
      <c r="M19" s="37"/>
      <c r="N19" s="37"/>
      <c r="O19" s="37">
        <f t="shared" si="0"/>
        <v>0</v>
      </c>
      <c r="P19" s="37"/>
      <c r="Q19" s="37"/>
      <c r="R19" s="37"/>
      <c r="S19" s="37"/>
      <c r="T19" s="37">
        <f t="shared" si="1"/>
        <v>742000</v>
      </c>
    </row>
    <row r="20" spans="1:20">
      <c r="A20" s="35" t="s">
        <v>50</v>
      </c>
      <c r="B20" s="37">
        <v>156000</v>
      </c>
      <c r="C20" s="37">
        <v>0</v>
      </c>
      <c r="D20" s="37">
        <v>83000</v>
      </c>
      <c r="E20" s="37">
        <v>16000</v>
      </c>
      <c r="F20" s="37">
        <v>151500</v>
      </c>
      <c r="G20" s="37">
        <v>0</v>
      </c>
      <c r="H20" s="37">
        <v>42000</v>
      </c>
      <c r="I20" s="37">
        <v>34000</v>
      </c>
      <c r="J20" s="37">
        <v>0</v>
      </c>
      <c r="K20" s="37"/>
      <c r="L20" s="37"/>
      <c r="M20" s="37"/>
      <c r="N20" s="37"/>
      <c r="O20" s="37">
        <f t="shared" si="0"/>
        <v>0</v>
      </c>
      <c r="P20" s="37"/>
      <c r="Q20" s="37"/>
      <c r="R20" s="37"/>
      <c r="S20" s="37"/>
      <c r="T20" s="37">
        <v>482500</v>
      </c>
    </row>
    <row r="21" spans="1:20">
      <c r="A21" s="35" t="s">
        <v>73</v>
      </c>
      <c r="B21" s="37">
        <v>154500</v>
      </c>
      <c r="C21" s="37">
        <v>62000</v>
      </c>
      <c r="D21" s="37">
        <v>93500</v>
      </c>
      <c r="E21" s="37">
        <v>15500</v>
      </c>
      <c r="F21" s="37">
        <v>120500</v>
      </c>
      <c r="G21" s="37">
        <v>0</v>
      </c>
      <c r="H21" s="37">
        <v>46000</v>
      </c>
      <c r="I21" s="37">
        <v>21000</v>
      </c>
      <c r="J21" s="37">
        <v>2000</v>
      </c>
      <c r="K21" s="37"/>
      <c r="L21" s="37"/>
      <c r="M21" s="37"/>
      <c r="N21" s="37"/>
      <c r="O21" s="37">
        <f t="shared" si="0"/>
        <v>0</v>
      </c>
      <c r="P21" s="37"/>
      <c r="Q21" s="37"/>
      <c r="R21" s="37"/>
      <c r="S21" s="37"/>
      <c r="T21" s="37">
        <f t="shared" si="1"/>
        <v>515000</v>
      </c>
    </row>
    <row r="22" spans="1:20">
      <c r="A22" s="35" t="s">
        <v>52</v>
      </c>
      <c r="B22" s="37">
        <v>119000</v>
      </c>
      <c r="C22" s="37">
        <v>38000</v>
      </c>
      <c r="D22" s="37">
        <v>87500</v>
      </c>
      <c r="E22" s="37">
        <v>12500</v>
      </c>
      <c r="F22" s="37">
        <v>94000</v>
      </c>
      <c r="G22" s="37">
        <v>0</v>
      </c>
      <c r="H22" s="37">
        <v>22000</v>
      </c>
      <c r="I22" s="37">
        <v>40500</v>
      </c>
      <c r="J22" s="37">
        <v>0</v>
      </c>
      <c r="K22" s="37" t="s">
        <v>136</v>
      </c>
      <c r="L22" s="37"/>
      <c r="M22" s="37"/>
      <c r="N22" s="37"/>
      <c r="O22" s="37">
        <f t="shared" si="0"/>
        <v>0</v>
      </c>
      <c r="P22" s="37"/>
      <c r="Q22" s="37"/>
      <c r="R22" s="37"/>
      <c r="S22" s="37"/>
      <c r="T22" s="37">
        <f t="shared" si="1"/>
        <v>413500</v>
      </c>
    </row>
    <row r="23" spans="1:20">
      <c r="A23" s="35" t="s">
        <v>53</v>
      </c>
      <c r="B23" s="37">
        <v>103000</v>
      </c>
      <c r="C23" s="37">
        <v>25000</v>
      </c>
      <c r="D23" s="37">
        <v>101000</v>
      </c>
      <c r="E23" s="37">
        <v>7500</v>
      </c>
      <c r="F23" s="37">
        <v>104000</v>
      </c>
      <c r="G23" s="37">
        <v>0</v>
      </c>
      <c r="H23" s="37">
        <v>27000</v>
      </c>
      <c r="I23" s="37">
        <v>48000</v>
      </c>
      <c r="J23" s="37">
        <v>10500</v>
      </c>
      <c r="K23" s="37"/>
      <c r="L23" s="37"/>
      <c r="M23" s="37"/>
      <c r="N23" s="37"/>
      <c r="O23" s="37">
        <f t="shared" si="0"/>
        <v>0</v>
      </c>
      <c r="P23" s="37"/>
      <c r="Q23" s="37"/>
      <c r="R23" s="37"/>
      <c r="S23" s="37"/>
      <c r="T23" s="37">
        <f t="shared" si="1"/>
        <v>426000</v>
      </c>
    </row>
    <row r="24" spans="1:20">
      <c r="A24" s="35" t="s">
        <v>54</v>
      </c>
      <c r="B24" s="37">
        <v>77000</v>
      </c>
      <c r="C24" s="37">
        <v>39000</v>
      </c>
      <c r="D24" s="37">
        <v>75000</v>
      </c>
      <c r="E24" s="37">
        <v>5000</v>
      </c>
      <c r="F24" s="37">
        <v>63000</v>
      </c>
      <c r="G24" s="37">
        <v>6000</v>
      </c>
      <c r="H24" s="37">
        <v>50000</v>
      </c>
      <c r="I24" s="37">
        <v>11000</v>
      </c>
      <c r="J24" s="37">
        <v>31000</v>
      </c>
      <c r="K24" s="37"/>
      <c r="L24" s="37"/>
      <c r="M24" s="37"/>
      <c r="N24" s="37"/>
      <c r="O24" s="37">
        <f t="shared" si="0"/>
        <v>0</v>
      </c>
      <c r="P24" s="37"/>
      <c r="Q24" s="37"/>
      <c r="R24" s="37"/>
      <c r="S24" s="37"/>
      <c r="T24" s="37">
        <v>357000</v>
      </c>
    </row>
    <row r="25" spans="1:20">
      <c r="A25" s="35" t="s">
        <v>55</v>
      </c>
      <c r="B25" s="37">
        <v>189500</v>
      </c>
      <c r="C25" s="37">
        <v>45000</v>
      </c>
      <c r="D25" s="37">
        <v>88500</v>
      </c>
      <c r="E25" s="37">
        <v>11000</v>
      </c>
      <c r="F25" s="37">
        <v>89000</v>
      </c>
      <c r="G25" s="37">
        <v>12000</v>
      </c>
      <c r="H25" s="37">
        <v>59000</v>
      </c>
      <c r="I25" s="37">
        <v>42500</v>
      </c>
      <c r="J25" s="37">
        <v>29500</v>
      </c>
      <c r="K25" s="37"/>
      <c r="L25" s="37"/>
      <c r="M25" s="37"/>
      <c r="N25" s="37"/>
      <c r="O25" s="37">
        <f t="shared" si="0"/>
        <v>0</v>
      </c>
      <c r="P25" s="37"/>
      <c r="Q25" s="37"/>
      <c r="R25" s="37"/>
      <c r="S25" s="37"/>
      <c r="T25" s="37">
        <f t="shared" si="1"/>
        <v>566000</v>
      </c>
    </row>
    <row r="26" spans="1:20">
      <c r="A26" s="35" t="s">
        <v>56</v>
      </c>
      <c r="B26" s="37">
        <v>149500</v>
      </c>
      <c r="C26" s="37">
        <v>82000</v>
      </c>
      <c r="D26" s="37">
        <v>102500</v>
      </c>
      <c r="E26" s="37">
        <v>10000</v>
      </c>
      <c r="F26" s="37">
        <v>96000</v>
      </c>
      <c r="G26" s="37">
        <v>6000</v>
      </c>
      <c r="H26" s="37">
        <v>68000</v>
      </c>
      <c r="I26" s="37">
        <v>60500</v>
      </c>
      <c r="J26" s="37">
        <v>11500</v>
      </c>
      <c r="K26" s="37"/>
      <c r="L26" s="37"/>
      <c r="M26" s="37"/>
      <c r="N26" s="37"/>
      <c r="O26" s="37">
        <f t="shared" si="0"/>
        <v>0</v>
      </c>
      <c r="P26" s="37"/>
      <c r="Q26" s="37"/>
      <c r="R26" s="37"/>
      <c r="S26" s="37"/>
      <c r="T26" s="37">
        <f t="shared" si="1"/>
        <v>586000</v>
      </c>
    </row>
    <row r="27" spans="1:20">
      <c r="A27" s="35" t="s">
        <v>57</v>
      </c>
      <c r="B27" s="37">
        <v>147000</v>
      </c>
      <c r="C27" s="37">
        <v>58000</v>
      </c>
      <c r="D27" s="37">
        <v>112000</v>
      </c>
      <c r="E27" s="37">
        <v>28000</v>
      </c>
      <c r="F27" s="37">
        <v>118000</v>
      </c>
      <c r="G27" s="37">
        <v>0</v>
      </c>
      <c r="H27" s="37">
        <v>78000</v>
      </c>
      <c r="I27" s="37">
        <v>53000</v>
      </c>
      <c r="J27" s="37">
        <v>8000</v>
      </c>
      <c r="K27" s="37"/>
      <c r="L27" s="37"/>
      <c r="M27" s="37"/>
      <c r="N27" s="37"/>
      <c r="O27" s="31">
        <f t="shared" si="0"/>
        <v>0</v>
      </c>
      <c r="P27" s="37"/>
      <c r="Q27" s="37"/>
      <c r="R27" s="37"/>
      <c r="S27" s="37"/>
      <c r="T27" s="37">
        <f t="shared" si="1"/>
        <v>602000</v>
      </c>
    </row>
    <row r="28" spans="1:20">
      <c r="A28" s="35" t="s">
        <v>58</v>
      </c>
      <c r="B28" s="37">
        <v>112000</v>
      </c>
      <c r="C28" s="37">
        <v>56000</v>
      </c>
      <c r="D28" s="37">
        <v>104500</v>
      </c>
      <c r="E28" s="37">
        <v>1500</v>
      </c>
      <c r="F28" s="37">
        <v>107000</v>
      </c>
      <c r="G28" s="37">
        <v>12000</v>
      </c>
      <c r="H28" s="37">
        <v>55000</v>
      </c>
      <c r="I28" s="37">
        <v>39000</v>
      </c>
      <c r="J28" s="37">
        <v>2000</v>
      </c>
      <c r="K28" s="37"/>
      <c r="L28" s="37"/>
      <c r="M28" s="37"/>
      <c r="N28" s="37"/>
      <c r="O28" s="37">
        <f t="shared" si="0"/>
        <v>0</v>
      </c>
      <c r="P28" s="37"/>
      <c r="Q28" s="37"/>
      <c r="R28" s="37"/>
      <c r="S28" s="37"/>
      <c r="T28" s="37">
        <f t="shared" si="1"/>
        <v>489000</v>
      </c>
    </row>
    <row r="29" spans="1:20">
      <c r="A29" s="35" t="s">
        <v>59</v>
      </c>
      <c r="B29" s="37">
        <v>152000</v>
      </c>
      <c r="C29" s="37">
        <v>96000</v>
      </c>
      <c r="D29" s="37">
        <v>107500</v>
      </c>
      <c r="E29" s="37">
        <v>20000</v>
      </c>
      <c r="F29" s="37">
        <v>132000</v>
      </c>
      <c r="G29" s="37">
        <v>24000</v>
      </c>
      <c r="H29" s="37">
        <v>79500</v>
      </c>
      <c r="I29" s="37">
        <v>56000</v>
      </c>
      <c r="J29" s="37">
        <v>7000</v>
      </c>
      <c r="K29" s="37"/>
      <c r="L29" s="37"/>
      <c r="M29" s="37"/>
      <c r="N29" s="37"/>
      <c r="O29" s="37">
        <f t="shared" si="0"/>
        <v>0</v>
      </c>
      <c r="P29" s="37"/>
      <c r="Q29" s="37"/>
      <c r="R29" s="37"/>
      <c r="S29" s="37"/>
      <c r="T29" s="37">
        <f t="shared" si="1"/>
        <v>674000</v>
      </c>
    </row>
    <row r="30" spans="1:20">
      <c r="A30" s="35" t="s">
        <v>60</v>
      </c>
      <c r="B30" s="37">
        <v>171000</v>
      </c>
      <c r="C30" s="37">
        <v>83000</v>
      </c>
      <c r="D30" s="37">
        <v>112000</v>
      </c>
      <c r="E30" s="37">
        <v>30000</v>
      </c>
      <c r="F30" s="37">
        <v>103000</v>
      </c>
      <c r="G30" s="37">
        <v>0</v>
      </c>
      <c r="H30" s="37">
        <v>96500</v>
      </c>
      <c r="I30" s="37">
        <v>45500</v>
      </c>
      <c r="J30" s="37">
        <v>15500</v>
      </c>
      <c r="K30" s="37"/>
      <c r="L30" s="37"/>
      <c r="M30" s="37"/>
      <c r="N30" s="37"/>
      <c r="O30" s="37">
        <f t="shared" si="0"/>
        <v>0</v>
      </c>
      <c r="P30" s="37"/>
      <c r="Q30" s="37"/>
      <c r="R30" s="37"/>
      <c r="S30" s="37"/>
      <c r="T30" s="37">
        <f t="shared" si="1"/>
        <v>656500</v>
      </c>
    </row>
    <row r="31" spans="1:20">
      <c r="A31" s="35" t="s">
        <v>61</v>
      </c>
      <c r="B31" s="31">
        <v>143000</v>
      </c>
      <c r="C31" s="31">
        <v>30000</v>
      </c>
      <c r="D31" s="31">
        <v>86000</v>
      </c>
      <c r="E31" s="31">
        <v>5000</v>
      </c>
      <c r="F31" s="31">
        <v>120000</v>
      </c>
      <c r="G31" s="31">
        <v>6000</v>
      </c>
      <c r="H31" s="31">
        <v>94000</v>
      </c>
      <c r="I31" s="31">
        <v>103000</v>
      </c>
      <c r="J31" s="31">
        <v>2000</v>
      </c>
      <c r="K31" s="31"/>
      <c r="L31" s="31"/>
      <c r="M31" s="31"/>
      <c r="N31" s="31"/>
      <c r="O31" s="31">
        <f t="shared" si="0"/>
        <v>0</v>
      </c>
      <c r="P31" s="31"/>
      <c r="Q31" s="31"/>
      <c r="R31" s="31"/>
      <c r="S31" s="31"/>
      <c r="T31" s="37">
        <f t="shared" si="1"/>
        <v>589000</v>
      </c>
    </row>
    <row r="32" spans="1:20">
      <c r="A32" s="35" t="s">
        <v>62</v>
      </c>
      <c r="B32" s="31">
        <v>134000</v>
      </c>
      <c r="C32" s="31">
        <v>56000</v>
      </c>
      <c r="D32" s="31">
        <v>93000</v>
      </c>
      <c r="E32" s="31">
        <v>10000</v>
      </c>
      <c r="F32" s="31">
        <v>107000</v>
      </c>
      <c r="G32" s="31">
        <v>12000</v>
      </c>
      <c r="H32" s="31">
        <v>24000</v>
      </c>
      <c r="I32" s="31">
        <v>98000</v>
      </c>
      <c r="J32" s="31">
        <v>16000</v>
      </c>
      <c r="K32" s="31"/>
      <c r="L32" s="31"/>
      <c r="M32" s="31"/>
      <c r="N32" s="31"/>
      <c r="O32" s="31">
        <f t="shared" si="0"/>
        <v>0</v>
      </c>
      <c r="P32" s="31"/>
      <c r="Q32" s="31"/>
      <c r="R32" s="31"/>
      <c r="S32" s="31"/>
      <c r="T32" s="37">
        <f t="shared" si="1"/>
        <v>550000</v>
      </c>
    </row>
    <row r="33" spans="1:21">
      <c r="A33" s="35" t="s">
        <v>63</v>
      </c>
      <c r="B33" s="31">
        <v>139000</v>
      </c>
      <c r="C33" s="31">
        <v>0</v>
      </c>
      <c r="D33" s="31">
        <v>99500</v>
      </c>
      <c r="E33" s="31">
        <v>4000</v>
      </c>
      <c r="F33" s="31">
        <v>95000</v>
      </c>
      <c r="G33" s="31">
        <v>0</v>
      </c>
      <c r="H33" s="31">
        <v>109000</v>
      </c>
      <c r="I33" s="31">
        <v>22000</v>
      </c>
      <c r="J33" s="31">
        <v>7000</v>
      </c>
      <c r="K33" s="31"/>
      <c r="L33" s="31"/>
      <c r="M33" s="31"/>
      <c r="N33" s="31"/>
      <c r="O33" s="31">
        <f t="shared" si="0"/>
        <v>0</v>
      </c>
      <c r="P33" s="31"/>
      <c r="Q33" s="31"/>
      <c r="R33" s="31"/>
      <c r="S33" s="31"/>
      <c r="T33" s="37">
        <f t="shared" si="1"/>
        <v>475500</v>
      </c>
    </row>
    <row r="34" spans="1:21">
      <c r="A34" s="35" t="s">
        <v>64</v>
      </c>
      <c r="B34" s="31"/>
      <c r="C34" s="31"/>
      <c r="D34" s="31"/>
      <c r="E34" s="31"/>
      <c r="F34" s="31"/>
      <c r="G34" s="31"/>
      <c r="H34" s="31"/>
      <c r="I34" s="31">
        <f>SUM(I65)</f>
        <v>0</v>
      </c>
      <c r="J34" s="31">
        <f>SUM(I34)</f>
        <v>0</v>
      </c>
      <c r="K34" s="31"/>
      <c r="L34" s="31"/>
      <c r="M34" s="31"/>
      <c r="N34" s="31"/>
      <c r="O34" s="46">
        <f t="shared" si="0"/>
        <v>0</v>
      </c>
      <c r="P34" s="31"/>
      <c r="Q34" s="31"/>
      <c r="R34" s="31"/>
      <c r="S34" s="31"/>
      <c r="T34" s="31">
        <f t="shared" si="1"/>
        <v>0</v>
      </c>
    </row>
    <row r="35" spans="1:21">
      <c r="A35" s="35" t="s">
        <v>83</v>
      </c>
      <c r="B35" s="31"/>
      <c r="C35" s="31"/>
      <c r="D35" s="31"/>
      <c r="E35" s="31"/>
      <c r="F35" s="31"/>
      <c r="G35" s="31"/>
      <c r="H35" s="31"/>
      <c r="I35" s="31">
        <f>SUM(I66)</f>
        <v>0</v>
      </c>
      <c r="J35" s="31">
        <f>SUM(I35)</f>
        <v>0</v>
      </c>
      <c r="K35" s="31"/>
      <c r="L35" s="31"/>
      <c r="M35" s="31"/>
      <c r="N35" s="31"/>
      <c r="O35" s="31">
        <f t="shared" si="0"/>
        <v>0</v>
      </c>
      <c r="P35" s="31"/>
      <c r="Q35" s="31"/>
      <c r="R35" s="31"/>
      <c r="S35" s="31"/>
      <c r="T35" s="31">
        <f t="shared" si="1"/>
        <v>0</v>
      </c>
    </row>
    <row r="36" spans="1:21">
      <c r="A36" s="35" t="s">
        <v>84</v>
      </c>
      <c r="B36" s="31"/>
      <c r="C36" s="31"/>
      <c r="D36" s="31"/>
      <c r="E36" s="31"/>
      <c r="F36" s="31"/>
      <c r="G36" s="31"/>
      <c r="H36" s="31"/>
      <c r="I36" s="31">
        <f>SUM(I67)</f>
        <v>0</v>
      </c>
      <c r="J36" s="31">
        <f>SUM(I36)</f>
        <v>0</v>
      </c>
      <c r="K36" s="31"/>
      <c r="L36" s="31"/>
      <c r="M36" s="31"/>
      <c r="N36" s="31"/>
      <c r="O36" s="31">
        <f t="shared" si="0"/>
        <v>0</v>
      </c>
      <c r="P36" s="31"/>
      <c r="Q36" s="31"/>
      <c r="R36" s="31"/>
      <c r="S36" s="31"/>
      <c r="T36" s="31">
        <f t="shared" si="1"/>
        <v>0</v>
      </c>
    </row>
    <row r="37" spans="1:21">
      <c r="A37" s="40" t="s">
        <v>23</v>
      </c>
      <c r="B37" s="41">
        <f t="shared" ref="B37:H37" si="2">SUM(B6:B36)</f>
        <v>3993000</v>
      </c>
      <c r="C37" s="41">
        <f t="shared" si="2"/>
        <v>1584000</v>
      </c>
      <c r="D37" s="41">
        <f t="shared" si="2"/>
        <v>2944500</v>
      </c>
      <c r="E37" s="41">
        <f t="shared" si="2"/>
        <v>373000</v>
      </c>
      <c r="F37" s="41">
        <f t="shared" si="2"/>
        <v>3205800</v>
      </c>
      <c r="G37" s="41">
        <f t="shared" si="2"/>
        <v>84000</v>
      </c>
      <c r="H37" s="41">
        <f t="shared" si="2"/>
        <v>2191500</v>
      </c>
      <c r="I37" s="41">
        <f>SUM(I68)</f>
        <v>0</v>
      </c>
      <c r="J37" s="41">
        <f>SUM(I37)</f>
        <v>0</v>
      </c>
      <c r="K37" s="31"/>
      <c r="L37" s="31"/>
      <c r="M37" s="31"/>
      <c r="N37" s="31"/>
      <c r="O37" s="31">
        <f t="shared" si="0"/>
        <v>0</v>
      </c>
      <c r="P37" s="31"/>
      <c r="Q37" s="31"/>
      <c r="R37" s="31">
        <f>SUM(R6:R36)</f>
        <v>0</v>
      </c>
      <c r="S37" s="31"/>
      <c r="T37" s="31"/>
    </row>
    <row r="38" spans="1:21">
      <c r="T38" s="47">
        <f>SUM(T6:T37)</f>
        <v>16027300</v>
      </c>
    </row>
    <row r="40" spans="1:21">
      <c r="B40" s="35"/>
      <c r="C40" s="31"/>
      <c r="D40" s="31"/>
      <c r="E40" s="31"/>
      <c r="F40" s="31"/>
      <c r="G40" s="31"/>
      <c r="H40" s="31"/>
      <c r="I40" s="31"/>
      <c r="J40" s="31"/>
      <c r="K40" s="31"/>
      <c r="L40" s="31"/>
      <c r="M40" s="31"/>
      <c r="N40" s="31"/>
      <c r="O40" s="31"/>
      <c r="P40" s="31"/>
      <c r="Q40" s="31"/>
      <c r="R40" s="31"/>
      <c r="S40" s="31"/>
      <c r="T40" s="31"/>
      <c r="U40" s="31"/>
    </row>
    <row r="41" spans="1:21">
      <c r="B41" s="35"/>
      <c r="C41" s="31"/>
      <c r="D41" s="31"/>
      <c r="E41" s="31"/>
      <c r="F41" s="31"/>
      <c r="G41" s="31"/>
      <c r="H41" s="31"/>
      <c r="I41" s="31"/>
      <c r="J41" s="31"/>
      <c r="K41" s="31"/>
      <c r="L41" s="31"/>
      <c r="M41" s="31"/>
      <c r="N41" s="31"/>
      <c r="O41" s="31"/>
      <c r="P41" s="31"/>
      <c r="Q41" s="31"/>
      <c r="R41" s="31"/>
      <c r="S41" s="31"/>
      <c r="T41" s="31"/>
      <c r="U41" s="31"/>
    </row>
    <row r="42" spans="1:21">
      <c r="B42" s="40"/>
      <c r="C42" s="41"/>
      <c r="D42" s="41"/>
      <c r="E42" s="41"/>
      <c r="F42" s="41"/>
      <c r="G42" s="41"/>
      <c r="H42" s="41"/>
      <c r="I42" s="41"/>
      <c r="J42" s="41"/>
      <c r="K42" s="41"/>
      <c r="L42" s="31"/>
      <c r="M42" s="31"/>
      <c r="N42" s="31"/>
      <c r="O42" s="31"/>
      <c r="P42" s="31"/>
      <c r="Q42" s="31"/>
      <c r="R42" s="31"/>
      <c r="S42" s="31"/>
      <c r="T42" s="31"/>
      <c r="U42" s="31"/>
    </row>
    <row r="43" spans="1:21">
      <c r="U43" s="47"/>
    </row>
  </sheetData>
  <mergeCells count="4">
    <mergeCell ref="B1:T1"/>
    <mergeCell ref="B2:T2"/>
    <mergeCell ref="C3:F3"/>
    <mergeCell ref="C4:F4"/>
  </mergeCell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N20"/>
  <sheetViews>
    <sheetView workbookViewId="0">
      <selection sqref="A1:H21"/>
    </sheetView>
  </sheetViews>
  <sheetFormatPr defaultRowHeight="15"/>
  <cols>
    <col min="1" max="1" width="12.85546875" customWidth="1"/>
    <col min="2" max="2" width="17.7109375" customWidth="1"/>
    <col min="3" max="4" width="12.7109375" customWidth="1"/>
    <col min="5" max="5" width="14.7109375" customWidth="1"/>
    <col min="6" max="6" width="14.85546875" customWidth="1"/>
    <col min="7" max="7" width="17.140625" customWidth="1"/>
  </cols>
  <sheetData>
    <row r="1" spans="1:7" ht="16.5" thickBot="1">
      <c r="A1" s="6" t="s">
        <v>24</v>
      </c>
      <c r="B1" s="70" t="s">
        <v>133</v>
      </c>
      <c r="C1" s="71"/>
      <c r="D1" s="72"/>
      <c r="E1" s="11"/>
      <c r="F1" s="11"/>
      <c r="G1" s="12"/>
    </row>
    <row r="2" spans="1:7" ht="15.75">
      <c r="A2" s="13" t="s">
        <v>25</v>
      </c>
      <c r="B2" s="14" t="s">
        <v>26</v>
      </c>
      <c r="C2" s="14" t="s">
        <v>27</v>
      </c>
      <c r="D2" s="14" t="s">
        <v>129</v>
      </c>
      <c r="E2" s="14" t="s">
        <v>29</v>
      </c>
      <c r="F2" s="15" t="s">
        <v>30</v>
      </c>
      <c r="G2" s="16" t="s">
        <v>31</v>
      </c>
    </row>
    <row r="3" spans="1:7" ht="15.75">
      <c r="A3" s="17" t="s">
        <v>4</v>
      </c>
      <c r="B3" s="18">
        <v>1202300</v>
      </c>
      <c r="C3" s="18">
        <v>919500</v>
      </c>
      <c r="D3" s="18">
        <v>819500</v>
      </c>
      <c r="E3" s="18">
        <v>1114500</v>
      </c>
      <c r="F3" s="19">
        <v>827000</v>
      </c>
      <c r="G3" s="20">
        <f t="shared" ref="G3:G11" si="0">SUM(B3:F3)</f>
        <v>4882800</v>
      </c>
    </row>
    <row r="4" spans="1:7" ht="15.75">
      <c r="A4" s="17" t="s">
        <v>5</v>
      </c>
      <c r="B4" s="18">
        <v>831500</v>
      </c>
      <c r="C4" s="18">
        <v>670000</v>
      </c>
      <c r="D4" s="18">
        <v>63500</v>
      </c>
      <c r="E4" s="18">
        <v>406000</v>
      </c>
      <c r="F4" s="19">
        <v>178000</v>
      </c>
      <c r="G4" s="20">
        <f t="shared" si="0"/>
        <v>2149000</v>
      </c>
    </row>
    <row r="5" spans="1:7" ht="15.75">
      <c r="A5" s="17" t="s">
        <v>32</v>
      </c>
      <c r="B5" s="18">
        <v>800000</v>
      </c>
      <c r="C5" s="18">
        <v>761500</v>
      </c>
      <c r="D5" s="18">
        <v>668500</v>
      </c>
      <c r="E5" s="18">
        <v>640000</v>
      </c>
      <c r="F5" s="19">
        <v>544000</v>
      </c>
      <c r="G5" s="20">
        <f t="shared" si="0"/>
        <v>3414000</v>
      </c>
    </row>
    <row r="6" spans="1:7" ht="15.75">
      <c r="A6" s="17" t="s">
        <v>33</v>
      </c>
      <c r="B6" s="18">
        <v>115500</v>
      </c>
      <c r="C6" s="18">
        <v>412500</v>
      </c>
      <c r="D6" s="18">
        <v>210000</v>
      </c>
      <c r="E6" s="18">
        <v>218000</v>
      </c>
      <c r="F6" s="19">
        <v>127500</v>
      </c>
      <c r="G6" s="20">
        <f t="shared" si="0"/>
        <v>1083500</v>
      </c>
    </row>
    <row r="7" spans="1:7" ht="15.75">
      <c r="A7" s="17" t="s">
        <v>8</v>
      </c>
      <c r="B7" s="18">
        <v>704500</v>
      </c>
      <c r="C7" s="18">
        <v>817000</v>
      </c>
      <c r="D7" s="18">
        <v>733200</v>
      </c>
      <c r="E7" s="18">
        <v>628000</v>
      </c>
      <c r="F7" s="19">
        <v>623000</v>
      </c>
      <c r="G7" s="20">
        <f t="shared" si="0"/>
        <v>3505700</v>
      </c>
    </row>
    <row r="8" spans="1:7" ht="15.75">
      <c r="A8" s="17" t="s">
        <v>9</v>
      </c>
      <c r="B8" s="18">
        <v>19000</v>
      </c>
      <c r="C8" s="18">
        <v>0</v>
      </c>
      <c r="D8" s="18">
        <v>0</v>
      </c>
      <c r="E8" s="18">
        <v>15000</v>
      </c>
      <c r="F8" s="19">
        <v>0</v>
      </c>
      <c r="G8" s="20">
        <f t="shared" si="0"/>
        <v>34000</v>
      </c>
    </row>
    <row r="9" spans="1:7" ht="15.75">
      <c r="A9" s="17" t="s">
        <v>10</v>
      </c>
      <c r="B9" s="18">
        <v>613000</v>
      </c>
      <c r="C9" s="18">
        <v>481000</v>
      </c>
      <c r="D9" s="18">
        <v>415000</v>
      </c>
      <c r="E9" s="18">
        <v>535000</v>
      </c>
      <c r="F9" s="19">
        <v>462000</v>
      </c>
      <c r="G9" s="20">
        <f t="shared" si="0"/>
        <v>2506000</v>
      </c>
    </row>
    <row r="10" spans="1:7" ht="15.75">
      <c r="A10" s="17" t="s">
        <v>11</v>
      </c>
      <c r="B10" s="18">
        <v>234500</v>
      </c>
      <c r="C10" s="18">
        <v>318500</v>
      </c>
      <c r="D10" s="18">
        <v>369500</v>
      </c>
      <c r="E10" s="18">
        <v>380500</v>
      </c>
      <c r="F10" s="19">
        <v>437000</v>
      </c>
      <c r="G10" s="20">
        <f t="shared" si="0"/>
        <v>1740000</v>
      </c>
    </row>
    <row r="11" spans="1:7" ht="15.75">
      <c r="A11" s="17" t="s">
        <v>12</v>
      </c>
      <c r="B11" s="18">
        <v>205000</v>
      </c>
      <c r="C11" s="18">
        <v>40000</v>
      </c>
      <c r="D11" s="18">
        <v>216000</v>
      </c>
      <c r="E11" s="18">
        <v>160000</v>
      </c>
      <c r="F11" s="19">
        <v>122000</v>
      </c>
      <c r="G11" s="20">
        <f t="shared" si="0"/>
        <v>743000</v>
      </c>
    </row>
    <row r="12" spans="1:7" ht="15.75">
      <c r="A12" s="17" t="s">
        <v>13</v>
      </c>
      <c r="B12" s="18"/>
      <c r="C12" s="18"/>
      <c r="D12" s="18"/>
      <c r="E12" s="18"/>
      <c r="F12" s="19"/>
      <c r="G12" s="20"/>
    </row>
    <row r="13" spans="1:7" ht="15.75">
      <c r="A13" s="17" t="s">
        <v>14</v>
      </c>
      <c r="B13" s="18"/>
      <c r="C13" s="18"/>
      <c r="D13" s="18"/>
      <c r="E13" s="18"/>
      <c r="F13" s="19"/>
      <c r="G13" s="20"/>
    </row>
    <row r="14" spans="1:7" ht="15.75">
      <c r="A14" s="17" t="s">
        <v>15</v>
      </c>
      <c r="B14" s="18"/>
      <c r="C14" s="18"/>
      <c r="D14" s="18"/>
      <c r="E14" s="18"/>
      <c r="F14" s="19"/>
      <c r="G14" s="20"/>
    </row>
    <row r="15" spans="1:7" ht="15.75">
      <c r="A15" s="17" t="s">
        <v>16</v>
      </c>
      <c r="B15" s="18"/>
      <c r="C15" s="18"/>
      <c r="D15" s="18"/>
      <c r="E15" s="18"/>
      <c r="F15" s="19"/>
      <c r="G15" s="20"/>
    </row>
    <row r="16" spans="1:7" ht="15.75">
      <c r="A16" s="17" t="s">
        <v>17</v>
      </c>
      <c r="B16" s="18">
        <v>19000</v>
      </c>
      <c r="C16" s="18">
        <v>69000</v>
      </c>
      <c r="D16" s="18">
        <v>110000</v>
      </c>
      <c r="E16" s="18">
        <v>6000</v>
      </c>
      <c r="F16" s="19"/>
      <c r="G16" s="20">
        <v>204000</v>
      </c>
    </row>
    <row r="17" spans="1:14" ht="15.75">
      <c r="A17" s="17" t="s">
        <v>18</v>
      </c>
      <c r="B17" s="18"/>
      <c r="C17" s="18"/>
      <c r="D17" s="18"/>
      <c r="E17" s="18"/>
      <c r="F17" s="19"/>
      <c r="G17" s="20"/>
      <c r="N17" t="s">
        <v>134</v>
      </c>
    </row>
    <row r="18" spans="1:14" ht="15.75">
      <c r="A18" s="17" t="s">
        <v>19</v>
      </c>
      <c r="B18" s="18"/>
      <c r="C18" s="18"/>
      <c r="D18" s="18"/>
      <c r="E18" s="18"/>
      <c r="F18" s="19"/>
      <c r="G18" s="20"/>
    </row>
    <row r="19" spans="1:14" ht="15.75">
      <c r="A19" s="17" t="s">
        <v>34</v>
      </c>
      <c r="B19" s="18"/>
      <c r="C19" s="18"/>
      <c r="D19" s="18"/>
      <c r="E19" s="18"/>
      <c r="F19" s="19"/>
      <c r="G19" s="20"/>
    </row>
    <row r="20" spans="1:14" ht="16.5" thickBot="1">
      <c r="A20" s="21" t="s">
        <v>35</v>
      </c>
      <c r="B20" s="22">
        <v>4544800</v>
      </c>
      <c r="C20" s="22">
        <f>SUM(C3:C19)</f>
        <v>4489000</v>
      </c>
      <c r="D20" s="22">
        <f>SUM(D3:D19)</f>
        <v>3605200</v>
      </c>
      <c r="E20" s="22">
        <f>SUM(E3:E19)</f>
        <v>4103000</v>
      </c>
      <c r="F20" s="22">
        <f>SUM(F3:F19)</f>
        <v>3320500</v>
      </c>
      <c r="G20" s="23">
        <v>20058000</v>
      </c>
    </row>
  </sheetData>
  <mergeCells count="1">
    <mergeCell ref="B1:D1"/>
  </mergeCell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43"/>
  <sheetViews>
    <sheetView topLeftCell="A17" workbookViewId="0">
      <selection activeCell="B11" sqref="B11"/>
    </sheetView>
  </sheetViews>
  <sheetFormatPr defaultRowHeight="15"/>
  <cols>
    <col min="1" max="1" width="13.7109375" customWidth="1"/>
    <col min="2" max="2" width="16.28515625" customWidth="1"/>
    <col min="3" max="3" width="11" customWidth="1"/>
    <col min="4" max="4" width="10.7109375" customWidth="1"/>
    <col min="5" max="5" width="10.42578125" customWidth="1"/>
    <col min="6" max="6" width="10.28515625" customWidth="1"/>
    <col min="8" max="8" width="10.5703125" customWidth="1"/>
    <col min="9" max="9" width="11" customWidth="1"/>
    <col min="10" max="10" width="10.42578125" customWidth="1"/>
    <col min="20" max="20" width="11.28515625" customWidth="1"/>
  </cols>
  <sheetData>
    <row r="1" spans="1:20" ht="26.25" customHeight="1">
      <c r="A1" s="28"/>
      <c r="B1" s="55" t="s">
        <v>68</v>
      </c>
      <c r="C1" s="56"/>
      <c r="D1" s="56"/>
      <c r="E1" s="56"/>
      <c r="F1" s="56"/>
      <c r="G1" s="56"/>
      <c r="H1" s="56"/>
      <c r="I1" s="56"/>
      <c r="J1" s="56"/>
      <c r="K1" s="56"/>
      <c r="L1" s="56"/>
      <c r="M1" s="56"/>
      <c r="N1" s="56"/>
      <c r="O1" s="56"/>
      <c r="P1" s="56"/>
      <c r="Q1" s="56"/>
      <c r="R1" s="56"/>
      <c r="S1" s="56"/>
      <c r="T1" s="57"/>
    </row>
    <row r="2" spans="1:20" ht="27" thickBot="1">
      <c r="A2" s="4"/>
      <c r="B2" s="58" t="s">
        <v>135</v>
      </c>
      <c r="C2" s="59"/>
      <c r="D2" s="59"/>
      <c r="E2" s="59"/>
      <c r="F2" s="59"/>
      <c r="G2" s="59"/>
      <c r="H2" s="59"/>
      <c r="I2" s="59"/>
      <c r="J2" s="59"/>
      <c r="K2" s="59"/>
      <c r="L2" s="59"/>
      <c r="M2" s="59"/>
      <c r="N2" s="59"/>
      <c r="O2" s="59"/>
      <c r="P2" s="59"/>
      <c r="Q2" s="59"/>
      <c r="R2" s="59"/>
      <c r="S2" s="59"/>
      <c r="T2" s="60"/>
    </row>
    <row r="3" spans="1:20" ht="27" customHeight="1" thickBot="1">
      <c r="A3" s="4"/>
      <c r="B3" s="29" t="s">
        <v>1</v>
      </c>
      <c r="C3" s="61" t="s">
        <v>69</v>
      </c>
      <c r="D3" s="62"/>
      <c r="E3" s="62"/>
      <c r="F3" s="63"/>
      <c r="G3" s="52">
        <v>46082</v>
      </c>
    </row>
    <row r="4" spans="1:20" ht="21">
      <c r="A4" s="4"/>
      <c r="B4" s="30" t="s">
        <v>2</v>
      </c>
      <c r="C4" s="64">
        <v>46082</v>
      </c>
      <c r="D4" s="65"/>
      <c r="E4" s="65"/>
      <c r="F4" s="66"/>
    </row>
    <row r="5" spans="1:20" ht="67.5">
      <c r="A5" s="32" t="s">
        <v>3</v>
      </c>
      <c r="B5" s="33" t="s">
        <v>4</v>
      </c>
      <c r="C5" s="33" t="s">
        <v>5</v>
      </c>
      <c r="D5" s="33" t="s">
        <v>6</v>
      </c>
      <c r="E5" s="33" t="s">
        <v>7</v>
      </c>
      <c r="F5" s="33" t="s">
        <v>8</v>
      </c>
      <c r="G5" s="33" t="s">
        <v>9</v>
      </c>
      <c r="H5" s="33" t="s">
        <v>10</v>
      </c>
      <c r="I5" s="33" t="s">
        <v>11</v>
      </c>
      <c r="J5" s="33" t="s">
        <v>12</v>
      </c>
      <c r="K5" s="33" t="s">
        <v>13</v>
      </c>
      <c r="L5" s="33" t="s">
        <v>14</v>
      </c>
      <c r="M5" s="33" t="s">
        <v>15</v>
      </c>
      <c r="N5" s="33" t="s">
        <v>16</v>
      </c>
      <c r="O5" s="33" t="s">
        <v>17</v>
      </c>
      <c r="P5" s="33" t="s">
        <v>18</v>
      </c>
      <c r="Q5" s="33" t="s">
        <v>19</v>
      </c>
      <c r="R5" s="33" t="s">
        <v>20</v>
      </c>
      <c r="S5" s="33" t="s">
        <v>21</v>
      </c>
      <c r="T5" s="33" t="s">
        <v>22</v>
      </c>
    </row>
    <row r="6" spans="1:20" ht="26.25" customHeight="1">
      <c r="A6" s="35" t="s">
        <v>67</v>
      </c>
      <c r="B6" s="36">
        <v>152500</v>
      </c>
      <c r="C6" s="36">
        <v>105000</v>
      </c>
      <c r="D6" s="36">
        <v>95000</v>
      </c>
      <c r="E6" s="36">
        <v>3000</v>
      </c>
      <c r="F6" s="36">
        <v>147500</v>
      </c>
      <c r="G6" s="36">
        <v>0</v>
      </c>
      <c r="H6" s="36">
        <v>87000</v>
      </c>
      <c r="I6" s="36">
        <v>51000</v>
      </c>
      <c r="J6" s="36">
        <v>2000</v>
      </c>
      <c r="K6" s="36"/>
      <c r="L6" s="36"/>
      <c r="M6" s="36"/>
      <c r="N6" s="36"/>
      <c r="O6" s="36">
        <v>0</v>
      </c>
      <c r="P6" s="36"/>
      <c r="Q6" s="36"/>
      <c r="R6" s="36"/>
      <c r="S6" s="37"/>
      <c r="T6" s="37">
        <f>SUM(B6:O6)</f>
        <v>643000</v>
      </c>
    </row>
    <row r="7" spans="1:20">
      <c r="A7" s="35" t="s">
        <v>37</v>
      </c>
      <c r="B7" s="36">
        <v>166500</v>
      </c>
      <c r="C7" s="36">
        <v>561000</v>
      </c>
      <c r="D7" s="36">
        <v>76500</v>
      </c>
      <c r="E7" s="36">
        <v>0</v>
      </c>
      <c r="F7" s="36">
        <v>120000</v>
      </c>
      <c r="G7" s="36">
        <v>0</v>
      </c>
      <c r="H7" s="36">
        <v>38000</v>
      </c>
      <c r="I7" s="36">
        <v>40500</v>
      </c>
      <c r="J7" s="36">
        <v>8000</v>
      </c>
      <c r="K7" s="36"/>
      <c r="L7" s="36"/>
      <c r="M7" s="36"/>
      <c r="N7" s="36"/>
      <c r="O7" s="36">
        <v>0</v>
      </c>
      <c r="P7" s="36"/>
      <c r="Q7" s="36"/>
      <c r="R7" s="36"/>
      <c r="S7" s="37"/>
      <c r="T7" s="37">
        <f t="shared" ref="T7:T36" si="0">SUM(B7:O7)</f>
        <v>1010500</v>
      </c>
    </row>
    <row r="8" spans="1:20" ht="27" customHeight="1">
      <c r="A8" s="35" t="s">
        <v>38</v>
      </c>
      <c r="B8" s="36">
        <v>194000</v>
      </c>
      <c r="C8" s="36">
        <v>708000</v>
      </c>
      <c r="D8" s="36">
        <v>107000</v>
      </c>
      <c r="E8" s="36">
        <v>10000</v>
      </c>
      <c r="F8" s="36">
        <v>127000</v>
      </c>
      <c r="G8" s="36">
        <v>0</v>
      </c>
      <c r="H8" s="36">
        <v>51000</v>
      </c>
      <c r="I8" s="36">
        <v>64500</v>
      </c>
      <c r="J8" s="36">
        <v>4500</v>
      </c>
      <c r="K8" s="36"/>
      <c r="L8" s="36"/>
      <c r="M8" s="36"/>
      <c r="N8" s="36"/>
      <c r="O8" s="36">
        <v>0</v>
      </c>
      <c r="P8" s="36"/>
      <c r="Q8" s="36"/>
      <c r="R8" s="36"/>
      <c r="S8" s="37"/>
      <c r="T8" s="37">
        <f t="shared" si="0"/>
        <v>1266000</v>
      </c>
    </row>
    <row r="9" spans="1:20">
      <c r="A9" s="35" t="s">
        <v>39</v>
      </c>
      <c r="B9" s="36">
        <v>161000</v>
      </c>
      <c r="C9" s="36">
        <v>106000</v>
      </c>
      <c r="D9" s="36">
        <v>101500</v>
      </c>
      <c r="E9" s="36">
        <v>2500</v>
      </c>
      <c r="F9" s="36">
        <v>154000</v>
      </c>
      <c r="G9" s="36">
        <v>0</v>
      </c>
      <c r="H9" s="36">
        <v>58000</v>
      </c>
      <c r="I9" s="36">
        <v>47000</v>
      </c>
      <c r="J9" s="36">
        <v>6000</v>
      </c>
      <c r="K9" s="36"/>
      <c r="L9" s="36"/>
      <c r="M9" s="36"/>
      <c r="N9" s="36"/>
      <c r="O9" s="36">
        <v>0</v>
      </c>
      <c r="Q9" s="36"/>
      <c r="R9" s="36"/>
      <c r="S9" s="37"/>
      <c r="T9" s="37">
        <f t="shared" si="0"/>
        <v>636000</v>
      </c>
    </row>
    <row r="10" spans="1:20">
      <c r="A10" s="35" t="s">
        <v>40</v>
      </c>
      <c r="B10" s="37">
        <v>179000</v>
      </c>
      <c r="C10" s="37">
        <v>69000</v>
      </c>
      <c r="D10" s="37">
        <v>99000</v>
      </c>
      <c r="E10" s="37">
        <v>0</v>
      </c>
      <c r="F10" s="37">
        <v>107000</v>
      </c>
      <c r="G10" s="37">
        <v>0</v>
      </c>
      <c r="H10" s="37">
        <v>66000</v>
      </c>
      <c r="I10" s="37">
        <v>61000</v>
      </c>
      <c r="J10" s="37">
        <v>11000</v>
      </c>
      <c r="K10" s="37"/>
      <c r="L10" s="37"/>
      <c r="M10" s="37"/>
      <c r="N10" s="37"/>
      <c r="O10" s="37">
        <v>5000</v>
      </c>
      <c r="P10" s="37"/>
      <c r="Q10" s="37"/>
      <c r="R10" s="37"/>
      <c r="S10" s="37"/>
      <c r="T10" s="37">
        <f t="shared" si="0"/>
        <v>597000</v>
      </c>
    </row>
    <row r="11" spans="1:20">
      <c r="A11" s="35" t="s">
        <v>41</v>
      </c>
      <c r="B11" s="37">
        <v>176500</v>
      </c>
      <c r="C11" s="37">
        <v>41000</v>
      </c>
      <c r="D11" s="37">
        <v>93000</v>
      </c>
      <c r="E11" s="37">
        <v>13000</v>
      </c>
      <c r="F11" s="37">
        <v>76000</v>
      </c>
      <c r="G11" s="37">
        <v>0</v>
      </c>
      <c r="H11" s="37">
        <v>118000</v>
      </c>
      <c r="I11" s="37">
        <v>45500</v>
      </c>
      <c r="J11" s="37">
        <v>0</v>
      </c>
      <c r="K11" s="37"/>
      <c r="L11" s="37"/>
      <c r="M11" s="37"/>
      <c r="N11" s="37"/>
      <c r="O11" s="37">
        <v>10000</v>
      </c>
      <c r="P11" s="37"/>
      <c r="Q11" s="37"/>
      <c r="R11" s="37"/>
      <c r="S11" s="37"/>
      <c r="T11" s="37">
        <f t="shared" si="0"/>
        <v>573000</v>
      </c>
    </row>
    <row r="12" spans="1:20">
      <c r="A12" s="35" t="s">
        <v>42</v>
      </c>
      <c r="B12" s="37">
        <v>175500</v>
      </c>
      <c r="C12" s="37">
        <v>113000</v>
      </c>
      <c r="D12" s="37">
        <v>89500</v>
      </c>
      <c r="E12" s="37">
        <v>14000</v>
      </c>
      <c r="F12" s="37">
        <v>99000</v>
      </c>
      <c r="G12" s="37">
        <v>0</v>
      </c>
      <c r="H12" s="37">
        <v>131000</v>
      </c>
      <c r="I12" s="37">
        <v>65000</v>
      </c>
      <c r="J12" s="37">
        <v>27000</v>
      </c>
      <c r="K12" s="37"/>
      <c r="L12" s="37"/>
      <c r="M12" s="37"/>
      <c r="N12" s="37"/>
      <c r="O12" s="37">
        <v>0</v>
      </c>
      <c r="P12" s="37"/>
      <c r="Q12" s="37"/>
      <c r="R12" s="37"/>
      <c r="S12" s="37"/>
      <c r="T12" s="37">
        <f t="shared" si="0"/>
        <v>714000</v>
      </c>
    </row>
    <row r="13" spans="1:20">
      <c r="A13" s="35" t="s">
        <v>43</v>
      </c>
      <c r="B13" s="37">
        <v>145000</v>
      </c>
      <c r="C13" s="37">
        <v>28000</v>
      </c>
      <c r="D13" s="37">
        <v>104000</v>
      </c>
      <c r="E13" s="37">
        <v>19000</v>
      </c>
      <c r="F13" s="37">
        <v>133000</v>
      </c>
      <c r="G13" s="37">
        <v>0</v>
      </c>
      <c r="H13" s="37">
        <v>41000</v>
      </c>
      <c r="I13" s="37">
        <v>2000</v>
      </c>
      <c r="J13" s="37">
        <v>15000</v>
      </c>
      <c r="K13" s="37"/>
      <c r="L13" s="37"/>
      <c r="M13" s="37"/>
      <c r="N13" s="37"/>
      <c r="O13" s="37">
        <v>0</v>
      </c>
      <c r="P13" s="37"/>
      <c r="Q13" s="37"/>
      <c r="R13" s="37"/>
      <c r="S13" s="37"/>
      <c r="T13" s="37">
        <f t="shared" si="0"/>
        <v>487000</v>
      </c>
    </row>
    <row r="14" spans="1:20">
      <c r="A14" s="35" t="s">
        <v>44</v>
      </c>
      <c r="B14" s="37">
        <v>141500</v>
      </c>
      <c r="C14" s="37">
        <v>5000</v>
      </c>
      <c r="D14" s="37">
        <v>107000</v>
      </c>
      <c r="E14" s="37">
        <v>2500</v>
      </c>
      <c r="F14" s="37">
        <v>94000</v>
      </c>
      <c r="G14" s="37">
        <v>12000</v>
      </c>
      <c r="H14" s="37">
        <v>6000</v>
      </c>
      <c r="I14" s="37">
        <v>34000</v>
      </c>
      <c r="J14" s="37">
        <v>7000</v>
      </c>
      <c r="K14" s="37"/>
      <c r="L14" s="37"/>
      <c r="M14" s="37"/>
      <c r="N14" s="37"/>
      <c r="O14" s="37">
        <v>0</v>
      </c>
      <c r="P14" s="37"/>
      <c r="Q14" s="37"/>
      <c r="R14" s="37"/>
      <c r="S14" s="37"/>
      <c r="T14" s="37">
        <f t="shared" si="0"/>
        <v>409000</v>
      </c>
    </row>
    <row r="15" spans="1:20">
      <c r="A15" s="35" t="s">
        <v>45</v>
      </c>
      <c r="B15" s="37">
        <v>136000</v>
      </c>
      <c r="C15" s="37">
        <v>31000</v>
      </c>
      <c r="D15" s="37">
        <v>107000</v>
      </c>
      <c r="E15" s="37">
        <v>1500</v>
      </c>
      <c r="F15" s="37">
        <v>107500</v>
      </c>
      <c r="G15" s="37">
        <v>0</v>
      </c>
      <c r="H15" s="37">
        <v>12000</v>
      </c>
      <c r="I15" s="37">
        <v>20500</v>
      </c>
      <c r="J15" s="37">
        <v>0</v>
      </c>
      <c r="K15" s="37"/>
      <c r="L15" s="37"/>
      <c r="M15" s="37"/>
      <c r="N15" s="37"/>
      <c r="O15" s="37">
        <v>25000</v>
      </c>
      <c r="P15" s="37"/>
      <c r="Q15" s="37"/>
      <c r="R15" s="37"/>
      <c r="S15" s="37"/>
      <c r="T15" s="37">
        <f t="shared" si="0"/>
        <v>440500</v>
      </c>
    </row>
    <row r="16" spans="1:20">
      <c r="A16" s="35" t="s">
        <v>46</v>
      </c>
      <c r="B16" s="37">
        <v>127000</v>
      </c>
      <c r="C16" s="37">
        <v>15000</v>
      </c>
      <c r="D16" s="37">
        <v>138000</v>
      </c>
      <c r="E16" s="37">
        <v>2500</v>
      </c>
      <c r="F16" s="37">
        <v>115000</v>
      </c>
      <c r="G16" s="37"/>
      <c r="H16" s="37">
        <v>36500</v>
      </c>
      <c r="I16" s="37">
        <v>75000</v>
      </c>
      <c r="J16" s="37">
        <v>10000</v>
      </c>
      <c r="K16" s="37"/>
      <c r="L16" s="37"/>
      <c r="M16" s="37"/>
      <c r="N16" s="37"/>
      <c r="O16" s="37">
        <v>10000</v>
      </c>
      <c r="P16" s="37"/>
      <c r="Q16" s="37"/>
      <c r="R16" s="37"/>
      <c r="S16" s="37"/>
      <c r="T16" s="37">
        <f t="shared" si="0"/>
        <v>529000</v>
      </c>
    </row>
    <row r="17" spans="1:20">
      <c r="A17" s="35" t="s">
        <v>47</v>
      </c>
      <c r="B17" s="37">
        <v>123000</v>
      </c>
      <c r="C17" s="37">
        <v>21000</v>
      </c>
      <c r="D17" s="37">
        <v>115000</v>
      </c>
      <c r="E17" s="37">
        <v>26500</v>
      </c>
      <c r="F17" s="37">
        <v>84500</v>
      </c>
      <c r="G17" s="37">
        <v>0</v>
      </c>
      <c r="H17" s="37">
        <v>54000</v>
      </c>
      <c r="I17" s="37">
        <v>36000</v>
      </c>
      <c r="J17" s="37">
        <v>3000</v>
      </c>
      <c r="K17" s="37"/>
      <c r="L17" s="37"/>
      <c r="M17" s="37"/>
      <c r="N17" s="37"/>
      <c r="O17" s="37">
        <v>19000</v>
      </c>
      <c r="P17" s="37"/>
      <c r="Q17" s="37"/>
      <c r="R17" s="37"/>
      <c r="S17" s="37"/>
      <c r="T17" s="37">
        <f t="shared" si="0"/>
        <v>482000</v>
      </c>
    </row>
    <row r="18" spans="1:20">
      <c r="A18" s="35" t="s">
        <v>48</v>
      </c>
      <c r="B18" s="37">
        <v>191500</v>
      </c>
      <c r="C18" s="37">
        <v>45000</v>
      </c>
      <c r="D18" s="37">
        <v>112000</v>
      </c>
      <c r="E18" s="37">
        <v>15000</v>
      </c>
      <c r="F18" s="37">
        <v>145000</v>
      </c>
      <c r="G18" s="37">
        <v>0</v>
      </c>
      <c r="H18" s="37">
        <v>109000</v>
      </c>
      <c r="I18" s="37">
        <v>115500</v>
      </c>
      <c r="J18" s="37">
        <v>17000</v>
      </c>
      <c r="K18" s="37"/>
      <c r="L18" s="37"/>
      <c r="M18" s="37"/>
      <c r="N18" s="37"/>
      <c r="O18" s="37">
        <v>0</v>
      </c>
      <c r="P18" s="37"/>
      <c r="Q18" s="37"/>
      <c r="R18" s="37"/>
      <c r="S18" s="37"/>
      <c r="T18" s="37">
        <f t="shared" si="0"/>
        <v>750000</v>
      </c>
    </row>
    <row r="19" spans="1:20">
      <c r="A19" s="35" t="s">
        <v>49</v>
      </c>
      <c r="B19" s="37">
        <v>178500</v>
      </c>
      <c r="C19" s="37">
        <v>51000</v>
      </c>
      <c r="D19" s="37">
        <v>163500</v>
      </c>
      <c r="E19" s="37">
        <v>2500</v>
      </c>
      <c r="F19" s="37">
        <v>136500</v>
      </c>
      <c r="G19" s="37">
        <v>0</v>
      </c>
      <c r="H19" s="37">
        <v>98000</v>
      </c>
      <c r="I19" s="37">
        <v>56000</v>
      </c>
      <c r="J19" s="37">
        <v>9000</v>
      </c>
      <c r="K19" s="37"/>
      <c r="L19" s="37"/>
      <c r="M19" s="37"/>
      <c r="N19" s="37"/>
      <c r="O19" s="37">
        <v>6000</v>
      </c>
      <c r="P19" s="37"/>
      <c r="Q19" s="37"/>
      <c r="R19" s="37"/>
      <c r="S19" s="37"/>
      <c r="T19" s="37">
        <f t="shared" si="0"/>
        <v>701000</v>
      </c>
    </row>
    <row r="20" spans="1:20">
      <c r="A20" s="35" t="s">
        <v>50</v>
      </c>
      <c r="B20" s="37">
        <v>153000</v>
      </c>
      <c r="C20" s="37">
        <v>116000</v>
      </c>
      <c r="D20" s="37">
        <v>89000</v>
      </c>
      <c r="E20" s="37">
        <v>9000</v>
      </c>
      <c r="F20" s="37">
        <v>113000</v>
      </c>
      <c r="G20" s="37">
        <v>0</v>
      </c>
      <c r="H20" s="37">
        <v>18000</v>
      </c>
      <c r="I20" s="37">
        <v>5000</v>
      </c>
      <c r="J20" s="37">
        <v>9000</v>
      </c>
      <c r="K20" s="37"/>
      <c r="L20" s="37"/>
      <c r="M20" s="37"/>
      <c r="N20" s="37"/>
      <c r="O20" s="37">
        <v>0</v>
      </c>
      <c r="P20" s="37"/>
      <c r="Q20" s="37"/>
      <c r="R20" s="37"/>
      <c r="S20" s="37"/>
      <c r="T20" s="37">
        <f t="shared" si="0"/>
        <v>512000</v>
      </c>
    </row>
    <row r="21" spans="1:20">
      <c r="A21" s="35" t="s">
        <v>73</v>
      </c>
      <c r="B21" s="37">
        <v>169000</v>
      </c>
      <c r="C21" s="37">
        <v>122000</v>
      </c>
      <c r="D21" s="37">
        <v>141000</v>
      </c>
      <c r="E21" s="37">
        <v>9000</v>
      </c>
      <c r="F21" s="37">
        <v>125000</v>
      </c>
      <c r="G21" s="37">
        <v>24000</v>
      </c>
      <c r="H21" s="37">
        <v>79000</v>
      </c>
      <c r="I21" s="37">
        <v>101000</v>
      </c>
      <c r="J21" s="37">
        <v>6000</v>
      </c>
      <c r="K21" s="37"/>
      <c r="L21" s="37"/>
      <c r="M21" s="37"/>
      <c r="N21" s="37"/>
      <c r="O21" s="37">
        <v>4000</v>
      </c>
      <c r="P21" s="37"/>
      <c r="Q21" s="37"/>
      <c r="R21" s="37"/>
      <c r="S21" s="37"/>
      <c r="T21" s="37">
        <f t="shared" si="0"/>
        <v>780000</v>
      </c>
    </row>
    <row r="22" spans="1:20">
      <c r="A22" s="35" t="s">
        <v>52</v>
      </c>
      <c r="B22" s="37">
        <v>203000</v>
      </c>
      <c r="C22" s="37">
        <v>50000</v>
      </c>
      <c r="D22" s="37">
        <v>104000</v>
      </c>
      <c r="E22" s="37">
        <v>0</v>
      </c>
      <c r="F22" s="37">
        <v>101000</v>
      </c>
      <c r="G22" s="37">
        <v>0</v>
      </c>
      <c r="H22" s="37">
        <v>80500</v>
      </c>
      <c r="I22" s="37">
        <v>15500</v>
      </c>
      <c r="J22" s="37">
        <v>0</v>
      </c>
      <c r="K22" s="37"/>
      <c r="L22" s="37"/>
      <c r="M22" s="37"/>
      <c r="N22" s="37"/>
      <c r="O22" s="37">
        <v>13000</v>
      </c>
      <c r="P22" s="37"/>
      <c r="Q22" s="37"/>
      <c r="R22" s="37"/>
      <c r="S22" s="37"/>
      <c r="T22" s="37">
        <f t="shared" si="0"/>
        <v>567000</v>
      </c>
    </row>
    <row r="23" spans="1:20">
      <c r="A23" s="35" t="s">
        <v>53</v>
      </c>
      <c r="B23" s="37">
        <v>169000</v>
      </c>
      <c r="C23" s="37">
        <v>18000</v>
      </c>
      <c r="D23" s="37">
        <v>69500</v>
      </c>
      <c r="E23" s="37">
        <v>0</v>
      </c>
      <c r="F23" s="37">
        <v>82000</v>
      </c>
      <c r="G23" s="37">
        <v>0</v>
      </c>
      <c r="H23" s="37">
        <v>30000</v>
      </c>
      <c r="I23" s="37">
        <v>37500</v>
      </c>
      <c r="J23" s="37">
        <v>0</v>
      </c>
      <c r="K23" s="37"/>
      <c r="L23" s="37"/>
      <c r="M23" s="37"/>
      <c r="N23" s="37"/>
      <c r="O23" s="37">
        <v>0</v>
      </c>
      <c r="P23" s="37"/>
      <c r="Q23" s="37"/>
      <c r="R23" s="37"/>
      <c r="S23" s="37"/>
      <c r="T23" s="37">
        <f t="shared" si="0"/>
        <v>406000</v>
      </c>
    </row>
    <row r="24" spans="1:20">
      <c r="A24" s="35" t="s">
        <v>54</v>
      </c>
      <c r="B24" s="37">
        <v>123000</v>
      </c>
      <c r="C24" s="37">
        <v>79000</v>
      </c>
      <c r="D24" s="37">
        <v>79000</v>
      </c>
      <c r="E24" s="37">
        <v>1500</v>
      </c>
      <c r="F24" s="37">
        <v>117000</v>
      </c>
      <c r="G24" s="37">
        <v>0</v>
      </c>
      <c r="H24" s="37">
        <v>76000</v>
      </c>
      <c r="I24" s="37">
        <v>2000</v>
      </c>
      <c r="J24" s="37">
        <v>16500</v>
      </c>
      <c r="K24" s="37"/>
      <c r="L24" s="37"/>
      <c r="M24" s="37"/>
      <c r="N24" s="37"/>
      <c r="O24" s="37">
        <v>0</v>
      </c>
      <c r="P24" s="37"/>
      <c r="Q24" s="37"/>
      <c r="R24" s="37"/>
      <c r="S24" s="37"/>
      <c r="T24" s="37">
        <f t="shared" si="0"/>
        <v>494000</v>
      </c>
    </row>
    <row r="25" spans="1:20">
      <c r="A25" s="35" t="s">
        <v>55</v>
      </c>
      <c r="B25" s="37">
        <v>159500</v>
      </c>
      <c r="C25" s="37">
        <v>152000</v>
      </c>
      <c r="D25" s="37">
        <v>68000</v>
      </c>
      <c r="E25" s="37">
        <v>0</v>
      </c>
      <c r="F25" s="37">
        <v>78500</v>
      </c>
      <c r="G25" s="37">
        <v>0</v>
      </c>
      <c r="H25" s="37">
        <v>50000</v>
      </c>
      <c r="I25" s="37">
        <v>34000</v>
      </c>
      <c r="J25" s="37">
        <v>0</v>
      </c>
      <c r="K25" s="37"/>
      <c r="L25" s="37"/>
      <c r="M25" s="37"/>
      <c r="N25" s="37"/>
      <c r="O25" s="37">
        <v>0</v>
      </c>
      <c r="P25" s="37"/>
      <c r="Q25" s="37"/>
      <c r="R25" s="37"/>
      <c r="S25" s="37"/>
      <c r="T25" s="37">
        <f t="shared" si="0"/>
        <v>542000</v>
      </c>
    </row>
    <row r="26" spans="1:20">
      <c r="A26" s="35" t="s">
        <v>56</v>
      </c>
      <c r="B26" s="37">
        <v>306500</v>
      </c>
      <c r="C26" s="37">
        <v>151000</v>
      </c>
      <c r="D26" s="37">
        <v>137000</v>
      </c>
      <c r="E26" s="37">
        <v>0</v>
      </c>
      <c r="F26" s="37">
        <v>151000</v>
      </c>
      <c r="G26" s="37">
        <v>0</v>
      </c>
      <c r="H26" s="37">
        <v>229300</v>
      </c>
      <c r="I26" s="37">
        <v>86000</v>
      </c>
      <c r="J26" s="37">
        <v>0</v>
      </c>
      <c r="K26" s="37"/>
      <c r="L26" s="37"/>
      <c r="M26" s="37"/>
      <c r="N26" s="37"/>
      <c r="O26" s="37">
        <v>6000</v>
      </c>
      <c r="P26" s="37"/>
      <c r="Q26" s="37"/>
      <c r="R26" s="37"/>
      <c r="S26" s="37"/>
      <c r="T26" s="37">
        <f t="shared" si="0"/>
        <v>1066800</v>
      </c>
    </row>
    <row r="27" spans="1:20">
      <c r="A27" s="35" t="s">
        <v>57</v>
      </c>
      <c r="B27" s="37">
        <v>140000</v>
      </c>
      <c r="C27" s="37">
        <v>42000</v>
      </c>
      <c r="D27" s="37">
        <v>114000</v>
      </c>
      <c r="E27" s="37">
        <v>10500</v>
      </c>
      <c r="F27" s="37">
        <v>140000</v>
      </c>
      <c r="G27" s="37">
        <v>0</v>
      </c>
      <c r="H27" s="37">
        <v>12000</v>
      </c>
      <c r="I27" s="37">
        <v>76000</v>
      </c>
      <c r="J27" s="37">
        <v>13000</v>
      </c>
      <c r="K27" s="37"/>
      <c r="L27" s="37"/>
      <c r="M27" s="37"/>
      <c r="N27" s="37"/>
      <c r="O27" s="31">
        <v>5000</v>
      </c>
      <c r="P27" s="37"/>
      <c r="Q27" s="37"/>
      <c r="R27" s="37"/>
      <c r="S27" s="37"/>
      <c r="T27" s="37">
        <f t="shared" si="0"/>
        <v>552500</v>
      </c>
    </row>
    <row r="28" spans="1:20">
      <c r="A28" s="35" t="s">
        <v>58</v>
      </c>
      <c r="B28" s="37">
        <v>129000</v>
      </c>
      <c r="C28" s="37">
        <v>22000</v>
      </c>
      <c r="D28" s="37">
        <v>101000</v>
      </c>
      <c r="E28" s="37">
        <v>12000</v>
      </c>
      <c r="F28" s="37">
        <v>141000</v>
      </c>
      <c r="G28" s="37">
        <v>0</v>
      </c>
      <c r="H28" s="37">
        <v>88000</v>
      </c>
      <c r="I28" s="37">
        <v>40000</v>
      </c>
      <c r="J28" s="37">
        <v>9000</v>
      </c>
      <c r="K28" s="37"/>
      <c r="L28" s="37"/>
      <c r="M28" s="37"/>
      <c r="N28" s="37"/>
      <c r="O28" s="37">
        <v>2000</v>
      </c>
      <c r="P28" s="37"/>
      <c r="Q28" s="37"/>
      <c r="R28" s="37"/>
      <c r="S28" s="37"/>
      <c r="T28" s="37">
        <f t="shared" si="0"/>
        <v>544000</v>
      </c>
    </row>
    <row r="29" spans="1:20">
      <c r="A29" s="35" t="s">
        <v>59</v>
      </c>
      <c r="B29" s="37">
        <v>154000</v>
      </c>
      <c r="C29" s="37">
        <v>91000</v>
      </c>
      <c r="D29" s="37">
        <v>72000</v>
      </c>
      <c r="E29" s="37">
        <v>3000</v>
      </c>
      <c r="F29" s="37">
        <v>102000</v>
      </c>
      <c r="G29" s="37">
        <v>10000</v>
      </c>
      <c r="H29" s="37">
        <v>134000</v>
      </c>
      <c r="I29" s="37">
        <v>34000</v>
      </c>
      <c r="J29" s="37">
        <v>0</v>
      </c>
      <c r="K29" s="37"/>
      <c r="L29" s="37"/>
      <c r="M29" s="37"/>
      <c r="N29" s="37"/>
      <c r="O29" s="37">
        <v>11000</v>
      </c>
      <c r="P29" s="37"/>
      <c r="Q29" s="37"/>
      <c r="R29" s="37"/>
      <c r="S29" s="37"/>
      <c r="T29" s="37">
        <f t="shared" si="0"/>
        <v>611000</v>
      </c>
    </row>
    <row r="30" spans="1:20">
      <c r="A30" s="35" t="s">
        <v>60</v>
      </c>
      <c r="B30" s="37">
        <v>132000</v>
      </c>
      <c r="C30" s="37">
        <v>49000</v>
      </c>
      <c r="D30" s="37">
        <v>105500</v>
      </c>
      <c r="E30" s="37">
        <v>0</v>
      </c>
      <c r="F30" s="37">
        <v>102000</v>
      </c>
      <c r="G30" s="37">
        <v>0</v>
      </c>
      <c r="H30" s="37">
        <v>71000</v>
      </c>
      <c r="I30" s="37">
        <v>47500</v>
      </c>
      <c r="J30" s="37">
        <v>10000</v>
      </c>
      <c r="K30" s="37"/>
      <c r="L30" s="37"/>
      <c r="M30" s="37"/>
      <c r="N30" s="37"/>
      <c r="O30" s="37">
        <v>11000</v>
      </c>
      <c r="P30" s="37"/>
      <c r="Q30" s="37"/>
      <c r="R30" s="37"/>
      <c r="S30" s="37"/>
      <c r="T30" s="37">
        <f t="shared" si="0"/>
        <v>528000</v>
      </c>
    </row>
    <row r="31" spans="1:20">
      <c r="A31" s="35" t="s">
        <v>61</v>
      </c>
      <c r="B31" s="31">
        <v>186500</v>
      </c>
      <c r="C31" s="31">
        <v>32000</v>
      </c>
      <c r="D31" s="31">
        <v>134500</v>
      </c>
      <c r="E31" s="31">
        <v>2500</v>
      </c>
      <c r="F31" s="31">
        <v>134000</v>
      </c>
      <c r="G31" s="31">
        <v>0</v>
      </c>
      <c r="H31" s="31">
        <v>115500</v>
      </c>
      <c r="I31" s="31">
        <v>52500</v>
      </c>
      <c r="J31" s="31">
        <v>0</v>
      </c>
      <c r="K31" s="31"/>
      <c r="L31" s="31"/>
      <c r="M31" s="31"/>
      <c r="N31" s="31"/>
      <c r="O31" s="31">
        <v>12000</v>
      </c>
      <c r="P31" s="31"/>
      <c r="Q31" s="31"/>
      <c r="R31" s="31"/>
      <c r="S31" s="31"/>
      <c r="T31" s="37">
        <f t="shared" si="0"/>
        <v>669500</v>
      </c>
    </row>
    <row r="32" spans="1:20">
      <c r="A32" s="35" t="s">
        <v>62</v>
      </c>
      <c r="B32" s="31">
        <v>135000</v>
      </c>
      <c r="C32" s="31">
        <v>31000</v>
      </c>
      <c r="D32" s="31">
        <v>159500</v>
      </c>
      <c r="E32" s="31">
        <v>11500</v>
      </c>
      <c r="F32" s="31">
        <v>130000</v>
      </c>
      <c r="G32" s="31">
        <v>0</v>
      </c>
      <c r="H32" s="31">
        <v>23000</v>
      </c>
      <c r="I32" s="31">
        <v>83000</v>
      </c>
      <c r="J32" s="31">
        <v>23000</v>
      </c>
      <c r="K32" s="31"/>
      <c r="L32" s="31"/>
      <c r="M32" s="31"/>
      <c r="N32" s="31"/>
      <c r="O32" s="31">
        <v>0</v>
      </c>
      <c r="P32" s="31"/>
      <c r="Q32" s="31"/>
      <c r="R32" s="31"/>
      <c r="S32" s="31"/>
      <c r="T32" s="37">
        <f t="shared" si="0"/>
        <v>596000</v>
      </c>
    </row>
    <row r="33" spans="1:21">
      <c r="A33" s="35" t="s">
        <v>63</v>
      </c>
      <c r="B33" s="31">
        <v>231500</v>
      </c>
      <c r="C33" s="31">
        <v>28000</v>
      </c>
      <c r="D33" s="31">
        <v>182000</v>
      </c>
      <c r="E33" s="31">
        <v>63500</v>
      </c>
      <c r="F33" s="31">
        <v>315000</v>
      </c>
      <c r="G33" s="31">
        <v>0</v>
      </c>
      <c r="H33" s="31">
        <v>290000</v>
      </c>
      <c r="I33" s="31">
        <v>82000</v>
      </c>
      <c r="J33" s="31">
        <v>0</v>
      </c>
      <c r="K33" s="31"/>
      <c r="L33" s="31"/>
      <c r="M33" s="31"/>
      <c r="N33" s="31"/>
      <c r="O33" s="31">
        <v>0</v>
      </c>
      <c r="P33" s="31"/>
      <c r="Q33" s="31"/>
      <c r="R33" s="31"/>
      <c r="S33" s="31"/>
      <c r="T33" s="37">
        <f t="shared" si="0"/>
        <v>1192000</v>
      </c>
    </row>
    <row r="34" spans="1:21">
      <c r="A34" s="35" t="s">
        <v>64</v>
      </c>
      <c r="B34" s="31">
        <v>237000</v>
      </c>
      <c r="C34" s="31">
        <v>159000</v>
      </c>
      <c r="D34" s="31">
        <v>161000</v>
      </c>
      <c r="E34" s="31">
        <v>15500</v>
      </c>
      <c r="F34" s="31">
        <v>163500</v>
      </c>
      <c r="G34" s="31">
        <v>0</v>
      </c>
      <c r="H34" s="31">
        <v>90000</v>
      </c>
      <c r="I34" s="31">
        <v>65000</v>
      </c>
      <c r="J34" s="31"/>
      <c r="K34" s="31"/>
      <c r="L34" s="31"/>
      <c r="M34" s="31"/>
      <c r="N34" s="31"/>
      <c r="O34" s="46">
        <v>6000</v>
      </c>
      <c r="P34" s="31"/>
      <c r="Q34" s="31"/>
      <c r="R34" s="31"/>
      <c r="S34" s="31"/>
      <c r="T34" s="37">
        <f t="shared" si="0"/>
        <v>897000</v>
      </c>
    </row>
    <row r="35" spans="1:21">
      <c r="A35" s="35" t="s">
        <v>83</v>
      </c>
      <c r="B35" s="31">
        <v>157000</v>
      </c>
      <c r="C35" s="31">
        <v>20000</v>
      </c>
      <c r="D35" s="31">
        <v>104000</v>
      </c>
      <c r="E35" s="31">
        <v>2500</v>
      </c>
      <c r="F35" s="31">
        <v>54000</v>
      </c>
      <c r="G35" s="31">
        <v>0</v>
      </c>
      <c r="H35" s="31">
        <v>33000</v>
      </c>
      <c r="I35" s="31">
        <v>24500</v>
      </c>
      <c r="J35" s="31">
        <v>29000</v>
      </c>
      <c r="K35" s="31"/>
      <c r="L35" s="31"/>
      <c r="M35" s="31"/>
      <c r="N35" s="31"/>
      <c r="O35" s="31">
        <v>5000</v>
      </c>
      <c r="P35" s="31"/>
      <c r="Q35" s="31"/>
      <c r="R35" s="31"/>
      <c r="S35" s="31"/>
      <c r="T35" s="37">
        <f t="shared" si="0"/>
        <v>429000</v>
      </c>
    </row>
    <row r="36" spans="1:21">
      <c r="A36" s="35" t="s">
        <v>84</v>
      </c>
      <c r="B36" s="31">
        <v>136500</v>
      </c>
      <c r="C36" s="31">
        <v>60000</v>
      </c>
      <c r="D36" s="31">
        <v>68000</v>
      </c>
      <c r="E36" s="31">
        <v>10000</v>
      </c>
      <c r="F36" s="31">
        <v>142000</v>
      </c>
      <c r="G36" s="31">
        <v>0</v>
      </c>
      <c r="H36" s="31">
        <v>32000</v>
      </c>
      <c r="I36" s="31">
        <v>32000</v>
      </c>
      <c r="J36" s="31">
        <v>12500</v>
      </c>
      <c r="K36" s="31"/>
      <c r="L36" s="31"/>
      <c r="M36" s="31"/>
      <c r="N36" s="31"/>
      <c r="O36" s="31">
        <v>0</v>
      </c>
      <c r="P36" s="31"/>
      <c r="Q36" s="31"/>
      <c r="R36" s="31"/>
      <c r="S36" s="31"/>
      <c r="T36" s="37">
        <f t="shared" si="0"/>
        <v>493000</v>
      </c>
    </row>
    <row r="37" spans="1:21">
      <c r="A37" s="40" t="s">
        <v>23</v>
      </c>
      <c r="B37" s="41">
        <f t="shared" ref="B37:H37" si="1">SUM(B6:B36)</f>
        <v>5169000</v>
      </c>
      <c r="C37" s="41">
        <f t="shared" si="1"/>
        <v>3121000</v>
      </c>
      <c r="D37" s="41">
        <f t="shared" si="1"/>
        <v>3397000</v>
      </c>
      <c r="E37" s="41">
        <f t="shared" si="1"/>
        <v>262500</v>
      </c>
      <c r="F37" s="41">
        <f t="shared" si="1"/>
        <v>3837000</v>
      </c>
      <c r="G37" s="41">
        <f t="shared" si="1"/>
        <v>46000</v>
      </c>
      <c r="H37" s="41">
        <f t="shared" si="1"/>
        <v>2356800</v>
      </c>
      <c r="I37" s="41">
        <f>SUM(I6:I36)</f>
        <v>1531000</v>
      </c>
      <c r="J37" s="53">
        <f>SUM(J6:J36)</f>
        <v>247500</v>
      </c>
      <c r="K37" s="54"/>
      <c r="L37" s="54"/>
      <c r="M37" s="54"/>
      <c r="N37" s="54"/>
      <c r="O37" s="54">
        <f>SUM(O6:O36)</f>
        <v>150000</v>
      </c>
      <c r="P37" s="31"/>
      <c r="Q37" s="31"/>
      <c r="R37" s="31">
        <f>SUM(R6:R36)</f>
        <v>0</v>
      </c>
      <c r="S37" s="31"/>
      <c r="T37" s="31">
        <f>SUM(T6:T36)</f>
        <v>20117800</v>
      </c>
    </row>
    <row r="38" spans="1:21">
      <c r="T38" s="47"/>
    </row>
    <row r="40" spans="1:21">
      <c r="B40" s="35"/>
      <c r="C40" s="31"/>
      <c r="D40" s="31"/>
      <c r="E40" s="31"/>
      <c r="F40" s="31"/>
      <c r="G40" s="31"/>
      <c r="H40" s="31"/>
      <c r="I40" s="31"/>
      <c r="J40" s="31"/>
      <c r="K40" s="31"/>
      <c r="L40" s="31"/>
      <c r="M40" s="31"/>
      <c r="N40" s="31"/>
      <c r="O40" s="31"/>
      <c r="P40" s="31"/>
      <c r="Q40" s="31"/>
      <c r="R40" s="31"/>
      <c r="S40" s="31"/>
      <c r="T40" s="31"/>
      <c r="U40" s="31"/>
    </row>
    <row r="41" spans="1:21">
      <c r="B41" s="35"/>
      <c r="C41" s="31"/>
      <c r="D41" s="31"/>
      <c r="E41" s="31"/>
      <c r="F41" s="31"/>
      <c r="G41" s="31"/>
      <c r="H41" s="31"/>
      <c r="I41" s="31"/>
      <c r="J41" s="31"/>
      <c r="K41" s="31"/>
      <c r="L41" s="31"/>
      <c r="M41" s="31"/>
      <c r="N41" s="31"/>
      <c r="O41" s="31"/>
      <c r="P41" s="31"/>
      <c r="Q41" s="31"/>
      <c r="R41" s="31"/>
      <c r="S41" s="31"/>
      <c r="T41" s="31"/>
      <c r="U41" s="31"/>
    </row>
    <row r="42" spans="1:21">
      <c r="B42" s="40"/>
      <c r="C42" s="41"/>
      <c r="D42" s="41"/>
      <c r="E42" s="41"/>
      <c r="F42" s="41"/>
      <c r="G42" s="41"/>
      <c r="H42" s="41"/>
      <c r="I42" s="41"/>
      <c r="J42" s="41"/>
      <c r="K42" s="41"/>
      <c r="L42" s="31"/>
      <c r="M42" s="31"/>
      <c r="N42" s="31"/>
      <c r="O42" s="31"/>
      <c r="P42" s="31"/>
      <c r="Q42" s="31"/>
      <c r="R42" s="31"/>
      <c r="S42" s="31"/>
      <c r="T42" s="31"/>
      <c r="U42" s="31"/>
    </row>
    <row r="43" spans="1:21">
      <c r="U43" s="47"/>
    </row>
  </sheetData>
  <mergeCells count="4">
    <mergeCell ref="B1:T1"/>
    <mergeCell ref="B2:T2"/>
    <mergeCell ref="C3:F3"/>
    <mergeCell ref="C4:F4"/>
  </mergeCell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G21"/>
  <sheetViews>
    <sheetView workbookViewId="0">
      <selection activeCell="B3" sqref="B3:F19"/>
    </sheetView>
  </sheetViews>
  <sheetFormatPr defaultRowHeight="15"/>
  <cols>
    <col min="1" max="1" width="18.140625" customWidth="1"/>
    <col min="2" max="2" width="14.28515625" customWidth="1"/>
    <col min="3" max="3" width="15.5703125" customWidth="1"/>
    <col min="4" max="4" width="14" customWidth="1"/>
    <col min="5" max="5" width="14.28515625" customWidth="1"/>
    <col min="6" max="6" width="13.7109375" customWidth="1"/>
    <col min="7" max="7" width="16" customWidth="1"/>
  </cols>
  <sheetData>
    <row r="1" spans="1:7" ht="16.5" thickBot="1">
      <c r="A1" s="6" t="s">
        <v>24</v>
      </c>
      <c r="B1" s="70" t="s">
        <v>137</v>
      </c>
      <c r="C1" s="71"/>
      <c r="D1" s="72"/>
      <c r="E1" s="11"/>
      <c r="F1" s="11"/>
      <c r="G1" s="12"/>
    </row>
    <row r="2" spans="1:7" ht="15.75">
      <c r="A2" s="13" t="s">
        <v>25</v>
      </c>
      <c r="B2" s="14" t="s">
        <v>26</v>
      </c>
      <c r="C2" s="14" t="s">
        <v>27</v>
      </c>
      <c r="D2" s="14" t="s">
        <v>129</v>
      </c>
      <c r="E2" s="14" t="s">
        <v>29</v>
      </c>
      <c r="F2" s="15" t="s">
        <v>30</v>
      </c>
      <c r="G2" s="16" t="s">
        <v>31</v>
      </c>
    </row>
    <row r="3" spans="1:7" ht="15.75">
      <c r="A3" s="17" t="s">
        <v>4</v>
      </c>
      <c r="B3" s="18">
        <f>SUM('DAILY REPORT MAR 2026'!$B$6:$B$12)</f>
        <v>1205000</v>
      </c>
      <c r="C3" s="18">
        <f>SUM('DAILY REPORT MAR 2026'!B$13:B$19)</f>
        <v>1042500</v>
      </c>
      <c r="D3" s="18">
        <f>SUM('DAILY REPORT MAR 2026'!$B$20:$B$26)</f>
        <v>1283000</v>
      </c>
      <c r="E3" s="18">
        <f>SUM('DAILY REPORT MAR 2026'!$B$27:$B$33)</f>
        <v>1108000</v>
      </c>
      <c r="F3" s="19">
        <f>SUM('DAILY REPORT MAR 2026'!$B$34:$B$36)</f>
        <v>530500</v>
      </c>
      <c r="G3" s="20">
        <f t="shared" ref="G3:G11" si="0">SUM(B3:F3)</f>
        <v>5169000</v>
      </c>
    </row>
    <row r="4" spans="1:7" ht="15.75">
      <c r="A4" s="17" t="s">
        <v>5</v>
      </c>
      <c r="B4" s="18">
        <f>SUM('DAILY REPORT MAR 2026'!$C$6:$C$12)</f>
        <v>1703000</v>
      </c>
      <c r="C4" s="18">
        <f>SUM('DAILY REPORT MAR 2026'!C$13:C$19)</f>
        <v>196000</v>
      </c>
      <c r="D4" s="18">
        <f>SUM('DAILY REPORT MAR 2026'!$C$20:$C$26)</f>
        <v>688000</v>
      </c>
      <c r="E4" s="18">
        <f>SUM('DAILY REPORT MAR 2026'!$C$27:$C$33)</f>
        <v>295000</v>
      </c>
      <c r="F4" s="19">
        <f>SUM('DAILY REPORT MAR 2026'!$C$34:$C$36)</f>
        <v>239000</v>
      </c>
      <c r="G4" s="20">
        <f t="shared" si="0"/>
        <v>3121000</v>
      </c>
    </row>
    <row r="5" spans="1:7" ht="15.75">
      <c r="A5" s="17" t="s">
        <v>32</v>
      </c>
      <c r="B5" s="18">
        <f>SUM('DAILY REPORT MAR 2026'!$D$6:$D$12)</f>
        <v>661500</v>
      </c>
      <c r="C5" s="18">
        <f>SUM('DAILY REPORT MAR 2026'!D$13:D$19)</f>
        <v>846500</v>
      </c>
      <c r="D5" s="18">
        <f>SUM('DAILY REPORT MAR 2026'!$D$20:$D$26)</f>
        <v>687500</v>
      </c>
      <c r="E5" s="18">
        <f>SUM('DAILY REPORT MAR 2026'!$D$27:$D$33)</f>
        <v>868500</v>
      </c>
      <c r="F5" s="19">
        <f>SUM('DAILY REPORT MAR 2026'!$D$34:$D$36)</f>
        <v>333000</v>
      </c>
      <c r="G5" s="20">
        <f t="shared" si="0"/>
        <v>3397000</v>
      </c>
    </row>
    <row r="6" spans="1:7" ht="15.75">
      <c r="A6" s="17" t="s">
        <v>33</v>
      </c>
      <c r="B6" s="18">
        <f>SUM('DAILY REPORT MAR 2026'!$E$6:$E$12)</f>
        <v>42500</v>
      </c>
      <c r="C6" s="18">
        <f>SUM('DAILY REPORT MAR 2026'!E$13:E$19)</f>
        <v>69500</v>
      </c>
      <c r="D6" s="18">
        <f>SUM('DAILY REPORT MAR 2026'!$E$20:$E$26)</f>
        <v>19500</v>
      </c>
      <c r="E6" s="18">
        <f>SUM('DAILY REPORT MAR 2026'!$E$27:$E$33)</f>
        <v>103000</v>
      </c>
      <c r="F6" s="19">
        <f>SUM('DAILY REPORT MAR 2026'!$E$34:$E$36)</f>
        <v>28000</v>
      </c>
      <c r="G6" s="20">
        <f t="shared" si="0"/>
        <v>262500</v>
      </c>
    </row>
    <row r="7" spans="1:7" ht="15.75">
      <c r="A7" s="17" t="s">
        <v>8</v>
      </c>
      <c r="B7" s="18">
        <f>SUM('DAILY REPORT MAR 2026'!$F$6:$F$12)</f>
        <v>830500</v>
      </c>
      <c r="C7" s="18">
        <f>SUM('DAILY REPORT MAR 2026'!F$13:F$19)</f>
        <v>815500</v>
      </c>
      <c r="D7" s="18">
        <f>SUM('DAILY REPORT MAR 2026'!$F$20:$F$26)</f>
        <v>767500</v>
      </c>
      <c r="E7" s="18">
        <f>SUM('DAILY REPORT MAR 2026'!$F$27:$F$33)</f>
        <v>1064000</v>
      </c>
      <c r="F7" s="19">
        <f>SUM('DAILY REPORT MAR 2026'!$F$34:$F$36)</f>
        <v>359500</v>
      </c>
      <c r="G7" s="20">
        <f t="shared" si="0"/>
        <v>3837000</v>
      </c>
    </row>
    <row r="8" spans="1:7" ht="15.75">
      <c r="A8" s="17" t="s">
        <v>9</v>
      </c>
      <c r="B8" s="18">
        <f>SUM('DAILY REPORT MAR 2026'!$G$6:$G$12)</f>
        <v>0</v>
      </c>
      <c r="C8" s="18">
        <f>SUM('DAILY REPORT MAR 2026'!G$13:G$19)</f>
        <v>12000</v>
      </c>
      <c r="D8" s="18">
        <f>SUM('DAILY REPORT MAR 2026'!$G$20:$G$26)</f>
        <v>24000</v>
      </c>
      <c r="E8" s="18">
        <f>SUM('DAILY REPORT MAR 2026'!$G$27:$G$33)</f>
        <v>10000</v>
      </c>
      <c r="F8" s="19">
        <f>SUM('DAILY REPORT MAR 2026'!$G$34:$G$36)</f>
        <v>0</v>
      </c>
      <c r="G8" s="20">
        <f t="shared" si="0"/>
        <v>46000</v>
      </c>
    </row>
    <row r="9" spans="1:7" ht="15.75">
      <c r="A9" s="17" t="s">
        <v>10</v>
      </c>
      <c r="B9" s="18">
        <f>SUM('DAILY REPORT MAR 2026'!$H$6:$H$12)</f>
        <v>549000</v>
      </c>
      <c r="C9" s="18">
        <f>SUM('DAILY REPORT MAR 2026'!H$13:H$19)</f>
        <v>356500</v>
      </c>
      <c r="D9" s="18">
        <f>SUM('DAILY REPORT MAR 2026'!$H$20:$H$26)</f>
        <v>562800</v>
      </c>
      <c r="E9" s="18">
        <f>SUM('DAILY REPORT MAR 2026'!$H$27:$H$33)</f>
        <v>733500</v>
      </c>
      <c r="F9" s="19">
        <f>SUM('DAILY REPORT MAR 2026'!$H$34:$H$36)</f>
        <v>155000</v>
      </c>
      <c r="G9" s="20">
        <f t="shared" si="0"/>
        <v>2356800</v>
      </c>
    </row>
    <row r="10" spans="1:7" ht="15.75">
      <c r="A10" s="17" t="s">
        <v>11</v>
      </c>
      <c r="B10" s="18">
        <f>SUM('DAILY REPORT MAR 2026'!$I$6:$I$12)</f>
        <v>374500</v>
      </c>
      <c r="C10" s="18">
        <f>SUM('DAILY REPORT MAR 2026'!I$13:I$19)</f>
        <v>339000</v>
      </c>
      <c r="D10" s="18">
        <f>SUM('DAILY REPORT MAR 2026'!$I$20:$I$26)</f>
        <v>281000</v>
      </c>
      <c r="E10" s="18">
        <f>SUM('DAILY REPORT MAR 2026'!$I$27:$I$33)</f>
        <v>415000</v>
      </c>
      <c r="F10" s="19">
        <f>SUM('DAILY REPORT MAR 2026'!$I$34:$I$36)</f>
        <v>121500</v>
      </c>
      <c r="G10" s="20">
        <f t="shared" si="0"/>
        <v>1531000</v>
      </c>
    </row>
    <row r="11" spans="1:7" ht="15.75">
      <c r="A11" s="17" t="s">
        <v>12</v>
      </c>
      <c r="B11" s="18">
        <f>SUM('DAILY REPORT MAR 2026'!$J$6:$J$12)</f>
        <v>58500</v>
      </c>
      <c r="C11" s="18">
        <f>SUM('DAILY REPORT MAR 2026'!J$13:J$19)</f>
        <v>61000</v>
      </c>
      <c r="D11" s="18">
        <f>SUM('DAILY REPORT MAR 2026'!$J$20:$J$26)</f>
        <v>31500</v>
      </c>
      <c r="E11" s="18">
        <f>SUM('DAILY REPORT MAR 2026'!$J$27:$J$33)</f>
        <v>55000</v>
      </c>
      <c r="F11" s="19">
        <f>SUM('DAILY REPORT MAR 2026'!$J$34:$J$36)</f>
        <v>41500</v>
      </c>
      <c r="G11" s="20">
        <f t="shared" si="0"/>
        <v>247500</v>
      </c>
    </row>
    <row r="12" spans="1:7" ht="15.75">
      <c r="A12" s="17" t="s">
        <v>13</v>
      </c>
      <c r="B12" s="18">
        <f>SUM('DAILY REPORT MAR 2026'!$K$6:$K$12)</f>
        <v>0</v>
      </c>
      <c r="C12" s="18">
        <f>SUM('DAILY REPORT MAR 2026'!K$13:K$19)</f>
        <v>0</v>
      </c>
      <c r="D12" s="18">
        <f>SUM('DAILY REPORT MAR 2026'!$K$20:$K$26)</f>
        <v>0</v>
      </c>
      <c r="E12" s="18">
        <f>SUM('DAILY REPORT MAR 2026'!$K$27:$K$33)</f>
        <v>0</v>
      </c>
      <c r="F12" s="19">
        <f>SUM('DAILY REPORT MAR 2026'!$K$34:$K$36)</f>
        <v>0</v>
      </c>
      <c r="G12" s="20"/>
    </row>
    <row r="13" spans="1:7" ht="15.75">
      <c r="A13" s="17" t="s">
        <v>14</v>
      </c>
      <c r="B13" s="18">
        <f>SUM('DAILY REPORT MAR 2026'!$L$6:$L$12)</f>
        <v>0</v>
      </c>
      <c r="C13" s="18">
        <f>SUM('DAILY REPORT MAR 2026'!L$13:L$19)</f>
        <v>0</v>
      </c>
      <c r="D13" s="18">
        <f>SUM('DAILY REPORT MAR 2026'!$L$20:$L$26)</f>
        <v>0</v>
      </c>
      <c r="E13" s="18">
        <f>SUM('DAILY REPORT MAR 2026'!$L$27:$L$33)</f>
        <v>0</v>
      </c>
      <c r="F13" s="19">
        <f>SUM('DAILY REPORT MAR 2026'!$L$34:$L$36)</f>
        <v>0</v>
      </c>
      <c r="G13" s="20"/>
    </row>
    <row r="14" spans="1:7" ht="15.75">
      <c r="A14" s="17" t="s">
        <v>15</v>
      </c>
      <c r="B14" s="18">
        <f>SUM('DAILY REPORT MAR 2026'!$M$6:$M$12)</f>
        <v>0</v>
      </c>
      <c r="C14" s="18">
        <f>SUM('DAILY REPORT MAR 2026'!M$13:M$19)</f>
        <v>0</v>
      </c>
      <c r="D14" s="18">
        <f>SUM('DAILY REPORT MAR 2026'!$M$20:$M$26)</f>
        <v>0</v>
      </c>
      <c r="E14" s="18">
        <f>SUM('DAILY REPORT MAR 2026'!$M$27:$M$33)</f>
        <v>0</v>
      </c>
      <c r="F14" s="19">
        <f>SUM('DAILY REPORT MAR 2026'!$M$34:$M$36)</f>
        <v>0</v>
      </c>
      <c r="G14" s="20"/>
    </row>
    <row r="15" spans="1:7" ht="15.75">
      <c r="A15" s="17" t="s">
        <v>16</v>
      </c>
      <c r="B15" s="18">
        <f>SUM('DAILY REPORT MAR 2026'!$N$6:$N$12)</f>
        <v>0</v>
      </c>
      <c r="C15" s="18">
        <f>SUM('DAILY REPORT MAR 2026'!N$13:N$19)</f>
        <v>0</v>
      </c>
      <c r="D15" s="18">
        <f>SUM('DAILY REPORT MAR 2026'!$N$20:$N$26)</f>
        <v>0</v>
      </c>
      <c r="E15" s="18">
        <f>SUM('DAILY REPORT MAR 2026'!$N$27:$N$33)</f>
        <v>0</v>
      </c>
      <c r="F15" s="19">
        <f>SUM('DAILY REPORT MAR 2026'!$N$34:$N$36)</f>
        <v>0</v>
      </c>
      <c r="G15" s="20"/>
    </row>
    <row r="16" spans="1:7" ht="15.75">
      <c r="A16" s="17" t="s">
        <v>17</v>
      </c>
      <c r="B16" s="18">
        <f>SUM('DAILY REPORT MAR 2026'!$O$6:$O$12)</f>
        <v>15000</v>
      </c>
      <c r="C16" s="18">
        <f>SUM('DAILY REPORT MAR 2026'!O$13:O$19)</f>
        <v>60000</v>
      </c>
      <c r="D16" s="18">
        <f>SUM('DAILY REPORT MAR 2026'!$O$20:$O$26)</f>
        <v>23000</v>
      </c>
      <c r="E16" s="18">
        <f>SUM('DAILY REPORT MAR 2026'!$O$27:$O$33)</f>
        <v>41000</v>
      </c>
      <c r="F16" s="19">
        <f>SUM('DAILY REPORT MAR 2026'!$O$34:$O$36)</f>
        <v>11000</v>
      </c>
      <c r="G16" s="20">
        <f>SUM(B16:F16)</f>
        <v>150000</v>
      </c>
    </row>
    <row r="17" spans="1:7" ht="15.75">
      <c r="A17" s="17" t="s">
        <v>18</v>
      </c>
      <c r="B17" s="18">
        <f>SUM('DAILY REPORT MAR 2026'!$P$6:$P$12)</f>
        <v>0</v>
      </c>
      <c r="C17" s="18">
        <f>SUM('DAILY REPORT MAR 2026'!P$13:P$19)</f>
        <v>0</v>
      </c>
      <c r="D17" s="18">
        <f>SUM('DAILY REPORT MAR 2026'!$P$20:$P$26)</f>
        <v>0</v>
      </c>
      <c r="E17" s="18">
        <f>SUM('DAILY REPORT MAR 2026'!$P$27:$P$33)</f>
        <v>0</v>
      </c>
      <c r="F17" s="19">
        <f>SUM('DAILY REPORT MAR 2026'!$P$34:$P$36)</f>
        <v>0</v>
      </c>
      <c r="G17" s="20"/>
    </row>
    <row r="18" spans="1:7" ht="15.75">
      <c r="A18" s="17" t="s">
        <v>19</v>
      </c>
      <c r="B18" s="18">
        <f>SUM('DAILY REPORT MAR 2026'!$Q$6:$Q$12)</f>
        <v>0</v>
      </c>
      <c r="C18" s="18">
        <f>SUM('DAILY REPORT MAR 2026'!Q$13:Q$19)</f>
        <v>0</v>
      </c>
      <c r="D18" s="18">
        <f>SUM('DAILY REPORT MAR 2026'!$Q$20:$Q$26)</f>
        <v>0</v>
      </c>
      <c r="E18" s="18">
        <f>SUM('DAILY REPORT MAR 2026'!$Q$27:$Q$33)</f>
        <v>0</v>
      </c>
      <c r="F18" s="19">
        <f>SUM('DAILY REPORT MAR 2026'!$Q$34:$Q$36)</f>
        <v>0</v>
      </c>
      <c r="G18" s="20"/>
    </row>
    <row r="19" spans="1:7" ht="15.75">
      <c r="A19" s="17" t="s">
        <v>34</v>
      </c>
      <c r="B19" s="18">
        <f>SUM('DAILY REPORT MAR 2026'!$R$6:$R$12)</f>
        <v>0</v>
      </c>
      <c r="C19" s="18">
        <f>SUM('DAILY REPORT MAR 2026'!R$13:R$19)</f>
        <v>0</v>
      </c>
      <c r="D19" s="18">
        <f>SUM('DAILY REPORT MAR 2026'!$R$20:$R$26)</f>
        <v>0</v>
      </c>
      <c r="E19" s="18">
        <f>SUM('DAILY REPORT MAR 2026'!$R$27:$R$33)</f>
        <v>0</v>
      </c>
      <c r="F19" s="19">
        <f>SUM('DAILY REPORT MAR 2026'!$R$34:$R$36)</f>
        <v>0</v>
      </c>
      <c r="G19" s="20"/>
    </row>
    <row r="20" spans="1:7" ht="16.5" thickBot="1">
      <c r="A20" s="21" t="s">
        <v>35</v>
      </c>
      <c r="B20" s="22">
        <f t="shared" ref="B20:G20" si="1">SUM(B3:B19)</f>
        <v>5439500</v>
      </c>
      <c r="C20" s="22">
        <f t="shared" si="1"/>
        <v>3798500</v>
      </c>
      <c r="D20" s="22">
        <f t="shared" si="1"/>
        <v>4367800</v>
      </c>
      <c r="E20" s="22">
        <f t="shared" si="1"/>
        <v>4693000</v>
      </c>
      <c r="F20" s="22">
        <f t="shared" si="1"/>
        <v>1819000</v>
      </c>
      <c r="G20" s="23">
        <f t="shared" si="1"/>
        <v>20117800</v>
      </c>
    </row>
    <row r="21" spans="1:7">
      <c r="B21" s="47"/>
    </row>
  </sheetData>
  <mergeCells count="1">
    <mergeCell ref="B1:D1"/>
  </mergeCell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U42"/>
  <sheetViews>
    <sheetView tabSelected="1" topLeftCell="A10" workbookViewId="0">
      <selection activeCell="J8" sqref="J8"/>
    </sheetView>
  </sheetViews>
  <sheetFormatPr defaultRowHeight="15"/>
  <cols>
    <col min="1" max="1" width="13.7109375" customWidth="1"/>
    <col min="2" max="2" width="16.28515625" customWidth="1"/>
    <col min="3" max="3" width="11" customWidth="1"/>
    <col min="4" max="4" width="10.7109375" customWidth="1"/>
    <col min="5" max="5" width="10.42578125" customWidth="1"/>
    <col min="6" max="6" width="10.28515625" customWidth="1"/>
    <col min="8" max="8" width="10.5703125" customWidth="1"/>
    <col min="9" max="9" width="11" customWidth="1"/>
    <col min="10" max="10" width="10.42578125" customWidth="1"/>
    <col min="20" max="20" width="11.28515625" customWidth="1"/>
  </cols>
  <sheetData>
    <row r="1" spans="1:20" ht="26.25" customHeight="1">
      <c r="A1" s="28"/>
      <c r="B1" s="55" t="s">
        <v>68</v>
      </c>
      <c r="C1" s="56"/>
      <c r="D1" s="56"/>
      <c r="E1" s="56"/>
      <c r="F1" s="56"/>
      <c r="G1" s="56"/>
      <c r="H1" s="56"/>
      <c r="I1" s="56"/>
      <c r="J1" s="56"/>
      <c r="K1" s="56"/>
      <c r="L1" s="56"/>
      <c r="M1" s="56"/>
      <c r="N1" s="56"/>
      <c r="O1" s="56"/>
      <c r="P1" s="56"/>
      <c r="Q1" s="56"/>
      <c r="R1" s="56"/>
      <c r="S1" s="56"/>
      <c r="T1" s="57"/>
    </row>
    <row r="2" spans="1:20" ht="27" thickBot="1">
      <c r="A2" s="4"/>
      <c r="B2" s="58" t="s">
        <v>135</v>
      </c>
      <c r="C2" s="59"/>
      <c r="D2" s="59"/>
      <c r="E2" s="59"/>
      <c r="F2" s="59"/>
      <c r="G2" s="59"/>
      <c r="H2" s="59"/>
      <c r="I2" s="59"/>
      <c r="J2" s="59"/>
      <c r="K2" s="59"/>
      <c r="L2" s="59"/>
      <c r="M2" s="59"/>
      <c r="N2" s="59"/>
      <c r="O2" s="59"/>
      <c r="P2" s="59"/>
      <c r="Q2" s="59"/>
      <c r="R2" s="59"/>
      <c r="S2" s="59"/>
      <c r="T2" s="60"/>
    </row>
    <row r="3" spans="1:20" ht="9.75" customHeight="1" thickBot="1">
      <c r="A3" s="4"/>
      <c r="B3" s="29" t="s">
        <v>1</v>
      </c>
      <c r="C3" s="61" t="s">
        <v>69</v>
      </c>
      <c r="D3" s="62"/>
      <c r="E3" s="62"/>
      <c r="F3" s="63"/>
      <c r="G3" s="52">
        <v>46113</v>
      </c>
    </row>
    <row r="4" spans="1:20" ht="21">
      <c r="A4" s="4"/>
      <c r="B4" s="30" t="s">
        <v>2</v>
      </c>
      <c r="C4" s="64">
        <v>46113</v>
      </c>
      <c r="D4" s="65"/>
      <c r="E4" s="65"/>
      <c r="F4" s="66"/>
    </row>
    <row r="5" spans="1:20" ht="67.5">
      <c r="A5" s="32" t="s">
        <v>3</v>
      </c>
      <c r="B5" s="33" t="s">
        <v>4</v>
      </c>
      <c r="C5" s="33" t="s">
        <v>5</v>
      </c>
      <c r="D5" s="33" t="s">
        <v>6</v>
      </c>
      <c r="E5" s="33" t="s">
        <v>7</v>
      </c>
      <c r="F5" s="33" t="s">
        <v>8</v>
      </c>
      <c r="G5" s="33" t="s">
        <v>9</v>
      </c>
      <c r="H5" s="33" t="s">
        <v>10</v>
      </c>
      <c r="I5" s="33" t="s">
        <v>11</v>
      </c>
      <c r="J5" s="33" t="s">
        <v>12</v>
      </c>
      <c r="K5" s="33" t="s">
        <v>13</v>
      </c>
      <c r="L5" s="33" t="s">
        <v>14</v>
      </c>
      <c r="M5" s="33" t="s">
        <v>15</v>
      </c>
      <c r="N5" s="33" t="s">
        <v>16</v>
      </c>
      <c r="O5" s="33" t="s">
        <v>17</v>
      </c>
      <c r="P5" s="33" t="s">
        <v>18</v>
      </c>
      <c r="Q5" s="33" t="s">
        <v>19</v>
      </c>
      <c r="R5" s="33" t="s">
        <v>20</v>
      </c>
      <c r="S5" s="33" t="s">
        <v>21</v>
      </c>
      <c r="T5" s="33" t="s">
        <v>22</v>
      </c>
    </row>
    <row r="6" spans="1:20" ht="26.25" customHeight="1">
      <c r="A6" s="35" t="s">
        <v>67</v>
      </c>
      <c r="B6" s="36">
        <v>217000</v>
      </c>
      <c r="C6" s="36">
        <v>73000</v>
      </c>
      <c r="D6" s="36">
        <v>147500</v>
      </c>
      <c r="E6" s="36">
        <v>29000</v>
      </c>
      <c r="F6" s="36">
        <v>139500</v>
      </c>
      <c r="G6" s="36">
        <v>0</v>
      </c>
      <c r="H6" s="36">
        <v>93000</v>
      </c>
      <c r="I6" s="36">
        <v>40000</v>
      </c>
      <c r="J6" s="36">
        <v>39500</v>
      </c>
      <c r="K6" s="36"/>
      <c r="L6" s="36"/>
      <c r="M6" s="36"/>
      <c r="N6" s="36"/>
      <c r="O6" s="36">
        <v>13000</v>
      </c>
      <c r="P6" s="36"/>
      <c r="Q6" s="36"/>
      <c r="R6" s="36"/>
      <c r="S6" s="37"/>
      <c r="T6" s="37">
        <f>SUM(B6:O6)</f>
        <v>791500</v>
      </c>
    </row>
    <row r="7" spans="1:20" ht="13.5" customHeight="1">
      <c r="A7" s="35" t="s">
        <v>37</v>
      </c>
      <c r="B7" s="36">
        <v>193000</v>
      </c>
      <c r="C7" s="36">
        <v>196000</v>
      </c>
      <c r="D7" s="36">
        <v>134000</v>
      </c>
      <c r="E7" s="36">
        <v>18500</v>
      </c>
      <c r="F7" s="36">
        <v>164500</v>
      </c>
      <c r="G7" s="36">
        <v>0</v>
      </c>
      <c r="H7" s="36">
        <v>96000</v>
      </c>
      <c r="I7" s="36">
        <v>79000</v>
      </c>
      <c r="J7" s="36">
        <v>0</v>
      </c>
      <c r="K7" s="36"/>
      <c r="L7" s="36"/>
      <c r="M7" s="36"/>
      <c r="N7" s="36"/>
      <c r="O7" s="36">
        <v>0</v>
      </c>
      <c r="P7" s="36"/>
      <c r="Q7" s="36"/>
      <c r="R7" s="36"/>
      <c r="S7" s="37"/>
      <c r="T7" s="37">
        <f t="shared" ref="T7:T36" si="0">SUM(B7:O7)</f>
        <v>881000</v>
      </c>
    </row>
    <row r="8" spans="1:20" ht="17.25" customHeight="1">
      <c r="A8" s="35" t="s">
        <v>38</v>
      </c>
      <c r="B8" s="36">
        <v>249000</v>
      </c>
      <c r="C8" s="36">
        <v>191000</v>
      </c>
      <c r="D8" s="36">
        <v>179000</v>
      </c>
      <c r="E8" s="36">
        <v>17000</v>
      </c>
      <c r="F8" s="36">
        <v>100500</v>
      </c>
      <c r="G8" s="36">
        <v>0</v>
      </c>
      <c r="H8" s="36">
        <v>252000</v>
      </c>
      <c r="I8" s="36">
        <v>72500</v>
      </c>
      <c r="J8" s="36">
        <v>36000</v>
      </c>
      <c r="K8" s="36"/>
      <c r="L8" s="36"/>
      <c r="M8" s="36"/>
      <c r="N8" s="36"/>
      <c r="O8" s="36">
        <v>14000</v>
      </c>
      <c r="P8" s="36"/>
      <c r="Q8" s="36"/>
      <c r="R8" s="36"/>
      <c r="S8" s="37"/>
      <c r="T8" s="37">
        <f t="shared" si="0"/>
        <v>1111000</v>
      </c>
    </row>
    <row r="9" spans="1:20">
      <c r="A9" s="35" t="s">
        <v>39</v>
      </c>
      <c r="B9" s="36">
        <v>193000</v>
      </c>
      <c r="C9" s="36">
        <v>120000</v>
      </c>
      <c r="D9" s="36">
        <v>128000</v>
      </c>
      <c r="E9" s="36">
        <v>6000</v>
      </c>
      <c r="F9" s="36">
        <v>123000</v>
      </c>
      <c r="G9" s="36">
        <v>0</v>
      </c>
      <c r="H9" s="36">
        <v>105000</v>
      </c>
      <c r="I9" s="36">
        <v>73000</v>
      </c>
      <c r="J9" s="36">
        <v>23500</v>
      </c>
      <c r="K9" s="36"/>
      <c r="L9" s="36"/>
      <c r="M9" s="36"/>
      <c r="N9" s="36"/>
      <c r="O9" s="36">
        <v>0</v>
      </c>
      <c r="Q9" s="36"/>
      <c r="R9" s="36"/>
      <c r="S9" s="37"/>
      <c r="T9" s="37">
        <f t="shared" si="0"/>
        <v>771500</v>
      </c>
    </row>
    <row r="10" spans="1:20">
      <c r="A10" s="35" t="s">
        <v>40</v>
      </c>
      <c r="B10" s="37">
        <v>159000</v>
      </c>
      <c r="C10" s="37">
        <v>64000</v>
      </c>
      <c r="D10" s="37">
        <v>90500</v>
      </c>
      <c r="E10" s="37">
        <v>40000</v>
      </c>
      <c r="F10" s="37">
        <v>101500</v>
      </c>
      <c r="G10" s="37">
        <v>0</v>
      </c>
      <c r="H10" s="37">
        <v>91000</v>
      </c>
      <c r="I10" s="37">
        <v>35500</v>
      </c>
      <c r="J10" s="37">
        <v>10000</v>
      </c>
      <c r="K10" s="37"/>
      <c r="L10" s="37"/>
      <c r="M10" s="37"/>
      <c r="N10" s="37"/>
      <c r="O10" s="37">
        <v>14000</v>
      </c>
      <c r="P10" s="37"/>
      <c r="Q10" s="37"/>
      <c r="R10" s="37"/>
      <c r="S10" s="37"/>
      <c r="T10" s="37">
        <f t="shared" si="0"/>
        <v>605500</v>
      </c>
    </row>
    <row r="11" spans="1:20">
      <c r="A11" s="35" t="s">
        <v>41</v>
      </c>
      <c r="B11" s="37">
        <v>172000</v>
      </c>
      <c r="C11" s="37">
        <v>29000</v>
      </c>
      <c r="D11" s="37">
        <v>178500</v>
      </c>
      <c r="E11" s="37">
        <v>0</v>
      </c>
      <c r="F11" s="37">
        <v>190000</v>
      </c>
      <c r="G11" s="37">
        <v>0</v>
      </c>
      <c r="H11" s="37">
        <v>118000</v>
      </c>
      <c r="I11" s="37">
        <v>9500</v>
      </c>
      <c r="J11" s="37">
        <v>0</v>
      </c>
      <c r="K11" s="37"/>
      <c r="L11" s="37"/>
      <c r="M11" s="37"/>
      <c r="N11" s="37"/>
      <c r="O11" s="37">
        <v>10000</v>
      </c>
      <c r="P11" s="37"/>
      <c r="Q11" s="37"/>
      <c r="R11" s="37"/>
      <c r="S11" s="37"/>
      <c r="T11" s="37">
        <f t="shared" si="0"/>
        <v>707000</v>
      </c>
    </row>
    <row r="12" spans="1:20">
      <c r="A12" s="35" t="s">
        <v>42</v>
      </c>
      <c r="B12" s="37">
        <v>179500</v>
      </c>
      <c r="C12" s="37">
        <v>78000</v>
      </c>
      <c r="D12" s="37">
        <v>111500</v>
      </c>
      <c r="E12" s="37">
        <v>0</v>
      </c>
      <c r="F12" s="37">
        <v>121500</v>
      </c>
      <c r="G12" s="37">
        <v>6000</v>
      </c>
      <c r="H12" s="37">
        <v>97000</v>
      </c>
      <c r="I12" s="37">
        <v>59000</v>
      </c>
      <c r="J12" s="37">
        <v>4000</v>
      </c>
      <c r="K12" s="37"/>
      <c r="L12" s="37"/>
      <c r="M12" s="37"/>
      <c r="N12" s="37"/>
      <c r="O12" s="37">
        <v>0</v>
      </c>
      <c r="P12" s="37"/>
      <c r="Q12" s="37"/>
      <c r="R12" s="37"/>
      <c r="S12" s="37"/>
      <c r="T12" s="37">
        <f t="shared" si="0"/>
        <v>656500</v>
      </c>
    </row>
    <row r="13" spans="1:20">
      <c r="A13" s="35" t="s">
        <v>43</v>
      </c>
      <c r="B13" s="37">
        <v>149000</v>
      </c>
      <c r="C13" s="37">
        <v>65000</v>
      </c>
      <c r="D13" s="37">
        <v>118000</v>
      </c>
      <c r="E13" s="37">
        <v>2500</v>
      </c>
      <c r="F13" s="37">
        <v>135500</v>
      </c>
      <c r="G13" s="37">
        <v>12000</v>
      </c>
      <c r="H13" s="37">
        <v>42000</v>
      </c>
      <c r="I13" s="37">
        <v>10000</v>
      </c>
      <c r="J13" s="37">
        <v>12000</v>
      </c>
      <c r="K13" s="37"/>
      <c r="L13" s="37"/>
      <c r="M13" s="37"/>
      <c r="N13" s="37"/>
      <c r="O13" s="37">
        <v>7000</v>
      </c>
      <c r="P13" s="37"/>
      <c r="Q13" s="37"/>
      <c r="R13" s="37"/>
      <c r="S13" s="37"/>
      <c r="T13" s="37">
        <f t="shared" si="0"/>
        <v>553000</v>
      </c>
    </row>
    <row r="14" spans="1:20">
      <c r="A14" s="35" t="s">
        <v>44</v>
      </c>
      <c r="B14" s="37">
        <v>133000</v>
      </c>
      <c r="C14" s="37">
        <v>29000</v>
      </c>
      <c r="D14" s="37">
        <v>88000</v>
      </c>
      <c r="E14" s="37">
        <v>0</v>
      </c>
      <c r="F14" s="37">
        <v>98000</v>
      </c>
      <c r="G14" s="37">
        <v>0</v>
      </c>
      <c r="H14" s="37">
        <v>0</v>
      </c>
      <c r="I14" s="37">
        <v>20000</v>
      </c>
      <c r="J14" s="37">
        <v>5000</v>
      </c>
      <c r="K14" s="37"/>
      <c r="L14" s="37"/>
      <c r="M14" s="37"/>
      <c r="N14" s="37"/>
      <c r="O14" s="37">
        <v>0</v>
      </c>
      <c r="P14" s="37"/>
      <c r="Q14" s="37"/>
      <c r="R14" s="37"/>
      <c r="S14" s="37"/>
      <c r="T14" s="37">
        <f t="shared" si="0"/>
        <v>373000</v>
      </c>
    </row>
    <row r="15" spans="1:20">
      <c r="A15" s="35" t="s">
        <v>45</v>
      </c>
      <c r="B15" s="37">
        <v>127500</v>
      </c>
      <c r="C15" s="37">
        <v>30000</v>
      </c>
      <c r="D15" s="37">
        <v>97500</v>
      </c>
      <c r="E15" s="37">
        <v>14000</v>
      </c>
      <c r="F15" s="37">
        <v>80500</v>
      </c>
      <c r="G15" s="37">
        <v>0</v>
      </c>
      <c r="H15" s="37">
        <v>6000</v>
      </c>
      <c r="I15" s="37">
        <v>11500</v>
      </c>
      <c r="J15" s="37">
        <v>0</v>
      </c>
      <c r="K15" s="37"/>
      <c r="L15" s="37"/>
      <c r="M15" s="37"/>
      <c r="N15" s="37"/>
      <c r="O15" s="37">
        <v>13000</v>
      </c>
      <c r="P15" s="37"/>
      <c r="Q15" s="37"/>
      <c r="R15" s="37"/>
      <c r="S15" s="37"/>
      <c r="T15" s="37">
        <f t="shared" si="0"/>
        <v>380000</v>
      </c>
    </row>
    <row r="16" spans="1:20" ht="15.75" customHeight="1">
      <c r="A16" s="35" t="s">
        <v>46</v>
      </c>
      <c r="B16" s="37">
        <v>185000</v>
      </c>
      <c r="C16" s="37">
        <v>198000</v>
      </c>
      <c r="D16" s="37">
        <v>162500</v>
      </c>
      <c r="E16" s="37">
        <v>6000</v>
      </c>
      <c r="F16" s="37">
        <v>122500</v>
      </c>
      <c r="G16" s="37">
        <v>12000</v>
      </c>
      <c r="H16" s="37">
        <v>104000</v>
      </c>
      <c r="I16" s="37">
        <v>17500</v>
      </c>
      <c r="J16" s="37">
        <v>11500</v>
      </c>
      <c r="K16" s="37"/>
      <c r="L16" s="37"/>
      <c r="M16" s="37"/>
      <c r="N16" s="37"/>
      <c r="O16" s="37">
        <v>0</v>
      </c>
      <c r="P16" s="37"/>
      <c r="Q16" s="37"/>
      <c r="R16" s="37"/>
      <c r="S16" s="37"/>
      <c r="T16" s="37">
        <f t="shared" si="0"/>
        <v>819000</v>
      </c>
    </row>
    <row r="17" spans="1:20">
      <c r="A17" s="35" t="s">
        <v>47</v>
      </c>
      <c r="B17" s="37">
        <v>179000</v>
      </c>
      <c r="C17" s="37">
        <v>200000</v>
      </c>
      <c r="D17" s="37">
        <v>90500</v>
      </c>
      <c r="E17" s="37">
        <v>0</v>
      </c>
      <c r="F17" s="37">
        <v>97500</v>
      </c>
      <c r="G17" s="37">
        <v>0</v>
      </c>
      <c r="H17" s="37">
        <v>31000</v>
      </c>
      <c r="I17" s="37">
        <v>27000</v>
      </c>
      <c r="J17" s="37">
        <v>10000</v>
      </c>
      <c r="K17" s="37"/>
      <c r="L17" s="37"/>
      <c r="M17" s="37"/>
      <c r="N17" s="37"/>
      <c r="O17" s="37">
        <v>33000</v>
      </c>
      <c r="P17" s="37"/>
      <c r="Q17" s="37"/>
      <c r="R17" s="37"/>
      <c r="S17" s="37"/>
      <c r="T17" s="37">
        <f t="shared" si="0"/>
        <v>668000</v>
      </c>
    </row>
    <row r="18" spans="1:20">
      <c r="A18" s="35" t="s">
        <v>48</v>
      </c>
      <c r="B18" s="37">
        <v>114000</v>
      </c>
      <c r="C18" s="37">
        <v>38000</v>
      </c>
      <c r="D18" s="37">
        <v>50000</v>
      </c>
      <c r="E18" s="37">
        <v>6000</v>
      </c>
      <c r="F18" s="37">
        <v>73200</v>
      </c>
      <c r="G18" s="37">
        <v>0</v>
      </c>
      <c r="H18" s="37">
        <v>46000</v>
      </c>
      <c r="I18" s="37">
        <v>26000</v>
      </c>
      <c r="J18" s="37">
        <v>0</v>
      </c>
      <c r="K18" s="37"/>
      <c r="L18" s="37"/>
      <c r="M18" s="37"/>
      <c r="N18" s="37"/>
      <c r="O18" s="37">
        <v>0</v>
      </c>
      <c r="P18" s="37"/>
      <c r="Q18" s="37"/>
      <c r="R18" s="37"/>
      <c r="S18" s="37"/>
      <c r="T18" s="37">
        <f t="shared" si="0"/>
        <v>353200</v>
      </c>
    </row>
    <row r="19" spans="1:20">
      <c r="A19" s="35" t="s">
        <v>49</v>
      </c>
      <c r="B19" s="37">
        <v>126500</v>
      </c>
      <c r="C19" s="37">
        <v>151000</v>
      </c>
      <c r="D19" s="37">
        <v>63500</v>
      </c>
      <c r="E19" s="37">
        <v>23000</v>
      </c>
      <c r="F19" s="37">
        <v>97000</v>
      </c>
      <c r="G19" s="37">
        <v>0</v>
      </c>
      <c r="H19" s="37">
        <v>77000</v>
      </c>
      <c r="I19" s="37">
        <v>56000</v>
      </c>
      <c r="J19" s="37">
        <v>0</v>
      </c>
      <c r="K19" s="37"/>
      <c r="L19" s="37"/>
      <c r="M19" s="37"/>
      <c r="N19" s="37"/>
      <c r="O19" s="37">
        <v>0</v>
      </c>
      <c r="P19" s="37"/>
      <c r="Q19" s="37"/>
      <c r="R19" s="37"/>
      <c r="S19" s="37"/>
      <c r="T19" s="37">
        <f t="shared" si="0"/>
        <v>594000</v>
      </c>
    </row>
    <row r="20" spans="1:20">
      <c r="A20" s="35" t="s">
        <v>50</v>
      </c>
      <c r="B20" s="37">
        <v>120500</v>
      </c>
      <c r="C20" s="37">
        <v>90000</v>
      </c>
      <c r="D20" s="37">
        <v>125000</v>
      </c>
      <c r="E20" s="37">
        <v>0</v>
      </c>
      <c r="F20" s="37">
        <v>51500</v>
      </c>
      <c r="G20" s="37">
        <v>0</v>
      </c>
      <c r="H20" s="37">
        <v>53000</v>
      </c>
      <c r="I20" s="37">
        <v>69000</v>
      </c>
      <c r="J20" s="37">
        <v>17000</v>
      </c>
      <c r="K20" s="37"/>
      <c r="L20" s="37"/>
      <c r="M20" s="37"/>
      <c r="N20" s="37"/>
      <c r="O20" s="37">
        <v>5000</v>
      </c>
      <c r="P20" s="37"/>
      <c r="Q20" s="37"/>
      <c r="R20" s="37"/>
      <c r="S20" s="37"/>
      <c r="T20" s="37">
        <f t="shared" si="0"/>
        <v>531000</v>
      </c>
    </row>
    <row r="21" spans="1:20">
      <c r="A21" s="35" t="s">
        <v>73</v>
      </c>
      <c r="B21" s="37">
        <v>118500</v>
      </c>
      <c r="C21" s="37">
        <v>22000</v>
      </c>
      <c r="D21" s="37">
        <v>67000</v>
      </c>
      <c r="E21" s="37">
        <v>0</v>
      </c>
      <c r="F21" s="37">
        <v>87000</v>
      </c>
      <c r="G21" s="37">
        <v>0</v>
      </c>
      <c r="H21" s="37">
        <v>29000</v>
      </c>
      <c r="I21" s="37">
        <v>22500</v>
      </c>
      <c r="J21" s="37">
        <v>61000</v>
      </c>
      <c r="K21" s="37"/>
      <c r="L21" s="37"/>
      <c r="M21" s="37"/>
      <c r="N21" s="37"/>
      <c r="O21" s="37">
        <v>6000</v>
      </c>
      <c r="P21" s="37"/>
      <c r="Q21" s="37"/>
      <c r="R21" s="37"/>
      <c r="S21" s="37"/>
      <c r="T21" s="37">
        <f t="shared" si="0"/>
        <v>413000</v>
      </c>
    </row>
    <row r="22" spans="1:20">
      <c r="A22" s="35" t="s">
        <v>52</v>
      </c>
      <c r="B22" s="37">
        <v>133500</v>
      </c>
      <c r="C22" s="37">
        <v>76000</v>
      </c>
      <c r="D22" s="37">
        <v>66500</v>
      </c>
      <c r="E22" s="37">
        <v>22300</v>
      </c>
      <c r="F22" s="37">
        <v>89000</v>
      </c>
      <c r="G22" s="37">
        <v>0</v>
      </c>
      <c r="H22" s="37">
        <v>90000</v>
      </c>
      <c r="I22" s="37">
        <v>28000</v>
      </c>
      <c r="J22" s="37">
        <v>8000</v>
      </c>
      <c r="K22" s="37"/>
      <c r="L22" s="37"/>
      <c r="M22" s="37"/>
      <c r="N22" s="37"/>
      <c r="O22" s="37">
        <v>0</v>
      </c>
      <c r="P22" s="37"/>
      <c r="Q22" s="37"/>
      <c r="R22" s="37"/>
      <c r="S22" s="37"/>
      <c r="T22" s="37">
        <f t="shared" si="0"/>
        <v>513300</v>
      </c>
    </row>
    <row r="23" spans="1:20">
      <c r="A23" s="35" t="s">
        <v>53</v>
      </c>
      <c r="B23" s="37">
        <v>98000</v>
      </c>
      <c r="C23" s="37">
        <v>242000</v>
      </c>
      <c r="D23" s="37">
        <v>78000</v>
      </c>
      <c r="E23" s="37">
        <v>26000</v>
      </c>
      <c r="F23" s="37">
        <v>91000</v>
      </c>
      <c r="G23" s="37">
        <v>0</v>
      </c>
      <c r="H23" s="37">
        <v>45000</v>
      </c>
      <c r="I23" s="37">
        <v>81000</v>
      </c>
      <c r="J23" s="37">
        <v>24000</v>
      </c>
      <c r="K23" s="37"/>
      <c r="L23" s="37"/>
      <c r="M23" s="37"/>
      <c r="N23" s="37"/>
      <c r="O23" s="37">
        <v>11000</v>
      </c>
      <c r="P23" s="37"/>
      <c r="Q23" s="37"/>
      <c r="R23" s="37"/>
      <c r="S23" s="37"/>
      <c r="T23" s="37">
        <f t="shared" si="0"/>
        <v>696000</v>
      </c>
    </row>
    <row r="24" spans="1:20">
      <c r="A24" s="35" t="s">
        <v>54</v>
      </c>
      <c r="B24" s="37">
        <v>119000</v>
      </c>
      <c r="C24" s="37">
        <v>30000</v>
      </c>
      <c r="D24" s="37">
        <v>87500</v>
      </c>
      <c r="E24" s="37">
        <v>2500</v>
      </c>
      <c r="F24" s="37">
        <v>128500</v>
      </c>
      <c r="G24" s="37">
        <v>0</v>
      </c>
      <c r="H24" s="37">
        <v>47000</v>
      </c>
      <c r="I24" s="37">
        <v>7000</v>
      </c>
      <c r="J24" s="37"/>
      <c r="K24" s="37"/>
      <c r="L24" s="37"/>
      <c r="M24" s="37"/>
      <c r="N24" s="37"/>
      <c r="O24" s="37"/>
      <c r="P24" s="37"/>
      <c r="Q24" s="37"/>
      <c r="R24" s="37"/>
      <c r="S24" s="37"/>
      <c r="T24" s="37">
        <f t="shared" si="0"/>
        <v>421500</v>
      </c>
    </row>
    <row r="25" spans="1:20">
      <c r="A25" s="35" t="s">
        <v>55</v>
      </c>
      <c r="B25" s="37">
        <v>116000</v>
      </c>
      <c r="C25" s="37">
        <v>9000</v>
      </c>
      <c r="D25" s="37">
        <v>81000</v>
      </c>
      <c r="E25" s="37">
        <v>3000</v>
      </c>
      <c r="F25" s="37">
        <v>112000</v>
      </c>
      <c r="G25" s="37">
        <v>0</v>
      </c>
      <c r="H25" s="37">
        <v>14000</v>
      </c>
      <c r="I25" s="37">
        <v>63000</v>
      </c>
      <c r="J25" s="37">
        <v>4000</v>
      </c>
      <c r="K25" s="37"/>
      <c r="L25" s="37"/>
      <c r="M25" s="37"/>
      <c r="N25" s="37"/>
      <c r="O25" s="37">
        <v>0</v>
      </c>
      <c r="P25" s="37"/>
      <c r="Q25" s="37"/>
      <c r="R25" s="37"/>
      <c r="S25" s="37"/>
      <c r="T25" s="37">
        <f t="shared" si="0"/>
        <v>402000</v>
      </c>
    </row>
    <row r="26" spans="1:20">
      <c r="A26" s="35" t="s">
        <v>56</v>
      </c>
      <c r="B26" s="37">
        <v>128000</v>
      </c>
      <c r="C26" s="37">
        <v>36000</v>
      </c>
      <c r="D26" s="37">
        <v>65500</v>
      </c>
      <c r="E26" s="37">
        <v>6000</v>
      </c>
      <c r="F26" s="37">
        <v>113000</v>
      </c>
      <c r="G26" s="37">
        <v>0</v>
      </c>
      <c r="H26" s="37">
        <v>65000</v>
      </c>
      <c r="I26" s="37">
        <v>21500</v>
      </c>
      <c r="J26" s="37">
        <v>0</v>
      </c>
      <c r="K26" s="37"/>
      <c r="L26" s="37"/>
      <c r="M26" s="37"/>
      <c r="N26" s="37"/>
      <c r="O26" s="37">
        <v>0</v>
      </c>
      <c r="P26" s="37"/>
      <c r="Q26" s="37"/>
      <c r="R26" s="37"/>
      <c r="S26" s="37"/>
      <c r="T26" s="37">
        <f t="shared" si="0"/>
        <v>435000</v>
      </c>
    </row>
    <row r="27" spans="1:20">
      <c r="A27" s="35" t="s">
        <v>57</v>
      </c>
      <c r="B27" s="37">
        <v>163000</v>
      </c>
      <c r="C27" s="37">
        <v>16000</v>
      </c>
      <c r="D27" s="37">
        <v>132000</v>
      </c>
      <c r="E27" s="37">
        <v>5000</v>
      </c>
      <c r="F27" s="37">
        <v>138000</v>
      </c>
      <c r="G27" s="37">
        <v>0</v>
      </c>
      <c r="H27" s="37">
        <v>14000</v>
      </c>
      <c r="I27" s="37">
        <v>73000</v>
      </c>
      <c r="J27" s="37">
        <v>7000</v>
      </c>
      <c r="K27" s="37"/>
      <c r="L27" s="37"/>
      <c r="M27" s="37"/>
      <c r="N27" s="37"/>
      <c r="O27" s="31">
        <v>0</v>
      </c>
      <c r="P27" s="37"/>
      <c r="Q27" s="37"/>
      <c r="R27" s="37"/>
      <c r="S27" s="37"/>
      <c r="T27" s="37">
        <f t="shared" si="0"/>
        <v>548000</v>
      </c>
    </row>
    <row r="28" spans="1:20">
      <c r="A28" s="35" t="s">
        <v>58</v>
      </c>
      <c r="B28" s="37">
        <v>126000</v>
      </c>
      <c r="C28" s="37">
        <v>85000</v>
      </c>
      <c r="D28" s="37">
        <v>121500</v>
      </c>
      <c r="E28" s="37">
        <v>5500</v>
      </c>
      <c r="F28" s="37">
        <v>126000</v>
      </c>
      <c r="G28" s="37">
        <v>0</v>
      </c>
      <c r="H28" s="37">
        <v>71000</v>
      </c>
      <c r="I28" s="37">
        <v>56000</v>
      </c>
      <c r="J28" s="37">
        <v>0</v>
      </c>
      <c r="K28" s="37"/>
      <c r="L28" s="37"/>
      <c r="M28" s="37"/>
      <c r="N28" s="37"/>
      <c r="O28" s="37">
        <v>6000</v>
      </c>
      <c r="P28" s="37"/>
      <c r="Q28" s="37"/>
      <c r="R28" s="37"/>
      <c r="S28" s="37"/>
      <c r="T28" s="37">
        <f t="shared" si="0"/>
        <v>597000</v>
      </c>
    </row>
    <row r="29" spans="1:20">
      <c r="A29" s="35" t="s">
        <v>59</v>
      </c>
      <c r="B29" s="37">
        <v>146000</v>
      </c>
      <c r="C29" s="37">
        <v>53000</v>
      </c>
      <c r="D29" s="37">
        <v>147500</v>
      </c>
      <c r="E29" s="37">
        <v>9500</v>
      </c>
      <c r="F29" s="37">
        <v>114500</v>
      </c>
      <c r="G29" s="37">
        <v>0</v>
      </c>
      <c r="H29" s="37">
        <v>93000</v>
      </c>
      <c r="I29" s="37">
        <v>25500</v>
      </c>
      <c r="J29" s="37">
        <v>0</v>
      </c>
      <c r="K29" s="37"/>
      <c r="L29" s="37"/>
      <c r="M29" s="37"/>
      <c r="N29" s="37"/>
      <c r="O29" s="37">
        <v>0</v>
      </c>
      <c r="P29" s="37"/>
      <c r="Q29" s="37"/>
      <c r="R29" s="37"/>
      <c r="S29" s="37"/>
      <c r="T29" s="37">
        <f t="shared" si="0"/>
        <v>589000</v>
      </c>
    </row>
    <row r="30" spans="1:20">
      <c r="A30" s="35" t="s">
        <v>60</v>
      </c>
      <c r="B30" s="37">
        <v>137000</v>
      </c>
      <c r="C30" s="37">
        <v>40000</v>
      </c>
      <c r="D30" s="37">
        <v>125000</v>
      </c>
      <c r="E30" s="37">
        <v>48000</v>
      </c>
      <c r="F30" s="37">
        <v>125000</v>
      </c>
      <c r="G30" s="37">
        <v>0</v>
      </c>
      <c r="H30" s="37">
        <v>84000</v>
      </c>
      <c r="I30" s="37">
        <v>60000</v>
      </c>
      <c r="J30" s="37">
        <v>0</v>
      </c>
      <c r="K30" s="37"/>
      <c r="L30" s="37"/>
      <c r="M30" s="37"/>
      <c r="N30" s="37"/>
      <c r="O30" s="37"/>
      <c r="P30" s="37"/>
      <c r="Q30" s="37"/>
      <c r="R30" s="37"/>
      <c r="S30" s="37"/>
      <c r="T30" s="37">
        <f t="shared" si="0"/>
        <v>619000</v>
      </c>
    </row>
    <row r="31" spans="1:20">
      <c r="A31" s="35" t="s">
        <v>61</v>
      </c>
      <c r="B31" s="31">
        <v>85000</v>
      </c>
      <c r="C31" s="31">
        <v>47000</v>
      </c>
      <c r="D31" s="31">
        <v>97000</v>
      </c>
      <c r="E31" s="31">
        <v>20000</v>
      </c>
      <c r="F31" s="31">
        <v>100500</v>
      </c>
      <c r="G31" s="31">
        <v>0</v>
      </c>
      <c r="H31" s="31">
        <v>23000</v>
      </c>
      <c r="I31" s="31">
        <v>41500</v>
      </c>
      <c r="J31" s="31">
        <v>2000</v>
      </c>
      <c r="K31" s="31"/>
      <c r="L31" s="31"/>
      <c r="M31" s="31"/>
      <c r="N31" s="31"/>
      <c r="O31" s="31"/>
      <c r="P31" s="31"/>
      <c r="Q31" s="31"/>
      <c r="R31" s="31"/>
      <c r="S31" s="31"/>
      <c r="T31" s="37">
        <f t="shared" si="0"/>
        <v>416000</v>
      </c>
    </row>
    <row r="32" spans="1:20">
      <c r="A32" s="35" t="s">
        <v>62</v>
      </c>
      <c r="B32" s="31">
        <v>140500</v>
      </c>
      <c r="C32" s="31">
        <v>47000</v>
      </c>
      <c r="D32" s="31">
        <v>76500</v>
      </c>
      <c r="E32" s="31">
        <v>17000</v>
      </c>
      <c r="F32" s="31">
        <v>102500</v>
      </c>
      <c r="G32" s="31">
        <v>0</v>
      </c>
      <c r="H32" s="31">
        <v>80500</v>
      </c>
      <c r="I32" s="31">
        <v>47000</v>
      </c>
      <c r="J32" s="31">
        <v>0</v>
      </c>
      <c r="K32" s="31"/>
      <c r="L32" s="31"/>
      <c r="M32" s="31"/>
      <c r="N32" s="31"/>
      <c r="O32" s="31"/>
      <c r="P32" s="31"/>
      <c r="Q32" s="31"/>
      <c r="R32" s="31"/>
      <c r="S32" s="31"/>
      <c r="T32" s="37">
        <f t="shared" si="0"/>
        <v>511000</v>
      </c>
    </row>
    <row r="33" spans="1:21">
      <c r="A33" s="35" t="s">
        <v>63</v>
      </c>
      <c r="B33" s="31">
        <v>122500</v>
      </c>
      <c r="C33" s="31">
        <v>35000</v>
      </c>
      <c r="D33" s="31">
        <v>72000</v>
      </c>
      <c r="E33" s="31">
        <v>38000</v>
      </c>
      <c r="F33" s="31">
        <v>75500</v>
      </c>
      <c r="G33" s="31">
        <v>0</v>
      </c>
      <c r="H33" s="31">
        <v>52000</v>
      </c>
      <c r="I33" s="31">
        <v>51000</v>
      </c>
      <c r="J33" s="31">
        <v>6000</v>
      </c>
      <c r="K33" s="31"/>
      <c r="L33" s="31"/>
      <c r="M33" s="31"/>
      <c r="N33" s="31"/>
      <c r="O33" s="31"/>
      <c r="P33" s="31"/>
      <c r="Q33" s="31"/>
      <c r="R33" s="31"/>
      <c r="S33" s="31"/>
      <c r="T33" s="37">
        <f t="shared" si="0"/>
        <v>452000</v>
      </c>
    </row>
    <row r="34" spans="1:21">
      <c r="A34" s="35" t="s">
        <v>64</v>
      </c>
      <c r="B34" s="31">
        <v>115000</v>
      </c>
      <c r="C34" s="31">
        <v>58500</v>
      </c>
      <c r="D34" s="31">
        <v>77000</v>
      </c>
      <c r="E34" s="31">
        <v>21000</v>
      </c>
      <c r="F34" s="31">
        <v>70500</v>
      </c>
      <c r="G34" s="31">
        <v>0</v>
      </c>
      <c r="H34" s="31">
        <v>61000</v>
      </c>
      <c r="I34" s="31">
        <v>0</v>
      </c>
      <c r="J34" s="31">
        <v>22000</v>
      </c>
      <c r="K34" s="31"/>
      <c r="L34" s="31"/>
      <c r="M34" s="31"/>
      <c r="N34" s="31"/>
      <c r="O34" s="46">
        <v>0</v>
      </c>
      <c r="P34" s="31"/>
      <c r="Q34" s="31"/>
      <c r="R34" s="31"/>
      <c r="S34" s="31"/>
      <c r="T34" s="37">
        <f t="shared" si="0"/>
        <v>425000</v>
      </c>
    </row>
    <row r="35" spans="1:21">
      <c r="A35" s="35" t="s">
        <v>83</v>
      </c>
      <c r="B35" s="31">
        <v>215500</v>
      </c>
      <c r="C35" s="31">
        <v>125000</v>
      </c>
      <c r="D35" s="31">
        <v>295000</v>
      </c>
      <c r="E35" s="31">
        <v>22500</v>
      </c>
      <c r="F35" s="31">
        <v>243000</v>
      </c>
      <c r="G35" s="31">
        <v>24000</v>
      </c>
      <c r="H35" s="31">
        <v>126000</v>
      </c>
      <c r="I35" s="31">
        <v>64000</v>
      </c>
      <c r="J35" s="31">
        <v>51000</v>
      </c>
      <c r="K35" s="31"/>
      <c r="L35" s="31"/>
      <c r="M35" s="31"/>
      <c r="N35" s="31"/>
      <c r="O35" s="31">
        <v>12000</v>
      </c>
      <c r="P35" s="31"/>
      <c r="Q35" s="31"/>
      <c r="R35" s="31"/>
      <c r="S35" s="31"/>
      <c r="T35" s="37">
        <f t="shared" si="0"/>
        <v>1178000</v>
      </c>
    </row>
    <row r="36" spans="1:21">
      <c r="A36" s="40" t="s">
        <v>23</v>
      </c>
      <c r="B36" s="41">
        <f t="shared" ref="B36:J36" si="1">SUM(B6:B35)</f>
        <v>4460500</v>
      </c>
      <c r="C36" s="41">
        <f t="shared" si="1"/>
        <v>2473500</v>
      </c>
      <c r="D36" s="41">
        <f t="shared" si="1"/>
        <v>3353000</v>
      </c>
      <c r="E36" s="41">
        <f t="shared" si="1"/>
        <v>408300</v>
      </c>
      <c r="F36" s="41">
        <f t="shared" si="1"/>
        <v>3412200</v>
      </c>
      <c r="G36" s="41">
        <f t="shared" si="1"/>
        <v>54000</v>
      </c>
      <c r="H36" s="41">
        <f t="shared" si="1"/>
        <v>2105500</v>
      </c>
      <c r="I36" s="41">
        <f t="shared" si="1"/>
        <v>1246500</v>
      </c>
      <c r="J36" s="53">
        <f t="shared" si="1"/>
        <v>353500</v>
      </c>
      <c r="K36" s="54"/>
      <c r="L36" s="54"/>
      <c r="M36" s="54"/>
      <c r="N36" s="54"/>
      <c r="O36" s="54">
        <f>SUM(O6:O35)</f>
        <v>144000</v>
      </c>
      <c r="P36" s="31"/>
      <c r="Q36" s="31"/>
      <c r="R36" s="31">
        <f>SUM(R6:R35)</f>
        <v>0</v>
      </c>
      <c r="S36" s="31"/>
      <c r="T36" s="37">
        <f t="shared" si="0"/>
        <v>18011000</v>
      </c>
    </row>
    <row r="37" spans="1:21">
      <c r="O37" t="s">
        <v>139</v>
      </c>
      <c r="T37" s="47"/>
    </row>
    <row r="39" spans="1:21">
      <c r="B39" s="35"/>
      <c r="C39" s="31"/>
      <c r="D39" s="31"/>
      <c r="E39" s="31"/>
      <c r="F39" s="31"/>
      <c r="G39" s="31"/>
      <c r="H39" s="31"/>
      <c r="I39" s="31"/>
      <c r="J39" s="31"/>
      <c r="K39" s="31"/>
      <c r="L39" s="31"/>
      <c r="M39" s="31"/>
      <c r="N39" s="31"/>
      <c r="O39" s="31"/>
      <c r="P39" s="31"/>
      <c r="Q39" s="31"/>
      <c r="R39" s="31"/>
      <c r="S39" s="31"/>
      <c r="T39" s="31"/>
      <c r="U39" s="31"/>
    </row>
    <row r="40" spans="1:21">
      <c r="B40" s="35"/>
      <c r="C40" s="31"/>
      <c r="D40" s="31"/>
      <c r="E40" s="31"/>
      <c r="F40" s="31"/>
      <c r="G40" s="31"/>
      <c r="H40" s="31"/>
      <c r="I40" s="31"/>
      <c r="J40" s="31"/>
      <c r="K40" s="31"/>
      <c r="L40" s="31"/>
      <c r="M40" s="31"/>
      <c r="N40" s="31"/>
      <c r="O40" s="31"/>
      <c r="P40" s="31"/>
      <c r="Q40" s="31"/>
      <c r="R40" s="31"/>
      <c r="S40" s="31"/>
      <c r="T40" s="31"/>
      <c r="U40" s="31"/>
    </row>
    <row r="41" spans="1:21">
      <c r="B41" s="40"/>
      <c r="C41" s="41"/>
      <c r="D41" s="41"/>
      <c r="E41" s="41"/>
      <c r="F41" s="41"/>
      <c r="G41" s="41"/>
      <c r="H41" s="41"/>
      <c r="I41" s="41"/>
      <c r="J41" s="41"/>
      <c r="K41" s="41"/>
      <c r="L41" s="31"/>
      <c r="M41" s="31"/>
      <c r="N41" s="31"/>
      <c r="O41" s="31"/>
      <c r="P41" s="31"/>
      <c r="Q41" s="31"/>
      <c r="R41" s="31"/>
      <c r="S41" s="31"/>
      <c r="T41" s="31"/>
      <c r="U41" s="31"/>
    </row>
    <row r="42" spans="1:21">
      <c r="U42" s="47"/>
    </row>
  </sheetData>
  <mergeCells count="4">
    <mergeCell ref="B1:T1"/>
    <mergeCell ref="B2:T2"/>
    <mergeCell ref="C3:F3"/>
    <mergeCell ref="C4:F4"/>
  </mergeCell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G48"/>
  <sheetViews>
    <sheetView workbookViewId="0">
      <selection activeCell="F20" sqref="F20"/>
    </sheetView>
  </sheetViews>
  <sheetFormatPr defaultRowHeight="15"/>
  <cols>
    <col min="1" max="1" width="18.140625" customWidth="1"/>
    <col min="2" max="2" width="14.28515625" customWidth="1"/>
    <col min="3" max="3" width="15.5703125" customWidth="1"/>
    <col min="4" max="4" width="14" customWidth="1"/>
    <col min="5" max="5" width="14.28515625" customWidth="1"/>
    <col min="6" max="6" width="13.7109375" customWidth="1"/>
    <col min="7" max="7" width="16" customWidth="1"/>
  </cols>
  <sheetData>
    <row r="1" spans="1:7" ht="16.5" thickBot="1">
      <c r="A1" s="6" t="s">
        <v>24</v>
      </c>
      <c r="B1" s="70" t="s">
        <v>138</v>
      </c>
      <c r="C1" s="71"/>
      <c r="D1" s="72"/>
      <c r="E1" s="11"/>
      <c r="F1" s="11"/>
      <c r="G1" s="12"/>
    </row>
    <row r="2" spans="1:7" ht="15.75">
      <c r="A2" s="13" t="s">
        <v>25</v>
      </c>
      <c r="B2" s="14" t="s">
        <v>26</v>
      </c>
      <c r="C2" s="14" t="s">
        <v>27</v>
      </c>
      <c r="D2" s="14" t="s">
        <v>129</v>
      </c>
      <c r="E2" s="14" t="s">
        <v>29</v>
      </c>
      <c r="F2" s="15" t="s">
        <v>30</v>
      </c>
      <c r="G2" s="16" t="s">
        <v>31</v>
      </c>
    </row>
    <row r="3" spans="1:7" ht="15.75">
      <c r="A3" s="17" t="s">
        <v>4</v>
      </c>
      <c r="B3" s="18">
        <f>SUM('DAILY REPORT APRIL 2026'!$B$6:$B$12)</f>
        <v>1362500</v>
      </c>
      <c r="C3" s="18">
        <f>SUM('DAILY REPORT APRIL 2026'!B$13:B$19)</f>
        <v>1014000</v>
      </c>
      <c r="D3" s="18">
        <f>SUM('DAILY REPORT APRIL 2026'!$B$20:$B$26)</f>
        <v>833500</v>
      </c>
      <c r="E3" s="18">
        <f>SUM('DAILY REPORT APRIL 2026'!$B$27:$B$33)</f>
        <v>920000</v>
      </c>
      <c r="F3" s="19">
        <f>SUM('DAILY REPORT APRIL 2026'!$B$34:$B$35)</f>
        <v>330500</v>
      </c>
      <c r="G3" s="20">
        <f t="shared" ref="G3:G11" si="0">SUM(B3:F3)</f>
        <v>4460500</v>
      </c>
    </row>
    <row r="4" spans="1:7" ht="15.75">
      <c r="A4" s="17" t="s">
        <v>5</v>
      </c>
      <c r="B4" s="18">
        <f>SUM('DAILY REPORT APRIL 2026'!$C$6:$C$12)</f>
        <v>751000</v>
      </c>
      <c r="C4" s="18">
        <f>SUM('DAILY REPORT APRIL 2026'!C$13:C$19)</f>
        <v>711000</v>
      </c>
      <c r="D4" s="18">
        <f>SUM('DAILY REPORT APRIL 2026'!$C$20:$C$26)</f>
        <v>505000</v>
      </c>
      <c r="E4" s="18">
        <f>SUM('DAILY REPORT APRIL 2026'!$C$27:$C$33)</f>
        <v>323000</v>
      </c>
      <c r="F4" s="19">
        <f>SUM('DAILY REPORT APRIL 2026'!$C$34:$C$35)</f>
        <v>183500</v>
      </c>
      <c r="G4" s="20">
        <f t="shared" si="0"/>
        <v>2473500</v>
      </c>
    </row>
    <row r="5" spans="1:7" ht="15.75">
      <c r="A5" s="17" t="s">
        <v>32</v>
      </c>
      <c r="B5" s="18">
        <f>SUM('DAILY REPORT APRIL 2026'!$D$6:$D$12)</f>
        <v>969000</v>
      </c>
      <c r="C5" s="18">
        <f>SUM('DAILY REPORT APRIL 2026'!D$13:D$19)</f>
        <v>670000</v>
      </c>
      <c r="D5" s="18">
        <f>SUM('DAILY REPORT APRIL 2026'!$D$20:$D$26)</f>
        <v>570500</v>
      </c>
      <c r="E5" s="18">
        <f>SUM('DAILY REPORT APRIL 2026'!$D$27:$D$33)</f>
        <v>771500</v>
      </c>
      <c r="F5" s="19">
        <f>SUM('DAILY REPORT APRIL 2026'!$D$34:$D$35)</f>
        <v>372000</v>
      </c>
      <c r="G5" s="20">
        <f t="shared" si="0"/>
        <v>3353000</v>
      </c>
    </row>
    <row r="6" spans="1:7" ht="15.75">
      <c r="A6" s="17" t="s">
        <v>33</v>
      </c>
      <c r="B6" s="18">
        <f>SUM('DAILY REPORT APRIL 2026'!$E$6:$E$12)</f>
        <v>110500</v>
      </c>
      <c r="C6" s="18">
        <f>SUM('DAILY REPORT APRIL 2026'!E$13:E$19)</f>
        <v>51500</v>
      </c>
      <c r="D6" s="18">
        <f>SUM('DAILY REPORT APRIL 2026'!$E$20:$E$26)</f>
        <v>59800</v>
      </c>
      <c r="E6" s="18">
        <f>SUM('DAILY REPORT APRIL 2026'!$E$27:$E$33)</f>
        <v>143000</v>
      </c>
      <c r="F6" s="19">
        <f>SUM('DAILY REPORT APRIL 2026'!$E$34:$E$35)</f>
        <v>43500</v>
      </c>
      <c r="G6" s="20">
        <f t="shared" si="0"/>
        <v>408300</v>
      </c>
    </row>
    <row r="7" spans="1:7" ht="15.75">
      <c r="A7" s="17" t="s">
        <v>8</v>
      </c>
      <c r="B7" s="18">
        <f>SUM('DAILY REPORT APRIL 2026'!$F$6:$F$12)</f>
        <v>940500</v>
      </c>
      <c r="C7" s="18">
        <f>SUM('DAILY REPORT APRIL 2026'!F$13:F$19)</f>
        <v>704200</v>
      </c>
      <c r="D7" s="18">
        <f>SUM('DAILY REPORT APRIL 2026'!$F$20:$F$26)</f>
        <v>672000</v>
      </c>
      <c r="E7" s="18">
        <f>SUM('DAILY REPORT APRIL 2026'!$F$27:$F$33)</f>
        <v>782000</v>
      </c>
      <c r="F7" s="19">
        <f>SUM('DAILY REPORT APRIL 2026'!$F$34:$F$35)</f>
        <v>313500</v>
      </c>
      <c r="G7" s="20">
        <f t="shared" si="0"/>
        <v>3412200</v>
      </c>
    </row>
    <row r="8" spans="1:7" ht="15.75">
      <c r="A8" s="17" t="s">
        <v>9</v>
      </c>
      <c r="B8" s="18">
        <f>SUM('DAILY REPORT APRIL 2026'!$G$6:$G$12)</f>
        <v>6000</v>
      </c>
      <c r="C8" s="18">
        <f>SUM('DAILY REPORT APRIL 2026'!G$13:G$19)</f>
        <v>24000</v>
      </c>
      <c r="D8" s="18">
        <f>SUM('DAILY REPORT APRIL 2026'!$G$20:$G$26)</f>
        <v>0</v>
      </c>
      <c r="E8" s="18">
        <f>SUM('DAILY REPORT APRIL 2026'!$G$27:$G$33)</f>
        <v>0</v>
      </c>
      <c r="F8" s="19">
        <f>SUM('DAILY REPORT APRIL 2026'!$G$34:$G$35)</f>
        <v>24000</v>
      </c>
      <c r="G8" s="20">
        <f t="shared" si="0"/>
        <v>54000</v>
      </c>
    </row>
    <row r="9" spans="1:7" ht="15.75">
      <c r="A9" s="17" t="s">
        <v>10</v>
      </c>
      <c r="B9" s="18">
        <f>SUM('DAILY REPORT APRIL 2026'!$H$6:$H$12)</f>
        <v>852000</v>
      </c>
      <c r="C9" s="18">
        <f>SUM('DAILY REPORT APRIL 2026'!H$13:H$19)</f>
        <v>306000</v>
      </c>
      <c r="D9" s="18">
        <f>SUM('DAILY REPORT APRIL 2026'!$H$20:$H$26)</f>
        <v>343000</v>
      </c>
      <c r="E9" s="18">
        <f>SUM('DAILY REPORT APRIL 2026'!$H$27:$H$33)</f>
        <v>417500</v>
      </c>
      <c r="F9" s="19">
        <f>SUM('DAILY REPORT APRIL 2026'!$H$34:$H$35)</f>
        <v>187000</v>
      </c>
      <c r="G9" s="20">
        <f t="shared" si="0"/>
        <v>2105500</v>
      </c>
    </row>
    <row r="10" spans="1:7" ht="15.75">
      <c r="A10" s="17" t="s">
        <v>11</v>
      </c>
      <c r="B10" s="18">
        <f>SUM('DAILY REPORT APRIL 2026'!$I$6:$I$12)</f>
        <v>368500</v>
      </c>
      <c r="C10" s="18">
        <f>SUM('DAILY REPORT APRIL 2026'!I$13:I$19)</f>
        <v>168000</v>
      </c>
      <c r="D10" s="18">
        <f>SUM('DAILY REPORT APRIL 2026'!$I$20:$I$26)</f>
        <v>292000</v>
      </c>
      <c r="E10" s="18">
        <f>SUM('DAILY REPORT APRIL 2026'!$I$27:$I$33)</f>
        <v>354000</v>
      </c>
      <c r="F10" s="19">
        <f>SUM('DAILY REPORT APRIL 2026'!$I$34:$I$35)</f>
        <v>64000</v>
      </c>
      <c r="G10" s="20">
        <f t="shared" si="0"/>
        <v>1246500</v>
      </c>
    </row>
    <row r="11" spans="1:7" ht="15.75">
      <c r="A11" s="17" t="s">
        <v>12</v>
      </c>
      <c r="B11" s="18">
        <f>SUM('DAILY REPORT APRIL 2026'!$J$6:$J$12)</f>
        <v>113000</v>
      </c>
      <c r="C11" s="18">
        <f>SUM('DAILY REPORT APRIL 2026'!J$13:J$19)</f>
        <v>38500</v>
      </c>
      <c r="D11" s="18">
        <f>SUM('DAILY REPORT APRIL 2026'!$J$20:$J$26)</f>
        <v>114000</v>
      </c>
      <c r="E11" s="18">
        <f>SUM('DAILY REPORT APRIL 2026'!$J$27:$J$33)</f>
        <v>15000</v>
      </c>
      <c r="F11" s="19">
        <f>SUM('DAILY REPORT APRIL 2026'!$J$34:$J$35)</f>
        <v>73000</v>
      </c>
      <c r="G11" s="20">
        <f t="shared" si="0"/>
        <v>353500</v>
      </c>
    </row>
    <row r="12" spans="1:7" ht="15.75">
      <c r="A12" s="17" t="s">
        <v>13</v>
      </c>
      <c r="B12" s="18">
        <f>SUM('DAILY REPORT APRIL 2026'!$K$6:$K$12)</f>
        <v>0</v>
      </c>
      <c r="C12" s="18">
        <f>SUM('DAILY REPORT APRIL 2026'!K$13:K$19)</f>
        <v>0</v>
      </c>
      <c r="D12" s="18">
        <f>SUM('DAILY REPORT APRIL 2026'!$K$20:$K$26)</f>
        <v>0</v>
      </c>
      <c r="E12" s="18">
        <f>SUM('DAILY REPORT APRIL 2026'!$K$27:$K$33)</f>
        <v>0</v>
      </c>
      <c r="F12" s="19">
        <f>SUM('DAILY REPORT APRIL 2026'!$K$34:$K$35)</f>
        <v>0</v>
      </c>
      <c r="G12" s="20"/>
    </row>
    <row r="13" spans="1:7" ht="15.75">
      <c r="A13" s="17" t="s">
        <v>14</v>
      </c>
      <c r="B13" s="18">
        <f>SUM('DAILY REPORT APRIL 2026'!$L$6:$L$12)</f>
        <v>0</v>
      </c>
      <c r="C13" s="18">
        <f>SUM('DAILY REPORT APRIL 2026'!L$13:L$19)</f>
        <v>0</v>
      </c>
      <c r="D13" s="18">
        <f>SUM('DAILY REPORT APRIL 2026'!$L$20:$L$26)</f>
        <v>0</v>
      </c>
      <c r="E13" s="18">
        <f>SUM('DAILY REPORT APRIL 2026'!$L$27:$L$33)</f>
        <v>0</v>
      </c>
      <c r="F13" s="19">
        <f>SUM('DAILY REPORT APRIL 2026'!$L$34:$L$35)</f>
        <v>0</v>
      </c>
      <c r="G13" s="20"/>
    </row>
    <row r="14" spans="1:7" ht="15.75">
      <c r="A14" s="17" t="s">
        <v>15</v>
      </c>
      <c r="B14" s="18">
        <f>SUM('DAILY REPORT APRIL 2026'!$M$6:$M$12)</f>
        <v>0</v>
      </c>
      <c r="C14" s="18">
        <f>SUM('DAILY REPORT APRIL 2026'!M$13:M$19)</f>
        <v>0</v>
      </c>
      <c r="D14" s="18">
        <f>SUM('DAILY REPORT APRIL 2026'!$M$20:$M$26)</f>
        <v>0</v>
      </c>
      <c r="E14" s="18">
        <f>SUM('DAILY REPORT APRIL 2026'!$M$27:$M$33)</f>
        <v>0</v>
      </c>
      <c r="F14" s="19">
        <f>SUM('DAILY REPORT APRIL 2026'!$M$34:$M$35)</f>
        <v>0</v>
      </c>
      <c r="G14" s="20"/>
    </row>
    <row r="15" spans="1:7" ht="15.75">
      <c r="A15" s="17" t="s">
        <v>16</v>
      </c>
      <c r="B15" s="18">
        <f>SUM('DAILY REPORT APRIL 2026'!$N$6:$N$12)</f>
        <v>0</v>
      </c>
      <c r="C15" s="18">
        <f>SUM('DAILY REPORT APRIL 2026'!N$13:N$19)</f>
        <v>0</v>
      </c>
      <c r="D15" s="18">
        <f>SUM('DAILY REPORT APRIL 2026'!$N$20:$N$26)</f>
        <v>0</v>
      </c>
      <c r="E15" s="18">
        <f>SUM('DAILY REPORT APRIL 2026'!$N$27:$N$33)</f>
        <v>0</v>
      </c>
      <c r="F15" s="19">
        <f>SUM('DAILY REPORT APRIL 2026'!$N$34:$N$35)</f>
        <v>0</v>
      </c>
      <c r="G15" s="20"/>
    </row>
    <row r="16" spans="1:7" ht="15.75">
      <c r="A16" s="17" t="s">
        <v>17</v>
      </c>
      <c r="B16" s="18">
        <f>SUM('DAILY REPORT APRIL 2026'!$O$6:$O$12)</f>
        <v>51000</v>
      </c>
      <c r="C16" s="18">
        <f>SUM('DAILY REPORT APRIL 2026'!O$13:O$19)</f>
        <v>53000</v>
      </c>
      <c r="D16" s="18">
        <f>SUM('DAILY REPORT APRIL 2026'!$O$20:$O$26)</f>
        <v>22000</v>
      </c>
      <c r="E16" s="18">
        <f>SUM('DAILY REPORT APRIL 2026'!$O$27:$O$33)</f>
        <v>6000</v>
      </c>
      <c r="F16" s="19">
        <f>SUM('DAILY REPORT APRIL 2026'!$O$34:$O$35)</f>
        <v>12000</v>
      </c>
      <c r="G16" s="20">
        <f>SUM(B16:F16)</f>
        <v>144000</v>
      </c>
    </row>
    <row r="17" spans="1:7" ht="15.75">
      <c r="A17" s="17" t="s">
        <v>18</v>
      </c>
      <c r="B17" s="18">
        <f>SUM('DAILY REPORT APRIL 2026'!$P$6:$P$12)</f>
        <v>0</v>
      </c>
      <c r="C17" s="18">
        <f>SUM('DAILY REPORT APRIL 2026'!P$13:P$19)</f>
        <v>0</v>
      </c>
      <c r="D17" s="18">
        <f>SUM('DAILY REPORT APRIL 2026'!$P$20:$P$26)</f>
        <v>0</v>
      </c>
      <c r="E17" s="18">
        <f>SUM('DAILY REPORT APRIL 2026'!$P$27:$P$33)</f>
        <v>0</v>
      </c>
      <c r="F17" s="19">
        <f>SUM('DAILY REPORT APRIL 2026'!$P$34:$P$35)</f>
        <v>0</v>
      </c>
      <c r="G17" s="20"/>
    </row>
    <row r="18" spans="1:7" ht="15.75">
      <c r="A18" s="17" t="s">
        <v>19</v>
      </c>
      <c r="B18" s="18">
        <f>SUM('DAILY REPORT APRIL 2026'!$Q$6:$Q$12)</f>
        <v>0</v>
      </c>
      <c r="C18" s="18">
        <f>SUM('DAILY REPORT APRIL 2026'!Q$13:Q$19)</f>
        <v>0</v>
      </c>
      <c r="D18" s="18">
        <f>SUM('DAILY REPORT APRIL 2026'!$Q$20:$Q$26)</f>
        <v>0</v>
      </c>
      <c r="E18" s="18">
        <f>SUM('DAILY REPORT APRIL 2026'!$Q$27:$Q$33)</f>
        <v>0</v>
      </c>
      <c r="F18" s="19">
        <f>SUM('DAILY REPORT APRIL 2026'!$Q$34:$Q$35)</f>
        <v>0</v>
      </c>
      <c r="G18" s="20"/>
    </row>
    <row r="19" spans="1:7" ht="15.75">
      <c r="A19" s="17" t="s">
        <v>34</v>
      </c>
      <c r="B19" s="18">
        <f>SUM('DAILY REPORT APRIL 2026'!$R$6:$R$12)</f>
        <v>0</v>
      </c>
      <c r="C19" s="18">
        <f>SUM('DAILY REPORT APRIL 2026'!R$13:R$19)</f>
        <v>0</v>
      </c>
      <c r="D19" s="18">
        <f>SUM('DAILY REPORT APRIL 2026'!$R$20:$R$26)</f>
        <v>0</v>
      </c>
      <c r="E19" s="18">
        <f>SUM('DAILY REPORT APRIL 2026'!$R$27:$R$33)</f>
        <v>0</v>
      </c>
      <c r="F19" s="19">
        <f>SUM('DAILY REPORT APRIL 2026'!$R$34:$R$35)</f>
        <v>0</v>
      </c>
      <c r="G19" s="20"/>
    </row>
    <row r="20" spans="1:7" ht="16.5" thickBot="1">
      <c r="A20" s="21" t="s">
        <v>35</v>
      </c>
      <c r="B20" s="22">
        <f t="shared" ref="B20:G20" si="1">SUM(B3:B19)</f>
        <v>5524000</v>
      </c>
      <c r="C20" s="22">
        <f t="shared" si="1"/>
        <v>3740200</v>
      </c>
      <c r="D20" s="22">
        <f t="shared" si="1"/>
        <v>3411800</v>
      </c>
      <c r="E20" s="22">
        <f t="shared" si="1"/>
        <v>3732000</v>
      </c>
      <c r="F20" s="22">
        <f t="shared" si="1"/>
        <v>1603000</v>
      </c>
      <c r="G20" s="23">
        <f t="shared" si="1"/>
        <v>18011000</v>
      </c>
    </row>
    <row r="21" spans="1:7">
      <c r="B21" s="47"/>
    </row>
    <row r="48" spans="6:6">
      <c r="F48" t="s">
        <v>136</v>
      </c>
    </row>
  </sheetData>
  <mergeCells count="1">
    <mergeCell ref="B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69</vt:i4>
      </vt:variant>
    </vt:vector>
  </HeadingPairs>
  <TitlesOfParts>
    <vt:vector size="69" baseType="lpstr">
      <vt:lpstr>WEEKLY SALES REPORT MAR  20 (2</vt:lpstr>
      <vt:lpstr>DAILY  SALES REPORT MAR.202 (2</vt:lpstr>
      <vt:lpstr>Daily sales JULY 2023</vt:lpstr>
      <vt:lpstr>Weekly report JULY 2023</vt:lpstr>
      <vt:lpstr>DAILY SALES AUGUST 2023</vt:lpstr>
      <vt:lpstr>WEEKLY REPORT AUGUST 2023</vt:lpstr>
      <vt:lpstr>Daily sales for semp</vt:lpstr>
      <vt:lpstr>WEEKLY REPORT SEP 2023</vt:lpstr>
      <vt:lpstr>DAILY SALES OCT 2023</vt:lpstr>
      <vt:lpstr>WEEKLY REPORT OCT  2023 </vt:lpstr>
      <vt:lpstr>DAILY SALES NOV 2023</vt:lpstr>
      <vt:lpstr>WEEKLY REPORT NOV  2023  (2)</vt:lpstr>
      <vt:lpstr>DAILY SALES DEC 2023 </vt:lpstr>
      <vt:lpstr>WEEKLY REPORT DEC 2023  </vt:lpstr>
      <vt:lpstr>DAILY SALES JAN 2024  (2)</vt:lpstr>
      <vt:lpstr>WEEKLY REPORT JAN 2024  (2)</vt:lpstr>
      <vt:lpstr>DAILY SALES FEB 2024  (3)</vt:lpstr>
      <vt:lpstr>WEEKLY REPORT FEM 2024  (3)</vt:lpstr>
      <vt:lpstr>DAILY SALES FOR MARCH</vt:lpstr>
      <vt:lpstr>WEEKLY REPORT MARCH 2024  </vt:lpstr>
      <vt:lpstr>DAILY SALES FOR APRIL 2024 (2)</vt:lpstr>
      <vt:lpstr>WEEKLY REPORT APRIL 2024   (2)</vt:lpstr>
      <vt:lpstr>DAILY SALES FOR MAY.2024</vt:lpstr>
      <vt:lpstr>WEEKLY REPORT MAY.2024</vt:lpstr>
      <vt:lpstr>DAILY SALES FOR JUNE.2024 (2)</vt:lpstr>
      <vt:lpstr>WEEKLY REPORT JUNE.2024 (2)</vt:lpstr>
      <vt:lpstr>DAILY SALES FOR JULY.2024 (3)</vt:lpstr>
      <vt:lpstr>WEEKLY REPORT JULY.2024 (3)</vt:lpstr>
      <vt:lpstr>DAILY SALES FOR AUGUST.2024 </vt:lpstr>
      <vt:lpstr>WEEKLY REPORT AUGUST.2024 (4)</vt:lpstr>
      <vt:lpstr>DAILY SALES FOR SEPTEMB.2024 (2</vt:lpstr>
      <vt:lpstr>WEEKLY REPORT SEMPT.2024 (5)</vt:lpstr>
      <vt:lpstr>DAILY SALES FOR OCT.2024</vt:lpstr>
      <vt:lpstr>WEEKLY REPORT FOR OCT.2024</vt:lpstr>
      <vt:lpstr>DAILY SALES FOR NOV.2024 (2)</vt:lpstr>
      <vt:lpstr>WEEKLY REPORT FOR NOV.2024 (2)</vt:lpstr>
      <vt:lpstr>DAILY SALES REPORT DEC.2024</vt:lpstr>
      <vt:lpstr>WEEKLY SALES REPORT DEC.2024</vt:lpstr>
      <vt:lpstr>DAIRY SALES REPORT JAN 2025</vt:lpstr>
      <vt:lpstr>WEEKLY SHOP REPORT JAN 2025</vt:lpstr>
      <vt:lpstr>DAILY  SALES REPORT FEB.2025</vt:lpstr>
      <vt:lpstr>WEEKLY SALES REPORT FEB .2025</vt:lpstr>
      <vt:lpstr>DAILY  SALES REPORT MAR.2025</vt:lpstr>
      <vt:lpstr>WEEKLY SALES REPORT MARCH  2025</vt:lpstr>
      <vt:lpstr>DAILY SALES REPORT FOR APRIL 20</vt:lpstr>
      <vt:lpstr>WEEKLY SALES REPORT FOR APRRIL </vt:lpstr>
      <vt:lpstr>DAILY SALES REPORT FOR MAY.2025</vt:lpstr>
      <vt:lpstr>WEEKLY SALES REPORT FOR MAY.25</vt:lpstr>
      <vt:lpstr>DAILY SALES REPORT FOR JUNE2025</vt:lpstr>
      <vt:lpstr>WEEKLY SALES REPORT FORJUNE2025</vt:lpstr>
      <vt:lpstr>DAIRY REPORT JULY 2025</vt:lpstr>
      <vt:lpstr>WEEKLY SALES REPORT FORJULY 202</vt:lpstr>
      <vt:lpstr>DAIRY REPORT AUG.2025</vt:lpstr>
      <vt:lpstr>WEEKLY REPORT AUG.2025</vt:lpstr>
      <vt:lpstr>DAIRY REPORT SEPT 2025</vt:lpstr>
      <vt:lpstr>WEEKLY REPORT SEPT 2025</vt:lpstr>
      <vt:lpstr>DAIRY REPORT OCT.2025</vt:lpstr>
      <vt:lpstr>WEEKLY REPORT OCT.2025</vt:lpstr>
      <vt:lpstr>DAILY REPORT NOV.2025</vt:lpstr>
      <vt:lpstr>WEEKLY REPORT NOV 2025</vt:lpstr>
      <vt:lpstr>DAILY REPORT DEC 2025</vt:lpstr>
      <vt:lpstr>WEEKLY REPORT DEC 2025</vt:lpstr>
      <vt:lpstr>DAILY REPORT JAN 2026</vt:lpstr>
      <vt:lpstr>DAILY REPORT FEB 2026</vt:lpstr>
      <vt:lpstr>WEEKLY REPORT JAN 2026</vt:lpstr>
      <vt:lpstr>DAILY REPORT MAR 2026</vt:lpstr>
      <vt:lpstr>WEEKLY REPORT MAR 2026</vt:lpstr>
      <vt:lpstr>DAILY REPORT APRIL 2026</vt:lpstr>
      <vt:lpstr>WEEKLY REPORT APRIL 2026</vt:lpstr>
    </vt:vector>
  </TitlesOfParts>
  <Company>CALTEX</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CALTEX</dc:creator>
  <cp:lastModifiedBy>Asher Gad</cp:lastModifiedBy>
  <cp:lastPrinted>2026-02-01T23:37:51Z</cp:lastPrinted>
  <dcterms:created xsi:type="dcterms:W3CDTF">2012-08-06T04:40:00Z</dcterms:created>
  <dcterms:modified xsi:type="dcterms:W3CDTF">2026-05-02T07:40:11Z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1F561277BF224D9B9F177B901DCEDFC0</vt:lpwstr>
  </property>
  <property fmtid="{D5CDD505-2E9C-101B-9397-08002B2CF9AE}" pid="3" name="KSOProductBuildVer">
    <vt:lpwstr>1033-11.2.0.11417</vt:lpwstr>
  </property>
  <property fmtid="{D5CDD505-2E9C-101B-9397-08002B2CF9AE}" pid="4" name="MSIP_Label_a4593b6e-8994-43c5-a486-e951b5f02cec_Enabled">
    <vt:lpwstr>true</vt:lpwstr>
  </property>
  <property fmtid="{D5CDD505-2E9C-101B-9397-08002B2CF9AE}" pid="5" name="MSIP_Label_a4593b6e-8994-43c5-a486-e951b5f02cec_SetDate">
    <vt:lpwstr>2023-07-03T05:44:53Z</vt:lpwstr>
  </property>
  <property fmtid="{D5CDD505-2E9C-101B-9397-08002B2CF9AE}" pid="6" name="MSIP_Label_a4593b6e-8994-43c5-a486-e951b5f02cec_Method">
    <vt:lpwstr>Privileged</vt:lpwstr>
  </property>
  <property fmtid="{D5CDD505-2E9C-101B-9397-08002B2CF9AE}" pid="7" name="MSIP_Label_a4593b6e-8994-43c5-a486-e951b5f02cec_Name">
    <vt:lpwstr>a4593b6e-8994-43c5-a486-e951b5f02cec</vt:lpwstr>
  </property>
  <property fmtid="{D5CDD505-2E9C-101B-9397-08002B2CF9AE}" pid="8" name="MSIP_Label_a4593b6e-8994-43c5-a486-e951b5f02cec_SiteId">
    <vt:lpwstr>329e91b0-e21f-48fb-a071-456717ecc28e</vt:lpwstr>
  </property>
  <property fmtid="{D5CDD505-2E9C-101B-9397-08002B2CF9AE}" pid="9" name="MSIP_Label_a4593b6e-8994-43c5-a486-e951b5f02cec_ActionId">
    <vt:lpwstr>f6fabfa3-2103-4fdf-b933-184b554954ff</vt:lpwstr>
  </property>
  <property fmtid="{D5CDD505-2E9C-101B-9397-08002B2CF9AE}" pid="10" name="MSIP_Label_a4593b6e-8994-43c5-a486-e951b5f02cec_ContentBits">
    <vt:lpwstr>0</vt:lpwstr>
  </property>
</Properties>
</file>