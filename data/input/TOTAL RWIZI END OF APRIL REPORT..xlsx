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OTAL RWIZI\Desktop\Daily Data\April 2026\"/>
    </mc:Choice>
  </mc:AlternateContent>
  <xr:revisionPtr revIDLastSave="0" documentId="13_ncr:1_{077735C7-5081-4650-84C4-70C5A5A5CE12}" xr6:coauthVersionLast="47" xr6:coauthVersionMax="47" xr10:uidLastSave="{00000000-0000-0000-0000-000000000000}"/>
  <bookViews>
    <workbookView xWindow="-120" yWindow="-120" windowWidth="19440" windowHeight="14040" firstSheet="36" activeTab="40" xr2:uid="{00000000-000D-0000-FFFF-FFFF00000000}"/>
  </bookViews>
  <sheets>
    <sheet name="JAN . 2024" sheetId="19" r:id="rId1"/>
    <sheet name="SEP.2023 (2)" sheetId="14" r:id="rId2"/>
    <sheet name="SEMPT 2022" sheetId="2" r:id="rId3"/>
    <sheet name="OCT 2022" sheetId="3" r:id="rId4"/>
    <sheet name="NOV.2022" sheetId="4" r:id="rId5"/>
    <sheet name="DEC.2022" sheetId="5" r:id="rId6"/>
    <sheet name="JAN 2023" sheetId="6" r:id="rId7"/>
    <sheet name="JUNE 2023" sheetId="7" r:id="rId8"/>
    <sheet name="JULY 2023" sheetId="10" r:id="rId9"/>
    <sheet name="AUGUST 2023" sheetId="11" r:id="rId10"/>
    <sheet name="SEP.2023" sheetId="12" r:id="rId11"/>
    <sheet name="OCT 2023" sheetId="15" r:id="rId12"/>
    <sheet name="NOV.2023" sheetId="16" r:id="rId13"/>
    <sheet name="DEC.2023" sheetId="17" r:id="rId14"/>
    <sheet name="FEB.2024" sheetId="20" r:id="rId15"/>
    <sheet name="MARCH.34" sheetId="21" r:id="rId16"/>
    <sheet name="APRIL .24" sheetId="28" r:id="rId17"/>
    <sheet name="MAY.2024" sheetId="29" r:id="rId18"/>
    <sheet name="JUNE.2024" sheetId="30" r:id="rId19"/>
    <sheet name="JULY.2024" sheetId="31" r:id="rId20"/>
    <sheet name="AUG.2024" sheetId="32" r:id="rId21"/>
    <sheet name="SEP.2024" sheetId="33" r:id="rId22"/>
    <sheet name="OCT.2024" sheetId="34" r:id="rId23"/>
    <sheet name="NOV.2024" sheetId="35" r:id="rId24"/>
    <sheet name="DEC.2024" sheetId="36" r:id="rId25"/>
    <sheet name="JAN.2025" sheetId="37" r:id="rId26"/>
    <sheet name="FEB.2025" sheetId="38" r:id="rId27"/>
    <sheet name="MARCH.2025" sheetId="39" r:id="rId28"/>
    <sheet name="APIRL.2025" sheetId="40" r:id="rId29"/>
    <sheet name="MAY.2025" sheetId="41" r:id="rId30"/>
    <sheet name="JUNE.2025" sheetId="42" r:id="rId31"/>
    <sheet name="JULY.2025" sheetId="43" r:id="rId32"/>
    <sheet name="AUG.2025" sheetId="44" r:id="rId33"/>
    <sheet name="SEP.2025" sheetId="45" r:id="rId34"/>
    <sheet name="OCT.2025" sheetId="46" r:id="rId35"/>
    <sheet name="NOV.2025" sheetId="47" r:id="rId36"/>
    <sheet name="DEC 2025" sheetId="48" r:id="rId37"/>
    <sheet name="JAN 2026" sheetId="49" r:id="rId38"/>
    <sheet name="FEB 2026" sheetId="50" r:id="rId39"/>
    <sheet name="MAR 2026" sheetId="51" r:id="rId40"/>
    <sheet name="APRIL 2026" sheetId="53" r:id="rId41"/>
  </sheets>
  <externalReferences>
    <externalReference r:id="rId42"/>
  </externalReferences>
  <definedNames>
    <definedName name="_xlnm._FilterDatabase" localSheetId="2" hidden="1">'SEMPT 2022'!$A$3:$Q$3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3" i="53" l="1"/>
  <c r="I4" i="53" l="1"/>
  <c r="I5" i="53"/>
  <c r="I6" i="53"/>
  <c r="I7" i="53"/>
  <c r="I8" i="53"/>
  <c r="I9" i="53"/>
  <c r="I10" i="53"/>
  <c r="I11" i="53"/>
  <c r="I12" i="53"/>
  <c r="I13" i="53"/>
  <c r="I14" i="53"/>
  <c r="I15" i="53"/>
  <c r="I16" i="53"/>
  <c r="I17" i="53"/>
  <c r="I18" i="53"/>
  <c r="I19" i="53"/>
  <c r="I20" i="53"/>
  <c r="I21" i="53"/>
  <c r="I22" i="53"/>
  <c r="I23" i="53"/>
  <c r="I24" i="53"/>
  <c r="I25" i="53"/>
  <c r="I26" i="53"/>
  <c r="I27" i="53"/>
  <c r="I28" i="53"/>
  <c r="I29" i="53"/>
  <c r="I30" i="53"/>
  <c r="I31" i="53"/>
  <c r="I32" i="53"/>
  <c r="I3" i="53"/>
  <c r="I33" i="53" s="1"/>
  <c r="J33" i="53"/>
  <c r="H33" i="53"/>
  <c r="N32" i="53"/>
  <c r="L32" i="53"/>
  <c r="K32" i="53"/>
  <c r="E32" i="53"/>
  <c r="D32" i="53"/>
  <c r="C32" i="53"/>
  <c r="B32" i="53"/>
  <c r="N31" i="53"/>
  <c r="L31" i="53"/>
  <c r="K31" i="53"/>
  <c r="E31" i="53"/>
  <c r="D31" i="53"/>
  <c r="C31" i="53"/>
  <c r="B31" i="53"/>
  <c r="N30" i="53"/>
  <c r="L30" i="53"/>
  <c r="K30" i="53"/>
  <c r="E30" i="53"/>
  <c r="D30" i="53"/>
  <c r="C30" i="53"/>
  <c r="B30" i="53"/>
  <c r="N29" i="53"/>
  <c r="L29" i="53"/>
  <c r="K29" i="53"/>
  <c r="E29" i="53"/>
  <c r="D29" i="53"/>
  <c r="C29" i="53"/>
  <c r="B29" i="53"/>
  <c r="N28" i="53"/>
  <c r="L28" i="53"/>
  <c r="K28" i="53"/>
  <c r="E28" i="53"/>
  <c r="D28" i="53"/>
  <c r="C28" i="53"/>
  <c r="B28" i="53"/>
  <c r="N27" i="53"/>
  <c r="L27" i="53"/>
  <c r="K27" i="53"/>
  <c r="E27" i="53"/>
  <c r="D27" i="53"/>
  <c r="C27" i="53"/>
  <c r="B27" i="53"/>
  <c r="N26" i="53"/>
  <c r="L26" i="53"/>
  <c r="K26" i="53"/>
  <c r="E26" i="53"/>
  <c r="D26" i="53"/>
  <c r="C26" i="53"/>
  <c r="B26" i="53"/>
  <c r="N25" i="53"/>
  <c r="L25" i="53"/>
  <c r="K25" i="53"/>
  <c r="E25" i="53"/>
  <c r="D25" i="53"/>
  <c r="C25" i="53"/>
  <c r="B25" i="53"/>
  <c r="N24" i="53"/>
  <c r="L24" i="53"/>
  <c r="K24" i="53"/>
  <c r="E24" i="53"/>
  <c r="D24" i="53"/>
  <c r="C24" i="53"/>
  <c r="B24" i="53"/>
  <c r="N23" i="53"/>
  <c r="L23" i="53"/>
  <c r="K23" i="53"/>
  <c r="E23" i="53"/>
  <c r="D23" i="53"/>
  <c r="C23" i="53"/>
  <c r="B23" i="53"/>
  <c r="N22" i="53"/>
  <c r="L22" i="53"/>
  <c r="K22" i="53"/>
  <c r="E22" i="53"/>
  <c r="D22" i="53"/>
  <c r="C22" i="53"/>
  <c r="B22" i="53"/>
  <c r="N21" i="53"/>
  <c r="L21" i="53"/>
  <c r="K21" i="53"/>
  <c r="E21" i="53"/>
  <c r="D21" i="53"/>
  <c r="C21" i="53"/>
  <c r="B21" i="53"/>
  <c r="N20" i="53"/>
  <c r="L20" i="53"/>
  <c r="K20" i="53"/>
  <c r="E20" i="53"/>
  <c r="D20" i="53"/>
  <c r="C20" i="53"/>
  <c r="B20" i="53"/>
  <c r="N19" i="53"/>
  <c r="L19" i="53"/>
  <c r="K19" i="53"/>
  <c r="E19" i="53"/>
  <c r="D19" i="53"/>
  <c r="C19" i="53"/>
  <c r="B19" i="53"/>
  <c r="N18" i="53"/>
  <c r="L18" i="53"/>
  <c r="K18" i="53"/>
  <c r="E18" i="53"/>
  <c r="D18" i="53"/>
  <c r="C18" i="53"/>
  <c r="B18" i="53"/>
  <c r="N17" i="53"/>
  <c r="L17" i="53"/>
  <c r="K17" i="53"/>
  <c r="E17" i="53"/>
  <c r="D17" i="53"/>
  <c r="C17" i="53"/>
  <c r="B17" i="53"/>
  <c r="N16" i="53"/>
  <c r="L16" i="53"/>
  <c r="K16" i="53"/>
  <c r="E16" i="53"/>
  <c r="D16" i="53"/>
  <c r="C16" i="53"/>
  <c r="B16" i="53"/>
  <c r="N15" i="53"/>
  <c r="L15" i="53"/>
  <c r="K15" i="53"/>
  <c r="E15" i="53"/>
  <c r="D15" i="53"/>
  <c r="C15" i="53"/>
  <c r="B15" i="53"/>
  <c r="N14" i="53"/>
  <c r="L14" i="53"/>
  <c r="K14" i="53"/>
  <c r="E14" i="53"/>
  <c r="D14" i="53"/>
  <c r="C14" i="53"/>
  <c r="B14" i="53"/>
  <c r="N13" i="53"/>
  <c r="L13" i="53"/>
  <c r="K13" i="53"/>
  <c r="E13" i="53"/>
  <c r="D13" i="53"/>
  <c r="C13" i="53"/>
  <c r="B13" i="53"/>
  <c r="N12" i="53"/>
  <c r="L12" i="53"/>
  <c r="K12" i="53"/>
  <c r="E12" i="53"/>
  <c r="D12" i="53"/>
  <c r="C12" i="53"/>
  <c r="B12" i="53"/>
  <c r="N11" i="53"/>
  <c r="L11" i="53"/>
  <c r="K11" i="53"/>
  <c r="E11" i="53"/>
  <c r="D11" i="53"/>
  <c r="C11" i="53"/>
  <c r="B11" i="53"/>
  <c r="N10" i="53"/>
  <c r="L10" i="53"/>
  <c r="K10" i="53"/>
  <c r="E10" i="53"/>
  <c r="D10" i="53"/>
  <c r="C10" i="53"/>
  <c r="B10" i="53"/>
  <c r="N9" i="53"/>
  <c r="L9" i="53"/>
  <c r="K9" i="53"/>
  <c r="E9" i="53"/>
  <c r="D9" i="53"/>
  <c r="C9" i="53"/>
  <c r="B9" i="53"/>
  <c r="N8" i="53"/>
  <c r="L8" i="53"/>
  <c r="K8" i="53"/>
  <c r="E8" i="53"/>
  <c r="D8" i="53"/>
  <c r="C8" i="53"/>
  <c r="B8" i="53"/>
  <c r="N7" i="53"/>
  <c r="L7" i="53"/>
  <c r="K7" i="53"/>
  <c r="E7" i="53"/>
  <c r="D7" i="53"/>
  <c r="C7" i="53"/>
  <c r="B7" i="53"/>
  <c r="N6" i="53"/>
  <c r="L6" i="53"/>
  <c r="K6" i="53"/>
  <c r="E6" i="53"/>
  <c r="D6" i="53"/>
  <c r="C6" i="53"/>
  <c r="B6" i="53"/>
  <c r="N5" i="53"/>
  <c r="L5" i="53"/>
  <c r="K5" i="53"/>
  <c r="E5" i="53"/>
  <c r="D5" i="53"/>
  <c r="C5" i="53"/>
  <c r="B5" i="53"/>
  <c r="N4" i="53"/>
  <c r="L4" i="53"/>
  <c r="K4" i="53"/>
  <c r="E4" i="53"/>
  <c r="D4" i="53"/>
  <c r="C4" i="53"/>
  <c r="B4" i="53"/>
  <c r="N3" i="53"/>
  <c r="N33" i="53" s="1"/>
  <c r="L3" i="53"/>
  <c r="K3" i="53"/>
  <c r="K33" i="53" s="1"/>
  <c r="E3" i="53"/>
  <c r="D3" i="53"/>
  <c r="C3" i="53"/>
  <c r="B3" i="53"/>
  <c r="B33" i="53" s="1"/>
  <c r="F3" i="53" l="1"/>
  <c r="G4" i="53"/>
  <c r="F5" i="53"/>
  <c r="G6" i="53"/>
  <c r="F7" i="53"/>
  <c r="G8" i="53"/>
  <c r="F9" i="53"/>
  <c r="G10" i="53"/>
  <c r="F11" i="53"/>
  <c r="G12" i="53"/>
  <c r="F13" i="53"/>
  <c r="G14" i="53"/>
  <c r="F15" i="53"/>
  <c r="G16" i="53"/>
  <c r="F17" i="53"/>
  <c r="G18" i="53"/>
  <c r="F19" i="53"/>
  <c r="G20" i="53"/>
  <c r="F21" i="53"/>
  <c r="G22" i="53"/>
  <c r="F23" i="53"/>
  <c r="G24" i="53"/>
  <c r="F25" i="53"/>
  <c r="G26" i="53"/>
  <c r="F27" i="53"/>
  <c r="G28" i="53"/>
  <c r="F29" i="53"/>
  <c r="G30" i="53"/>
  <c r="F31" i="53"/>
  <c r="G32" i="53"/>
  <c r="C33" i="53"/>
  <c r="G3" i="53"/>
  <c r="G33" i="53" s="1"/>
  <c r="L33" i="53"/>
  <c r="F4" i="53"/>
  <c r="G5" i="53"/>
  <c r="F6" i="53"/>
  <c r="G7" i="53"/>
  <c r="F8" i="53"/>
  <c r="G9" i="53"/>
  <c r="F10" i="53"/>
  <c r="G11" i="53"/>
  <c r="F12" i="53"/>
  <c r="G13" i="53"/>
  <c r="F14" i="53"/>
  <c r="G15" i="53"/>
  <c r="F16" i="53"/>
  <c r="G17" i="53"/>
  <c r="F18" i="53"/>
  <c r="G19" i="53"/>
  <c r="F20" i="53"/>
  <c r="G21" i="53"/>
  <c r="F22" i="53"/>
  <c r="G23" i="53"/>
  <c r="F24" i="53"/>
  <c r="G25" i="53"/>
  <c r="F26" i="53"/>
  <c r="G27" i="53"/>
  <c r="F28" i="53"/>
  <c r="G29" i="53"/>
  <c r="F30" i="53"/>
  <c r="G31" i="53"/>
  <c r="F32" i="53"/>
  <c r="F33" i="53" l="1"/>
  <c r="C33" i="51" l="1"/>
  <c r="H33" i="51"/>
  <c r="I33" i="51"/>
  <c r="J33" i="51"/>
  <c r="K33" i="51"/>
  <c r="L33" i="51"/>
  <c r="M33" i="51"/>
  <c r="N33" i="51"/>
  <c r="B33" i="51"/>
  <c r="F3" i="51" l="1"/>
  <c r="F4" i="51"/>
  <c r="F5" i="51"/>
  <c r="F6" i="51"/>
  <c r="F7" i="51"/>
  <c r="F8" i="51"/>
  <c r="F9" i="51"/>
  <c r="F10" i="51"/>
  <c r="F11" i="51"/>
  <c r="F12" i="51"/>
  <c r="F13" i="51"/>
  <c r="F14" i="51"/>
  <c r="F15" i="51"/>
  <c r="F16" i="51"/>
  <c r="F17" i="51"/>
  <c r="F18" i="51"/>
  <c r="F19" i="51"/>
  <c r="F20" i="51"/>
  <c r="F21" i="51"/>
  <c r="F22" i="51"/>
  <c r="F23" i="51"/>
  <c r="F24" i="51"/>
  <c r="F25" i="51"/>
  <c r="F26" i="51"/>
  <c r="F27" i="51"/>
  <c r="F28" i="51"/>
  <c r="F29" i="51"/>
  <c r="F30" i="51"/>
  <c r="F31" i="51"/>
  <c r="F32" i="51"/>
  <c r="F2" i="51"/>
  <c r="G3" i="51"/>
  <c r="G4" i="51"/>
  <c r="G5" i="51"/>
  <c r="G6" i="51"/>
  <c r="G7" i="51"/>
  <c r="G8" i="51"/>
  <c r="G9" i="51"/>
  <c r="G10" i="51"/>
  <c r="G11" i="51"/>
  <c r="G12" i="51"/>
  <c r="G13" i="51"/>
  <c r="G14" i="51"/>
  <c r="G15" i="51"/>
  <c r="G16" i="51"/>
  <c r="G17" i="51"/>
  <c r="G18" i="51"/>
  <c r="G19" i="51"/>
  <c r="G20" i="51"/>
  <c r="G21" i="51"/>
  <c r="G22" i="51"/>
  <c r="G23" i="51"/>
  <c r="G24" i="51"/>
  <c r="G25" i="51"/>
  <c r="G26" i="51"/>
  <c r="G27" i="51"/>
  <c r="G28" i="51"/>
  <c r="G29" i="51"/>
  <c r="G30" i="51"/>
  <c r="G31" i="51"/>
  <c r="G32" i="51"/>
  <c r="G2" i="51"/>
  <c r="G33" i="51" l="1"/>
  <c r="F33" i="51"/>
  <c r="M33" i="50"/>
  <c r="B33" i="50" l="1"/>
  <c r="N33" i="50"/>
  <c r="L33" i="50"/>
  <c r="J33" i="50"/>
  <c r="I33" i="50"/>
  <c r="C33" i="50"/>
  <c r="G32" i="50"/>
  <c r="F32" i="50"/>
  <c r="G31" i="50"/>
  <c r="F31" i="50"/>
  <c r="G30" i="50"/>
  <c r="G29" i="50"/>
  <c r="F29" i="50"/>
  <c r="G28" i="50"/>
  <c r="F28" i="50"/>
  <c r="G27" i="50"/>
  <c r="F27" i="50"/>
  <c r="G26" i="50"/>
  <c r="F26" i="50"/>
  <c r="G25" i="50"/>
  <c r="F25" i="50"/>
  <c r="G24" i="50"/>
  <c r="F24" i="50"/>
  <c r="G23" i="50"/>
  <c r="F23" i="50"/>
  <c r="G22" i="50"/>
  <c r="F22" i="50"/>
  <c r="G21" i="50"/>
  <c r="F21" i="50"/>
  <c r="G20" i="50"/>
  <c r="F20" i="50"/>
  <c r="G19" i="50"/>
  <c r="F19" i="50"/>
  <c r="G18" i="50"/>
  <c r="F18" i="50"/>
  <c r="G17" i="50"/>
  <c r="F17" i="50"/>
  <c r="G16" i="50"/>
  <c r="F16" i="50"/>
  <c r="G15" i="50"/>
  <c r="F15" i="50"/>
  <c r="F14" i="50"/>
  <c r="G13" i="50"/>
  <c r="F13" i="50"/>
  <c r="G12" i="50"/>
  <c r="F12" i="50"/>
  <c r="G11" i="50"/>
  <c r="F11" i="50"/>
  <c r="G10" i="50"/>
  <c r="F10" i="50"/>
  <c r="G9" i="50"/>
  <c r="F9" i="50"/>
  <c r="G8" i="50"/>
  <c r="F8" i="50"/>
  <c r="F7" i="50"/>
  <c r="G6" i="50"/>
  <c r="F6" i="50"/>
  <c r="G5" i="50"/>
  <c r="F5" i="50"/>
  <c r="G4" i="50"/>
  <c r="F4" i="50"/>
  <c r="G3" i="50"/>
  <c r="F3" i="50"/>
  <c r="G2" i="50"/>
  <c r="F2" i="50"/>
  <c r="G33" i="50" l="1"/>
  <c r="F33" i="50"/>
  <c r="N33" i="49"/>
  <c r="L33" i="49"/>
  <c r="J33" i="49"/>
  <c r="I33" i="49"/>
  <c r="H33" i="49"/>
  <c r="C33" i="49"/>
  <c r="B33" i="49"/>
  <c r="G32" i="49"/>
  <c r="F32" i="49"/>
  <c r="G31" i="49"/>
  <c r="F31" i="49"/>
  <c r="G30" i="49"/>
  <c r="G29" i="49"/>
  <c r="F29" i="49"/>
  <c r="G28" i="49"/>
  <c r="F28" i="49"/>
  <c r="G27" i="49"/>
  <c r="F27" i="49"/>
  <c r="G26" i="49"/>
  <c r="F26" i="49"/>
  <c r="G25" i="49"/>
  <c r="F25" i="49"/>
  <c r="G24" i="49"/>
  <c r="F24" i="49"/>
  <c r="G23" i="49"/>
  <c r="F23" i="49"/>
  <c r="G22" i="49"/>
  <c r="F22" i="49"/>
  <c r="G21" i="49"/>
  <c r="F21" i="49"/>
  <c r="G20" i="49"/>
  <c r="F20" i="49"/>
  <c r="G19" i="49"/>
  <c r="F19" i="49"/>
  <c r="G18" i="49"/>
  <c r="F18" i="49"/>
  <c r="G17" i="49"/>
  <c r="F17" i="49"/>
  <c r="G16" i="49"/>
  <c r="F16" i="49"/>
  <c r="G15" i="49"/>
  <c r="F15" i="49"/>
  <c r="F14" i="49"/>
  <c r="G13" i="49"/>
  <c r="F13" i="49"/>
  <c r="G12" i="49"/>
  <c r="F12" i="49"/>
  <c r="G11" i="49"/>
  <c r="F11" i="49"/>
  <c r="G10" i="49"/>
  <c r="F10" i="49"/>
  <c r="G9" i="49"/>
  <c r="F9" i="49"/>
  <c r="G8" i="49"/>
  <c r="F8" i="49"/>
  <c r="F7" i="49"/>
  <c r="G6" i="49"/>
  <c r="F6" i="49"/>
  <c r="G5" i="49"/>
  <c r="F5" i="49"/>
  <c r="G4" i="49"/>
  <c r="F4" i="49"/>
  <c r="G3" i="49"/>
  <c r="F3" i="49"/>
  <c r="G2" i="49"/>
  <c r="F2" i="49"/>
  <c r="G33" i="49" l="1"/>
  <c r="F33" i="49"/>
  <c r="N33" i="48"/>
  <c r="M33" i="48"/>
  <c r="L33" i="48"/>
  <c r="K33" i="48"/>
  <c r="J33" i="48"/>
  <c r="I33" i="48"/>
  <c r="H33" i="48"/>
  <c r="C33" i="48"/>
  <c r="B33" i="48"/>
  <c r="G32" i="48"/>
  <c r="F32" i="48"/>
  <c r="G31" i="48"/>
  <c r="F31" i="48"/>
  <c r="G30" i="48"/>
  <c r="G29" i="48"/>
  <c r="F29" i="48"/>
  <c r="G28" i="48"/>
  <c r="F28" i="48"/>
  <c r="G27" i="48"/>
  <c r="F27" i="48"/>
  <c r="G26" i="48"/>
  <c r="F26" i="48"/>
  <c r="G25" i="48"/>
  <c r="F25" i="48"/>
  <c r="G24" i="48"/>
  <c r="F24" i="48"/>
  <c r="G23" i="48"/>
  <c r="F23" i="48"/>
  <c r="G22" i="48"/>
  <c r="F22" i="48"/>
  <c r="G21" i="48"/>
  <c r="F21" i="48"/>
  <c r="G20" i="48"/>
  <c r="F20" i="48"/>
  <c r="G19" i="48"/>
  <c r="F19" i="48"/>
  <c r="G18" i="48"/>
  <c r="F18" i="48"/>
  <c r="G17" i="48"/>
  <c r="F17" i="48"/>
  <c r="G16" i="48"/>
  <c r="F16" i="48"/>
  <c r="G15" i="48"/>
  <c r="F15" i="48"/>
  <c r="F14" i="48"/>
  <c r="G13" i="48"/>
  <c r="F13" i="48"/>
  <c r="G12" i="48"/>
  <c r="F12" i="48"/>
  <c r="G11" i="48"/>
  <c r="F11" i="48"/>
  <c r="G10" i="48"/>
  <c r="F10" i="48"/>
  <c r="G9" i="48"/>
  <c r="F9" i="48"/>
  <c r="G8" i="48"/>
  <c r="F8" i="48"/>
  <c r="F7" i="48"/>
  <c r="G6" i="48"/>
  <c r="F6" i="48"/>
  <c r="G5" i="48"/>
  <c r="F5" i="48"/>
  <c r="G4" i="48"/>
  <c r="F4" i="48"/>
  <c r="G3" i="48"/>
  <c r="F3" i="48"/>
  <c r="G2" i="48"/>
  <c r="F2" i="48"/>
  <c r="F33" i="48" l="1"/>
  <c r="G33" i="48"/>
  <c r="N33" i="47"/>
  <c r="M33" i="47"/>
  <c r="L33" i="47"/>
  <c r="K33" i="47"/>
  <c r="J33" i="47"/>
  <c r="I33" i="47"/>
  <c r="H33" i="47"/>
  <c r="C33" i="47"/>
  <c r="B33" i="47"/>
  <c r="G32" i="47"/>
  <c r="F32" i="47"/>
  <c r="G31" i="47"/>
  <c r="F31" i="47"/>
  <c r="G30" i="47"/>
  <c r="F30" i="47"/>
  <c r="G29" i="47"/>
  <c r="F29" i="47"/>
  <c r="G28" i="47"/>
  <c r="F28" i="47"/>
  <c r="G27" i="47"/>
  <c r="F27" i="47"/>
  <c r="G26" i="47"/>
  <c r="F26" i="47"/>
  <c r="G25" i="47"/>
  <c r="F25" i="47"/>
  <c r="G24" i="47"/>
  <c r="F24" i="47"/>
  <c r="G23" i="47"/>
  <c r="F23" i="47"/>
  <c r="G22" i="47"/>
  <c r="F22" i="47"/>
  <c r="G21" i="47"/>
  <c r="F21" i="47"/>
  <c r="G20" i="47"/>
  <c r="F20" i="47"/>
  <c r="G19" i="47"/>
  <c r="F19" i="47"/>
  <c r="G18" i="47"/>
  <c r="F18" i="47"/>
  <c r="G17" i="47"/>
  <c r="F17" i="47"/>
  <c r="G16" i="47"/>
  <c r="F16" i="47"/>
  <c r="G15" i="47"/>
  <c r="F15" i="47"/>
  <c r="G14" i="47"/>
  <c r="F14" i="47"/>
  <c r="G13" i="47"/>
  <c r="F13" i="47"/>
  <c r="G12" i="47"/>
  <c r="F12" i="47"/>
  <c r="G11" i="47"/>
  <c r="F11" i="47"/>
  <c r="G10" i="47"/>
  <c r="F10" i="47"/>
  <c r="G9" i="47"/>
  <c r="F9" i="47"/>
  <c r="G8" i="47"/>
  <c r="F8" i="47"/>
  <c r="G7" i="47"/>
  <c r="F7" i="47"/>
  <c r="G6" i="47"/>
  <c r="F6" i="47"/>
  <c r="G5" i="47"/>
  <c r="F5" i="47"/>
  <c r="G4" i="47"/>
  <c r="F4" i="47"/>
  <c r="G3" i="47"/>
  <c r="F3" i="47"/>
  <c r="G2" i="47"/>
  <c r="F2" i="47"/>
  <c r="G33" i="47" l="1"/>
  <c r="F33" i="47"/>
  <c r="M33" i="46"/>
  <c r="N33" i="46" l="1"/>
  <c r="L33" i="46"/>
  <c r="K33" i="46"/>
  <c r="J33" i="46"/>
  <c r="I33" i="46"/>
  <c r="H33" i="46"/>
  <c r="C33" i="46"/>
  <c r="B33" i="46"/>
  <c r="G32" i="46"/>
  <c r="F32" i="46"/>
  <c r="G31" i="46"/>
  <c r="F31" i="46"/>
  <c r="G30" i="46"/>
  <c r="F30" i="46"/>
  <c r="G29" i="46"/>
  <c r="F29" i="46"/>
  <c r="G28" i="46"/>
  <c r="F28" i="46"/>
  <c r="G27" i="46"/>
  <c r="F27" i="46"/>
  <c r="G26" i="46"/>
  <c r="F26" i="46"/>
  <c r="G25" i="46"/>
  <c r="F25" i="46"/>
  <c r="G24" i="46"/>
  <c r="F24" i="46"/>
  <c r="G23" i="46"/>
  <c r="F23" i="46"/>
  <c r="G22" i="46"/>
  <c r="F22" i="46"/>
  <c r="G21" i="46"/>
  <c r="F21" i="46"/>
  <c r="G20" i="46"/>
  <c r="F20" i="46"/>
  <c r="G19" i="46"/>
  <c r="F19" i="46"/>
  <c r="G18" i="46"/>
  <c r="F18" i="46"/>
  <c r="G17" i="46"/>
  <c r="F17" i="46"/>
  <c r="G16" i="46"/>
  <c r="F16" i="46"/>
  <c r="G15" i="46"/>
  <c r="F15" i="46"/>
  <c r="G14" i="46"/>
  <c r="F14" i="46"/>
  <c r="G13" i="46"/>
  <c r="F13" i="46"/>
  <c r="G12" i="46"/>
  <c r="F12" i="46"/>
  <c r="G11" i="46"/>
  <c r="F11" i="46"/>
  <c r="G10" i="46"/>
  <c r="F10" i="46"/>
  <c r="G9" i="46"/>
  <c r="F9" i="46"/>
  <c r="G8" i="46"/>
  <c r="F8" i="46"/>
  <c r="G7" i="46"/>
  <c r="F7" i="46"/>
  <c r="G6" i="46"/>
  <c r="F6" i="46"/>
  <c r="G5" i="46"/>
  <c r="F5" i="46"/>
  <c r="G4" i="46"/>
  <c r="F4" i="46"/>
  <c r="G3" i="46"/>
  <c r="F3" i="46"/>
  <c r="G2" i="46"/>
  <c r="F2" i="46"/>
  <c r="G33" i="46" l="1"/>
  <c r="F33" i="46"/>
  <c r="K33" i="45"/>
  <c r="N33" i="45"/>
  <c r="M33" i="45"/>
  <c r="L33" i="45"/>
  <c r="J33" i="45"/>
  <c r="I33" i="45"/>
  <c r="H33" i="45"/>
  <c r="C33" i="45"/>
  <c r="B33" i="45"/>
  <c r="G32" i="45"/>
  <c r="F32" i="45"/>
  <c r="G31" i="45"/>
  <c r="F31" i="45"/>
  <c r="G30" i="45"/>
  <c r="F30" i="45"/>
  <c r="G29" i="45"/>
  <c r="F29" i="45"/>
  <c r="G28" i="45"/>
  <c r="F28" i="45"/>
  <c r="G27" i="45"/>
  <c r="F27" i="45"/>
  <c r="G26" i="45"/>
  <c r="F26" i="45"/>
  <c r="G25" i="45"/>
  <c r="F25" i="45"/>
  <c r="G24" i="45"/>
  <c r="F24" i="45"/>
  <c r="G23" i="45"/>
  <c r="F23" i="45"/>
  <c r="G22" i="45"/>
  <c r="F22" i="45"/>
  <c r="G21" i="45"/>
  <c r="F21" i="45"/>
  <c r="G20" i="45"/>
  <c r="F20" i="45"/>
  <c r="G19" i="45"/>
  <c r="F19" i="45"/>
  <c r="G18" i="45"/>
  <c r="F18" i="45"/>
  <c r="G17" i="45"/>
  <c r="F17" i="45"/>
  <c r="G16" i="45"/>
  <c r="F16" i="45"/>
  <c r="G15" i="45"/>
  <c r="F15" i="45"/>
  <c r="G14" i="45"/>
  <c r="F14" i="45"/>
  <c r="G13" i="45"/>
  <c r="F13" i="45"/>
  <c r="G12" i="45"/>
  <c r="F12" i="45"/>
  <c r="G11" i="45"/>
  <c r="F11" i="45"/>
  <c r="G10" i="45"/>
  <c r="F10" i="45"/>
  <c r="G9" i="45"/>
  <c r="F9" i="45"/>
  <c r="G8" i="45"/>
  <c r="F8" i="45"/>
  <c r="G7" i="45"/>
  <c r="F7" i="45"/>
  <c r="G6" i="45"/>
  <c r="F6" i="45"/>
  <c r="G5" i="45"/>
  <c r="F5" i="45"/>
  <c r="G4" i="45"/>
  <c r="F4" i="45"/>
  <c r="G3" i="45"/>
  <c r="F3" i="45"/>
  <c r="G2" i="45"/>
  <c r="F2" i="45"/>
  <c r="G33" i="45" l="1"/>
  <c r="F33" i="45"/>
  <c r="M33" i="44"/>
  <c r="C33" i="44"/>
  <c r="H33" i="44" l="1"/>
  <c r="N33" i="44"/>
  <c r="L33" i="44"/>
  <c r="K33" i="44"/>
  <c r="J33" i="44"/>
  <c r="I33" i="44"/>
  <c r="B33" i="44"/>
  <c r="G32" i="44"/>
  <c r="F32" i="44"/>
  <c r="G31" i="44"/>
  <c r="F31" i="44"/>
  <c r="G30" i="44"/>
  <c r="F30" i="44"/>
  <c r="G29" i="44"/>
  <c r="F29" i="44"/>
  <c r="G28" i="44"/>
  <c r="F28" i="44"/>
  <c r="G27" i="44"/>
  <c r="F27" i="44"/>
  <c r="G26" i="44"/>
  <c r="F26" i="44"/>
  <c r="G25" i="44"/>
  <c r="F25" i="44"/>
  <c r="G24" i="44"/>
  <c r="F24" i="44"/>
  <c r="G23" i="44"/>
  <c r="F23" i="44"/>
  <c r="G22" i="44"/>
  <c r="F22" i="44"/>
  <c r="G21" i="44"/>
  <c r="F21" i="44"/>
  <c r="G20" i="44"/>
  <c r="F20" i="44"/>
  <c r="G19" i="44"/>
  <c r="F19" i="44"/>
  <c r="G18" i="44"/>
  <c r="F18" i="44"/>
  <c r="G17" i="44"/>
  <c r="F17" i="44"/>
  <c r="G16" i="44"/>
  <c r="F16" i="44"/>
  <c r="G15" i="44"/>
  <c r="F15" i="44"/>
  <c r="G14" i="44"/>
  <c r="F14" i="44"/>
  <c r="G13" i="44"/>
  <c r="F13" i="44"/>
  <c r="G12" i="44"/>
  <c r="F12" i="44"/>
  <c r="G11" i="44"/>
  <c r="F11" i="44"/>
  <c r="G10" i="44"/>
  <c r="F10" i="44"/>
  <c r="G9" i="44"/>
  <c r="F9" i="44"/>
  <c r="G8" i="44"/>
  <c r="F8" i="44"/>
  <c r="G7" i="44"/>
  <c r="F7" i="44"/>
  <c r="G6" i="44"/>
  <c r="F6" i="44"/>
  <c r="G5" i="44"/>
  <c r="F5" i="44"/>
  <c r="G4" i="44"/>
  <c r="F4" i="44"/>
  <c r="G3" i="44"/>
  <c r="F3" i="44"/>
  <c r="G2" i="44"/>
  <c r="G33" i="44" s="1"/>
  <c r="F2" i="44"/>
  <c r="F33" i="44" s="1"/>
  <c r="H33" i="43" l="1"/>
  <c r="I33" i="43"/>
  <c r="J33" i="43"/>
  <c r="K33" i="43"/>
  <c r="L33" i="43"/>
  <c r="M33" i="43"/>
  <c r="N33" i="43"/>
  <c r="B33" i="43" l="1"/>
  <c r="C33" i="43"/>
  <c r="G32" i="43"/>
  <c r="F32" i="43"/>
  <c r="G31" i="43"/>
  <c r="F31" i="43"/>
  <c r="G30" i="43"/>
  <c r="F30" i="43"/>
  <c r="G29" i="43"/>
  <c r="F29" i="43"/>
  <c r="G28" i="43"/>
  <c r="F28" i="43"/>
  <c r="G27" i="43"/>
  <c r="F27" i="43"/>
  <c r="G26" i="43"/>
  <c r="F26" i="43"/>
  <c r="G25" i="43"/>
  <c r="F25" i="43"/>
  <c r="G24" i="43"/>
  <c r="F24" i="43"/>
  <c r="G23" i="43"/>
  <c r="F23" i="43"/>
  <c r="G22" i="43"/>
  <c r="F22" i="43"/>
  <c r="G21" i="43"/>
  <c r="F21" i="43"/>
  <c r="G20" i="43"/>
  <c r="F20" i="43"/>
  <c r="G19" i="43"/>
  <c r="F19" i="43"/>
  <c r="G18" i="43"/>
  <c r="F18" i="43"/>
  <c r="G17" i="43"/>
  <c r="F17" i="43"/>
  <c r="G16" i="43"/>
  <c r="F16" i="43"/>
  <c r="G15" i="43"/>
  <c r="F15" i="43"/>
  <c r="G14" i="43"/>
  <c r="F14" i="43"/>
  <c r="G13" i="43"/>
  <c r="F13" i="43"/>
  <c r="G12" i="43"/>
  <c r="F12" i="43"/>
  <c r="G11" i="43"/>
  <c r="F11" i="43"/>
  <c r="G10" i="43"/>
  <c r="F10" i="43"/>
  <c r="G9" i="43"/>
  <c r="F9" i="43"/>
  <c r="G8" i="43"/>
  <c r="F8" i="43"/>
  <c r="G7" i="43"/>
  <c r="F7" i="43"/>
  <c r="G6" i="43"/>
  <c r="F6" i="43"/>
  <c r="G5" i="43"/>
  <c r="F5" i="43"/>
  <c r="G4" i="43"/>
  <c r="F4" i="43"/>
  <c r="G3" i="43"/>
  <c r="F3" i="43"/>
  <c r="G2" i="43"/>
  <c r="F2" i="43"/>
  <c r="G33" i="43" l="1"/>
  <c r="F33" i="43"/>
  <c r="J33" i="42"/>
  <c r="N33" i="42"/>
  <c r="M33" i="42"/>
  <c r="L33" i="42"/>
  <c r="K33" i="42"/>
  <c r="I33" i="42"/>
  <c r="H33" i="42"/>
  <c r="C33" i="42"/>
  <c r="B33" i="42"/>
  <c r="G32" i="42"/>
  <c r="F32" i="42"/>
  <c r="G31" i="42"/>
  <c r="F31" i="42"/>
  <c r="G30" i="42"/>
  <c r="F30" i="42"/>
  <c r="G29" i="42"/>
  <c r="F29" i="42"/>
  <c r="G28" i="42"/>
  <c r="F28" i="42"/>
  <c r="G27" i="42"/>
  <c r="F27" i="42"/>
  <c r="G26" i="42"/>
  <c r="F26" i="42"/>
  <c r="G25" i="42"/>
  <c r="F25" i="42"/>
  <c r="G24" i="42"/>
  <c r="F24" i="42"/>
  <c r="G23" i="42"/>
  <c r="F23" i="42"/>
  <c r="G22" i="42"/>
  <c r="F22" i="42"/>
  <c r="G21" i="42"/>
  <c r="F21" i="42"/>
  <c r="G20" i="42"/>
  <c r="F20" i="42"/>
  <c r="G19" i="42"/>
  <c r="F19" i="42"/>
  <c r="G18" i="42"/>
  <c r="F18" i="42"/>
  <c r="G17" i="42"/>
  <c r="F17" i="42"/>
  <c r="G16" i="42"/>
  <c r="F16" i="42"/>
  <c r="G15" i="42"/>
  <c r="F15" i="42"/>
  <c r="G14" i="42"/>
  <c r="F14" i="42"/>
  <c r="G13" i="42"/>
  <c r="F13" i="42"/>
  <c r="G12" i="42"/>
  <c r="F12" i="42"/>
  <c r="G11" i="42"/>
  <c r="F11" i="42"/>
  <c r="G10" i="42"/>
  <c r="F10" i="42"/>
  <c r="G9" i="42"/>
  <c r="F9" i="42"/>
  <c r="G8" i="42"/>
  <c r="F8" i="42"/>
  <c r="G7" i="42"/>
  <c r="F7" i="42"/>
  <c r="G6" i="42"/>
  <c r="F6" i="42"/>
  <c r="G5" i="42"/>
  <c r="F5" i="42"/>
  <c r="G4" i="42"/>
  <c r="F4" i="42"/>
  <c r="G3" i="42"/>
  <c r="F3" i="42"/>
  <c r="G2" i="42"/>
  <c r="F2" i="42"/>
  <c r="G33" i="42" l="1"/>
  <c r="F33" i="42"/>
  <c r="N33" i="41"/>
  <c r="M33" i="41"/>
  <c r="L33" i="41"/>
  <c r="K33" i="41"/>
  <c r="J33" i="41"/>
  <c r="I33" i="41"/>
  <c r="H33" i="41"/>
  <c r="C33" i="41"/>
  <c r="B33" i="41"/>
  <c r="G32" i="41"/>
  <c r="F32" i="41"/>
  <c r="G31" i="41"/>
  <c r="F31" i="41"/>
  <c r="G30" i="41"/>
  <c r="F30" i="41"/>
  <c r="G29" i="41"/>
  <c r="F29" i="41"/>
  <c r="G28" i="41"/>
  <c r="F28" i="41"/>
  <c r="G27" i="41"/>
  <c r="F27" i="41"/>
  <c r="G26" i="41"/>
  <c r="F26" i="41"/>
  <c r="G25" i="41"/>
  <c r="F25" i="41"/>
  <c r="G24" i="41"/>
  <c r="F24" i="41"/>
  <c r="G23" i="41"/>
  <c r="F23" i="41"/>
  <c r="G22" i="41"/>
  <c r="F22" i="41"/>
  <c r="G21" i="41"/>
  <c r="F21" i="41"/>
  <c r="G20" i="41"/>
  <c r="F20" i="41"/>
  <c r="G19" i="41"/>
  <c r="F19" i="41"/>
  <c r="G18" i="41"/>
  <c r="F18" i="41"/>
  <c r="G17" i="41"/>
  <c r="F17" i="41"/>
  <c r="G16" i="41"/>
  <c r="F16" i="41"/>
  <c r="G15" i="41"/>
  <c r="F15" i="41"/>
  <c r="G14" i="41"/>
  <c r="F14" i="41"/>
  <c r="G13" i="41"/>
  <c r="F13" i="41"/>
  <c r="G12" i="41"/>
  <c r="F12" i="41"/>
  <c r="G11" i="41"/>
  <c r="F11" i="41"/>
  <c r="G10" i="41"/>
  <c r="F10" i="41"/>
  <c r="G9" i="41"/>
  <c r="F9" i="41"/>
  <c r="G8" i="41"/>
  <c r="F8" i="41"/>
  <c r="G7" i="41"/>
  <c r="F7" i="41"/>
  <c r="G6" i="41"/>
  <c r="F6" i="41"/>
  <c r="G5" i="41"/>
  <c r="F5" i="41"/>
  <c r="G4" i="41"/>
  <c r="F4" i="41"/>
  <c r="G3" i="41"/>
  <c r="F3" i="41"/>
  <c r="G2" i="41"/>
  <c r="F2" i="41"/>
  <c r="G33" i="41" l="1"/>
  <c r="F33" i="41"/>
  <c r="N33" i="40"/>
  <c r="M33" i="40"/>
  <c r="L33" i="40"/>
  <c r="K33" i="40"/>
  <c r="J33" i="40"/>
  <c r="I33" i="40"/>
  <c r="H33" i="40"/>
  <c r="C33" i="40"/>
  <c r="B33" i="40"/>
  <c r="G32" i="40"/>
  <c r="F32" i="40"/>
  <c r="G31" i="40"/>
  <c r="F31" i="40"/>
  <c r="G30" i="40"/>
  <c r="F30" i="40"/>
  <c r="G29" i="40"/>
  <c r="F29" i="40"/>
  <c r="G28" i="40"/>
  <c r="F28" i="40"/>
  <c r="G27" i="40"/>
  <c r="F27" i="40"/>
  <c r="G26" i="40"/>
  <c r="F26" i="40"/>
  <c r="G25" i="40"/>
  <c r="F25" i="40"/>
  <c r="G24" i="40"/>
  <c r="F24" i="40"/>
  <c r="G23" i="40"/>
  <c r="F23" i="40"/>
  <c r="G22" i="40"/>
  <c r="F22" i="40"/>
  <c r="G21" i="40"/>
  <c r="F21" i="40"/>
  <c r="G20" i="40"/>
  <c r="F20" i="40"/>
  <c r="G19" i="40"/>
  <c r="F19" i="40"/>
  <c r="G18" i="40"/>
  <c r="F18" i="40"/>
  <c r="G17" i="40"/>
  <c r="F17" i="40"/>
  <c r="G16" i="40"/>
  <c r="F16" i="40"/>
  <c r="G15" i="40"/>
  <c r="F15" i="40"/>
  <c r="G14" i="40"/>
  <c r="F14" i="40"/>
  <c r="G13" i="40"/>
  <c r="F13" i="40"/>
  <c r="G12" i="40"/>
  <c r="F12" i="40"/>
  <c r="G11" i="40"/>
  <c r="F11" i="40"/>
  <c r="G10" i="40"/>
  <c r="F10" i="40"/>
  <c r="G9" i="40"/>
  <c r="F9" i="40"/>
  <c r="G8" i="40"/>
  <c r="F8" i="40"/>
  <c r="G7" i="40"/>
  <c r="F7" i="40"/>
  <c r="G6" i="40"/>
  <c r="F6" i="40"/>
  <c r="G5" i="40"/>
  <c r="F5" i="40"/>
  <c r="G4" i="40"/>
  <c r="F4" i="40"/>
  <c r="G3" i="40"/>
  <c r="F3" i="40"/>
  <c r="G2" i="40"/>
  <c r="F2" i="40"/>
  <c r="N34" i="39"/>
  <c r="M34" i="39"/>
  <c r="L34" i="39"/>
  <c r="K34" i="39"/>
  <c r="J34" i="39"/>
  <c r="I34" i="39"/>
  <c r="H34" i="39"/>
  <c r="C34" i="39"/>
  <c r="B34" i="39"/>
  <c r="G33" i="39"/>
  <c r="F33" i="39"/>
  <c r="G32" i="39"/>
  <c r="F32" i="39"/>
  <c r="G31" i="39"/>
  <c r="F31" i="39"/>
  <c r="G30" i="39"/>
  <c r="F30" i="39"/>
  <c r="G29" i="39"/>
  <c r="F29" i="39"/>
  <c r="G28" i="39"/>
  <c r="F28" i="39"/>
  <c r="G27" i="39"/>
  <c r="F27" i="39"/>
  <c r="G26" i="39"/>
  <c r="F26" i="39"/>
  <c r="G25" i="39"/>
  <c r="F25" i="39"/>
  <c r="G24" i="39"/>
  <c r="F24" i="39"/>
  <c r="G23" i="39"/>
  <c r="F23" i="39"/>
  <c r="G22" i="39"/>
  <c r="F22" i="39"/>
  <c r="G21" i="39"/>
  <c r="F21" i="39"/>
  <c r="G20" i="39"/>
  <c r="F20" i="39"/>
  <c r="G19" i="39"/>
  <c r="F19" i="39"/>
  <c r="G18" i="39"/>
  <c r="F18" i="39"/>
  <c r="G17" i="39"/>
  <c r="F17" i="39"/>
  <c r="G16" i="39"/>
  <c r="F16" i="39"/>
  <c r="G15" i="39"/>
  <c r="F15" i="39"/>
  <c r="G14" i="39"/>
  <c r="F14" i="39"/>
  <c r="G13" i="39"/>
  <c r="F13" i="39"/>
  <c r="G12" i="39"/>
  <c r="F12" i="39"/>
  <c r="G11" i="39"/>
  <c r="F11" i="39"/>
  <c r="G10" i="39"/>
  <c r="F10" i="39"/>
  <c r="G9" i="39"/>
  <c r="F9" i="39"/>
  <c r="G8" i="39"/>
  <c r="F8" i="39"/>
  <c r="G7" i="39"/>
  <c r="F7" i="39"/>
  <c r="G6" i="39"/>
  <c r="F6" i="39"/>
  <c r="G5" i="39"/>
  <c r="F5" i="39"/>
  <c r="G4" i="39"/>
  <c r="F4" i="39"/>
  <c r="G3" i="39"/>
  <c r="G34" i="39" s="1"/>
  <c r="F3" i="39"/>
  <c r="F34" i="39" s="1"/>
  <c r="G33" i="40" l="1"/>
  <c r="F33" i="40"/>
  <c r="B33" i="38"/>
  <c r="N33" i="38"/>
  <c r="M33" i="38"/>
  <c r="L33" i="38"/>
  <c r="K33" i="38"/>
  <c r="J33" i="38"/>
  <c r="I33" i="38"/>
  <c r="H33" i="38"/>
  <c r="C33" i="38"/>
  <c r="G32" i="38"/>
  <c r="F32" i="38"/>
  <c r="G31" i="38"/>
  <c r="F31" i="38"/>
  <c r="G30" i="38"/>
  <c r="F30" i="38"/>
  <c r="G29" i="38"/>
  <c r="F29" i="38"/>
  <c r="G28" i="38"/>
  <c r="F28" i="38"/>
  <c r="G27" i="38"/>
  <c r="F27" i="38"/>
  <c r="G26" i="38"/>
  <c r="F26" i="38"/>
  <c r="G25" i="38"/>
  <c r="F25" i="38"/>
  <c r="G24" i="38"/>
  <c r="F24" i="38"/>
  <c r="G23" i="38"/>
  <c r="F23" i="38"/>
  <c r="G22" i="38"/>
  <c r="F22" i="38"/>
  <c r="G21" i="38"/>
  <c r="F21" i="38"/>
  <c r="G20" i="38"/>
  <c r="F20" i="38"/>
  <c r="G19" i="38"/>
  <c r="F19" i="38"/>
  <c r="G18" i="38"/>
  <c r="F18" i="38"/>
  <c r="G17" i="38"/>
  <c r="F17" i="38"/>
  <c r="G16" i="38"/>
  <c r="F16" i="38"/>
  <c r="G15" i="38"/>
  <c r="F15" i="38"/>
  <c r="G14" i="38"/>
  <c r="F14" i="38"/>
  <c r="G13" i="38"/>
  <c r="F13" i="38"/>
  <c r="G12" i="38"/>
  <c r="F12" i="38"/>
  <c r="G11" i="38"/>
  <c r="F11" i="38"/>
  <c r="G10" i="38"/>
  <c r="F10" i="38"/>
  <c r="G9" i="38"/>
  <c r="F9" i="38"/>
  <c r="G8" i="38"/>
  <c r="F8" i="38"/>
  <c r="G7" i="38"/>
  <c r="F7" i="38"/>
  <c r="G6" i="38"/>
  <c r="F6" i="38"/>
  <c r="G5" i="38"/>
  <c r="F5" i="38"/>
  <c r="G4" i="38"/>
  <c r="F4" i="38"/>
  <c r="G3" i="38"/>
  <c r="F3" i="38"/>
  <c r="G2" i="38"/>
  <c r="F2" i="38"/>
  <c r="G33" i="38" l="1"/>
  <c r="F33" i="38"/>
  <c r="L33" i="37"/>
  <c r="B33" i="37"/>
  <c r="N33" i="37"/>
  <c r="M33" i="37"/>
  <c r="K33" i="37"/>
  <c r="J33" i="37"/>
  <c r="I33" i="37"/>
  <c r="H33" i="37"/>
  <c r="C33" i="37"/>
  <c r="G32" i="37"/>
  <c r="F32" i="37"/>
  <c r="G31" i="37"/>
  <c r="F31" i="37"/>
  <c r="G30" i="37"/>
  <c r="F30" i="37"/>
  <c r="G29" i="37"/>
  <c r="F29" i="37"/>
  <c r="G28" i="37"/>
  <c r="F28" i="37"/>
  <c r="G27" i="37"/>
  <c r="F27" i="37"/>
  <c r="G26" i="37"/>
  <c r="F26" i="37"/>
  <c r="G25" i="37"/>
  <c r="F25" i="37"/>
  <c r="G24" i="37"/>
  <c r="F24" i="37"/>
  <c r="G23" i="37"/>
  <c r="F23" i="37"/>
  <c r="G22" i="37"/>
  <c r="F22" i="37"/>
  <c r="G21" i="37"/>
  <c r="F21" i="37"/>
  <c r="G20" i="37"/>
  <c r="F20" i="37"/>
  <c r="G19" i="37"/>
  <c r="F19" i="37"/>
  <c r="G18" i="37"/>
  <c r="F18" i="37"/>
  <c r="G17" i="37"/>
  <c r="F17" i="37"/>
  <c r="G16" i="37"/>
  <c r="F16" i="37"/>
  <c r="G15" i="37"/>
  <c r="F15" i="37"/>
  <c r="G14" i="37"/>
  <c r="G13" i="37"/>
  <c r="F13" i="37"/>
  <c r="G12" i="37"/>
  <c r="F12" i="37"/>
  <c r="G11" i="37"/>
  <c r="F11" i="37"/>
  <c r="G10" i="37"/>
  <c r="F10" i="37"/>
  <c r="G9" i="37"/>
  <c r="F9" i="37"/>
  <c r="G8" i="37"/>
  <c r="F8" i="37"/>
  <c r="G7" i="37"/>
  <c r="F7" i="37"/>
  <c r="G6" i="37"/>
  <c r="F6" i="37"/>
  <c r="G5" i="37"/>
  <c r="F5" i="37"/>
  <c r="G4" i="37"/>
  <c r="F4" i="37"/>
  <c r="G3" i="37"/>
  <c r="F3" i="37"/>
  <c r="G2" i="37"/>
  <c r="F2" i="37"/>
  <c r="G33" i="37" l="1"/>
  <c r="F33" i="37"/>
  <c r="N33" i="36"/>
  <c r="M33" i="36"/>
  <c r="L33" i="36"/>
  <c r="K33" i="36"/>
  <c r="J33" i="36"/>
  <c r="I33" i="36"/>
  <c r="H33" i="36"/>
  <c r="C33" i="36"/>
  <c r="B33" i="36"/>
  <c r="G32" i="36"/>
  <c r="F32" i="36"/>
  <c r="G31" i="36"/>
  <c r="F31" i="36"/>
  <c r="G30" i="36"/>
  <c r="F30" i="36"/>
  <c r="G29" i="36"/>
  <c r="F29" i="36"/>
  <c r="G28" i="36"/>
  <c r="F28" i="36"/>
  <c r="G27" i="36"/>
  <c r="F27" i="36"/>
  <c r="G26" i="36"/>
  <c r="F26" i="36"/>
  <c r="G25" i="36"/>
  <c r="F25" i="36"/>
  <c r="G24" i="36"/>
  <c r="F24" i="36"/>
  <c r="G23" i="36"/>
  <c r="F23" i="36"/>
  <c r="G22" i="36"/>
  <c r="F22" i="36"/>
  <c r="G21" i="36"/>
  <c r="F21" i="36"/>
  <c r="G20" i="36"/>
  <c r="F20" i="36"/>
  <c r="G19" i="36"/>
  <c r="F19" i="36"/>
  <c r="G18" i="36"/>
  <c r="F18" i="36"/>
  <c r="G17" i="36"/>
  <c r="F17" i="36"/>
  <c r="G16" i="36"/>
  <c r="F16" i="36"/>
  <c r="G15" i="36"/>
  <c r="F15" i="36"/>
  <c r="G14" i="36"/>
  <c r="F14" i="36"/>
  <c r="G13" i="36"/>
  <c r="F13" i="36"/>
  <c r="G12" i="36"/>
  <c r="F12" i="36"/>
  <c r="G11" i="36"/>
  <c r="F11" i="36"/>
  <c r="G10" i="36"/>
  <c r="F10" i="36"/>
  <c r="G9" i="36"/>
  <c r="F9" i="36"/>
  <c r="G8" i="36"/>
  <c r="F8" i="36"/>
  <c r="G7" i="36"/>
  <c r="F7" i="36"/>
  <c r="G6" i="36"/>
  <c r="F6" i="36"/>
  <c r="G5" i="36"/>
  <c r="F5" i="36"/>
  <c r="G4" i="36"/>
  <c r="F4" i="36"/>
  <c r="G3" i="36"/>
  <c r="F3" i="36"/>
  <c r="G2" i="36"/>
  <c r="F2" i="36"/>
  <c r="G33" i="36" l="1"/>
  <c r="F33" i="36"/>
  <c r="H33" i="35"/>
  <c r="N33" i="35"/>
  <c r="M33" i="35"/>
  <c r="L33" i="35"/>
  <c r="K33" i="35"/>
  <c r="J33" i="35"/>
  <c r="I33" i="35"/>
  <c r="C33" i="35"/>
  <c r="B33" i="35"/>
  <c r="G32" i="35"/>
  <c r="F32" i="35"/>
  <c r="G31" i="35"/>
  <c r="F31" i="35"/>
  <c r="G30" i="35"/>
  <c r="F30" i="35"/>
  <c r="G29" i="35"/>
  <c r="F29" i="35"/>
  <c r="G28" i="35"/>
  <c r="F28" i="35"/>
  <c r="G27" i="35"/>
  <c r="F27" i="35"/>
  <c r="G26" i="35"/>
  <c r="F26" i="35"/>
  <c r="G25" i="35"/>
  <c r="F25" i="35"/>
  <c r="G24" i="35"/>
  <c r="F24" i="35"/>
  <c r="G23" i="35"/>
  <c r="F23" i="35"/>
  <c r="G22" i="35"/>
  <c r="F22" i="35"/>
  <c r="G21" i="35"/>
  <c r="F21" i="35"/>
  <c r="G20" i="35"/>
  <c r="F20" i="35"/>
  <c r="G19" i="35"/>
  <c r="F19" i="35"/>
  <c r="G18" i="35"/>
  <c r="F18" i="35"/>
  <c r="G17" i="35"/>
  <c r="F17" i="35"/>
  <c r="G16" i="35"/>
  <c r="F16" i="35"/>
  <c r="G15" i="35"/>
  <c r="F15" i="35"/>
  <c r="G14" i="35"/>
  <c r="F14" i="35"/>
  <c r="G13" i="35"/>
  <c r="F13" i="35"/>
  <c r="G12" i="35"/>
  <c r="F12" i="35"/>
  <c r="G11" i="35"/>
  <c r="F11" i="35"/>
  <c r="G10" i="35"/>
  <c r="F10" i="35"/>
  <c r="G9" i="35"/>
  <c r="F9" i="35"/>
  <c r="G8" i="35"/>
  <c r="F8" i="35"/>
  <c r="G7" i="35"/>
  <c r="F7" i="35"/>
  <c r="G6" i="35"/>
  <c r="F6" i="35"/>
  <c r="G5" i="35"/>
  <c r="F5" i="35"/>
  <c r="G4" i="35"/>
  <c r="F4" i="35"/>
  <c r="G3" i="35"/>
  <c r="F3" i="35"/>
  <c r="G2" i="35"/>
  <c r="F2" i="35"/>
  <c r="F33" i="35" l="1"/>
  <c r="G33" i="35"/>
  <c r="N33" i="34"/>
  <c r="M33" i="34"/>
  <c r="L33" i="34"/>
  <c r="K33" i="34"/>
  <c r="J33" i="34"/>
  <c r="I33" i="34"/>
  <c r="H33" i="34"/>
  <c r="C33" i="34"/>
  <c r="B33" i="34"/>
  <c r="G32" i="34"/>
  <c r="F32" i="34"/>
  <c r="G31" i="34"/>
  <c r="F31" i="34"/>
  <c r="G30" i="34"/>
  <c r="F30" i="34"/>
  <c r="G29" i="34"/>
  <c r="F29" i="34"/>
  <c r="G28" i="34"/>
  <c r="F28" i="34"/>
  <c r="G27" i="34"/>
  <c r="F27" i="34"/>
  <c r="G26" i="34"/>
  <c r="F26" i="34"/>
  <c r="G25" i="34"/>
  <c r="F25" i="34"/>
  <c r="G24" i="34"/>
  <c r="F24" i="34"/>
  <c r="G23" i="34"/>
  <c r="F23" i="34"/>
  <c r="G22" i="34"/>
  <c r="F22" i="34"/>
  <c r="G21" i="34"/>
  <c r="F21" i="34"/>
  <c r="G20" i="34"/>
  <c r="F20" i="34"/>
  <c r="G19" i="34"/>
  <c r="F19" i="34"/>
  <c r="G18" i="34"/>
  <c r="F18" i="34"/>
  <c r="G17" i="34"/>
  <c r="F17" i="34"/>
  <c r="G16" i="34"/>
  <c r="F16" i="34"/>
  <c r="G15" i="34"/>
  <c r="F15" i="34"/>
  <c r="G14" i="34"/>
  <c r="F14" i="34"/>
  <c r="G13" i="34"/>
  <c r="F13" i="34"/>
  <c r="G12" i="34"/>
  <c r="F12" i="34"/>
  <c r="G11" i="34"/>
  <c r="F11" i="34"/>
  <c r="G10" i="34"/>
  <c r="F10" i="34"/>
  <c r="G9" i="34"/>
  <c r="F9" i="34"/>
  <c r="G8" i="34"/>
  <c r="F8" i="34"/>
  <c r="G7" i="34"/>
  <c r="F7" i="34"/>
  <c r="G6" i="34"/>
  <c r="F6" i="34"/>
  <c r="G5" i="34"/>
  <c r="F5" i="34"/>
  <c r="G4" i="34"/>
  <c r="F4" i="34"/>
  <c r="G3" i="34"/>
  <c r="F3" i="34"/>
  <c r="G2" i="34"/>
  <c r="F2" i="34"/>
  <c r="F33" i="34" l="1"/>
  <c r="G33" i="34"/>
  <c r="M33" i="33"/>
  <c r="J33" i="33"/>
  <c r="H33" i="33"/>
  <c r="B33" i="33"/>
  <c r="N33" i="33"/>
  <c r="L33" i="33"/>
  <c r="K33" i="33"/>
  <c r="I33" i="33"/>
  <c r="C33" i="33"/>
  <c r="G32" i="33"/>
  <c r="F32" i="33"/>
  <c r="G31" i="33"/>
  <c r="F31" i="33"/>
  <c r="G30" i="33"/>
  <c r="F30" i="33"/>
  <c r="G29" i="33"/>
  <c r="F29" i="33"/>
  <c r="G28" i="33"/>
  <c r="F28" i="33"/>
  <c r="G27" i="33"/>
  <c r="F27" i="33"/>
  <c r="G26" i="33"/>
  <c r="F26" i="33"/>
  <c r="G25" i="33"/>
  <c r="F25" i="33"/>
  <c r="G24" i="33"/>
  <c r="F24" i="33"/>
  <c r="G23" i="33"/>
  <c r="F23" i="33"/>
  <c r="G22" i="33"/>
  <c r="F22" i="33"/>
  <c r="G21" i="33"/>
  <c r="F21" i="33"/>
  <c r="G20" i="33"/>
  <c r="F20" i="33"/>
  <c r="G19" i="33"/>
  <c r="F19" i="33"/>
  <c r="G18" i="33"/>
  <c r="F18" i="33"/>
  <c r="G17" i="33"/>
  <c r="F17" i="33"/>
  <c r="G16" i="33"/>
  <c r="F16" i="33"/>
  <c r="G15" i="33"/>
  <c r="F15" i="33"/>
  <c r="G14" i="33"/>
  <c r="F14" i="33"/>
  <c r="G13" i="33"/>
  <c r="F13" i="33"/>
  <c r="G12" i="33"/>
  <c r="F12" i="33"/>
  <c r="G11" i="33"/>
  <c r="F11" i="33"/>
  <c r="G10" i="33"/>
  <c r="F10" i="33"/>
  <c r="G9" i="33"/>
  <c r="F9" i="33"/>
  <c r="G8" i="33"/>
  <c r="F8" i="33"/>
  <c r="G7" i="33"/>
  <c r="F7" i="33"/>
  <c r="G6" i="33"/>
  <c r="F6" i="33"/>
  <c r="G5" i="33"/>
  <c r="F5" i="33"/>
  <c r="G4" i="33"/>
  <c r="F4" i="33"/>
  <c r="G3" i="33"/>
  <c r="F3" i="33"/>
  <c r="G2" i="33"/>
  <c r="F2" i="33"/>
  <c r="G33" i="33" l="1"/>
  <c r="F33" i="33"/>
  <c r="F2" i="32"/>
  <c r="M33" i="32" l="1"/>
  <c r="K33" i="32"/>
  <c r="N33" i="32" l="1"/>
  <c r="L33" i="32"/>
  <c r="J33" i="32"/>
  <c r="I33" i="32"/>
  <c r="H33" i="32"/>
  <c r="C33" i="32"/>
  <c r="B33" i="32"/>
  <c r="G32" i="32"/>
  <c r="F32" i="32"/>
  <c r="G31" i="32"/>
  <c r="F31" i="32"/>
  <c r="G30" i="32"/>
  <c r="F30" i="32"/>
  <c r="G29" i="32"/>
  <c r="F29" i="32"/>
  <c r="G28" i="32"/>
  <c r="F28" i="32"/>
  <c r="G27" i="32"/>
  <c r="F27" i="32"/>
  <c r="G26" i="32"/>
  <c r="F26" i="32"/>
  <c r="G25" i="32"/>
  <c r="F25" i="32"/>
  <c r="G24" i="32"/>
  <c r="F24" i="32"/>
  <c r="G23" i="32"/>
  <c r="F23" i="32"/>
  <c r="G22" i="32"/>
  <c r="F22" i="32"/>
  <c r="G21" i="32"/>
  <c r="F21" i="32"/>
  <c r="G20" i="32"/>
  <c r="F20" i="32"/>
  <c r="G19" i="32"/>
  <c r="F19" i="32"/>
  <c r="G18" i="32"/>
  <c r="F18" i="32"/>
  <c r="G17" i="32"/>
  <c r="F17" i="32"/>
  <c r="G16" i="32"/>
  <c r="F16" i="32"/>
  <c r="G15" i="32"/>
  <c r="F15" i="32"/>
  <c r="G14" i="32"/>
  <c r="F14" i="32"/>
  <c r="G13" i="32"/>
  <c r="F13" i="32"/>
  <c r="G12" i="32"/>
  <c r="F12" i="32"/>
  <c r="G11" i="32"/>
  <c r="F11" i="32"/>
  <c r="G10" i="32"/>
  <c r="F10" i="32"/>
  <c r="G9" i="32"/>
  <c r="F9" i="32"/>
  <c r="G8" i="32"/>
  <c r="F8" i="32"/>
  <c r="G7" i="32"/>
  <c r="F7" i="32"/>
  <c r="G6" i="32"/>
  <c r="F6" i="32"/>
  <c r="G5" i="32"/>
  <c r="F5" i="32"/>
  <c r="G4" i="32"/>
  <c r="F4" i="32"/>
  <c r="G3" i="32"/>
  <c r="F3" i="32"/>
  <c r="G2" i="32"/>
  <c r="F33" i="32" l="1"/>
  <c r="G33" i="32"/>
  <c r="G32" i="31"/>
  <c r="F32" i="31"/>
  <c r="N33" i="31"/>
  <c r="M33" i="31"/>
  <c r="L33" i="31"/>
  <c r="K33" i="31"/>
  <c r="J33" i="31"/>
  <c r="I33" i="31"/>
  <c r="H33" i="31"/>
  <c r="D33" i="31"/>
  <c r="C33" i="31"/>
  <c r="B33" i="31"/>
  <c r="G31" i="31"/>
  <c r="F31" i="31"/>
  <c r="G30" i="31"/>
  <c r="F30" i="31"/>
  <c r="G29" i="31"/>
  <c r="F29" i="31"/>
  <c r="G28" i="31"/>
  <c r="F28" i="31"/>
  <c r="G27" i="31"/>
  <c r="F27" i="31"/>
  <c r="G26" i="31"/>
  <c r="F26" i="31"/>
  <c r="G25" i="31"/>
  <c r="F25" i="31"/>
  <c r="G24" i="31"/>
  <c r="F24" i="31"/>
  <c r="G23" i="31"/>
  <c r="F23" i="31"/>
  <c r="G22" i="31"/>
  <c r="F22" i="31"/>
  <c r="G21" i="31"/>
  <c r="F21" i="31"/>
  <c r="G20" i="31"/>
  <c r="F20" i="31"/>
  <c r="G19" i="31"/>
  <c r="F19" i="31"/>
  <c r="G18" i="31"/>
  <c r="F18" i="31"/>
  <c r="G17" i="31"/>
  <c r="F17" i="31"/>
  <c r="G16" i="31"/>
  <c r="F16" i="31"/>
  <c r="G15" i="31"/>
  <c r="F15" i="31"/>
  <c r="G14" i="31"/>
  <c r="F14" i="31"/>
  <c r="G13" i="31"/>
  <c r="F13" i="31"/>
  <c r="G12" i="31"/>
  <c r="F12" i="31"/>
  <c r="G11" i="31"/>
  <c r="F11" i="31"/>
  <c r="G10" i="31"/>
  <c r="F10" i="31"/>
  <c r="G9" i="31"/>
  <c r="F9" i="31"/>
  <c r="G8" i="31"/>
  <c r="F8" i="31"/>
  <c r="G7" i="31"/>
  <c r="F7" i="31"/>
  <c r="G6" i="31"/>
  <c r="F6" i="31"/>
  <c r="G5" i="31"/>
  <c r="F5" i="31"/>
  <c r="G4" i="31"/>
  <c r="F4" i="31"/>
  <c r="G3" i="31"/>
  <c r="F3" i="31"/>
  <c r="G2" i="31"/>
  <c r="F2" i="31"/>
  <c r="F33" i="31" l="1"/>
  <c r="G33" i="31"/>
  <c r="N34" i="30"/>
  <c r="M34" i="30"/>
  <c r="L34" i="30"/>
  <c r="K34" i="30"/>
  <c r="J34" i="30"/>
  <c r="I34" i="30"/>
  <c r="H34" i="30"/>
  <c r="D34" i="30"/>
  <c r="C34" i="30"/>
  <c r="B34" i="30"/>
  <c r="G32" i="30"/>
  <c r="F32" i="30"/>
  <c r="G31" i="30"/>
  <c r="F31" i="30"/>
  <c r="G30" i="30"/>
  <c r="F30" i="30"/>
  <c r="G29" i="30"/>
  <c r="F29" i="30"/>
  <c r="G28" i="30"/>
  <c r="F28" i="30"/>
  <c r="G27" i="30"/>
  <c r="F27" i="30"/>
  <c r="G26" i="30"/>
  <c r="F26" i="30"/>
  <c r="G25" i="30"/>
  <c r="F25" i="30"/>
  <c r="G24" i="30"/>
  <c r="F24" i="30"/>
  <c r="G23" i="30"/>
  <c r="F23" i="30"/>
  <c r="G22" i="30"/>
  <c r="F22" i="30"/>
  <c r="G21" i="30"/>
  <c r="F21" i="30"/>
  <c r="G20" i="30"/>
  <c r="F20" i="30"/>
  <c r="G19" i="30"/>
  <c r="F19" i="30"/>
  <c r="G18" i="30"/>
  <c r="F18" i="30"/>
  <c r="G17" i="30"/>
  <c r="F17" i="30"/>
  <c r="G16" i="30"/>
  <c r="F16" i="30"/>
  <c r="G15" i="30"/>
  <c r="F15" i="30"/>
  <c r="G14" i="30"/>
  <c r="F14" i="30"/>
  <c r="G13" i="30"/>
  <c r="F13" i="30"/>
  <c r="G12" i="30"/>
  <c r="F12" i="30"/>
  <c r="G11" i="30"/>
  <c r="F11" i="30"/>
  <c r="G10" i="30"/>
  <c r="F10" i="30"/>
  <c r="G9" i="30"/>
  <c r="F9" i="30"/>
  <c r="G8" i="30"/>
  <c r="F8" i="30"/>
  <c r="G7" i="30"/>
  <c r="F7" i="30"/>
  <c r="G6" i="30"/>
  <c r="F6" i="30"/>
  <c r="G5" i="30"/>
  <c r="F5" i="30"/>
  <c r="G4" i="30"/>
  <c r="F4" i="30"/>
  <c r="G3" i="30"/>
  <c r="F3" i="30"/>
  <c r="G2" i="30"/>
  <c r="F2" i="30"/>
  <c r="F34" i="30" s="1"/>
  <c r="G34" i="30" l="1"/>
  <c r="G34" i="29"/>
  <c r="N36" i="29" l="1"/>
  <c r="M36" i="29"/>
  <c r="L36" i="29"/>
  <c r="K36" i="29"/>
  <c r="J36" i="29"/>
  <c r="I36" i="29"/>
  <c r="H36" i="29"/>
  <c r="D36" i="29"/>
  <c r="C36" i="29"/>
  <c r="B36" i="29"/>
  <c r="F34" i="29"/>
  <c r="G33" i="29"/>
  <c r="F33" i="29"/>
  <c r="G32" i="29"/>
  <c r="F32" i="29"/>
  <c r="G31" i="29"/>
  <c r="F31" i="29"/>
  <c r="G30" i="29"/>
  <c r="F30" i="29"/>
  <c r="G29" i="29"/>
  <c r="F29" i="29"/>
  <c r="G28" i="29"/>
  <c r="F28" i="29"/>
  <c r="G27" i="29"/>
  <c r="F27" i="29"/>
  <c r="G26" i="29"/>
  <c r="F26" i="29"/>
  <c r="G25" i="29"/>
  <c r="F25" i="29"/>
  <c r="G24" i="29"/>
  <c r="F24" i="29"/>
  <c r="G23" i="29"/>
  <c r="F23" i="29"/>
  <c r="G22" i="29"/>
  <c r="F22" i="29"/>
  <c r="G21" i="29"/>
  <c r="F21" i="29"/>
  <c r="G20" i="29"/>
  <c r="F20" i="29"/>
  <c r="G19" i="29"/>
  <c r="F19" i="29"/>
  <c r="G18" i="29"/>
  <c r="F18" i="29"/>
  <c r="G17" i="29"/>
  <c r="F17" i="29"/>
  <c r="G16" i="29"/>
  <c r="F16" i="29"/>
  <c r="G15" i="29"/>
  <c r="F15" i="29"/>
  <c r="G14" i="29"/>
  <c r="F14" i="29"/>
  <c r="G13" i="29"/>
  <c r="F13" i="29"/>
  <c r="G12" i="29"/>
  <c r="F12" i="29"/>
  <c r="G11" i="29"/>
  <c r="F11" i="29"/>
  <c r="G10" i="29"/>
  <c r="F10" i="29"/>
  <c r="G9" i="29"/>
  <c r="F9" i="29"/>
  <c r="G8" i="29"/>
  <c r="F8" i="29"/>
  <c r="G7" i="29"/>
  <c r="F7" i="29"/>
  <c r="G6" i="29"/>
  <c r="F6" i="29"/>
  <c r="G5" i="29"/>
  <c r="F5" i="29"/>
  <c r="G4" i="29"/>
  <c r="F4" i="29"/>
  <c r="G36" i="29" l="1"/>
  <c r="F36" i="29"/>
  <c r="B36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N36" i="28"/>
  <c r="M36" i="28"/>
  <c r="L36" i="28"/>
  <c r="K36" i="28"/>
  <c r="J36" i="28"/>
  <c r="I36" i="28"/>
  <c r="H36" i="28"/>
  <c r="D36" i="28"/>
  <c r="C36" i="28"/>
  <c r="F36" i="28" l="1"/>
  <c r="G36" i="28"/>
  <c r="N36" i="21" l="1"/>
  <c r="M36" i="21"/>
  <c r="L36" i="21"/>
  <c r="K36" i="21"/>
  <c r="J36" i="21"/>
  <c r="I36" i="21"/>
  <c r="H36" i="21"/>
  <c r="D36" i="21"/>
  <c r="C36" i="21"/>
  <c r="B36" i="21"/>
  <c r="G36" i="21"/>
  <c r="F36" i="21"/>
  <c r="F4" i="20" l="1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N36" i="20"/>
  <c r="M36" i="20"/>
  <c r="L36" i="20"/>
  <c r="K36" i="20"/>
  <c r="H36" i="20"/>
  <c r="D36" i="20"/>
  <c r="C36" i="20"/>
  <c r="B36" i="20"/>
  <c r="G36" i="20" l="1"/>
  <c r="F36" i="20"/>
  <c r="F32" i="19"/>
  <c r="F27" i="19" l="1"/>
  <c r="L36" i="19" l="1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G27" i="19"/>
  <c r="F28" i="19"/>
  <c r="G28" i="19"/>
  <c r="F29" i="19"/>
  <c r="G29" i="19"/>
  <c r="F30" i="19"/>
  <c r="G30" i="19"/>
  <c r="F31" i="19"/>
  <c r="G31" i="19"/>
  <c r="G32" i="19"/>
  <c r="F33" i="19"/>
  <c r="G33" i="19"/>
  <c r="F34" i="19"/>
  <c r="G34" i="19"/>
  <c r="N36" i="19"/>
  <c r="M36" i="19"/>
  <c r="K36" i="19"/>
  <c r="J36" i="19"/>
  <c r="I36" i="19"/>
  <c r="H36" i="19"/>
  <c r="D36" i="19"/>
  <c r="C36" i="19"/>
  <c r="B36" i="19"/>
  <c r="G36" i="19" l="1"/>
  <c r="F36" i="19"/>
  <c r="G33" i="17"/>
  <c r="F33" i="17"/>
  <c r="G32" i="17"/>
  <c r="G31" i="17"/>
  <c r="F31" i="17"/>
  <c r="G30" i="17"/>
  <c r="F30" i="17"/>
  <c r="G29" i="17"/>
  <c r="F29" i="17"/>
  <c r="G28" i="17"/>
  <c r="F28" i="17"/>
  <c r="G27" i="17"/>
  <c r="G26" i="17"/>
  <c r="F26" i="17"/>
  <c r="G25" i="17"/>
  <c r="F25" i="17"/>
  <c r="G24" i="17"/>
  <c r="F24" i="17"/>
  <c r="G23" i="17"/>
  <c r="F23" i="17"/>
  <c r="G22" i="17"/>
  <c r="F22" i="17"/>
  <c r="G21" i="17"/>
  <c r="F21" i="17"/>
  <c r="G20" i="17"/>
  <c r="F20" i="17"/>
  <c r="G19" i="17"/>
  <c r="F19" i="17"/>
  <c r="G18" i="17"/>
  <c r="F18" i="17"/>
  <c r="G17" i="17"/>
  <c r="F17" i="17"/>
  <c r="G16" i="17"/>
  <c r="F16" i="17"/>
  <c r="G15" i="17"/>
  <c r="F15" i="17"/>
  <c r="G14" i="17"/>
  <c r="F14" i="17"/>
  <c r="G13" i="17"/>
  <c r="F13" i="17"/>
  <c r="G12" i="17"/>
  <c r="F12" i="17"/>
  <c r="G11" i="17"/>
  <c r="F11" i="17"/>
  <c r="G10" i="17"/>
  <c r="F10" i="17"/>
  <c r="G9" i="17"/>
  <c r="F9" i="17"/>
  <c r="G8" i="17"/>
  <c r="F8" i="17"/>
  <c r="G7" i="17"/>
  <c r="F7" i="17"/>
  <c r="G6" i="17"/>
  <c r="F6" i="17"/>
  <c r="G5" i="17"/>
  <c r="F5" i="17"/>
  <c r="G4" i="17"/>
  <c r="F4" i="17"/>
  <c r="J36" i="17" l="1"/>
  <c r="N36" i="17" l="1"/>
  <c r="M36" i="17"/>
  <c r="L36" i="17"/>
  <c r="K36" i="17"/>
  <c r="I36" i="17"/>
  <c r="H36" i="17"/>
  <c r="D36" i="17"/>
  <c r="C36" i="17"/>
  <c r="B36" i="17"/>
  <c r="G34" i="17"/>
  <c r="G36" i="17" s="1"/>
  <c r="F34" i="17"/>
  <c r="F36" i="17" s="1"/>
  <c r="N36" i="16" l="1"/>
  <c r="M36" i="16"/>
  <c r="L36" i="16"/>
  <c r="K36" i="16"/>
  <c r="J36" i="16"/>
  <c r="I36" i="16"/>
  <c r="H36" i="16"/>
  <c r="D36" i="16"/>
  <c r="C36" i="16"/>
  <c r="B36" i="16"/>
  <c r="F36" i="16"/>
  <c r="G36" i="16"/>
  <c r="N36" i="15" l="1"/>
  <c r="M36" i="15"/>
  <c r="L36" i="15"/>
  <c r="K36" i="15"/>
  <c r="J36" i="15"/>
  <c r="I36" i="15"/>
  <c r="H36" i="15"/>
  <c r="D36" i="15"/>
  <c r="C36" i="15"/>
  <c r="B36" i="15"/>
  <c r="G34" i="15"/>
  <c r="F34" i="15"/>
  <c r="G33" i="15"/>
  <c r="F33" i="15"/>
  <c r="G32" i="15"/>
  <c r="Q32" i="15" s="1"/>
  <c r="G31" i="15"/>
  <c r="F31" i="15"/>
  <c r="G30" i="15"/>
  <c r="F30" i="15"/>
  <c r="Q30" i="15" s="1"/>
  <c r="G29" i="15"/>
  <c r="F29" i="15"/>
  <c r="G28" i="15"/>
  <c r="F28" i="15"/>
  <c r="Q28" i="15" s="1"/>
  <c r="G27" i="15"/>
  <c r="Q27" i="15" s="1"/>
  <c r="G26" i="15"/>
  <c r="F26" i="15"/>
  <c r="G25" i="15"/>
  <c r="F25" i="15"/>
  <c r="G24" i="15"/>
  <c r="F24" i="15"/>
  <c r="G23" i="15"/>
  <c r="F23" i="15"/>
  <c r="Q23" i="15" s="1"/>
  <c r="G22" i="15"/>
  <c r="F22" i="15"/>
  <c r="Q22" i="15" s="1"/>
  <c r="G21" i="15"/>
  <c r="F21" i="15"/>
  <c r="G20" i="15"/>
  <c r="F20" i="15"/>
  <c r="Q20" i="15" s="1"/>
  <c r="G19" i="15"/>
  <c r="F19" i="15"/>
  <c r="G18" i="15"/>
  <c r="F18" i="15"/>
  <c r="G17" i="15"/>
  <c r="F17" i="15"/>
  <c r="G16" i="15"/>
  <c r="F16" i="15"/>
  <c r="Q16" i="15" s="1"/>
  <c r="G15" i="15"/>
  <c r="F15" i="15"/>
  <c r="G14" i="15"/>
  <c r="F14" i="15"/>
  <c r="G13" i="15"/>
  <c r="F13" i="15"/>
  <c r="G12" i="15"/>
  <c r="F12" i="15"/>
  <c r="G11" i="15"/>
  <c r="F11" i="15"/>
  <c r="G10" i="15"/>
  <c r="F10" i="15"/>
  <c r="Q10" i="15" s="1"/>
  <c r="G9" i="15"/>
  <c r="F9" i="15"/>
  <c r="G8" i="15"/>
  <c r="F8" i="15"/>
  <c r="G7" i="15"/>
  <c r="F7" i="15"/>
  <c r="Q7" i="15" s="1"/>
  <c r="G6" i="15"/>
  <c r="F6" i="15"/>
  <c r="Q6" i="15" s="1"/>
  <c r="G5" i="15"/>
  <c r="F5" i="15"/>
  <c r="Q5" i="15" s="1"/>
  <c r="G4" i="15"/>
  <c r="F4" i="15"/>
  <c r="N36" i="14"/>
  <c r="M36" i="14"/>
  <c r="L36" i="14"/>
  <c r="K36" i="14"/>
  <c r="J36" i="14"/>
  <c r="I36" i="14"/>
  <c r="H36" i="14"/>
  <c r="D36" i="14"/>
  <c r="C36" i="14"/>
  <c r="B36" i="14"/>
  <c r="G34" i="14"/>
  <c r="F34" i="14"/>
  <c r="Q34" i="14" s="1"/>
  <c r="G33" i="14"/>
  <c r="F33" i="14"/>
  <c r="Q33" i="14" s="1"/>
  <c r="G32" i="14"/>
  <c r="Q32" i="14" s="1"/>
  <c r="G31" i="14"/>
  <c r="F31" i="14"/>
  <c r="G30" i="14"/>
  <c r="F30" i="14"/>
  <c r="G29" i="14"/>
  <c r="F29" i="14"/>
  <c r="G28" i="14"/>
  <c r="F28" i="14"/>
  <c r="G27" i="14"/>
  <c r="Q27" i="14" s="1"/>
  <c r="G26" i="14"/>
  <c r="F26" i="14"/>
  <c r="Q26" i="14" s="1"/>
  <c r="G25" i="14"/>
  <c r="F25" i="14"/>
  <c r="Q25" i="14" s="1"/>
  <c r="G24" i="14"/>
  <c r="F24" i="14"/>
  <c r="Q24" i="14" s="1"/>
  <c r="G23" i="14"/>
  <c r="F23" i="14"/>
  <c r="Q23" i="14" s="1"/>
  <c r="G22" i="14"/>
  <c r="F22" i="14"/>
  <c r="Q22" i="14" s="1"/>
  <c r="G21" i="14"/>
  <c r="F21" i="14"/>
  <c r="Q21" i="14" s="1"/>
  <c r="G20" i="14"/>
  <c r="F20" i="14"/>
  <c r="Q20" i="14" s="1"/>
  <c r="G19" i="14"/>
  <c r="F19" i="14"/>
  <c r="Q19" i="14" s="1"/>
  <c r="G18" i="14"/>
  <c r="F18" i="14"/>
  <c r="Q18" i="14" s="1"/>
  <c r="G17" i="14"/>
  <c r="F17" i="14"/>
  <c r="Q17" i="14" s="1"/>
  <c r="G16" i="14"/>
  <c r="F16" i="14"/>
  <c r="Q16" i="14" s="1"/>
  <c r="G15" i="14"/>
  <c r="F15" i="14"/>
  <c r="Q15" i="14" s="1"/>
  <c r="G14" i="14"/>
  <c r="F14" i="14"/>
  <c r="Q14" i="14" s="1"/>
  <c r="G13" i="14"/>
  <c r="F13" i="14"/>
  <c r="Q13" i="14" s="1"/>
  <c r="G12" i="14"/>
  <c r="F12" i="14"/>
  <c r="Q12" i="14" s="1"/>
  <c r="G11" i="14"/>
  <c r="F11" i="14"/>
  <c r="Q11" i="14" s="1"/>
  <c r="G10" i="14"/>
  <c r="F10" i="14"/>
  <c r="Q10" i="14" s="1"/>
  <c r="G9" i="14"/>
  <c r="F9" i="14"/>
  <c r="Q9" i="14" s="1"/>
  <c r="G8" i="14"/>
  <c r="F8" i="14"/>
  <c r="Q8" i="14" s="1"/>
  <c r="G7" i="14"/>
  <c r="F7" i="14"/>
  <c r="Q7" i="14" s="1"/>
  <c r="G6" i="14"/>
  <c r="F6" i="14"/>
  <c r="Q6" i="14" s="1"/>
  <c r="G5" i="14"/>
  <c r="F5" i="14"/>
  <c r="Q5" i="14" s="1"/>
  <c r="G4" i="14"/>
  <c r="G36" i="14" s="1"/>
  <c r="F4" i="14"/>
  <c r="F36" i="14" s="1"/>
  <c r="Q26" i="15" l="1"/>
  <c r="Q28" i="14"/>
  <c r="Q29" i="14"/>
  <c r="Q30" i="14"/>
  <c r="Q31" i="14"/>
  <c r="Q33" i="15"/>
  <c r="Q31" i="15"/>
  <c r="Q29" i="15"/>
  <c r="Q34" i="15"/>
  <c r="Q21" i="15"/>
  <c r="Q19" i="15"/>
  <c r="Q18" i="15"/>
  <c r="Q17" i="15"/>
  <c r="Q15" i="15"/>
  <c r="Q14" i="15"/>
  <c r="Q13" i="15"/>
  <c r="Q11" i="15"/>
  <c r="Q9" i="15"/>
  <c r="F36" i="15"/>
  <c r="Q8" i="15"/>
  <c r="Q12" i="15"/>
  <c r="Q24" i="15"/>
  <c r="Q25" i="15"/>
  <c r="G36" i="15"/>
  <c r="Q4" i="15"/>
  <c r="Q4" i="14"/>
  <c r="N36" i="12"/>
  <c r="G34" i="12"/>
  <c r="F34" i="12"/>
  <c r="G33" i="12"/>
  <c r="F33" i="12"/>
  <c r="G32" i="12"/>
  <c r="G31" i="12"/>
  <c r="F31" i="12"/>
  <c r="G30" i="12"/>
  <c r="F30" i="12"/>
  <c r="G29" i="12"/>
  <c r="F29" i="12"/>
  <c r="G28" i="12"/>
  <c r="F28" i="12"/>
  <c r="G27" i="12"/>
  <c r="G26" i="12"/>
  <c r="F26" i="12"/>
  <c r="G25" i="12"/>
  <c r="F25" i="12"/>
  <c r="G24" i="12"/>
  <c r="F24" i="12"/>
  <c r="G23" i="12"/>
  <c r="F23" i="12"/>
  <c r="G22" i="12"/>
  <c r="F22" i="12"/>
  <c r="G21" i="12"/>
  <c r="F21" i="12"/>
  <c r="G20" i="12"/>
  <c r="F20" i="12"/>
  <c r="G19" i="12"/>
  <c r="F19" i="12"/>
  <c r="G18" i="12"/>
  <c r="F18" i="12"/>
  <c r="G17" i="12"/>
  <c r="F17" i="12"/>
  <c r="G16" i="12"/>
  <c r="F16" i="12"/>
  <c r="G15" i="12"/>
  <c r="F15" i="12"/>
  <c r="G14" i="12"/>
  <c r="F14" i="12"/>
  <c r="G13" i="12"/>
  <c r="F13" i="12"/>
  <c r="G12" i="12"/>
  <c r="F12" i="12"/>
  <c r="G11" i="12"/>
  <c r="F11" i="12"/>
  <c r="G10" i="12"/>
  <c r="F10" i="12"/>
  <c r="G9" i="12"/>
  <c r="F9" i="12"/>
  <c r="G8" i="12"/>
  <c r="F8" i="12"/>
  <c r="G7" i="12"/>
  <c r="F7" i="12"/>
  <c r="G6" i="12"/>
  <c r="F6" i="12"/>
  <c r="G5" i="12"/>
  <c r="F5" i="12"/>
  <c r="G4" i="12"/>
  <c r="F4" i="12"/>
  <c r="M36" i="12" l="1"/>
  <c r="L36" i="12"/>
  <c r="K36" i="12"/>
  <c r="J36" i="12"/>
  <c r="I36" i="12"/>
  <c r="H36" i="12"/>
  <c r="D36" i="12"/>
  <c r="C36" i="12"/>
  <c r="B36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G36" i="12"/>
  <c r="F36" i="12"/>
  <c r="Q4" i="12" l="1"/>
  <c r="M36" i="11"/>
  <c r="L36" i="11" l="1"/>
  <c r="K36" i="11"/>
  <c r="J36" i="11"/>
  <c r="I36" i="11"/>
  <c r="H36" i="11"/>
  <c r="D36" i="11"/>
  <c r="C36" i="11"/>
  <c r="B36" i="11"/>
  <c r="AL34" i="11"/>
  <c r="G34" i="11"/>
  <c r="F34" i="11"/>
  <c r="AL33" i="11"/>
  <c r="G33" i="11"/>
  <c r="F33" i="11"/>
  <c r="AL32" i="11"/>
  <c r="G32" i="11"/>
  <c r="AL31" i="11"/>
  <c r="G31" i="11"/>
  <c r="F31" i="11"/>
  <c r="AL30" i="11"/>
  <c r="G30" i="11"/>
  <c r="F30" i="11"/>
  <c r="AL29" i="11"/>
  <c r="G29" i="11"/>
  <c r="F29" i="11"/>
  <c r="AL28" i="11"/>
  <c r="G28" i="11"/>
  <c r="F28" i="11"/>
  <c r="AL27" i="11"/>
  <c r="G27" i="11"/>
  <c r="AL26" i="11"/>
  <c r="G26" i="11"/>
  <c r="F26" i="11"/>
  <c r="AL25" i="11"/>
  <c r="G25" i="11"/>
  <c r="F25" i="11"/>
  <c r="AL24" i="11"/>
  <c r="G24" i="11"/>
  <c r="F24" i="11"/>
  <c r="AL23" i="11"/>
  <c r="G23" i="11"/>
  <c r="F23" i="11"/>
  <c r="AL22" i="11"/>
  <c r="G22" i="11"/>
  <c r="F22" i="11"/>
  <c r="AL21" i="11"/>
  <c r="G21" i="11"/>
  <c r="F21" i="11"/>
  <c r="AL20" i="11"/>
  <c r="G20" i="11"/>
  <c r="F20" i="11"/>
  <c r="AL19" i="11"/>
  <c r="G19" i="11"/>
  <c r="F19" i="11"/>
  <c r="AL18" i="11"/>
  <c r="G18" i="11"/>
  <c r="F18" i="11"/>
  <c r="AL17" i="11"/>
  <c r="G17" i="11"/>
  <c r="F17" i="11"/>
  <c r="AL16" i="11"/>
  <c r="G16" i="11"/>
  <c r="F16" i="11"/>
  <c r="AL15" i="11"/>
  <c r="G15" i="11"/>
  <c r="F15" i="11"/>
  <c r="AL14" i="11"/>
  <c r="G14" i="11"/>
  <c r="F14" i="11"/>
  <c r="AL13" i="11"/>
  <c r="G13" i="11"/>
  <c r="F13" i="11"/>
  <c r="AL12" i="11"/>
  <c r="G12" i="11"/>
  <c r="F12" i="11"/>
  <c r="AL11" i="11"/>
  <c r="G11" i="11"/>
  <c r="F11" i="11"/>
  <c r="AL10" i="11"/>
  <c r="G10" i="11"/>
  <c r="F10" i="11"/>
  <c r="AL9" i="11"/>
  <c r="G9" i="11"/>
  <c r="F9" i="11"/>
  <c r="AL8" i="11"/>
  <c r="G8" i="11"/>
  <c r="F8" i="11"/>
  <c r="AL7" i="11"/>
  <c r="G7" i="11"/>
  <c r="F7" i="11"/>
  <c r="AL6" i="11"/>
  <c r="G6" i="11"/>
  <c r="F6" i="11"/>
  <c r="AL5" i="11"/>
  <c r="G5" i="11"/>
  <c r="F5" i="11"/>
  <c r="AL4" i="11"/>
  <c r="G4" i="11"/>
  <c r="F4" i="11"/>
  <c r="M36" i="10"/>
  <c r="L36" i="10"/>
  <c r="K36" i="10"/>
  <c r="J36" i="10"/>
  <c r="I36" i="10"/>
  <c r="H36" i="10"/>
  <c r="D36" i="10"/>
  <c r="C36" i="10"/>
  <c r="B36" i="10"/>
  <c r="AL34" i="10"/>
  <c r="G34" i="10"/>
  <c r="F34" i="10"/>
  <c r="AL33" i="10"/>
  <c r="G33" i="10"/>
  <c r="F33" i="10"/>
  <c r="AL32" i="10"/>
  <c r="G32" i="10"/>
  <c r="F32" i="10"/>
  <c r="AL31" i="10"/>
  <c r="G31" i="10"/>
  <c r="F31" i="10"/>
  <c r="AL30" i="10"/>
  <c r="G30" i="10"/>
  <c r="F30" i="10"/>
  <c r="AL29" i="10"/>
  <c r="G29" i="10"/>
  <c r="F29" i="10"/>
  <c r="AL28" i="10"/>
  <c r="G28" i="10"/>
  <c r="F28" i="10"/>
  <c r="AL27" i="10"/>
  <c r="G27" i="10"/>
  <c r="F27" i="10"/>
  <c r="AL26" i="10"/>
  <c r="G26" i="10"/>
  <c r="F26" i="10"/>
  <c r="AL25" i="10"/>
  <c r="G25" i="10"/>
  <c r="F25" i="10"/>
  <c r="AL24" i="10"/>
  <c r="G24" i="10"/>
  <c r="F24" i="10"/>
  <c r="AL23" i="10"/>
  <c r="G23" i="10"/>
  <c r="F23" i="10"/>
  <c r="AL22" i="10"/>
  <c r="G22" i="10"/>
  <c r="F22" i="10"/>
  <c r="AL21" i="10"/>
  <c r="G21" i="10"/>
  <c r="F21" i="10"/>
  <c r="AL20" i="10"/>
  <c r="G20" i="10"/>
  <c r="F20" i="10"/>
  <c r="AL19" i="10"/>
  <c r="G19" i="10"/>
  <c r="F19" i="10"/>
  <c r="AL18" i="10"/>
  <c r="G18" i="10"/>
  <c r="F18" i="10"/>
  <c r="AL17" i="10"/>
  <c r="G17" i="10"/>
  <c r="F17" i="10"/>
  <c r="AL16" i="10"/>
  <c r="G16" i="10"/>
  <c r="F16" i="10"/>
  <c r="AL15" i="10"/>
  <c r="G15" i="10"/>
  <c r="F15" i="10"/>
  <c r="AL14" i="10"/>
  <c r="G14" i="10"/>
  <c r="F14" i="10"/>
  <c r="AL13" i="10"/>
  <c r="G13" i="10"/>
  <c r="F13" i="10"/>
  <c r="AL12" i="10"/>
  <c r="G12" i="10"/>
  <c r="F12" i="10"/>
  <c r="AL11" i="10"/>
  <c r="G11" i="10"/>
  <c r="F11" i="10"/>
  <c r="AL10" i="10"/>
  <c r="G10" i="10"/>
  <c r="F10" i="10"/>
  <c r="AL9" i="10"/>
  <c r="G9" i="10"/>
  <c r="F9" i="10"/>
  <c r="AL8" i="10"/>
  <c r="G8" i="10"/>
  <c r="F8" i="10"/>
  <c r="AL7" i="10"/>
  <c r="G7" i="10"/>
  <c r="F7" i="10"/>
  <c r="AL6" i="10"/>
  <c r="G6" i="10"/>
  <c r="F6" i="10"/>
  <c r="AL5" i="10"/>
  <c r="G5" i="10"/>
  <c r="F5" i="10"/>
  <c r="AL4" i="10"/>
  <c r="G4" i="10"/>
  <c r="F4" i="10"/>
  <c r="AL35" i="10" l="1"/>
  <c r="AL35" i="11"/>
  <c r="Q12" i="11"/>
  <c r="AQ12" i="11" s="1"/>
  <c r="AS12" i="11" s="1"/>
  <c r="Q14" i="11"/>
  <c r="Q16" i="11"/>
  <c r="AQ16" i="11" s="1"/>
  <c r="AS16" i="11" s="1"/>
  <c r="Q20" i="11"/>
  <c r="Q22" i="11"/>
  <c r="Y22" i="11" s="1"/>
  <c r="Q24" i="11"/>
  <c r="Q26" i="11"/>
  <c r="Y26" i="11" s="1"/>
  <c r="Q30" i="11"/>
  <c r="Y30" i="11" s="1"/>
  <c r="Q32" i="11"/>
  <c r="AQ32" i="11" s="1"/>
  <c r="AS32" i="11" s="1"/>
  <c r="Q34" i="11"/>
  <c r="Y34" i="11" s="1"/>
  <c r="Q28" i="11"/>
  <c r="Y28" i="11" s="1"/>
  <c r="Q18" i="11"/>
  <c r="Y18" i="11" s="1"/>
  <c r="Q10" i="11"/>
  <c r="AQ10" i="11" s="1"/>
  <c r="AS10" i="11" s="1"/>
  <c r="F36" i="11"/>
  <c r="Q8" i="11"/>
  <c r="Y8" i="11" s="1"/>
  <c r="Q6" i="11"/>
  <c r="G36" i="11"/>
  <c r="Q5" i="11"/>
  <c r="AQ5" i="11" s="1"/>
  <c r="AS5" i="11" s="1"/>
  <c r="Q7" i="11"/>
  <c r="Y7" i="11" s="1"/>
  <c r="Q9" i="11"/>
  <c r="AQ9" i="11" s="1"/>
  <c r="AS9" i="11" s="1"/>
  <c r="Q11" i="11"/>
  <c r="Y11" i="11" s="1"/>
  <c r="Q13" i="11"/>
  <c r="AQ13" i="11" s="1"/>
  <c r="AS13" i="11" s="1"/>
  <c r="Q15" i="11"/>
  <c r="AQ15" i="11" s="1"/>
  <c r="AS15" i="11" s="1"/>
  <c r="Q17" i="11"/>
  <c r="AQ17" i="11" s="1"/>
  <c r="AS17" i="11" s="1"/>
  <c r="Q19" i="11"/>
  <c r="AQ19" i="11" s="1"/>
  <c r="AS19" i="11" s="1"/>
  <c r="Q21" i="11"/>
  <c r="AQ21" i="11" s="1"/>
  <c r="AS21" i="11" s="1"/>
  <c r="Q23" i="11"/>
  <c r="Y23" i="11" s="1"/>
  <c r="Q25" i="11"/>
  <c r="AQ25" i="11" s="1"/>
  <c r="AS25" i="11" s="1"/>
  <c r="Q27" i="11"/>
  <c r="Y27" i="11" s="1"/>
  <c r="Q29" i="11"/>
  <c r="AQ29" i="11" s="1"/>
  <c r="AS29" i="11" s="1"/>
  <c r="Q31" i="11"/>
  <c r="Y31" i="11" s="1"/>
  <c r="Q33" i="11"/>
  <c r="AQ33" i="11" s="1"/>
  <c r="AS33" i="11" s="1"/>
  <c r="AQ6" i="11"/>
  <c r="AS6" i="11" s="1"/>
  <c r="Y6" i="11"/>
  <c r="AQ8" i="11"/>
  <c r="AS8" i="11" s="1"/>
  <c r="Y10" i="11"/>
  <c r="Y12" i="11"/>
  <c r="AQ14" i="11"/>
  <c r="AS14" i="11" s="1"/>
  <c r="Y14" i="11"/>
  <c r="Y16" i="11"/>
  <c r="AQ18" i="11"/>
  <c r="AS18" i="11" s="1"/>
  <c r="AQ20" i="11"/>
  <c r="AS20" i="11" s="1"/>
  <c r="Y20" i="11"/>
  <c r="AQ22" i="11"/>
  <c r="AS22" i="11" s="1"/>
  <c r="AQ24" i="11"/>
  <c r="AS24" i="11" s="1"/>
  <c r="Y24" i="11"/>
  <c r="AQ26" i="11"/>
  <c r="AS26" i="11" s="1"/>
  <c r="AQ30" i="11"/>
  <c r="AS30" i="11" s="1"/>
  <c r="AQ34" i="11"/>
  <c r="AS34" i="11" s="1"/>
  <c r="Y21" i="11"/>
  <c r="Y25" i="11"/>
  <c r="Q4" i="11"/>
  <c r="G36" i="10"/>
  <c r="Q5" i="10"/>
  <c r="Y5" i="10" s="1"/>
  <c r="Q7" i="10"/>
  <c r="Y7" i="10" s="1"/>
  <c r="Q9" i="10"/>
  <c r="Y9" i="10" s="1"/>
  <c r="Q11" i="10"/>
  <c r="Y11" i="10" s="1"/>
  <c r="Q13" i="10"/>
  <c r="Y13" i="10" s="1"/>
  <c r="Q15" i="10"/>
  <c r="AQ15" i="10" s="1"/>
  <c r="AS15" i="10" s="1"/>
  <c r="Q17" i="10"/>
  <c r="Y17" i="10" s="1"/>
  <c r="Q19" i="10"/>
  <c r="Y19" i="10" s="1"/>
  <c r="Q21" i="10"/>
  <c r="Y21" i="10" s="1"/>
  <c r="Q23" i="10"/>
  <c r="Y23" i="10" s="1"/>
  <c r="Q25" i="10"/>
  <c r="Y25" i="10" s="1"/>
  <c r="Q27" i="10"/>
  <c r="Y27" i="10" s="1"/>
  <c r="Q29" i="10"/>
  <c r="Y29" i="10" s="1"/>
  <c r="Q31" i="10"/>
  <c r="AQ31" i="10" s="1"/>
  <c r="AS31" i="10" s="1"/>
  <c r="Q33" i="10"/>
  <c r="Y33" i="10" s="1"/>
  <c r="Q26" i="10"/>
  <c r="AQ26" i="10" s="1"/>
  <c r="AS26" i="10" s="1"/>
  <c r="Q28" i="10"/>
  <c r="AQ28" i="10" s="1"/>
  <c r="AS28" i="10" s="1"/>
  <c r="Q30" i="10"/>
  <c r="AQ30" i="10" s="1"/>
  <c r="AS30" i="10" s="1"/>
  <c r="Q32" i="10"/>
  <c r="Y32" i="10" s="1"/>
  <c r="Q34" i="10"/>
  <c r="AQ34" i="10" s="1"/>
  <c r="AS34" i="10" s="1"/>
  <c r="AQ5" i="10"/>
  <c r="AS5" i="10" s="1"/>
  <c r="AQ7" i="10"/>
  <c r="AS7" i="10" s="1"/>
  <c r="AQ9" i="10"/>
  <c r="AS9" i="10" s="1"/>
  <c r="AQ11" i="10"/>
  <c r="AS11" i="10" s="1"/>
  <c r="AQ17" i="10"/>
  <c r="AS17" i="10" s="1"/>
  <c r="AQ19" i="10"/>
  <c r="AS19" i="10" s="1"/>
  <c r="AQ21" i="10"/>
  <c r="AS21" i="10" s="1"/>
  <c r="Y26" i="10"/>
  <c r="F36" i="10"/>
  <c r="Q6" i="10"/>
  <c r="Q8" i="10"/>
  <c r="Q10" i="10"/>
  <c r="Q12" i="10"/>
  <c r="Q14" i="10"/>
  <c r="Q16" i="10"/>
  <c r="Q18" i="10"/>
  <c r="Q20" i="10"/>
  <c r="Q22" i="10"/>
  <c r="Q24" i="10"/>
  <c r="AQ27" i="10"/>
  <c r="AS27" i="10" s="1"/>
  <c r="AQ29" i="10"/>
  <c r="AS29" i="10" s="1"/>
  <c r="Q4" i="10"/>
  <c r="K37" i="7"/>
  <c r="AQ31" i="11" l="1"/>
  <c r="AS31" i="11" s="1"/>
  <c r="Y33" i="11"/>
  <c r="Y32" i="11"/>
  <c r="AQ28" i="11"/>
  <c r="AS28" i="11" s="1"/>
  <c r="AQ27" i="11"/>
  <c r="AS27" i="11" s="1"/>
  <c r="AQ23" i="11"/>
  <c r="AS23" i="11" s="1"/>
  <c r="Y15" i="11"/>
  <c r="Y29" i="11"/>
  <c r="Y19" i="11"/>
  <c r="Y17" i="11"/>
  <c r="Y13" i="11"/>
  <c r="AQ11" i="11"/>
  <c r="AS11" i="11" s="1"/>
  <c r="Y9" i="11"/>
  <c r="AQ7" i="11"/>
  <c r="AS7" i="11" s="1"/>
  <c r="Y5" i="11"/>
  <c r="AQ33" i="10"/>
  <c r="AS33" i="10" s="1"/>
  <c r="AQ25" i="10"/>
  <c r="AS25" i="10" s="1"/>
  <c r="AQ23" i="10"/>
  <c r="AS23" i="10" s="1"/>
  <c r="Y34" i="10"/>
  <c r="Y31" i="10"/>
  <c r="Y30" i="10"/>
  <c r="Y15" i="10"/>
  <c r="AQ13" i="10"/>
  <c r="AS13" i="10" s="1"/>
  <c r="AQ4" i="11"/>
  <c r="AS4" i="11" s="1"/>
  <c r="Y4" i="11"/>
  <c r="AQ32" i="10"/>
  <c r="AS32" i="10" s="1"/>
  <c r="Y28" i="10"/>
  <c r="AQ4" i="10"/>
  <c r="AS4" i="10" s="1"/>
  <c r="Y4" i="10"/>
  <c r="AQ22" i="10"/>
  <c r="AS22" i="10" s="1"/>
  <c r="Y22" i="10"/>
  <c r="AQ18" i="10"/>
  <c r="AS18" i="10" s="1"/>
  <c r="Y18" i="10"/>
  <c r="AQ14" i="10"/>
  <c r="AS14" i="10" s="1"/>
  <c r="Y14" i="10"/>
  <c r="AQ10" i="10"/>
  <c r="AS10" i="10" s="1"/>
  <c r="Y10" i="10"/>
  <c r="AQ6" i="10"/>
  <c r="AS6" i="10" s="1"/>
  <c r="Y6" i="10"/>
  <c r="AQ24" i="10"/>
  <c r="AS24" i="10" s="1"/>
  <c r="Y24" i="10"/>
  <c r="AQ20" i="10"/>
  <c r="AS20" i="10" s="1"/>
  <c r="Y20" i="10"/>
  <c r="AQ16" i="10"/>
  <c r="AS16" i="10" s="1"/>
  <c r="Y16" i="10"/>
  <c r="AQ12" i="10"/>
  <c r="AS12" i="10" s="1"/>
  <c r="Y12" i="10"/>
  <c r="AQ8" i="10"/>
  <c r="AS8" i="10" s="1"/>
  <c r="Y8" i="10"/>
  <c r="M37" i="7"/>
  <c r="H37" i="7"/>
  <c r="I37" i="7"/>
  <c r="J37" i="7"/>
  <c r="L37" i="7"/>
  <c r="AS35" i="11" l="1"/>
  <c r="AS35" i="10"/>
  <c r="D37" i="7"/>
  <c r="C37" i="7"/>
  <c r="B37" i="7"/>
  <c r="AL35" i="7"/>
  <c r="G35" i="7"/>
  <c r="F35" i="7"/>
  <c r="AL34" i="7"/>
  <c r="G34" i="7"/>
  <c r="F34" i="7"/>
  <c r="AL33" i="7"/>
  <c r="G33" i="7"/>
  <c r="F33" i="7"/>
  <c r="AL32" i="7"/>
  <c r="G32" i="7"/>
  <c r="F32" i="7"/>
  <c r="AL31" i="7"/>
  <c r="G31" i="7"/>
  <c r="F31" i="7"/>
  <c r="AL30" i="7"/>
  <c r="G30" i="7"/>
  <c r="F30" i="7"/>
  <c r="AL29" i="7"/>
  <c r="G29" i="7"/>
  <c r="F29" i="7"/>
  <c r="AL28" i="7"/>
  <c r="G28" i="7"/>
  <c r="F28" i="7"/>
  <c r="AL27" i="7"/>
  <c r="G27" i="7"/>
  <c r="F27" i="7"/>
  <c r="AL26" i="7"/>
  <c r="G26" i="7"/>
  <c r="F26" i="7"/>
  <c r="AL25" i="7"/>
  <c r="G25" i="7"/>
  <c r="F25" i="7"/>
  <c r="AL24" i="7"/>
  <c r="G24" i="7"/>
  <c r="F24" i="7"/>
  <c r="AL23" i="7"/>
  <c r="G23" i="7"/>
  <c r="F23" i="7"/>
  <c r="AL22" i="7"/>
  <c r="G22" i="7"/>
  <c r="F22" i="7"/>
  <c r="AL21" i="7"/>
  <c r="G21" i="7"/>
  <c r="F21" i="7"/>
  <c r="AL20" i="7"/>
  <c r="G20" i="7"/>
  <c r="F20" i="7"/>
  <c r="AL19" i="7"/>
  <c r="G19" i="7"/>
  <c r="F19" i="7"/>
  <c r="AL18" i="7"/>
  <c r="G18" i="7"/>
  <c r="F18" i="7"/>
  <c r="AL17" i="7"/>
  <c r="G17" i="7"/>
  <c r="F17" i="7"/>
  <c r="AL16" i="7"/>
  <c r="G16" i="7"/>
  <c r="F16" i="7"/>
  <c r="AL15" i="7"/>
  <c r="G15" i="7"/>
  <c r="F15" i="7"/>
  <c r="AL14" i="7"/>
  <c r="G14" i="7"/>
  <c r="F14" i="7"/>
  <c r="AL13" i="7"/>
  <c r="G13" i="7"/>
  <c r="F13" i="7"/>
  <c r="AL12" i="7"/>
  <c r="G12" i="7"/>
  <c r="F12" i="7"/>
  <c r="AL11" i="7"/>
  <c r="G11" i="7"/>
  <c r="F11" i="7"/>
  <c r="AL10" i="7"/>
  <c r="G10" i="7"/>
  <c r="F10" i="7"/>
  <c r="AL9" i="7"/>
  <c r="G9" i="7"/>
  <c r="F9" i="7"/>
  <c r="AL8" i="7"/>
  <c r="G8" i="7"/>
  <c r="F8" i="7"/>
  <c r="AL7" i="7"/>
  <c r="G7" i="7"/>
  <c r="F7" i="7"/>
  <c r="AL6" i="7"/>
  <c r="G6" i="7"/>
  <c r="F6" i="7"/>
  <c r="AL5" i="7"/>
  <c r="G5" i="7"/>
  <c r="F5" i="7"/>
  <c r="AL36" i="7" l="1"/>
  <c r="Q21" i="7"/>
  <c r="AQ21" i="7" s="1"/>
  <c r="AS21" i="7" s="1"/>
  <c r="Q33" i="7"/>
  <c r="AQ33" i="7" s="1"/>
  <c r="AS33" i="7" s="1"/>
  <c r="Q35" i="7"/>
  <c r="AQ35" i="7" s="1"/>
  <c r="AS35" i="7" s="1"/>
  <c r="Q26" i="7"/>
  <c r="AQ26" i="7" s="1"/>
  <c r="AS26" i="7" s="1"/>
  <c r="Q34" i="7"/>
  <c r="AQ34" i="7" s="1"/>
  <c r="AS34" i="7" s="1"/>
  <c r="Q25" i="7"/>
  <c r="Y25" i="7" s="1"/>
  <c r="Q19" i="7"/>
  <c r="Y19" i="7" s="1"/>
  <c r="Q11" i="7"/>
  <c r="Y11" i="7" s="1"/>
  <c r="Q9" i="7"/>
  <c r="AQ9" i="7" s="1"/>
  <c r="AS9" i="7" s="1"/>
  <c r="Q31" i="7"/>
  <c r="Y31" i="7" s="1"/>
  <c r="Q32" i="7"/>
  <c r="AQ32" i="7" s="1"/>
  <c r="AS32" i="7" s="1"/>
  <c r="Q30" i="7"/>
  <c r="Y30" i="7" s="1"/>
  <c r="Q29" i="7"/>
  <c r="AQ29" i="7" s="1"/>
  <c r="AS29" i="7" s="1"/>
  <c r="Q28" i="7"/>
  <c r="AQ28" i="7" s="1"/>
  <c r="AS28" i="7" s="1"/>
  <c r="Q27" i="7"/>
  <c r="AQ27" i="7" s="1"/>
  <c r="AS27" i="7" s="1"/>
  <c r="Q17" i="7"/>
  <c r="Y17" i="7" s="1"/>
  <c r="Q15" i="7"/>
  <c r="AQ15" i="7" s="1"/>
  <c r="AS15" i="7" s="1"/>
  <c r="Q13" i="7"/>
  <c r="AQ13" i="7" s="1"/>
  <c r="AS13" i="7" s="1"/>
  <c r="Q7" i="7"/>
  <c r="Y7" i="7" s="1"/>
  <c r="F37" i="7"/>
  <c r="Q23" i="7"/>
  <c r="Y23" i="7" s="1"/>
  <c r="G37" i="7"/>
  <c r="Q6" i="7"/>
  <c r="AQ6" i="7" s="1"/>
  <c r="AS6" i="7" s="1"/>
  <c r="Q8" i="7"/>
  <c r="AQ8" i="7" s="1"/>
  <c r="AS8" i="7" s="1"/>
  <c r="Q10" i="7"/>
  <c r="AQ10" i="7" s="1"/>
  <c r="AS10" i="7" s="1"/>
  <c r="Q12" i="7"/>
  <c r="AQ12" i="7" s="1"/>
  <c r="AS12" i="7" s="1"/>
  <c r="Q14" i="7"/>
  <c r="AQ14" i="7" s="1"/>
  <c r="AS14" i="7" s="1"/>
  <c r="Q16" i="7"/>
  <c r="AQ16" i="7" s="1"/>
  <c r="AS16" i="7" s="1"/>
  <c r="Q18" i="7"/>
  <c r="AQ18" i="7" s="1"/>
  <c r="AS18" i="7" s="1"/>
  <c r="Q20" i="7"/>
  <c r="AQ20" i="7" s="1"/>
  <c r="AS20" i="7" s="1"/>
  <c r="Q22" i="7"/>
  <c r="AQ22" i="7" s="1"/>
  <c r="AS22" i="7" s="1"/>
  <c r="Q24" i="7"/>
  <c r="AQ24" i="7" s="1"/>
  <c r="AS24" i="7" s="1"/>
  <c r="AQ7" i="7"/>
  <c r="AS7" i="7" s="1"/>
  <c r="AQ11" i="7"/>
  <c r="AS11" i="7" s="1"/>
  <c r="Y15" i="7"/>
  <c r="Y21" i="7"/>
  <c r="Y26" i="7"/>
  <c r="Y33" i="7"/>
  <c r="Y35" i="7"/>
  <c r="Q5" i="7"/>
  <c r="Y28" i="7"/>
  <c r="E37" i="6"/>
  <c r="D37" i="6"/>
  <c r="C37" i="6"/>
  <c r="AM35" i="6"/>
  <c r="H35" i="6"/>
  <c r="G35" i="6"/>
  <c r="AM34" i="6"/>
  <c r="H34" i="6"/>
  <c r="G34" i="6"/>
  <c r="AM33" i="6"/>
  <c r="H33" i="6"/>
  <c r="G33" i="6"/>
  <c r="AM32" i="6"/>
  <c r="H32" i="6"/>
  <c r="G32" i="6"/>
  <c r="AM31" i="6"/>
  <c r="H31" i="6"/>
  <c r="G31" i="6"/>
  <c r="AM30" i="6"/>
  <c r="H30" i="6"/>
  <c r="G30" i="6"/>
  <c r="R30" i="6" s="1"/>
  <c r="AM29" i="6"/>
  <c r="H29" i="6"/>
  <c r="G29" i="6"/>
  <c r="AM28" i="6"/>
  <c r="H28" i="6"/>
  <c r="G28" i="6"/>
  <c r="R28" i="6" s="1"/>
  <c r="AM27" i="6"/>
  <c r="H27" i="6"/>
  <c r="G27" i="6"/>
  <c r="AM26" i="6"/>
  <c r="H26" i="6"/>
  <c r="G26" i="6"/>
  <c r="R26" i="6" s="1"/>
  <c r="AR26" i="6" s="1"/>
  <c r="AT26" i="6" s="1"/>
  <c r="AM25" i="6"/>
  <c r="H25" i="6"/>
  <c r="G25" i="6"/>
  <c r="AM24" i="6"/>
  <c r="H24" i="6"/>
  <c r="G24" i="6"/>
  <c r="R24" i="6" s="1"/>
  <c r="AR24" i="6" s="1"/>
  <c r="AT24" i="6" s="1"/>
  <c r="AM23" i="6"/>
  <c r="H23" i="6"/>
  <c r="G23" i="6"/>
  <c r="AM22" i="6"/>
  <c r="H22" i="6"/>
  <c r="G22" i="6"/>
  <c r="R22" i="6" s="1"/>
  <c r="AR22" i="6" s="1"/>
  <c r="AT22" i="6" s="1"/>
  <c r="AM21" i="6"/>
  <c r="H21" i="6"/>
  <c r="G21" i="6"/>
  <c r="AM20" i="6"/>
  <c r="H20" i="6"/>
  <c r="G20" i="6"/>
  <c r="R20" i="6" s="1"/>
  <c r="AR20" i="6" s="1"/>
  <c r="AT20" i="6" s="1"/>
  <c r="AM19" i="6"/>
  <c r="H19" i="6"/>
  <c r="G19" i="6"/>
  <c r="AM18" i="6"/>
  <c r="H18" i="6"/>
  <c r="G18" i="6"/>
  <c r="AM17" i="6"/>
  <c r="H17" i="6"/>
  <c r="G17" i="6"/>
  <c r="AM16" i="6"/>
  <c r="H16" i="6"/>
  <c r="G16" i="6"/>
  <c r="AM15" i="6"/>
  <c r="H15" i="6"/>
  <c r="G15" i="6"/>
  <c r="AM14" i="6"/>
  <c r="H14" i="6"/>
  <c r="G14" i="6"/>
  <c r="AM13" i="6"/>
  <c r="H13" i="6"/>
  <c r="G13" i="6"/>
  <c r="AM12" i="6"/>
  <c r="H12" i="6"/>
  <c r="G12" i="6"/>
  <c r="R12" i="6" s="1"/>
  <c r="AR12" i="6" s="1"/>
  <c r="AT12" i="6" s="1"/>
  <c r="AM11" i="6"/>
  <c r="H11" i="6"/>
  <c r="G11" i="6"/>
  <c r="AM10" i="6"/>
  <c r="H10" i="6"/>
  <c r="G10" i="6"/>
  <c r="R10" i="6" s="1"/>
  <c r="AR10" i="6" s="1"/>
  <c r="AT10" i="6" s="1"/>
  <c r="AM9" i="6"/>
  <c r="H9" i="6"/>
  <c r="G9" i="6"/>
  <c r="AM8" i="6"/>
  <c r="H8" i="6"/>
  <c r="G8" i="6"/>
  <c r="AM7" i="6"/>
  <c r="H7" i="6"/>
  <c r="G7" i="6"/>
  <c r="AM6" i="6"/>
  <c r="H6" i="6"/>
  <c r="G6" i="6"/>
  <c r="AM5" i="6"/>
  <c r="H5" i="6"/>
  <c r="G5" i="6"/>
  <c r="R32" i="6" l="1"/>
  <c r="R34" i="6"/>
  <c r="Y32" i="7"/>
  <c r="Y14" i="7"/>
  <c r="Y10" i="7"/>
  <c r="Y34" i="7"/>
  <c r="Y20" i="7"/>
  <c r="Y12" i="7"/>
  <c r="AQ25" i="7"/>
  <c r="AS25" i="7" s="1"/>
  <c r="AQ19" i="7"/>
  <c r="AS19" i="7" s="1"/>
  <c r="AQ17" i="7"/>
  <c r="AS17" i="7" s="1"/>
  <c r="Y16" i="7"/>
  <c r="Y27" i="7"/>
  <c r="Y22" i="7"/>
  <c r="Y9" i="7"/>
  <c r="AQ23" i="7"/>
  <c r="AS23" i="7" s="1"/>
  <c r="Y13" i="7"/>
  <c r="Y29" i="7"/>
  <c r="Y18" i="7"/>
  <c r="Y8" i="7"/>
  <c r="Y6" i="7"/>
  <c r="AQ31" i="7"/>
  <c r="AS31" i="7" s="1"/>
  <c r="AQ30" i="7"/>
  <c r="AS30" i="7" s="1"/>
  <c r="Y24" i="7"/>
  <c r="AQ5" i="7"/>
  <c r="AS5" i="7" s="1"/>
  <c r="Y5" i="7"/>
  <c r="R18" i="6"/>
  <c r="AR18" i="6" s="1"/>
  <c r="AT18" i="6" s="1"/>
  <c r="R16" i="6"/>
  <c r="AR16" i="6" s="1"/>
  <c r="AT16" i="6" s="1"/>
  <c r="R14" i="6"/>
  <c r="AR14" i="6" s="1"/>
  <c r="AT14" i="6" s="1"/>
  <c r="R8" i="6"/>
  <c r="AR8" i="6" s="1"/>
  <c r="AT8" i="6" s="1"/>
  <c r="AM36" i="6"/>
  <c r="H37" i="6"/>
  <c r="R6" i="6"/>
  <c r="AR6" i="6" s="1"/>
  <c r="AT6" i="6" s="1"/>
  <c r="G37" i="6"/>
  <c r="R7" i="6"/>
  <c r="AR7" i="6" s="1"/>
  <c r="AT7" i="6" s="1"/>
  <c r="R9" i="6"/>
  <c r="Z9" i="6" s="1"/>
  <c r="R11" i="6"/>
  <c r="AR11" i="6" s="1"/>
  <c r="AT11" i="6" s="1"/>
  <c r="R13" i="6"/>
  <c r="Z13" i="6" s="1"/>
  <c r="R15" i="6"/>
  <c r="AR15" i="6" s="1"/>
  <c r="AT15" i="6" s="1"/>
  <c r="R17" i="6"/>
  <c r="Z17" i="6" s="1"/>
  <c r="R19" i="6"/>
  <c r="AR19" i="6" s="1"/>
  <c r="AT19" i="6" s="1"/>
  <c r="R21" i="6"/>
  <c r="Z21" i="6" s="1"/>
  <c r="R23" i="6"/>
  <c r="AR23" i="6" s="1"/>
  <c r="AT23" i="6" s="1"/>
  <c r="R25" i="6"/>
  <c r="R27" i="6"/>
  <c r="Z27" i="6" s="1"/>
  <c r="R29" i="6"/>
  <c r="R31" i="6"/>
  <c r="Z31" i="6" s="1"/>
  <c r="R33" i="6"/>
  <c r="R35" i="6"/>
  <c r="Z35" i="6" s="1"/>
  <c r="AR21" i="6"/>
  <c r="AT21" i="6" s="1"/>
  <c r="AR25" i="6"/>
  <c r="AT25" i="6" s="1"/>
  <c r="Z25" i="6"/>
  <c r="Z10" i="6"/>
  <c r="Z12" i="6"/>
  <c r="Z14" i="6"/>
  <c r="Z18" i="6"/>
  <c r="Z20" i="6"/>
  <c r="Z22" i="6"/>
  <c r="Z24" i="6"/>
  <c r="Z26" i="6"/>
  <c r="AR29" i="6"/>
  <c r="AT29" i="6" s="1"/>
  <c r="Z29" i="6"/>
  <c r="AR31" i="6"/>
  <c r="AT31" i="6" s="1"/>
  <c r="AR33" i="6"/>
  <c r="AT33" i="6" s="1"/>
  <c r="Z33" i="6"/>
  <c r="R5" i="6"/>
  <c r="AR28" i="6"/>
  <c r="AT28" i="6" s="1"/>
  <c r="Z28" i="6"/>
  <c r="AR30" i="6"/>
  <c r="AT30" i="6" s="1"/>
  <c r="Z30" i="6"/>
  <c r="AR32" i="6"/>
  <c r="AT32" i="6" s="1"/>
  <c r="Z32" i="6"/>
  <c r="AR34" i="6"/>
  <c r="AT34" i="6" s="1"/>
  <c r="Z34" i="6"/>
  <c r="AS36" i="7" l="1"/>
  <c r="Z19" i="6"/>
  <c r="AR17" i="6"/>
  <c r="AT17" i="6" s="1"/>
  <c r="Z16" i="6"/>
  <c r="AR13" i="6"/>
  <c r="AT13" i="6" s="1"/>
  <c r="AR9" i="6"/>
  <c r="AT9" i="6" s="1"/>
  <c r="Z8" i="6"/>
  <c r="Z11" i="6"/>
  <c r="Z6" i="6"/>
  <c r="AR35" i="6"/>
  <c r="AT35" i="6" s="1"/>
  <c r="AR27" i="6"/>
  <c r="AT27" i="6" s="1"/>
  <c r="Z23" i="6"/>
  <c r="Z15" i="6"/>
  <c r="Z7" i="6"/>
  <c r="AR5" i="6"/>
  <c r="AT5" i="6" s="1"/>
  <c r="Z5" i="6"/>
  <c r="AT36" i="6" l="1"/>
  <c r="G21" i="5"/>
  <c r="AM20" i="5" l="1"/>
  <c r="G22" i="5"/>
  <c r="H14" i="5"/>
  <c r="AM35" i="5"/>
  <c r="H35" i="5"/>
  <c r="G35" i="5"/>
  <c r="AM34" i="5"/>
  <c r="H34" i="5"/>
  <c r="G34" i="5"/>
  <c r="AM33" i="5"/>
  <c r="H33" i="5"/>
  <c r="G33" i="5"/>
  <c r="AM32" i="5"/>
  <c r="H32" i="5"/>
  <c r="G32" i="5"/>
  <c r="AM31" i="5"/>
  <c r="H31" i="5"/>
  <c r="G31" i="5"/>
  <c r="AM30" i="5"/>
  <c r="H30" i="5"/>
  <c r="G30" i="5"/>
  <c r="AM29" i="5"/>
  <c r="H29" i="5"/>
  <c r="G29" i="5"/>
  <c r="AM28" i="5"/>
  <c r="H28" i="5"/>
  <c r="G28" i="5"/>
  <c r="R28" i="5" s="1"/>
  <c r="AM27" i="5"/>
  <c r="H27" i="5"/>
  <c r="G27" i="5"/>
  <c r="AM26" i="5"/>
  <c r="H26" i="5"/>
  <c r="G26" i="5"/>
  <c r="AM25" i="5"/>
  <c r="H25" i="5"/>
  <c r="G25" i="5"/>
  <c r="AM24" i="5"/>
  <c r="H24" i="5"/>
  <c r="G24" i="5"/>
  <c r="AM23" i="5"/>
  <c r="H23" i="5"/>
  <c r="G23" i="5"/>
  <c r="AM22" i="5"/>
  <c r="H22" i="5"/>
  <c r="AM21" i="5"/>
  <c r="H21" i="5"/>
  <c r="R21" i="5" s="1"/>
  <c r="H20" i="5"/>
  <c r="G20" i="5"/>
  <c r="AM19" i="5"/>
  <c r="H19" i="5"/>
  <c r="G19" i="5"/>
  <c r="AM18" i="5"/>
  <c r="H18" i="5"/>
  <c r="G18" i="5"/>
  <c r="AM17" i="5"/>
  <c r="H17" i="5"/>
  <c r="G17" i="5"/>
  <c r="R17" i="5" s="1"/>
  <c r="AM16" i="5"/>
  <c r="H16" i="5"/>
  <c r="G16" i="5"/>
  <c r="AM15" i="5"/>
  <c r="H15" i="5"/>
  <c r="G15" i="5"/>
  <c r="AM14" i="5"/>
  <c r="G14" i="5"/>
  <c r="R14" i="5" s="1"/>
  <c r="AM13" i="5"/>
  <c r="H13" i="5"/>
  <c r="G13" i="5"/>
  <c r="AM12" i="5"/>
  <c r="H12" i="5"/>
  <c r="G12" i="5"/>
  <c r="AM11" i="5"/>
  <c r="H11" i="5"/>
  <c r="G11" i="5"/>
  <c r="AM10" i="5"/>
  <c r="H10" i="5"/>
  <c r="G10" i="5"/>
  <c r="AM9" i="5"/>
  <c r="H9" i="5"/>
  <c r="G9" i="5"/>
  <c r="AM8" i="5"/>
  <c r="H8" i="5"/>
  <c r="G8" i="5"/>
  <c r="AM7" i="5"/>
  <c r="H7" i="5"/>
  <c r="G7" i="5"/>
  <c r="AM6" i="5"/>
  <c r="H6" i="5"/>
  <c r="G6" i="5"/>
  <c r="AM5" i="5"/>
  <c r="H5" i="5"/>
  <c r="G5" i="5"/>
  <c r="R34" i="5" l="1"/>
  <c r="AR34" i="5" s="1"/>
  <c r="AT34" i="5" s="1"/>
  <c r="R26" i="5"/>
  <c r="Z26" i="5" s="1"/>
  <c r="R32" i="5"/>
  <c r="Z32" i="5" s="1"/>
  <c r="R30" i="5"/>
  <c r="Z30" i="5" s="1"/>
  <c r="R19" i="5"/>
  <c r="Z19" i="5" s="1"/>
  <c r="R22" i="5"/>
  <c r="Z22" i="5" s="1"/>
  <c r="AR14" i="5"/>
  <c r="AT14" i="5" s="1"/>
  <c r="AM36" i="5"/>
  <c r="R24" i="5"/>
  <c r="Z24" i="5" s="1"/>
  <c r="R5" i="5"/>
  <c r="AR5" i="5" s="1"/>
  <c r="AT5" i="5" s="1"/>
  <c r="R7" i="5"/>
  <c r="AR7" i="5" s="1"/>
  <c r="AT7" i="5" s="1"/>
  <c r="R9" i="5"/>
  <c r="AR9" i="5" s="1"/>
  <c r="AT9" i="5" s="1"/>
  <c r="R11" i="5"/>
  <c r="AR11" i="5" s="1"/>
  <c r="AT11" i="5" s="1"/>
  <c r="R13" i="5"/>
  <c r="AR13" i="5" s="1"/>
  <c r="AT13" i="5" s="1"/>
  <c r="Z14" i="5"/>
  <c r="R16" i="5"/>
  <c r="AR16" i="5" s="1"/>
  <c r="AT16" i="5" s="1"/>
  <c r="R6" i="5"/>
  <c r="Z6" i="5" s="1"/>
  <c r="R8" i="5"/>
  <c r="Z8" i="5" s="1"/>
  <c r="R10" i="5"/>
  <c r="Z10" i="5" s="1"/>
  <c r="R12" i="5"/>
  <c r="Z12" i="5" s="1"/>
  <c r="R15" i="5"/>
  <c r="Z15" i="5" s="1"/>
  <c r="R27" i="5"/>
  <c r="Z27" i="5" s="1"/>
  <c r="R29" i="5"/>
  <c r="AR29" i="5" s="1"/>
  <c r="AT29" i="5" s="1"/>
  <c r="R31" i="5"/>
  <c r="AR31" i="5" s="1"/>
  <c r="AT31" i="5" s="1"/>
  <c r="R33" i="5"/>
  <c r="AR33" i="5" s="1"/>
  <c r="AT33" i="5" s="1"/>
  <c r="R35" i="5"/>
  <c r="Z35" i="5" s="1"/>
  <c r="AR17" i="5"/>
  <c r="AT17" i="5" s="1"/>
  <c r="Z17" i="5"/>
  <c r="AR19" i="5"/>
  <c r="AT19" i="5" s="1"/>
  <c r="R18" i="5"/>
  <c r="R20" i="5"/>
  <c r="R23" i="5"/>
  <c r="R25" i="5"/>
  <c r="AR28" i="5"/>
  <c r="AT28" i="5" s="1"/>
  <c r="Z28" i="5"/>
  <c r="AR30" i="5"/>
  <c r="AT30" i="5" s="1"/>
  <c r="AR21" i="5"/>
  <c r="AT21" i="5" s="1"/>
  <c r="Z21" i="5"/>
  <c r="AR22" i="5"/>
  <c r="AT22" i="5" s="1"/>
  <c r="AR35" i="5" l="1"/>
  <c r="AT35" i="5" s="1"/>
  <c r="AR26" i="5"/>
  <c r="AT26" i="5" s="1"/>
  <c r="Z31" i="5"/>
  <c r="Z34" i="5"/>
  <c r="Z33" i="5"/>
  <c r="AR32" i="5"/>
  <c r="AT32" i="5" s="1"/>
  <c r="AR27" i="5"/>
  <c r="AT27" i="5" s="1"/>
  <c r="Z29" i="5"/>
  <c r="AR24" i="5"/>
  <c r="AT24" i="5" s="1"/>
  <c r="AR15" i="5"/>
  <c r="AT15" i="5" s="1"/>
  <c r="AR12" i="5"/>
  <c r="AT12" i="5" s="1"/>
  <c r="Z11" i="5"/>
  <c r="AR8" i="5"/>
  <c r="AT8" i="5" s="1"/>
  <c r="Z7" i="5"/>
  <c r="AR6" i="5"/>
  <c r="AT6" i="5" s="1"/>
  <c r="Z13" i="5"/>
  <c r="Z9" i="5"/>
  <c r="Z5" i="5"/>
  <c r="AR10" i="5"/>
  <c r="AT10" i="5" s="1"/>
  <c r="Z16" i="5"/>
  <c r="AR25" i="5"/>
  <c r="AT25" i="5" s="1"/>
  <c r="Z25" i="5"/>
  <c r="AR20" i="5"/>
  <c r="AT20" i="5" s="1"/>
  <c r="Z20" i="5"/>
  <c r="AR23" i="5"/>
  <c r="AT23" i="5" s="1"/>
  <c r="Z23" i="5"/>
  <c r="AR18" i="5"/>
  <c r="AT18" i="5" s="1"/>
  <c r="Z18" i="5"/>
  <c r="AT36" i="5" l="1"/>
  <c r="G25" i="4"/>
  <c r="F25" i="4"/>
  <c r="Q25" i="4" s="1"/>
  <c r="Y25" i="4" s="1"/>
  <c r="AL25" i="4" l="1"/>
  <c r="AQ25" i="4" s="1"/>
  <c r="AS25" i="4" s="1"/>
  <c r="G22" i="4"/>
  <c r="F22" i="4"/>
  <c r="G14" i="4"/>
  <c r="F14" i="4"/>
  <c r="F13" i="4"/>
  <c r="G12" i="4"/>
  <c r="F12" i="4"/>
  <c r="G11" i="4"/>
  <c r="F11" i="4"/>
  <c r="AL34" i="4"/>
  <c r="G34" i="4"/>
  <c r="F34" i="4"/>
  <c r="Q34" i="4" s="1"/>
  <c r="Y34" i="4" s="1"/>
  <c r="AL33" i="4"/>
  <c r="G33" i="4"/>
  <c r="F33" i="4"/>
  <c r="AL32" i="4"/>
  <c r="G32" i="4"/>
  <c r="F32" i="4"/>
  <c r="Q32" i="4" s="1"/>
  <c r="Y32" i="4" s="1"/>
  <c r="AL31" i="4"/>
  <c r="G31" i="4"/>
  <c r="F31" i="4"/>
  <c r="AL30" i="4"/>
  <c r="G30" i="4"/>
  <c r="F30" i="4"/>
  <c r="Q30" i="4" s="1"/>
  <c r="Y30" i="4" s="1"/>
  <c r="AL29" i="4"/>
  <c r="G29" i="4"/>
  <c r="F29" i="4"/>
  <c r="AL28" i="4"/>
  <c r="G28" i="4"/>
  <c r="F28" i="4"/>
  <c r="Q28" i="4" s="1"/>
  <c r="Y28" i="4" s="1"/>
  <c r="AL27" i="4"/>
  <c r="G27" i="4"/>
  <c r="F27" i="4"/>
  <c r="AL26" i="4"/>
  <c r="G26" i="4"/>
  <c r="F26" i="4"/>
  <c r="Q26" i="4" s="1"/>
  <c r="Y26" i="4" s="1"/>
  <c r="AL24" i="4"/>
  <c r="G24" i="4"/>
  <c r="F24" i="4"/>
  <c r="AL23" i="4"/>
  <c r="G23" i="4"/>
  <c r="F23" i="4"/>
  <c r="AL22" i="4"/>
  <c r="AL21" i="4"/>
  <c r="G21" i="4"/>
  <c r="AL20" i="4"/>
  <c r="G20" i="4"/>
  <c r="G19" i="4"/>
  <c r="F19" i="4"/>
  <c r="AL18" i="4"/>
  <c r="G18" i="4"/>
  <c r="F18" i="4"/>
  <c r="AL17" i="4"/>
  <c r="G17" i="4"/>
  <c r="F17" i="4"/>
  <c r="AL16" i="4"/>
  <c r="G16" i="4"/>
  <c r="F16" i="4"/>
  <c r="AL15" i="4"/>
  <c r="G15" i="4"/>
  <c r="F15" i="4"/>
  <c r="AL14" i="4"/>
  <c r="AL13" i="4"/>
  <c r="AL12" i="4"/>
  <c r="AL11" i="4"/>
  <c r="AL10" i="4"/>
  <c r="G10" i="4"/>
  <c r="F10" i="4"/>
  <c r="AL9" i="4"/>
  <c r="G9" i="4"/>
  <c r="F9" i="4"/>
  <c r="AL8" i="4"/>
  <c r="G8" i="4"/>
  <c r="F8" i="4"/>
  <c r="AL7" i="4"/>
  <c r="G7" i="4"/>
  <c r="F7" i="4"/>
  <c r="AL6" i="4"/>
  <c r="G6" i="4"/>
  <c r="F6" i="4"/>
  <c r="AL5" i="4"/>
  <c r="G5" i="4"/>
  <c r="F5" i="4"/>
  <c r="AL4" i="4"/>
  <c r="G4" i="4"/>
  <c r="F4" i="4"/>
  <c r="Q27" i="4" l="1"/>
  <c r="Y27" i="4" s="1"/>
  <c r="Q29" i="4"/>
  <c r="Y29" i="4" s="1"/>
  <c r="Q31" i="4"/>
  <c r="Y31" i="4" s="1"/>
  <c r="Q33" i="4"/>
  <c r="Y33" i="4" s="1"/>
  <c r="Q22" i="4"/>
  <c r="Y22" i="4" s="1"/>
  <c r="Q13" i="4"/>
  <c r="Y13" i="4" s="1"/>
  <c r="Q11" i="4"/>
  <c r="AQ11" i="4" s="1"/>
  <c r="AS11" i="4" s="1"/>
  <c r="AL35" i="4"/>
  <c r="AQ22" i="4"/>
  <c r="AS22" i="4" s="1"/>
  <c r="Q4" i="4"/>
  <c r="AQ4" i="4" s="1"/>
  <c r="AS4" i="4" s="1"/>
  <c r="Q6" i="4"/>
  <c r="AQ6" i="4" s="1"/>
  <c r="AS6" i="4" s="1"/>
  <c r="Q8" i="4"/>
  <c r="AQ8" i="4" s="1"/>
  <c r="AS8" i="4" s="1"/>
  <c r="Q10" i="4"/>
  <c r="AQ10" i="4" s="1"/>
  <c r="AS10" i="4" s="1"/>
  <c r="Q14" i="4"/>
  <c r="AQ14" i="4" s="1"/>
  <c r="AS14" i="4" s="1"/>
  <c r="Q16" i="4"/>
  <c r="AQ16" i="4" s="1"/>
  <c r="AS16" i="4" s="1"/>
  <c r="Q18" i="4"/>
  <c r="AQ18" i="4" s="1"/>
  <c r="AS18" i="4" s="1"/>
  <c r="Q20" i="4"/>
  <c r="AQ20" i="4" s="1"/>
  <c r="AS20" i="4" s="1"/>
  <c r="Q23" i="4"/>
  <c r="AQ23" i="4" s="1"/>
  <c r="AS23" i="4" s="1"/>
  <c r="AQ29" i="4"/>
  <c r="AS29" i="4" s="1"/>
  <c r="AQ33" i="4"/>
  <c r="AS33" i="4" s="1"/>
  <c r="Q5" i="4"/>
  <c r="AQ5" i="4" s="1"/>
  <c r="AS5" i="4" s="1"/>
  <c r="Q7" i="4"/>
  <c r="AQ7" i="4" s="1"/>
  <c r="AS7" i="4" s="1"/>
  <c r="Q9" i="4"/>
  <c r="AQ9" i="4" s="1"/>
  <c r="AS9" i="4" s="1"/>
  <c r="Q12" i="4"/>
  <c r="AQ12" i="4" s="1"/>
  <c r="AS12" i="4" s="1"/>
  <c r="Q15" i="4"/>
  <c r="AQ15" i="4" s="1"/>
  <c r="AS15" i="4" s="1"/>
  <c r="Q17" i="4"/>
  <c r="AQ17" i="4" s="1"/>
  <c r="AS17" i="4" s="1"/>
  <c r="Q19" i="4"/>
  <c r="AQ19" i="4" s="1"/>
  <c r="AS19" i="4" s="1"/>
  <c r="Q21" i="4"/>
  <c r="Y21" i="4" s="1"/>
  <c r="AQ26" i="4"/>
  <c r="AS26" i="4" s="1"/>
  <c r="AQ21" i="4"/>
  <c r="AS21" i="4" s="1"/>
  <c r="AQ27" i="4"/>
  <c r="AS27" i="4" s="1"/>
  <c r="Q24" i="4"/>
  <c r="AQ34" i="4"/>
  <c r="AS34" i="4" s="1"/>
  <c r="G34" i="3"/>
  <c r="F34" i="3"/>
  <c r="G33" i="3"/>
  <c r="Q33" i="3" s="1"/>
  <c r="F33" i="3"/>
  <c r="G32" i="3"/>
  <c r="Q32" i="3" s="1"/>
  <c r="F32" i="3"/>
  <c r="G31" i="3"/>
  <c r="F31" i="3"/>
  <c r="G30" i="3"/>
  <c r="F30" i="3"/>
  <c r="G29" i="3"/>
  <c r="Q29" i="3" s="1"/>
  <c r="F29" i="3"/>
  <c r="G28" i="3"/>
  <c r="F28" i="3"/>
  <c r="G27" i="3"/>
  <c r="F27" i="3"/>
  <c r="G26" i="3"/>
  <c r="F26" i="3"/>
  <c r="G25" i="3"/>
  <c r="F25" i="3"/>
  <c r="G24" i="3"/>
  <c r="Q24" i="3" s="1"/>
  <c r="F24" i="3"/>
  <c r="G23" i="3"/>
  <c r="Q23" i="3" s="1"/>
  <c r="F23" i="3"/>
  <c r="G21" i="3"/>
  <c r="F21" i="3"/>
  <c r="G20" i="3"/>
  <c r="F20" i="3"/>
  <c r="G19" i="3"/>
  <c r="F19" i="3"/>
  <c r="G18" i="3"/>
  <c r="Q18" i="3" s="1"/>
  <c r="F18" i="3"/>
  <c r="G17" i="3"/>
  <c r="F17" i="3"/>
  <c r="G16" i="3"/>
  <c r="F16" i="3"/>
  <c r="G15" i="3"/>
  <c r="Q15" i="3" s="1"/>
  <c r="F15" i="3"/>
  <c r="G14" i="3"/>
  <c r="F14" i="3"/>
  <c r="G12" i="3"/>
  <c r="F12" i="3"/>
  <c r="G10" i="3"/>
  <c r="F10" i="3"/>
  <c r="G9" i="3"/>
  <c r="Q9" i="3" s="1"/>
  <c r="F9" i="3"/>
  <c r="G8" i="3"/>
  <c r="F8" i="3"/>
  <c r="G7" i="3"/>
  <c r="F7" i="3"/>
  <c r="G6" i="3"/>
  <c r="F6" i="3"/>
  <c r="G5" i="3"/>
  <c r="F5" i="3"/>
  <c r="G4" i="3"/>
  <c r="F4" i="3"/>
  <c r="AL34" i="3"/>
  <c r="AL33" i="3"/>
  <c r="AL32" i="3"/>
  <c r="AL31" i="3"/>
  <c r="AL30" i="3"/>
  <c r="Q30" i="3"/>
  <c r="AL29" i="3"/>
  <c r="AL28" i="3"/>
  <c r="Q28" i="3"/>
  <c r="AL27" i="3"/>
  <c r="Q27" i="3"/>
  <c r="AL26" i="3"/>
  <c r="AL25" i="3"/>
  <c r="AL24" i="3"/>
  <c r="AL23" i="3"/>
  <c r="AL22" i="3"/>
  <c r="AL21" i="3"/>
  <c r="AL20" i="3"/>
  <c r="Q20" i="3"/>
  <c r="AQ20" i="3" s="1"/>
  <c r="AS20" i="3" s="1"/>
  <c r="AL19" i="3"/>
  <c r="AL18" i="3"/>
  <c r="AL17" i="3"/>
  <c r="AL16" i="3"/>
  <c r="AL15" i="3"/>
  <c r="AL14" i="3"/>
  <c r="AL13" i="3"/>
  <c r="AL12" i="3"/>
  <c r="Q12" i="3"/>
  <c r="AL11" i="3"/>
  <c r="Q11" i="3"/>
  <c r="AL10" i="3"/>
  <c r="AL9" i="3"/>
  <c r="AL8" i="3"/>
  <c r="AL7" i="3"/>
  <c r="AL6" i="3"/>
  <c r="AL5" i="3"/>
  <c r="AL4" i="3"/>
  <c r="Q4" i="3"/>
  <c r="AQ18" i="3" l="1"/>
  <c r="AS18" i="3" s="1"/>
  <c r="AQ24" i="3"/>
  <c r="AS24" i="3" s="1"/>
  <c r="Q34" i="3"/>
  <c r="AQ12" i="3"/>
  <c r="AS12" i="3" s="1"/>
  <c r="AQ30" i="4"/>
  <c r="AS30" i="4" s="1"/>
  <c r="AQ13" i="4"/>
  <c r="AS13" i="4" s="1"/>
  <c r="AS35" i="4" s="1"/>
  <c r="AQ28" i="4"/>
  <c r="AS28" i="4" s="1"/>
  <c r="AQ31" i="4"/>
  <c r="AS31" i="4" s="1"/>
  <c r="Y23" i="4"/>
  <c r="Y19" i="4"/>
  <c r="Y18" i="4"/>
  <c r="Y17" i="4"/>
  <c r="Y15" i="4"/>
  <c r="Y14" i="4"/>
  <c r="Y11" i="4"/>
  <c r="Y8" i="4"/>
  <c r="Y9" i="4"/>
  <c r="Y5" i="4"/>
  <c r="Y4" i="4"/>
  <c r="AQ32" i="4"/>
  <c r="AS32" i="4" s="1"/>
  <c r="Y20" i="4"/>
  <c r="Y16" i="4"/>
  <c r="Y12" i="4"/>
  <c r="Y7" i="4"/>
  <c r="Y10" i="4"/>
  <c r="Y6" i="4"/>
  <c r="AQ24" i="4"/>
  <c r="AS24" i="4" s="1"/>
  <c r="Y24" i="4"/>
  <c r="Q31" i="3"/>
  <c r="Y31" i="3" s="1"/>
  <c r="Q26" i="3"/>
  <c r="AQ26" i="3" s="1"/>
  <c r="AS26" i="3" s="1"/>
  <c r="Q25" i="3"/>
  <c r="AQ25" i="3" s="1"/>
  <c r="AS25" i="3" s="1"/>
  <c r="Q22" i="3"/>
  <c r="AQ22" i="3" s="1"/>
  <c r="AS22" i="3" s="1"/>
  <c r="Q21" i="3"/>
  <c r="Y21" i="3" s="1"/>
  <c r="Q19" i="3"/>
  <c r="Y19" i="3" s="1"/>
  <c r="Q17" i="3"/>
  <c r="Y17" i="3" s="1"/>
  <c r="Q16" i="3"/>
  <c r="AQ16" i="3" s="1"/>
  <c r="AS16" i="3" s="1"/>
  <c r="Q14" i="3"/>
  <c r="AQ14" i="3" s="1"/>
  <c r="AS14" i="3" s="1"/>
  <c r="Q13" i="3"/>
  <c r="AQ13" i="3" s="1"/>
  <c r="AS13" i="3" s="1"/>
  <c r="Q10" i="3"/>
  <c r="AQ10" i="3" s="1"/>
  <c r="AS10" i="3" s="1"/>
  <c r="Q8" i="3"/>
  <c r="AQ8" i="3" s="1"/>
  <c r="AS8" i="3" s="1"/>
  <c r="Q6" i="3"/>
  <c r="AQ6" i="3" s="1"/>
  <c r="AS6" i="3" s="1"/>
  <c r="Q5" i="3"/>
  <c r="AQ5" i="3" s="1"/>
  <c r="AS5" i="3" s="1"/>
  <c r="AQ4" i="3"/>
  <c r="AS4" i="3" s="1"/>
  <c r="AL35" i="3"/>
  <c r="AQ9" i="3"/>
  <c r="AS9" i="3" s="1"/>
  <c r="Y9" i="3"/>
  <c r="AQ11" i="3"/>
  <c r="AS11" i="3" s="1"/>
  <c r="Y11" i="3"/>
  <c r="AQ15" i="3"/>
  <c r="AS15" i="3" s="1"/>
  <c r="Y15" i="3"/>
  <c r="AQ23" i="3"/>
  <c r="AS23" i="3" s="1"/>
  <c r="Y23" i="3"/>
  <c r="Y4" i="3"/>
  <c r="Y12" i="3"/>
  <c r="Y18" i="3"/>
  <c r="Y20" i="3"/>
  <c r="Y24" i="3"/>
  <c r="Y25" i="3"/>
  <c r="AQ27" i="3"/>
  <c r="AS27" i="3" s="1"/>
  <c r="Y27" i="3"/>
  <c r="AQ29" i="3"/>
  <c r="AS29" i="3" s="1"/>
  <c r="Y29" i="3"/>
  <c r="AQ33" i="3"/>
  <c r="AS33" i="3" s="1"/>
  <c r="Y33" i="3"/>
  <c r="AQ28" i="3"/>
  <c r="AS28" i="3" s="1"/>
  <c r="Y28" i="3"/>
  <c r="AQ30" i="3"/>
  <c r="AS30" i="3" s="1"/>
  <c r="Y30" i="3"/>
  <c r="AQ32" i="3"/>
  <c r="AS32" i="3" s="1"/>
  <c r="Y32" i="3"/>
  <c r="AQ34" i="3"/>
  <c r="AS34" i="3" s="1"/>
  <c r="Y34" i="3"/>
  <c r="AL26" i="2"/>
  <c r="G26" i="2"/>
  <c r="F26" i="2"/>
  <c r="Q26" i="2" s="1"/>
  <c r="Y26" i="2" s="1"/>
  <c r="AQ31" i="3" l="1"/>
  <c r="AS31" i="3" s="1"/>
  <c r="Y26" i="3"/>
  <c r="Y22" i="3"/>
  <c r="AQ21" i="3"/>
  <c r="AS21" i="3" s="1"/>
  <c r="AQ19" i="3"/>
  <c r="AS19" i="3" s="1"/>
  <c r="AQ17" i="3"/>
  <c r="AS17" i="3" s="1"/>
  <c r="Y16" i="3"/>
  <c r="Y14" i="3"/>
  <c r="Y13" i="3"/>
  <c r="Y10" i="3"/>
  <c r="Y8" i="3"/>
  <c r="Y6" i="3"/>
  <c r="Y5" i="3"/>
  <c r="AQ26" i="2"/>
  <c r="AS26" i="2" s="1"/>
  <c r="G13" i="2"/>
  <c r="G14" i="2"/>
  <c r="F13" i="2"/>
  <c r="F14" i="2"/>
  <c r="F15" i="2"/>
  <c r="Q13" i="2" l="1"/>
  <c r="F4" i="2"/>
  <c r="F5" i="2"/>
  <c r="F6" i="2"/>
  <c r="F7" i="2"/>
  <c r="F8" i="2"/>
  <c r="F9" i="2"/>
  <c r="F10" i="2"/>
  <c r="F11" i="2"/>
  <c r="F12" i="2"/>
  <c r="F16" i="2"/>
  <c r="F17" i="2"/>
  <c r="F18" i="2"/>
  <c r="F19" i="2"/>
  <c r="F20" i="2"/>
  <c r="F21" i="2"/>
  <c r="F22" i="2"/>
  <c r="F23" i="2"/>
  <c r="F24" i="2"/>
  <c r="F25" i="2"/>
  <c r="F27" i="2"/>
  <c r="F28" i="2"/>
  <c r="F29" i="2"/>
  <c r="F30" i="2"/>
  <c r="F31" i="2"/>
  <c r="F32" i="2"/>
  <c r="F33" i="2"/>
  <c r="F34" i="2"/>
  <c r="G4" i="2"/>
  <c r="G5" i="2"/>
  <c r="G6" i="2"/>
  <c r="G7" i="2"/>
  <c r="G8" i="2"/>
  <c r="G9" i="2"/>
  <c r="G10" i="2"/>
  <c r="G11" i="2"/>
  <c r="G12" i="2"/>
  <c r="G15" i="2"/>
  <c r="G16" i="2"/>
  <c r="G17" i="2"/>
  <c r="G18" i="2"/>
  <c r="G19" i="2"/>
  <c r="G20" i="2"/>
  <c r="G21" i="2"/>
  <c r="G22" i="2"/>
  <c r="G23" i="2"/>
  <c r="G24" i="2"/>
  <c r="G25" i="2"/>
  <c r="G27" i="2"/>
  <c r="G28" i="2"/>
  <c r="G29" i="2"/>
  <c r="G30" i="2"/>
  <c r="G31" i="2"/>
  <c r="G32" i="2"/>
  <c r="G33" i="2"/>
  <c r="G34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7" i="2"/>
  <c r="AL28" i="2"/>
  <c r="AL29" i="2"/>
  <c r="AL30" i="2"/>
  <c r="AL31" i="2"/>
  <c r="AL32" i="2"/>
  <c r="AL33" i="2"/>
  <c r="AL34" i="2"/>
  <c r="Q4" i="2" l="1"/>
  <c r="Y4" i="2" s="1"/>
  <c r="AQ13" i="2"/>
  <c r="AS13" i="2" s="1"/>
  <c r="Q31" i="2"/>
  <c r="Y31" i="2" s="1"/>
  <c r="Q30" i="2"/>
  <c r="Q14" i="2"/>
  <c r="AQ14" i="2" s="1"/>
  <c r="AS14" i="2" s="1"/>
  <c r="Q33" i="2"/>
  <c r="Q27" i="2"/>
  <c r="Q19" i="2"/>
  <c r="AQ19" i="2" s="1"/>
  <c r="Q28" i="2"/>
  <c r="Q20" i="2"/>
  <c r="AQ20" i="2" s="1"/>
  <c r="Q25" i="2"/>
  <c r="Q17" i="2"/>
  <c r="AQ17" i="2" s="1"/>
  <c r="Q8" i="2"/>
  <c r="AQ8" i="2" s="1"/>
  <c r="Q23" i="2"/>
  <c r="Q18" i="2"/>
  <c r="AQ18" i="2" s="1"/>
  <c r="Q22" i="2"/>
  <c r="AQ22" i="2" s="1"/>
  <c r="Q34" i="2"/>
  <c r="Q29" i="2"/>
  <c r="Q21" i="2"/>
  <c r="AQ21" i="2" s="1"/>
  <c r="Q32" i="2"/>
  <c r="Q24" i="2"/>
  <c r="AQ24" i="2" s="1"/>
  <c r="AS24" i="2" s="1"/>
  <c r="Q16" i="2"/>
  <c r="AQ16" i="2" s="1"/>
  <c r="Q7" i="2"/>
  <c r="AQ7" i="2" s="1"/>
  <c r="Q15" i="2"/>
  <c r="AQ15" i="2" s="1"/>
  <c r="Q6" i="2"/>
  <c r="AQ6" i="2" s="1"/>
  <c r="Q5" i="2"/>
  <c r="AQ5" i="2" s="1"/>
  <c r="Q12" i="2"/>
  <c r="AQ12" i="2" s="1"/>
  <c r="Q9" i="2"/>
  <c r="AQ9" i="2" s="1"/>
  <c r="Q11" i="2"/>
  <c r="AQ11" i="2" s="1"/>
  <c r="Q10" i="2"/>
  <c r="AQ10" i="2" s="1"/>
  <c r="Y13" i="2"/>
  <c r="AQ32" i="2" l="1"/>
  <c r="Y32" i="2"/>
  <c r="AQ29" i="2"/>
  <c r="Y29" i="2"/>
  <c r="AQ33" i="2"/>
  <c r="AS33" i="2" s="1"/>
  <c r="Y33" i="2"/>
  <c r="AQ30" i="2"/>
  <c r="Y30" i="2"/>
  <c r="AQ34" i="2"/>
  <c r="Y34" i="2"/>
  <c r="AQ25" i="2"/>
  <c r="Y25" i="2"/>
  <c r="AQ28" i="2"/>
  <c r="AS28" i="2" s="1"/>
  <c r="Y28" i="2"/>
  <c r="AQ27" i="2"/>
  <c r="AS27" i="2" s="1"/>
  <c r="Y27" i="2"/>
  <c r="AQ4" i="2"/>
  <c r="AS4" i="2" s="1"/>
  <c r="AQ23" i="2"/>
  <c r="AS23" i="2" s="1"/>
  <c r="AQ31" i="2"/>
  <c r="AS31" i="2" s="1"/>
  <c r="Y16" i="2"/>
  <c r="Y14" i="2"/>
  <c r="Y20" i="2"/>
  <c r="AS25" i="2"/>
  <c r="AS9" i="2"/>
  <c r="Y9" i="2"/>
  <c r="Y23" i="2"/>
  <c r="Y19" i="2"/>
  <c r="Y8" i="2"/>
  <c r="AS15" i="2"/>
  <c r="Y7" i="2"/>
  <c r="AS7" i="2"/>
  <c r="AS21" i="2"/>
  <c r="AS17" i="2"/>
  <c r="Y24" i="2"/>
  <c r="AS5" i="2"/>
  <c r="AS29" i="2"/>
  <c r="Y10" i="2"/>
  <c r="AS10" i="2"/>
  <c r="Y18" i="2"/>
  <c r="AS18" i="2"/>
  <c r="AS11" i="2"/>
  <c r="Y22" i="2"/>
  <c r="Y6" i="2"/>
  <c r="AS6" i="2"/>
  <c r="AS34" i="2"/>
  <c r="Y5" i="2"/>
  <c r="Y11" i="2"/>
  <c r="AS30" i="2"/>
  <c r="AS22" i="2"/>
  <c r="AS16" i="2"/>
  <c r="Y17" i="2"/>
  <c r="AS32" i="2"/>
  <c r="Y12" i="2"/>
  <c r="AS12" i="2"/>
  <c r="AS19" i="2"/>
  <c r="Y21" i="2"/>
  <c r="Y15" i="2"/>
  <c r="AS20" i="2"/>
  <c r="AS8" i="2"/>
  <c r="AS35" i="2" l="1"/>
  <c r="AL35" i="2"/>
  <c r="Q7" i="3"/>
  <c r="Y7" i="3" s="1"/>
  <c r="AQ7" i="3" l="1"/>
  <c r="AS7" i="3" s="1"/>
  <c r="AS35" i="3" s="1"/>
</calcChain>
</file>

<file path=xl/sharedStrings.xml><?xml version="1.0" encoding="utf-8"?>
<sst xmlns="http://schemas.openxmlformats.org/spreadsheetml/2006/main" count="1222" uniqueCount="187">
  <si>
    <t>DATE</t>
  </si>
  <si>
    <t>PMS</t>
  </si>
  <si>
    <t>AGO</t>
  </si>
  <si>
    <t>TOTAL</t>
  </si>
  <si>
    <t>TBA (UGX)</t>
  </si>
  <si>
    <t>FUEL SALES VOL</t>
  </si>
  <si>
    <t>FUEL SALES UGX</t>
  </si>
  <si>
    <t>LUBES SALES</t>
  </si>
  <si>
    <t>LPG SALES</t>
  </si>
  <si>
    <t>Ltrs</t>
  </si>
  <si>
    <t>UGX</t>
  </si>
  <si>
    <t>KGS</t>
  </si>
  <si>
    <t>FUEL Prices</t>
  </si>
  <si>
    <t>EXPENSES</t>
  </si>
  <si>
    <t>INVOICES</t>
  </si>
  <si>
    <t>OTHER INCOMES</t>
  </si>
  <si>
    <t>UMEME</t>
  </si>
  <si>
    <t>WATER</t>
  </si>
  <si>
    <t>SECURITY</t>
  </si>
  <si>
    <t>STATIONARY</t>
  </si>
  <si>
    <t>GENERATOR</t>
  </si>
  <si>
    <t>MEALS</t>
  </si>
  <si>
    <t>TRANSPORT</t>
  </si>
  <si>
    <t>SALARIES</t>
  </si>
  <si>
    <t>SANITARY</t>
  </si>
  <si>
    <t>AIRTIME</t>
  </si>
  <si>
    <t>MISC.</t>
  </si>
  <si>
    <t>SHOP SALES</t>
  </si>
  <si>
    <t>TYRE</t>
  </si>
  <si>
    <t>OTHER STOCK PURCHASES</t>
  </si>
  <si>
    <t>TBA</t>
  </si>
  <si>
    <t>LPG ACC.</t>
  </si>
  <si>
    <t>SHOP PURCHASE</t>
  </si>
  <si>
    <t>C          A          S          H                    O          U          T</t>
  </si>
  <si>
    <t>TOTAL 
EXPENSES</t>
  </si>
  <si>
    <t>PLUS CARD CREDITS</t>
  </si>
  <si>
    <t>PLUS CARD SALES</t>
  </si>
  <si>
    <t>VISA</t>
  </si>
  <si>
    <t>AIRTEL PAY</t>
  </si>
  <si>
    <t>MOMO PAY</t>
  </si>
  <si>
    <t>PAYEMENT</t>
  </si>
  <si>
    <t>SHOP PACKAGING</t>
  </si>
  <si>
    <t>CASH TO BANK</t>
  </si>
  <si>
    <t>Delta</t>
  </si>
  <si>
    <t>ACTUAL CASH
 BANKED</t>
  </si>
  <si>
    <t>T       O       T       A       L                           S       A       L       E       S</t>
  </si>
  <si>
    <t>C   A   S   H   L   E   S   S       S   A   L   E   S</t>
  </si>
  <si>
    <t>OTHER E-PAYMENTS</t>
  </si>
  <si>
    <t>TOTAL  CASH</t>
  </si>
  <si>
    <t>DEBTORS
(Credit Sales)</t>
  </si>
  <si>
    <t>9/31/2022</t>
  </si>
  <si>
    <t>OTHERS /guitchet</t>
  </si>
  <si>
    <t>ACCESORY</t>
  </si>
  <si>
    <t>MISC./vat</t>
  </si>
  <si>
    <t>GENERATOR/SERVICE</t>
  </si>
  <si>
    <t>UMEME/ Nssf</t>
  </si>
  <si>
    <t xml:space="preserve">                    </t>
  </si>
  <si>
    <t>11/31/2022</t>
  </si>
  <si>
    <t>MEALS/ mantance</t>
  </si>
  <si>
    <t xml:space="preserve">                                     </t>
  </si>
  <si>
    <t>rtt OTHERS /guitchet</t>
  </si>
  <si>
    <t>Maintain/ UMEME/ Nssf</t>
  </si>
  <si>
    <t xml:space="preserve"> </t>
  </si>
  <si>
    <t xml:space="preserve">    </t>
  </si>
  <si>
    <t>/vat/INCOME TAX</t>
  </si>
  <si>
    <t xml:space="preserve">  </t>
  </si>
  <si>
    <t>6/31/2023</t>
  </si>
  <si>
    <t>SHOP</t>
  </si>
  <si>
    <t>9/31/2023</t>
  </si>
  <si>
    <t>11/31/2023</t>
  </si>
  <si>
    <t>1/12/202</t>
  </si>
  <si>
    <t>1/20/204</t>
  </si>
  <si>
    <t>2/12/202</t>
  </si>
  <si>
    <t>2/20/204</t>
  </si>
  <si>
    <t>2/30/2024</t>
  </si>
  <si>
    <t>2/31/2024</t>
  </si>
  <si>
    <t>45,25</t>
  </si>
  <si>
    <t>LPG SALES [ refills]</t>
  </si>
  <si>
    <t>3/12/202</t>
  </si>
  <si>
    <t>3/20/204</t>
  </si>
  <si>
    <t>\</t>
  </si>
  <si>
    <t>4/31/2024</t>
  </si>
  <si>
    <t>6/31/2024</t>
  </si>
  <si>
    <t>9/31/2024</t>
  </si>
  <si>
    <t>11/31/2024</t>
  </si>
  <si>
    <t>2/31/2025</t>
  </si>
  <si>
    <t>2/30/2025</t>
  </si>
  <si>
    <t>2/29/2025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</si>
  <si>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</si>
  <si>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4/31/2025</t>
  </si>
  <si>
    <t>6/31/2025</t>
  </si>
  <si>
    <t>TARGETS</t>
  </si>
  <si>
    <t xml:space="preserve">                         -47741985/3250./852*/825258/8520.</t>
  </si>
  <si>
    <t>9/31/2025</t>
  </si>
  <si>
    <t>11/31/2025</t>
  </si>
  <si>
    <t xml:space="preserve"> 12/5/2025</t>
  </si>
  <si>
    <t xml:space="preserve"> 12/12/2025</t>
  </si>
  <si>
    <t xml:space="preserve"> 12/11/2025</t>
  </si>
  <si>
    <t xml:space="preserve"> 12/10/2025</t>
  </si>
  <si>
    <t xml:space="preserve"> 12/8/2025</t>
  </si>
  <si>
    <t xml:space="preserve"> 12/9/2025</t>
  </si>
  <si>
    <t xml:space="preserve"> 12/7/2025</t>
  </si>
  <si>
    <t xml:space="preserve"> 12/6/2025</t>
  </si>
  <si>
    <t xml:space="preserve"> 12/4/2025</t>
  </si>
  <si>
    <t xml:space="preserve"> 12/3/2025</t>
  </si>
  <si>
    <t xml:space="preserve"> 12/2/2025</t>
  </si>
  <si>
    <t xml:space="preserve"> 12/1/2025</t>
  </si>
  <si>
    <t xml:space="preserve"> 12/13/2025</t>
  </si>
  <si>
    <t xml:space="preserve"> 12/14/2025</t>
  </si>
  <si>
    <t xml:space="preserve"> 12/15/2025</t>
  </si>
  <si>
    <t xml:space="preserve"> 12/16/2025</t>
  </si>
  <si>
    <t xml:space="preserve"> 12/17/2025</t>
  </si>
  <si>
    <t xml:space="preserve"> 12/18/2025</t>
  </si>
  <si>
    <t xml:space="preserve"> 19/12/2025</t>
  </si>
  <si>
    <t xml:space="preserve"> 20/12/2025</t>
  </si>
  <si>
    <t xml:space="preserve"> 21/12/2025</t>
  </si>
  <si>
    <t xml:space="preserve"> 22/12/2025</t>
  </si>
  <si>
    <t xml:space="preserve"> 23/12/2025</t>
  </si>
  <si>
    <t xml:space="preserve"> 24/12/2025</t>
  </si>
  <si>
    <t xml:space="preserve"> 25/12/2025</t>
  </si>
  <si>
    <t xml:space="preserve"> 26/12/2025</t>
  </si>
  <si>
    <t xml:space="preserve"> 27/12/2025</t>
  </si>
  <si>
    <t xml:space="preserve"> 28/12/2025</t>
  </si>
  <si>
    <t xml:space="preserve"> 29/12/2025</t>
  </si>
  <si>
    <t xml:space="preserve"> 30/12/2025</t>
  </si>
  <si>
    <t xml:space="preserve"> 31/12/2025</t>
  </si>
  <si>
    <t xml:space="preserve"> 31/01/2026</t>
  </si>
  <si>
    <t xml:space="preserve"> 30/01/2026</t>
  </si>
  <si>
    <t xml:space="preserve"> 26/01/2026</t>
  </si>
  <si>
    <t xml:space="preserve"> 28/01/2026</t>
  </si>
  <si>
    <t xml:space="preserve"> 27/01/2026</t>
  </si>
  <si>
    <t xml:space="preserve"> 25/01/2026</t>
  </si>
  <si>
    <t xml:space="preserve"> 24/01/2026</t>
  </si>
  <si>
    <t xml:space="preserve"> 23/01/2026</t>
  </si>
  <si>
    <t xml:space="preserve"> 22/01/2026</t>
  </si>
  <si>
    <t xml:space="preserve"> 21/01/2026</t>
  </si>
  <si>
    <t xml:space="preserve"> 20/01/2026</t>
  </si>
  <si>
    <t xml:space="preserve"> 19/01/2026</t>
  </si>
  <si>
    <t xml:space="preserve"> 18/01/2026</t>
  </si>
  <si>
    <t xml:space="preserve"> 17/01/2026</t>
  </si>
  <si>
    <t xml:space="preserve"> 16/01/2026</t>
  </si>
  <si>
    <t xml:space="preserve"> 15/01/2026</t>
  </si>
  <si>
    <t xml:space="preserve"> 14/01/2026</t>
  </si>
  <si>
    <t xml:space="preserve"> 13/01/2026</t>
  </si>
  <si>
    <t xml:space="preserve"> 12/01/2026</t>
  </si>
  <si>
    <t xml:space="preserve"> 11/01/2026</t>
  </si>
  <si>
    <t xml:space="preserve"> 10/01/2026</t>
  </si>
  <si>
    <t xml:space="preserve"> 09/01/2026</t>
  </si>
  <si>
    <t xml:space="preserve"> 08/01/2026</t>
  </si>
  <si>
    <t xml:space="preserve"> 07/01/2026</t>
  </si>
  <si>
    <t xml:space="preserve"> 06/01/2026</t>
  </si>
  <si>
    <t xml:space="preserve"> 05/01/2026</t>
  </si>
  <si>
    <t xml:space="preserve"> 04/01/2026</t>
  </si>
  <si>
    <t xml:space="preserve"> 03/01/2026</t>
  </si>
  <si>
    <t xml:space="preserve"> 02/01/2026</t>
  </si>
  <si>
    <t xml:space="preserve"> 01/01/2026</t>
  </si>
  <si>
    <t xml:space="preserve"> 29/01/2026</t>
  </si>
  <si>
    <t xml:space="preserve"> 01/02/2026</t>
  </si>
  <si>
    <t xml:space="preserve"> 02/02/2026</t>
  </si>
  <si>
    <t xml:space="preserve"> 03/02/2026</t>
  </si>
  <si>
    <t xml:space="preserve"> 04/02/2026</t>
  </si>
  <si>
    <t xml:space="preserve"> 05/02/2026</t>
  </si>
  <si>
    <t xml:space="preserve"> 06/02/2026</t>
  </si>
  <si>
    <t xml:space="preserve"> 07/02/2026</t>
  </si>
  <si>
    <t xml:space="preserve"> 08/02/2026</t>
  </si>
  <si>
    <t xml:space="preserve"> 09/02/2026</t>
  </si>
  <si>
    <t xml:space="preserve"> 10/02/2026</t>
  </si>
  <si>
    <t xml:space="preserve"> 11/02/2026</t>
  </si>
  <si>
    <t xml:space="preserve"> 12/02/2026</t>
  </si>
  <si>
    <t xml:space="preserve"> 13/02/2026</t>
  </si>
  <si>
    <t xml:space="preserve"> 14/02/2026</t>
  </si>
  <si>
    <t xml:space="preserve"> 15/02/2026</t>
  </si>
  <si>
    <t xml:space="preserve"> 16/02/2026</t>
  </si>
  <si>
    <t xml:space="preserve"> 17/02/2026</t>
  </si>
  <si>
    <t xml:space="preserve"> 18/02/2026</t>
  </si>
  <si>
    <t xml:space="preserve"> 19/02/2026</t>
  </si>
  <si>
    <t xml:space="preserve"> 20/02/2026</t>
  </si>
  <si>
    <t xml:space="preserve"> 21/02/2026</t>
  </si>
  <si>
    <t xml:space="preserve"> 22/02/2026</t>
  </si>
  <si>
    <t xml:space="preserve"> 23/02/2026</t>
  </si>
  <si>
    <t xml:space="preserve"> 24/02/2026</t>
  </si>
  <si>
    <t xml:space="preserve"> 25/02/2026</t>
  </si>
  <si>
    <t xml:space="preserve"> 26/02/2026</t>
  </si>
  <si>
    <t xml:space="preserve"> 27/02/2026</t>
  </si>
  <si>
    <t xml:space="preserve"> 28/02/2026</t>
  </si>
  <si>
    <t>TARGET</t>
  </si>
  <si>
    <t>END OF APRIL MONTHLY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</si>
</sst>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_-* #,##0.000_-;\-* #,##0.000_-;_-* &quot;-&quot;??_-;_-@_-"/>
    <numFmt numFmtId="167" formatCode="_-* #,##0.0_-;\-* #,##0.0_-;_-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6003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04">
    <xf numFmtId="0" fontId="0" fillId="0" borderId="0" xfId="0"/>
    <xf numFmtId="165" fontId="0" fillId="0" borderId="0" xfId="1" applyNumberFormat="1" applyFont="1"/>
    <xf numFmtId="0" fontId="2" fillId="0" borderId="0" xfId="0" applyFont="1"/>
    <xf numFmtId="165" fontId="2" fillId="0" borderId="0" xfId="1" applyNumberFormat="1" applyFont="1"/>
    <xf numFmtId="43" fontId="0" fillId="0" borderId="0" xfId="1" applyFont="1"/>
    <xf numFmtId="166" fontId="0" fillId="0" borderId="0" xfId="1" applyNumberFormat="1" applyFont="1"/>
    <xf numFmtId="0" fontId="2" fillId="0" borderId="0" xfId="0" quotePrefix="1" applyFont="1"/>
    <xf numFmtId="165" fontId="0" fillId="12" borderId="0" xfId="0" applyNumberFormat="1" applyFill="1"/>
    <xf numFmtId="165" fontId="0" fillId="14" borderId="0" xfId="1" applyNumberFormat="1" applyFont="1" applyFill="1"/>
    <xf numFmtId="165" fontId="0" fillId="13" borderId="0" xfId="1" applyNumberFormat="1" applyFont="1" applyFill="1"/>
    <xf numFmtId="0" fontId="4" fillId="4" borderId="0" xfId="0" applyFont="1" applyFill="1" applyAlignment="1">
      <alignment horizontal="center"/>
    </xf>
    <xf numFmtId="164" fontId="3" fillId="5" borderId="0" xfId="1" applyNumberFormat="1" applyFont="1" applyFill="1" applyAlignment="1"/>
    <xf numFmtId="0" fontId="5" fillId="0" borderId="1" xfId="0" applyFont="1" applyBorder="1"/>
    <xf numFmtId="165" fontId="5" fillId="0" borderId="1" xfId="1" applyNumberFormat="1" applyFont="1" applyBorder="1"/>
    <xf numFmtId="165" fontId="6" fillId="11" borderId="5" xfId="1" applyNumberFormat="1" applyFont="1" applyFill="1" applyBorder="1" applyAlignment="1">
      <alignment horizontal="center"/>
    </xf>
    <xf numFmtId="0" fontId="5" fillId="0" borderId="0" xfId="0" applyFont="1"/>
    <xf numFmtId="0" fontId="5" fillId="2" borderId="1" xfId="0" applyFont="1" applyFill="1" applyBorder="1"/>
    <xf numFmtId="166" fontId="5" fillId="2" borderId="1" xfId="1" applyNumberFormat="1" applyFont="1" applyFill="1" applyBorder="1"/>
    <xf numFmtId="165" fontId="5" fillId="2" borderId="1" xfId="1" applyNumberFormat="1" applyFont="1" applyFill="1" applyBorder="1"/>
    <xf numFmtId="43" fontId="5" fillId="2" borderId="1" xfId="1" applyFont="1" applyFill="1" applyBorder="1"/>
    <xf numFmtId="165" fontId="5" fillId="11" borderId="1" xfId="1" applyNumberFormat="1" applyFont="1" applyFill="1" applyBorder="1"/>
    <xf numFmtId="0" fontId="5" fillId="7" borderId="1" xfId="0" applyFont="1" applyFill="1" applyBorder="1"/>
    <xf numFmtId="0" fontId="7" fillId="0" borderId="1" xfId="0" applyFont="1" applyBorder="1"/>
    <xf numFmtId="0" fontId="5" fillId="7" borderId="8" xfId="0" applyFont="1" applyFill="1" applyBorder="1" applyAlignment="1">
      <alignment wrapText="1"/>
    </xf>
    <xf numFmtId="0" fontId="5" fillId="7" borderId="8" xfId="0" applyFont="1" applyFill="1" applyBorder="1"/>
    <xf numFmtId="14" fontId="5" fillId="0" borderId="1" xfId="0" applyNumberFormat="1" applyFont="1" applyBorder="1"/>
    <xf numFmtId="43" fontId="5" fillId="0" borderId="1" xfId="1" applyFont="1" applyBorder="1"/>
    <xf numFmtId="2" fontId="5" fillId="0" borderId="1" xfId="0" applyNumberFormat="1" applyFont="1" applyBorder="1"/>
    <xf numFmtId="43" fontId="6" fillId="11" borderId="5" xfId="1" applyFont="1" applyFill="1" applyBorder="1" applyAlignment="1">
      <alignment horizontal="center"/>
    </xf>
    <xf numFmtId="165" fontId="7" fillId="9" borderId="1" xfId="0" applyNumberFormat="1" applyFont="1" applyFill="1" applyBorder="1"/>
    <xf numFmtId="165" fontId="5" fillId="0" borderId="0" xfId="0" applyNumberFormat="1" applyFont="1"/>
    <xf numFmtId="43" fontId="5" fillId="0" borderId="1" xfId="0" applyNumberFormat="1" applyFont="1" applyBorder="1"/>
    <xf numFmtId="165" fontId="5" fillId="0" borderId="1" xfId="1" applyNumberFormat="1" applyFont="1" applyBorder="1" applyAlignment="1">
      <alignment horizontal="center"/>
    </xf>
    <xf numFmtId="165" fontId="5" fillId="0" borderId="1" xfId="1" applyNumberFormat="1" applyFont="1" applyBorder="1" applyAlignment="1">
      <alignment horizontal="right"/>
    </xf>
    <xf numFmtId="165" fontId="7" fillId="0" borderId="1" xfId="0" applyNumberFormat="1" applyFont="1" applyBorder="1"/>
    <xf numFmtId="165" fontId="5" fillId="0" borderId="1" xfId="0" applyNumberFormat="1" applyFont="1" applyBorder="1"/>
    <xf numFmtId="0" fontId="5" fillId="0" borderId="1" xfId="0" applyFont="1" applyBorder="1" applyAlignment="1">
      <alignment horizontal="center"/>
    </xf>
    <xf numFmtId="166" fontId="5" fillId="0" borderId="0" xfId="1" applyNumberFormat="1" applyFont="1"/>
    <xf numFmtId="165" fontId="5" fillId="0" borderId="0" xfId="1" applyNumberFormat="1" applyFont="1"/>
    <xf numFmtId="43" fontId="5" fillId="0" borderId="0" xfId="1" applyFont="1"/>
    <xf numFmtId="165" fontId="5" fillId="13" borderId="0" xfId="1" applyNumberFormat="1" applyFont="1" applyFill="1"/>
    <xf numFmtId="165" fontId="5" fillId="13" borderId="0" xfId="0" applyNumberFormat="1" applyFont="1" applyFill="1"/>
    <xf numFmtId="165" fontId="5" fillId="12" borderId="0" xfId="0" applyNumberFormat="1" applyFont="1" applyFill="1"/>
    <xf numFmtId="165" fontId="5" fillId="15" borderId="1" xfId="0" applyNumberFormat="1" applyFont="1" applyFill="1" applyBorder="1"/>
    <xf numFmtId="165" fontId="6" fillId="14" borderId="1" xfId="1" applyNumberFormat="1" applyFont="1" applyFill="1" applyBorder="1"/>
    <xf numFmtId="43" fontId="6" fillId="14" borderId="1" xfId="1" applyFont="1" applyFill="1" applyBorder="1"/>
    <xf numFmtId="166" fontId="5" fillId="16" borderId="1" xfId="1" applyNumberFormat="1" applyFont="1" applyFill="1" applyBorder="1"/>
    <xf numFmtId="165" fontId="5" fillId="16" borderId="1" xfId="1" applyNumberFormat="1" applyFont="1" applyFill="1" applyBorder="1"/>
    <xf numFmtId="0" fontId="6" fillId="0" borderId="1" xfId="0" applyFont="1" applyBorder="1" applyAlignment="1">
      <alignment horizontal="center"/>
    </xf>
    <xf numFmtId="0" fontId="5" fillId="7" borderId="1" xfId="0" applyFont="1" applyFill="1" applyBorder="1" applyAlignment="1">
      <alignment horizontal="center" wrapText="1"/>
    </xf>
    <xf numFmtId="165" fontId="8" fillId="0" borderId="1" xfId="1" applyNumberFormat="1" applyFont="1" applyBorder="1"/>
    <xf numFmtId="165" fontId="9" fillId="0" borderId="1" xfId="1" applyNumberFormat="1" applyFont="1" applyBorder="1"/>
    <xf numFmtId="43" fontId="0" fillId="0" borderId="0" xfId="0" applyNumberFormat="1"/>
    <xf numFmtId="2" fontId="5" fillId="0" borderId="0" xfId="0" applyNumberFormat="1" applyFont="1"/>
    <xf numFmtId="165" fontId="0" fillId="0" borderId="0" xfId="0" applyNumberFormat="1"/>
    <xf numFmtId="3" fontId="5" fillId="0" borderId="1" xfId="0" applyNumberFormat="1" applyFont="1" applyBorder="1"/>
    <xf numFmtId="165" fontId="9" fillId="17" borderId="1" xfId="1" applyNumberFormat="1" applyFont="1" applyFill="1" applyBorder="1"/>
    <xf numFmtId="0" fontId="0" fillId="9" borderId="0" xfId="0" applyFill="1"/>
    <xf numFmtId="166" fontId="0" fillId="9" borderId="0" xfId="0" applyNumberFormat="1" applyFill="1"/>
    <xf numFmtId="165" fontId="0" fillId="9" borderId="0" xfId="0" applyNumberFormat="1" applyFill="1"/>
    <xf numFmtId="43" fontId="5" fillId="9" borderId="1" xfId="1" applyFont="1" applyFill="1" applyBorder="1"/>
    <xf numFmtId="165" fontId="5" fillId="9" borderId="1" xfId="1" applyNumberFormat="1" applyFont="1" applyFill="1" applyBorder="1"/>
    <xf numFmtId="2" fontId="5" fillId="9" borderId="1" xfId="0" applyNumberFormat="1" applyFont="1" applyFill="1" applyBorder="1"/>
    <xf numFmtId="3" fontId="0" fillId="0" borderId="0" xfId="0" applyNumberFormat="1"/>
    <xf numFmtId="41" fontId="0" fillId="0" borderId="1" xfId="2" applyFont="1" applyBorder="1"/>
    <xf numFmtId="41" fontId="0" fillId="18" borderId="1" xfId="2" applyFont="1" applyFill="1" applyBorder="1" applyProtection="1">
      <protection locked="0"/>
    </xf>
    <xf numFmtId="41" fontId="0" fillId="13" borderId="1" xfId="2" applyFont="1" applyFill="1" applyBorder="1" applyProtection="1">
      <protection locked="0"/>
    </xf>
    <xf numFmtId="41" fontId="0" fillId="18" borderId="1" xfId="2" applyFont="1" applyFill="1" applyBorder="1" applyProtection="1">
      <protection hidden="1"/>
    </xf>
    <xf numFmtId="41" fontId="0" fillId="13" borderId="1" xfId="2" applyFont="1" applyFill="1" applyBorder="1" applyProtection="1">
      <protection hidden="1"/>
    </xf>
    <xf numFmtId="41" fontId="5" fillId="2" borderId="1" xfId="2" applyFont="1" applyFill="1" applyBorder="1"/>
    <xf numFmtId="41" fontId="0" fillId="0" borderId="0" xfId="2" applyFont="1"/>
    <xf numFmtId="14" fontId="0" fillId="0" borderId="1" xfId="2" applyNumberFormat="1" applyFont="1" applyBorder="1"/>
    <xf numFmtId="41" fontId="0" fillId="2" borderId="1" xfId="2" applyFont="1" applyFill="1" applyBorder="1"/>
    <xf numFmtId="167" fontId="5" fillId="2" borderId="1" xfId="2" applyNumberFormat="1" applyFont="1" applyFill="1" applyBorder="1"/>
    <xf numFmtId="167" fontId="0" fillId="18" borderId="1" xfId="2" applyNumberFormat="1" applyFont="1" applyFill="1" applyBorder="1" applyProtection="1">
      <protection locked="0"/>
    </xf>
    <xf numFmtId="167" fontId="0" fillId="13" borderId="1" xfId="2" applyNumberFormat="1" applyFont="1" applyFill="1" applyBorder="1" applyProtection="1">
      <protection locked="0"/>
    </xf>
    <xf numFmtId="167" fontId="5" fillId="13" borderId="1" xfId="1" applyNumberFormat="1" applyFont="1" applyFill="1" applyBorder="1"/>
    <xf numFmtId="167" fontId="0" fillId="0" borderId="1" xfId="2" applyNumberFormat="1" applyFont="1" applyBorder="1"/>
    <xf numFmtId="167" fontId="0" fillId="2" borderId="1" xfId="2" applyNumberFormat="1" applyFont="1" applyFill="1" applyBorder="1"/>
    <xf numFmtId="167" fontId="0" fillId="0" borderId="0" xfId="0" applyNumberFormat="1"/>
    <xf numFmtId="41" fontId="10" fillId="3" borderId="7" xfId="2" applyFont="1" applyFill="1" applyBorder="1" applyAlignment="1">
      <alignment horizontal="center"/>
    </xf>
    <xf numFmtId="164" fontId="3" fillId="5" borderId="7" xfId="1" applyNumberFormat="1" applyFont="1" applyFill="1" applyBorder="1" applyAlignment="1">
      <alignment horizontal="center"/>
    </xf>
    <xf numFmtId="164" fontId="5" fillId="0" borderId="1" xfId="1" applyNumberFormat="1" applyFont="1" applyBorder="1" applyAlignment="1">
      <alignment horizontal="center"/>
    </xf>
    <xf numFmtId="165" fontId="5" fillId="0" borderId="1" xfId="1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5" fontId="3" fillId="9" borderId="7" xfId="1" applyNumberFormat="1" applyFont="1" applyFill="1" applyBorder="1" applyAlignment="1">
      <alignment horizontal="center"/>
    </xf>
    <xf numFmtId="165" fontId="6" fillId="8" borderId="4" xfId="1" applyNumberFormat="1" applyFont="1" applyFill="1" applyBorder="1" applyAlignment="1">
      <alignment horizontal="center"/>
    </xf>
    <xf numFmtId="165" fontId="6" fillId="8" borderId="5" xfId="1" applyNumberFormat="1" applyFont="1" applyFill="1" applyBorder="1" applyAlignment="1">
      <alignment horizontal="center"/>
    </xf>
    <xf numFmtId="165" fontId="6" fillId="8" borderId="6" xfId="1" applyNumberFormat="1" applyFont="1" applyFill="1" applyBorder="1" applyAlignment="1">
      <alignment horizontal="center"/>
    </xf>
    <xf numFmtId="165" fontId="5" fillId="10" borderId="4" xfId="1" applyNumberFormat="1" applyFont="1" applyFill="1" applyBorder="1" applyAlignment="1">
      <alignment horizontal="center"/>
    </xf>
    <xf numFmtId="165" fontId="5" fillId="10" borderId="5" xfId="1" applyNumberFormat="1" applyFont="1" applyFill="1" applyBorder="1" applyAlignment="1">
      <alignment horizontal="center"/>
    </xf>
    <xf numFmtId="165" fontId="5" fillId="10" borderId="6" xfId="1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165" fontId="6" fillId="12" borderId="2" xfId="0" applyNumberFormat="1" applyFont="1" applyFill="1" applyBorder="1" applyAlignment="1">
      <alignment horizontal="center" wrapText="1"/>
    </xf>
    <xf numFmtId="165" fontId="6" fillId="12" borderId="3" xfId="0" applyNumberFormat="1" applyFont="1" applyFill="1" applyBorder="1" applyAlignment="1">
      <alignment horizontal="center"/>
    </xf>
    <xf numFmtId="164" fontId="5" fillId="0" borderId="4" xfId="1" applyNumberFormat="1" applyFont="1" applyBorder="1" applyAlignment="1">
      <alignment horizontal="center"/>
    </xf>
    <xf numFmtId="164" fontId="5" fillId="0" borderId="6" xfId="1" applyNumberFormat="1" applyFont="1" applyBorder="1" applyAlignment="1">
      <alignment horizontal="center"/>
    </xf>
    <xf numFmtId="165" fontId="5" fillId="0" borderId="4" xfId="1" applyNumberFormat="1" applyFont="1" applyBorder="1" applyAlignment="1">
      <alignment horizontal="center"/>
    </xf>
    <xf numFmtId="165" fontId="5" fillId="0" borderId="6" xfId="1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TAL%20RWIZI\Desktop\Daily%20Data\April%202026\Stock%20mvt-Template-2025-2026-V1-7-25.xlsx" TargetMode="External"/><Relationship Id="rId1" Type="http://schemas.openxmlformats.org/officeDocument/2006/relationships/externalLinkPath" Target="Stock%20mvt-Template-2025-2026-V1-7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uel Mvt-2025-2026-PMS ...."/>
      <sheetName val="Fuel Mvt-2025-2026-AGO"/>
      <sheetName val="Fuel Sales Sumary"/>
      <sheetName val="General Sales Sumary"/>
      <sheetName val="Shop Sales"/>
      <sheetName val="Daily Expenses"/>
      <sheetName val="Other Products-July 25"/>
      <sheetName val="Other Products-Aug 25"/>
      <sheetName val="Other Products-Sep 25"/>
      <sheetName val="Other Products-Oct 25"/>
      <sheetName val="Other Products-Nov 25"/>
      <sheetName val="Other Products-Dec 25"/>
      <sheetName val="Other Products-Jan 26"/>
      <sheetName val="Other Products-Feb 26"/>
      <sheetName val="Other Products-Mar 26"/>
      <sheetName val="Other Products-Apri 26"/>
      <sheetName val="Other Products-May 26"/>
      <sheetName val="Other Products-June 26"/>
    </sheetNames>
    <sheetDataSet>
      <sheetData sheetId="0">
        <row r="289">
          <cell r="H289">
            <v>2629.29</v>
          </cell>
          <cell r="M289">
            <v>5475</v>
          </cell>
        </row>
        <row r="290">
          <cell r="H290">
            <v>2675.8009999999999</v>
          </cell>
          <cell r="M290">
            <v>5475</v>
          </cell>
        </row>
        <row r="291">
          <cell r="H291">
            <v>2747.4319999999998</v>
          </cell>
          <cell r="M291">
            <v>5475</v>
          </cell>
        </row>
        <row r="292">
          <cell r="H292">
            <v>2758.549</v>
          </cell>
          <cell r="M292">
            <v>5499</v>
          </cell>
        </row>
        <row r="293">
          <cell r="H293">
            <v>1830.6210000000001</v>
          </cell>
          <cell r="M293">
            <v>5499</v>
          </cell>
        </row>
        <row r="294">
          <cell r="H294">
            <v>2461.2330000000002</v>
          </cell>
          <cell r="M294">
            <v>5499</v>
          </cell>
        </row>
        <row r="295">
          <cell r="H295">
            <v>2575.6320000000001</v>
          </cell>
          <cell r="M295">
            <v>5499</v>
          </cell>
        </row>
        <row r="296">
          <cell r="H296">
            <v>1528.13</v>
          </cell>
          <cell r="M296">
            <v>5499</v>
          </cell>
        </row>
        <row r="297">
          <cell r="H297">
            <v>1218.6949999999999</v>
          </cell>
          <cell r="M297">
            <v>5510</v>
          </cell>
        </row>
        <row r="298">
          <cell r="H298">
            <v>6.3849999999999998</v>
          </cell>
          <cell r="M298">
            <v>5510</v>
          </cell>
        </row>
        <row r="299">
          <cell r="H299">
            <v>2811.4850000000001</v>
          </cell>
          <cell r="M299">
            <v>5510</v>
          </cell>
        </row>
        <row r="300">
          <cell r="H300">
            <v>3009.587</v>
          </cell>
          <cell r="M300">
            <v>5510</v>
          </cell>
        </row>
        <row r="301">
          <cell r="H301">
            <v>564.50300000000004</v>
          </cell>
          <cell r="M301">
            <v>5510</v>
          </cell>
        </row>
        <row r="302">
          <cell r="H302">
            <v>2614.4319999999998</v>
          </cell>
          <cell r="M302">
            <v>5510</v>
          </cell>
        </row>
        <row r="303">
          <cell r="H303">
            <v>2261.8409999999999</v>
          </cell>
          <cell r="M303">
            <v>5510</v>
          </cell>
        </row>
        <row r="304">
          <cell r="H304">
            <v>2012.8209999999999</v>
          </cell>
          <cell r="M304">
            <v>5510</v>
          </cell>
        </row>
        <row r="305">
          <cell r="H305">
            <v>2029.5309999999999</v>
          </cell>
          <cell r="M305">
            <v>5510</v>
          </cell>
        </row>
        <row r="306">
          <cell r="H306">
            <v>2308.6529999999998</v>
          </cell>
          <cell r="M306">
            <v>5510</v>
          </cell>
        </row>
        <row r="307">
          <cell r="H307">
            <v>2914.08</v>
          </cell>
          <cell r="M307">
            <v>5510</v>
          </cell>
        </row>
        <row r="308">
          <cell r="H308">
            <v>1730.568</v>
          </cell>
          <cell r="M308">
            <v>5510</v>
          </cell>
        </row>
        <row r="309">
          <cell r="H309">
            <v>353.66199999999998</v>
          </cell>
          <cell r="M309">
            <v>5510</v>
          </cell>
        </row>
        <row r="310">
          <cell r="H310">
            <v>3473.0970000000002</v>
          </cell>
          <cell r="M310">
            <v>5510</v>
          </cell>
        </row>
        <row r="311">
          <cell r="H311">
            <v>544.95399999999995</v>
          </cell>
          <cell r="M311">
            <v>5510</v>
          </cell>
        </row>
        <row r="312">
          <cell r="H312">
            <v>4575.7569999999996</v>
          </cell>
          <cell r="M312">
            <v>5510</v>
          </cell>
        </row>
        <row r="313">
          <cell r="H313">
            <v>201.94399999999999</v>
          </cell>
          <cell r="M313">
            <v>5510</v>
          </cell>
        </row>
        <row r="314">
          <cell r="H314">
            <v>52.091000000000001</v>
          </cell>
          <cell r="M314">
            <v>5510</v>
          </cell>
        </row>
        <row r="315">
          <cell r="H315">
            <v>61.731999999999999</v>
          </cell>
          <cell r="M315">
            <v>5510</v>
          </cell>
        </row>
        <row r="316">
          <cell r="H316">
            <v>7525.8109999999997</v>
          </cell>
          <cell r="M316">
            <v>5510</v>
          </cell>
        </row>
        <row r="317">
          <cell r="H317">
            <v>3267.73</v>
          </cell>
          <cell r="M317">
            <v>5510</v>
          </cell>
        </row>
        <row r="318">
          <cell r="H318">
            <v>5889.7939999999999</v>
          </cell>
          <cell r="M318">
            <v>5510</v>
          </cell>
        </row>
      </sheetData>
      <sheetData sheetId="1">
        <row r="289">
          <cell r="H289">
            <v>2769.2049999999999</v>
          </cell>
          <cell r="M289">
            <v>5180</v>
          </cell>
        </row>
        <row r="290">
          <cell r="H290">
            <v>3798.43</v>
          </cell>
          <cell r="M290">
            <v>5180</v>
          </cell>
        </row>
        <row r="291">
          <cell r="H291">
            <v>4032.183</v>
          </cell>
          <cell r="M291">
            <v>5180</v>
          </cell>
        </row>
        <row r="292">
          <cell r="H292">
            <v>3149.3409999999999</v>
          </cell>
          <cell r="M292">
            <v>5180</v>
          </cell>
        </row>
        <row r="293">
          <cell r="H293">
            <v>764.39499999999998</v>
          </cell>
          <cell r="M293">
            <v>5180</v>
          </cell>
        </row>
        <row r="294">
          <cell r="H294">
            <v>2804.92</v>
          </cell>
          <cell r="M294">
            <v>5180</v>
          </cell>
        </row>
        <row r="295">
          <cell r="H295">
            <v>7130.8090000000002</v>
          </cell>
          <cell r="M295">
            <v>5180</v>
          </cell>
        </row>
        <row r="296">
          <cell r="H296">
            <v>2822.59</v>
          </cell>
          <cell r="M296">
            <v>5180</v>
          </cell>
        </row>
        <row r="297">
          <cell r="H297">
            <v>4001.6610000000001</v>
          </cell>
          <cell r="M297">
            <v>5180</v>
          </cell>
        </row>
        <row r="298">
          <cell r="H298">
            <v>2868.6849999999999</v>
          </cell>
          <cell r="M298">
            <v>5180</v>
          </cell>
        </row>
        <row r="299">
          <cell r="H299">
            <v>3295.181</v>
          </cell>
          <cell r="M299">
            <v>5250</v>
          </cell>
        </row>
        <row r="300">
          <cell r="H300">
            <v>2782.808</v>
          </cell>
          <cell r="M300">
            <v>5250</v>
          </cell>
        </row>
        <row r="301">
          <cell r="H301">
            <v>5133.6970000000001</v>
          </cell>
          <cell r="M301">
            <v>5250</v>
          </cell>
        </row>
        <row r="302">
          <cell r="H302">
            <v>4516.5330000000004</v>
          </cell>
          <cell r="M302">
            <v>5250</v>
          </cell>
        </row>
        <row r="303">
          <cell r="H303">
            <v>2485.9659999999999</v>
          </cell>
          <cell r="M303">
            <v>5250</v>
          </cell>
        </row>
        <row r="304">
          <cell r="H304">
            <v>30</v>
          </cell>
          <cell r="M304">
            <v>5250</v>
          </cell>
        </row>
        <row r="305">
          <cell r="H305">
            <v>57.19</v>
          </cell>
          <cell r="M305">
            <v>5250</v>
          </cell>
        </row>
        <row r="306">
          <cell r="H306">
            <v>2675.2170000000001</v>
          </cell>
          <cell r="M306">
            <v>5250</v>
          </cell>
        </row>
        <row r="307">
          <cell r="H307">
            <v>3115.2249999999999</v>
          </cell>
          <cell r="M307">
            <v>5250</v>
          </cell>
        </row>
        <row r="308">
          <cell r="H308">
            <v>3367.614</v>
          </cell>
          <cell r="M308">
            <v>5250</v>
          </cell>
        </row>
        <row r="309">
          <cell r="H309">
            <v>978.81</v>
          </cell>
          <cell r="M309">
            <v>5250</v>
          </cell>
        </row>
        <row r="310">
          <cell r="H310">
            <v>0</v>
          </cell>
          <cell r="M310">
            <v>5250</v>
          </cell>
        </row>
        <row r="311">
          <cell r="H311">
            <v>0</v>
          </cell>
          <cell r="M311">
            <v>5299</v>
          </cell>
        </row>
        <row r="312">
          <cell r="H312">
            <v>6724.1369999999997</v>
          </cell>
          <cell r="M312">
            <v>5299</v>
          </cell>
        </row>
        <row r="313">
          <cell r="H313">
            <v>624.31799999999998</v>
          </cell>
          <cell r="M313">
            <v>5299</v>
          </cell>
        </row>
        <row r="314">
          <cell r="H314">
            <v>1840.56</v>
          </cell>
          <cell r="M314">
            <v>5299</v>
          </cell>
        </row>
        <row r="315">
          <cell r="H315">
            <v>12367.369000000001</v>
          </cell>
          <cell r="M315">
            <v>5299</v>
          </cell>
        </row>
        <row r="316">
          <cell r="H316">
            <v>7096.9639999999999</v>
          </cell>
          <cell r="M316">
            <v>5299</v>
          </cell>
        </row>
        <row r="317">
          <cell r="H317">
            <v>7969.4949999999999</v>
          </cell>
          <cell r="M317">
            <v>5299</v>
          </cell>
        </row>
        <row r="318">
          <cell r="H318">
            <v>9372.4639999999999</v>
          </cell>
          <cell r="M318">
            <v>5299</v>
          </cell>
        </row>
      </sheetData>
      <sheetData sheetId="2"/>
      <sheetData sheetId="3">
        <row r="286">
          <cell r="D286">
            <v>1210000</v>
          </cell>
          <cell r="E286">
            <v>58000</v>
          </cell>
          <cell r="F286">
            <v>0</v>
          </cell>
          <cell r="G286">
            <v>371000</v>
          </cell>
        </row>
        <row r="287">
          <cell r="D287">
            <v>1087000</v>
          </cell>
          <cell r="E287">
            <v>141000</v>
          </cell>
          <cell r="F287">
            <v>0</v>
          </cell>
          <cell r="G287">
            <v>392000</v>
          </cell>
        </row>
        <row r="288">
          <cell r="D288">
            <v>2010500</v>
          </cell>
          <cell r="E288">
            <v>31000</v>
          </cell>
          <cell r="F288">
            <v>0</v>
          </cell>
          <cell r="G288">
            <v>477000</v>
          </cell>
        </row>
        <row r="289">
          <cell r="D289">
            <v>610000</v>
          </cell>
          <cell r="E289">
            <v>41000</v>
          </cell>
          <cell r="F289">
            <v>0</v>
          </cell>
          <cell r="G289">
            <v>531000</v>
          </cell>
        </row>
        <row r="290">
          <cell r="D290">
            <v>650000</v>
          </cell>
          <cell r="E290">
            <v>30000</v>
          </cell>
          <cell r="F290">
            <v>0</v>
          </cell>
          <cell r="G290">
            <v>316000</v>
          </cell>
        </row>
        <row r="291">
          <cell r="D291">
            <v>1259000</v>
          </cell>
          <cell r="E291">
            <v>39000</v>
          </cell>
          <cell r="F291">
            <v>0</v>
          </cell>
          <cell r="G291">
            <v>477000</v>
          </cell>
        </row>
        <row r="292">
          <cell r="D292">
            <v>1734000</v>
          </cell>
          <cell r="E292">
            <v>209000</v>
          </cell>
          <cell r="F292">
            <v>75500</v>
          </cell>
          <cell r="G292">
            <v>999000</v>
          </cell>
        </row>
        <row r="293">
          <cell r="D293">
            <v>1474500</v>
          </cell>
          <cell r="E293">
            <v>49000</v>
          </cell>
          <cell r="F293">
            <v>231000</v>
          </cell>
          <cell r="G293">
            <v>407000</v>
          </cell>
        </row>
        <row r="294">
          <cell r="D294">
            <v>907000</v>
          </cell>
          <cell r="E294">
            <v>58000</v>
          </cell>
          <cell r="F294">
            <v>75500</v>
          </cell>
          <cell r="G294">
            <v>310000</v>
          </cell>
        </row>
        <row r="295">
          <cell r="D295">
            <v>2221500</v>
          </cell>
          <cell r="E295">
            <v>107000</v>
          </cell>
          <cell r="F295">
            <v>0</v>
          </cell>
          <cell r="G295">
            <v>310000</v>
          </cell>
        </row>
        <row r="296">
          <cell r="D296">
            <v>361500</v>
          </cell>
          <cell r="E296">
            <v>24000</v>
          </cell>
          <cell r="F296">
            <v>0</v>
          </cell>
          <cell r="G296">
            <v>229000</v>
          </cell>
        </row>
        <row r="297">
          <cell r="D297">
            <v>1456800</v>
          </cell>
          <cell r="E297">
            <v>158000</v>
          </cell>
          <cell r="F297">
            <v>0</v>
          </cell>
          <cell r="G297">
            <v>832000</v>
          </cell>
        </row>
        <row r="298">
          <cell r="D298">
            <v>1387500</v>
          </cell>
          <cell r="E298">
            <v>16000</v>
          </cell>
          <cell r="F298">
            <v>0</v>
          </cell>
          <cell r="G298">
            <v>785000</v>
          </cell>
        </row>
        <row r="299">
          <cell r="D299">
            <v>1732500</v>
          </cell>
          <cell r="E299">
            <v>112000</v>
          </cell>
          <cell r="F299">
            <v>75500</v>
          </cell>
          <cell r="G299">
            <v>186000</v>
          </cell>
        </row>
        <row r="300">
          <cell r="D300">
            <v>2031500</v>
          </cell>
          <cell r="E300">
            <v>121000</v>
          </cell>
          <cell r="F300">
            <v>0</v>
          </cell>
          <cell r="G300">
            <v>177000</v>
          </cell>
        </row>
        <row r="301">
          <cell r="D301">
            <v>1776000</v>
          </cell>
          <cell r="E301">
            <v>85000</v>
          </cell>
          <cell r="F301">
            <v>0</v>
          </cell>
          <cell r="G301">
            <v>407000</v>
          </cell>
        </row>
        <row r="302">
          <cell r="D302">
            <v>1027500</v>
          </cell>
          <cell r="E302">
            <v>104000</v>
          </cell>
          <cell r="F302">
            <v>28000</v>
          </cell>
          <cell r="G302">
            <v>675000</v>
          </cell>
        </row>
        <row r="303">
          <cell r="D303">
            <v>561000</v>
          </cell>
          <cell r="E303">
            <v>41000</v>
          </cell>
          <cell r="F303">
            <v>0</v>
          </cell>
          <cell r="G303">
            <v>177000</v>
          </cell>
        </row>
        <row r="304">
          <cell r="D304">
            <v>2401500</v>
          </cell>
          <cell r="E304">
            <v>73000</v>
          </cell>
          <cell r="F304">
            <v>105500</v>
          </cell>
          <cell r="G304">
            <v>425000</v>
          </cell>
        </row>
        <row r="305">
          <cell r="D305">
            <v>2192500</v>
          </cell>
          <cell r="E305">
            <v>105000</v>
          </cell>
          <cell r="F305">
            <v>0</v>
          </cell>
          <cell r="G305">
            <v>303000</v>
          </cell>
        </row>
        <row r="306">
          <cell r="D306">
            <v>1897000</v>
          </cell>
          <cell r="E306">
            <v>16000</v>
          </cell>
          <cell r="F306">
            <v>58000</v>
          </cell>
          <cell r="G306">
            <v>732000</v>
          </cell>
        </row>
        <row r="307">
          <cell r="D307">
            <v>1003000</v>
          </cell>
          <cell r="E307">
            <v>87000</v>
          </cell>
          <cell r="F307">
            <v>0</v>
          </cell>
          <cell r="G307">
            <v>416000</v>
          </cell>
        </row>
        <row r="308">
          <cell r="D308">
            <v>666500</v>
          </cell>
          <cell r="E308">
            <v>39000</v>
          </cell>
          <cell r="F308">
            <v>84500</v>
          </cell>
          <cell r="G308">
            <v>333000</v>
          </cell>
        </row>
        <row r="309">
          <cell r="D309">
            <v>1556000</v>
          </cell>
          <cell r="E309">
            <v>123000</v>
          </cell>
          <cell r="F309">
            <v>0</v>
          </cell>
          <cell r="G309">
            <v>655000</v>
          </cell>
        </row>
        <row r="310">
          <cell r="D310">
            <v>468000</v>
          </cell>
          <cell r="E310">
            <v>31000</v>
          </cell>
          <cell r="F310">
            <v>58000</v>
          </cell>
          <cell r="G310">
            <v>278000</v>
          </cell>
        </row>
        <row r="311">
          <cell r="D311">
            <v>285000</v>
          </cell>
          <cell r="E311">
            <v>16000</v>
          </cell>
          <cell r="F311">
            <v>105500</v>
          </cell>
          <cell r="G311">
            <v>652500</v>
          </cell>
        </row>
        <row r="312">
          <cell r="D312">
            <v>729000</v>
          </cell>
          <cell r="E312">
            <v>166000</v>
          </cell>
          <cell r="F312">
            <v>21000</v>
          </cell>
          <cell r="G312">
            <v>592000</v>
          </cell>
        </row>
        <row r="313">
          <cell r="D313">
            <v>891000</v>
          </cell>
          <cell r="E313">
            <v>91000</v>
          </cell>
          <cell r="F313">
            <v>0</v>
          </cell>
          <cell r="G313">
            <v>235500</v>
          </cell>
        </row>
        <row r="314">
          <cell r="D314">
            <v>1117500</v>
          </cell>
          <cell r="E314">
            <v>116000</v>
          </cell>
          <cell r="F314">
            <v>105500</v>
          </cell>
          <cell r="G314">
            <v>321000</v>
          </cell>
        </row>
        <row r="315">
          <cell r="D315">
            <v>6897000</v>
          </cell>
          <cell r="E315">
            <v>111000</v>
          </cell>
          <cell r="F315">
            <v>0</v>
          </cell>
          <cell r="G315">
            <v>648000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workbookViewId="0">
      <selection activeCell="M27" sqref="M27"/>
    </sheetView>
  </sheetViews>
  <sheetFormatPr defaultRowHeight="15" x14ac:dyDescent="0.25"/>
  <cols>
    <col min="1" max="1" width="11.42578125" customWidth="1"/>
    <col min="2" max="2" width="12.85546875" customWidth="1"/>
    <col min="3" max="3" width="13.7109375" customWidth="1"/>
    <col min="5" max="5" width="12.5703125" customWidth="1"/>
    <col min="6" max="6" width="14.85546875" customWidth="1"/>
    <col min="7" max="7" width="15.140625" customWidth="1"/>
    <col min="8" max="8" width="14.5703125" customWidth="1"/>
    <col min="9" max="9" width="13.85546875" customWidth="1"/>
    <col min="10" max="10" width="10.28515625" customWidth="1"/>
    <col min="11" max="11" width="13.5703125" bestFit="1" customWidth="1"/>
    <col min="12" max="12" width="12.42578125" bestFit="1" customWidth="1"/>
    <col min="13" max="13" width="17.42578125" bestFit="1" customWidth="1"/>
    <col min="14" max="14" width="10" bestFit="1" customWidth="1"/>
    <col min="15" max="15" width="10.28515625" bestFit="1" customWidth="1"/>
    <col min="16" max="16" width="16.7109375" customWidth="1"/>
  </cols>
  <sheetData>
    <row r="1" spans="1:16" ht="18.75" x14ac:dyDescent="0.3">
      <c r="A1" s="6"/>
      <c r="B1" s="81" t="s">
        <v>45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1:16" x14ac:dyDescent="0.25">
      <c r="A2" s="12" t="s">
        <v>0</v>
      </c>
      <c r="B2" s="82" t="s">
        <v>5</v>
      </c>
      <c r="C2" s="82"/>
      <c r="D2" s="83" t="s">
        <v>12</v>
      </c>
      <c r="E2" s="83"/>
      <c r="F2" s="83" t="s">
        <v>6</v>
      </c>
      <c r="G2" s="83"/>
      <c r="H2" s="84" t="s">
        <v>7</v>
      </c>
      <c r="I2" s="84"/>
      <c r="J2" s="84" t="s">
        <v>8</v>
      </c>
      <c r="K2" s="84"/>
      <c r="L2" s="13"/>
      <c r="M2" s="13" t="s">
        <v>35</v>
      </c>
      <c r="N2" s="84" t="s">
        <v>15</v>
      </c>
      <c r="O2" s="84"/>
      <c r="P2" s="84"/>
    </row>
    <row r="3" spans="1:16" x14ac:dyDescent="0.25">
      <c r="A3" s="16"/>
      <c r="B3" s="17" t="s">
        <v>1</v>
      </c>
      <c r="C3" s="17" t="s">
        <v>2</v>
      </c>
      <c r="D3" s="18" t="s">
        <v>1</v>
      </c>
      <c r="E3" s="18" t="s">
        <v>2</v>
      </c>
      <c r="F3" s="19" t="s">
        <v>1</v>
      </c>
      <c r="G3" s="19" t="s">
        <v>2</v>
      </c>
      <c r="H3" s="19" t="s">
        <v>9</v>
      </c>
      <c r="I3" s="18" t="s">
        <v>10</v>
      </c>
      <c r="J3" s="16" t="s">
        <v>11</v>
      </c>
      <c r="K3" s="18" t="s">
        <v>10</v>
      </c>
      <c r="L3" s="18" t="s">
        <v>4</v>
      </c>
      <c r="M3" s="18" t="s">
        <v>67</v>
      </c>
      <c r="N3" s="18" t="s">
        <v>52</v>
      </c>
      <c r="O3" s="18" t="s">
        <v>40</v>
      </c>
      <c r="P3" s="16" t="s">
        <v>28</v>
      </c>
    </row>
    <row r="4" spans="1:16" x14ac:dyDescent="0.25">
      <c r="A4" s="25">
        <v>45292</v>
      </c>
      <c r="B4" s="56">
        <v>1209</v>
      </c>
      <c r="C4" s="46">
        <v>2758.68</v>
      </c>
      <c r="D4" s="47">
        <v>5690</v>
      </c>
      <c r="E4" s="47">
        <v>5299</v>
      </c>
      <c r="F4" s="13">
        <f t="shared" ref="F4:G33" si="0">B4*D4</f>
        <v>6879210</v>
      </c>
      <c r="G4" s="13">
        <f t="shared" si="0"/>
        <v>14618245.319999998</v>
      </c>
      <c r="H4" s="26">
        <v>26.5</v>
      </c>
      <c r="I4" s="13">
        <v>534000</v>
      </c>
      <c r="J4" s="27">
        <v>6</v>
      </c>
      <c r="K4" s="13">
        <v>56000</v>
      </c>
      <c r="L4" s="13">
        <v>49000</v>
      </c>
      <c r="M4" s="13">
        <v>607800</v>
      </c>
      <c r="N4" s="13">
        <v>0</v>
      </c>
      <c r="O4" s="13"/>
      <c r="P4" s="13"/>
    </row>
    <row r="5" spans="1:16" x14ac:dyDescent="0.25">
      <c r="A5" s="25">
        <v>45293</v>
      </c>
      <c r="B5" s="56">
        <v>1494.2280000000001</v>
      </c>
      <c r="C5" s="46">
        <v>4976.33</v>
      </c>
      <c r="D5" s="47">
        <v>5690</v>
      </c>
      <c r="E5" s="47">
        <v>5299</v>
      </c>
      <c r="F5" s="13">
        <f t="shared" si="0"/>
        <v>8502157.3200000003</v>
      </c>
      <c r="G5" s="13">
        <f t="shared" si="0"/>
        <v>26369572.669999998</v>
      </c>
      <c r="H5" s="31">
        <v>30.5</v>
      </c>
      <c r="I5" s="13">
        <v>585500</v>
      </c>
      <c r="J5" s="27">
        <v>24.5</v>
      </c>
      <c r="K5" s="13">
        <v>225000</v>
      </c>
      <c r="L5" s="13">
        <v>31000</v>
      </c>
      <c r="M5" s="13">
        <v>823500</v>
      </c>
      <c r="N5" s="13">
        <v>0</v>
      </c>
      <c r="O5" s="13"/>
      <c r="P5" s="13"/>
    </row>
    <row r="6" spans="1:16" x14ac:dyDescent="0.25">
      <c r="A6" s="25">
        <v>45294</v>
      </c>
      <c r="B6" s="56">
        <v>1862.2360000000001</v>
      </c>
      <c r="C6" s="46">
        <v>1516.7</v>
      </c>
      <c r="D6" s="47">
        <v>5690</v>
      </c>
      <c r="E6" s="47">
        <v>5299</v>
      </c>
      <c r="F6" s="13">
        <f t="shared" si="0"/>
        <v>10596122.84</v>
      </c>
      <c r="G6" s="13">
        <f t="shared" si="0"/>
        <v>8036993.2999999998</v>
      </c>
      <c r="H6" s="26">
        <v>28</v>
      </c>
      <c r="I6" s="13">
        <v>529000</v>
      </c>
      <c r="J6" s="27">
        <v>79</v>
      </c>
      <c r="K6" s="13">
        <v>702000</v>
      </c>
      <c r="L6" s="13">
        <v>45000</v>
      </c>
      <c r="M6" s="13">
        <v>416000</v>
      </c>
      <c r="N6" s="13">
        <v>0</v>
      </c>
      <c r="O6" s="13"/>
      <c r="P6" s="13"/>
    </row>
    <row r="7" spans="1:16" x14ac:dyDescent="0.25">
      <c r="A7" s="25">
        <v>45295</v>
      </c>
      <c r="B7" s="56">
        <v>1760.559</v>
      </c>
      <c r="C7" s="46">
        <v>2595.4499999999998</v>
      </c>
      <c r="D7" s="47">
        <v>5690</v>
      </c>
      <c r="E7" s="47">
        <v>5299</v>
      </c>
      <c r="F7" s="13">
        <f t="shared" si="0"/>
        <v>10017580.709999999</v>
      </c>
      <c r="G7" s="13">
        <f t="shared" si="0"/>
        <v>13753289.549999999</v>
      </c>
      <c r="H7" s="26">
        <v>37.5</v>
      </c>
      <c r="I7" s="13">
        <v>738000</v>
      </c>
      <c r="J7" s="27">
        <v>39.5</v>
      </c>
      <c r="K7" s="13">
        <v>365000</v>
      </c>
      <c r="L7" s="13">
        <v>32000</v>
      </c>
      <c r="M7" s="13">
        <v>743800</v>
      </c>
      <c r="N7" s="13">
        <v>0</v>
      </c>
      <c r="O7" s="13"/>
      <c r="P7" s="13"/>
    </row>
    <row r="8" spans="1:16" x14ac:dyDescent="0.25">
      <c r="A8" s="25">
        <v>45296</v>
      </c>
      <c r="B8" s="56">
        <v>1962.634</v>
      </c>
      <c r="C8" s="46">
        <v>5125.95</v>
      </c>
      <c r="D8" s="47">
        <v>5690</v>
      </c>
      <c r="E8" s="47">
        <v>5299</v>
      </c>
      <c r="F8" s="13">
        <f t="shared" si="0"/>
        <v>11167387.460000001</v>
      </c>
      <c r="G8" s="13">
        <f t="shared" si="0"/>
        <v>27162409.050000001</v>
      </c>
      <c r="H8" s="26">
        <v>36.25</v>
      </c>
      <c r="I8" s="13">
        <v>877000</v>
      </c>
      <c r="J8" s="27">
        <v>77</v>
      </c>
      <c r="K8" s="13">
        <v>704000</v>
      </c>
      <c r="L8" s="13">
        <v>38000</v>
      </c>
      <c r="M8" s="13">
        <v>728000</v>
      </c>
      <c r="N8" s="13">
        <v>413000</v>
      </c>
      <c r="O8" s="13"/>
      <c r="P8" s="13"/>
    </row>
    <row r="9" spans="1:16" x14ac:dyDescent="0.25">
      <c r="A9" s="25">
        <v>45297</v>
      </c>
      <c r="B9" s="56">
        <v>1837.4970000000001</v>
      </c>
      <c r="C9" s="46">
        <v>3981.46</v>
      </c>
      <c r="D9" s="47">
        <v>5690</v>
      </c>
      <c r="E9" s="47">
        <v>5299</v>
      </c>
      <c r="F9" s="13">
        <f t="shared" si="0"/>
        <v>10455357.93</v>
      </c>
      <c r="G9" s="13">
        <f t="shared" si="0"/>
        <v>21097756.539999999</v>
      </c>
      <c r="H9" s="26">
        <v>53</v>
      </c>
      <c r="I9" s="13">
        <v>1020000</v>
      </c>
      <c r="J9" s="27">
        <v>116</v>
      </c>
      <c r="K9" s="13">
        <v>966000</v>
      </c>
      <c r="L9" s="13">
        <v>59000</v>
      </c>
      <c r="M9" s="13">
        <v>510000</v>
      </c>
      <c r="N9" s="13">
        <v>330600</v>
      </c>
      <c r="O9" s="13"/>
      <c r="P9" s="31"/>
    </row>
    <row r="10" spans="1:16" x14ac:dyDescent="0.25">
      <c r="A10" s="25">
        <v>45298</v>
      </c>
      <c r="B10" s="56">
        <v>1421.269</v>
      </c>
      <c r="C10" s="46">
        <v>2045.42</v>
      </c>
      <c r="D10" s="47">
        <v>5690</v>
      </c>
      <c r="E10" s="47">
        <v>5299</v>
      </c>
      <c r="F10" s="13">
        <f t="shared" si="0"/>
        <v>8087020.6100000003</v>
      </c>
      <c r="G10" s="13">
        <f t="shared" si="0"/>
        <v>10838680.58</v>
      </c>
      <c r="H10" s="26">
        <v>52</v>
      </c>
      <c r="I10" s="13">
        <v>1045500</v>
      </c>
      <c r="J10" s="27">
        <v>43</v>
      </c>
      <c r="K10" s="13">
        <v>394000</v>
      </c>
      <c r="L10" s="13">
        <v>142000</v>
      </c>
      <c r="M10" s="13">
        <v>579000</v>
      </c>
      <c r="N10" s="13">
        <v>0</v>
      </c>
      <c r="O10" s="13"/>
      <c r="P10" s="13"/>
    </row>
    <row r="11" spans="1:16" x14ac:dyDescent="0.25">
      <c r="A11" s="25">
        <v>45299</v>
      </c>
      <c r="B11" s="56">
        <v>1841.923</v>
      </c>
      <c r="C11" s="46">
        <v>3894.73</v>
      </c>
      <c r="D11" s="47">
        <v>5690</v>
      </c>
      <c r="E11" s="47">
        <v>5299</v>
      </c>
      <c r="F11" s="13">
        <f t="shared" si="0"/>
        <v>10480541.869999999</v>
      </c>
      <c r="G11" s="13">
        <f t="shared" si="0"/>
        <v>20638174.27</v>
      </c>
      <c r="H11" s="26">
        <v>36.5</v>
      </c>
      <c r="I11" s="13">
        <v>783000</v>
      </c>
      <c r="J11" s="27">
        <v>55.5</v>
      </c>
      <c r="K11" s="13">
        <v>507000</v>
      </c>
      <c r="L11" s="13">
        <v>68000</v>
      </c>
      <c r="M11" s="13">
        <v>610000</v>
      </c>
      <c r="N11" s="13">
        <v>109000</v>
      </c>
      <c r="O11" s="13"/>
      <c r="P11" s="13"/>
    </row>
    <row r="12" spans="1:16" x14ac:dyDescent="0.25">
      <c r="A12" s="25">
        <v>45300</v>
      </c>
      <c r="B12" s="56">
        <v>1326.6559999999999</v>
      </c>
      <c r="C12" s="46">
        <v>4199.2</v>
      </c>
      <c r="D12" s="47">
        <v>5690</v>
      </c>
      <c r="E12" s="47">
        <v>5299</v>
      </c>
      <c r="F12" s="13">
        <f t="shared" si="0"/>
        <v>7548672.6399999997</v>
      </c>
      <c r="G12" s="13">
        <f t="shared" si="0"/>
        <v>22251560.800000001</v>
      </c>
      <c r="H12" s="26">
        <v>58.5</v>
      </c>
      <c r="I12" s="13">
        <v>1227500</v>
      </c>
      <c r="J12" s="27">
        <v>18</v>
      </c>
      <c r="K12" s="13">
        <v>168000</v>
      </c>
      <c r="L12" s="13">
        <v>76000</v>
      </c>
      <c r="M12" s="13">
        <v>665000</v>
      </c>
      <c r="N12" s="13">
        <v>17000</v>
      </c>
      <c r="O12" s="13"/>
      <c r="P12" s="13"/>
    </row>
    <row r="13" spans="1:16" x14ac:dyDescent="0.25">
      <c r="A13" s="25">
        <v>45301</v>
      </c>
      <c r="B13" s="56">
        <v>1455.623</v>
      </c>
      <c r="C13" s="46">
        <v>2002.09</v>
      </c>
      <c r="D13" s="47">
        <v>5690</v>
      </c>
      <c r="E13" s="47">
        <v>5299</v>
      </c>
      <c r="F13" s="13">
        <f t="shared" si="0"/>
        <v>8282494.8700000001</v>
      </c>
      <c r="G13" s="13">
        <f t="shared" si="0"/>
        <v>10609074.91</v>
      </c>
      <c r="H13" s="26">
        <v>40.75</v>
      </c>
      <c r="I13" s="13">
        <v>869500</v>
      </c>
      <c r="J13" s="27">
        <v>67</v>
      </c>
      <c r="K13" s="13">
        <v>618000</v>
      </c>
      <c r="L13" s="13">
        <v>8000</v>
      </c>
      <c r="M13" s="13">
        <v>502000</v>
      </c>
      <c r="N13" s="13">
        <v>223500</v>
      </c>
      <c r="O13" s="13"/>
      <c r="P13" s="13"/>
    </row>
    <row r="14" spans="1:16" x14ac:dyDescent="0.25">
      <c r="A14" s="25">
        <v>45302</v>
      </c>
      <c r="B14" s="56">
        <v>1519.9349999999999</v>
      </c>
      <c r="C14" s="46">
        <v>1375.53</v>
      </c>
      <c r="D14" s="47">
        <v>5690</v>
      </c>
      <c r="E14" s="47">
        <v>5299</v>
      </c>
      <c r="F14" s="13">
        <f t="shared" si="0"/>
        <v>8648430.1500000004</v>
      </c>
      <c r="G14" s="13">
        <f t="shared" si="0"/>
        <v>7288933.4699999997</v>
      </c>
      <c r="H14" s="26">
        <v>22.5</v>
      </c>
      <c r="I14" s="13">
        <v>481000</v>
      </c>
      <c r="J14" s="27">
        <v>42.5</v>
      </c>
      <c r="K14" s="13">
        <v>393000</v>
      </c>
      <c r="L14" s="13">
        <v>30000</v>
      </c>
      <c r="M14" s="13">
        <v>466000</v>
      </c>
      <c r="N14" s="13">
        <v>0</v>
      </c>
      <c r="O14" s="13"/>
      <c r="P14" s="13"/>
    </row>
    <row r="15" spans="1:16" x14ac:dyDescent="0.25">
      <c r="A15" s="25" t="s">
        <v>70</v>
      </c>
      <c r="B15" s="56">
        <v>1646.4359999999999</v>
      </c>
      <c r="C15" s="46">
        <v>6993.4</v>
      </c>
      <c r="D15" s="47">
        <v>5690</v>
      </c>
      <c r="E15" s="47">
        <v>5299</v>
      </c>
      <c r="F15" s="13">
        <f t="shared" si="0"/>
        <v>9368220.8399999999</v>
      </c>
      <c r="G15" s="13">
        <f t="shared" si="0"/>
        <v>37058026.600000001</v>
      </c>
      <c r="H15" s="26">
        <v>73</v>
      </c>
      <c r="I15" s="51">
        <v>1691500</v>
      </c>
      <c r="J15" s="27">
        <v>36.5</v>
      </c>
      <c r="K15" s="13">
        <v>337000</v>
      </c>
      <c r="L15" s="13">
        <v>191000</v>
      </c>
      <c r="M15" s="13">
        <v>897000</v>
      </c>
      <c r="N15" s="13">
        <v>0</v>
      </c>
      <c r="O15" s="13"/>
      <c r="P15" s="13"/>
    </row>
    <row r="16" spans="1:16" x14ac:dyDescent="0.25">
      <c r="A16" s="25">
        <v>45304</v>
      </c>
      <c r="B16" s="56">
        <v>1592.125</v>
      </c>
      <c r="C16" s="46">
        <v>915.01</v>
      </c>
      <c r="D16" s="47">
        <v>5690</v>
      </c>
      <c r="E16" s="47">
        <v>5299</v>
      </c>
      <c r="F16" s="13">
        <f t="shared" si="0"/>
        <v>9059191.25</v>
      </c>
      <c r="G16" s="13">
        <f t="shared" si="0"/>
        <v>4848637.99</v>
      </c>
      <c r="H16" s="26">
        <v>54.5</v>
      </c>
      <c r="I16" s="13">
        <v>1202000</v>
      </c>
      <c r="J16" s="27">
        <v>18.5</v>
      </c>
      <c r="K16" s="13">
        <v>169000</v>
      </c>
      <c r="L16" s="13">
        <v>61000</v>
      </c>
      <c r="M16" s="13">
        <v>658000</v>
      </c>
      <c r="N16" s="13">
        <v>29000</v>
      </c>
      <c r="O16" s="13"/>
      <c r="P16" s="13"/>
    </row>
    <row r="17" spans="1:16" x14ac:dyDescent="0.25">
      <c r="A17" s="25">
        <v>45305</v>
      </c>
      <c r="B17" s="56">
        <v>1526.819</v>
      </c>
      <c r="C17" s="46">
        <v>2453.5300000000002</v>
      </c>
      <c r="D17" s="47">
        <v>5690</v>
      </c>
      <c r="E17" s="47">
        <v>5299</v>
      </c>
      <c r="F17" s="13">
        <f t="shared" si="0"/>
        <v>8687600.1099999994</v>
      </c>
      <c r="G17" s="13">
        <f t="shared" si="0"/>
        <v>13001255.470000001</v>
      </c>
      <c r="H17" s="26">
        <v>24.5</v>
      </c>
      <c r="I17" s="13">
        <v>523500</v>
      </c>
      <c r="J17" s="27">
        <v>73</v>
      </c>
      <c r="K17" s="13">
        <v>674000</v>
      </c>
      <c r="L17" s="13">
        <v>156000</v>
      </c>
      <c r="M17" s="13">
        <v>356000</v>
      </c>
      <c r="N17" s="13">
        <v>0</v>
      </c>
      <c r="O17" s="13"/>
      <c r="P17" s="13"/>
    </row>
    <row r="18" spans="1:16" x14ac:dyDescent="0.25">
      <c r="A18" s="25">
        <v>45306</v>
      </c>
      <c r="B18" s="56">
        <v>1428.5740000000001</v>
      </c>
      <c r="C18" s="46">
        <v>4664.1899999999996</v>
      </c>
      <c r="D18" s="47">
        <v>5690</v>
      </c>
      <c r="E18" s="47">
        <v>5299</v>
      </c>
      <c r="F18" s="13">
        <f t="shared" si="0"/>
        <v>8128586.0600000005</v>
      </c>
      <c r="G18" s="13">
        <f t="shared" si="0"/>
        <v>24715542.809999999</v>
      </c>
      <c r="H18" s="13">
        <v>15.75</v>
      </c>
      <c r="I18" s="13">
        <v>325000</v>
      </c>
      <c r="J18" s="27">
        <v>33</v>
      </c>
      <c r="K18" s="13">
        <v>308000</v>
      </c>
      <c r="L18" s="13">
        <v>8000</v>
      </c>
      <c r="M18" s="13">
        <v>595500</v>
      </c>
      <c r="N18" s="13">
        <v>126000</v>
      </c>
      <c r="O18" s="13"/>
      <c r="P18" s="13"/>
    </row>
    <row r="19" spans="1:16" x14ac:dyDescent="0.25">
      <c r="A19" s="25">
        <v>45307</v>
      </c>
      <c r="B19" s="56">
        <v>1583.662</v>
      </c>
      <c r="C19" s="46">
        <v>1093.22</v>
      </c>
      <c r="D19" s="47">
        <v>5690</v>
      </c>
      <c r="E19" s="47">
        <v>5299</v>
      </c>
      <c r="F19" s="13">
        <f t="shared" si="0"/>
        <v>9011036.7799999993</v>
      </c>
      <c r="G19" s="13">
        <f t="shared" si="0"/>
        <v>5792972.7800000003</v>
      </c>
      <c r="H19" s="26">
        <v>98.5</v>
      </c>
      <c r="I19" s="13">
        <v>1937000</v>
      </c>
      <c r="J19" s="27">
        <v>61.5</v>
      </c>
      <c r="K19" s="13">
        <v>563000</v>
      </c>
      <c r="L19" s="13">
        <v>55000</v>
      </c>
      <c r="M19" s="13">
        <v>605000</v>
      </c>
      <c r="N19" s="13">
        <v>218000</v>
      </c>
      <c r="O19" s="13"/>
      <c r="P19" s="13"/>
    </row>
    <row r="20" spans="1:16" x14ac:dyDescent="0.25">
      <c r="A20" s="25">
        <v>45308</v>
      </c>
      <c r="B20" s="56">
        <v>1661.35</v>
      </c>
      <c r="C20" s="46">
        <v>3487</v>
      </c>
      <c r="D20" s="47">
        <v>5690</v>
      </c>
      <c r="E20" s="47">
        <v>5299</v>
      </c>
      <c r="F20" s="13">
        <f>B20*D20</f>
        <v>9453081.5</v>
      </c>
      <c r="G20" s="13">
        <f t="shared" si="0"/>
        <v>18477613</v>
      </c>
      <c r="H20" s="26">
        <v>6.5</v>
      </c>
      <c r="I20" s="13">
        <v>122500</v>
      </c>
      <c r="J20" s="27">
        <v>18</v>
      </c>
      <c r="K20" s="13">
        <v>168000</v>
      </c>
      <c r="L20" s="13">
        <v>15000</v>
      </c>
      <c r="M20" s="13">
        <v>514500</v>
      </c>
      <c r="N20" s="13">
        <v>17000</v>
      </c>
      <c r="O20" s="13"/>
      <c r="P20" s="13"/>
    </row>
    <row r="21" spans="1:16" x14ac:dyDescent="0.25">
      <c r="A21" s="25">
        <v>45309</v>
      </c>
      <c r="B21" s="56">
        <v>1716.799</v>
      </c>
      <c r="C21" s="46">
        <v>1871.56</v>
      </c>
      <c r="D21" s="47">
        <v>5690</v>
      </c>
      <c r="E21" s="47">
        <v>5299</v>
      </c>
      <c r="F21" s="13">
        <f t="shared" si="0"/>
        <v>9768586.3100000005</v>
      </c>
      <c r="G21" s="13">
        <f t="shared" si="0"/>
        <v>9917396.4399999995</v>
      </c>
      <c r="H21" s="26">
        <v>20.5</v>
      </c>
      <c r="I21" s="13">
        <v>395000</v>
      </c>
      <c r="J21" s="12">
        <v>24</v>
      </c>
      <c r="K21" s="13">
        <v>224000</v>
      </c>
      <c r="L21" s="13">
        <v>38000</v>
      </c>
      <c r="M21" s="13">
        <v>423000</v>
      </c>
      <c r="N21" s="13">
        <v>189000</v>
      </c>
      <c r="O21" s="13"/>
      <c r="P21" s="12"/>
    </row>
    <row r="22" spans="1:16" x14ac:dyDescent="0.25">
      <c r="A22" s="25">
        <v>45310</v>
      </c>
      <c r="B22" s="56">
        <v>1541.2360000000001</v>
      </c>
      <c r="C22" s="46">
        <v>3199.1</v>
      </c>
      <c r="D22" s="47">
        <v>5690</v>
      </c>
      <c r="E22" s="47">
        <v>5299</v>
      </c>
      <c r="F22" s="13">
        <f t="shared" si="0"/>
        <v>8769632.8399999999</v>
      </c>
      <c r="G22" s="13">
        <f t="shared" si="0"/>
        <v>16952030.899999999</v>
      </c>
      <c r="H22" s="26">
        <v>57.75</v>
      </c>
      <c r="I22" s="13">
        <v>1223000</v>
      </c>
      <c r="J22" s="12">
        <v>36.5</v>
      </c>
      <c r="K22" s="13">
        <v>337000</v>
      </c>
      <c r="L22" s="13">
        <v>128000</v>
      </c>
      <c r="M22" s="13">
        <v>636500</v>
      </c>
      <c r="N22" s="13">
        <v>361000</v>
      </c>
      <c r="O22" s="13"/>
      <c r="P22" s="12"/>
    </row>
    <row r="23" spans="1:16" x14ac:dyDescent="0.25">
      <c r="A23" s="25" t="s">
        <v>71</v>
      </c>
      <c r="B23" s="56">
        <v>1655.194</v>
      </c>
      <c r="C23" s="46">
        <v>3419.2</v>
      </c>
      <c r="D23" s="47">
        <v>5690</v>
      </c>
      <c r="E23" s="47">
        <v>5299</v>
      </c>
      <c r="F23" s="13">
        <f t="shared" si="0"/>
        <v>9418053.8599999994</v>
      </c>
      <c r="G23" s="13">
        <f t="shared" si="0"/>
        <v>18118340.800000001</v>
      </c>
      <c r="H23" s="26">
        <v>33.75</v>
      </c>
      <c r="I23" s="13">
        <v>641500</v>
      </c>
      <c r="J23" s="12">
        <v>33</v>
      </c>
      <c r="K23" s="13">
        <v>308000</v>
      </c>
      <c r="L23" s="13">
        <v>31000</v>
      </c>
      <c r="M23" s="13">
        <v>742300</v>
      </c>
      <c r="N23" s="13">
        <v>0</v>
      </c>
      <c r="O23" s="13"/>
      <c r="P23" s="12"/>
    </row>
    <row r="24" spans="1:16" x14ac:dyDescent="0.25">
      <c r="A24" s="25">
        <v>45312</v>
      </c>
      <c r="B24" s="56">
        <v>1771.405</v>
      </c>
      <c r="C24" s="46">
        <v>1666.7</v>
      </c>
      <c r="D24" s="47">
        <v>5690</v>
      </c>
      <c r="E24" s="47">
        <v>5299</v>
      </c>
      <c r="F24" s="13">
        <f t="shared" si="0"/>
        <v>10079294.449999999</v>
      </c>
      <c r="G24" s="13">
        <f t="shared" si="0"/>
        <v>8831843.3000000007</v>
      </c>
      <c r="H24" s="26">
        <v>51.5</v>
      </c>
      <c r="I24" s="13">
        <v>955000</v>
      </c>
      <c r="J24" s="12">
        <v>48.5</v>
      </c>
      <c r="K24" s="13">
        <v>449000</v>
      </c>
      <c r="L24" s="13">
        <v>68000</v>
      </c>
      <c r="M24" s="13">
        <v>571500</v>
      </c>
      <c r="N24" s="13">
        <v>109000</v>
      </c>
      <c r="O24" s="13"/>
      <c r="P24" s="12"/>
    </row>
    <row r="25" spans="1:16" x14ac:dyDescent="0.25">
      <c r="A25" s="25">
        <v>45313</v>
      </c>
      <c r="B25" s="56">
        <v>1376.5519999999999</v>
      </c>
      <c r="C25" s="46">
        <v>2560.0700000000002</v>
      </c>
      <c r="D25" s="47">
        <v>5590</v>
      </c>
      <c r="E25" s="47">
        <v>5299</v>
      </c>
      <c r="F25" s="13">
        <f t="shared" si="0"/>
        <v>7694925.6799999997</v>
      </c>
      <c r="G25" s="13">
        <f t="shared" si="0"/>
        <v>13565810.930000002</v>
      </c>
      <c r="H25" s="26">
        <v>103.75</v>
      </c>
      <c r="I25" s="13">
        <v>2140500</v>
      </c>
      <c r="J25" s="12">
        <v>24.5</v>
      </c>
      <c r="K25" s="13">
        <v>225000</v>
      </c>
      <c r="L25" s="13">
        <v>23000</v>
      </c>
      <c r="M25" s="13">
        <v>476000</v>
      </c>
      <c r="N25" s="13">
        <v>126000</v>
      </c>
      <c r="O25" s="13"/>
      <c r="P25" s="12"/>
    </row>
    <row r="26" spans="1:16" x14ac:dyDescent="0.25">
      <c r="A26" s="25">
        <v>45314</v>
      </c>
      <c r="B26" s="56">
        <v>1639.2449999999999</v>
      </c>
      <c r="C26" s="46">
        <v>3225.34</v>
      </c>
      <c r="D26" s="47">
        <v>5590</v>
      </c>
      <c r="E26" s="47">
        <v>5299</v>
      </c>
      <c r="F26" s="13">
        <f t="shared" si="0"/>
        <v>9163379.5499999989</v>
      </c>
      <c r="G26" s="13">
        <f t="shared" si="0"/>
        <v>17091076.66</v>
      </c>
      <c r="H26" s="26">
        <v>102.25</v>
      </c>
      <c r="I26" s="13">
        <v>2214000</v>
      </c>
      <c r="J26" s="12">
        <v>49</v>
      </c>
      <c r="K26" s="13">
        <v>450000</v>
      </c>
      <c r="L26" s="13">
        <v>61000</v>
      </c>
      <c r="M26" s="13">
        <v>381000</v>
      </c>
      <c r="N26" s="13">
        <v>109000</v>
      </c>
      <c r="O26" s="13"/>
      <c r="P26" s="12"/>
    </row>
    <row r="27" spans="1:16" x14ac:dyDescent="0.25">
      <c r="A27" s="25">
        <v>45315</v>
      </c>
      <c r="B27" s="56">
        <v>1534.5070000000001</v>
      </c>
      <c r="C27" s="46">
        <v>3430.61</v>
      </c>
      <c r="D27" s="47">
        <v>5590</v>
      </c>
      <c r="E27" s="47">
        <v>5299</v>
      </c>
      <c r="F27" s="13">
        <f t="shared" si="0"/>
        <v>8577894.1300000008</v>
      </c>
      <c r="G27" s="13">
        <f t="shared" si="0"/>
        <v>18178802.390000001</v>
      </c>
      <c r="H27" s="26">
        <v>28.5</v>
      </c>
      <c r="I27" s="13">
        <v>576500</v>
      </c>
      <c r="J27" s="12">
        <v>24</v>
      </c>
      <c r="K27" s="13">
        <v>224000</v>
      </c>
      <c r="L27" s="13">
        <v>8000</v>
      </c>
      <c r="M27" s="13">
        <v>472000</v>
      </c>
      <c r="N27" s="13">
        <v>126000</v>
      </c>
      <c r="O27" s="13"/>
      <c r="P27" s="12"/>
    </row>
    <row r="28" spans="1:16" x14ac:dyDescent="0.25">
      <c r="A28" s="25">
        <v>45316</v>
      </c>
      <c r="B28" s="56">
        <v>1500.15</v>
      </c>
      <c r="C28" s="46">
        <v>2578.61</v>
      </c>
      <c r="D28" s="47">
        <v>5590</v>
      </c>
      <c r="E28" s="47">
        <v>5299</v>
      </c>
      <c r="F28" s="13">
        <f t="shared" si="0"/>
        <v>8385838.5000000009</v>
      </c>
      <c r="G28" s="13">
        <f t="shared" si="0"/>
        <v>13664054.390000001</v>
      </c>
      <c r="H28" s="26">
        <v>28.75</v>
      </c>
      <c r="I28" s="13">
        <v>573000</v>
      </c>
      <c r="J28" s="12">
        <v>52.5</v>
      </c>
      <c r="K28" s="13">
        <v>500000</v>
      </c>
      <c r="L28" s="13">
        <v>24000</v>
      </c>
      <c r="M28" s="13">
        <v>1308100</v>
      </c>
      <c r="N28" s="13">
        <v>254500</v>
      </c>
      <c r="O28" s="13"/>
      <c r="P28" s="12"/>
    </row>
    <row r="29" spans="1:16" x14ac:dyDescent="0.25">
      <c r="A29" s="25">
        <v>45317</v>
      </c>
      <c r="B29" s="56">
        <v>1551.6320000000001</v>
      </c>
      <c r="C29" s="46">
        <v>6593.32</v>
      </c>
      <c r="D29" s="47">
        <v>5590</v>
      </c>
      <c r="E29" s="47">
        <v>5299</v>
      </c>
      <c r="F29" s="13">
        <f t="shared" si="0"/>
        <v>8673622.8800000008</v>
      </c>
      <c r="G29" s="13">
        <f t="shared" si="0"/>
        <v>34938002.68</v>
      </c>
      <c r="H29" s="26">
        <v>17.5</v>
      </c>
      <c r="I29" s="13">
        <v>401500</v>
      </c>
      <c r="J29" s="12">
        <v>69.5</v>
      </c>
      <c r="K29" s="13">
        <v>645000</v>
      </c>
      <c r="L29" s="13">
        <v>30000</v>
      </c>
      <c r="M29" s="13">
        <v>683800</v>
      </c>
      <c r="N29" s="13">
        <v>654000</v>
      </c>
      <c r="O29" s="13"/>
      <c r="P29" s="12"/>
    </row>
    <row r="30" spans="1:16" x14ac:dyDescent="0.25">
      <c r="A30" s="25">
        <v>45318</v>
      </c>
      <c r="B30" s="56">
        <v>1719.538</v>
      </c>
      <c r="C30" s="46">
        <v>2737.26</v>
      </c>
      <c r="D30" s="47">
        <v>5590</v>
      </c>
      <c r="E30" s="47">
        <v>5299</v>
      </c>
      <c r="F30" s="13">
        <f t="shared" si="0"/>
        <v>9612217.4199999999</v>
      </c>
      <c r="G30" s="13">
        <f t="shared" si="0"/>
        <v>14504740.740000002</v>
      </c>
      <c r="H30" s="26">
        <v>79.5</v>
      </c>
      <c r="I30" s="13">
        <v>1719000</v>
      </c>
      <c r="J30" s="12">
        <v>46</v>
      </c>
      <c r="K30" s="13">
        <v>422000</v>
      </c>
      <c r="L30" s="13">
        <v>38000</v>
      </c>
      <c r="M30" s="13">
        <v>477000</v>
      </c>
      <c r="N30" s="13">
        <v>189000</v>
      </c>
      <c r="O30" s="13"/>
      <c r="P30" s="12"/>
    </row>
    <row r="31" spans="1:16" x14ac:dyDescent="0.25">
      <c r="A31" s="25">
        <v>45319</v>
      </c>
      <c r="B31" s="56">
        <v>1637.3530000000001</v>
      </c>
      <c r="C31" s="46">
        <v>2515.4299999999998</v>
      </c>
      <c r="D31" s="47">
        <v>5590</v>
      </c>
      <c r="E31" s="47">
        <v>5299</v>
      </c>
      <c r="F31" s="13">
        <f t="shared" si="0"/>
        <v>9152803.2699999996</v>
      </c>
      <c r="G31" s="13">
        <f t="shared" si="0"/>
        <v>13329263.569999998</v>
      </c>
      <c r="H31" s="26">
        <v>41.5</v>
      </c>
      <c r="I31" s="13">
        <v>846000</v>
      </c>
      <c r="J31" s="12">
        <v>42.5</v>
      </c>
      <c r="K31" s="13">
        <v>393000</v>
      </c>
      <c r="L31" s="13">
        <v>8000</v>
      </c>
      <c r="M31" s="13">
        <v>770500</v>
      </c>
      <c r="N31" s="13">
        <v>206500</v>
      </c>
      <c r="O31" s="13"/>
      <c r="P31" s="12"/>
    </row>
    <row r="32" spans="1:16" x14ac:dyDescent="0.25">
      <c r="A32" s="25">
        <v>45320</v>
      </c>
      <c r="B32" s="56">
        <v>1786.7660000000001</v>
      </c>
      <c r="C32" s="46">
        <v>7925.78</v>
      </c>
      <c r="D32" s="47">
        <v>5570</v>
      </c>
      <c r="E32" s="47">
        <v>5250</v>
      </c>
      <c r="F32" s="13">
        <f t="shared" si="0"/>
        <v>9952286.620000001</v>
      </c>
      <c r="G32" s="13">
        <f t="shared" si="0"/>
        <v>41610345</v>
      </c>
      <c r="H32" s="26">
        <v>51.75</v>
      </c>
      <c r="I32" s="13">
        <v>1101000</v>
      </c>
      <c r="J32" s="12">
        <v>55.5</v>
      </c>
      <c r="K32" s="13">
        <v>507000</v>
      </c>
      <c r="L32" s="13">
        <v>45000</v>
      </c>
      <c r="M32" s="13">
        <v>545500</v>
      </c>
      <c r="N32" s="13">
        <v>201000</v>
      </c>
      <c r="O32" s="13"/>
      <c r="P32" s="12"/>
    </row>
    <row r="33" spans="1:16" x14ac:dyDescent="0.25">
      <c r="A33" s="25">
        <v>45321</v>
      </c>
      <c r="B33" s="56">
        <v>1529.556</v>
      </c>
      <c r="C33" s="46">
        <v>4909.6899999999996</v>
      </c>
      <c r="D33" s="47">
        <v>5570</v>
      </c>
      <c r="E33" s="47">
        <v>5250</v>
      </c>
      <c r="F33" s="13">
        <f t="shared" si="0"/>
        <v>8519626.9199999999</v>
      </c>
      <c r="G33" s="13">
        <f t="shared" si="0"/>
        <v>25775872.499999996</v>
      </c>
      <c r="H33" s="26">
        <v>77.25</v>
      </c>
      <c r="I33" s="13">
        <v>1533500</v>
      </c>
      <c r="J33" s="12">
        <v>55</v>
      </c>
      <c r="K33" s="13">
        <v>506000</v>
      </c>
      <c r="L33" s="13">
        <v>84000</v>
      </c>
      <c r="M33" s="13">
        <v>585000</v>
      </c>
      <c r="N33" s="13">
        <v>208500</v>
      </c>
      <c r="O33" s="13"/>
      <c r="P33" s="12"/>
    </row>
    <row r="34" spans="1:16" x14ac:dyDescent="0.25">
      <c r="A34" s="25">
        <v>45322</v>
      </c>
      <c r="B34" s="56">
        <v>1822.0820000000001</v>
      </c>
      <c r="C34" s="46">
        <v>3771.51</v>
      </c>
      <c r="D34" s="47">
        <v>5570</v>
      </c>
      <c r="E34" s="47">
        <v>5250</v>
      </c>
      <c r="F34" s="13">
        <f t="shared" ref="F34:G34" si="1">B34*D34</f>
        <v>10148996.74</v>
      </c>
      <c r="G34" s="13">
        <f t="shared" si="1"/>
        <v>19800427.5</v>
      </c>
      <c r="H34" s="26">
        <v>53.25</v>
      </c>
      <c r="I34" s="13">
        <v>1086000</v>
      </c>
      <c r="J34" s="12">
        <v>97.5</v>
      </c>
      <c r="K34" s="13">
        <v>797000</v>
      </c>
      <c r="L34" s="13">
        <v>105000</v>
      </c>
      <c r="M34" s="13">
        <v>868900</v>
      </c>
      <c r="N34" s="13">
        <v>0</v>
      </c>
      <c r="O34" s="13"/>
      <c r="P34" s="12"/>
    </row>
    <row r="35" spans="1:16" x14ac:dyDescent="0.25">
      <c r="A35" s="15"/>
      <c r="B35" s="37"/>
      <c r="C35" s="37"/>
      <c r="D35" s="38"/>
      <c r="E35" s="38"/>
      <c r="F35" s="39"/>
      <c r="G35" s="39"/>
      <c r="H35" s="39"/>
      <c r="I35" s="13"/>
      <c r="J35" s="15"/>
      <c r="K35" s="38"/>
      <c r="L35" s="38"/>
      <c r="M35" s="13"/>
      <c r="N35" s="38"/>
      <c r="O35" s="38"/>
      <c r="P35" s="15"/>
    </row>
    <row r="36" spans="1:16" x14ac:dyDescent="0.25">
      <c r="A36" s="15"/>
      <c r="B36" s="37">
        <f>SUM(B4:B35)</f>
        <v>49912.541000000012</v>
      </c>
      <c r="C36" s="37">
        <f>SUM(C4:C35)</f>
        <v>104482.06999999998</v>
      </c>
      <c r="D36" s="38">
        <f>SUM(D4:D35)</f>
        <v>175330</v>
      </c>
      <c r="E36" s="38"/>
      <c r="F36" s="39">
        <f>SUM(F4:F35)</f>
        <v>282289852.11000001</v>
      </c>
      <c r="G36" s="39">
        <f>SUM(G4:G35)</f>
        <v>552836746.91000009</v>
      </c>
      <c r="H36" s="39">
        <f t="shared" ref="H36:I36" si="2">SUM(H4:H35)</f>
        <v>1442.25</v>
      </c>
      <c r="I36" s="39">
        <f t="shared" si="2"/>
        <v>29897000</v>
      </c>
      <c r="J36" s="39">
        <f>SUM(J4:J35)</f>
        <v>1466.5</v>
      </c>
      <c r="K36" s="39">
        <f>SUM(K4:K35)</f>
        <v>13304000</v>
      </c>
      <c r="L36" s="39">
        <f>SUM(L4:L35)</f>
        <v>1755000</v>
      </c>
      <c r="M36" s="38">
        <f>SUM(M4:M35)</f>
        <v>19218200</v>
      </c>
      <c r="N36" s="38">
        <f>SUM(N5:N35)</f>
        <v>4216600</v>
      </c>
      <c r="O36" s="38"/>
      <c r="P36" s="15"/>
    </row>
  </sheetData>
  <mergeCells count="7">
    <mergeCell ref="B1:P1"/>
    <mergeCell ref="B2:C2"/>
    <mergeCell ref="D2:E2"/>
    <mergeCell ref="F2:G2"/>
    <mergeCell ref="H2:I2"/>
    <mergeCell ref="J2:K2"/>
    <mergeCell ref="N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9"/>
  <sheetViews>
    <sheetView topLeftCell="I31" workbookViewId="0">
      <selection activeCell="M27" sqref="M27"/>
    </sheetView>
  </sheetViews>
  <sheetFormatPr defaultRowHeight="15" x14ac:dyDescent="0.25"/>
  <cols>
    <col min="1" max="1" width="9.42578125" bestFit="1" customWidth="1"/>
    <col min="2" max="2" width="11.5703125" customWidth="1"/>
    <col min="3" max="3" width="12.42578125" customWidth="1"/>
    <col min="4" max="4" width="10" customWidth="1"/>
    <col min="5" max="5" width="9.42578125" customWidth="1"/>
    <col min="6" max="6" width="14.7109375" customWidth="1"/>
    <col min="7" max="7" width="14.42578125" customWidth="1"/>
    <col min="8" max="8" width="11.7109375" customWidth="1"/>
    <col min="9" max="9" width="13.85546875" customWidth="1"/>
    <col min="10" max="10" width="11.5703125" customWidth="1"/>
    <col min="11" max="11" width="14" customWidth="1"/>
    <col min="12" max="12" width="12.85546875" customWidth="1"/>
    <col min="13" max="13" width="12.28515625" customWidth="1"/>
    <col min="14" max="14" width="10.85546875" customWidth="1"/>
    <col min="17" max="17" width="15.140625" customWidth="1"/>
  </cols>
  <sheetData>
    <row r="1" spans="1:23" ht="18.75" x14ac:dyDescent="0.3">
      <c r="A1" s="6"/>
      <c r="B1" s="81" t="s">
        <v>45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11"/>
      <c r="R1" s="85" t="s">
        <v>46</v>
      </c>
      <c r="S1" s="85"/>
      <c r="T1" s="85"/>
      <c r="U1" s="85"/>
      <c r="V1" s="85"/>
      <c r="W1" s="85"/>
    </row>
    <row r="2" spans="1:23" x14ac:dyDescent="0.25">
      <c r="A2" s="12" t="s">
        <v>0</v>
      </c>
      <c r="B2" s="82" t="s">
        <v>5</v>
      </c>
      <c r="C2" s="82"/>
      <c r="D2" s="83" t="s">
        <v>12</v>
      </c>
      <c r="E2" s="83"/>
      <c r="F2" s="83" t="s">
        <v>6</v>
      </c>
      <c r="G2" s="83"/>
      <c r="H2" s="84" t="s">
        <v>7</v>
      </c>
      <c r="I2" s="84"/>
      <c r="J2" s="84" t="s">
        <v>8</v>
      </c>
      <c r="K2" s="84"/>
      <c r="L2" s="13"/>
      <c r="M2" s="13" t="s">
        <v>35</v>
      </c>
      <c r="N2" s="84" t="s">
        <v>15</v>
      </c>
      <c r="O2" s="84"/>
      <c r="P2" s="84"/>
      <c r="Q2" s="44"/>
      <c r="R2" s="86" t="s">
        <v>36</v>
      </c>
      <c r="S2" s="87"/>
      <c r="T2" s="88"/>
      <c r="U2" s="89" t="s">
        <v>47</v>
      </c>
      <c r="V2" s="90"/>
      <c r="W2" s="91"/>
    </row>
    <row r="3" spans="1:23" x14ac:dyDescent="0.25">
      <c r="A3" s="16"/>
      <c r="B3" s="17" t="s">
        <v>1</v>
      </c>
      <c r="C3" s="17" t="s">
        <v>2</v>
      </c>
      <c r="D3" s="18" t="s">
        <v>1</v>
      </c>
      <c r="E3" s="18" t="s">
        <v>2</v>
      </c>
      <c r="F3" s="19" t="s">
        <v>1</v>
      </c>
      <c r="G3" s="19" t="s">
        <v>2</v>
      </c>
      <c r="H3" s="19" t="s">
        <v>9</v>
      </c>
      <c r="I3" s="18" t="s">
        <v>10</v>
      </c>
      <c r="J3" s="16" t="s">
        <v>11</v>
      </c>
      <c r="K3" s="18" t="s">
        <v>10</v>
      </c>
      <c r="L3" s="18" t="s">
        <v>4</v>
      </c>
      <c r="M3" s="18" t="s">
        <v>67</v>
      </c>
      <c r="N3" s="18" t="s">
        <v>52</v>
      </c>
      <c r="O3" s="18" t="s">
        <v>40</v>
      </c>
      <c r="P3" s="16" t="s">
        <v>28</v>
      </c>
      <c r="Q3" s="44" t="s">
        <v>3</v>
      </c>
      <c r="R3" s="18" t="s">
        <v>1</v>
      </c>
      <c r="S3" s="18" t="s">
        <v>2</v>
      </c>
      <c r="T3" s="18" t="s">
        <v>60</v>
      </c>
      <c r="U3" s="18" t="s">
        <v>39</v>
      </c>
      <c r="V3" s="18" t="s">
        <v>38</v>
      </c>
      <c r="W3" s="18" t="s">
        <v>37</v>
      </c>
    </row>
    <row r="4" spans="1:23" x14ac:dyDescent="0.25">
      <c r="A4" s="25">
        <v>45170</v>
      </c>
      <c r="B4" s="46">
        <v>2698.57</v>
      </c>
      <c r="C4" s="46">
        <v>5438.77</v>
      </c>
      <c r="D4" s="47">
        <v>5450</v>
      </c>
      <c r="E4" s="47">
        <v>4999</v>
      </c>
      <c r="F4" s="13">
        <f t="shared" ref="F4:G34" si="0">B4*D4</f>
        <v>14707206.5</v>
      </c>
      <c r="G4" s="13">
        <f t="shared" si="0"/>
        <v>27188411.23</v>
      </c>
      <c r="H4" s="26">
        <v>41.5</v>
      </c>
      <c r="I4" s="13">
        <v>837500</v>
      </c>
      <c r="J4" s="27">
        <v>55</v>
      </c>
      <c r="K4" s="13">
        <v>506000</v>
      </c>
      <c r="L4" s="13">
        <v>30000</v>
      </c>
      <c r="M4" s="13">
        <v>529000</v>
      </c>
      <c r="N4" s="13">
        <v>0</v>
      </c>
      <c r="O4" s="13"/>
      <c r="P4" s="13"/>
      <c r="Q4" s="45">
        <f>SUM(F4:G4)+I4+K4+SUM(L4:P4)</f>
        <v>43798117.730000004</v>
      </c>
      <c r="R4" s="13"/>
      <c r="S4" s="13"/>
      <c r="T4" s="13"/>
      <c r="U4" s="13"/>
      <c r="V4" s="13"/>
      <c r="W4" s="13"/>
    </row>
    <row r="5" spans="1:23" x14ac:dyDescent="0.25">
      <c r="A5" s="25">
        <v>45171</v>
      </c>
      <c r="B5" s="46">
        <v>1816.37</v>
      </c>
      <c r="C5" s="46">
        <v>4917.03</v>
      </c>
      <c r="D5" s="47">
        <v>5450</v>
      </c>
      <c r="E5" s="47">
        <v>4999</v>
      </c>
      <c r="F5" s="13">
        <f t="shared" si="0"/>
        <v>9899216.5</v>
      </c>
      <c r="G5" s="13">
        <f t="shared" si="0"/>
        <v>24580232.969999999</v>
      </c>
      <c r="H5" s="31">
        <v>111</v>
      </c>
      <c r="I5" s="13">
        <v>2337000</v>
      </c>
      <c r="J5" s="27">
        <v>18</v>
      </c>
      <c r="K5" s="13">
        <v>168000</v>
      </c>
      <c r="L5" s="13">
        <v>0</v>
      </c>
      <c r="M5" s="13">
        <v>1291500</v>
      </c>
      <c r="N5" s="13"/>
      <c r="O5" s="13"/>
      <c r="P5" s="13"/>
      <c r="Q5" s="45">
        <f t="shared" ref="Q5:Q34" si="1">SUM(F5:G5)+I5+K5+SUM(L5:P5)</f>
        <v>38275949.469999999</v>
      </c>
      <c r="R5" s="13"/>
      <c r="S5" s="13"/>
      <c r="T5" s="13"/>
      <c r="U5" s="13"/>
      <c r="V5" s="13"/>
      <c r="W5" s="13"/>
    </row>
    <row r="6" spans="1:23" x14ac:dyDescent="0.25">
      <c r="A6" s="25">
        <v>45172</v>
      </c>
      <c r="B6" s="46">
        <v>0</v>
      </c>
      <c r="C6" s="46">
        <v>1942.27</v>
      </c>
      <c r="D6" s="47">
        <v>5450</v>
      </c>
      <c r="E6" s="47">
        <v>4999</v>
      </c>
      <c r="F6" s="13">
        <f t="shared" si="0"/>
        <v>0</v>
      </c>
      <c r="G6" s="13">
        <f t="shared" si="0"/>
        <v>9709407.7300000004</v>
      </c>
      <c r="H6" s="26">
        <v>71.5</v>
      </c>
      <c r="I6" s="13">
        <v>1419000</v>
      </c>
      <c r="J6" s="27">
        <v>33</v>
      </c>
      <c r="K6" s="13">
        <v>308000</v>
      </c>
      <c r="L6" s="13">
        <v>70000</v>
      </c>
      <c r="M6" s="13">
        <v>724700</v>
      </c>
      <c r="N6" s="13"/>
      <c r="O6" s="13"/>
      <c r="P6" s="13"/>
      <c r="Q6" s="45">
        <f t="shared" si="1"/>
        <v>12231107.73</v>
      </c>
      <c r="R6" s="13"/>
      <c r="S6" s="13"/>
      <c r="T6" s="13"/>
      <c r="U6" s="13"/>
      <c r="V6" s="13"/>
      <c r="W6" s="13"/>
    </row>
    <row r="7" spans="1:23" x14ac:dyDescent="0.25">
      <c r="A7" s="25">
        <v>45173</v>
      </c>
      <c r="B7" s="46">
        <v>0</v>
      </c>
      <c r="C7" s="46">
        <v>6523.25</v>
      </c>
      <c r="D7" s="47">
        <v>5550</v>
      </c>
      <c r="E7" s="47">
        <v>4999</v>
      </c>
      <c r="F7" s="13">
        <f t="shared" si="0"/>
        <v>0</v>
      </c>
      <c r="G7" s="13">
        <f t="shared" si="0"/>
        <v>32609726.75</v>
      </c>
      <c r="H7" s="26">
        <v>76</v>
      </c>
      <c r="I7" s="13">
        <v>1525500</v>
      </c>
      <c r="J7" s="27">
        <v>80.5</v>
      </c>
      <c r="K7" s="13">
        <v>733000</v>
      </c>
      <c r="L7" s="13">
        <v>88000</v>
      </c>
      <c r="M7" s="13">
        <v>609000</v>
      </c>
      <c r="N7" s="13">
        <v>80000</v>
      </c>
      <c r="O7" s="13"/>
      <c r="P7" s="13"/>
      <c r="Q7" s="45">
        <f t="shared" si="1"/>
        <v>35645226.75</v>
      </c>
      <c r="R7" s="13"/>
      <c r="S7" s="13"/>
      <c r="T7" s="13"/>
      <c r="U7" s="13"/>
      <c r="V7" s="13"/>
      <c r="W7" s="13"/>
    </row>
    <row r="8" spans="1:23" x14ac:dyDescent="0.25">
      <c r="A8" s="25">
        <v>45174</v>
      </c>
      <c r="B8" s="46">
        <v>0</v>
      </c>
      <c r="C8" s="46">
        <v>6969.22</v>
      </c>
      <c r="D8" s="47">
        <v>5550</v>
      </c>
      <c r="E8" s="47">
        <v>4999</v>
      </c>
      <c r="F8" s="13">
        <f t="shared" si="0"/>
        <v>0</v>
      </c>
      <c r="G8" s="13">
        <f t="shared" si="0"/>
        <v>34839130.780000001</v>
      </c>
      <c r="H8" s="26">
        <v>90.5</v>
      </c>
      <c r="I8" s="13">
        <v>1963000</v>
      </c>
      <c r="J8" s="27">
        <v>18</v>
      </c>
      <c r="K8" s="13">
        <v>168000</v>
      </c>
      <c r="L8" s="13">
        <v>15000</v>
      </c>
      <c r="M8" s="13">
        <v>764000</v>
      </c>
      <c r="N8" s="13">
        <v>80000</v>
      </c>
      <c r="O8" s="13"/>
      <c r="P8" s="13"/>
      <c r="Q8" s="45">
        <f t="shared" si="1"/>
        <v>37829130.780000001</v>
      </c>
      <c r="R8" s="13"/>
      <c r="S8" s="13"/>
      <c r="T8" s="13"/>
      <c r="U8" s="13"/>
      <c r="V8" s="13"/>
      <c r="W8" s="13"/>
    </row>
    <row r="9" spans="1:23" x14ac:dyDescent="0.25">
      <c r="A9" s="25">
        <v>45175</v>
      </c>
      <c r="B9" s="46">
        <v>731.48</v>
      </c>
      <c r="C9" s="46">
        <v>4816.933</v>
      </c>
      <c r="D9" s="47">
        <v>5550</v>
      </c>
      <c r="E9" s="47">
        <v>4999</v>
      </c>
      <c r="F9" s="13">
        <f t="shared" si="0"/>
        <v>4059714</v>
      </c>
      <c r="G9" s="13">
        <f t="shared" si="0"/>
        <v>24079848.067000002</v>
      </c>
      <c r="H9" s="26">
        <v>90.5</v>
      </c>
      <c r="I9" s="13">
        <v>2000500</v>
      </c>
      <c r="J9" s="27">
        <v>49</v>
      </c>
      <c r="K9" s="13">
        <v>450000</v>
      </c>
      <c r="L9" s="13">
        <v>0</v>
      </c>
      <c r="M9" s="13">
        <v>611000</v>
      </c>
      <c r="N9" s="13">
        <v>80000</v>
      </c>
      <c r="O9" s="13"/>
      <c r="P9" s="31"/>
      <c r="Q9" s="45">
        <f t="shared" si="1"/>
        <v>31281062.067000002</v>
      </c>
      <c r="R9" s="13"/>
      <c r="S9" s="13"/>
      <c r="T9" s="13"/>
      <c r="U9" s="13"/>
      <c r="V9" s="13"/>
      <c r="W9" s="13"/>
    </row>
    <row r="10" spans="1:23" x14ac:dyDescent="0.25">
      <c r="A10" s="25">
        <v>45176</v>
      </c>
      <c r="B10" s="46">
        <v>1967.72</v>
      </c>
      <c r="C10" s="46">
        <v>6537.9</v>
      </c>
      <c r="D10" s="47">
        <v>5550</v>
      </c>
      <c r="E10" s="47">
        <v>5130</v>
      </c>
      <c r="F10" s="13">
        <f t="shared" si="0"/>
        <v>10920846</v>
      </c>
      <c r="G10" s="13">
        <f t="shared" si="0"/>
        <v>33539426.999999996</v>
      </c>
      <c r="H10" s="26">
        <v>172</v>
      </c>
      <c r="I10" s="13">
        <v>3570500</v>
      </c>
      <c r="J10" s="27">
        <v>89.5</v>
      </c>
      <c r="K10" s="13">
        <v>777000</v>
      </c>
      <c r="L10" s="13">
        <v>128000</v>
      </c>
      <c r="M10" s="13">
        <v>511000</v>
      </c>
      <c r="N10" s="13">
        <v>0</v>
      </c>
      <c r="O10" s="13"/>
      <c r="P10" s="13"/>
      <c r="Q10" s="45">
        <f t="shared" si="1"/>
        <v>49446773</v>
      </c>
      <c r="R10" s="13"/>
      <c r="S10" s="13"/>
      <c r="T10" s="13"/>
      <c r="U10" s="13"/>
      <c r="V10" s="13"/>
      <c r="W10" s="13"/>
    </row>
    <row r="11" spans="1:23" x14ac:dyDescent="0.25">
      <c r="A11" s="25">
        <v>45177</v>
      </c>
      <c r="B11" s="46">
        <v>2480.75</v>
      </c>
      <c r="C11" s="46">
        <v>2823.44</v>
      </c>
      <c r="D11" s="47">
        <v>5550</v>
      </c>
      <c r="E11" s="47">
        <v>5130</v>
      </c>
      <c r="F11" s="13">
        <f t="shared" si="0"/>
        <v>13768162.5</v>
      </c>
      <c r="G11" s="13">
        <f t="shared" si="0"/>
        <v>14484247.200000001</v>
      </c>
      <c r="H11" s="26">
        <v>56</v>
      </c>
      <c r="I11" s="13">
        <v>1202000</v>
      </c>
      <c r="J11" s="27">
        <v>12</v>
      </c>
      <c r="K11" s="13">
        <v>112000</v>
      </c>
      <c r="L11" s="13">
        <v>92000</v>
      </c>
      <c r="M11" s="13">
        <v>832000</v>
      </c>
      <c r="N11" s="13">
        <v>0</v>
      </c>
      <c r="O11" s="13"/>
      <c r="P11" s="13"/>
      <c r="Q11" s="45">
        <f t="shared" si="1"/>
        <v>30490409.700000003</v>
      </c>
      <c r="R11" s="13"/>
      <c r="S11" s="13"/>
      <c r="T11" s="13"/>
      <c r="U11" s="13"/>
      <c r="V11" s="13"/>
      <c r="W11" s="13"/>
    </row>
    <row r="12" spans="1:23" x14ac:dyDescent="0.25">
      <c r="A12" s="25">
        <v>45178</v>
      </c>
      <c r="B12" s="46">
        <v>2146.7399999999998</v>
      </c>
      <c r="C12" s="46">
        <v>3114.33</v>
      </c>
      <c r="D12" s="47">
        <v>5550</v>
      </c>
      <c r="E12" s="47">
        <v>5130</v>
      </c>
      <c r="F12" s="13">
        <f t="shared" si="0"/>
        <v>11914406.999999998</v>
      </c>
      <c r="G12" s="13">
        <f t="shared" si="0"/>
        <v>15976512.9</v>
      </c>
      <c r="H12" s="26">
        <v>57.5</v>
      </c>
      <c r="I12" s="13">
        <v>1101000</v>
      </c>
      <c r="J12" s="27">
        <v>0</v>
      </c>
      <c r="K12" s="13">
        <v>0</v>
      </c>
      <c r="L12" s="13">
        <v>16000</v>
      </c>
      <c r="M12" s="13">
        <v>941000</v>
      </c>
      <c r="N12" s="13">
        <v>0</v>
      </c>
      <c r="O12" s="13"/>
      <c r="P12" s="13"/>
      <c r="Q12" s="45">
        <f t="shared" si="1"/>
        <v>29948919.899999999</v>
      </c>
      <c r="R12" s="13"/>
      <c r="S12" s="13"/>
      <c r="T12" s="13"/>
      <c r="U12" s="13"/>
      <c r="V12" s="13"/>
      <c r="W12" s="13"/>
    </row>
    <row r="13" spans="1:23" x14ac:dyDescent="0.25">
      <c r="A13" s="25">
        <v>45179</v>
      </c>
      <c r="B13" s="46">
        <v>1977.09</v>
      </c>
      <c r="C13" s="46">
        <v>3150.08</v>
      </c>
      <c r="D13" s="47">
        <v>5550</v>
      </c>
      <c r="E13" s="47">
        <v>5130</v>
      </c>
      <c r="F13" s="13">
        <f t="shared" si="0"/>
        <v>10972849.5</v>
      </c>
      <c r="G13" s="13">
        <f t="shared" si="0"/>
        <v>16159910.4</v>
      </c>
      <c r="H13" s="26">
        <v>115.5</v>
      </c>
      <c r="I13" s="13">
        <v>2336000</v>
      </c>
      <c r="J13" s="27">
        <v>54.5</v>
      </c>
      <c r="K13" s="13">
        <v>505000</v>
      </c>
      <c r="L13" s="13">
        <v>146000</v>
      </c>
      <c r="M13" s="13">
        <v>942500</v>
      </c>
      <c r="N13" s="13"/>
      <c r="O13" s="13"/>
      <c r="P13" s="13"/>
      <c r="Q13" s="45">
        <f t="shared" si="1"/>
        <v>31062259.899999999</v>
      </c>
      <c r="R13" s="13"/>
      <c r="S13" s="13"/>
      <c r="T13" s="13"/>
      <c r="U13" s="13"/>
      <c r="V13" s="13"/>
      <c r="W13" s="13"/>
    </row>
    <row r="14" spans="1:23" x14ac:dyDescent="0.25">
      <c r="A14" s="25">
        <v>45180</v>
      </c>
      <c r="B14" s="46">
        <v>2097.19</v>
      </c>
      <c r="C14" s="46">
        <v>164.03</v>
      </c>
      <c r="D14" s="47">
        <v>5550</v>
      </c>
      <c r="E14" s="47">
        <v>5130</v>
      </c>
      <c r="F14" s="13">
        <f t="shared" si="0"/>
        <v>11639404.5</v>
      </c>
      <c r="G14" s="13">
        <f t="shared" si="0"/>
        <v>841473.9</v>
      </c>
      <c r="H14" s="26">
        <v>90.5</v>
      </c>
      <c r="I14" s="13">
        <v>1830000</v>
      </c>
      <c r="J14" s="27">
        <v>45.5</v>
      </c>
      <c r="K14" s="13">
        <v>421000</v>
      </c>
      <c r="L14" s="13">
        <v>107000</v>
      </c>
      <c r="M14" s="13">
        <v>701000</v>
      </c>
      <c r="N14" s="13"/>
      <c r="O14" s="13"/>
      <c r="P14" s="13"/>
      <c r="Q14" s="45">
        <f t="shared" si="1"/>
        <v>15539878.4</v>
      </c>
      <c r="R14" s="13"/>
      <c r="S14" s="13"/>
      <c r="T14" s="13"/>
      <c r="U14" s="13"/>
      <c r="V14" s="13"/>
      <c r="W14" s="13"/>
    </row>
    <row r="15" spans="1:23" x14ac:dyDescent="0.25">
      <c r="A15" s="25">
        <v>45181</v>
      </c>
      <c r="B15" s="46">
        <v>1836.38</v>
      </c>
      <c r="C15" s="46">
        <v>0</v>
      </c>
      <c r="D15" s="47">
        <v>5550</v>
      </c>
      <c r="E15" s="47">
        <v>5130</v>
      </c>
      <c r="F15" s="13">
        <f t="shared" si="0"/>
        <v>10191909</v>
      </c>
      <c r="G15" s="13">
        <f t="shared" si="0"/>
        <v>0</v>
      </c>
      <c r="H15" s="26">
        <v>53</v>
      </c>
      <c r="I15" s="51">
        <v>1059000</v>
      </c>
      <c r="J15" s="27">
        <v>30.5</v>
      </c>
      <c r="K15" s="13">
        <v>253000</v>
      </c>
      <c r="L15" s="13">
        <v>15000</v>
      </c>
      <c r="M15" s="13">
        <v>514000</v>
      </c>
      <c r="N15" s="13">
        <v>80000</v>
      </c>
      <c r="O15" s="13"/>
      <c r="P15" s="13"/>
      <c r="Q15" s="45">
        <f t="shared" si="1"/>
        <v>12112909</v>
      </c>
      <c r="R15" s="13"/>
      <c r="S15" s="13"/>
      <c r="T15" s="13"/>
      <c r="U15" s="13"/>
      <c r="V15" s="13"/>
      <c r="W15" s="13"/>
    </row>
    <row r="16" spans="1:23" x14ac:dyDescent="0.25">
      <c r="A16" s="25">
        <v>45182</v>
      </c>
      <c r="B16" s="46">
        <v>1909.12</v>
      </c>
      <c r="C16" s="46">
        <v>0</v>
      </c>
      <c r="D16" s="47">
        <v>5550</v>
      </c>
      <c r="E16" s="47">
        <v>5130</v>
      </c>
      <c r="F16" s="13">
        <f t="shared" si="0"/>
        <v>10595616</v>
      </c>
      <c r="G16" s="13">
        <f t="shared" si="0"/>
        <v>0</v>
      </c>
      <c r="H16" s="26">
        <v>155</v>
      </c>
      <c r="I16" s="13">
        <v>3307500</v>
      </c>
      <c r="J16" s="27">
        <v>54.5</v>
      </c>
      <c r="K16" s="13">
        <v>505000</v>
      </c>
      <c r="L16" s="13">
        <v>80000</v>
      </c>
      <c r="M16" s="13">
        <v>648500</v>
      </c>
      <c r="N16" s="13"/>
      <c r="O16" s="13"/>
      <c r="P16" s="13"/>
      <c r="Q16" s="45">
        <f t="shared" si="1"/>
        <v>15136616</v>
      </c>
      <c r="R16" s="13"/>
      <c r="S16" s="13"/>
      <c r="T16" s="13"/>
      <c r="U16" s="13"/>
      <c r="V16" s="13"/>
      <c r="W16" s="13"/>
    </row>
    <row r="17" spans="1:23" x14ac:dyDescent="0.25">
      <c r="A17" s="25">
        <v>45183</v>
      </c>
      <c r="B17" s="46">
        <v>2070.71</v>
      </c>
      <c r="C17" s="46">
        <v>0</v>
      </c>
      <c r="D17" s="47">
        <v>5550</v>
      </c>
      <c r="E17" s="47">
        <v>5130</v>
      </c>
      <c r="F17" s="13">
        <f t="shared" si="0"/>
        <v>11492440.5</v>
      </c>
      <c r="G17" s="13">
        <f t="shared" si="0"/>
        <v>0</v>
      </c>
      <c r="H17" s="26">
        <v>56</v>
      </c>
      <c r="I17" s="13">
        <v>1239500</v>
      </c>
      <c r="J17" s="27">
        <v>79</v>
      </c>
      <c r="K17" s="13">
        <v>730000</v>
      </c>
      <c r="L17" s="13">
        <v>31000</v>
      </c>
      <c r="M17" s="13">
        <v>637500</v>
      </c>
      <c r="N17" s="13"/>
      <c r="O17" s="13"/>
      <c r="P17" s="13"/>
      <c r="Q17" s="45">
        <f t="shared" si="1"/>
        <v>14130440.5</v>
      </c>
      <c r="R17" s="13"/>
      <c r="S17" s="13"/>
      <c r="T17" s="13"/>
      <c r="U17" s="13"/>
      <c r="V17" s="13"/>
      <c r="W17" s="13"/>
    </row>
    <row r="18" spans="1:23" x14ac:dyDescent="0.25">
      <c r="A18" s="25">
        <v>45184</v>
      </c>
      <c r="B18" s="46">
        <v>2469.88</v>
      </c>
      <c r="C18" s="46">
        <v>3685.66</v>
      </c>
      <c r="D18" s="47">
        <v>5550</v>
      </c>
      <c r="E18" s="47">
        <v>5130</v>
      </c>
      <c r="F18" s="13">
        <f t="shared" si="0"/>
        <v>13707834</v>
      </c>
      <c r="G18" s="13">
        <f t="shared" si="0"/>
        <v>18907435.800000001</v>
      </c>
      <c r="H18" s="13">
        <v>42.5</v>
      </c>
      <c r="I18" s="13">
        <v>903500</v>
      </c>
      <c r="J18" s="27">
        <v>60.5</v>
      </c>
      <c r="K18" s="13">
        <v>561000</v>
      </c>
      <c r="L18" s="13">
        <v>134000</v>
      </c>
      <c r="M18" s="13">
        <v>824700</v>
      </c>
      <c r="N18" s="13"/>
      <c r="O18" s="13"/>
      <c r="P18" s="13"/>
      <c r="Q18" s="45">
        <f t="shared" si="1"/>
        <v>35038469.799999997</v>
      </c>
      <c r="R18" s="13"/>
      <c r="S18" s="13"/>
      <c r="T18" s="13"/>
      <c r="U18" s="13"/>
      <c r="V18" s="13"/>
      <c r="W18" s="13"/>
    </row>
    <row r="19" spans="1:23" x14ac:dyDescent="0.25">
      <c r="A19" s="25">
        <v>45185</v>
      </c>
      <c r="B19" s="46">
        <v>2543.5500000000002</v>
      </c>
      <c r="C19" s="46">
        <v>3043.53</v>
      </c>
      <c r="D19" s="47">
        <v>5550</v>
      </c>
      <c r="E19" s="47">
        <v>5130</v>
      </c>
      <c r="F19" s="13">
        <f t="shared" si="0"/>
        <v>14116702.500000002</v>
      </c>
      <c r="G19" s="13">
        <f t="shared" si="0"/>
        <v>15613308.9</v>
      </c>
      <c r="H19" s="26">
        <v>72.5</v>
      </c>
      <c r="I19" s="13">
        <v>1417500</v>
      </c>
      <c r="J19" s="27">
        <v>18.5</v>
      </c>
      <c r="K19" s="13">
        <v>169000</v>
      </c>
      <c r="L19" s="13">
        <v>91000</v>
      </c>
      <c r="M19" s="13">
        <v>1033000</v>
      </c>
      <c r="N19" s="13"/>
      <c r="O19" s="13"/>
      <c r="P19" s="13"/>
      <c r="Q19" s="45">
        <f t="shared" si="1"/>
        <v>32440511.400000002</v>
      </c>
      <c r="R19" s="13"/>
      <c r="S19" s="13"/>
      <c r="T19" s="13"/>
      <c r="U19" s="13"/>
      <c r="V19" s="13"/>
      <c r="W19" s="13"/>
    </row>
    <row r="20" spans="1:23" x14ac:dyDescent="0.25">
      <c r="A20" s="25">
        <v>45186</v>
      </c>
      <c r="B20" s="46">
        <v>2116.4</v>
      </c>
      <c r="C20" s="46">
        <v>1563.9</v>
      </c>
      <c r="D20" s="47">
        <v>5550</v>
      </c>
      <c r="E20" s="47">
        <v>5130</v>
      </c>
      <c r="F20" s="13">
        <f>B20*D20</f>
        <v>11746020</v>
      </c>
      <c r="G20" s="13">
        <f t="shared" si="0"/>
        <v>8022807.0000000009</v>
      </c>
      <c r="H20" s="26">
        <v>32.5</v>
      </c>
      <c r="I20" s="13">
        <v>679000</v>
      </c>
      <c r="J20" s="27">
        <v>147.5</v>
      </c>
      <c r="K20" s="13">
        <v>1249000</v>
      </c>
      <c r="L20" s="13">
        <v>8000</v>
      </c>
      <c r="M20" s="13">
        <v>922900</v>
      </c>
      <c r="N20" s="13">
        <v>501500</v>
      </c>
      <c r="O20" s="13"/>
      <c r="P20" s="13"/>
      <c r="Q20" s="45">
        <f t="shared" si="1"/>
        <v>23129227</v>
      </c>
      <c r="R20" s="13"/>
      <c r="S20" s="13"/>
      <c r="T20" s="13"/>
      <c r="U20" s="13"/>
      <c r="V20" s="13"/>
      <c r="W20" s="13"/>
    </row>
    <row r="21" spans="1:23" x14ac:dyDescent="0.25">
      <c r="A21" s="25">
        <v>45187</v>
      </c>
      <c r="B21" s="46">
        <v>2110.35</v>
      </c>
      <c r="C21" s="46">
        <v>6790.02</v>
      </c>
      <c r="D21" s="47">
        <v>5550</v>
      </c>
      <c r="E21" s="47">
        <v>5130</v>
      </c>
      <c r="F21" s="13">
        <f t="shared" si="0"/>
        <v>11712442.5</v>
      </c>
      <c r="G21" s="13">
        <f t="shared" si="0"/>
        <v>34832802.600000001</v>
      </c>
      <c r="H21" s="26">
        <v>38</v>
      </c>
      <c r="I21" s="13">
        <v>792000</v>
      </c>
      <c r="J21" s="12">
        <v>24</v>
      </c>
      <c r="K21" s="13">
        <v>224000</v>
      </c>
      <c r="L21" s="13">
        <v>16000</v>
      </c>
      <c r="M21" s="13">
        <v>689500</v>
      </c>
      <c r="N21" s="13">
        <v>80000</v>
      </c>
      <c r="O21" s="13"/>
      <c r="P21" s="12"/>
      <c r="Q21" s="45">
        <f t="shared" si="1"/>
        <v>48346745.100000001</v>
      </c>
      <c r="R21" s="13"/>
      <c r="S21" s="13"/>
      <c r="T21" s="13"/>
      <c r="U21" s="13"/>
      <c r="V21" s="13"/>
      <c r="W21" s="13"/>
    </row>
    <row r="22" spans="1:23" x14ac:dyDescent="0.25">
      <c r="A22" s="25">
        <v>45188</v>
      </c>
      <c r="B22" s="46">
        <v>2177</v>
      </c>
      <c r="C22" s="46">
        <v>5078.74</v>
      </c>
      <c r="D22" s="47">
        <v>5550</v>
      </c>
      <c r="E22" s="47">
        <v>5130</v>
      </c>
      <c r="F22" s="13">
        <f t="shared" si="0"/>
        <v>12082350</v>
      </c>
      <c r="G22" s="13">
        <f t="shared" si="0"/>
        <v>26053936.199999999</v>
      </c>
      <c r="H22" s="26">
        <v>57</v>
      </c>
      <c r="I22" s="13">
        <v>1208000</v>
      </c>
      <c r="J22" s="12">
        <v>42.5</v>
      </c>
      <c r="K22" s="13">
        <v>393000</v>
      </c>
      <c r="L22" s="13">
        <v>91000</v>
      </c>
      <c r="M22" s="13">
        <v>516500</v>
      </c>
      <c r="N22" s="13"/>
      <c r="O22" s="13"/>
      <c r="P22" s="12"/>
      <c r="Q22" s="45">
        <f t="shared" si="1"/>
        <v>40344786.200000003</v>
      </c>
      <c r="R22" s="13"/>
      <c r="S22" s="13"/>
      <c r="T22" s="13"/>
      <c r="U22" s="13"/>
      <c r="V22" s="13"/>
      <c r="W22" s="13"/>
    </row>
    <row r="23" spans="1:23" x14ac:dyDescent="0.25">
      <c r="A23" s="25">
        <v>45189</v>
      </c>
      <c r="B23" s="46">
        <v>2117</v>
      </c>
      <c r="C23" s="46">
        <v>3752.13</v>
      </c>
      <c r="D23" s="47">
        <v>5550</v>
      </c>
      <c r="E23" s="47">
        <v>5130</v>
      </c>
      <c r="F23" s="13">
        <f t="shared" si="0"/>
        <v>11749350</v>
      </c>
      <c r="G23" s="13">
        <f t="shared" si="0"/>
        <v>19248426.900000002</v>
      </c>
      <c r="H23" s="26">
        <v>236</v>
      </c>
      <c r="I23" s="13">
        <v>4464500</v>
      </c>
      <c r="J23" s="12">
        <v>49.5</v>
      </c>
      <c r="K23" s="13">
        <v>451000</v>
      </c>
      <c r="L23" s="13">
        <v>81000</v>
      </c>
      <c r="M23" s="13">
        <v>673000</v>
      </c>
      <c r="N23" s="13"/>
      <c r="O23" s="13"/>
      <c r="P23" s="12"/>
      <c r="Q23" s="45">
        <f t="shared" si="1"/>
        <v>36667276.900000006</v>
      </c>
      <c r="R23" s="13"/>
      <c r="S23" s="13"/>
      <c r="T23" s="13"/>
      <c r="U23" s="13"/>
      <c r="V23" s="13"/>
      <c r="W23" s="13"/>
    </row>
    <row r="24" spans="1:23" x14ac:dyDescent="0.25">
      <c r="A24" s="25">
        <v>45190</v>
      </c>
      <c r="B24" s="46">
        <v>2209.7399999999998</v>
      </c>
      <c r="C24" s="46">
        <v>4513.62</v>
      </c>
      <c r="D24" s="47">
        <v>5550</v>
      </c>
      <c r="E24" s="47">
        <v>5130</v>
      </c>
      <c r="F24" s="13">
        <f t="shared" si="0"/>
        <v>12264056.999999998</v>
      </c>
      <c r="G24" s="13">
        <f t="shared" si="0"/>
        <v>23154870.599999998</v>
      </c>
      <c r="H24" s="26">
        <v>65</v>
      </c>
      <c r="I24" s="13">
        <v>1379000</v>
      </c>
      <c r="J24" s="12">
        <v>30.5</v>
      </c>
      <c r="K24" s="13">
        <v>281000</v>
      </c>
      <c r="L24" s="13">
        <v>30000</v>
      </c>
      <c r="M24" s="13">
        <v>800500</v>
      </c>
      <c r="N24" s="13"/>
      <c r="O24" s="13"/>
      <c r="P24" s="12"/>
      <c r="Q24" s="45">
        <f t="shared" si="1"/>
        <v>37909427.599999994</v>
      </c>
      <c r="R24" s="13"/>
      <c r="S24" s="13"/>
      <c r="T24" s="13"/>
      <c r="U24" s="13"/>
      <c r="V24" s="13"/>
      <c r="W24" s="13"/>
    </row>
    <row r="25" spans="1:23" x14ac:dyDescent="0.25">
      <c r="A25" s="25">
        <v>45191</v>
      </c>
      <c r="B25" s="46">
        <v>2529.81</v>
      </c>
      <c r="C25" s="46">
        <v>2417</v>
      </c>
      <c r="D25" s="47">
        <v>5550</v>
      </c>
      <c r="E25" s="47">
        <v>5130</v>
      </c>
      <c r="F25" s="13">
        <f t="shared" si="0"/>
        <v>14040445.5</v>
      </c>
      <c r="G25" s="13">
        <f t="shared" si="0"/>
        <v>12399210</v>
      </c>
      <c r="H25" s="26">
        <v>73</v>
      </c>
      <c r="I25" s="13">
        <v>1479500</v>
      </c>
      <c r="J25" s="12">
        <v>82.5</v>
      </c>
      <c r="K25" s="13">
        <v>759000</v>
      </c>
      <c r="L25" s="13">
        <v>94000</v>
      </c>
      <c r="M25" s="13">
        <v>614000</v>
      </c>
      <c r="N25" s="13"/>
      <c r="O25" s="13"/>
      <c r="P25" s="12"/>
      <c r="Q25" s="45">
        <f t="shared" si="1"/>
        <v>29386155.5</v>
      </c>
      <c r="R25" s="13"/>
      <c r="S25" s="13"/>
      <c r="T25" s="13"/>
      <c r="U25" s="13"/>
      <c r="V25" s="13"/>
      <c r="W25" s="13"/>
    </row>
    <row r="26" spans="1:23" x14ac:dyDescent="0.25">
      <c r="A26" s="25">
        <v>45192</v>
      </c>
      <c r="B26" s="46">
        <v>2247.89</v>
      </c>
      <c r="C26" s="46">
        <v>10271.41</v>
      </c>
      <c r="D26" s="47">
        <v>5610</v>
      </c>
      <c r="E26" s="47">
        <v>5320</v>
      </c>
      <c r="F26" s="13">
        <f t="shared" si="0"/>
        <v>12610662.899999999</v>
      </c>
      <c r="G26" s="13">
        <f t="shared" si="0"/>
        <v>54643901.199999996</v>
      </c>
      <c r="H26" s="26">
        <v>81.25</v>
      </c>
      <c r="I26" s="13">
        <v>1683500</v>
      </c>
      <c r="J26" s="12">
        <v>79</v>
      </c>
      <c r="K26" s="13">
        <v>730000</v>
      </c>
      <c r="L26" s="13">
        <v>72000</v>
      </c>
      <c r="M26" s="13">
        <v>671000</v>
      </c>
      <c r="N26" s="13">
        <v>367100</v>
      </c>
      <c r="O26" s="13"/>
      <c r="P26" s="12"/>
      <c r="Q26" s="45">
        <f t="shared" ref="Q26" si="2">SUM(F26:G26)+I26+K26+SUM(L26:P26)</f>
        <v>70778164.099999994</v>
      </c>
      <c r="R26" s="13"/>
      <c r="S26" s="13"/>
      <c r="T26" s="13"/>
      <c r="U26" s="13"/>
      <c r="V26" s="13"/>
      <c r="W26" s="13"/>
    </row>
    <row r="27" spans="1:23" x14ac:dyDescent="0.25">
      <c r="A27" s="25">
        <v>45193</v>
      </c>
      <c r="B27" s="46">
        <v>1963.66</v>
      </c>
      <c r="C27" s="46">
        <v>2136.1660000000002</v>
      </c>
      <c r="D27" s="47">
        <v>5610</v>
      </c>
      <c r="E27" s="47">
        <v>5320</v>
      </c>
      <c r="F27" s="13">
        <v>15403593</v>
      </c>
      <c r="G27" s="13">
        <f t="shared" si="0"/>
        <v>11364403.120000001</v>
      </c>
      <c r="H27" s="26">
        <v>77.75</v>
      </c>
      <c r="I27" s="13">
        <v>1607500</v>
      </c>
      <c r="J27" s="12">
        <v>40</v>
      </c>
      <c r="K27" s="13">
        <v>366000</v>
      </c>
      <c r="L27" s="13">
        <v>38000</v>
      </c>
      <c r="M27" s="13">
        <v>628000</v>
      </c>
      <c r="N27" s="13"/>
      <c r="O27" s="13"/>
      <c r="P27" s="12"/>
      <c r="Q27" s="45">
        <f t="shared" si="1"/>
        <v>29407496.120000001</v>
      </c>
      <c r="R27" s="13"/>
      <c r="S27" s="13"/>
      <c r="T27" s="13"/>
      <c r="U27" s="13"/>
      <c r="V27" s="13"/>
      <c r="W27" s="13"/>
    </row>
    <row r="28" spans="1:23" x14ac:dyDescent="0.25">
      <c r="A28" s="25">
        <v>45194</v>
      </c>
      <c r="B28" s="46">
        <v>2061.73</v>
      </c>
      <c r="C28" s="46">
        <v>4311.13</v>
      </c>
      <c r="D28" s="47">
        <v>5610</v>
      </c>
      <c r="E28" s="47">
        <v>5320</v>
      </c>
      <c r="F28" s="13">
        <f t="shared" si="0"/>
        <v>11566305.300000001</v>
      </c>
      <c r="G28" s="13">
        <f t="shared" si="0"/>
        <v>22935211.600000001</v>
      </c>
      <c r="H28" s="26">
        <v>105</v>
      </c>
      <c r="I28" s="13">
        <v>2148500</v>
      </c>
      <c r="J28" s="12">
        <v>33</v>
      </c>
      <c r="K28" s="13">
        <v>308000</v>
      </c>
      <c r="L28" s="13">
        <v>8000</v>
      </c>
      <c r="M28" s="13">
        <v>569200</v>
      </c>
      <c r="N28" s="13">
        <v>255000</v>
      </c>
      <c r="O28" s="13"/>
      <c r="P28" s="12"/>
      <c r="Q28" s="45">
        <f t="shared" si="1"/>
        <v>37790216.900000006</v>
      </c>
      <c r="R28" s="13"/>
      <c r="S28" s="13"/>
      <c r="T28" s="13"/>
      <c r="U28" s="13"/>
      <c r="V28" s="13"/>
      <c r="W28" s="13"/>
    </row>
    <row r="29" spans="1:23" x14ac:dyDescent="0.25">
      <c r="A29" s="25">
        <v>45195</v>
      </c>
      <c r="B29" s="46">
        <v>1703.47</v>
      </c>
      <c r="C29" s="46">
        <v>515.04999999999995</v>
      </c>
      <c r="D29" s="47">
        <v>5610</v>
      </c>
      <c r="E29" s="47">
        <v>5320</v>
      </c>
      <c r="F29" s="13">
        <f t="shared" si="0"/>
        <v>9556466.6999999993</v>
      </c>
      <c r="G29" s="13">
        <f t="shared" si="0"/>
        <v>2740065.9999999995</v>
      </c>
      <c r="H29" s="26">
        <v>81</v>
      </c>
      <c r="I29" s="13">
        <v>1797500</v>
      </c>
      <c r="J29" s="12">
        <v>39</v>
      </c>
      <c r="K29" s="13">
        <v>364000</v>
      </c>
      <c r="L29" s="13">
        <v>15000</v>
      </c>
      <c r="M29" s="13">
        <v>475000</v>
      </c>
      <c r="N29" s="13">
        <v>127500</v>
      </c>
      <c r="O29" s="13"/>
      <c r="P29" s="12"/>
      <c r="Q29" s="45">
        <f t="shared" si="1"/>
        <v>15075532.699999999</v>
      </c>
      <c r="R29" s="13"/>
      <c r="S29" s="13"/>
      <c r="T29" s="13"/>
      <c r="U29" s="13"/>
      <c r="V29" s="13"/>
      <c r="W29" s="13"/>
    </row>
    <row r="30" spans="1:23" x14ac:dyDescent="0.25">
      <c r="A30" s="25">
        <v>45196</v>
      </c>
      <c r="B30" s="46">
        <v>2081.4299999999998</v>
      </c>
      <c r="C30" s="46">
        <v>3.04</v>
      </c>
      <c r="D30" s="47">
        <v>5610</v>
      </c>
      <c r="E30" s="47">
        <v>5320</v>
      </c>
      <c r="F30" s="13">
        <f t="shared" si="0"/>
        <v>11676822.299999999</v>
      </c>
      <c r="G30" s="13">
        <f t="shared" si="0"/>
        <v>16172.800000000001</v>
      </c>
      <c r="H30" s="26">
        <v>92.5</v>
      </c>
      <c r="I30" s="13">
        <v>1819000</v>
      </c>
      <c r="J30" s="12">
        <v>92.5</v>
      </c>
      <c r="K30" s="13">
        <v>805000</v>
      </c>
      <c r="L30" s="13">
        <v>8000</v>
      </c>
      <c r="M30" s="13">
        <v>633000</v>
      </c>
      <c r="N30" s="13">
        <v>0</v>
      </c>
      <c r="O30" s="13"/>
      <c r="P30" s="12"/>
      <c r="Q30" s="45">
        <f t="shared" si="1"/>
        <v>14957995.1</v>
      </c>
      <c r="R30" s="13"/>
      <c r="S30" s="13"/>
      <c r="T30" s="13"/>
      <c r="U30" s="13"/>
      <c r="V30" s="13"/>
      <c r="W30" s="13"/>
    </row>
    <row r="31" spans="1:23" x14ac:dyDescent="0.25">
      <c r="A31" s="25">
        <v>45197</v>
      </c>
      <c r="B31" s="46">
        <v>2107</v>
      </c>
      <c r="C31" s="46">
        <v>5756.19</v>
      </c>
      <c r="D31" s="47">
        <v>5610</v>
      </c>
      <c r="E31" s="47">
        <v>5320</v>
      </c>
      <c r="F31" s="13">
        <f t="shared" si="0"/>
        <v>11820270</v>
      </c>
      <c r="G31" s="13">
        <f t="shared" si="0"/>
        <v>30622930.799999997</v>
      </c>
      <c r="H31" s="26">
        <v>32.75</v>
      </c>
      <c r="I31" s="13">
        <v>686000</v>
      </c>
      <c r="J31" s="12">
        <v>64</v>
      </c>
      <c r="K31" s="13">
        <v>590000</v>
      </c>
      <c r="L31" s="13">
        <v>39000</v>
      </c>
      <c r="M31" s="13">
        <v>593000</v>
      </c>
      <c r="N31" s="13">
        <v>510000</v>
      </c>
      <c r="O31" s="13"/>
      <c r="P31" s="12"/>
      <c r="Q31" s="45">
        <f t="shared" si="1"/>
        <v>44861200.799999997</v>
      </c>
      <c r="R31" s="13"/>
      <c r="S31" s="13"/>
      <c r="T31" s="13"/>
      <c r="U31" s="13"/>
      <c r="V31" s="13"/>
      <c r="W31" s="13"/>
    </row>
    <row r="32" spans="1:23" x14ac:dyDescent="0.25">
      <c r="A32" s="25">
        <v>45198</v>
      </c>
      <c r="B32" s="46">
        <v>2310.0500000000002</v>
      </c>
      <c r="C32" s="46">
        <v>6784.41</v>
      </c>
      <c r="D32" s="47">
        <v>5610</v>
      </c>
      <c r="E32" s="47">
        <v>5320</v>
      </c>
      <c r="F32" s="13">
        <v>14751615</v>
      </c>
      <c r="G32" s="13">
        <f t="shared" si="0"/>
        <v>36093061.199999996</v>
      </c>
      <c r="H32" s="26">
        <v>51.25</v>
      </c>
      <c r="I32" s="13">
        <v>1031000</v>
      </c>
      <c r="J32" s="12">
        <v>66.5</v>
      </c>
      <c r="K32" s="13">
        <v>617000</v>
      </c>
      <c r="L32" s="13">
        <v>84000</v>
      </c>
      <c r="M32" s="13">
        <v>801000</v>
      </c>
      <c r="N32" s="13">
        <v>127500</v>
      </c>
      <c r="O32" s="13"/>
      <c r="P32" s="12"/>
      <c r="Q32" s="45">
        <f t="shared" si="1"/>
        <v>53505176.199999996</v>
      </c>
      <c r="R32" s="13"/>
      <c r="S32" s="13"/>
      <c r="T32" s="13"/>
      <c r="U32" s="13"/>
      <c r="V32" s="13"/>
      <c r="W32" s="13"/>
    </row>
    <row r="33" spans="1:23" x14ac:dyDescent="0.25">
      <c r="A33" s="25">
        <v>45199</v>
      </c>
      <c r="B33" s="46">
        <v>2191.65</v>
      </c>
      <c r="C33" s="46">
        <v>1682</v>
      </c>
      <c r="D33" s="47">
        <v>5610</v>
      </c>
      <c r="E33" s="47">
        <v>5320</v>
      </c>
      <c r="F33" s="13">
        <f t="shared" si="0"/>
        <v>12295156.5</v>
      </c>
      <c r="G33" s="13">
        <f t="shared" si="0"/>
        <v>8948240</v>
      </c>
      <c r="H33" s="26">
        <v>100.25</v>
      </c>
      <c r="I33" s="13">
        <v>2121000</v>
      </c>
      <c r="J33" s="12">
        <v>33</v>
      </c>
      <c r="K33" s="13">
        <v>308000</v>
      </c>
      <c r="L33" s="13">
        <v>165000</v>
      </c>
      <c r="M33" s="13">
        <v>610500</v>
      </c>
      <c r="N33" s="13">
        <v>0</v>
      </c>
      <c r="O33" s="13"/>
      <c r="P33" s="12"/>
      <c r="Q33" s="45">
        <f t="shared" si="1"/>
        <v>24447896.5</v>
      </c>
      <c r="R33" s="13"/>
      <c r="S33" s="13"/>
      <c r="T33" s="13"/>
      <c r="U33" s="13"/>
      <c r="V33" s="13"/>
      <c r="W33" s="13"/>
    </row>
    <row r="34" spans="1:23" x14ac:dyDescent="0.25">
      <c r="A34" s="25" t="s">
        <v>68</v>
      </c>
      <c r="B34" s="46"/>
      <c r="C34" s="46"/>
      <c r="D34" s="47"/>
      <c r="E34" s="47"/>
      <c r="F34" s="13">
        <f t="shared" si="0"/>
        <v>0</v>
      </c>
      <c r="G34" s="13">
        <f t="shared" si="0"/>
        <v>0</v>
      </c>
      <c r="H34" s="26"/>
      <c r="I34" s="13"/>
      <c r="J34" s="12"/>
      <c r="K34" s="13"/>
      <c r="L34" s="13"/>
      <c r="M34" s="13"/>
      <c r="N34" s="13"/>
      <c r="O34" s="13"/>
      <c r="P34" s="12"/>
      <c r="Q34" s="45">
        <f t="shared" si="1"/>
        <v>0</v>
      </c>
      <c r="R34" s="13"/>
      <c r="S34" s="13"/>
      <c r="T34" s="13"/>
      <c r="U34" s="13"/>
      <c r="V34" s="13"/>
      <c r="W34" s="13"/>
    </row>
    <row r="35" spans="1:23" x14ac:dyDescent="0.25">
      <c r="A35" s="15"/>
      <c r="B35" s="37"/>
      <c r="C35" s="37"/>
      <c r="D35" s="38"/>
      <c r="E35" s="38"/>
      <c r="F35" s="39"/>
      <c r="G35" s="39"/>
      <c r="H35" s="39"/>
      <c r="I35" s="13"/>
      <c r="J35" s="15"/>
      <c r="K35" s="38"/>
      <c r="L35" s="38"/>
      <c r="M35" s="13"/>
      <c r="N35" s="38"/>
      <c r="O35" s="38"/>
      <c r="P35" s="15"/>
      <c r="Q35" s="40"/>
      <c r="R35" s="38"/>
      <c r="S35" s="38"/>
      <c r="T35" s="38"/>
      <c r="U35" s="38"/>
      <c r="V35" s="38"/>
      <c r="W35" s="38"/>
    </row>
    <row r="36" spans="1:23" x14ac:dyDescent="0.25">
      <c r="A36" s="15"/>
      <c r="B36" s="37">
        <f>SUM(B4:B35)</f>
        <v>56672.73000000001</v>
      </c>
      <c r="C36" s="37">
        <f>SUM(C4:C35)</f>
        <v>108701.24900000001</v>
      </c>
      <c r="D36" s="38">
        <f>SUM(D4:D35)</f>
        <v>166680</v>
      </c>
      <c r="E36" s="38"/>
      <c r="F36" s="39">
        <f>SUM(F4:F35)</f>
        <v>321261865.20000005</v>
      </c>
      <c r="G36" s="39">
        <f>SUM(G4:G35)</f>
        <v>559605113.64700007</v>
      </c>
      <c r="H36" s="39">
        <f t="shared" ref="H36:J36" si="3">SUM(H4:H35)</f>
        <v>2474.75</v>
      </c>
      <c r="I36" s="39">
        <f t="shared" si="3"/>
        <v>50945000</v>
      </c>
      <c r="J36" s="39">
        <f t="shared" si="3"/>
        <v>1521.5</v>
      </c>
      <c r="K36" s="39">
        <f>SUM(K4:K35)</f>
        <v>13811000</v>
      </c>
      <c r="L36" s="39">
        <f>SUM(L4:L35)</f>
        <v>1792000</v>
      </c>
      <c r="M36" s="38">
        <f>SUM(M4:M35)</f>
        <v>21311500</v>
      </c>
      <c r="N36" s="38">
        <f>SUM(N5:N35)</f>
        <v>2288600</v>
      </c>
      <c r="O36" s="38"/>
      <c r="P36" s="15"/>
      <c r="Q36" s="40"/>
      <c r="R36" s="38"/>
      <c r="S36" s="38"/>
      <c r="T36" s="38"/>
      <c r="U36" s="38"/>
      <c r="V36" s="38"/>
      <c r="W36" s="38"/>
    </row>
    <row r="37" spans="1:23" x14ac:dyDescent="0.25">
      <c r="A37" s="15"/>
      <c r="B37" s="37"/>
      <c r="C37" s="37"/>
      <c r="D37" s="38"/>
      <c r="E37" s="38"/>
      <c r="F37" s="39"/>
      <c r="G37" s="39"/>
      <c r="H37" s="39"/>
      <c r="I37" s="38"/>
      <c r="J37" s="15"/>
      <c r="K37" s="38"/>
      <c r="L37" s="38"/>
      <c r="M37" s="39"/>
      <c r="N37" s="38"/>
      <c r="O37" s="38"/>
      <c r="P37" s="15"/>
      <c r="Q37" s="40"/>
      <c r="R37" s="38"/>
      <c r="S37" s="38"/>
      <c r="T37" s="38"/>
      <c r="U37" s="38"/>
      <c r="V37" s="38"/>
      <c r="W37" s="38"/>
    </row>
    <row r="38" spans="1:23" x14ac:dyDescent="0.25">
      <c r="A38" s="15"/>
      <c r="B38" s="37"/>
      <c r="C38" s="37"/>
      <c r="D38" s="38"/>
      <c r="E38" s="38"/>
      <c r="F38" s="39"/>
      <c r="G38" s="39"/>
      <c r="H38" s="39"/>
      <c r="I38" s="38"/>
      <c r="J38" s="15"/>
      <c r="K38" s="38"/>
      <c r="L38" s="38"/>
      <c r="M38" s="38"/>
      <c r="N38" s="38"/>
      <c r="O38" s="38"/>
      <c r="P38" s="15"/>
      <c r="Q38" s="40"/>
      <c r="R38" s="38"/>
      <c r="S38" s="38"/>
      <c r="T38" s="38"/>
      <c r="U38" s="38"/>
      <c r="V38" s="38"/>
      <c r="W38" s="38"/>
    </row>
    <row r="39" spans="1:23" x14ac:dyDescent="0.25">
      <c r="M39" s="38"/>
    </row>
  </sheetData>
  <mergeCells count="10">
    <mergeCell ref="B1:P1"/>
    <mergeCell ref="R1:W1"/>
    <mergeCell ref="B2:C2"/>
    <mergeCell ref="D2:E2"/>
    <mergeCell ref="F2:G2"/>
    <mergeCell ref="H2:I2"/>
    <mergeCell ref="J2:K2"/>
    <mergeCell ref="N2:P2"/>
    <mergeCell ref="R2:T2"/>
    <mergeCell ref="U2:W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864"/>
  <sheetViews>
    <sheetView zoomScaleNormal="100" workbookViewId="0">
      <pane xSplit="1" ySplit="3" topLeftCell="Q19" activePane="bottomRight" state="frozen"/>
      <selection activeCell="M27" sqref="M27"/>
      <selection pane="topRight" activeCell="M27" sqref="M27"/>
      <selection pane="bottomLeft" activeCell="M27" sqref="M27"/>
      <selection pane="bottomRight" activeCell="M27" sqref="M27"/>
    </sheetView>
  </sheetViews>
  <sheetFormatPr defaultRowHeight="15" x14ac:dyDescent="0.25"/>
  <cols>
    <col min="1" max="1" width="10.42578125" bestFit="1" customWidth="1"/>
    <col min="2" max="3" width="10" style="5" customWidth="1"/>
    <col min="4" max="5" width="7.85546875" style="1" bestFit="1" customWidth="1"/>
    <col min="6" max="6" width="13.42578125" style="4" customWidth="1"/>
    <col min="7" max="7" width="12.5703125" style="4" customWidth="1"/>
    <col min="8" max="8" width="7.5703125" style="4" customWidth="1"/>
    <col min="9" max="9" width="10" style="1" customWidth="1"/>
    <col min="10" max="10" width="6.28515625" customWidth="1"/>
    <col min="11" max="11" width="8.5703125" style="1" customWidth="1"/>
    <col min="12" max="12" width="12.140625" style="1" bestFit="1" customWidth="1"/>
    <col min="13" max="13" width="17.42578125" style="1" bestFit="1" customWidth="1"/>
    <col min="14" max="14" width="13.42578125" style="1" bestFit="1" customWidth="1"/>
    <col min="15" max="15" width="12.5703125" style="1" bestFit="1" customWidth="1"/>
    <col min="16" max="16" width="9" bestFit="1" customWidth="1"/>
    <col min="17" max="17" width="13.5703125" style="8" bestFit="1" customWidth="1"/>
    <col min="18" max="18" width="10" style="1" bestFit="1" customWidth="1"/>
    <col min="19" max="19" width="12" style="1" bestFit="1" customWidth="1"/>
    <col min="20" max="20" width="13.85546875" style="1" customWidth="1"/>
    <col min="21" max="21" width="11.140625" style="1" bestFit="1" customWidth="1"/>
    <col min="22" max="22" width="10.42578125" style="1" bestFit="1" customWidth="1"/>
    <col min="23" max="23" width="10" style="1" bestFit="1" customWidth="1"/>
    <col min="24" max="24" width="12.42578125" bestFit="1" customWidth="1"/>
    <col min="25" max="25" width="13.5703125" bestFit="1" customWidth="1"/>
    <col min="26" max="26" width="10" bestFit="1" customWidth="1"/>
    <col min="27" max="27" width="7.5703125" bestFit="1" customWidth="1"/>
    <col min="28" max="28" width="8.140625" bestFit="1" customWidth="1"/>
    <col min="29" max="29" width="10.42578125" bestFit="1" customWidth="1"/>
    <col min="30" max="30" width="10.140625" bestFit="1" customWidth="1"/>
    <col min="31" max="31" width="8.5703125" bestFit="1" customWidth="1"/>
    <col min="32" max="32" width="10" bestFit="1" customWidth="1"/>
    <col min="33" max="33" width="8.5703125" bestFit="1" customWidth="1"/>
    <col min="34" max="34" width="8.28515625" bestFit="1" customWidth="1"/>
    <col min="35" max="35" width="7.5703125" bestFit="1" customWidth="1"/>
    <col min="36" max="36" width="8.28515625" customWidth="1"/>
    <col min="37" max="37" width="14.85546875" bestFit="1" customWidth="1"/>
    <col min="38" max="38" width="10" style="7" bestFit="1" customWidth="1"/>
    <col min="39" max="39" width="3.85546875" bestFit="1" customWidth="1"/>
    <col min="40" max="40" width="8.5703125" bestFit="1" customWidth="1"/>
    <col min="41" max="41" width="13.85546875" bestFit="1" customWidth="1"/>
    <col min="42" max="42" width="13.85546875" customWidth="1"/>
    <col min="43" max="43" width="12.5703125" bestFit="1" customWidth="1"/>
    <col min="44" max="44" width="11.140625" bestFit="1" customWidth="1"/>
    <col min="45" max="45" width="11" bestFit="1" customWidth="1"/>
    <col min="46" max="63" width="9.7109375" bestFit="1" customWidth="1"/>
    <col min="64" max="64" width="10" bestFit="1" customWidth="1"/>
  </cols>
  <sheetData>
    <row r="1" spans="1:45" s="2" customFormat="1" ht="18.75" x14ac:dyDescent="0.3">
      <c r="A1" s="6"/>
      <c r="B1" s="81" t="s">
        <v>45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11"/>
      <c r="R1" s="85" t="s">
        <v>46</v>
      </c>
      <c r="S1" s="85"/>
      <c r="T1" s="85"/>
      <c r="U1" s="85"/>
      <c r="V1" s="85"/>
      <c r="W1" s="85"/>
      <c r="Y1" s="3"/>
      <c r="Z1" s="94" t="s">
        <v>33</v>
      </c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10"/>
    </row>
    <row r="2" spans="1:45" s="15" customFormat="1" ht="12.75" x14ac:dyDescent="0.2">
      <c r="A2" s="12" t="s">
        <v>0</v>
      </c>
      <c r="B2" s="82" t="s">
        <v>5</v>
      </c>
      <c r="C2" s="82"/>
      <c r="D2" s="83" t="s">
        <v>12</v>
      </c>
      <c r="E2" s="83"/>
      <c r="F2" s="83" t="s">
        <v>6</v>
      </c>
      <c r="G2" s="83"/>
      <c r="H2" s="84" t="s">
        <v>7</v>
      </c>
      <c r="I2" s="84"/>
      <c r="J2" s="84" t="s">
        <v>8</v>
      </c>
      <c r="K2" s="84"/>
      <c r="L2" s="13"/>
      <c r="M2" s="13" t="s">
        <v>35</v>
      </c>
      <c r="N2" s="84" t="s">
        <v>15</v>
      </c>
      <c r="O2" s="84"/>
      <c r="P2" s="84"/>
      <c r="Q2" s="44"/>
      <c r="R2" s="86" t="s">
        <v>36</v>
      </c>
      <c r="S2" s="87"/>
      <c r="T2" s="88"/>
      <c r="U2" s="89" t="s">
        <v>47</v>
      </c>
      <c r="V2" s="90"/>
      <c r="W2" s="91"/>
      <c r="X2" s="12" t="s">
        <v>14</v>
      </c>
      <c r="Y2" s="14"/>
      <c r="Z2" s="92" t="s">
        <v>13</v>
      </c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5" t="s">
        <v>34</v>
      </c>
      <c r="AM2" s="93" t="s">
        <v>29</v>
      </c>
      <c r="AN2" s="93"/>
      <c r="AO2" s="93"/>
      <c r="AP2" s="48"/>
      <c r="AQ2" s="12"/>
    </row>
    <row r="3" spans="1:45" s="15" customFormat="1" ht="25.5" x14ac:dyDescent="0.2">
      <c r="A3" s="16"/>
      <c r="B3" s="17" t="s">
        <v>1</v>
      </c>
      <c r="C3" s="17" t="s">
        <v>2</v>
      </c>
      <c r="D3" s="18" t="s">
        <v>1</v>
      </c>
      <c r="E3" s="18" t="s">
        <v>2</v>
      </c>
      <c r="F3" s="19" t="s">
        <v>1</v>
      </c>
      <c r="G3" s="19" t="s">
        <v>2</v>
      </c>
      <c r="H3" s="19" t="s">
        <v>9</v>
      </c>
      <c r="I3" s="18" t="s">
        <v>10</v>
      </c>
      <c r="J3" s="16" t="s">
        <v>11</v>
      </c>
      <c r="K3" s="18" t="s">
        <v>10</v>
      </c>
      <c r="L3" s="18" t="s">
        <v>4</v>
      </c>
      <c r="M3" s="18"/>
      <c r="N3" s="18" t="s">
        <v>27</v>
      </c>
      <c r="O3" s="18" t="s">
        <v>40</v>
      </c>
      <c r="P3" s="16" t="s">
        <v>28</v>
      </c>
      <c r="Q3" s="44" t="s">
        <v>3</v>
      </c>
      <c r="R3" s="18" t="s">
        <v>1</v>
      </c>
      <c r="S3" s="18" t="s">
        <v>2</v>
      </c>
      <c r="T3" s="18" t="s">
        <v>51</v>
      </c>
      <c r="U3" s="18" t="s">
        <v>39</v>
      </c>
      <c r="V3" s="18" t="s">
        <v>38</v>
      </c>
      <c r="W3" s="18" t="s">
        <v>37</v>
      </c>
      <c r="X3" s="16"/>
      <c r="Y3" s="20" t="s">
        <v>48</v>
      </c>
      <c r="Z3" s="16" t="s">
        <v>16</v>
      </c>
      <c r="AA3" s="16" t="s">
        <v>17</v>
      </c>
      <c r="AB3" s="16" t="s">
        <v>18</v>
      </c>
      <c r="AC3" s="16" t="s">
        <v>19</v>
      </c>
      <c r="AD3" s="16" t="s">
        <v>20</v>
      </c>
      <c r="AE3" s="16" t="s">
        <v>21</v>
      </c>
      <c r="AF3" s="16" t="s">
        <v>22</v>
      </c>
      <c r="AG3" s="16" t="s">
        <v>23</v>
      </c>
      <c r="AH3" s="16" t="s">
        <v>24</v>
      </c>
      <c r="AI3" s="16" t="s">
        <v>25</v>
      </c>
      <c r="AJ3" s="16" t="s">
        <v>26</v>
      </c>
      <c r="AK3" s="16" t="s">
        <v>41</v>
      </c>
      <c r="AL3" s="96"/>
      <c r="AM3" s="21" t="s">
        <v>30</v>
      </c>
      <c r="AN3" s="21" t="s">
        <v>31</v>
      </c>
      <c r="AO3" s="21" t="s">
        <v>32</v>
      </c>
      <c r="AP3" s="49" t="s">
        <v>49</v>
      </c>
      <c r="AQ3" s="22" t="s">
        <v>42</v>
      </c>
      <c r="AR3" s="23" t="s">
        <v>44</v>
      </c>
      <c r="AS3" s="24" t="s">
        <v>43</v>
      </c>
    </row>
    <row r="4" spans="1:45" s="15" customFormat="1" ht="12.75" x14ac:dyDescent="0.2">
      <c r="A4" s="25">
        <v>44805</v>
      </c>
      <c r="B4" s="46">
        <v>1613.63</v>
      </c>
      <c r="C4" s="46">
        <v>2687.04</v>
      </c>
      <c r="D4" s="47">
        <v>6680</v>
      </c>
      <c r="E4" s="47">
        <v>6330</v>
      </c>
      <c r="F4" s="13">
        <f t="shared" ref="F4:F34" si="0">B4*D4</f>
        <v>10779048.4</v>
      </c>
      <c r="G4" s="13">
        <f t="shared" ref="G4:G34" si="1">C4*E4</f>
        <v>17008963.199999999</v>
      </c>
      <c r="H4" s="26">
        <v>40.5</v>
      </c>
      <c r="I4" s="13">
        <v>814500</v>
      </c>
      <c r="J4" s="27">
        <v>54.5</v>
      </c>
      <c r="K4" s="13">
        <v>886200</v>
      </c>
      <c r="L4" s="13">
        <v>61000</v>
      </c>
      <c r="M4" s="13"/>
      <c r="N4" s="13"/>
      <c r="O4" s="13">
        <v>1946200</v>
      </c>
      <c r="P4" s="13">
        <v>6000</v>
      </c>
      <c r="Q4" s="45">
        <f>SUM(F4:G4)+I4+K4+SUM(L4:P4)</f>
        <v>31501911.600000001</v>
      </c>
      <c r="R4" s="13">
        <v>1829852</v>
      </c>
      <c r="S4" s="13">
        <v>16446399</v>
      </c>
      <c r="T4" s="13"/>
      <c r="U4" s="13"/>
      <c r="V4" s="13"/>
      <c r="W4" s="13">
        <v>297602</v>
      </c>
      <c r="X4" s="13">
        <v>2075100</v>
      </c>
      <c r="Y4" s="28">
        <f>Q4-SUM(R4:X4)</f>
        <v>10852958.600000001</v>
      </c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43">
        <f t="shared" ref="AL4:AL17" si="2">SUM(Z4:AK4)</f>
        <v>0</v>
      </c>
      <c r="AM4" s="12"/>
      <c r="AN4" s="12"/>
      <c r="AO4" s="12"/>
      <c r="AP4" s="12">
        <v>779800</v>
      </c>
      <c r="AQ4" s="29">
        <f>Q4-SUM(R4:X4)-AL4-SUM(AM4:AO4)-AP4</f>
        <v>10073158.600000001</v>
      </c>
      <c r="AR4" s="15">
        <v>10073200</v>
      </c>
      <c r="AS4" s="30">
        <f t="shared" ref="AS4:AS13" si="3">AR4-AQ4</f>
        <v>41.399999998509884</v>
      </c>
    </row>
    <row r="5" spans="1:45" s="15" customFormat="1" ht="12.75" x14ac:dyDescent="0.2">
      <c r="A5" s="25">
        <v>44806</v>
      </c>
      <c r="B5" s="46">
        <v>1590.09</v>
      </c>
      <c r="C5" s="46">
        <v>2917.49</v>
      </c>
      <c r="D5" s="47">
        <v>6680</v>
      </c>
      <c r="E5" s="47">
        <v>6330</v>
      </c>
      <c r="F5" s="13">
        <f t="shared" si="0"/>
        <v>10621801.199999999</v>
      </c>
      <c r="G5" s="13">
        <f t="shared" si="1"/>
        <v>18467711.699999999</v>
      </c>
      <c r="H5" s="31">
        <v>45.5</v>
      </c>
      <c r="I5" s="13">
        <v>915000</v>
      </c>
      <c r="J5" s="27">
        <v>27</v>
      </c>
      <c r="K5" s="13">
        <v>252000</v>
      </c>
      <c r="L5" s="13">
        <v>30000</v>
      </c>
      <c r="M5" s="13"/>
      <c r="N5" s="13"/>
      <c r="O5" s="13">
        <v>55000</v>
      </c>
      <c r="P5" s="13"/>
      <c r="Q5" s="45">
        <f t="shared" ref="Q5:Q34" si="4">SUM(F5:G5)+I5+K5+SUM(L5:P5)</f>
        <v>30341512.899999999</v>
      </c>
      <c r="R5" s="13">
        <v>1346359</v>
      </c>
      <c r="S5" s="13">
        <v>18127805</v>
      </c>
      <c r="T5" s="13"/>
      <c r="U5" s="13"/>
      <c r="V5" s="13"/>
      <c r="W5" s="13">
        <v>142000</v>
      </c>
      <c r="X5" s="32">
        <v>2410590</v>
      </c>
      <c r="Y5" s="28">
        <f>Q5-SUM(R5:X5)</f>
        <v>8314758.8999999985</v>
      </c>
      <c r="Z5" s="33"/>
      <c r="AA5" s="34"/>
      <c r="AB5" s="13"/>
      <c r="AC5" s="13">
        <v>6000</v>
      </c>
      <c r="AD5" s="13"/>
      <c r="AE5" s="13">
        <v>930000</v>
      </c>
      <c r="AF5" s="13"/>
      <c r="AG5" s="13">
        <v>992000</v>
      </c>
      <c r="AH5" s="13">
        <v>70000</v>
      </c>
      <c r="AI5" s="13"/>
      <c r="AJ5" s="13"/>
      <c r="AK5" s="13"/>
      <c r="AL5" s="43">
        <f t="shared" si="2"/>
        <v>1998000</v>
      </c>
      <c r="AM5" s="12"/>
      <c r="AN5" s="12"/>
      <c r="AO5" s="12"/>
      <c r="AP5" s="12">
        <v>629818</v>
      </c>
      <c r="AQ5" s="29">
        <f t="shared" ref="AQ5:AQ34" si="5">Q5-SUM(R5:X5)-AL5-SUM(AM5:AO5)-AP5</f>
        <v>5686940.8999999985</v>
      </c>
      <c r="AR5" s="15">
        <v>5686900</v>
      </c>
      <c r="AS5" s="30">
        <f t="shared" si="3"/>
        <v>-40.899999998509884</v>
      </c>
    </row>
    <row r="6" spans="1:45" s="15" customFormat="1" ht="12.75" x14ac:dyDescent="0.2">
      <c r="A6" s="25">
        <v>44807</v>
      </c>
      <c r="B6" s="46">
        <v>1610.57</v>
      </c>
      <c r="C6" s="46">
        <v>3344.82</v>
      </c>
      <c r="D6" s="47">
        <v>6680</v>
      </c>
      <c r="E6" s="47">
        <v>6330</v>
      </c>
      <c r="F6" s="13">
        <f t="shared" si="0"/>
        <v>10758607.6</v>
      </c>
      <c r="G6" s="13">
        <f t="shared" si="1"/>
        <v>21172710.600000001</v>
      </c>
      <c r="H6" s="26">
        <v>30</v>
      </c>
      <c r="I6" s="13">
        <v>728000</v>
      </c>
      <c r="J6" s="27">
        <v>52</v>
      </c>
      <c r="K6" s="13">
        <v>478000</v>
      </c>
      <c r="L6" s="13">
        <v>31000</v>
      </c>
      <c r="M6" s="13"/>
      <c r="N6" s="13"/>
      <c r="O6" s="13">
        <v>2420000</v>
      </c>
      <c r="P6" s="13"/>
      <c r="Q6" s="45">
        <f t="shared" si="4"/>
        <v>35588318.200000003</v>
      </c>
      <c r="R6" s="13">
        <v>1606394</v>
      </c>
      <c r="S6" s="13">
        <v>20432647</v>
      </c>
      <c r="T6" s="13"/>
      <c r="U6" s="13"/>
      <c r="V6" s="13"/>
      <c r="W6" s="13">
        <v>390500</v>
      </c>
      <c r="X6" s="13">
        <v>1373050</v>
      </c>
      <c r="Y6" s="28">
        <f>Q6-SUM(R6:X6)</f>
        <v>11785727.200000003</v>
      </c>
      <c r="Z6" s="13"/>
      <c r="AA6" s="13"/>
      <c r="AB6" s="13"/>
      <c r="AC6" s="13"/>
      <c r="AD6" s="13"/>
      <c r="AE6" s="13"/>
      <c r="AF6" s="13">
        <v>4000</v>
      </c>
      <c r="AG6" s="13"/>
      <c r="AH6" s="13"/>
      <c r="AI6" s="13"/>
      <c r="AJ6" s="13"/>
      <c r="AK6" s="13"/>
      <c r="AL6" s="43">
        <f t="shared" si="2"/>
        <v>4000</v>
      </c>
      <c r="AM6" s="12"/>
      <c r="AN6" s="12"/>
      <c r="AO6" s="12"/>
      <c r="AP6" s="12">
        <v>100000</v>
      </c>
      <c r="AQ6" s="29">
        <f t="shared" si="5"/>
        <v>11681727.200000003</v>
      </c>
      <c r="AR6" s="15">
        <v>11677700</v>
      </c>
      <c r="AS6" s="30">
        <f t="shared" si="3"/>
        <v>-4027.2000000029802</v>
      </c>
    </row>
    <row r="7" spans="1:45" s="15" customFormat="1" ht="12.75" x14ac:dyDescent="0.2">
      <c r="A7" s="25">
        <v>44808</v>
      </c>
      <c r="B7" s="46">
        <v>1278.51</v>
      </c>
      <c r="C7" s="46">
        <v>634.27</v>
      </c>
      <c r="D7" s="47">
        <v>6680</v>
      </c>
      <c r="E7" s="47">
        <v>6330</v>
      </c>
      <c r="F7" s="13">
        <f t="shared" si="0"/>
        <v>8540446.8000000007</v>
      </c>
      <c r="G7" s="13">
        <f t="shared" si="1"/>
        <v>4014929.1</v>
      </c>
      <c r="H7" s="26">
        <v>154.5</v>
      </c>
      <c r="I7" s="13">
        <v>3292500</v>
      </c>
      <c r="J7" s="27">
        <v>85</v>
      </c>
      <c r="K7" s="13">
        <v>912000</v>
      </c>
      <c r="L7" s="13">
        <v>16000</v>
      </c>
      <c r="M7" s="13"/>
      <c r="N7" s="13"/>
      <c r="O7" s="13">
        <v>3539700</v>
      </c>
      <c r="P7" s="13"/>
      <c r="Q7" s="45">
        <f t="shared" si="4"/>
        <v>20315575.899999999</v>
      </c>
      <c r="R7" s="13">
        <v>1062293</v>
      </c>
      <c r="S7" s="13">
        <v>2134412</v>
      </c>
      <c r="T7" s="13"/>
      <c r="U7" s="13"/>
      <c r="V7" s="13"/>
      <c r="W7" s="13">
        <v>841988</v>
      </c>
      <c r="X7" s="13">
        <v>0</v>
      </c>
      <c r="Y7" s="28">
        <f t="shared" ref="Y7:Y33" si="6">Q7-SUM(R7:X7)</f>
        <v>16276882.899999999</v>
      </c>
      <c r="Z7" s="13"/>
      <c r="AA7" s="13"/>
      <c r="AB7" s="13"/>
      <c r="AC7" s="13"/>
      <c r="AD7" s="13"/>
      <c r="AE7" s="13"/>
      <c r="AF7" s="13">
        <v>4000</v>
      </c>
      <c r="AG7" s="13"/>
      <c r="AH7" s="13"/>
      <c r="AI7" s="13">
        <v>20000</v>
      </c>
      <c r="AJ7" s="13"/>
      <c r="AK7" s="13"/>
      <c r="AL7" s="43">
        <f t="shared" si="2"/>
        <v>24000</v>
      </c>
      <c r="AM7" s="12"/>
      <c r="AN7" s="12"/>
      <c r="AO7" s="12"/>
      <c r="AP7" s="12"/>
      <c r="AQ7" s="29">
        <f t="shared" si="5"/>
        <v>16252882.899999999</v>
      </c>
      <c r="AR7" s="15">
        <v>16250900</v>
      </c>
      <c r="AS7" s="30">
        <f t="shared" si="3"/>
        <v>-1982.8999999985099</v>
      </c>
    </row>
    <row r="8" spans="1:45" s="15" customFormat="1" ht="12.75" x14ac:dyDescent="0.2">
      <c r="A8" s="25">
        <v>44809</v>
      </c>
      <c r="B8" s="46">
        <v>1630.97</v>
      </c>
      <c r="C8" s="46">
        <v>2488.75</v>
      </c>
      <c r="D8" s="47">
        <v>6680</v>
      </c>
      <c r="E8" s="47">
        <v>6330</v>
      </c>
      <c r="F8" s="13">
        <f t="shared" si="0"/>
        <v>10894879.6</v>
      </c>
      <c r="G8" s="13">
        <f t="shared" si="1"/>
        <v>15753787.5</v>
      </c>
      <c r="H8" s="26">
        <v>45</v>
      </c>
      <c r="I8" s="13">
        <v>860500</v>
      </c>
      <c r="J8" s="27">
        <v>81.5</v>
      </c>
      <c r="K8" s="13">
        <v>757000</v>
      </c>
      <c r="L8" s="13">
        <v>46000</v>
      </c>
      <c r="M8" s="13"/>
      <c r="N8" s="13"/>
      <c r="O8" s="13">
        <v>420000</v>
      </c>
      <c r="P8" s="13">
        <v>65000</v>
      </c>
      <c r="Q8" s="45">
        <f t="shared" si="4"/>
        <v>28797167.100000001</v>
      </c>
      <c r="R8" s="13">
        <v>1327386</v>
      </c>
      <c r="S8" s="13">
        <v>13974654</v>
      </c>
      <c r="T8" s="13"/>
      <c r="U8" s="13"/>
      <c r="V8" s="13"/>
      <c r="W8" s="13">
        <v>496500</v>
      </c>
      <c r="X8" s="13">
        <v>300000</v>
      </c>
      <c r="Y8" s="28">
        <f t="shared" si="6"/>
        <v>12698627.100000001</v>
      </c>
      <c r="Z8" s="13"/>
      <c r="AA8" s="13"/>
      <c r="AB8" s="13"/>
      <c r="AC8" s="13">
        <v>5000</v>
      </c>
      <c r="AD8" s="13"/>
      <c r="AE8" s="13"/>
      <c r="AF8" s="13">
        <v>3000</v>
      </c>
      <c r="AG8" s="13">
        <v>13500</v>
      </c>
      <c r="AH8" s="13"/>
      <c r="AI8" s="13"/>
      <c r="AJ8" s="13"/>
      <c r="AK8" s="13"/>
      <c r="AL8" s="43">
        <f t="shared" si="2"/>
        <v>21500</v>
      </c>
      <c r="AM8" s="12"/>
      <c r="AN8" s="12"/>
      <c r="AO8" s="12"/>
      <c r="AP8" s="12">
        <v>360000</v>
      </c>
      <c r="AQ8" s="29">
        <f t="shared" si="5"/>
        <v>12317127.100000001</v>
      </c>
      <c r="AR8" s="15">
        <v>12317100</v>
      </c>
      <c r="AS8" s="30">
        <f t="shared" si="3"/>
        <v>-27.100000001490116</v>
      </c>
    </row>
    <row r="9" spans="1:45" s="15" customFormat="1" ht="12.75" x14ac:dyDescent="0.2">
      <c r="A9" s="25">
        <v>44810</v>
      </c>
      <c r="B9" s="46">
        <v>1608.43</v>
      </c>
      <c r="C9" s="46">
        <v>3327.67</v>
      </c>
      <c r="D9" s="47">
        <v>6680</v>
      </c>
      <c r="E9" s="47">
        <v>6330</v>
      </c>
      <c r="F9" s="13">
        <f t="shared" si="0"/>
        <v>10744312.4</v>
      </c>
      <c r="G9" s="13">
        <f t="shared" si="1"/>
        <v>21064151.100000001</v>
      </c>
      <c r="H9" s="26">
        <v>27</v>
      </c>
      <c r="I9" s="13">
        <v>546500</v>
      </c>
      <c r="J9" s="27">
        <v>27.5</v>
      </c>
      <c r="K9" s="13">
        <v>253000</v>
      </c>
      <c r="L9" s="13">
        <v>0</v>
      </c>
      <c r="M9" s="13"/>
      <c r="N9" s="13"/>
      <c r="O9" s="13">
        <v>90000</v>
      </c>
      <c r="P9" s="31">
        <v>4000</v>
      </c>
      <c r="Q9" s="45">
        <f t="shared" si="4"/>
        <v>32701963.5</v>
      </c>
      <c r="R9" s="13">
        <v>2131747</v>
      </c>
      <c r="S9" s="13">
        <v>20369963</v>
      </c>
      <c r="T9" s="13"/>
      <c r="U9" s="13"/>
      <c r="V9" s="13"/>
      <c r="W9" s="13">
        <v>357000</v>
      </c>
      <c r="X9" s="31">
        <v>2412100</v>
      </c>
      <c r="Y9" s="28">
        <f t="shared" si="6"/>
        <v>7431153.5</v>
      </c>
      <c r="Z9" s="13"/>
      <c r="AA9" s="13"/>
      <c r="AB9" s="13"/>
      <c r="AC9" s="13"/>
      <c r="AD9" s="13"/>
      <c r="AE9" s="13"/>
      <c r="AF9" s="13">
        <v>3000</v>
      </c>
      <c r="AG9" s="13"/>
      <c r="AH9" s="13">
        <v>13500</v>
      </c>
      <c r="AI9" s="13"/>
      <c r="AJ9" s="13"/>
      <c r="AK9" s="13"/>
      <c r="AL9" s="43">
        <f t="shared" si="2"/>
        <v>16500</v>
      </c>
      <c r="AM9" s="12"/>
      <c r="AN9" s="12"/>
      <c r="AO9" s="12"/>
      <c r="AP9" s="12">
        <v>1182200</v>
      </c>
      <c r="AQ9" s="29">
        <f t="shared" si="5"/>
        <v>6232453.5</v>
      </c>
      <c r="AR9" s="15">
        <v>6232500</v>
      </c>
      <c r="AS9" s="30">
        <f t="shared" si="3"/>
        <v>46.5</v>
      </c>
    </row>
    <row r="10" spans="1:45" s="15" customFormat="1" ht="12.75" x14ac:dyDescent="0.2">
      <c r="A10" s="25">
        <v>44811</v>
      </c>
      <c r="B10" s="46">
        <v>1330.57</v>
      </c>
      <c r="C10" s="46">
        <v>2526.52</v>
      </c>
      <c r="D10" s="47">
        <v>6680</v>
      </c>
      <c r="E10" s="47">
        <v>6330</v>
      </c>
      <c r="F10" s="13">
        <f t="shared" si="0"/>
        <v>8888207.5999999996</v>
      </c>
      <c r="G10" s="13">
        <f t="shared" si="1"/>
        <v>15992871.6</v>
      </c>
      <c r="H10" s="26">
        <v>58</v>
      </c>
      <c r="I10" s="13">
        <v>1167500</v>
      </c>
      <c r="J10" s="27">
        <v>24</v>
      </c>
      <c r="K10" s="13">
        <v>224000</v>
      </c>
      <c r="L10" s="13">
        <v>23000</v>
      </c>
      <c r="M10" s="13"/>
      <c r="N10" s="13"/>
      <c r="O10" s="13">
        <v>100000</v>
      </c>
      <c r="P10" s="13">
        <v>2000</v>
      </c>
      <c r="Q10" s="45">
        <f t="shared" si="4"/>
        <v>26397579.199999999</v>
      </c>
      <c r="R10" s="13">
        <v>1990601</v>
      </c>
      <c r="S10" s="13">
        <v>15426443</v>
      </c>
      <c r="T10" s="13">
        <v>300000</v>
      </c>
      <c r="U10" s="13"/>
      <c r="V10" s="13"/>
      <c r="W10" s="13">
        <v>50000</v>
      </c>
      <c r="X10" s="13">
        <v>2130550</v>
      </c>
      <c r="Y10" s="28">
        <f t="shared" si="6"/>
        <v>6499985.1999999993</v>
      </c>
      <c r="Z10" s="12"/>
      <c r="AA10" s="12"/>
      <c r="AB10" s="12"/>
      <c r="AC10" s="12"/>
      <c r="AD10" s="12"/>
      <c r="AE10" s="12"/>
      <c r="AF10" s="12">
        <v>25000</v>
      </c>
      <c r="AG10" s="12"/>
      <c r="AH10" s="12">
        <v>240000</v>
      </c>
      <c r="AI10" s="12"/>
      <c r="AJ10" s="12">
        <v>12000</v>
      </c>
      <c r="AK10" s="12"/>
      <c r="AL10" s="43">
        <f t="shared" si="2"/>
        <v>277000</v>
      </c>
      <c r="AM10" s="12"/>
      <c r="AN10" s="12"/>
      <c r="AO10" s="32"/>
      <c r="AP10" s="32"/>
      <c r="AQ10" s="29">
        <f t="shared" si="5"/>
        <v>6222985.1999999993</v>
      </c>
      <c r="AR10" s="15">
        <v>6223000</v>
      </c>
      <c r="AS10" s="30">
        <f t="shared" si="3"/>
        <v>14.800000000745058</v>
      </c>
    </row>
    <row r="11" spans="1:45" s="15" customFormat="1" ht="12.75" x14ac:dyDescent="0.2">
      <c r="A11" s="25">
        <v>44812</v>
      </c>
      <c r="B11" s="46">
        <v>1479.61</v>
      </c>
      <c r="C11" s="46">
        <v>3471.08</v>
      </c>
      <c r="D11" s="47">
        <v>6680</v>
      </c>
      <c r="E11" s="47">
        <v>6330</v>
      </c>
      <c r="F11" s="13">
        <f t="shared" si="0"/>
        <v>9883794.7999999989</v>
      </c>
      <c r="G11" s="13">
        <f t="shared" si="1"/>
        <v>21971936.399999999</v>
      </c>
      <c r="H11" s="26">
        <v>47</v>
      </c>
      <c r="I11" s="13">
        <v>808500</v>
      </c>
      <c r="J11" s="27">
        <v>56</v>
      </c>
      <c r="K11" s="13">
        <v>586200</v>
      </c>
      <c r="L11" s="13">
        <v>24000</v>
      </c>
      <c r="M11" s="13"/>
      <c r="N11" s="13"/>
      <c r="O11" s="13">
        <v>1065000</v>
      </c>
      <c r="P11" s="13">
        <v>12000</v>
      </c>
      <c r="Q11" s="45">
        <f t="shared" si="4"/>
        <v>34351431.199999996</v>
      </c>
      <c r="R11" s="13">
        <v>4943754</v>
      </c>
      <c r="S11" s="13">
        <v>19410295</v>
      </c>
      <c r="T11" s="13">
        <v>1822000</v>
      </c>
      <c r="U11" s="13"/>
      <c r="V11" s="13"/>
      <c r="W11" s="13"/>
      <c r="X11" s="13">
        <v>3014010</v>
      </c>
      <c r="Y11" s="28">
        <f t="shared" si="6"/>
        <v>5161372.1999999955</v>
      </c>
      <c r="Z11" s="12"/>
      <c r="AA11" s="12"/>
      <c r="AB11" s="12"/>
      <c r="AC11" s="12"/>
      <c r="AD11" s="12"/>
      <c r="AE11" s="12"/>
      <c r="AF11" s="12">
        <v>3000</v>
      </c>
      <c r="AG11" s="12"/>
      <c r="AH11" s="12">
        <v>19000</v>
      </c>
      <c r="AI11" s="12"/>
      <c r="AJ11" s="12">
        <v>5000</v>
      </c>
      <c r="AK11" s="12"/>
      <c r="AL11" s="43">
        <f t="shared" si="2"/>
        <v>27000</v>
      </c>
      <c r="AM11" s="12"/>
      <c r="AN11" s="12"/>
      <c r="AO11" s="32"/>
      <c r="AP11" s="32">
        <v>822900</v>
      </c>
      <c r="AQ11" s="29">
        <f t="shared" si="5"/>
        <v>4311472.1999999955</v>
      </c>
      <c r="AR11" s="15">
        <v>4324749</v>
      </c>
      <c r="AS11" s="30">
        <f t="shared" si="3"/>
        <v>13276.80000000447</v>
      </c>
    </row>
    <row r="12" spans="1:45" s="15" customFormat="1" ht="12.75" x14ac:dyDescent="0.2">
      <c r="A12" s="25">
        <v>44813</v>
      </c>
      <c r="B12" s="46">
        <v>1777.07</v>
      </c>
      <c r="C12" s="46">
        <v>2906.38</v>
      </c>
      <c r="D12" s="47">
        <v>6680</v>
      </c>
      <c r="E12" s="47">
        <v>6330</v>
      </c>
      <c r="F12" s="13">
        <f t="shared" si="0"/>
        <v>11870827.6</v>
      </c>
      <c r="G12" s="13">
        <f t="shared" si="1"/>
        <v>18397385.400000002</v>
      </c>
      <c r="H12" s="26">
        <v>32</v>
      </c>
      <c r="I12" s="13">
        <v>645000</v>
      </c>
      <c r="J12" s="27">
        <v>64</v>
      </c>
      <c r="K12" s="13">
        <v>863000</v>
      </c>
      <c r="L12" s="13">
        <v>31000</v>
      </c>
      <c r="M12" s="13"/>
      <c r="N12" s="13"/>
      <c r="O12" s="13">
        <v>1140000</v>
      </c>
      <c r="P12" s="13">
        <v>2000</v>
      </c>
      <c r="Q12" s="45">
        <f t="shared" si="4"/>
        <v>32949213</v>
      </c>
      <c r="R12" s="13">
        <v>3209374</v>
      </c>
      <c r="S12" s="13">
        <v>17315226</v>
      </c>
      <c r="T12" s="13"/>
      <c r="U12" s="13"/>
      <c r="V12" s="13"/>
      <c r="W12" s="13">
        <v>100000</v>
      </c>
      <c r="X12" s="13">
        <v>5550776</v>
      </c>
      <c r="Y12" s="28">
        <f t="shared" si="6"/>
        <v>6773837</v>
      </c>
      <c r="Z12" s="13"/>
      <c r="AA12" s="13"/>
      <c r="AB12" s="13"/>
      <c r="AC12" s="13"/>
      <c r="AD12" s="13"/>
      <c r="AE12" s="13"/>
      <c r="AF12" s="13">
        <v>5000</v>
      </c>
      <c r="AG12" s="13"/>
      <c r="AH12" s="13"/>
      <c r="AI12" s="13"/>
      <c r="AJ12" s="13">
        <v>15000</v>
      </c>
      <c r="AK12" s="13"/>
      <c r="AL12" s="43">
        <f t="shared" si="2"/>
        <v>20000</v>
      </c>
      <c r="AM12" s="12"/>
      <c r="AN12" s="12"/>
      <c r="AO12" s="12"/>
      <c r="AP12" s="12">
        <v>334000</v>
      </c>
      <c r="AQ12" s="29">
        <f t="shared" si="5"/>
        <v>6419837</v>
      </c>
      <c r="AR12" s="15">
        <v>6420000</v>
      </c>
      <c r="AS12" s="30">
        <f t="shared" si="3"/>
        <v>163</v>
      </c>
    </row>
    <row r="13" spans="1:45" s="15" customFormat="1" ht="12.75" x14ac:dyDescent="0.2">
      <c r="A13" s="25">
        <v>44814</v>
      </c>
      <c r="B13" s="46">
        <v>1484.23</v>
      </c>
      <c r="C13" s="46">
        <v>1433.02</v>
      </c>
      <c r="D13" s="47">
        <v>6650</v>
      </c>
      <c r="E13" s="47">
        <v>6280</v>
      </c>
      <c r="F13" s="13">
        <f t="shared" si="0"/>
        <v>9870129.5</v>
      </c>
      <c r="G13" s="13">
        <f t="shared" si="1"/>
        <v>8999365.5999999996</v>
      </c>
      <c r="H13" s="26">
        <v>23</v>
      </c>
      <c r="I13" s="13">
        <v>457000</v>
      </c>
      <c r="J13" s="27">
        <v>67</v>
      </c>
      <c r="K13" s="13">
        <v>698000</v>
      </c>
      <c r="L13" s="13"/>
      <c r="M13" s="13"/>
      <c r="N13" s="13"/>
      <c r="O13" s="13"/>
      <c r="P13" s="13"/>
      <c r="Q13" s="45">
        <f t="shared" si="4"/>
        <v>20024495.100000001</v>
      </c>
      <c r="R13" s="13">
        <v>2896681</v>
      </c>
      <c r="S13" s="13">
        <v>6736621</v>
      </c>
      <c r="T13" s="13"/>
      <c r="U13" s="13"/>
      <c r="V13" s="13"/>
      <c r="W13" s="13">
        <v>250000</v>
      </c>
      <c r="X13" s="13">
        <v>2785500</v>
      </c>
      <c r="Y13" s="28">
        <f t="shared" si="6"/>
        <v>7355693.1000000015</v>
      </c>
      <c r="Z13" s="13"/>
      <c r="AA13" s="13"/>
      <c r="AB13" s="13"/>
      <c r="AC13" s="13"/>
      <c r="AD13" s="13"/>
      <c r="AE13" s="13"/>
      <c r="AF13" s="13">
        <v>5000</v>
      </c>
      <c r="AG13" s="13"/>
      <c r="AH13" s="13">
        <v>2000</v>
      </c>
      <c r="AI13" s="13"/>
      <c r="AJ13" s="13"/>
      <c r="AK13" s="13"/>
      <c r="AL13" s="43">
        <f t="shared" si="2"/>
        <v>7000</v>
      </c>
      <c r="AM13" s="12"/>
      <c r="AN13" s="12"/>
      <c r="AO13" s="12"/>
      <c r="AP13" s="12">
        <v>414000</v>
      </c>
      <c r="AQ13" s="29">
        <f t="shared" si="5"/>
        <v>6934693.1000000015</v>
      </c>
      <c r="AR13" s="15">
        <v>6936300</v>
      </c>
      <c r="AS13" s="30">
        <f t="shared" si="3"/>
        <v>1606.8999999985099</v>
      </c>
    </row>
    <row r="14" spans="1:45" s="15" customFormat="1" ht="12.75" x14ac:dyDescent="0.2">
      <c r="A14" s="25">
        <v>44815</v>
      </c>
      <c r="B14" s="46">
        <v>1218.83</v>
      </c>
      <c r="C14" s="46">
        <v>2856.96</v>
      </c>
      <c r="D14" s="47">
        <v>6650</v>
      </c>
      <c r="E14" s="47">
        <v>6280</v>
      </c>
      <c r="F14" s="13">
        <f t="shared" si="0"/>
        <v>8105219.4999999991</v>
      </c>
      <c r="G14" s="13">
        <f t="shared" si="1"/>
        <v>17941708.800000001</v>
      </c>
      <c r="H14" s="26">
        <v>15</v>
      </c>
      <c r="I14" s="13">
        <v>307000</v>
      </c>
      <c r="J14" s="27">
        <v>21.5</v>
      </c>
      <c r="K14" s="13">
        <v>408000</v>
      </c>
      <c r="L14" s="13">
        <v>15000</v>
      </c>
      <c r="M14" s="13"/>
      <c r="N14" s="13"/>
      <c r="O14" s="13">
        <v>100000</v>
      </c>
      <c r="P14" s="13">
        <v>6000</v>
      </c>
      <c r="Q14" s="45">
        <f t="shared" si="4"/>
        <v>26882928.300000001</v>
      </c>
      <c r="R14" s="13">
        <v>3308687</v>
      </c>
      <c r="S14" s="13">
        <v>17360515</v>
      </c>
      <c r="T14" s="13"/>
      <c r="U14" s="13"/>
      <c r="V14" s="13"/>
      <c r="W14" s="13">
        <v>392500</v>
      </c>
      <c r="X14" s="13">
        <v>879200</v>
      </c>
      <c r="Y14" s="28">
        <f t="shared" si="6"/>
        <v>4942026.3000000007</v>
      </c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>
        <v>30000</v>
      </c>
      <c r="AL14" s="43">
        <f t="shared" si="2"/>
        <v>30000</v>
      </c>
      <c r="AM14" s="12"/>
      <c r="AN14" s="12"/>
      <c r="AO14" s="12"/>
      <c r="AP14" s="12"/>
      <c r="AQ14" s="29">
        <f t="shared" si="5"/>
        <v>4912026.3000000007</v>
      </c>
      <c r="AR14" s="15">
        <v>4912400</v>
      </c>
      <c r="AS14" s="30">
        <f t="shared" ref="AS14:AS34" si="7">AR14-AQ14</f>
        <v>373.69999999925494</v>
      </c>
    </row>
    <row r="15" spans="1:45" s="15" customFormat="1" ht="12.75" x14ac:dyDescent="0.2">
      <c r="A15" s="25">
        <v>44693</v>
      </c>
      <c r="B15" s="46">
        <v>1192.3800000000001</v>
      </c>
      <c r="C15" s="46">
        <v>4313.66</v>
      </c>
      <c r="D15" s="47">
        <v>6650</v>
      </c>
      <c r="E15" s="47">
        <v>6280</v>
      </c>
      <c r="F15" s="13">
        <f t="shared" si="0"/>
        <v>7929327.0000000009</v>
      </c>
      <c r="G15" s="13">
        <f t="shared" si="1"/>
        <v>27089784.800000001</v>
      </c>
      <c r="H15" s="26">
        <v>59</v>
      </c>
      <c r="I15" s="50">
        <v>524500</v>
      </c>
      <c r="J15" s="27">
        <v>42.5</v>
      </c>
      <c r="K15" s="13">
        <v>393000</v>
      </c>
      <c r="L15" s="13">
        <v>86000</v>
      </c>
      <c r="M15" s="13">
        <v>20000</v>
      </c>
      <c r="N15" s="13"/>
      <c r="O15" s="13">
        <v>2430000</v>
      </c>
      <c r="P15" s="13">
        <v>4000</v>
      </c>
      <c r="Q15" s="45">
        <f t="shared" si="4"/>
        <v>38476611.800000004</v>
      </c>
      <c r="R15" s="13">
        <v>2268242</v>
      </c>
      <c r="S15" s="13">
        <v>22752147</v>
      </c>
      <c r="T15" s="13"/>
      <c r="U15" s="13"/>
      <c r="V15" s="13"/>
      <c r="W15" s="13"/>
      <c r="X15" s="13">
        <v>1887213</v>
      </c>
      <c r="Y15" s="28">
        <f t="shared" si="6"/>
        <v>11569009.800000004</v>
      </c>
      <c r="Z15" s="13">
        <v>1068275</v>
      </c>
      <c r="AA15" s="13"/>
      <c r="AB15" s="13"/>
      <c r="AC15" s="13"/>
      <c r="AD15" s="13"/>
      <c r="AE15" s="13"/>
      <c r="AF15" s="13">
        <v>3000</v>
      </c>
      <c r="AG15" s="13"/>
      <c r="AH15" s="13"/>
      <c r="AI15" s="13">
        <v>5000</v>
      </c>
      <c r="AJ15" s="13">
        <v>25000</v>
      </c>
      <c r="AK15" s="13"/>
      <c r="AL15" s="43">
        <f t="shared" si="2"/>
        <v>1101275</v>
      </c>
      <c r="AN15" s="35"/>
      <c r="AO15" s="32"/>
      <c r="AP15" s="32">
        <v>753600</v>
      </c>
      <c r="AQ15" s="29">
        <f t="shared" si="5"/>
        <v>9714134.8000000045</v>
      </c>
      <c r="AR15" s="15">
        <v>9713800</v>
      </c>
      <c r="AS15" s="30">
        <f t="shared" si="7"/>
        <v>-334.80000000447035</v>
      </c>
    </row>
    <row r="16" spans="1:45" s="15" customFormat="1" ht="12.75" x14ac:dyDescent="0.2">
      <c r="A16" s="25">
        <v>44817</v>
      </c>
      <c r="B16" s="46">
        <v>966.71</v>
      </c>
      <c r="C16" s="46">
        <v>6110</v>
      </c>
      <c r="D16" s="47">
        <v>6650</v>
      </c>
      <c r="E16" s="47">
        <v>6280</v>
      </c>
      <c r="F16" s="13">
        <f t="shared" si="0"/>
        <v>6428621.5</v>
      </c>
      <c r="G16" s="13">
        <f t="shared" si="1"/>
        <v>38370800</v>
      </c>
      <c r="H16" s="26">
        <v>84.5</v>
      </c>
      <c r="I16" s="13">
        <v>1886000</v>
      </c>
      <c r="J16" s="27">
        <v>33.5</v>
      </c>
      <c r="K16" s="13">
        <v>309000</v>
      </c>
      <c r="L16" s="13">
        <v>45000</v>
      </c>
      <c r="M16" s="13"/>
      <c r="N16" s="13"/>
      <c r="O16" s="13"/>
      <c r="P16" s="13">
        <v>2000</v>
      </c>
      <c r="Q16" s="45">
        <f t="shared" si="4"/>
        <v>47041421.5</v>
      </c>
      <c r="R16" s="13">
        <v>1873078</v>
      </c>
      <c r="S16" s="13">
        <v>36263267</v>
      </c>
      <c r="T16" s="13"/>
      <c r="U16" s="13"/>
      <c r="V16" s="13"/>
      <c r="W16" s="13">
        <v>199000</v>
      </c>
      <c r="X16" s="13">
        <v>333000</v>
      </c>
      <c r="Y16" s="28">
        <f t="shared" si="6"/>
        <v>8373076.5</v>
      </c>
      <c r="Z16" s="13"/>
      <c r="AA16" s="13"/>
      <c r="AB16" s="13"/>
      <c r="AC16" s="13"/>
      <c r="AD16" s="13">
        <v>125600</v>
      </c>
      <c r="AE16" s="13"/>
      <c r="AF16" s="13">
        <v>3000</v>
      </c>
      <c r="AG16" s="13"/>
      <c r="AH16" s="13"/>
      <c r="AI16" s="13"/>
      <c r="AJ16" s="13"/>
      <c r="AK16" s="13"/>
      <c r="AL16" s="43">
        <f t="shared" si="2"/>
        <v>128600</v>
      </c>
      <c r="AM16" s="31"/>
      <c r="AN16" s="36"/>
      <c r="AO16" s="32"/>
      <c r="AP16" s="32">
        <v>710000</v>
      </c>
      <c r="AQ16" s="29">
        <f t="shared" si="5"/>
        <v>7534476.5</v>
      </c>
      <c r="AR16" s="15">
        <v>7537200</v>
      </c>
      <c r="AS16" s="30">
        <f t="shared" si="7"/>
        <v>2723.5</v>
      </c>
    </row>
    <row r="17" spans="1:45" s="15" customFormat="1" ht="12.75" x14ac:dyDescent="0.2">
      <c r="A17" s="25">
        <v>44818</v>
      </c>
      <c r="B17" s="46">
        <v>1220.33</v>
      </c>
      <c r="C17" s="46">
        <v>2211.64</v>
      </c>
      <c r="D17" s="47">
        <v>6650</v>
      </c>
      <c r="E17" s="47">
        <v>6280</v>
      </c>
      <c r="F17" s="13">
        <f t="shared" si="0"/>
        <v>8115194.4999999991</v>
      </c>
      <c r="G17" s="13">
        <f t="shared" si="1"/>
        <v>13889099.199999999</v>
      </c>
      <c r="H17" s="26">
        <v>20</v>
      </c>
      <c r="I17" s="13">
        <v>420500</v>
      </c>
      <c r="J17" s="27">
        <v>39.5</v>
      </c>
      <c r="K17" s="13">
        <v>365000</v>
      </c>
      <c r="L17" s="13">
        <v>8000</v>
      </c>
      <c r="M17" s="13"/>
      <c r="N17" s="13"/>
      <c r="O17" s="13">
        <v>330000</v>
      </c>
      <c r="P17" s="13">
        <v>9000</v>
      </c>
      <c r="Q17" s="45">
        <f t="shared" si="4"/>
        <v>23136793.699999999</v>
      </c>
      <c r="R17" s="13">
        <v>2543616</v>
      </c>
      <c r="S17" s="13">
        <v>10899823</v>
      </c>
      <c r="T17" s="13"/>
      <c r="U17" s="13"/>
      <c r="V17" s="13"/>
      <c r="W17" s="13">
        <v>600000</v>
      </c>
      <c r="X17" s="13">
        <v>3868400</v>
      </c>
      <c r="Y17" s="28">
        <f t="shared" si="6"/>
        <v>5224954.6999999993</v>
      </c>
      <c r="Z17" s="13"/>
      <c r="AA17" s="13"/>
      <c r="AB17" s="13"/>
      <c r="AC17" s="13"/>
      <c r="AD17" s="13"/>
      <c r="AE17" s="13"/>
      <c r="AF17" s="13">
        <v>3000</v>
      </c>
      <c r="AG17" s="13"/>
      <c r="AH17" s="13"/>
      <c r="AI17" s="13"/>
      <c r="AJ17" s="13"/>
      <c r="AK17" s="13"/>
      <c r="AL17" s="43">
        <f t="shared" si="2"/>
        <v>3000</v>
      </c>
      <c r="AM17" s="12"/>
      <c r="AN17" s="12"/>
      <c r="AO17" s="12"/>
      <c r="AP17" s="12">
        <v>246000</v>
      </c>
      <c r="AQ17" s="29">
        <f t="shared" si="5"/>
        <v>4975954.6999999993</v>
      </c>
      <c r="AR17" s="15">
        <v>4976000</v>
      </c>
      <c r="AS17" s="30">
        <f t="shared" si="7"/>
        <v>45.300000000745058</v>
      </c>
    </row>
    <row r="18" spans="1:45" s="15" customFormat="1" ht="12.75" x14ac:dyDescent="0.2">
      <c r="A18" s="25">
        <v>44819</v>
      </c>
      <c r="B18" s="46">
        <v>1147.57</v>
      </c>
      <c r="C18" s="46">
        <v>1440.74</v>
      </c>
      <c r="D18" s="47">
        <v>6650</v>
      </c>
      <c r="E18" s="47">
        <v>6280</v>
      </c>
      <c r="F18" s="13">
        <f t="shared" si="0"/>
        <v>7631340.5</v>
      </c>
      <c r="G18" s="13">
        <f t="shared" si="1"/>
        <v>9047847.1999999993</v>
      </c>
      <c r="H18" s="26">
        <v>22</v>
      </c>
      <c r="I18" s="13">
        <v>475500</v>
      </c>
      <c r="J18" s="27">
        <v>21</v>
      </c>
      <c r="K18" s="13">
        <v>236000</v>
      </c>
      <c r="L18" s="13">
        <v>15000</v>
      </c>
      <c r="M18" s="13"/>
      <c r="N18" s="13"/>
      <c r="O18" s="13"/>
      <c r="P18" s="13">
        <v>4000</v>
      </c>
      <c r="Q18" s="45">
        <f t="shared" si="4"/>
        <v>17409687.699999999</v>
      </c>
      <c r="R18" s="13">
        <v>1633520</v>
      </c>
      <c r="S18" s="13">
        <v>4293363</v>
      </c>
      <c r="T18" s="13"/>
      <c r="U18" s="13"/>
      <c r="V18" s="13"/>
      <c r="W18" s="13">
        <v>137000</v>
      </c>
      <c r="X18" s="13">
        <v>2862280</v>
      </c>
      <c r="Y18" s="28">
        <f t="shared" si="6"/>
        <v>8483524.6999999993</v>
      </c>
      <c r="Z18" s="12"/>
      <c r="AA18" s="12"/>
      <c r="AB18" s="12"/>
      <c r="AC18" s="12"/>
      <c r="AD18" s="12"/>
      <c r="AE18" s="12"/>
      <c r="AF18" s="12">
        <v>3000</v>
      </c>
      <c r="AG18" s="12"/>
      <c r="AH18" s="12"/>
      <c r="AI18" s="12"/>
      <c r="AJ18" s="12"/>
      <c r="AK18" s="12"/>
      <c r="AL18" s="43">
        <f t="shared" ref="AL18:AL34" si="8">SUM(Z18:AK18)</f>
        <v>3000</v>
      </c>
      <c r="AM18" s="12"/>
      <c r="AN18" s="12"/>
      <c r="AO18" s="12"/>
      <c r="AP18" s="12">
        <v>1098900</v>
      </c>
      <c r="AQ18" s="29">
        <f t="shared" si="5"/>
        <v>7381624.6999999993</v>
      </c>
      <c r="AR18" s="15">
        <v>7381600</v>
      </c>
      <c r="AS18" s="30">
        <f t="shared" si="7"/>
        <v>-24.699999999254942</v>
      </c>
    </row>
    <row r="19" spans="1:45" s="15" customFormat="1" ht="12.75" x14ac:dyDescent="0.2">
      <c r="A19" s="25">
        <v>44820</v>
      </c>
      <c r="B19" s="46">
        <v>1266</v>
      </c>
      <c r="C19" s="46">
        <v>1177.58</v>
      </c>
      <c r="D19" s="47">
        <v>6650</v>
      </c>
      <c r="E19" s="47">
        <v>6280</v>
      </c>
      <c r="F19" s="13">
        <f t="shared" si="0"/>
        <v>8418900</v>
      </c>
      <c r="G19" s="13">
        <f t="shared" si="1"/>
        <v>7395202.3999999994</v>
      </c>
      <c r="H19" s="26">
        <v>41</v>
      </c>
      <c r="I19" s="13">
        <v>948000</v>
      </c>
      <c r="J19" s="27">
        <v>18</v>
      </c>
      <c r="K19" s="13">
        <v>168000</v>
      </c>
      <c r="L19" s="13"/>
      <c r="M19" s="13"/>
      <c r="N19" s="13"/>
      <c r="O19" s="13"/>
      <c r="P19" s="13">
        <v>6000</v>
      </c>
      <c r="Q19" s="45">
        <f t="shared" si="4"/>
        <v>16936102.399999999</v>
      </c>
      <c r="R19" s="13">
        <v>646100</v>
      </c>
      <c r="S19" s="13">
        <v>5196802</v>
      </c>
      <c r="T19" s="13"/>
      <c r="U19" s="13"/>
      <c r="V19" s="13"/>
      <c r="W19" s="13">
        <v>730000</v>
      </c>
      <c r="X19" s="13">
        <v>3535200</v>
      </c>
      <c r="Y19" s="28">
        <f t="shared" si="6"/>
        <v>6828000.3999999985</v>
      </c>
      <c r="Z19" s="13"/>
      <c r="AA19" s="13">
        <v>10000</v>
      </c>
      <c r="AB19" s="13"/>
      <c r="AC19" s="13"/>
      <c r="AD19" s="13"/>
      <c r="AE19" s="13"/>
      <c r="AF19" s="13">
        <v>5000</v>
      </c>
      <c r="AG19" s="13"/>
      <c r="AH19" s="13"/>
      <c r="AI19" s="13"/>
      <c r="AJ19" s="13"/>
      <c r="AK19" s="13"/>
      <c r="AL19" s="43">
        <f t="shared" si="8"/>
        <v>15000</v>
      </c>
      <c r="AM19" s="12"/>
      <c r="AN19" s="12"/>
      <c r="AO19" s="12"/>
      <c r="AP19" s="12">
        <v>734000</v>
      </c>
      <c r="AQ19" s="29">
        <f t="shared" si="5"/>
        <v>6079000.3999999985</v>
      </c>
      <c r="AR19" s="15">
        <v>6079000</v>
      </c>
      <c r="AS19" s="30">
        <f t="shared" si="7"/>
        <v>-0.39999999850988388</v>
      </c>
    </row>
    <row r="20" spans="1:45" s="15" customFormat="1" ht="12.75" x14ac:dyDescent="0.2">
      <c r="A20" s="25">
        <v>44821</v>
      </c>
      <c r="B20" s="46">
        <v>1365.39</v>
      </c>
      <c r="C20" s="46">
        <v>3838.06</v>
      </c>
      <c r="D20" s="47">
        <v>6650</v>
      </c>
      <c r="E20" s="47">
        <v>6280</v>
      </c>
      <c r="F20" s="13">
        <f t="shared" si="0"/>
        <v>9079843.5</v>
      </c>
      <c r="G20" s="13">
        <f t="shared" si="1"/>
        <v>24103016.800000001</v>
      </c>
      <c r="H20" s="26">
        <v>44</v>
      </c>
      <c r="I20" s="13">
        <v>980500</v>
      </c>
      <c r="J20" s="27">
        <v>56</v>
      </c>
      <c r="K20" s="13">
        <v>468000</v>
      </c>
      <c r="L20" s="13">
        <v>15000</v>
      </c>
      <c r="M20" s="13"/>
      <c r="N20" s="13"/>
      <c r="O20" s="13"/>
      <c r="P20" s="13"/>
      <c r="Q20" s="45">
        <f t="shared" si="4"/>
        <v>34646360.299999997</v>
      </c>
      <c r="R20" s="13">
        <v>1169557</v>
      </c>
      <c r="S20" s="13">
        <v>21609842</v>
      </c>
      <c r="T20" s="13"/>
      <c r="U20" s="13"/>
      <c r="V20" s="13"/>
      <c r="W20" s="13">
        <v>100000</v>
      </c>
      <c r="X20" s="13">
        <v>1560200</v>
      </c>
      <c r="Y20" s="28">
        <f t="shared" si="6"/>
        <v>10206761.299999997</v>
      </c>
      <c r="Z20" s="12"/>
      <c r="AA20" s="12"/>
      <c r="AB20" s="12"/>
      <c r="AC20" s="12"/>
      <c r="AD20" s="12"/>
      <c r="AE20" s="12"/>
      <c r="AF20" s="13"/>
      <c r="AG20" s="12"/>
      <c r="AH20" s="13"/>
      <c r="AI20" s="12"/>
      <c r="AJ20" s="12"/>
      <c r="AK20" s="12"/>
      <c r="AL20" s="43">
        <f t="shared" si="8"/>
        <v>0</v>
      </c>
      <c r="AM20" s="12"/>
      <c r="AN20" s="12"/>
      <c r="AO20" s="12"/>
      <c r="AP20" s="12"/>
      <c r="AQ20" s="29">
        <f t="shared" si="5"/>
        <v>10206761.299999997</v>
      </c>
      <c r="AR20" s="15">
        <v>10208000</v>
      </c>
      <c r="AS20" s="30">
        <f t="shared" si="7"/>
        <v>1238.7000000029802</v>
      </c>
    </row>
    <row r="21" spans="1:45" s="15" customFormat="1" ht="12.75" x14ac:dyDescent="0.2">
      <c r="A21" s="25">
        <v>44822</v>
      </c>
      <c r="B21" s="46">
        <v>827.52</v>
      </c>
      <c r="C21" s="46">
        <v>1029</v>
      </c>
      <c r="D21" s="47">
        <v>6650</v>
      </c>
      <c r="E21" s="47">
        <v>6280</v>
      </c>
      <c r="F21" s="13">
        <f t="shared" si="0"/>
        <v>5503008</v>
      </c>
      <c r="G21" s="13">
        <f t="shared" si="1"/>
        <v>6462120</v>
      </c>
      <c r="H21" s="26">
        <v>36.5</v>
      </c>
      <c r="I21" s="13">
        <v>820500</v>
      </c>
      <c r="J21" s="12">
        <v>86.5</v>
      </c>
      <c r="K21" s="13">
        <v>789000</v>
      </c>
      <c r="L21" s="13">
        <v>40000</v>
      </c>
      <c r="M21" s="13"/>
      <c r="N21" s="13"/>
      <c r="O21" s="13"/>
      <c r="P21" s="12"/>
      <c r="Q21" s="45">
        <f t="shared" si="4"/>
        <v>13614628</v>
      </c>
      <c r="R21" s="13">
        <v>244521</v>
      </c>
      <c r="S21" s="13">
        <v>2513631</v>
      </c>
      <c r="T21" s="13"/>
      <c r="U21" s="13"/>
      <c r="V21" s="13"/>
      <c r="W21" s="13">
        <v>240000</v>
      </c>
      <c r="X21" s="12">
        <v>2941000</v>
      </c>
      <c r="Y21" s="28">
        <f t="shared" si="6"/>
        <v>7675476</v>
      </c>
      <c r="Z21" s="12"/>
      <c r="AA21" s="12"/>
      <c r="AB21" s="12"/>
      <c r="AC21" s="12"/>
      <c r="AD21" s="12"/>
      <c r="AE21" s="12"/>
      <c r="AF21" s="12">
        <v>13000</v>
      </c>
      <c r="AG21" s="12"/>
      <c r="AH21" s="13">
        <v>15000</v>
      </c>
      <c r="AI21" s="12"/>
      <c r="AJ21" s="12">
        <v>20000</v>
      </c>
      <c r="AK21" s="12"/>
      <c r="AL21" s="43">
        <f t="shared" si="8"/>
        <v>48000</v>
      </c>
      <c r="AM21" s="12"/>
      <c r="AN21" s="12"/>
      <c r="AO21" s="12"/>
      <c r="AP21" s="12">
        <v>244500</v>
      </c>
      <c r="AQ21" s="29">
        <f t="shared" si="5"/>
        <v>7382976</v>
      </c>
      <c r="AR21" s="15">
        <v>7383000</v>
      </c>
      <c r="AS21" s="30">
        <f t="shared" si="7"/>
        <v>24</v>
      </c>
    </row>
    <row r="22" spans="1:45" s="15" customFormat="1" ht="12.75" x14ac:dyDescent="0.2">
      <c r="A22" s="25">
        <v>44823</v>
      </c>
      <c r="B22" s="46">
        <v>1072.22</v>
      </c>
      <c r="C22" s="46">
        <v>5925.31</v>
      </c>
      <c r="D22" s="47">
        <v>6650</v>
      </c>
      <c r="E22" s="47">
        <v>6280</v>
      </c>
      <c r="F22" s="13">
        <f t="shared" si="0"/>
        <v>7130263</v>
      </c>
      <c r="G22" s="13">
        <f t="shared" si="1"/>
        <v>37210946.800000004</v>
      </c>
      <c r="H22" s="26">
        <v>15</v>
      </c>
      <c r="I22" s="13">
        <v>294500</v>
      </c>
      <c r="J22" s="12">
        <v>55.5</v>
      </c>
      <c r="K22" s="13">
        <v>587000</v>
      </c>
      <c r="L22" s="13"/>
      <c r="M22" s="13"/>
      <c r="N22" s="13"/>
      <c r="O22" s="13">
        <v>1882500</v>
      </c>
      <c r="P22" s="12">
        <v>4000</v>
      </c>
      <c r="Q22" s="45">
        <f t="shared" si="4"/>
        <v>47109209.800000004</v>
      </c>
      <c r="R22" s="13">
        <v>3668550</v>
      </c>
      <c r="S22" s="13">
        <v>33180539</v>
      </c>
      <c r="T22" s="13"/>
      <c r="U22" s="13"/>
      <c r="V22" s="13"/>
      <c r="W22" s="13">
        <v>300000</v>
      </c>
      <c r="X22" s="12">
        <v>2771416</v>
      </c>
      <c r="Y22" s="28">
        <f t="shared" si="6"/>
        <v>7188704.8000000045</v>
      </c>
      <c r="Z22" s="12"/>
      <c r="AA22" s="12"/>
      <c r="AB22" s="12"/>
      <c r="AC22" s="12"/>
      <c r="AD22" s="12"/>
      <c r="AE22" s="12"/>
      <c r="AF22" s="12">
        <v>3000</v>
      </c>
      <c r="AG22" s="12"/>
      <c r="AH22" s="12">
        <v>18500</v>
      </c>
      <c r="AI22" s="12"/>
      <c r="AJ22" s="12"/>
      <c r="AK22" s="12"/>
      <c r="AL22" s="43">
        <f t="shared" si="8"/>
        <v>21500</v>
      </c>
      <c r="AM22" s="12"/>
      <c r="AN22" s="12"/>
      <c r="AO22" s="12"/>
      <c r="AP22" s="12">
        <v>199500</v>
      </c>
      <c r="AQ22" s="29">
        <f t="shared" si="5"/>
        <v>6967704.8000000045</v>
      </c>
      <c r="AR22" s="15">
        <v>6967700</v>
      </c>
      <c r="AS22" s="30">
        <f t="shared" si="7"/>
        <v>-4.8000000044703484</v>
      </c>
    </row>
    <row r="23" spans="1:45" s="15" customFormat="1" ht="12.75" x14ac:dyDescent="0.2">
      <c r="A23" s="25">
        <v>44824</v>
      </c>
      <c r="B23" s="46">
        <v>1083.42</v>
      </c>
      <c r="C23" s="46">
        <v>2975.69</v>
      </c>
      <c r="D23" s="47">
        <v>6650</v>
      </c>
      <c r="E23" s="47">
        <v>6280</v>
      </c>
      <c r="F23" s="13">
        <f t="shared" si="0"/>
        <v>7204743.0000000009</v>
      </c>
      <c r="G23" s="13">
        <f t="shared" si="1"/>
        <v>18687333.199999999</v>
      </c>
      <c r="H23" s="26">
        <v>25</v>
      </c>
      <c r="I23" s="13">
        <v>519500</v>
      </c>
      <c r="J23" s="12">
        <v>39.5</v>
      </c>
      <c r="K23" s="13">
        <v>405000</v>
      </c>
      <c r="L23" s="13"/>
      <c r="M23" s="13"/>
      <c r="N23" s="13"/>
      <c r="O23" s="13"/>
      <c r="P23" s="12">
        <v>4000</v>
      </c>
      <c r="Q23" s="45">
        <f t="shared" si="4"/>
        <v>26820576.199999999</v>
      </c>
      <c r="R23" s="13">
        <v>1217776</v>
      </c>
      <c r="S23" s="13">
        <v>13914612</v>
      </c>
      <c r="T23" s="13"/>
      <c r="U23" s="13"/>
      <c r="V23" s="13"/>
      <c r="W23" s="13"/>
      <c r="X23" s="12">
        <v>2110350</v>
      </c>
      <c r="Y23" s="28">
        <f t="shared" si="6"/>
        <v>9577838.1999999993</v>
      </c>
      <c r="Z23" s="12"/>
      <c r="AA23" s="12"/>
      <c r="AB23" s="12"/>
      <c r="AC23" s="12"/>
      <c r="AD23" s="12"/>
      <c r="AE23" s="12"/>
      <c r="AF23" s="12">
        <v>3000</v>
      </c>
      <c r="AG23" s="12"/>
      <c r="AH23" s="12"/>
      <c r="AI23" s="12"/>
      <c r="AJ23" s="12"/>
      <c r="AK23" s="12"/>
      <c r="AL23" s="43">
        <f t="shared" si="8"/>
        <v>3000</v>
      </c>
      <c r="AM23" s="12"/>
      <c r="AN23" s="12"/>
      <c r="AO23" s="12"/>
      <c r="AP23" s="12">
        <v>150000</v>
      </c>
      <c r="AQ23" s="29">
        <f t="shared" si="5"/>
        <v>9424838.1999999993</v>
      </c>
      <c r="AR23" s="15">
        <v>9424800</v>
      </c>
      <c r="AS23" s="30">
        <f t="shared" si="7"/>
        <v>-38.199999999254942</v>
      </c>
    </row>
    <row r="24" spans="1:45" s="15" customFormat="1" ht="12.75" x14ac:dyDescent="0.2">
      <c r="A24" s="25">
        <v>44825</v>
      </c>
      <c r="B24" s="46">
        <v>987.23</v>
      </c>
      <c r="C24" s="46">
        <v>1351.76</v>
      </c>
      <c r="D24" s="47">
        <v>6650</v>
      </c>
      <c r="E24" s="47">
        <v>6280</v>
      </c>
      <c r="F24" s="13">
        <f t="shared" si="0"/>
        <v>6565079.5</v>
      </c>
      <c r="G24" s="13">
        <f t="shared" si="1"/>
        <v>8489052.8000000007</v>
      </c>
      <c r="H24" s="26">
        <v>39.5</v>
      </c>
      <c r="I24" s="13">
        <v>828000</v>
      </c>
      <c r="J24" s="12">
        <v>24.5</v>
      </c>
      <c r="K24" s="13">
        <v>225000</v>
      </c>
      <c r="L24" s="13">
        <v>25000</v>
      </c>
      <c r="M24" s="13"/>
      <c r="N24" s="13"/>
      <c r="O24" s="13">
        <v>1300000</v>
      </c>
      <c r="P24" s="12">
        <v>9000</v>
      </c>
      <c r="Q24" s="45">
        <f t="shared" si="4"/>
        <v>17441132.300000001</v>
      </c>
      <c r="R24" s="13">
        <v>1087897</v>
      </c>
      <c r="S24" s="13">
        <v>6026283</v>
      </c>
      <c r="T24" s="13"/>
      <c r="U24" s="13"/>
      <c r="V24" s="13"/>
      <c r="W24" s="13">
        <v>50000</v>
      </c>
      <c r="X24" s="12">
        <v>1849100</v>
      </c>
      <c r="Y24" s="28">
        <f t="shared" si="6"/>
        <v>8427852.3000000007</v>
      </c>
      <c r="Z24" s="12"/>
      <c r="AA24" s="12"/>
      <c r="AB24" s="12"/>
      <c r="AC24" s="12"/>
      <c r="AD24" s="12"/>
      <c r="AE24" s="12"/>
      <c r="AF24" s="12">
        <v>3000</v>
      </c>
      <c r="AG24" s="12"/>
      <c r="AH24" s="12"/>
      <c r="AI24" s="12"/>
      <c r="AJ24" s="12"/>
      <c r="AK24" s="12"/>
      <c r="AL24" s="43">
        <f t="shared" si="8"/>
        <v>3000</v>
      </c>
      <c r="AM24" s="12"/>
      <c r="AN24" s="12"/>
      <c r="AO24" s="12"/>
      <c r="AP24" s="12">
        <v>500000</v>
      </c>
      <c r="AQ24" s="29">
        <f t="shared" si="5"/>
        <v>7924852.3000000007</v>
      </c>
      <c r="AR24" s="15">
        <v>7924800</v>
      </c>
      <c r="AS24" s="30">
        <f t="shared" si="7"/>
        <v>-52.300000000745058</v>
      </c>
    </row>
    <row r="25" spans="1:45" s="15" customFormat="1" ht="12.75" x14ac:dyDescent="0.2">
      <c r="A25" s="25">
        <v>44826</v>
      </c>
      <c r="B25" s="46">
        <v>1102.44</v>
      </c>
      <c r="C25" s="46">
        <v>1643.87</v>
      </c>
      <c r="D25" s="47">
        <v>6650</v>
      </c>
      <c r="E25" s="47">
        <v>6280</v>
      </c>
      <c r="F25" s="13">
        <f t="shared" si="0"/>
        <v>7331226</v>
      </c>
      <c r="G25" s="13">
        <f t="shared" si="1"/>
        <v>10323503.6</v>
      </c>
      <c r="H25" s="26">
        <v>49</v>
      </c>
      <c r="I25" s="13">
        <v>1009500</v>
      </c>
      <c r="J25" s="12">
        <v>36.5</v>
      </c>
      <c r="K25" s="13">
        <v>528500</v>
      </c>
      <c r="L25" s="13">
        <v>15000</v>
      </c>
      <c r="M25" s="13"/>
      <c r="N25" s="13"/>
      <c r="O25" s="13">
        <v>883000</v>
      </c>
      <c r="P25" s="12">
        <v>4000</v>
      </c>
      <c r="Q25" s="45">
        <f t="shared" si="4"/>
        <v>20094729.600000001</v>
      </c>
      <c r="R25" s="13">
        <v>1355510</v>
      </c>
      <c r="S25" s="13">
        <v>7247636</v>
      </c>
      <c r="T25" s="13"/>
      <c r="U25" s="13"/>
      <c r="V25" s="13"/>
      <c r="W25" s="13">
        <v>1222000</v>
      </c>
      <c r="X25" s="12">
        <v>3702550</v>
      </c>
      <c r="Y25" s="28">
        <f t="shared" si="6"/>
        <v>6567033.6000000015</v>
      </c>
      <c r="Z25" s="12"/>
      <c r="AA25" s="12"/>
      <c r="AB25" s="12"/>
      <c r="AC25" s="12"/>
      <c r="AD25" s="12"/>
      <c r="AE25" s="12"/>
      <c r="AF25" s="12">
        <v>6000</v>
      </c>
      <c r="AG25" s="12"/>
      <c r="AH25" s="12">
        <v>21000</v>
      </c>
      <c r="AI25" s="12"/>
      <c r="AJ25" s="12"/>
      <c r="AK25" s="12"/>
      <c r="AL25" s="43">
        <f t="shared" si="8"/>
        <v>27000</v>
      </c>
      <c r="AM25" s="12"/>
      <c r="AN25" s="12"/>
      <c r="AO25" s="12"/>
      <c r="AP25" s="12">
        <v>2217600</v>
      </c>
      <c r="AQ25" s="29">
        <f t="shared" si="5"/>
        <v>4322433.6000000015</v>
      </c>
      <c r="AR25" s="15">
        <v>4322400</v>
      </c>
      <c r="AS25" s="30">
        <f t="shared" si="7"/>
        <v>-33.600000001490116</v>
      </c>
    </row>
    <row r="26" spans="1:45" s="15" customFormat="1" ht="12.75" x14ac:dyDescent="0.2">
      <c r="A26" s="25">
        <v>44827</v>
      </c>
      <c r="B26" s="46">
        <v>1285.69</v>
      </c>
      <c r="C26" s="46">
        <v>1464.15</v>
      </c>
      <c r="D26" s="47">
        <v>6650</v>
      </c>
      <c r="E26" s="47">
        <v>6280</v>
      </c>
      <c r="F26" s="13">
        <f t="shared" ref="F26" si="9">B26*D26</f>
        <v>8549838.5</v>
      </c>
      <c r="G26" s="13">
        <f t="shared" ref="G26" si="10">C26*E26</f>
        <v>9194862</v>
      </c>
      <c r="H26" s="26">
        <v>16</v>
      </c>
      <c r="I26" s="13">
        <v>318500</v>
      </c>
      <c r="J26" s="12">
        <v>15</v>
      </c>
      <c r="K26" s="13">
        <v>307500</v>
      </c>
      <c r="L26" s="13">
        <v>15000</v>
      </c>
      <c r="M26" s="13"/>
      <c r="N26" s="13"/>
      <c r="O26" s="13">
        <v>188400</v>
      </c>
      <c r="P26" s="12">
        <v>4000</v>
      </c>
      <c r="Q26" s="45">
        <f t="shared" ref="Q26" si="11">SUM(F26:G26)+I26+K26+SUM(L26:P26)</f>
        <v>18578100.5</v>
      </c>
      <c r="R26" s="13">
        <v>2319211</v>
      </c>
      <c r="S26" s="13">
        <v>8138868</v>
      </c>
      <c r="T26" s="13"/>
      <c r="U26" s="13"/>
      <c r="V26" s="13"/>
      <c r="W26" s="13">
        <v>300000</v>
      </c>
      <c r="X26" s="12">
        <v>611800</v>
      </c>
      <c r="Y26" s="28">
        <f t="shared" ref="Y26" si="12">Q26-SUM(R26:X26)</f>
        <v>7208221.5</v>
      </c>
      <c r="Z26" s="12"/>
      <c r="AA26" s="12"/>
      <c r="AB26" s="12"/>
      <c r="AC26" s="12">
        <v>10000</v>
      </c>
      <c r="AD26" s="12"/>
      <c r="AE26" s="12"/>
      <c r="AF26" s="12">
        <v>2000</v>
      </c>
      <c r="AG26" s="12"/>
      <c r="AH26" s="12">
        <v>12000</v>
      </c>
      <c r="AI26" s="12"/>
      <c r="AJ26" s="12"/>
      <c r="AK26" s="12"/>
      <c r="AL26" s="43">
        <f t="shared" ref="AL26" si="13">SUM(Z26:AK26)</f>
        <v>24000</v>
      </c>
      <c r="AM26" s="12"/>
      <c r="AN26" s="12"/>
      <c r="AO26" s="12"/>
      <c r="AP26" s="12"/>
      <c r="AQ26" s="29">
        <f t="shared" ref="AQ26" si="14">Q26-SUM(R26:X26)-AL26-SUM(AM26:AO26)-AP26</f>
        <v>7184221.5</v>
      </c>
      <c r="AR26" s="15">
        <v>7189200</v>
      </c>
      <c r="AS26" s="30">
        <f t="shared" ref="AS26" si="15">AR26-AQ26</f>
        <v>4978.5</v>
      </c>
    </row>
    <row r="27" spans="1:45" s="15" customFormat="1" ht="12.75" x14ac:dyDescent="0.2">
      <c r="A27" s="25">
        <v>44828</v>
      </c>
      <c r="B27" s="46">
        <v>1174.4100000000001</v>
      </c>
      <c r="C27" s="46">
        <v>1328.08</v>
      </c>
      <c r="D27" s="47">
        <v>6650</v>
      </c>
      <c r="E27" s="47">
        <v>6280</v>
      </c>
      <c r="F27" s="13">
        <f t="shared" si="0"/>
        <v>7809826.5000000009</v>
      </c>
      <c r="G27" s="13">
        <f t="shared" si="1"/>
        <v>8340342.3999999994</v>
      </c>
      <c r="H27" s="26">
        <v>39</v>
      </c>
      <c r="I27" s="13">
        <v>800500</v>
      </c>
      <c r="J27" s="12">
        <v>21.5</v>
      </c>
      <c r="K27" s="13">
        <v>237000</v>
      </c>
      <c r="L27" s="13"/>
      <c r="M27" s="13"/>
      <c r="N27" s="13"/>
      <c r="O27" s="13">
        <v>2180000</v>
      </c>
      <c r="P27" s="12"/>
      <c r="Q27" s="45">
        <f t="shared" si="4"/>
        <v>19367668.899999999</v>
      </c>
      <c r="R27" s="13">
        <v>1752442</v>
      </c>
      <c r="S27" s="13">
        <v>5179893</v>
      </c>
      <c r="T27" s="13"/>
      <c r="U27" s="13"/>
      <c r="V27" s="13"/>
      <c r="W27" s="13">
        <v>130000</v>
      </c>
      <c r="X27" s="12">
        <v>666800</v>
      </c>
      <c r="Y27" s="28">
        <f t="shared" si="6"/>
        <v>11638533.899999999</v>
      </c>
      <c r="Z27" s="12"/>
      <c r="AA27" s="12"/>
      <c r="AB27" s="12"/>
      <c r="AC27" s="12"/>
      <c r="AD27" s="12"/>
      <c r="AE27" s="12"/>
      <c r="AF27" s="12">
        <v>3000</v>
      </c>
      <c r="AG27" s="12"/>
      <c r="AH27" s="12"/>
      <c r="AI27" s="12">
        <v>10000</v>
      </c>
      <c r="AJ27" s="12"/>
      <c r="AK27" s="12"/>
      <c r="AL27" s="43">
        <f t="shared" si="8"/>
        <v>13000</v>
      </c>
      <c r="AM27" s="12"/>
      <c r="AN27" s="12"/>
      <c r="AO27" s="12"/>
      <c r="AP27" s="12"/>
      <c r="AQ27" s="29">
        <f t="shared" si="5"/>
        <v>11625533.899999999</v>
      </c>
      <c r="AR27" s="15">
        <v>11625500</v>
      </c>
      <c r="AS27" s="30">
        <f t="shared" si="7"/>
        <v>-33.899999998509884</v>
      </c>
    </row>
    <row r="28" spans="1:45" s="15" customFormat="1" ht="12.75" x14ac:dyDescent="0.2">
      <c r="A28" s="25">
        <v>44829</v>
      </c>
      <c r="B28" s="46">
        <v>1017.74</v>
      </c>
      <c r="C28" s="46">
        <v>707.22</v>
      </c>
      <c r="D28" s="47">
        <v>6650</v>
      </c>
      <c r="E28" s="47">
        <v>6280</v>
      </c>
      <c r="F28" s="13">
        <f t="shared" si="0"/>
        <v>6767971</v>
      </c>
      <c r="G28" s="13">
        <f t="shared" si="1"/>
        <v>4441341.6000000006</v>
      </c>
      <c r="H28" s="26">
        <v>27</v>
      </c>
      <c r="I28" s="13">
        <v>538500</v>
      </c>
      <c r="J28" s="12">
        <v>58.5</v>
      </c>
      <c r="K28" s="13">
        <v>575000</v>
      </c>
      <c r="L28" s="13">
        <v>15000</v>
      </c>
      <c r="M28" s="13"/>
      <c r="N28" s="13"/>
      <c r="O28" s="13"/>
      <c r="P28" s="12"/>
      <c r="Q28" s="45">
        <f t="shared" si="4"/>
        <v>12337812.600000001</v>
      </c>
      <c r="R28" s="13">
        <v>246600</v>
      </c>
      <c r="S28" s="13">
        <v>2609191</v>
      </c>
      <c r="T28" s="13"/>
      <c r="U28" s="13"/>
      <c r="V28" s="13"/>
      <c r="W28" s="13">
        <v>200000</v>
      </c>
      <c r="X28" s="12">
        <v>744000</v>
      </c>
      <c r="Y28" s="28">
        <f t="shared" si="6"/>
        <v>8538021.6000000015</v>
      </c>
      <c r="Z28" s="12"/>
      <c r="AA28" s="12"/>
      <c r="AB28" s="12"/>
      <c r="AC28" s="12"/>
      <c r="AD28" s="12">
        <v>50000</v>
      </c>
      <c r="AE28" s="12"/>
      <c r="AF28" s="12">
        <v>2000</v>
      </c>
      <c r="AG28" s="12"/>
      <c r="AH28" s="12"/>
      <c r="AI28" s="12"/>
      <c r="AJ28" s="12">
        <v>5000</v>
      </c>
      <c r="AK28" s="12"/>
      <c r="AL28" s="43">
        <f t="shared" si="8"/>
        <v>57000</v>
      </c>
      <c r="AM28" s="12"/>
      <c r="AN28" s="12"/>
      <c r="AO28" s="12"/>
      <c r="AP28" s="12">
        <v>680500</v>
      </c>
      <c r="AQ28" s="29">
        <f t="shared" si="5"/>
        <v>7800521.6000000015</v>
      </c>
      <c r="AR28" s="15">
        <v>7800500</v>
      </c>
      <c r="AS28" s="30">
        <f t="shared" si="7"/>
        <v>-21.600000001490116</v>
      </c>
    </row>
    <row r="29" spans="1:45" s="15" customFormat="1" ht="12.75" x14ac:dyDescent="0.2">
      <c r="A29" s="25">
        <v>44830</v>
      </c>
      <c r="B29" s="46">
        <v>1036.9100000000001</v>
      </c>
      <c r="C29" s="46">
        <v>4242.09</v>
      </c>
      <c r="D29" s="47">
        <v>6650</v>
      </c>
      <c r="E29" s="47">
        <v>6280</v>
      </c>
      <c r="F29" s="13">
        <f t="shared" si="0"/>
        <v>6895451.5000000009</v>
      </c>
      <c r="G29" s="13">
        <f t="shared" si="1"/>
        <v>26640325.199999999</v>
      </c>
      <c r="H29" s="26">
        <v>51</v>
      </c>
      <c r="I29" s="13">
        <v>1107500</v>
      </c>
      <c r="J29" s="12">
        <v>24</v>
      </c>
      <c r="K29" s="13">
        <v>224000</v>
      </c>
      <c r="L29" s="13"/>
      <c r="M29" s="13"/>
      <c r="N29" s="13"/>
      <c r="O29" s="13">
        <v>680500</v>
      </c>
      <c r="P29" s="12">
        <v>2000</v>
      </c>
      <c r="Q29" s="45">
        <f t="shared" si="4"/>
        <v>35549776.700000003</v>
      </c>
      <c r="R29" s="13">
        <v>1213236</v>
      </c>
      <c r="S29" s="13">
        <v>23450060</v>
      </c>
      <c r="T29" s="13"/>
      <c r="U29" s="13"/>
      <c r="V29" s="13"/>
      <c r="W29" s="13">
        <v>320000</v>
      </c>
      <c r="X29" s="12">
        <v>2478400</v>
      </c>
      <c r="Y29" s="28">
        <f t="shared" si="6"/>
        <v>8088080.700000003</v>
      </c>
      <c r="Z29" s="12"/>
      <c r="AA29" s="12"/>
      <c r="AB29" s="12"/>
      <c r="AC29" s="12"/>
      <c r="AD29" s="12">
        <v>125600</v>
      </c>
      <c r="AE29" s="12"/>
      <c r="AF29" s="12">
        <v>3000</v>
      </c>
      <c r="AG29" s="12"/>
      <c r="AH29" s="12"/>
      <c r="AI29" s="12"/>
      <c r="AJ29" s="12"/>
      <c r="AK29" s="12"/>
      <c r="AL29" s="43">
        <f t="shared" si="8"/>
        <v>128600</v>
      </c>
      <c r="AM29" s="12"/>
      <c r="AN29" s="12"/>
      <c r="AO29" s="12"/>
      <c r="AP29" s="12">
        <v>1256000</v>
      </c>
      <c r="AQ29" s="29">
        <f t="shared" si="5"/>
        <v>6703480.700000003</v>
      </c>
      <c r="AR29" s="15">
        <v>6703500</v>
      </c>
      <c r="AS29" s="30">
        <f t="shared" si="7"/>
        <v>19.299999997019768</v>
      </c>
    </row>
    <row r="30" spans="1:45" s="15" customFormat="1" ht="12.75" x14ac:dyDescent="0.2">
      <c r="A30" s="25">
        <v>44831</v>
      </c>
      <c r="B30" s="46">
        <v>725.08</v>
      </c>
      <c r="C30" s="46">
        <v>1067.54</v>
      </c>
      <c r="D30" s="47">
        <v>6650</v>
      </c>
      <c r="E30" s="47">
        <v>6280</v>
      </c>
      <c r="F30" s="13">
        <f t="shared" si="0"/>
        <v>4821782</v>
      </c>
      <c r="G30" s="13">
        <f t="shared" si="1"/>
        <v>6704151.2000000002</v>
      </c>
      <c r="H30" s="26">
        <v>60.5</v>
      </c>
      <c r="I30" s="13">
        <v>1130000</v>
      </c>
      <c r="J30" s="12">
        <v>55.5</v>
      </c>
      <c r="K30" s="13">
        <v>613000</v>
      </c>
      <c r="L30" s="13"/>
      <c r="M30" s="13"/>
      <c r="N30" s="13"/>
      <c r="O30" s="13">
        <v>715000</v>
      </c>
      <c r="P30" s="12"/>
      <c r="Q30" s="45">
        <f t="shared" si="4"/>
        <v>13983933.199999999</v>
      </c>
      <c r="R30" s="13">
        <v>309203</v>
      </c>
      <c r="S30" s="13">
        <v>5608819</v>
      </c>
      <c r="T30" s="13"/>
      <c r="U30" s="13"/>
      <c r="V30" s="13"/>
      <c r="W30" s="13">
        <v>240000</v>
      </c>
      <c r="X30" s="12">
        <v>285900</v>
      </c>
      <c r="Y30" s="28">
        <f t="shared" si="6"/>
        <v>7540011.1999999993</v>
      </c>
      <c r="Z30" s="12"/>
      <c r="AA30" s="12"/>
      <c r="AB30" s="12">
        <v>625000</v>
      </c>
      <c r="AC30" s="12"/>
      <c r="AD30" s="12"/>
      <c r="AE30" s="12"/>
      <c r="AF30" s="12">
        <v>4000</v>
      </c>
      <c r="AG30" s="12"/>
      <c r="AH30" s="12"/>
      <c r="AI30" s="12"/>
      <c r="AJ30" s="12"/>
      <c r="AK30" s="12"/>
      <c r="AL30" s="43">
        <f t="shared" si="8"/>
        <v>629000</v>
      </c>
      <c r="AM30" s="12"/>
      <c r="AN30" s="12"/>
      <c r="AO30" s="12"/>
      <c r="AP30" s="12">
        <v>126350</v>
      </c>
      <c r="AQ30" s="29">
        <f t="shared" si="5"/>
        <v>6784661.1999999993</v>
      </c>
      <c r="AR30" s="15">
        <v>6784700</v>
      </c>
      <c r="AS30" s="30">
        <f t="shared" si="7"/>
        <v>38.800000000745058</v>
      </c>
    </row>
    <row r="31" spans="1:45" s="15" customFormat="1" ht="12.75" x14ac:dyDescent="0.2">
      <c r="A31" s="25">
        <v>44832</v>
      </c>
      <c r="B31" s="46">
        <v>749.21</v>
      </c>
      <c r="C31" s="46">
        <v>4452.3100000000004</v>
      </c>
      <c r="D31" s="47">
        <v>6650</v>
      </c>
      <c r="E31" s="47">
        <v>6280</v>
      </c>
      <c r="F31" s="13">
        <f t="shared" si="0"/>
        <v>4982246.5</v>
      </c>
      <c r="G31" s="13">
        <f t="shared" si="1"/>
        <v>27960506.800000001</v>
      </c>
      <c r="H31" s="26">
        <v>53</v>
      </c>
      <c r="I31" s="13">
        <v>1172500</v>
      </c>
      <c r="J31" s="12">
        <v>9</v>
      </c>
      <c r="K31" s="13">
        <v>156000</v>
      </c>
      <c r="L31" s="13"/>
      <c r="M31" s="13">
        <v>824800</v>
      </c>
      <c r="N31" s="13"/>
      <c r="O31" s="13">
        <v>874000</v>
      </c>
      <c r="P31" s="12">
        <v>6000</v>
      </c>
      <c r="Q31" s="45">
        <f t="shared" si="4"/>
        <v>35976053.299999997</v>
      </c>
      <c r="R31" s="13">
        <v>495370</v>
      </c>
      <c r="S31" s="13">
        <v>25696320</v>
      </c>
      <c r="T31" s="13"/>
      <c r="U31" s="13"/>
      <c r="V31" s="13"/>
      <c r="W31" s="13">
        <v>115000</v>
      </c>
      <c r="X31" s="12">
        <v>447250</v>
      </c>
      <c r="Y31" s="28">
        <f t="shared" si="6"/>
        <v>9222113.299999997</v>
      </c>
      <c r="Z31" s="12"/>
      <c r="AA31" s="12"/>
      <c r="AB31" s="12"/>
      <c r="AC31" s="12"/>
      <c r="AD31" s="12">
        <v>125600</v>
      </c>
      <c r="AE31" s="12"/>
      <c r="AF31" s="12">
        <v>4000</v>
      </c>
      <c r="AG31" s="12"/>
      <c r="AH31" s="12">
        <v>9000</v>
      </c>
      <c r="AI31" s="12"/>
      <c r="AJ31" s="12"/>
      <c r="AK31" s="12"/>
      <c r="AL31" s="43">
        <f t="shared" si="8"/>
        <v>138600</v>
      </c>
      <c r="AM31" s="12"/>
      <c r="AN31" s="12"/>
      <c r="AO31" s="12"/>
      <c r="AP31" s="12"/>
      <c r="AQ31" s="29">
        <f t="shared" si="5"/>
        <v>9083513.299999997</v>
      </c>
      <c r="AR31" s="15">
        <v>9084500</v>
      </c>
      <c r="AS31" s="30">
        <f t="shared" si="7"/>
        <v>986.70000000298023</v>
      </c>
    </row>
    <row r="32" spans="1:45" s="15" customFormat="1" ht="12.75" x14ac:dyDescent="0.2">
      <c r="A32" s="25">
        <v>44833</v>
      </c>
      <c r="B32" s="46">
        <v>924</v>
      </c>
      <c r="C32" s="46">
        <v>1141.0899999999999</v>
      </c>
      <c r="D32" s="47">
        <v>6650</v>
      </c>
      <c r="E32" s="47">
        <v>6280</v>
      </c>
      <c r="F32" s="13">
        <f t="shared" si="0"/>
        <v>6144600</v>
      </c>
      <c r="G32" s="13">
        <f t="shared" si="1"/>
        <v>7166045.1999999993</v>
      </c>
      <c r="H32" s="26">
        <v>53</v>
      </c>
      <c r="I32" s="13">
        <v>1169000</v>
      </c>
      <c r="J32" s="12">
        <v>42.5</v>
      </c>
      <c r="K32" s="13">
        <v>497000</v>
      </c>
      <c r="L32" s="13"/>
      <c r="M32" s="13">
        <v>20000</v>
      </c>
      <c r="N32" s="13"/>
      <c r="O32" s="13"/>
      <c r="P32" s="12"/>
      <c r="Q32" s="45">
        <f t="shared" si="4"/>
        <v>14996645.199999999</v>
      </c>
      <c r="R32" s="13">
        <v>1272426</v>
      </c>
      <c r="S32" s="13">
        <v>4150501</v>
      </c>
      <c r="T32" s="13"/>
      <c r="U32" s="13"/>
      <c r="V32" s="13"/>
      <c r="W32" s="13">
        <v>100000</v>
      </c>
      <c r="X32" s="12">
        <v>1095700</v>
      </c>
      <c r="Y32" s="28">
        <f t="shared" si="6"/>
        <v>8378018.1999999993</v>
      </c>
      <c r="Z32" s="12"/>
      <c r="AA32" s="12"/>
      <c r="AB32" s="12"/>
      <c r="AC32" s="12"/>
      <c r="AD32" s="12"/>
      <c r="AE32" s="12"/>
      <c r="AF32" s="12">
        <v>3000</v>
      </c>
      <c r="AG32" s="12"/>
      <c r="AH32" s="12"/>
      <c r="AI32" s="12"/>
      <c r="AJ32" s="12"/>
      <c r="AK32" s="12"/>
      <c r="AL32" s="43">
        <f t="shared" si="8"/>
        <v>3000</v>
      </c>
      <c r="AM32" s="12"/>
      <c r="AN32" s="12"/>
      <c r="AO32" s="12"/>
      <c r="AP32" s="12">
        <v>1682853</v>
      </c>
      <c r="AQ32" s="29">
        <f t="shared" si="5"/>
        <v>6692165.1999999993</v>
      </c>
      <c r="AR32" s="15">
        <v>6697500</v>
      </c>
      <c r="AS32" s="30">
        <f t="shared" si="7"/>
        <v>5334.8000000007451</v>
      </c>
    </row>
    <row r="33" spans="1:45" s="15" customFormat="1" ht="12.75" x14ac:dyDescent="0.2">
      <c r="A33" s="25">
        <v>44834</v>
      </c>
      <c r="B33" s="46">
        <v>1450.01</v>
      </c>
      <c r="C33" s="46">
        <v>1371.03</v>
      </c>
      <c r="D33" s="47">
        <v>6460</v>
      </c>
      <c r="E33" s="47">
        <v>6200</v>
      </c>
      <c r="F33" s="13">
        <f t="shared" si="0"/>
        <v>9367064.5999999996</v>
      </c>
      <c r="G33" s="13">
        <f t="shared" si="1"/>
        <v>8500386</v>
      </c>
      <c r="H33" s="26">
        <v>49.5</v>
      </c>
      <c r="I33" s="13">
        <v>1078000</v>
      </c>
      <c r="J33" s="12">
        <v>9</v>
      </c>
      <c r="K33" s="13">
        <v>156000</v>
      </c>
      <c r="L33" s="13">
        <v>8000</v>
      </c>
      <c r="M33" s="13"/>
      <c r="N33" s="13"/>
      <c r="O33" s="13"/>
      <c r="P33" s="12">
        <v>2000</v>
      </c>
      <c r="Q33" s="45">
        <f t="shared" si="4"/>
        <v>19111450.600000001</v>
      </c>
      <c r="R33" s="13">
        <v>1384071</v>
      </c>
      <c r="S33" s="13">
        <v>5398706</v>
      </c>
      <c r="T33" s="13"/>
      <c r="U33" s="13"/>
      <c r="V33" s="13"/>
      <c r="W33" s="13">
        <v>200000</v>
      </c>
      <c r="X33" s="12">
        <v>1048970</v>
      </c>
      <c r="Y33" s="28">
        <f t="shared" si="6"/>
        <v>11079703.600000001</v>
      </c>
      <c r="Z33" s="12"/>
      <c r="AA33" s="12"/>
      <c r="AB33" s="12"/>
      <c r="AC33" s="12"/>
      <c r="AD33" s="12"/>
      <c r="AE33" s="12"/>
      <c r="AF33" s="12">
        <v>5000</v>
      </c>
      <c r="AG33" s="12"/>
      <c r="AH33" s="12"/>
      <c r="AI33" s="12"/>
      <c r="AJ33" s="12"/>
      <c r="AK33" s="12"/>
      <c r="AL33" s="43">
        <f t="shared" si="8"/>
        <v>5000</v>
      </c>
      <c r="AM33" s="12"/>
      <c r="AN33" s="12"/>
      <c r="AO33" s="12"/>
      <c r="AP33" s="12"/>
      <c r="AQ33" s="29">
        <f t="shared" si="5"/>
        <v>11074703.600000001</v>
      </c>
      <c r="AR33" s="15">
        <v>11074700</v>
      </c>
      <c r="AS33" s="30">
        <f t="shared" si="7"/>
        <v>-3.6000000014901161</v>
      </c>
    </row>
    <row r="34" spans="1:45" s="15" customFormat="1" ht="12.75" x14ac:dyDescent="0.2">
      <c r="A34" s="25" t="s">
        <v>50</v>
      </c>
      <c r="B34" s="46"/>
      <c r="C34" s="46"/>
      <c r="D34" s="47"/>
      <c r="E34" s="47"/>
      <c r="F34" s="13">
        <f t="shared" si="0"/>
        <v>0</v>
      </c>
      <c r="G34" s="13">
        <f t="shared" si="1"/>
        <v>0</v>
      </c>
      <c r="H34" s="26"/>
      <c r="I34" s="13"/>
      <c r="J34" s="12"/>
      <c r="K34" s="13"/>
      <c r="L34" s="13"/>
      <c r="M34" s="13"/>
      <c r="N34" s="13"/>
      <c r="O34" s="13"/>
      <c r="P34" s="12"/>
      <c r="Q34" s="45">
        <f t="shared" si="4"/>
        <v>0</v>
      </c>
      <c r="R34" s="13"/>
      <c r="S34" s="13"/>
      <c r="T34" s="13"/>
      <c r="U34" s="13"/>
      <c r="V34" s="13"/>
      <c r="W34" s="13"/>
      <c r="X34" s="12"/>
      <c r="Y34" s="28">
        <f t="shared" ref="Y34" si="16">Q34-SUM(R34:X34)</f>
        <v>0</v>
      </c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43">
        <f t="shared" si="8"/>
        <v>0</v>
      </c>
      <c r="AM34" s="12"/>
      <c r="AN34" s="12"/>
      <c r="AO34" s="12"/>
      <c r="AP34" s="12"/>
      <c r="AQ34" s="29">
        <f t="shared" si="5"/>
        <v>0</v>
      </c>
      <c r="AS34" s="30">
        <f t="shared" si="7"/>
        <v>0</v>
      </c>
    </row>
    <row r="35" spans="1:45" s="15" customFormat="1" ht="12.75" x14ac:dyDescent="0.2">
      <c r="B35" s="37"/>
      <c r="C35" s="37"/>
      <c r="D35" s="38"/>
      <c r="E35" s="38"/>
      <c r="F35" s="39"/>
      <c r="G35" s="39"/>
      <c r="H35" s="39"/>
      <c r="I35" s="38"/>
      <c r="K35" s="38"/>
      <c r="L35" s="38"/>
      <c r="M35" s="38"/>
      <c r="N35" s="38"/>
      <c r="O35" s="38"/>
      <c r="Q35" s="40"/>
      <c r="R35" s="38"/>
      <c r="S35" s="38"/>
      <c r="T35" s="38"/>
      <c r="U35" s="38"/>
      <c r="V35" s="38"/>
      <c r="W35" s="38"/>
      <c r="AL35" s="41">
        <f>SUM(AL4:AL34)</f>
        <v>4776575</v>
      </c>
      <c r="AS35" s="30">
        <f>SUM(AS4:AS19)</f>
        <v>11853.89999999851</v>
      </c>
    </row>
    <row r="36" spans="1:45" s="15" customFormat="1" ht="12.75" x14ac:dyDescent="0.2">
      <c r="B36" s="37"/>
      <c r="C36" s="37"/>
      <c r="D36" s="38"/>
      <c r="E36" s="38"/>
      <c r="F36" s="39"/>
      <c r="G36" s="39"/>
      <c r="H36" s="39"/>
      <c r="I36" s="38"/>
      <c r="K36" s="38"/>
      <c r="L36" s="38"/>
      <c r="M36" s="38"/>
      <c r="N36" s="38"/>
      <c r="O36" s="38"/>
      <c r="Q36" s="40"/>
      <c r="R36" s="38"/>
      <c r="S36" s="38"/>
      <c r="T36" s="38"/>
      <c r="U36" s="38"/>
      <c r="V36" s="38"/>
      <c r="W36" s="38"/>
      <c r="AL36" s="41"/>
    </row>
    <row r="37" spans="1:45" s="15" customFormat="1" ht="12.75" x14ac:dyDescent="0.2">
      <c r="B37" s="37"/>
      <c r="C37" s="37"/>
      <c r="D37" s="38"/>
      <c r="E37" s="38"/>
      <c r="F37" s="39"/>
      <c r="G37" s="39"/>
      <c r="H37" s="39"/>
      <c r="I37" s="38"/>
      <c r="K37" s="38"/>
      <c r="L37" s="38"/>
      <c r="M37" s="38"/>
      <c r="N37" s="38"/>
      <c r="O37" s="38"/>
      <c r="Q37" s="40"/>
      <c r="R37" s="38"/>
      <c r="S37" s="38"/>
      <c r="T37" s="38"/>
      <c r="U37" s="38"/>
      <c r="V37" s="38"/>
      <c r="W37" s="38"/>
      <c r="AL37" s="41"/>
    </row>
    <row r="38" spans="1:45" s="15" customFormat="1" ht="12.75" x14ac:dyDescent="0.2">
      <c r="B38" s="37"/>
      <c r="C38" s="37"/>
      <c r="D38" s="38"/>
      <c r="E38" s="38"/>
      <c r="F38" s="39"/>
      <c r="G38" s="39"/>
      <c r="H38" s="39"/>
      <c r="I38" s="38"/>
      <c r="K38" s="38"/>
      <c r="L38" s="38"/>
      <c r="M38" s="38"/>
      <c r="N38" s="38"/>
      <c r="O38" s="38"/>
      <c r="Q38" s="40"/>
      <c r="R38" s="38"/>
      <c r="S38" s="38"/>
      <c r="T38" s="38"/>
      <c r="U38" s="38"/>
      <c r="V38" s="38"/>
      <c r="W38" s="38"/>
      <c r="AL38" s="41"/>
    </row>
    <row r="39" spans="1:45" s="15" customFormat="1" ht="12.75" x14ac:dyDescent="0.2">
      <c r="B39" s="37"/>
      <c r="C39" s="37"/>
      <c r="D39" s="38"/>
      <c r="E39" s="38"/>
      <c r="F39" s="39"/>
      <c r="G39" s="39"/>
      <c r="H39" s="39"/>
      <c r="I39" s="38"/>
      <c r="K39" s="38"/>
      <c r="L39" s="38"/>
      <c r="M39" s="38"/>
      <c r="N39" s="38"/>
      <c r="O39" s="38"/>
      <c r="Q39" s="40"/>
      <c r="R39" s="38"/>
      <c r="S39" s="38"/>
      <c r="T39" s="38"/>
      <c r="U39" s="38"/>
      <c r="V39" s="38"/>
      <c r="W39" s="38"/>
      <c r="AL39" s="41"/>
    </row>
    <row r="40" spans="1:45" s="15" customFormat="1" ht="12.75" x14ac:dyDescent="0.2">
      <c r="B40" s="37"/>
      <c r="C40" s="37"/>
      <c r="D40" s="38"/>
      <c r="E40" s="38"/>
      <c r="F40" s="39"/>
      <c r="G40" s="39"/>
      <c r="H40" s="39"/>
      <c r="I40" s="38"/>
      <c r="K40" s="38"/>
      <c r="L40" s="38"/>
      <c r="M40" s="38"/>
      <c r="N40" s="38"/>
      <c r="O40" s="38"/>
      <c r="Q40" s="40"/>
      <c r="R40" s="38"/>
      <c r="S40" s="38"/>
      <c r="T40" s="38"/>
      <c r="U40" s="38"/>
      <c r="V40" s="38"/>
      <c r="W40" s="38"/>
      <c r="AL40" s="41"/>
    </row>
    <row r="41" spans="1:45" s="15" customFormat="1" ht="12.75" x14ac:dyDescent="0.2">
      <c r="B41" s="37"/>
      <c r="C41" s="37"/>
      <c r="D41" s="38"/>
      <c r="E41" s="38"/>
      <c r="F41" s="39"/>
      <c r="G41" s="39"/>
      <c r="H41" s="39"/>
      <c r="I41" s="38"/>
      <c r="K41" s="38"/>
      <c r="L41" s="38"/>
      <c r="M41" s="38"/>
      <c r="N41" s="38"/>
      <c r="O41" s="38"/>
      <c r="Q41" s="40"/>
      <c r="R41" s="38"/>
      <c r="S41" s="38"/>
      <c r="T41" s="38"/>
      <c r="U41" s="38"/>
      <c r="V41" s="38"/>
      <c r="W41" s="38"/>
      <c r="AL41" s="41"/>
    </row>
    <row r="42" spans="1:45" s="15" customFormat="1" ht="12.75" x14ac:dyDescent="0.2">
      <c r="B42" s="37"/>
      <c r="C42" s="37"/>
      <c r="D42" s="38"/>
      <c r="E42" s="38"/>
      <c r="F42" s="39"/>
      <c r="G42" s="39"/>
      <c r="H42" s="39"/>
      <c r="I42" s="38"/>
      <c r="K42" s="38"/>
      <c r="L42" s="38"/>
      <c r="M42" s="38"/>
      <c r="N42" s="38"/>
      <c r="O42" s="38"/>
      <c r="Q42" s="40"/>
      <c r="R42" s="38"/>
      <c r="S42" s="38"/>
      <c r="T42" s="38"/>
      <c r="U42" s="38"/>
      <c r="V42" s="38"/>
      <c r="W42" s="38"/>
      <c r="AL42" s="41"/>
    </row>
    <row r="43" spans="1:45" s="15" customFormat="1" ht="12.75" x14ac:dyDescent="0.2">
      <c r="B43" s="37"/>
      <c r="C43" s="37"/>
      <c r="D43" s="38"/>
      <c r="E43" s="38"/>
      <c r="F43" s="39"/>
      <c r="G43" s="39"/>
      <c r="H43" s="39"/>
      <c r="I43" s="38"/>
      <c r="K43" s="38"/>
      <c r="L43" s="38"/>
      <c r="M43" s="38"/>
      <c r="N43" s="38"/>
      <c r="O43" s="38"/>
      <c r="Q43" s="40"/>
      <c r="R43" s="38"/>
      <c r="S43" s="38"/>
      <c r="T43" s="38"/>
      <c r="U43" s="38"/>
      <c r="V43" s="38"/>
      <c r="W43" s="38"/>
      <c r="AL43" s="41"/>
    </row>
    <row r="44" spans="1:45" s="15" customFormat="1" ht="12.75" x14ac:dyDescent="0.2">
      <c r="B44" s="37"/>
      <c r="C44" s="37"/>
      <c r="D44" s="38"/>
      <c r="E44" s="38"/>
      <c r="F44" s="39"/>
      <c r="G44" s="39"/>
      <c r="H44" s="39"/>
      <c r="I44" s="38"/>
      <c r="K44" s="38"/>
      <c r="L44" s="38"/>
      <c r="M44" s="38"/>
      <c r="N44" s="38"/>
      <c r="O44" s="38"/>
      <c r="Q44" s="40"/>
      <c r="R44" s="38"/>
      <c r="S44" s="38"/>
      <c r="T44" s="38"/>
      <c r="U44" s="38"/>
      <c r="V44" s="38"/>
      <c r="W44" s="38"/>
      <c r="AL44" s="41"/>
    </row>
    <row r="45" spans="1:45" s="15" customFormat="1" ht="12.75" x14ac:dyDescent="0.2">
      <c r="B45" s="37"/>
      <c r="C45" s="37"/>
      <c r="D45" s="38"/>
      <c r="E45" s="38"/>
      <c r="F45" s="39"/>
      <c r="G45" s="39"/>
      <c r="H45" s="39"/>
      <c r="I45" s="38"/>
      <c r="K45" s="38"/>
      <c r="L45" s="38"/>
      <c r="M45" s="38"/>
      <c r="N45" s="38"/>
      <c r="O45" s="38"/>
      <c r="Q45" s="40"/>
      <c r="R45" s="38"/>
      <c r="S45" s="38"/>
      <c r="T45" s="38"/>
      <c r="U45" s="38"/>
      <c r="V45" s="38"/>
      <c r="W45" s="38"/>
      <c r="AL45" s="41"/>
    </row>
    <row r="46" spans="1:45" s="15" customFormat="1" ht="12.75" x14ac:dyDescent="0.2">
      <c r="B46" s="37"/>
      <c r="C46" s="37"/>
      <c r="D46" s="38"/>
      <c r="E46" s="38"/>
      <c r="F46" s="39"/>
      <c r="G46" s="39"/>
      <c r="H46" s="39"/>
      <c r="I46" s="38"/>
      <c r="K46" s="38"/>
      <c r="L46" s="38"/>
      <c r="M46" s="38"/>
      <c r="N46" s="38"/>
      <c r="O46" s="38"/>
      <c r="Q46" s="40"/>
      <c r="R46" s="38"/>
      <c r="S46" s="38"/>
      <c r="T46" s="38"/>
      <c r="U46" s="38"/>
      <c r="V46" s="38"/>
      <c r="W46" s="38"/>
      <c r="AL46" s="41"/>
    </row>
    <row r="47" spans="1:45" s="15" customFormat="1" ht="12.75" x14ac:dyDescent="0.2">
      <c r="B47" s="37"/>
      <c r="C47" s="37"/>
      <c r="D47" s="38"/>
      <c r="E47" s="38"/>
      <c r="F47" s="39"/>
      <c r="G47" s="39"/>
      <c r="H47" s="39"/>
      <c r="I47" s="38"/>
      <c r="K47" s="38"/>
      <c r="L47" s="38"/>
      <c r="M47" s="38"/>
      <c r="N47" s="38"/>
      <c r="O47" s="38"/>
      <c r="Q47" s="40"/>
      <c r="R47" s="38"/>
      <c r="S47" s="38"/>
      <c r="T47" s="38"/>
      <c r="U47" s="38"/>
      <c r="V47" s="38"/>
      <c r="W47" s="38"/>
      <c r="AL47" s="41"/>
    </row>
    <row r="48" spans="1:45" s="15" customFormat="1" ht="12.75" x14ac:dyDescent="0.2">
      <c r="B48" s="37"/>
      <c r="C48" s="37"/>
      <c r="D48" s="38"/>
      <c r="E48" s="38"/>
      <c r="F48" s="39"/>
      <c r="G48" s="39"/>
      <c r="H48" s="39"/>
      <c r="I48" s="38"/>
      <c r="K48" s="38"/>
      <c r="L48" s="38"/>
      <c r="M48" s="38"/>
      <c r="N48" s="38"/>
      <c r="O48" s="38"/>
      <c r="Q48" s="40"/>
      <c r="R48" s="38"/>
      <c r="S48" s="38"/>
      <c r="T48" s="38"/>
      <c r="U48" s="38"/>
      <c r="V48" s="38"/>
      <c r="W48" s="38"/>
      <c r="AL48" s="41"/>
    </row>
    <row r="49" spans="2:38" s="15" customFormat="1" ht="12.75" x14ac:dyDescent="0.2">
      <c r="B49" s="37"/>
      <c r="C49" s="37"/>
      <c r="D49" s="38"/>
      <c r="E49" s="38"/>
      <c r="F49" s="39"/>
      <c r="G49" s="39"/>
      <c r="H49" s="39"/>
      <c r="I49" s="38"/>
      <c r="K49" s="38"/>
      <c r="L49" s="38"/>
      <c r="M49" s="38"/>
      <c r="N49" s="38"/>
      <c r="O49" s="38"/>
      <c r="Q49" s="40"/>
      <c r="R49" s="38"/>
      <c r="S49" s="38"/>
      <c r="T49" s="38"/>
      <c r="U49" s="38"/>
      <c r="V49" s="38"/>
      <c r="W49" s="38"/>
      <c r="AL49" s="41"/>
    </row>
    <row r="50" spans="2:38" s="15" customFormat="1" ht="12.75" x14ac:dyDescent="0.2">
      <c r="B50" s="37"/>
      <c r="C50" s="37"/>
      <c r="D50" s="38"/>
      <c r="E50" s="38"/>
      <c r="F50" s="39"/>
      <c r="G50" s="39"/>
      <c r="H50" s="39"/>
      <c r="I50" s="38"/>
      <c r="K50" s="38"/>
      <c r="L50" s="38"/>
      <c r="M50" s="38"/>
      <c r="N50" s="38"/>
      <c r="O50" s="38"/>
      <c r="Q50" s="40"/>
      <c r="R50" s="38"/>
      <c r="S50" s="38"/>
      <c r="T50" s="38"/>
      <c r="U50" s="38"/>
      <c r="V50" s="38"/>
      <c r="W50" s="38"/>
      <c r="AL50" s="41"/>
    </row>
    <row r="51" spans="2:38" s="15" customFormat="1" ht="12.75" x14ac:dyDescent="0.2">
      <c r="B51" s="37"/>
      <c r="C51" s="37"/>
      <c r="D51" s="38"/>
      <c r="E51" s="38"/>
      <c r="F51" s="39"/>
      <c r="G51" s="39"/>
      <c r="H51" s="39"/>
      <c r="I51" s="38"/>
      <c r="K51" s="38"/>
      <c r="L51" s="38"/>
      <c r="M51" s="38"/>
      <c r="N51" s="38"/>
      <c r="O51" s="38"/>
      <c r="Q51" s="40"/>
      <c r="R51" s="38"/>
      <c r="S51" s="38"/>
      <c r="T51" s="38"/>
      <c r="U51" s="38"/>
      <c r="V51" s="38"/>
      <c r="W51" s="38"/>
      <c r="AL51" s="41"/>
    </row>
    <row r="52" spans="2:38" s="15" customFormat="1" ht="12.75" x14ac:dyDescent="0.2">
      <c r="B52" s="37"/>
      <c r="C52" s="37"/>
      <c r="D52" s="38"/>
      <c r="E52" s="38"/>
      <c r="F52" s="39"/>
      <c r="G52" s="39"/>
      <c r="H52" s="39"/>
      <c r="I52" s="38"/>
      <c r="K52" s="38"/>
      <c r="L52" s="38"/>
      <c r="M52" s="38"/>
      <c r="N52" s="38"/>
      <c r="O52" s="38"/>
      <c r="Q52" s="40"/>
      <c r="R52" s="38"/>
      <c r="S52" s="38"/>
      <c r="T52" s="38"/>
      <c r="U52" s="38"/>
      <c r="V52" s="38"/>
      <c r="W52" s="38"/>
      <c r="AL52" s="41"/>
    </row>
    <row r="53" spans="2:38" s="15" customFormat="1" ht="12.75" x14ac:dyDescent="0.2">
      <c r="B53" s="37"/>
      <c r="C53" s="37"/>
      <c r="D53" s="38"/>
      <c r="E53" s="38"/>
      <c r="F53" s="39"/>
      <c r="G53" s="39"/>
      <c r="H53" s="39"/>
      <c r="I53" s="38"/>
      <c r="K53" s="38"/>
      <c r="L53" s="38"/>
      <c r="M53" s="38"/>
      <c r="N53" s="38"/>
      <c r="O53" s="38"/>
      <c r="Q53" s="40"/>
      <c r="R53" s="38"/>
      <c r="S53" s="38"/>
      <c r="T53" s="38"/>
      <c r="U53" s="38"/>
      <c r="V53" s="38"/>
      <c r="W53" s="38"/>
      <c r="AL53" s="41"/>
    </row>
    <row r="54" spans="2:38" s="15" customFormat="1" ht="12.75" x14ac:dyDescent="0.2">
      <c r="B54" s="37"/>
      <c r="C54" s="37"/>
      <c r="D54" s="38"/>
      <c r="E54" s="38"/>
      <c r="F54" s="39"/>
      <c r="G54" s="39"/>
      <c r="H54" s="39"/>
      <c r="I54" s="38"/>
      <c r="K54" s="38"/>
      <c r="L54" s="38"/>
      <c r="M54" s="38"/>
      <c r="N54" s="38"/>
      <c r="O54" s="38"/>
      <c r="Q54" s="40"/>
      <c r="R54" s="38"/>
      <c r="S54" s="38"/>
      <c r="T54" s="38"/>
      <c r="U54" s="38"/>
      <c r="V54" s="38"/>
      <c r="W54" s="38"/>
      <c r="AL54" s="41"/>
    </row>
    <row r="55" spans="2:38" s="15" customFormat="1" ht="12.75" x14ac:dyDescent="0.2">
      <c r="B55" s="37"/>
      <c r="C55" s="37"/>
      <c r="D55" s="38"/>
      <c r="E55" s="38"/>
      <c r="F55" s="39"/>
      <c r="G55" s="39"/>
      <c r="H55" s="39"/>
      <c r="I55" s="38"/>
      <c r="K55" s="38"/>
      <c r="L55" s="38"/>
      <c r="M55" s="38"/>
      <c r="N55" s="38"/>
      <c r="O55" s="38"/>
      <c r="Q55" s="40"/>
      <c r="R55" s="38"/>
      <c r="S55" s="38"/>
      <c r="T55" s="38"/>
      <c r="U55" s="38"/>
      <c r="V55" s="38"/>
      <c r="W55" s="38"/>
      <c r="AL55" s="41"/>
    </row>
    <row r="56" spans="2:38" s="15" customFormat="1" ht="12.75" x14ac:dyDescent="0.2">
      <c r="B56" s="37"/>
      <c r="C56" s="37"/>
      <c r="D56" s="38"/>
      <c r="E56" s="38"/>
      <c r="F56" s="39"/>
      <c r="G56" s="39"/>
      <c r="H56" s="39"/>
      <c r="I56" s="38"/>
      <c r="K56" s="38"/>
      <c r="L56" s="38"/>
      <c r="M56" s="38"/>
      <c r="N56" s="38"/>
      <c r="O56" s="38"/>
      <c r="Q56" s="40"/>
      <c r="R56" s="38"/>
      <c r="S56" s="38"/>
      <c r="T56" s="38"/>
      <c r="U56" s="38"/>
      <c r="V56" s="38"/>
      <c r="W56" s="38"/>
      <c r="AL56" s="41"/>
    </row>
    <row r="57" spans="2:38" s="15" customFormat="1" ht="12.75" x14ac:dyDescent="0.2">
      <c r="B57" s="37"/>
      <c r="C57" s="37"/>
      <c r="D57" s="38"/>
      <c r="E57" s="38"/>
      <c r="F57" s="39"/>
      <c r="G57" s="39"/>
      <c r="H57" s="39"/>
      <c r="I57" s="38"/>
      <c r="K57" s="38"/>
      <c r="L57" s="38"/>
      <c r="M57" s="38"/>
      <c r="N57" s="38"/>
      <c r="O57" s="38"/>
      <c r="Q57" s="40"/>
      <c r="R57" s="38"/>
      <c r="S57" s="38"/>
      <c r="T57" s="38"/>
      <c r="U57" s="38"/>
      <c r="V57" s="38"/>
      <c r="W57" s="38"/>
      <c r="AL57" s="41"/>
    </row>
    <row r="58" spans="2:38" s="15" customFormat="1" ht="12.75" x14ac:dyDescent="0.2">
      <c r="B58" s="37"/>
      <c r="C58" s="37"/>
      <c r="D58" s="38"/>
      <c r="E58" s="38"/>
      <c r="F58" s="39"/>
      <c r="G58" s="39"/>
      <c r="H58" s="39"/>
      <c r="I58" s="38"/>
      <c r="K58" s="38"/>
      <c r="L58" s="38"/>
      <c r="M58" s="38"/>
      <c r="N58" s="38"/>
      <c r="O58" s="38"/>
      <c r="Q58" s="40"/>
      <c r="R58" s="38"/>
      <c r="S58" s="38"/>
      <c r="T58" s="38"/>
      <c r="U58" s="38"/>
      <c r="V58" s="38"/>
      <c r="W58" s="38"/>
      <c r="AL58" s="41"/>
    </row>
    <row r="59" spans="2:38" s="15" customFormat="1" ht="12.75" x14ac:dyDescent="0.2">
      <c r="B59" s="37"/>
      <c r="C59" s="37"/>
      <c r="D59" s="38"/>
      <c r="E59" s="38"/>
      <c r="F59" s="39"/>
      <c r="G59" s="39"/>
      <c r="H59" s="39"/>
      <c r="I59" s="38"/>
      <c r="K59" s="38"/>
      <c r="L59" s="38"/>
      <c r="M59" s="38"/>
      <c r="N59" s="38"/>
      <c r="O59" s="38"/>
      <c r="Q59" s="40"/>
      <c r="R59" s="38"/>
      <c r="S59" s="38"/>
      <c r="T59" s="38"/>
      <c r="U59" s="38"/>
      <c r="V59" s="38"/>
      <c r="W59" s="38"/>
      <c r="AL59" s="41"/>
    </row>
    <row r="60" spans="2:38" s="15" customFormat="1" ht="12.75" x14ac:dyDescent="0.2">
      <c r="B60" s="37"/>
      <c r="C60" s="37"/>
      <c r="D60" s="38"/>
      <c r="E60" s="38"/>
      <c r="F60" s="39"/>
      <c r="G60" s="39"/>
      <c r="H60" s="39"/>
      <c r="I60" s="38"/>
      <c r="K60" s="38"/>
      <c r="L60" s="38"/>
      <c r="M60" s="38"/>
      <c r="N60" s="38"/>
      <c r="O60" s="38"/>
      <c r="Q60" s="40"/>
      <c r="R60" s="38"/>
      <c r="S60" s="38"/>
      <c r="T60" s="38"/>
      <c r="U60" s="38"/>
      <c r="V60" s="38"/>
      <c r="W60" s="38"/>
      <c r="AL60" s="41"/>
    </row>
    <row r="61" spans="2:38" s="15" customFormat="1" ht="12.75" x14ac:dyDescent="0.2">
      <c r="B61" s="37"/>
      <c r="C61" s="37"/>
      <c r="D61" s="38"/>
      <c r="E61" s="38"/>
      <c r="F61" s="39"/>
      <c r="G61" s="39"/>
      <c r="H61" s="39"/>
      <c r="I61" s="38"/>
      <c r="K61" s="38"/>
      <c r="L61" s="38"/>
      <c r="M61" s="38"/>
      <c r="N61" s="38"/>
      <c r="O61" s="38"/>
      <c r="Q61" s="40"/>
      <c r="R61" s="38"/>
      <c r="S61" s="38"/>
      <c r="T61" s="38"/>
      <c r="U61" s="38"/>
      <c r="V61" s="38"/>
      <c r="W61" s="38"/>
      <c r="AL61" s="41"/>
    </row>
    <row r="62" spans="2:38" s="15" customFormat="1" ht="12.75" x14ac:dyDescent="0.2">
      <c r="B62" s="37"/>
      <c r="C62" s="37"/>
      <c r="D62" s="38"/>
      <c r="E62" s="38"/>
      <c r="F62" s="39"/>
      <c r="G62" s="39"/>
      <c r="H62" s="39"/>
      <c r="I62" s="38"/>
      <c r="K62" s="38"/>
      <c r="L62" s="38"/>
      <c r="M62" s="38"/>
      <c r="N62" s="38"/>
      <c r="O62" s="38"/>
      <c r="Q62" s="40"/>
      <c r="R62" s="38"/>
      <c r="S62" s="38"/>
      <c r="T62" s="38"/>
      <c r="U62" s="38"/>
      <c r="V62" s="38"/>
      <c r="W62" s="38"/>
      <c r="AL62" s="41"/>
    </row>
    <row r="63" spans="2:38" s="15" customFormat="1" ht="12.75" x14ac:dyDescent="0.2">
      <c r="B63" s="37"/>
      <c r="C63" s="37"/>
      <c r="D63" s="38"/>
      <c r="E63" s="38"/>
      <c r="F63" s="39"/>
      <c r="G63" s="39"/>
      <c r="H63" s="39"/>
      <c r="I63" s="38"/>
      <c r="K63" s="38"/>
      <c r="L63" s="38"/>
      <c r="M63" s="38"/>
      <c r="N63" s="38"/>
      <c r="O63" s="38"/>
      <c r="Q63" s="40"/>
      <c r="R63" s="38"/>
      <c r="S63" s="38"/>
      <c r="T63" s="38"/>
      <c r="U63" s="38"/>
      <c r="V63" s="38"/>
      <c r="W63" s="38"/>
      <c r="AL63" s="41"/>
    </row>
    <row r="64" spans="2:38" s="15" customFormat="1" ht="12.75" x14ac:dyDescent="0.2">
      <c r="B64" s="37"/>
      <c r="C64" s="37"/>
      <c r="D64" s="38"/>
      <c r="E64" s="38"/>
      <c r="F64" s="39"/>
      <c r="G64" s="39"/>
      <c r="H64" s="39"/>
      <c r="I64" s="38"/>
      <c r="K64" s="38"/>
      <c r="L64" s="38"/>
      <c r="M64" s="38"/>
      <c r="N64" s="38"/>
      <c r="O64" s="38"/>
      <c r="Q64" s="40"/>
      <c r="R64" s="38"/>
      <c r="S64" s="38"/>
      <c r="T64" s="38"/>
      <c r="U64" s="38"/>
      <c r="V64" s="38"/>
      <c r="W64" s="38"/>
      <c r="AL64" s="41"/>
    </row>
    <row r="65" spans="2:38" s="15" customFormat="1" ht="12.75" x14ac:dyDescent="0.2">
      <c r="B65" s="37"/>
      <c r="C65" s="37"/>
      <c r="D65" s="38"/>
      <c r="E65" s="38"/>
      <c r="F65" s="39"/>
      <c r="G65" s="39"/>
      <c r="H65" s="39"/>
      <c r="I65" s="38"/>
      <c r="K65" s="38"/>
      <c r="L65" s="38"/>
      <c r="M65" s="38"/>
      <c r="N65" s="38"/>
      <c r="O65" s="38"/>
      <c r="Q65" s="40"/>
      <c r="R65" s="38"/>
      <c r="S65" s="38"/>
      <c r="T65" s="38"/>
      <c r="U65" s="38"/>
      <c r="V65" s="38"/>
      <c r="W65" s="38"/>
      <c r="AL65" s="41"/>
    </row>
    <row r="66" spans="2:38" s="15" customFormat="1" ht="12.75" x14ac:dyDescent="0.2">
      <c r="B66" s="37"/>
      <c r="C66" s="37"/>
      <c r="D66" s="38"/>
      <c r="E66" s="38"/>
      <c r="F66" s="39"/>
      <c r="G66" s="39"/>
      <c r="H66" s="39"/>
      <c r="I66" s="38"/>
      <c r="K66" s="38"/>
      <c r="L66" s="38"/>
      <c r="M66" s="38"/>
      <c r="N66" s="38"/>
      <c r="O66" s="38"/>
      <c r="Q66" s="40"/>
      <c r="R66" s="38"/>
      <c r="S66" s="38"/>
      <c r="T66" s="38"/>
      <c r="U66" s="38"/>
      <c r="V66" s="38"/>
      <c r="W66" s="38"/>
      <c r="AL66" s="41"/>
    </row>
    <row r="67" spans="2:38" s="15" customFormat="1" ht="12.75" x14ac:dyDescent="0.2">
      <c r="B67" s="37"/>
      <c r="C67" s="37"/>
      <c r="D67" s="38"/>
      <c r="E67" s="38"/>
      <c r="F67" s="39"/>
      <c r="G67" s="39"/>
      <c r="H67" s="39"/>
      <c r="I67" s="38"/>
      <c r="K67" s="38"/>
      <c r="L67" s="38"/>
      <c r="M67" s="38"/>
      <c r="N67" s="38"/>
      <c r="O67" s="38"/>
      <c r="Q67" s="40"/>
      <c r="R67" s="38"/>
      <c r="S67" s="38"/>
      <c r="T67" s="38"/>
      <c r="U67" s="38"/>
      <c r="V67" s="38"/>
      <c r="W67" s="38"/>
      <c r="AL67" s="41"/>
    </row>
    <row r="68" spans="2:38" s="15" customFormat="1" ht="12.75" x14ac:dyDescent="0.2">
      <c r="B68" s="37"/>
      <c r="C68" s="37"/>
      <c r="D68" s="38"/>
      <c r="E68" s="38"/>
      <c r="F68" s="39"/>
      <c r="G68" s="39"/>
      <c r="H68" s="39"/>
      <c r="I68" s="38"/>
      <c r="K68" s="38"/>
      <c r="L68" s="38"/>
      <c r="M68" s="38"/>
      <c r="N68" s="38"/>
      <c r="O68" s="38"/>
      <c r="Q68" s="40"/>
      <c r="R68" s="38"/>
      <c r="S68" s="38"/>
      <c r="T68" s="38"/>
      <c r="U68" s="38"/>
      <c r="V68" s="38"/>
      <c r="W68" s="38"/>
      <c r="AL68" s="41"/>
    </row>
    <row r="69" spans="2:38" s="15" customFormat="1" ht="12.75" x14ac:dyDescent="0.2">
      <c r="B69" s="37"/>
      <c r="C69" s="37"/>
      <c r="D69" s="38"/>
      <c r="E69" s="38"/>
      <c r="F69" s="39"/>
      <c r="G69" s="39"/>
      <c r="H69" s="39"/>
      <c r="I69" s="38"/>
      <c r="K69" s="38"/>
      <c r="L69" s="38"/>
      <c r="M69" s="38"/>
      <c r="N69" s="38"/>
      <c r="O69" s="38"/>
      <c r="Q69" s="40"/>
      <c r="R69" s="38"/>
      <c r="S69" s="38"/>
      <c r="T69" s="38"/>
      <c r="U69" s="38"/>
      <c r="V69" s="38"/>
      <c r="W69" s="38"/>
      <c r="AL69" s="41"/>
    </row>
    <row r="70" spans="2:38" s="15" customFormat="1" ht="12.75" x14ac:dyDescent="0.2">
      <c r="B70" s="37"/>
      <c r="C70" s="37"/>
      <c r="D70" s="38"/>
      <c r="E70" s="38"/>
      <c r="F70" s="39"/>
      <c r="G70" s="39"/>
      <c r="H70" s="39"/>
      <c r="I70" s="38"/>
      <c r="K70" s="38"/>
      <c r="L70" s="38"/>
      <c r="M70" s="38"/>
      <c r="N70" s="38"/>
      <c r="O70" s="38"/>
      <c r="Q70" s="40"/>
      <c r="R70" s="38"/>
      <c r="S70" s="38"/>
      <c r="T70" s="38"/>
      <c r="U70" s="38"/>
      <c r="V70" s="38"/>
      <c r="W70" s="38"/>
      <c r="AL70" s="41"/>
    </row>
    <row r="71" spans="2:38" s="15" customFormat="1" ht="12.75" x14ac:dyDescent="0.2">
      <c r="B71" s="37"/>
      <c r="C71" s="37"/>
      <c r="D71" s="38"/>
      <c r="E71" s="38"/>
      <c r="F71" s="39"/>
      <c r="G71" s="39"/>
      <c r="H71" s="39"/>
      <c r="I71" s="38"/>
      <c r="K71" s="38"/>
      <c r="L71" s="38"/>
      <c r="M71" s="38"/>
      <c r="N71" s="38"/>
      <c r="O71" s="38"/>
      <c r="Q71" s="40"/>
      <c r="R71" s="38"/>
      <c r="S71" s="38"/>
      <c r="T71" s="38"/>
      <c r="U71" s="38"/>
      <c r="V71" s="38"/>
      <c r="W71" s="38"/>
      <c r="AL71" s="41"/>
    </row>
    <row r="72" spans="2:38" s="15" customFormat="1" ht="12.75" x14ac:dyDescent="0.2">
      <c r="B72" s="37"/>
      <c r="C72" s="37"/>
      <c r="D72" s="38"/>
      <c r="E72" s="38"/>
      <c r="F72" s="39"/>
      <c r="G72" s="39"/>
      <c r="H72" s="39"/>
      <c r="I72" s="38"/>
      <c r="K72" s="38"/>
      <c r="L72" s="38"/>
      <c r="M72" s="38"/>
      <c r="N72" s="38"/>
      <c r="O72" s="38"/>
      <c r="Q72" s="40"/>
      <c r="R72" s="38"/>
      <c r="S72" s="38"/>
      <c r="T72" s="38"/>
      <c r="U72" s="38"/>
      <c r="V72" s="38"/>
      <c r="W72" s="38"/>
      <c r="AL72" s="41"/>
    </row>
    <row r="73" spans="2:38" s="15" customFormat="1" ht="12.75" x14ac:dyDescent="0.2">
      <c r="B73" s="37"/>
      <c r="C73" s="37"/>
      <c r="D73" s="38"/>
      <c r="E73" s="38"/>
      <c r="F73" s="39"/>
      <c r="G73" s="39"/>
      <c r="H73" s="39"/>
      <c r="I73" s="38"/>
      <c r="K73" s="38"/>
      <c r="L73" s="38"/>
      <c r="M73" s="38"/>
      <c r="N73" s="38"/>
      <c r="O73" s="38"/>
      <c r="Q73" s="40"/>
      <c r="R73" s="38"/>
      <c r="S73" s="38"/>
      <c r="T73" s="38"/>
      <c r="U73" s="38"/>
      <c r="V73" s="38"/>
      <c r="W73" s="38"/>
      <c r="AL73" s="41"/>
    </row>
    <row r="74" spans="2:38" s="15" customFormat="1" ht="12.75" x14ac:dyDescent="0.2">
      <c r="B74" s="37"/>
      <c r="C74" s="37"/>
      <c r="D74" s="38"/>
      <c r="E74" s="38"/>
      <c r="F74" s="39"/>
      <c r="G74" s="39"/>
      <c r="H74" s="39"/>
      <c r="I74" s="38"/>
      <c r="K74" s="38"/>
      <c r="L74" s="38"/>
      <c r="M74" s="38"/>
      <c r="N74" s="38"/>
      <c r="O74" s="38"/>
      <c r="Q74" s="40"/>
      <c r="R74" s="38"/>
      <c r="S74" s="38"/>
      <c r="T74" s="38"/>
      <c r="U74" s="38"/>
      <c r="V74" s="38"/>
      <c r="W74" s="38"/>
      <c r="AL74" s="41"/>
    </row>
    <row r="75" spans="2:38" s="15" customFormat="1" ht="12.75" x14ac:dyDescent="0.2">
      <c r="B75" s="37"/>
      <c r="C75" s="37"/>
      <c r="D75" s="38"/>
      <c r="E75" s="38"/>
      <c r="F75" s="39"/>
      <c r="G75" s="39"/>
      <c r="H75" s="39"/>
      <c r="I75" s="38"/>
      <c r="K75" s="38"/>
      <c r="L75" s="38"/>
      <c r="M75" s="38"/>
      <c r="N75" s="38"/>
      <c r="O75" s="38"/>
      <c r="Q75" s="40"/>
      <c r="R75" s="38"/>
      <c r="S75" s="38"/>
      <c r="T75" s="38"/>
      <c r="U75" s="38"/>
      <c r="V75" s="38"/>
      <c r="W75" s="38"/>
      <c r="AL75" s="41"/>
    </row>
    <row r="76" spans="2:38" s="15" customFormat="1" ht="12.75" x14ac:dyDescent="0.2">
      <c r="B76" s="37"/>
      <c r="C76" s="37"/>
      <c r="D76" s="38"/>
      <c r="E76" s="38"/>
      <c r="F76" s="39"/>
      <c r="G76" s="39"/>
      <c r="H76" s="39"/>
      <c r="I76" s="38"/>
      <c r="K76" s="38"/>
      <c r="L76" s="38"/>
      <c r="M76" s="38"/>
      <c r="N76" s="38"/>
      <c r="O76" s="38"/>
      <c r="Q76" s="40"/>
      <c r="R76" s="38"/>
      <c r="S76" s="38"/>
      <c r="T76" s="38"/>
      <c r="U76" s="38"/>
      <c r="V76" s="38"/>
      <c r="W76" s="38"/>
      <c r="AL76" s="41"/>
    </row>
    <row r="77" spans="2:38" s="15" customFormat="1" ht="12.75" x14ac:dyDescent="0.2">
      <c r="B77" s="37"/>
      <c r="C77" s="37"/>
      <c r="D77" s="38"/>
      <c r="E77" s="38"/>
      <c r="F77" s="39"/>
      <c r="G77" s="39"/>
      <c r="H77" s="39"/>
      <c r="I77" s="38"/>
      <c r="K77" s="38"/>
      <c r="L77" s="38"/>
      <c r="M77" s="38"/>
      <c r="N77" s="38"/>
      <c r="O77" s="38"/>
      <c r="Q77" s="40"/>
      <c r="R77" s="38"/>
      <c r="S77" s="38"/>
      <c r="T77" s="38"/>
      <c r="U77" s="38"/>
      <c r="V77" s="38"/>
      <c r="W77" s="38"/>
      <c r="AL77" s="41"/>
    </row>
    <row r="78" spans="2:38" s="15" customFormat="1" ht="12.75" x14ac:dyDescent="0.2">
      <c r="B78" s="37"/>
      <c r="C78" s="37"/>
      <c r="D78" s="38"/>
      <c r="E78" s="38"/>
      <c r="F78" s="39"/>
      <c r="G78" s="39"/>
      <c r="H78" s="39"/>
      <c r="I78" s="38"/>
      <c r="K78" s="38"/>
      <c r="L78" s="38"/>
      <c r="M78" s="38"/>
      <c r="N78" s="38"/>
      <c r="O78" s="38"/>
      <c r="Q78" s="40"/>
      <c r="R78" s="38"/>
      <c r="S78" s="38"/>
      <c r="T78" s="38"/>
      <c r="U78" s="38"/>
      <c r="V78" s="38"/>
      <c r="W78" s="38"/>
      <c r="AL78" s="41"/>
    </row>
    <row r="79" spans="2:38" s="15" customFormat="1" ht="12.75" x14ac:dyDescent="0.2">
      <c r="B79" s="37"/>
      <c r="C79" s="37"/>
      <c r="D79" s="38"/>
      <c r="E79" s="38"/>
      <c r="F79" s="39"/>
      <c r="G79" s="39"/>
      <c r="H79" s="39"/>
      <c r="I79" s="38"/>
      <c r="K79" s="38"/>
      <c r="L79" s="38"/>
      <c r="M79" s="38"/>
      <c r="N79" s="38"/>
      <c r="O79" s="38"/>
      <c r="Q79" s="40"/>
      <c r="R79" s="38"/>
      <c r="S79" s="38"/>
      <c r="T79" s="38"/>
      <c r="U79" s="38"/>
      <c r="V79" s="38"/>
      <c r="W79" s="38"/>
      <c r="AL79" s="41"/>
    </row>
    <row r="80" spans="2:38" s="15" customFormat="1" ht="12.75" x14ac:dyDescent="0.2">
      <c r="B80" s="37"/>
      <c r="C80" s="37"/>
      <c r="D80" s="38"/>
      <c r="E80" s="38"/>
      <c r="F80" s="39"/>
      <c r="G80" s="39"/>
      <c r="H80" s="39"/>
      <c r="I80" s="38"/>
      <c r="K80" s="38"/>
      <c r="L80" s="38"/>
      <c r="M80" s="38"/>
      <c r="N80" s="38"/>
      <c r="O80" s="38"/>
      <c r="Q80" s="40"/>
      <c r="R80" s="38"/>
      <c r="S80" s="38"/>
      <c r="T80" s="38"/>
      <c r="U80" s="38"/>
      <c r="V80" s="38"/>
      <c r="W80" s="38"/>
      <c r="AL80" s="41"/>
    </row>
    <row r="81" spans="2:38" s="15" customFormat="1" ht="12.75" x14ac:dyDescent="0.2">
      <c r="B81" s="37"/>
      <c r="C81" s="37"/>
      <c r="D81" s="38"/>
      <c r="E81" s="38"/>
      <c r="F81" s="39"/>
      <c r="G81" s="39"/>
      <c r="H81" s="39"/>
      <c r="I81" s="38"/>
      <c r="K81" s="38"/>
      <c r="L81" s="38"/>
      <c r="M81" s="38"/>
      <c r="N81" s="38"/>
      <c r="O81" s="38"/>
      <c r="Q81" s="40"/>
      <c r="R81" s="38"/>
      <c r="S81" s="38"/>
      <c r="T81" s="38"/>
      <c r="U81" s="38"/>
      <c r="V81" s="38"/>
      <c r="W81" s="38"/>
      <c r="AL81" s="41"/>
    </row>
    <row r="82" spans="2:38" s="15" customFormat="1" ht="12.75" x14ac:dyDescent="0.2">
      <c r="B82" s="37"/>
      <c r="C82" s="37"/>
      <c r="D82" s="38"/>
      <c r="E82" s="38"/>
      <c r="F82" s="39"/>
      <c r="G82" s="39"/>
      <c r="H82" s="39"/>
      <c r="I82" s="38"/>
      <c r="K82" s="38"/>
      <c r="L82" s="38"/>
      <c r="M82" s="38"/>
      <c r="N82" s="38"/>
      <c r="O82" s="38"/>
      <c r="Q82" s="40"/>
      <c r="R82" s="38"/>
      <c r="S82" s="38"/>
      <c r="T82" s="38"/>
      <c r="U82" s="38"/>
      <c r="V82" s="38"/>
      <c r="W82" s="38"/>
      <c r="AL82" s="41"/>
    </row>
    <row r="83" spans="2:38" s="15" customFormat="1" ht="12.75" x14ac:dyDescent="0.2">
      <c r="B83" s="37"/>
      <c r="C83" s="37"/>
      <c r="D83" s="38"/>
      <c r="E83" s="38"/>
      <c r="F83" s="39"/>
      <c r="G83" s="39"/>
      <c r="H83" s="39"/>
      <c r="I83" s="38"/>
      <c r="K83" s="38"/>
      <c r="L83" s="38"/>
      <c r="M83" s="38"/>
      <c r="N83" s="38"/>
      <c r="O83" s="38"/>
      <c r="Q83" s="40"/>
      <c r="R83" s="38"/>
      <c r="S83" s="38"/>
      <c r="T83" s="38"/>
      <c r="U83" s="38"/>
      <c r="V83" s="38"/>
      <c r="W83" s="38"/>
      <c r="AL83" s="41"/>
    </row>
    <row r="84" spans="2:38" s="15" customFormat="1" ht="12.75" x14ac:dyDescent="0.2">
      <c r="B84" s="37"/>
      <c r="C84" s="37"/>
      <c r="D84" s="38"/>
      <c r="E84" s="38"/>
      <c r="F84" s="39"/>
      <c r="G84" s="39"/>
      <c r="H84" s="39"/>
      <c r="I84" s="38"/>
      <c r="K84" s="38"/>
      <c r="L84" s="38"/>
      <c r="M84" s="38"/>
      <c r="N84" s="38"/>
      <c r="O84" s="38"/>
      <c r="Q84" s="40"/>
      <c r="R84" s="38"/>
      <c r="S84" s="38"/>
      <c r="T84" s="38"/>
      <c r="U84" s="38"/>
      <c r="V84" s="38"/>
      <c r="W84" s="38"/>
      <c r="AL84" s="41"/>
    </row>
    <row r="85" spans="2:38" s="15" customFormat="1" ht="12.75" x14ac:dyDescent="0.2">
      <c r="B85" s="37"/>
      <c r="C85" s="37"/>
      <c r="D85" s="38"/>
      <c r="E85" s="38"/>
      <c r="F85" s="39"/>
      <c r="G85" s="39"/>
      <c r="H85" s="39"/>
      <c r="I85" s="38"/>
      <c r="K85" s="38"/>
      <c r="L85" s="38"/>
      <c r="M85" s="38"/>
      <c r="N85" s="38"/>
      <c r="O85" s="38"/>
      <c r="Q85" s="40"/>
      <c r="R85" s="38"/>
      <c r="S85" s="38"/>
      <c r="T85" s="38"/>
      <c r="U85" s="38"/>
      <c r="V85" s="38"/>
      <c r="W85" s="38"/>
      <c r="AL85" s="41"/>
    </row>
    <row r="86" spans="2:38" s="15" customFormat="1" ht="12.75" x14ac:dyDescent="0.2">
      <c r="B86" s="37"/>
      <c r="C86" s="37"/>
      <c r="D86" s="38"/>
      <c r="E86" s="38"/>
      <c r="F86" s="39"/>
      <c r="G86" s="39"/>
      <c r="H86" s="39"/>
      <c r="I86" s="38"/>
      <c r="K86" s="38"/>
      <c r="L86" s="38"/>
      <c r="M86" s="38"/>
      <c r="N86" s="38"/>
      <c r="O86" s="38"/>
      <c r="Q86" s="40"/>
      <c r="R86" s="38"/>
      <c r="S86" s="38"/>
      <c r="T86" s="38"/>
      <c r="U86" s="38"/>
      <c r="V86" s="38"/>
      <c r="W86" s="38"/>
      <c r="AL86" s="41"/>
    </row>
    <row r="87" spans="2:38" s="15" customFormat="1" ht="12.75" x14ac:dyDescent="0.2">
      <c r="B87" s="37"/>
      <c r="C87" s="37"/>
      <c r="D87" s="38"/>
      <c r="E87" s="38"/>
      <c r="F87" s="39"/>
      <c r="G87" s="39"/>
      <c r="H87" s="39"/>
      <c r="I87" s="38"/>
      <c r="K87" s="38"/>
      <c r="L87" s="38"/>
      <c r="M87" s="38"/>
      <c r="N87" s="38"/>
      <c r="O87" s="38"/>
      <c r="Q87" s="40"/>
      <c r="R87" s="38"/>
      <c r="S87" s="38"/>
      <c r="T87" s="38"/>
      <c r="U87" s="38"/>
      <c r="V87" s="38"/>
      <c r="W87" s="38"/>
      <c r="AL87" s="41"/>
    </row>
    <row r="88" spans="2:38" s="15" customFormat="1" ht="12.75" x14ac:dyDescent="0.2">
      <c r="B88" s="37"/>
      <c r="C88" s="37"/>
      <c r="D88" s="38"/>
      <c r="E88" s="38"/>
      <c r="F88" s="39"/>
      <c r="G88" s="39"/>
      <c r="H88" s="39"/>
      <c r="I88" s="38"/>
      <c r="K88" s="38"/>
      <c r="L88" s="38"/>
      <c r="M88" s="38"/>
      <c r="N88" s="38"/>
      <c r="O88" s="38"/>
      <c r="Q88" s="40"/>
      <c r="R88" s="38"/>
      <c r="S88" s="38"/>
      <c r="T88" s="38"/>
      <c r="U88" s="38"/>
      <c r="V88" s="38"/>
      <c r="W88" s="38"/>
      <c r="AL88" s="41"/>
    </row>
    <row r="89" spans="2:38" s="15" customFormat="1" ht="12.75" x14ac:dyDescent="0.2">
      <c r="B89" s="37"/>
      <c r="C89" s="37"/>
      <c r="D89" s="38"/>
      <c r="E89" s="38"/>
      <c r="F89" s="39"/>
      <c r="G89" s="39"/>
      <c r="H89" s="39"/>
      <c r="I89" s="38"/>
      <c r="K89" s="38"/>
      <c r="L89" s="38"/>
      <c r="M89" s="38"/>
      <c r="N89" s="38"/>
      <c r="O89" s="38"/>
      <c r="Q89" s="40"/>
      <c r="R89" s="38"/>
      <c r="S89" s="38"/>
      <c r="T89" s="38"/>
      <c r="U89" s="38"/>
      <c r="V89" s="38"/>
      <c r="W89" s="38"/>
      <c r="AL89" s="41"/>
    </row>
    <row r="90" spans="2:38" s="15" customFormat="1" ht="12.75" x14ac:dyDescent="0.2">
      <c r="B90" s="37"/>
      <c r="C90" s="37"/>
      <c r="D90" s="38"/>
      <c r="E90" s="38"/>
      <c r="F90" s="39"/>
      <c r="G90" s="39"/>
      <c r="H90" s="39"/>
      <c r="I90" s="38"/>
      <c r="K90" s="38"/>
      <c r="L90" s="38"/>
      <c r="M90" s="38"/>
      <c r="N90" s="38"/>
      <c r="O90" s="38"/>
      <c r="Q90" s="40"/>
      <c r="R90" s="38"/>
      <c r="S90" s="38"/>
      <c r="T90" s="38"/>
      <c r="U90" s="38"/>
      <c r="V90" s="38"/>
      <c r="W90" s="38"/>
      <c r="AL90" s="41"/>
    </row>
    <row r="91" spans="2:38" s="15" customFormat="1" ht="12.75" x14ac:dyDescent="0.2">
      <c r="B91" s="37"/>
      <c r="C91" s="37"/>
      <c r="D91" s="38"/>
      <c r="E91" s="38"/>
      <c r="F91" s="39"/>
      <c r="G91" s="39"/>
      <c r="H91" s="39"/>
      <c r="I91" s="38"/>
      <c r="K91" s="38"/>
      <c r="L91" s="38"/>
      <c r="M91" s="38"/>
      <c r="N91" s="38"/>
      <c r="O91" s="38"/>
      <c r="Q91" s="40"/>
      <c r="R91" s="38"/>
      <c r="S91" s="38"/>
      <c r="T91" s="38"/>
      <c r="U91" s="38"/>
      <c r="V91" s="38"/>
      <c r="W91" s="38"/>
      <c r="AL91" s="41"/>
    </row>
    <row r="92" spans="2:38" s="15" customFormat="1" ht="12.75" x14ac:dyDescent="0.2">
      <c r="B92" s="37"/>
      <c r="C92" s="37"/>
      <c r="D92" s="38"/>
      <c r="E92" s="38"/>
      <c r="F92" s="39"/>
      <c r="G92" s="39"/>
      <c r="H92" s="39"/>
      <c r="I92" s="38"/>
      <c r="K92" s="38"/>
      <c r="L92" s="38"/>
      <c r="M92" s="38"/>
      <c r="N92" s="38"/>
      <c r="O92" s="38"/>
      <c r="Q92" s="40"/>
      <c r="R92" s="38"/>
      <c r="S92" s="38"/>
      <c r="T92" s="38"/>
      <c r="U92" s="38"/>
      <c r="V92" s="38"/>
      <c r="W92" s="38"/>
      <c r="AL92" s="41"/>
    </row>
    <row r="93" spans="2:38" s="15" customFormat="1" ht="12.75" x14ac:dyDescent="0.2">
      <c r="B93" s="37"/>
      <c r="C93" s="37"/>
      <c r="D93" s="38"/>
      <c r="E93" s="38"/>
      <c r="F93" s="39"/>
      <c r="G93" s="39"/>
      <c r="H93" s="39"/>
      <c r="I93" s="38"/>
      <c r="K93" s="38"/>
      <c r="L93" s="38"/>
      <c r="M93" s="38"/>
      <c r="N93" s="38"/>
      <c r="O93" s="38"/>
      <c r="Q93" s="40"/>
      <c r="R93" s="38"/>
      <c r="S93" s="38"/>
      <c r="T93" s="38"/>
      <c r="U93" s="38"/>
      <c r="V93" s="38"/>
      <c r="W93" s="38"/>
      <c r="AL93" s="41"/>
    </row>
    <row r="94" spans="2:38" s="15" customFormat="1" ht="12.75" x14ac:dyDescent="0.2">
      <c r="B94" s="37"/>
      <c r="C94" s="37"/>
      <c r="D94" s="38"/>
      <c r="E94" s="38"/>
      <c r="F94" s="39"/>
      <c r="G94" s="39"/>
      <c r="H94" s="39"/>
      <c r="I94" s="38"/>
      <c r="K94" s="38"/>
      <c r="L94" s="38"/>
      <c r="M94" s="38"/>
      <c r="N94" s="38"/>
      <c r="O94" s="38"/>
      <c r="Q94" s="40"/>
      <c r="R94" s="38"/>
      <c r="S94" s="38"/>
      <c r="T94" s="38"/>
      <c r="U94" s="38"/>
      <c r="V94" s="38"/>
      <c r="W94" s="38"/>
      <c r="AL94" s="41"/>
    </row>
    <row r="95" spans="2:38" s="15" customFormat="1" ht="12.75" x14ac:dyDescent="0.2">
      <c r="B95" s="37"/>
      <c r="C95" s="37"/>
      <c r="D95" s="38"/>
      <c r="E95" s="38"/>
      <c r="F95" s="39"/>
      <c r="G95" s="39"/>
      <c r="H95" s="39"/>
      <c r="I95" s="38"/>
      <c r="K95" s="38"/>
      <c r="L95" s="38"/>
      <c r="M95" s="38"/>
      <c r="N95" s="38"/>
      <c r="O95" s="38"/>
      <c r="Q95" s="40"/>
      <c r="R95" s="38"/>
      <c r="S95" s="38"/>
      <c r="T95" s="38"/>
      <c r="U95" s="38"/>
      <c r="V95" s="38"/>
      <c r="W95" s="38"/>
      <c r="AL95" s="41"/>
    </row>
    <row r="96" spans="2:38" s="15" customFormat="1" ht="12.75" x14ac:dyDescent="0.2">
      <c r="B96" s="37"/>
      <c r="C96" s="37"/>
      <c r="D96" s="38"/>
      <c r="E96" s="38"/>
      <c r="F96" s="39"/>
      <c r="G96" s="39"/>
      <c r="H96" s="39"/>
      <c r="I96" s="38"/>
      <c r="K96" s="38"/>
      <c r="L96" s="38"/>
      <c r="M96" s="38"/>
      <c r="N96" s="38"/>
      <c r="O96" s="38"/>
      <c r="Q96" s="40"/>
      <c r="R96" s="38"/>
      <c r="S96" s="38"/>
      <c r="T96" s="38"/>
      <c r="U96" s="38"/>
      <c r="V96" s="38"/>
      <c r="W96" s="38"/>
      <c r="AL96" s="41"/>
    </row>
    <row r="97" spans="2:38" s="15" customFormat="1" ht="12.75" x14ac:dyDescent="0.2">
      <c r="B97" s="37"/>
      <c r="C97" s="37"/>
      <c r="D97" s="38"/>
      <c r="E97" s="38"/>
      <c r="F97" s="39"/>
      <c r="G97" s="39"/>
      <c r="H97" s="39"/>
      <c r="I97" s="38"/>
      <c r="K97" s="38"/>
      <c r="L97" s="38"/>
      <c r="M97" s="38"/>
      <c r="N97" s="38"/>
      <c r="O97" s="38"/>
      <c r="Q97" s="40"/>
      <c r="R97" s="38"/>
      <c r="S97" s="38"/>
      <c r="T97" s="38"/>
      <c r="U97" s="38"/>
      <c r="V97" s="38"/>
      <c r="W97" s="38"/>
      <c r="AL97" s="41"/>
    </row>
    <row r="98" spans="2:38" s="15" customFormat="1" ht="12.75" x14ac:dyDescent="0.2">
      <c r="B98" s="37"/>
      <c r="C98" s="37"/>
      <c r="D98" s="38"/>
      <c r="E98" s="38"/>
      <c r="F98" s="39"/>
      <c r="G98" s="39"/>
      <c r="H98" s="39"/>
      <c r="I98" s="38"/>
      <c r="K98" s="38"/>
      <c r="L98" s="38"/>
      <c r="M98" s="38"/>
      <c r="N98" s="38"/>
      <c r="O98" s="38"/>
      <c r="Q98" s="40"/>
      <c r="R98" s="38"/>
      <c r="S98" s="38"/>
      <c r="T98" s="38"/>
      <c r="U98" s="38"/>
      <c r="V98" s="38"/>
      <c r="W98" s="38"/>
      <c r="AL98" s="41"/>
    </row>
    <row r="99" spans="2:38" s="15" customFormat="1" ht="12.75" x14ac:dyDescent="0.2">
      <c r="B99" s="37"/>
      <c r="C99" s="37"/>
      <c r="D99" s="38"/>
      <c r="E99" s="38"/>
      <c r="F99" s="39"/>
      <c r="G99" s="39"/>
      <c r="H99" s="39"/>
      <c r="I99" s="38"/>
      <c r="K99" s="38"/>
      <c r="L99" s="38"/>
      <c r="M99" s="38"/>
      <c r="N99" s="38"/>
      <c r="O99" s="38"/>
      <c r="Q99" s="40"/>
      <c r="R99" s="38"/>
      <c r="S99" s="38"/>
      <c r="T99" s="38"/>
      <c r="U99" s="38"/>
      <c r="V99" s="38"/>
      <c r="W99" s="38"/>
      <c r="AL99" s="41"/>
    </row>
    <row r="100" spans="2:38" s="15" customFormat="1" ht="12.75" x14ac:dyDescent="0.2">
      <c r="B100" s="37"/>
      <c r="C100" s="37"/>
      <c r="D100" s="38"/>
      <c r="E100" s="38"/>
      <c r="F100" s="39"/>
      <c r="G100" s="39"/>
      <c r="H100" s="39"/>
      <c r="I100" s="38"/>
      <c r="K100" s="38"/>
      <c r="L100" s="38"/>
      <c r="M100" s="38"/>
      <c r="N100" s="38"/>
      <c r="O100" s="38"/>
      <c r="Q100" s="40"/>
      <c r="R100" s="38"/>
      <c r="S100" s="38"/>
      <c r="T100" s="38"/>
      <c r="U100" s="38"/>
      <c r="V100" s="38"/>
      <c r="W100" s="38"/>
      <c r="AL100" s="41"/>
    </row>
    <row r="101" spans="2:38" s="15" customFormat="1" ht="12.75" x14ac:dyDescent="0.2">
      <c r="B101" s="37"/>
      <c r="C101" s="37"/>
      <c r="D101" s="38"/>
      <c r="E101" s="38"/>
      <c r="F101" s="39"/>
      <c r="G101" s="39"/>
      <c r="H101" s="39"/>
      <c r="I101" s="38"/>
      <c r="K101" s="38"/>
      <c r="L101" s="38"/>
      <c r="M101" s="38"/>
      <c r="N101" s="38"/>
      <c r="O101" s="38"/>
      <c r="Q101" s="40"/>
      <c r="R101" s="38"/>
      <c r="S101" s="38"/>
      <c r="T101" s="38"/>
      <c r="U101" s="38"/>
      <c r="V101" s="38"/>
      <c r="W101" s="38"/>
      <c r="AL101" s="41"/>
    </row>
    <row r="102" spans="2:38" s="15" customFormat="1" ht="12.75" x14ac:dyDescent="0.2">
      <c r="B102" s="37"/>
      <c r="C102" s="37"/>
      <c r="D102" s="38"/>
      <c r="E102" s="38"/>
      <c r="F102" s="39"/>
      <c r="G102" s="39"/>
      <c r="H102" s="39"/>
      <c r="I102" s="38"/>
      <c r="K102" s="38"/>
      <c r="L102" s="38"/>
      <c r="M102" s="38"/>
      <c r="N102" s="38"/>
      <c r="O102" s="38"/>
      <c r="Q102" s="40"/>
      <c r="R102" s="38"/>
      <c r="S102" s="38"/>
      <c r="T102" s="38"/>
      <c r="U102" s="38"/>
      <c r="V102" s="38"/>
      <c r="W102" s="38"/>
      <c r="AL102" s="41"/>
    </row>
    <row r="103" spans="2:38" s="15" customFormat="1" ht="12.75" x14ac:dyDescent="0.2">
      <c r="B103" s="37"/>
      <c r="C103" s="37"/>
      <c r="D103" s="38"/>
      <c r="E103" s="38"/>
      <c r="F103" s="39"/>
      <c r="G103" s="39"/>
      <c r="H103" s="39"/>
      <c r="I103" s="38"/>
      <c r="K103" s="38"/>
      <c r="L103" s="38"/>
      <c r="M103" s="38"/>
      <c r="N103" s="38"/>
      <c r="O103" s="38"/>
      <c r="Q103" s="40"/>
      <c r="R103" s="38"/>
      <c r="S103" s="38"/>
      <c r="T103" s="38"/>
      <c r="U103" s="38"/>
      <c r="V103" s="38"/>
      <c r="W103" s="38"/>
      <c r="AL103" s="41"/>
    </row>
    <row r="104" spans="2:38" s="15" customFormat="1" ht="12.75" x14ac:dyDescent="0.2">
      <c r="B104" s="37"/>
      <c r="C104" s="37"/>
      <c r="D104" s="38"/>
      <c r="E104" s="38"/>
      <c r="F104" s="39"/>
      <c r="G104" s="39"/>
      <c r="H104" s="39"/>
      <c r="I104" s="38"/>
      <c r="K104" s="38"/>
      <c r="L104" s="38"/>
      <c r="M104" s="38"/>
      <c r="N104" s="38"/>
      <c r="O104" s="38"/>
      <c r="Q104" s="40"/>
      <c r="R104" s="38"/>
      <c r="S104" s="38"/>
      <c r="T104" s="38"/>
      <c r="U104" s="38"/>
      <c r="V104" s="38"/>
      <c r="W104" s="38"/>
      <c r="AL104" s="41"/>
    </row>
    <row r="105" spans="2:38" s="15" customFormat="1" ht="12.75" x14ac:dyDescent="0.2">
      <c r="B105" s="37"/>
      <c r="C105" s="37"/>
      <c r="D105" s="38"/>
      <c r="E105" s="38"/>
      <c r="F105" s="39"/>
      <c r="G105" s="39"/>
      <c r="H105" s="39"/>
      <c r="I105" s="38"/>
      <c r="K105" s="38"/>
      <c r="L105" s="38"/>
      <c r="M105" s="38"/>
      <c r="N105" s="38"/>
      <c r="O105" s="38"/>
      <c r="Q105" s="40"/>
      <c r="R105" s="38"/>
      <c r="S105" s="38"/>
      <c r="T105" s="38"/>
      <c r="U105" s="38"/>
      <c r="V105" s="38"/>
      <c r="W105" s="38"/>
      <c r="AL105" s="41"/>
    </row>
    <row r="106" spans="2:38" s="15" customFormat="1" ht="12.75" x14ac:dyDescent="0.2">
      <c r="B106" s="37"/>
      <c r="C106" s="37"/>
      <c r="D106" s="38"/>
      <c r="E106" s="38"/>
      <c r="F106" s="39"/>
      <c r="G106" s="39"/>
      <c r="H106" s="39"/>
      <c r="I106" s="38"/>
      <c r="K106" s="38"/>
      <c r="L106" s="38"/>
      <c r="M106" s="38"/>
      <c r="N106" s="38"/>
      <c r="O106" s="38"/>
      <c r="Q106" s="40"/>
      <c r="R106" s="38"/>
      <c r="S106" s="38"/>
      <c r="T106" s="38"/>
      <c r="U106" s="38"/>
      <c r="V106" s="38"/>
      <c r="W106" s="38"/>
      <c r="AL106" s="41"/>
    </row>
    <row r="107" spans="2:38" s="15" customFormat="1" ht="12.75" x14ac:dyDescent="0.2">
      <c r="B107" s="37"/>
      <c r="C107" s="37"/>
      <c r="D107" s="38"/>
      <c r="E107" s="38"/>
      <c r="F107" s="39"/>
      <c r="G107" s="39"/>
      <c r="H107" s="39"/>
      <c r="I107" s="38"/>
      <c r="K107" s="38"/>
      <c r="L107" s="38"/>
      <c r="M107" s="38"/>
      <c r="N107" s="38"/>
      <c r="O107" s="38"/>
      <c r="Q107" s="40"/>
      <c r="R107" s="38"/>
      <c r="S107" s="38"/>
      <c r="T107" s="38"/>
      <c r="U107" s="38"/>
      <c r="V107" s="38"/>
      <c r="W107" s="38"/>
      <c r="AL107" s="41"/>
    </row>
    <row r="108" spans="2:38" s="15" customFormat="1" ht="12.75" x14ac:dyDescent="0.2">
      <c r="B108" s="37"/>
      <c r="C108" s="37"/>
      <c r="D108" s="38"/>
      <c r="E108" s="38"/>
      <c r="F108" s="39"/>
      <c r="G108" s="39"/>
      <c r="H108" s="39"/>
      <c r="I108" s="38"/>
      <c r="K108" s="38"/>
      <c r="L108" s="38"/>
      <c r="M108" s="38"/>
      <c r="N108" s="38"/>
      <c r="O108" s="38"/>
      <c r="Q108" s="40"/>
      <c r="R108" s="38"/>
      <c r="S108" s="38"/>
      <c r="T108" s="38"/>
      <c r="U108" s="38"/>
      <c r="V108" s="38"/>
      <c r="W108" s="38"/>
      <c r="AL108" s="41"/>
    </row>
    <row r="109" spans="2:38" s="15" customFormat="1" ht="12.75" x14ac:dyDescent="0.2">
      <c r="B109" s="37"/>
      <c r="C109" s="37"/>
      <c r="D109" s="38"/>
      <c r="E109" s="38"/>
      <c r="F109" s="39"/>
      <c r="G109" s="39"/>
      <c r="H109" s="39"/>
      <c r="I109" s="38"/>
      <c r="K109" s="38"/>
      <c r="L109" s="38"/>
      <c r="M109" s="38"/>
      <c r="N109" s="38"/>
      <c r="O109" s="38"/>
      <c r="Q109" s="40"/>
      <c r="R109" s="38"/>
      <c r="S109" s="38"/>
      <c r="T109" s="38"/>
      <c r="U109" s="38"/>
      <c r="V109" s="38"/>
      <c r="W109" s="38"/>
      <c r="AL109" s="41"/>
    </row>
    <row r="110" spans="2:38" s="15" customFormat="1" ht="12.75" x14ac:dyDescent="0.2">
      <c r="B110" s="37"/>
      <c r="C110" s="37"/>
      <c r="D110" s="38"/>
      <c r="E110" s="38"/>
      <c r="F110" s="39"/>
      <c r="G110" s="39"/>
      <c r="H110" s="39"/>
      <c r="I110" s="38"/>
      <c r="K110" s="38"/>
      <c r="L110" s="38"/>
      <c r="M110" s="38"/>
      <c r="N110" s="38"/>
      <c r="O110" s="38"/>
      <c r="Q110" s="40"/>
      <c r="R110" s="38"/>
      <c r="S110" s="38"/>
      <c r="T110" s="38"/>
      <c r="U110" s="38"/>
      <c r="V110" s="38"/>
      <c r="W110" s="38"/>
      <c r="AL110" s="41"/>
    </row>
    <row r="111" spans="2:38" s="15" customFormat="1" ht="12.75" x14ac:dyDescent="0.2">
      <c r="B111" s="37"/>
      <c r="C111" s="37"/>
      <c r="D111" s="38"/>
      <c r="E111" s="38"/>
      <c r="F111" s="39"/>
      <c r="G111" s="39"/>
      <c r="H111" s="39"/>
      <c r="I111" s="38"/>
      <c r="K111" s="38"/>
      <c r="L111" s="38"/>
      <c r="M111" s="38"/>
      <c r="N111" s="38"/>
      <c r="O111" s="38"/>
      <c r="Q111" s="40"/>
      <c r="R111" s="38"/>
      <c r="S111" s="38"/>
      <c r="T111" s="38"/>
      <c r="U111" s="38"/>
      <c r="V111" s="38"/>
      <c r="W111" s="38"/>
      <c r="AL111" s="41"/>
    </row>
    <row r="112" spans="2:38" s="15" customFormat="1" ht="12.75" x14ac:dyDescent="0.2">
      <c r="B112" s="37"/>
      <c r="C112" s="37"/>
      <c r="D112" s="38"/>
      <c r="E112" s="38"/>
      <c r="F112" s="39"/>
      <c r="G112" s="39"/>
      <c r="H112" s="39"/>
      <c r="I112" s="38"/>
      <c r="K112" s="38"/>
      <c r="L112" s="38"/>
      <c r="M112" s="38"/>
      <c r="N112" s="38"/>
      <c r="O112" s="38"/>
      <c r="Q112" s="40"/>
      <c r="R112" s="38"/>
      <c r="S112" s="38"/>
      <c r="T112" s="38"/>
      <c r="U112" s="38"/>
      <c r="V112" s="38"/>
      <c r="W112" s="38"/>
      <c r="AL112" s="41"/>
    </row>
    <row r="113" spans="2:38" s="15" customFormat="1" ht="12.75" x14ac:dyDescent="0.2">
      <c r="B113" s="37"/>
      <c r="C113" s="37"/>
      <c r="D113" s="38"/>
      <c r="E113" s="38"/>
      <c r="F113" s="39"/>
      <c r="G113" s="39"/>
      <c r="H113" s="39"/>
      <c r="I113" s="38"/>
      <c r="K113" s="38"/>
      <c r="L113" s="38"/>
      <c r="M113" s="38"/>
      <c r="N113" s="38"/>
      <c r="O113" s="38"/>
      <c r="Q113" s="40"/>
      <c r="R113" s="38"/>
      <c r="S113" s="38"/>
      <c r="T113" s="38"/>
      <c r="U113" s="38"/>
      <c r="V113" s="38"/>
      <c r="W113" s="38"/>
      <c r="AL113" s="41"/>
    </row>
    <row r="114" spans="2:38" s="15" customFormat="1" ht="12.75" x14ac:dyDescent="0.2">
      <c r="B114" s="37"/>
      <c r="C114" s="37"/>
      <c r="D114" s="38"/>
      <c r="E114" s="38"/>
      <c r="F114" s="39"/>
      <c r="G114" s="39"/>
      <c r="H114" s="39"/>
      <c r="I114" s="38"/>
      <c r="K114" s="38"/>
      <c r="L114" s="38"/>
      <c r="M114" s="38"/>
      <c r="N114" s="38"/>
      <c r="O114" s="38"/>
      <c r="Q114" s="40"/>
      <c r="R114" s="38"/>
      <c r="S114" s="38"/>
      <c r="T114" s="38"/>
      <c r="U114" s="38"/>
      <c r="V114" s="38"/>
      <c r="W114" s="38"/>
      <c r="AL114" s="41"/>
    </row>
    <row r="115" spans="2:38" s="15" customFormat="1" ht="12.75" x14ac:dyDescent="0.2">
      <c r="B115" s="37"/>
      <c r="C115" s="37"/>
      <c r="D115" s="38"/>
      <c r="E115" s="38"/>
      <c r="F115" s="39"/>
      <c r="G115" s="39"/>
      <c r="H115" s="39"/>
      <c r="I115" s="38"/>
      <c r="K115" s="38"/>
      <c r="L115" s="38"/>
      <c r="M115" s="38"/>
      <c r="N115" s="38"/>
      <c r="O115" s="38"/>
      <c r="Q115" s="40"/>
      <c r="R115" s="38"/>
      <c r="S115" s="38"/>
      <c r="T115" s="38"/>
      <c r="U115" s="38"/>
      <c r="V115" s="38"/>
      <c r="W115" s="38"/>
      <c r="AL115" s="41"/>
    </row>
    <row r="116" spans="2:38" s="15" customFormat="1" ht="12.75" x14ac:dyDescent="0.2">
      <c r="B116" s="37"/>
      <c r="C116" s="37"/>
      <c r="D116" s="38"/>
      <c r="E116" s="38"/>
      <c r="F116" s="39"/>
      <c r="G116" s="39"/>
      <c r="H116" s="39"/>
      <c r="I116" s="38"/>
      <c r="K116" s="38"/>
      <c r="L116" s="38"/>
      <c r="M116" s="38"/>
      <c r="N116" s="38"/>
      <c r="O116" s="38"/>
      <c r="Q116" s="40"/>
      <c r="R116" s="38"/>
      <c r="S116" s="38"/>
      <c r="T116" s="38"/>
      <c r="U116" s="38"/>
      <c r="V116" s="38"/>
      <c r="W116" s="38"/>
      <c r="AL116" s="41"/>
    </row>
    <row r="117" spans="2:38" s="15" customFormat="1" ht="12.75" x14ac:dyDescent="0.2">
      <c r="B117" s="37"/>
      <c r="C117" s="37"/>
      <c r="D117" s="38"/>
      <c r="E117" s="38"/>
      <c r="F117" s="39"/>
      <c r="G117" s="39"/>
      <c r="H117" s="39"/>
      <c r="I117" s="38"/>
      <c r="K117" s="38"/>
      <c r="L117" s="38"/>
      <c r="M117" s="38"/>
      <c r="N117" s="38"/>
      <c r="O117" s="38"/>
      <c r="Q117" s="40"/>
      <c r="R117" s="38"/>
      <c r="S117" s="38"/>
      <c r="T117" s="38"/>
      <c r="U117" s="38"/>
      <c r="V117" s="38"/>
      <c r="W117" s="38"/>
      <c r="AL117" s="41"/>
    </row>
    <row r="118" spans="2:38" s="15" customFormat="1" ht="12.75" x14ac:dyDescent="0.2">
      <c r="B118" s="37"/>
      <c r="C118" s="37"/>
      <c r="D118" s="38"/>
      <c r="E118" s="38"/>
      <c r="F118" s="39"/>
      <c r="G118" s="39"/>
      <c r="H118" s="39"/>
      <c r="I118" s="38"/>
      <c r="K118" s="38"/>
      <c r="L118" s="38"/>
      <c r="M118" s="38"/>
      <c r="N118" s="38"/>
      <c r="O118" s="38"/>
      <c r="Q118" s="40"/>
      <c r="R118" s="38"/>
      <c r="S118" s="38"/>
      <c r="T118" s="38"/>
      <c r="U118" s="38"/>
      <c r="V118" s="38"/>
      <c r="W118" s="38"/>
      <c r="AL118" s="41"/>
    </row>
    <row r="119" spans="2:38" s="15" customFormat="1" ht="12.75" x14ac:dyDescent="0.2">
      <c r="B119" s="37"/>
      <c r="C119" s="37"/>
      <c r="D119" s="38"/>
      <c r="E119" s="38"/>
      <c r="F119" s="39"/>
      <c r="G119" s="39"/>
      <c r="H119" s="39"/>
      <c r="I119" s="38"/>
      <c r="K119" s="38"/>
      <c r="L119" s="38"/>
      <c r="M119" s="38"/>
      <c r="N119" s="38"/>
      <c r="O119" s="38"/>
      <c r="Q119" s="40"/>
      <c r="R119" s="38"/>
      <c r="S119" s="38"/>
      <c r="T119" s="38"/>
      <c r="U119" s="38"/>
      <c r="V119" s="38"/>
      <c r="W119" s="38"/>
      <c r="AL119" s="41"/>
    </row>
    <row r="120" spans="2:38" s="15" customFormat="1" ht="12.75" x14ac:dyDescent="0.2">
      <c r="B120" s="37"/>
      <c r="C120" s="37"/>
      <c r="D120" s="38"/>
      <c r="E120" s="38"/>
      <c r="F120" s="39"/>
      <c r="G120" s="39"/>
      <c r="H120" s="39"/>
      <c r="I120" s="38"/>
      <c r="K120" s="38"/>
      <c r="L120" s="38"/>
      <c r="M120" s="38"/>
      <c r="N120" s="38"/>
      <c r="O120" s="38"/>
      <c r="Q120" s="40"/>
      <c r="R120" s="38"/>
      <c r="S120" s="38"/>
      <c r="T120" s="38"/>
      <c r="U120" s="38"/>
      <c r="V120" s="38"/>
      <c r="W120" s="38"/>
      <c r="AL120" s="41"/>
    </row>
    <row r="121" spans="2:38" s="15" customFormat="1" ht="12.75" x14ac:dyDescent="0.2">
      <c r="B121" s="37"/>
      <c r="C121" s="37"/>
      <c r="D121" s="38"/>
      <c r="E121" s="38"/>
      <c r="F121" s="39"/>
      <c r="G121" s="39"/>
      <c r="H121" s="39"/>
      <c r="I121" s="38"/>
      <c r="K121" s="38"/>
      <c r="L121" s="38"/>
      <c r="M121" s="38"/>
      <c r="N121" s="38"/>
      <c r="O121" s="38"/>
      <c r="Q121" s="40"/>
      <c r="R121" s="38"/>
      <c r="S121" s="38"/>
      <c r="T121" s="38"/>
      <c r="U121" s="38"/>
      <c r="V121" s="38"/>
      <c r="W121" s="38"/>
      <c r="AL121" s="41"/>
    </row>
    <row r="122" spans="2:38" s="15" customFormat="1" ht="12.75" x14ac:dyDescent="0.2">
      <c r="B122" s="37"/>
      <c r="C122" s="37"/>
      <c r="D122" s="38"/>
      <c r="E122" s="38"/>
      <c r="F122" s="39"/>
      <c r="G122" s="39"/>
      <c r="H122" s="39"/>
      <c r="I122" s="38"/>
      <c r="K122" s="38"/>
      <c r="L122" s="38"/>
      <c r="M122" s="38"/>
      <c r="N122" s="38"/>
      <c r="O122" s="38"/>
      <c r="Q122" s="40"/>
      <c r="R122" s="38"/>
      <c r="S122" s="38"/>
      <c r="T122" s="38"/>
      <c r="U122" s="38"/>
      <c r="V122" s="38"/>
      <c r="W122" s="38"/>
      <c r="AL122" s="41"/>
    </row>
    <row r="123" spans="2:38" s="15" customFormat="1" ht="12.75" x14ac:dyDescent="0.2">
      <c r="B123" s="37"/>
      <c r="C123" s="37"/>
      <c r="D123" s="38"/>
      <c r="E123" s="38"/>
      <c r="F123" s="39"/>
      <c r="G123" s="39"/>
      <c r="H123" s="39"/>
      <c r="I123" s="38"/>
      <c r="K123" s="38"/>
      <c r="L123" s="38"/>
      <c r="M123" s="38"/>
      <c r="N123" s="38"/>
      <c r="O123" s="38"/>
      <c r="Q123" s="40"/>
      <c r="R123" s="38"/>
      <c r="S123" s="38"/>
      <c r="T123" s="38"/>
      <c r="U123" s="38"/>
      <c r="V123" s="38"/>
      <c r="W123" s="38"/>
      <c r="AL123" s="41"/>
    </row>
    <row r="124" spans="2:38" s="15" customFormat="1" ht="12.75" x14ac:dyDescent="0.2">
      <c r="B124" s="37"/>
      <c r="C124" s="37"/>
      <c r="D124" s="38"/>
      <c r="E124" s="38"/>
      <c r="F124" s="39"/>
      <c r="G124" s="39"/>
      <c r="H124" s="39"/>
      <c r="I124" s="38"/>
      <c r="K124" s="38"/>
      <c r="L124" s="38"/>
      <c r="M124" s="38"/>
      <c r="N124" s="38"/>
      <c r="O124" s="38"/>
      <c r="Q124" s="40"/>
      <c r="R124" s="38"/>
      <c r="S124" s="38"/>
      <c r="T124" s="38"/>
      <c r="U124" s="38"/>
      <c r="V124" s="38"/>
      <c r="W124" s="38"/>
      <c r="AL124" s="41"/>
    </row>
    <row r="125" spans="2:38" s="15" customFormat="1" ht="12.75" x14ac:dyDescent="0.2">
      <c r="B125" s="37"/>
      <c r="C125" s="37"/>
      <c r="D125" s="38"/>
      <c r="E125" s="38"/>
      <c r="F125" s="39"/>
      <c r="G125" s="39"/>
      <c r="H125" s="39"/>
      <c r="I125" s="38"/>
      <c r="K125" s="38"/>
      <c r="L125" s="38"/>
      <c r="M125" s="38"/>
      <c r="N125" s="38"/>
      <c r="O125" s="38"/>
      <c r="Q125" s="40"/>
      <c r="R125" s="38"/>
      <c r="S125" s="38"/>
      <c r="T125" s="38"/>
      <c r="U125" s="38"/>
      <c r="V125" s="38"/>
      <c r="W125" s="38"/>
      <c r="AL125" s="41"/>
    </row>
    <row r="126" spans="2:38" s="15" customFormat="1" ht="12.75" x14ac:dyDescent="0.2">
      <c r="B126" s="37"/>
      <c r="C126" s="37"/>
      <c r="D126" s="38"/>
      <c r="E126" s="38"/>
      <c r="F126" s="39"/>
      <c r="G126" s="39"/>
      <c r="H126" s="39"/>
      <c r="I126" s="38"/>
      <c r="K126" s="38"/>
      <c r="L126" s="38"/>
      <c r="M126" s="38"/>
      <c r="N126" s="38"/>
      <c r="O126" s="38"/>
      <c r="Q126" s="40"/>
      <c r="R126" s="38"/>
      <c r="S126" s="38"/>
      <c r="T126" s="38"/>
      <c r="U126" s="38"/>
      <c r="V126" s="38"/>
      <c r="W126" s="38"/>
      <c r="AL126" s="41"/>
    </row>
    <row r="127" spans="2:38" s="15" customFormat="1" ht="12.75" x14ac:dyDescent="0.2">
      <c r="B127" s="37"/>
      <c r="C127" s="37"/>
      <c r="D127" s="38"/>
      <c r="E127" s="38"/>
      <c r="F127" s="39"/>
      <c r="G127" s="39"/>
      <c r="H127" s="39"/>
      <c r="I127" s="38"/>
      <c r="K127" s="38"/>
      <c r="L127" s="38"/>
      <c r="M127" s="38"/>
      <c r="N127" s="38"/>
      <c r="O127" s="38"/>
      <c r="Q127" s="40"/>
      <c r="R127" s="38"/>
      <c r="S127" s="38"/>
      <c r="T127" s="38"/>
      <c r="U127" s="38"/>
      <c r="V127" s="38"/>
      <c r="W127" s="38"/>
      <c r="AL127" s="41"/>
    </row>
    <row r="128" spans="2:38" s="15" customFormat="1" ht="12.75" x14ac:dyDescent="0.2">
      <c r="B128" s="37"/>
      <c r="C128" s="37"/>
      <c r="D128" s="38"/>
      <c r="E128" s="38"/>
      <c r="F128" s="39"/>
      <c r="G128" s="39"/>
      <c r="H128" s="39"/>
      <c r="I128" s="38"/>
      <c r="K128" s="38"/>
      <c r="L128" s="38"/>
      <c r="M128" s="38"/>
      <c r="N128" s="38"/>
      <c r="O128" s="38"/>
      <c r="Q128" s="40"/>
      <c r="R128" s="38"/>
      <c r="S128" s="38"/>
      <c r="T128" s="38"/>
      <c r="U128" s="38"/>
      <c r="V128" s="38"/>
      <c r="W128" s="38"/>
      <c r="AL128" s="41"/>
    </row>
    <row r="129" spans="2:38" s="15" customFormat="1" ht="12.75" x14ac:dyDescent="0.2">
      <c r="B129" s="37"/>
      <c r="C129" s="37"/>
      <c r="D129" s="38"/>
      <c r="E129" s="38"/>
      <c r="F129" s="39"/>
      <c r="G129" s="39"/>
      <c r="H129" s="39"/>
      <c r="I129" s="38"/>
      <c r="K129" s="38"/>
      <c r="L129" s="38"/>
      <c r="M129" s="38"/>
      <c r="N129" s="38"/>
      <c r="O129" s="38"/>
      <c r="Q129" s="40"/>
      <c r="R129" s="38"/>
      <c r="S129" s="38"/>
      <c r="T129" s="38"/>
      <c r="U129" s="38"/>
      <c r="V129" s="38"/>
      <c r="W129" s="38"/>
      <c r="AL129" s="41"/>
    </row>
    <row r="130" spans="2:38" s="15" customFormat="1" ht="12.75" x14ac:dyDescent="0.2">
      <c r="B130" s="37"/>
      <c r="C130" s="37"/>
      <c r="D130" s="38"/>
      <c r="E130" s="38"/>
      <c r="F130" s="39"/>
      <c r="G130" s="39"/>
      <c r="H130" s="39"/>
      <c r="I130" s="38"/>
      <c r="K130" s="38"/>
      <c r="L130" s="38"/>
      <c r="M130" s="38"/>
      <c r="N130" s="38"/>
      <c r="O130" s="38"/>
      <c r="Q130" s="40"/>
      <c r="R130" s="38"/>
      <c r="S130" s="38"/>
      <c r="T130" s="38"/>
      <c r="U130" s="38"/>
      <c r="V130" s="38"/>
      <c r="W130" s="38"/>
      <c r="AL130" s="41"/>
    </row>
    <row r="131" spans="2:38" s="15" customFormat="1" ht="12.75" x14ac:dyDescent="0.2">
      <c r="B131" s="37"/>
      <c r="C131" s="37"/>
      <c r="D131" s="38"/>
      <c r="E131" s="38"/>
      <c r="F131" s="39"/>
      <c r="G131" s="39"/>
      <c r="H131" s="39"/>
      <c r="I131" s="38"/>
      <c r="K131" s="38"/>
      <c r="L131" s="38"/>
      <c r="M131" s="38"/>
      <c r="N131" s="38"/>
      <c r="O131" s="38"/>
      <c r="Q131" s="40"/>
      <c r="R131" s="38"/>
      <c r="S131" s="38"/>
      <c r="T131" s="38"/>
      <c r="U131" s="38"/>
      <c r="V131" s="38"/>
      <c r="W131" s="38"/>
      <c r="AL131" s="41"/>
    </row>
    <row r="132" spans="2:38" s="15" customFormat="1" ht="12.75" x14ac:dyDescent="0.2">
      <c r="B132" s="37"/>
      <c r="C132" s="37"/>
      <c r="D132" s="38"/>
      <c r="E132" s="38"/>
      <c r="F132" s="39"/>
      <c r="G132" s="39"/>
      <c r="H132" s="39"/>
      <c r="I132" s="38"/>
      <c r="K132" s="38"/>
      <c r="L132" s="38"/>
      <c r="M132" s="38"/>
      <c r="N132" s="38"/>
      <c r="O132" s="38"/>
      <c r="Q132" s="40"/>
      <c r="R132" s="38"/>
      <c r="S132" s="38"/>
      <c r="T132" s="38"/>
      <c r="U132" s="38"/>
      <c r="V132" s="38"/>
      <c r="W132" s="38"/>
      <c r="AL132" s="41"/>
    </row>
    <row r="133" spans="2:38" s="15" customFormat="1" ht="12.75" x14ac:dyDescent="0.2">
      <c r="B133" s="37"/>
      <c r="C133" s="37"/>
      <c r="D133" s="38"/>
      <c r="E133" s="38"/>
      <c r="F133" s="39"/>
      <c r="G133" s="39"/>
      <c r="H133" s="39"/>
      <c r="I133" s="38"/>
      <c r="K133" s="38"/>
      <c r="L133" s="38"/>
      <c r="M133" s="38"/>
      <c r="N133" s="38"/>
      <c r="O133" s="38"/>
      <c r="Q133" s="40"/>
      <c r="R133" s="38"/>
      <c r="S133" s="38"/>
      <c r="T133" s="38"/>
      <c r="U133" s="38"/>
      <c r="V133" s="38"/>
      <c r="W133" s="38"/>
      <c r="AL133" s="41"/>
    </row>
    <row r="134" spans="2:38" s="15" customFormat="1" ht="12.75" x14ac:dyDescent="0.2">
      <c r="B134" s="37"/>
      <c r="C134" s="37"/>
      <c r="D134" s="38"/>
      <c r="E134" s="38"/>
      <c r="F134" s="39"/>
      <c r="G134" s="39"/>
      <c r="H134" s="39"/>
      <c r="I134" s="38"/>
      <c r="K134" s="38"/>
      <c r="L134" s="38"/>
      <c r="M134" s="38"/>
      <c r="N134" s="38"/>
      <c r="O134" s="38"/>
      <c r="Q134" s="40"/>
      <c r="R134" s="38"/>
      <c r="S134" s="38"/>
      <c r="T134" s="38"/>
      <c r="U134" s="38"/>
      <c r="V134" s="38"/>
      <c r="W134" s="38"/>
      <c r="AL134" s="41"/>
    </row>
    <row r="135" spans="2:38" s="15" customFormat="1" ht="12.75" x14ac:dyDescent="0.2">
      <c r="B135" s="37"/>
      <c r="C135" s="37"/>
      <c r="D135" s="38"/>
      <c r="E135" s="38"/>
      <c r="F135" s="39"/>
      <c r="G135" s="39"/>
      <c r="H135" s="39"/>
      <c r="I135" s="38"/>
      <c r="K135" s="38"/>
      <c r="L135" s="38"/>
      <c r="M135" s="38"/>
      <c r="N135" s="38"/>
      <c r="O135" s="38"/>
      <c r="Q135" s="40"/>
      <c r="R135" s="38"/>
      <c r="S135" s="38"/>
      <c r="T135" s="38"/>
      <c r="U135" s="38"/>
      <c r="V135" s="38"/>
      <c r="W135" s="38"/>
      <c r="AL135" s="41"/>
    </row>
    <row r="136" spans="2:38" s="15" customFormat="1" ht="12.75" x14ac:dyDescent="0.2">
      <c r="B136" s="37"/>
      <c r="C136" s="37"/>
      <c r="D136" s="38"/>
      <c r="E136" s="38"/>
      <c r="F136" s="39"/>
      <c r="G136" s="39"/>
      <c r="H136" s="39"/>
      <c r="I136" s="38"/>
      <c r="K136" s="38"/>
      <c r="L136" s="38"/>
      <c r="M136" s="38"/>
      <c r="N136" s="38"/>
      <c r="O136" s="38"/>
      <c r="Q136" s="40"/>
      <c r="R136" s="38"/>
      <c r="S136" s="38"/>
      <c r="T136" s="38"/>
      <c r="U136" s="38"/>
      <c r="V136" s="38"/>
      <c r="W136" s="38"/>
      <c r="AL136" s="41"/>
    </row>
    <row r="137" spans="2:38" s="15" customFormat="1" ht="12.75" x14ac:dyDescent="0.2">
      <c r="B137" s="37"/>
      <c r="C137" s="37"/>
      <c r="D137" s="38"/>
      <c r="E137" s="38"/>
      <c r="F137" s="39"/>
      <c r="G137" s="39"/>
      <c r="H137" s="39"/>
      <c r="I137" s="38"/>
      <c r="K137" s="38"/>
      <c r="L137" s="38"/>
      <c r="M137" s="38"/>
      <c r="N137" s="38"/>
      <c r="O137" s="38"/>
      <c r="Q137" s="40"/>
      <c r="R137" s="38"/>
      <c r="S137" s="38"/>
      <c r="T137" s="38"/>
      <c r="U137" s="38"/>
      <c r="V137" s="38"/>
      <c r="W137" s="38"/>
      <c r="AL137" s="41"/>
    </row>
    <row r="138" spans="2:38" s="15" customFormat="1" ht="12.75" x14ac:dyDescent="0.2">
      <c r="B138" s="37"/>
      <c r="C138" s="37"/>
      <c r="D138" s="38"/>
      <c r="E138" s="38"/>
      <c r="F138" s="39"/>
      <c r="G138" s="39"/>
      <c r="H138" s="39"/>
      <c r="I138" s="38"/>
      <c r="K138" s="38"/>
      <c r="L138" s="38"/>
      <c r="M138" s="38"/>
      <c r="N138" s="38"/>
      <c r="O138" s="38"/>
      <c r="Q138" s="40"/>
      <c r="R138" s="38"/>
      <c r="S138" s="38"/>
      <c r="T138" s="38"/>
      <c r="U138" s="38"/>
      <c r="V138" s="38"/>
      <c r="W138" s="38"/>
      <c r="AL138" s="41"/>
    </row>
    <row r="139" spans="2:38" s="15" customFormat="1" ht="12.75" x14ac:dyDescent="0.2">
      <c r="B139" s="37"/>
      <c r="C139" s="37"/>
      <c r="D139" s="38"/>
      <c r="E139" s="38"/>
      <c r="F139" s="39"/>
      <c r="G139" s="39"/>
      <c r="H139" s="39"/>
      <c r="I139" s="38"/>
      <c r="K139" s="38"/>
      <c r="L139" s="38"/>
      <c r="M139" s="38"/>
      <c r="N139" s="38"/>
      <c r="O139" s="38"/>
      <c r="Q139" s="40"/>
      <c r="R139" s="38"/>
      <c r="S139" s="38"/>
      <c r="T139" s="38"/>
      <c r="U139" s="38"/>
      <c r="V139" s="38"/>
      <c r="W139" s="38"/>
      <c r="AL139" s="41"/>
    </row>
    <row r="140" spans="2:38" s="15" customFormat="1" ht="12.75" x14ac:dyDescent="0.2">
      <c r="B140" s="37"/>
      <c r="C140" s="37"/>
      <c r="D140" s="38"/>
      <c r="E140" s="38"/>
      <c r="F140" s="39"/>
      <c r="G140" s="39"/>
      <c r="H140" s="39"/>
      <c r="I140" s="38"/>
      <c r="K140" s="38"/>
      <c r="L140" s="38"/>
      <c r="M140" s="38"/>
      <c r="N140" s="38"/>
      <c r="O140" s="38"/>
      <c r="Q140" s="40"/>
      <c r="R140" s="38"/>
      <c r="S140" s="38"/>
      <c r="T140" s="38"/>
      <c r="U140" s="38"/>
      <c r="V140" s="38"/>
      <c r="W140" s="38"/>
      <c r="AL140" s="41"/>
    </row>
    <row r="141" spans="2:38" s="15" customFormat="1" ht="12.75" x14ac:dyDescent="0.2">
      <c r="B141" s="37"/>
      <c r="C141" s="37"/>
      <c r="D141" s="38"/>
      <c r="E141" s="38"/>
      <c r="F141" s="39"/>
      <c r="G141" s="39"/>
      <c r="H141" s="39"/>
      <c r="I141" s="38"/>
      <c r="K141" s="38"/>
      <c r="L141" s="38"/>
      <c r="M141" s="38"/>
      <c r="N141" s="38"/>
      <c r="O141" s="38"/>
      <c r="Q141" s="40"/>
      <c r="R141" s="38"/>
      <c r="S141" s="38"/>
      <c r="T141" s="38"/>
      <c r="U141" s="38"/>
      <c r="V141" s="38"/>
      <c r="W141" s="38"/>
      <c r="AL141" s="41"/>
    </row>
    <row r="142" spans="2:38" s="15" customFormat="1" ht="12.75" x14ac:dyDescent="0.2">
      <c r="B142" s="37"/>
      <c r="C142" s="37"/>
      <c r="D142" s="38"/>
      <c r="E142" s="38"/>
      <c r="F142" s="39"/>
      <c r="G142" s="39"/>
      <c r="H142" s="39"/>
      <c r="I142" s="38"/>
      <c r="K142" s="38"/>
      <c r="L142" s="38"/>
      <c r="M142" s="38"/>
      <c r="N142" s="38"/>
      <c r="O142" s="38"/>
      <c r="Q142" s="40"/>
      <c r="R142" s="38"/>
      <c r="S142" s="38"/>
      <c r="T142" s="38"/>
      <c r="U142" s="38"/>
      <c r="V142" s="38"/>
      <c r="W142" s="38"/>
      <c r="AL142" s="41"/>
    </row>
    <row r="143" spans="2:38" s="15" customFormat="1" ht="12.75" x14ac:dyDescent="0.2">
      <c r="B143" s="37"/>
      <c r="C143" s="37"/>
      <c r="D143" s="38"/>
      <c r="E143" s="38"/>
      <c r="F143" s="39"/>
      <c r="G143" s="39"/>
      <c r="H143" s="39"/>
      <c r="I143" s="38"/>
      <c r="K143" s="38"/>
      <c r="L143" s="38"/>
      <c r="M143" s="38"/>
      <c r="N143" s="38"/>
      <c r="O143" s="38"/>
      <c r="Q143" s="40"/>
      <c r="R143" s="38"/>
      <c r="S143" s="38"/>
      <c r="T143" s="38"/>
      <c r="U143" s="38"/>
      <c r="V143" s="38"/>
      <c r="W143" s="38"/>
      <c r="AL143" s="41"/>
    </row>
    <row r="144" spans="2:38" s="15" customFormat="1" ht="12.75" x14ac:dyDescent="0.2">
      <c r="B144" s="37"/>
      <c r="C144" s="37"/>
      <c r="D144" s="38"/>
      <c r="E144" s="38"/>
      <c r="F144" s="39"/>
      <c r="G144" s="39"/>
      <c r="H144" s="39"/>
      <c r="I144" s="38"/>
      <c r="K144" s="38"/>
      <c r="L144" s="38"/>
      <c r="M144" s="38"/>
      <c r="N144" s="38"/>
      <c r="O144" s="38"/>
      <c r="Q144" s="40"/>
      <c r="R144" s="38"/>
      <c r="S144" s="38"/>
      <c r="T144" s="38"/>
      <c r="U144" s="38"/>
      <c r="V144" s="38"/>
      <c r="W144" s="38"/>
      <c r="AL144" s="41"/>
    </row>
    <row r="145" spans="2:38" s="15" customFormat="1" ht="12.75" x14ac:dyDescent="0.2">
      <c r="B145" s="37"/>
      <c r="C145" s="37"/>
      <c r="D145" s="38"/>
      <c r="E145" s="38"/>
      <c r="F145" s="39"/>
      <c r="G145" s="39"/>
      <c r="H145" s="39"/>
      <c r="I145" s="38"/>
      <c r="K145" s="38"/>
      <c r="L145" s="38"/>
      <c r="M145" s="38"/>
      <c r="N145" s="38"/>
      <c r="O145" s="38"/>
      <c r="Q145" s="40"/>
      <c r="R145" s="38"/>
      <c r="S145" s="38"/>
      <c r="T145" s="38"/>
      <c r="U145" s="38"/>
      <c r="V145" s="38"/>
      <c r="W145" s="38"/>
      <c r="AL145" s="41"/>
    </row>
    <row r="146" spans="2:38" s="15" customFormat="1" ht="12.75" x14ac:dyDescent="0.2">
      <c r="B146" s="37"/>
      <c r="C146" s="37"/>
      <c r="D146" s="38"/>
      <c r="E146" s="38"/>
      <c r="F146" s="39"/>
      <c r="G146" s="39"/>
      <c r="H146" s="39"/>
      <c r="I146" s="38"/>
      <c r="K146" s="38"/>
      <c r="L146" s="38"/>
      <c r="M146" s="38"/>
      <c r="N146" s="38"/>
      <c r="O146" s="38"/>
      <c r="Q146" s="40"/>
      <c r="R146" s="38"/>
      <c r="S146" s="38"/>
      <c r="T146" s="38"/>
      <c r="U146" s="38"/>
      <c r="V146" s="38"/>
      <c r="W146" s="38"/>
      <c r="AL146" s="41"/>
    </row>
    <row r="147" spans="2:38" s="15" customFormat="1" ht="12.75" x14ac:dyDescent="0.2">
      <c r="B147" s="37"/>
      <c r="C147" s="37"/>
      <c r="D147" s="38"/>
      <c r="E147" s="38"/>
      <c r="F147" s="39"/>
      <c r="G147" s="39"/>
      <c r="H147" s="39"/>
      <c r="I147" s="38"/>
      <c r="K147" s="38"/>
      <c r="L147" s="38"/>
      <c r="M147" s="38"/>
      <c r="N147" s="38"/>
      <c r="O147" s="38"/>
      <c r="Q147" s="40"/>
      <c r="R147" s="38"/>
      <c r="S147" s="38"/>
      <c r="T147" s="38"/>
      <c r="U147" s="38"/>
      <c r="V147" s="38"/>
      <c r="W147" s="38"/>
      <c r="AL147" s="41"/>
    </row>
    <row r="148" spans="2:38" s="15" customFormat="1" ht="12.75" x14ac:dyDescent="0.2">
      <c r="B148" s="37"/>
      <c r="C148" s="37"/>
      <c r="D148" s="38"/>
      <c r="E148" s="38"/>
      <c r="F148" s="39"/>
      <c r="G148" s="39"/>
      <c r="H148" s="39"/>
      <c r="I148" s="38"/>
      <c r="K148" s="38"/>
      <c r="L148" s="38"/>
      <c r="M148" s="38"/>
      <c r="N148" s="38"/>
      <c r="O148" s="38"/>
      <c r="Q148" s="40"/>
      <c r="R148" s="38"/>
      <c r="S148" s="38"/>
      <c r="T148" s="38"/>
      <c r="U148" s="38"/>
      <c r="V148" s="38"/>
      <c r="W148" s="38"/>
      <c r="AL148" s="41"/>
    </row>
    <row r="149" spans="2:38" s="15" customFormat="1" ht="12.75" x14ac:dyDescent="0.2">
      <c r="B149" s="37"/>
      <c r="C149" s="37"/>
      <c r="D149" s="38"/>
      <c r="E149" s="38"/>
      <c r="F149" s="39"/>
      <c r="G149" s="39"/>
      <c r="H149" s="39"/>
      <c r="I149" s="38"/>
      <c r="K149" s="38"/>
      <c r="L149" s="38"/>
      <c r="M149" s="38"/>
      <c r="N149" s="38"/>
      <c r="O149" s="38"/>
      <c r="Q149" s="40"/>
      <c r="R149" s="38"/>
      <c r="S149" s="38"/>
      <c r="T149" s="38"/>
      <c r="U149" s="38"/>
      <c r="V149" s="38"/>
      <c r="W149" s="38"/>
      <c r="AL149" s="41"/>
    </row>
    <row r="150" spans="2:38" s="15" customFormat="1" ht="12.75" x14ac:dyDescent="0.2">
      <c r="B150" s="37"/>
      <c r="C150" s="37"/>
      <c r="D150" s="38"/>
      <c r="E150" s="38"/>
      <c r="F150" s="39"/>
      <c r="G150" s="39"/>
      <c r="H150" s="39"/>
      <c r="I150" s="38"/>
      <c r="K150" s="38"/>
      <c r="L150" s="38"/>
      <c r="M150" s="38"/>
      <c r="N150" s="38"/>
      <c r="O150" s="38"/>
      <c r="Q150" s="40"/>
      <c r="R150" s="38"/>
      <c r="S150" s="38"/>
      <c r="T150" s="38"/>
      <c r="U150" s="38"/>
      <c r="V150" s="38"/>
      <c r="W150" s="38"/>
      <c r="AL150" s="41"/>
    </row>
    <row r="151" spans="2:38" s="15" customFormat="1" ht="12.75" x14ac:dyDescent="0.2">
      <c r="B151" s="37"/>
      <c r="C151" s="37"/>
      <c r="D151" s="38"/>
      <c r="E151" s="38"/>
      <c r="F151" s="39"/>
      <c r="G151" s="39"/>
      <c r="H151" s="39"/>
      <c r="I151" s="38"/>
      <c r="K151" s="38"/>
      <c r="L151" s="38"/>
      <c r="M151" s="38"/>
      <c r="N151" s="38"/>
      <c r="O151" s="38"/>
      <c r="Q151" s="40"/>
      <c r="R151" s="38"/>
      <c r="S151" s="38"/>
      <c r="T151" s="38"/>
      <c r="U151" s="38"/>
      <c r="V151" s="38"/>
      <c r="W151" s="38"/>
      <c r="AL151" s="41"/>
    </row>
    <row r="152" spans="2:38" s="15" customFormat="1" ht="12.75" x14ac:dyDescent="0.2">
      <c r="B152" s="37"/>
      <c r="C152" s="37"/>
      <c r="D152" s="38"/>
      <c r="E152" s="38"/>
      <c r="F152" s="39"/>
      <c r="G152" s="39"/>
      <c r="H152" s="39"/>
      <c r="I152" s="38"/>
      <c r="K152" s="38"/>
      <c r="L152" s="38"/>
      <c r="M152" s="38"/>
      <c r="N152" s="38"/>
      <c r="O152" s="38"/>
      <c r="Q152" s="40"/>
      <c r="R152" s="38"/>
      <c r="S152" s="38"/>
      <c r="T152" s="38"/>
      <c r="U152" s="38"/>
      <c r="V152" s="38"/>
      <c r="W152" s="38"/>
      <c r="AL152" s="41"/>
    </row>
    <row r="153" spans="2:38" s="15" customFormat="1" ht="12.75" x14ac:dyDescent="0.2">
      <c r="B153" s="37"/>
      <c r="C153" s="37"/>
      <c r="D153" s="38"/>
      <c r="E153" s="38"/>
      <c r="F153" s="39"/>
      <c r="G153" s="39"/>
      <c r="H153" s="39"/>
      <c r="I153" s="38"/>
      <c r="K153" s="38"/>
      <c r="L153" s="38"/>
      <c r="M153" s="38"/>
      <c r="N153" s="38"/>
      <c r="O153" s="38"/>
      <c r="Q153" s="40"/>
      <c r="R153" s="38"/>
      <c r="S153" s="38"/>
      <c r="T153" s="38"/>
      <c r="U153" s="38"/>
      <c r="V153" s="38"/>
      <c r="W153" s="38"/>
      <c r="AL153" s="41"/>
    </row>
    <row r="154" spans="2:38" s="15" customFormat="1" ht="12.75" x14ac:dyDescent="0.2">
      <c r="B154" s="37"/>
      <c r="C154" s="37"/>
      <c r="D154" s="38"/>
      <c r="E154" s="38"/>
      <c r="F154" s="39"/>
      <c r="G154" s="39"/>
      <c r="H154" s="39"/>
      <c r="I154" s="38"/>
      <c r="K154" s="38"/>
      <c r="L154" s="38"/>
      <c r="M154" s="38"/>
      <c r="N154" s="38"/>
      <c r="O154" s="38"/>
      <c r="Q154" s="40"/>
      <c r="R154" s="38"/>
      <c r="S154" s="38"/>
      <c r="T154" s="38"/>
      <c r="U154" s="38"/>
      <c r="V154" s="38"/>
      <c r="W154" s="38"/>
      <c r="AL154" s="41"/>
    </row>
    <row r="155" spans="2:38" s="15" customFormat="1" ht="12.75" x14ac:dyDescent="0.2">
      <c r="B155" s="37"/>
      <c r="C155" s="37"/>
      <c r="D155" s="38"/>
      <c r="E155" s="38"/>
      <c r="F155" s="39"/>
      <c r="G155" s="39"/>
      <c r="H155" s="39"/>
      <c r="I155" s="38"/>
      <c r="K155" s="38"/>
      <c r="L155" s="38"/>
      <c r="M155" s="38"/>
      <c r="N155" s="38"/>
      <c r="O155" s="38"/>
      <c r="Q155" s="40"/>
      <c r="R155" s="38"/>
      <c r="S155" s="38"/>
      <c r="T155" s="38"/>
      <c r="U155" s="38"/>
      <c r="V155" s="38"/>
      <c r="W155" s="38"/>
      <c r="AL155" s="41"/>
    </row>
    <row r="156" spans="2:38" s="15" customFormat="1" ht="12.75" x14ac:dyDescent="0.2">
      <c r="B156" s="37"/>
      <c r="C156" s="37"/>
      <c r="D156" s="38"/>
      <c r="E156" s="38"/>
      <c r="F156" s="39"/>
      <c r="G156" s="39"/>
      <c r="H156" s="39"/>
      <c r="I156" s="38"/>
      <c r="K156" s="38"/>
      <c r="L156" s="38"/>
      <c r="M156" s="38"/>
      <c r="N156" s="38"/>
      <c r="O156" s="38"/>
      <c r="Q156" s="40"/>
      <c r="R156" s="38"/>
      <c r="S156" s="38"/>
      <c r="T156" s="38"/>
      <c r="U156" s="38"/>
      <c r="V156" s="38"/>
      <c r="W156" s="38"/>
      <c r="AL156" s="41"/>
    </row>
    <row r="157" spans="2:38" s="15" customFormat="1" ht="12.75" x14ac:dyDescent="0.2">
      <c r="B157" s="37"/>
      <c r="C157" s="37"/>
      <c r="D157" s="38"/>
      <c r="E157" s="38"/>
      <c r="F157" s="39"/>
      <c r="G157" s="39"/>
      <c r="H157" s="39"/>
      <c r="I157" s="38"/>
      <c r="K157" s="38"/>
      <c r="L157" s="38"/>
      <c r="M157" s="38"/>
      <c r="N157" s="38"/>
      <c r="O157" s="38"/>
      <c r="Q157" s="40"/>
      <c r="R157" s="38"/>
      <c r="S157" s="38"/>
      <c r="T157" s="38"/>
      <c r="U157" s="38"/>
      <c r="V157" s="38"/>
      <c r="W157" s="38"/>
      <c r="AL157" s="41"/>
    </row>
    <row r="158" spans="2:38" s="15" customFormat="1" ht="12.75" x14ac:dyDescent="0.2">
      <c r="B158" s="37"/>
      <c r="C158" s="37"/>
      <c r="D158" s="38"/>
      <c r="E158" s="38"/>
      <c r="F158" s="39"/>
      <c r="G158" s="39"/>
      <c r="H158" s="39"/>
      <c r="I158" s="38"/>
      <c r="K158" s="38"/>
      <c r="L158" s="38"/>
      <c r="M158" s="38"/>
      <c r="N158" s="38"/>
      <c r="O158" s="38"/>
      <c r="Q158" s="40"/>
      <c r="R158" s="38"/>
      <c r="S158" s="38"/>
      <c r="T158" s="38"/>
      <c r="U158" s="38"/>
      <c r="V158" s="38"/>
      <c r="W158" s="38"/>
      <c r="AL158" s="41"/>
    </row>
    <row r="159" spans="2:38" s="15" customFormat="1" ht="12.75" x14ac:dyDescent="0.2">
      <c r="B159" s="37"/>
      <c r="C159" s="37"/>
      <c r="D159" s="38"/>
      <c r="E159" s="38"/>
      <c r="F159" s="39"/>
      <c r="G159" s="39"/>
      <c r="H159" s="39"/>
      <c r="I159" s="38"/>
      <c r="K159" s="38"/>
      <c r="L159" s="38"/>
      <c r="M159" s="38"/>
      <c r="N159" s="38"/>
      <c r="O159" s="38"/>
      <c r="Q159" s="40"/>
      <c r="R159" s="38"/>
      <c r="S159" s="38"/>
      <c r="T159" s="38"/>
      <c r="U159" s="38"/>
      <c r="V159" s="38"/>
      <c r="W159" s="38"/>
      <c r="AL159" s="41"/>
    </row>
    <row r="160" spans="2:38" s="15" customFormat="1" ht="12.75" x14ac:dyDescent="0.2">
      <c r="B160" s="37"/>
      <c r="C160" s="37"/>
      <c r="D160" s="38"/>
      <c r="E160" s="38"/>
      <c r="F160" s="39"/>
      <c r="G160" s="39"/>
      <c r="H160" s="39"/>
      <c r="I160" s="38"/>
      <c r="K160" s="38"/>
      <c r="L160" s="38"/>
      <c r="M160" s="38"/>
      <c r="N160" s="38"/>
      <c r="O160" s="38"/>
      <c r="Q160" s="40"/>
      <c r="R160" s="38"/>
      <c r="S160" s="38"/>
      <c r="T160" s="38"/>
      <c r="U160" s="38"/>
      <c r="V160" s="38"/>
      <c r="W160" s="38"/>
      <c r="AL160" s="41"/>
    </row>
    <row r="161" spans="2:38" s="15" customFormat="1" ht="12.75" x14ac:dyDescent="0.2">
      <c r="B161" s="37"/>
      <c r="C161" s="37"/>
      <c r="D161" s="38"/>
      <c r="E161" s="38"/>
      <c r="F161" s="39"/>
      <c r="G161" s="39"/>
      <c r="H161" s="39"/>
      <c r="I161" s="38"/>
      <c r="K161" s="38"/>
      <c r="L161" s="38"/>
      <c r="M161" s="38"/>
      <c r="N161" s="38"/>
      <c r="O161" s="38"/>
      <c r="Q161" s="40"/>
      <c r="R161" s="38"/>
      <c r="S161" s="38"/>
      <c r="T161" s="38"/>
      <c r="U161" s="38"/>
      <c r="V161" s="38"/>
      <c r="W161" s="38"/>
      <c r="AL161" s="41"/>
    </row>
    <row r="162" spans="2:38" s="15" customFormat="1" ht="12.75" x14ac:dyDescent="0.2">
      <c r="B162" s="37"/>
      <c r="C162" s="37"/>
      <c r="D162" s="38"/>
      <c r="E162" s="38"/>
      <c r="F162" s="39"/>
      <c r="G162" s="39"/>
      <c r="H162" s="39"/>
      <c r="I162" s="38"/>
      <c r="K162" s="38"/>
      <c r="L162" s="38"/>
      <c r="M162" s="38"/>
      <c r="N162" s="38"/>
      <c r="O162" s="38"/>
      <c r="Q162" s="40"/>
      <c r="R162" s="38"/>
      <c r="S162" s="38"/>
      <c r="T162" s="38"/>
      <c r="U162" s="38"/>
      <c r="V162" s="38"/>
      <c r="W162" s="38"/>
      <c r="AL162" s="41"/>
    </row>
    <row r="163" spans="2:38" s="15" customFormat="1" ht="12.75" x14ac:dyDescent="0.2">
      <c r="B163" s="37"/>
      <c r="C163" s="37"/>
      <c r="D163" s="38"/>
      <c r="E163" s="38"/>
      <c r="F163" s="39"/>
      <c r="G163" s="39"/>
      <c r="H163" s="39"/>
      <c r="I163" s="38"/>
      <c r="K163" s="38"/>
      <c r="L163" s="38"/>
      <c r="M163" s="38"/>
      <c r="N163" s="38"/>
      <c r="O163" s="38"/>
      <c r="Q163" s="40"/>
      <c r="R163" s="38"/>
      <c r="S163" s="38"/>
      <c r="T163" s="38"/>
      <c r="U163" s="38"/>
      <c r="V163" s="38"/>
      <c r="W163" s="38"/>
      <c r="AL163" s="41"/>
    </row>
    <row r="164" spans="2:38" s="15" customFormat="1" ht="12.75" x14ac:dyDescent="0.2">
      <c r="B164" s="37"/>
      <c r="C164" s="37"/>
      <c r="D164" s="38"/>
      <c r="E164" s="38"/>
      <c r="F164" s="39"/>
      <c r="G164" s="39"/>
      <c r="H164" s="39"/>
      <c r="I164" s="38"/>
      <c r="K164" s="38"/>
      <c r="L164" s="38"/>
      <c r="M164" s="38"/>
      <c r="N164" s="38"/>
      <c r="O164" s="38"/>
      <c r="Q164" s="40"/>
      <c r="R164" s="38"/>
      <c r="S164" s="38"/>
      <c r="T164" s="38"/>
      <c r="U164" s="38"/>
      <c r="V164" s="38"/>
      <c r="W164" s="38"/>
      <c r="AL164" s="41"/>
    </row>
    <row r="165" spans="2:38" s="15" customFormat="1" ht="12.75" x14ac:dyDescent="0.2">
      <c r="B165" s="37"/>
      <c r="C165" s="37"/>
      <c r="D165" s="38"/>
      <c r="E165" s="38"/>
      <c r="F165" s="39"/>
      <c r="G165" s="39"/>
      <c r="H165" s="39"/>
      <c r="I165" s="38"/>
      <c r="K165" s="38"/>
      <c r="L165" s="38"/>
      <c r="M165" s="38"/>
      <c r="N165" s="38"/>
      <c r="O165" s="38"/>
      <c r="Q165" s="40"/>
      <c r="R165" s="38"/>
      <c r="S165" s="38"/>
      <c r="T165" s="38"/>
      <c r="U165" s="38"/>
      <c r="V165" s="38"/>
      <c r="W165" s="38"/>
      <c r="AL165" s="41"/>
    </row>
    <row r="166" spans="2:38" s="15" customFormat="1" ht="12.75" x14ac:dyDescent="0.2">
      <c r="B166" s="37"/>
      <c r="C166" s="37"/>
      <c r="D166" s="38"/>
      <c r="E166" s="38"/>
      <c r="F166" s="39"/>
      <c r="G166" s="39"/>
      <c r="H166" s="39"/>
      <c r="I166" s="38"/>
      <c r="K166" s="38"/>
      <c r="L166" s="38"/>
      <c r="M166" s="38"/>
      <c r="N166" s="38"/>
      <c r="O166" s="38"/>
      <c r="Q166" s="40"/>
      <c r="R166" s="38"/>
      <c r="S166" s="38"/>
      <c r="T166" s="38"/>
      <c r="U166" s="38"/>
      <c r="V166" s="38"/>
      <c r="W166" s="38"/>
      <c r="AL166" s="41"/>
    </row>
    <row r="167" spans="2:38" s="15" customFormat="1" ht="12.75" x14ac:dyDescent="0.2">
      <c r="B167" s="37"/>
      <c r="C167" s="37"/>
      <c r="D167" s="38"/>
      <c r="E167" s="38"/>
      <c r="F167" s="39"/>
      <c r="G167" s="39"/>
      <c r="H167" s="39"/>
      <c r="I167" s="38"/>
      <c r="K167" s="38"/>
      <c r="L167" s="38"/>
      <c r="M167" s="38"/>
      <c r="N167" s="38"/>
      <c r="O167" s="38"/>
      <c r="Q167" s="40"/>
      <c r="R167" s="38"/>
      <c r="S167" s="38"/>
      <c r="T167" s="38"/>
      <c r="U167" s="38"/>
      <c r="V167" s="38"/>
      <c r="W167" s="38"/>
      <c r="AL167" s="41"/>
    </row>
    <row r="168" spans="2:38" s="15" customFormat="1" ht="12.75" x14ac:dyDescent="0.2">
      <c r="B168" s="37"/>
      <c r="C168" s="37"/>
      <c r="D168" s="38"/>
      <c r="E168" s="38"/>
      <c r="F168" s="39"/>
      <c r="G168" s="39"/>
      <c r="H168" s="39"/>
      <c r="I168" s="38"/>
      <c r="K168" s="38"/>
      <c r="L168" s="38"/>
      <c r="M168" s="38"/>
      <c r="N168" s="38"/>
      <c r="O168" s="38"/>
      <c r="Q168" s="40"/>
      <c r="R168" s="38"/>
      <c r="S168" s="38"/>
      <c r="T168" s="38"/>
      <c r="U168" s="38"/>
      <c r="V168" s="38"/>
      <c r="W168" s="38"/>
      <c r="AL168" s="41"/>
    </row>
    <row r="169" spans="2:38" s="15" customFormat="1" ht="12.75" x14ac:dyDescent="0.2">
      <c r="B169" s="37"/>
      <c r="C169" s="37"/>
      <c r="D169" s="38"/>
      <c r="E169" s="38"/>
      <c r="F169" s="39"/>
      <c r="G169" s="39"/>
      <c r="H169" s="39"/>
      <c r="I169" s="38"/>
      <c r="K169" s="38"/>
      <c r="L169" s="38"/>
      <c r="M169" s="38"/>
      <c r="N169" s="38"/>
      <c r="O169" s="38"/>
      <c r="Q169" s="40"/>
      <c r="R169" s="38"/>
      <c r="S169" s="38"/>
      <c r="T169" s="38"/>
      <c r="U169" s="38"/>
      <c r="V169" s="38"/>
      <c r="W169" s="38"/>
      <c r="AL169" s="41"/>
    </row>
    <row r="170" spans="2:38" s="15" customFormat="1" ht="12.75" x14ac:dyDescent="0.2">
      <c r="B170" s="37"/>
      <c r="C170" s="37"/>
      <c r="D170" s="38"/>
      <c r="E170" s="38"/>
      <c r="F170" s="39"/>
      <c r="G170" s="39"/>
      <c r="H170" s="39"/>
      <c r="I170" s="38"/>
      <c r="K170" s="38"/>
      <c r="L170" s="38"/>
      <c r="M170" s="38"/>
      <c r="N170" s="38"/>
      <c r="O170" s="38"/>
      <c r="Q170" s="40"/>
      <c r="R170" s="38"/>
      <c r="S170" s="38"/>
      <c r="T170" s="38"/>
      <c r="U170" s="38"/>
      <c r="V170" s="38"/>
      <c r="W170" s="38"/>
      <c r="AL170" s="41"/>
    </row>
    <row r="171" spans="2:38" s="15" customFormat="1" ht="12.75" x14ac:dyDescent="0.2">
      <c r="B171" s="37"/>
      <c r="C171" s="37"/>
      <c r="D171" s="38"/>
      <c r="E171" s="38"/>
      <c r="F171" s="39"/>
      <c r="G171" s="39"/>
      <c r="H171" s="39"/>
      <c r="I171" s="38"/>
      <c r="K171" s="38"/>
      <c r="L171" s="38"/>
      <c r="M171" s="38"/>
      <c r="N171" s="38"/>
      <c r="O171" s="38"/>
      <c r="Q171" s="40"/>
      <c r="R171" s="38"/>
      <c r="S171" s="38"/>
      <c r="T171" s="38"/>
      <c r="U171" s="38"/>
      <c r="V171" s="38"/>
      <c r="W171" s="38"/>
      <c r="AL171" s="41"/>
    </row>
    <row r="172" spans="2:38" s="15" customFormat="1" ht="12.75" x14ac:dyDescent="0.2">
      <c r="B172" s="37"/>
      <c r="C172" s="37"/>
      <c r="D172" s="38"/>
      <c r="E172" s="38"/>
      <c r="F172" s="39"/>
      <c r="G172" s="39"/>
      <c r="H172" s="39"/>
      <c r="I172" s="38"/>
      <c r="K172" s="38"/>
      <c r="L172" s="38"/>
      <c r="M172" s="38"/>
      <c r="N172" s="38"/>
      <c r="O172" s="38"/>
      <c r="Q172" s="40"/>
      <c r="R172" s="38"/>
      <c r="S172" s="38"/>
      <c r="T172" s="38"/>
      <c r="U172" s="38"/>
      <c r="V172" s="38"/>
      <c r="W172" s="38"/>
      <c r="AL172" s="41"/>
    </row>
    <row r="173" spans="2:38" s="15" customFormat="1" ht="12.75" x14ac:dyDescent="0.2">
      <c r="B173" s="37"/>
      <c r="C173" s="37"/>
      <c r="D173" s="38"/>
      <c r="E173" s="38"/>
      <c r="F173" s="39"/>
      <c r="G173" s="39"/>
      <c r="H173" s="39"/>
      <c r="I173" s="38"/>
      <c r="K173" s="38"/>
      <c r="L173" s="38"/>
      <c r="M173" s="38"/>
      <c r="N173" s="38"/>
      <c r="O173" s="38"/>
      <c r="Q173" s="40"/>
      <c r="R173" s="38"/>
      <c r="S173" s="38"/>
      <c r="T173" s="38"/>
      <c r="U173" s="38"/>
      <c r="V173" s="38"/>
      <c r="W173" s="38"/>
      <c r="AL173" s="41"/>
    </row>
    <row r="174" spans="2:38" s="15" customFormat="1" ht="12.75" x14ac:dyDescent="0.2">
      <c r="B174" s="37"/>
      <c r="C174" s="37"/>
      <c r="D174" s="38"/>
      <c r="E174" s="38"/>
      <c r="F174" s="39"/>
      <c r="G174" s="39"/>
      <c r="H174" s="39"/>
      <c r="I174" s="38"/>
      <c r="K174" s="38"/>
      <c r="L174" s="38"/>
      <c r="M174" s="38"/>
      <c r="N174" s="38"/>
      <c r="O174" s="38"/>
      <c r="Q174" s="40"/>
      <c r="R174" s="38"/>
      <c r="S174" s="38"/>
      <c r="T174" s="38"/>
      <c r="U174" s="38"/>
      <c r="V174" s="38"/>
      <c r="W174" s="38"/>
      <c r="AL174" s="41"/>
    </row>
    <row r="175" spans="2:38" s="15" customFormat="1" ht="12.75" x14ac:dyDescent="0.2">
      <c r="B175" s="37"/>
      <c r="C175" s="37"/>
      <c r="D175" s="38"/>
      <c r="E175" s="38"/>
      <c r="F175" s="39"/>
      <c r="G175" s="39"/>
      <c r="H175" s="39"/>
      <c r="I175" s="38"/>
      <c r="K175" s="38"/>
      <c r="L175" s="38"/>
      <c r="M175" s="38"/>
      <c r="N175" s="38"/>
      <c r="O175" s="38"/>
      <c r="Q175" s="40"/>
      <c r="R175" s="38"/>
      <c r="S175" s="38"/>
      <c r="T175" s="38"/>
      <c r="U175" s="38"/>
      <c r="V175" s="38"/>
      <c r="W175" s="38"/>
      <c r="AL175" s="41"/>
    </row>
    <row r="176" spans="2:38" s="15" customFormat="1" ht="12.75" x14ac:dyDescent="0.2">
      <c r="B176" s="37"/>
      <c r="C176" s="37"/>
      <c r="D176" s="38"/>
      <c r="E176" s="38"/>
      <c r="F176" s="39"/>
      <c r="G176" s="39"/>
      <c r="H176" s="39"/>
      <c r="I176" s="38"/>
      <c r="K176" s="38"/>
      <c r="L176" s="38"/>
      <c r="M176" s="38"/>
      <c r="N176" s="38"/>
      <c r="O176" s="38"/>
      <c r="Q176" s="40"/>
      <c r="R176" s="38"/>
      <c r="S176" s="38"/>
      <c r="T176" s="38"/>
      <c r="U176" s="38"/>
      <c r="V176" s="38"/>
      <c r="W176" s="38"/>
      <c r="AL176" s="41"/>
    </row>
    <row r="177" spans="2:38" s="15" customFormat="1" ht="12.75" x14ac:dyDescent="0.2">
      <c r="B177" s="37"/>
      <c r="C177" s="37"/>
      <c r="D177" s="38"/>
      <c r="E177" s="38"/>
      <c r="F177" s="39"/>
      <c r="G177" s="39"/>
      <c r="H177" s="39"/>
      <c r="I177" s="38"/>
      <c r="K177" s="38"/>
      <c r="L177" s="38"/>
      <c r="M177" s="38"/>
      <c r="N177" s="38"/>
      <c r="O177" s="38"/>
      <c r="Q177" s="40"/>
      <c r="R177" s="38"/>
      <c r="S177" s="38"/>
      <c r="T177" s="38"/>
      <c r="U177" s="38"/>
      <c r="V177" s="38"/>
      <c r="W177" s="38"/>
      <c r="AL177" s="41"/>
    </row>
    <row r="178" spans="2:38" s="15" customFormat="1" ht="12.75" x14ac:dyDescent="0.2">
      <c r="B178" s="37"/>
      <c r="C178" s="37"/>
      <c r="D178" s="38"/>
      <c r="E178" s="38"/>
      <c r="F178" s="39"/>
      <c r="G178" s="39"/>
      <c r="H178" s="39"/>
      <c r="I178" s="38"/>
      <c r="K178" s="38"/>
      <c r="L178" s="38"/>
      <c r="M178" s="38"/>
      <c r="N178" s="38"/>
      <c r="O178" s="38"/>
      <c r="Q178" s="40"/>
      <c r="R178" s="38"/>
      <c r="S178" s="38"/>
      <c r="T178" s="38"/>
      <c r="U178" s="38"/>
      <c r="V178" s="38"/>
      <c r="W178" s="38"/>
      <c r="AL178" s="41"/>
    </row>
    <row r="179" spans="2:38" s="15" customFormat="1" ht="12.75" x14ac:dyDescent="0.2">
      <c r="B179" s="37"/>
      <c r="C179" s="37"/>
      <c r="D179" s="38"/>
      <c r="E179" s="38"/>
      <c r="F179" s="39"/>
      <c r="G179" s="39"/>
      <c r="H179" s="39"/>
      <c r="I179" s="38"/>
      <c r="K179" s="38"/>
      <c r="L179" s="38"/>
      <c r="M179" s="38"/>
      <c r="N179" s="38"/>
      <c r="O179" s="38"/>
      <c r="Q179" s="40"/>
      <c r="R179" s="38"/>
      <c r="S179" s="38"/>
      <c r="T179" s="38"/>
      <c r="U179" s="38"/>
      <c r="V179" s="38"/>
      <c r="W179" s="38"/>
      <c r="AL179" s="41"/>
    </row>
    <row r="180" spans="2:38" s="15" customFormat="1" ht="12.75" x14ac:dyDescent="0.2">
      <c r="B180" s="37"/>
      <c r="C180" s="37"/>
      <c r="D180" s="38"/>
      <c r="E180" s="38"/>
      <c r="F180" s="39"/>
      <c r="G180" s="39"/>
      <c r="H180" s="39"/>
      <c r="I180" s="38"/>
      <c r="K180" s="38"/>
      <c r="L180" s="38"/>
      <c r="M180" s="38"/>
      <c r="N180" s="38"/>
      <c r="O180" s="38"/>
      <c r="Q180" s="40"/>
      <c r="R180" s="38"/>
      <c r="S180" s="38"/>
      <c r="T180" s="38"/>
      <c r="U180" s="38"/>
      <c r="V180" s="38"/>
      <c r="W180" s="38"/>
      <c r="AL180" s="41"/>
    </row>
    <row r="181" spans="2:38" s="15" customFormat="1" ht="12.75" x14ac:dyDescent="0.2">
      <c r="B181" s="37"/>
      <c r="C181" s="37"/>
      <c r="D181" s="38"/>
      <c r="E181" s="38"/>
      <c r="F181" s="39"/>
      <c r="G181" s="39"/>
      <c r="H181" s="39"/>
      <c r="I181" s="38"/>
      <c r="K181" s="38"/>
      <c r="L181" s="38"/>
      <c r="M181" s="38"/>
      <c r="N181" s="38"/>
      <c r="O181" s="38"/>
      <c r="Q181" s="40"/>
      <c r="R181" s="38"/>
      <c r="S181" s="38"/>
      <c r="T181" s="38"/>
      <c r="U181" s="38"/>
      <c r="V181" s="38"/>
      <c r="W181" s="38"/>
      <c r="AL181" s="41"/>
    </row>
    <row r="182" spans="2:38" s="15" customFormat="1" ht="12.75" x14ac:dyDescent="0.2">
      <c r="B182" s="37"/>
      <c r="C182" s="37"/>
      <c r="D182" s="38"/>
      <c r="E182" s="38"/>
      <c r="F182" s="39"/>
      <c r="G182" s="39"/>
      <c r="H182" s="39"/>
      <c r="I182" s="38"/>
      <c r="K182" s="38"/>
      <c r="L182" s="38"/>
      <c r="M182" s="38"/>
      <c r="N182" s="38"/>
      <c r="O182" s="38"/>
      <c r="Q182" s="40"/>
      <c r="R182" s="38"/>
      <c r="S182" s="38"/>
      <c r="T182" s="38"/>
      <c r="U182" s="38"/>
      <c r="V182" s="38"/>
      <c r="W182" s="38"/>
      <c r="AL182" s="41"/>
    </row>
    <row r="183" spans="2:38" s="15" customFormat="1" ht="12.75" x14ac:dyDescent="0.2">
      <c r="B183" s="37"/>
      <c r="C183" s="37"/>
      <c r="D183" s="38"/>
      <c r="E183" s="38"/>
      <c r="F183" s="39"/>
      <c r="G183" s="39"/>
      <c r="H183" s="39"/>
      <c r="I183" s="38"/>
      <c r="K183" s="38"/>
      <c r="L183" s="38"/>
      <c r="M183" s="38"/>
      <c r="N183" s="38"/>
      <c r="O183" s="38"/>
      <c r="Q183" s="40"/>
      <c r="R183" s="38"/>
      <c r="S183" s="38"/>
      <c r="T183" s="38"/>
      <c r="U183" s="38"/>
      <c r="V183" s="38"/>
      <c r="W183" s="38"/>
      <c r="AL183" s="41"/>
    </row>
    <row r="184" spans="2:38" s="15" customFormat="1" ht="12.75" x14ac:dyDescent="0.2">
      <c r="B184" s="37"/>
      <c r="C184" s="37"/>
      <c r="D184" s="38"/>
      <c r="E184" s="38"/>
      <c r="F184" s="39"/>
      <c r="G184" s="39"/>
      <c r="H184" s="39"/>
      <c r="I184" s="38"/>
      <c r="K184" s="38"/>
      <c r="L184" s="38"/>
      <c r="M184" s="38"/>
      <c r="N184" s="38"/>
      <c r="O184" s="38"/>
      <c r="Q184" s="40"/>
      <c r="R184" s="38"/>
      <c r="S184" s="38"/>
      <c r="T184" s="38"/>
      <c r="U184" s="38"/>
      <c r="V184" s="38"/>
      <c r="W184" s="38"/>
      <c r="AL184" s="41"/>
    </row>
    <row r="185" spans="2:38" s="15" customFormat="1" ht="12.75" x14ac:dyDescent="0.2">
      <c r="B185" s="37"/>
      <c r="C185" s="37"/>
      <c r="D185" s="38"/>
      <c r="E185" s="38"/>
      <c r="F185" s="39"/>
      <c r="G185" s="39"/>
      <c r="H185" s="39"/>
      <c r="I185" s="38"/>
      <c r="K185" s="38"/>
      <c r="L185" s="38"/>
      <c r="M185" s="38"/>
      <c r="N185" s="38"/>
      <c r="O185" s="38"/>
      <c r="Q185" s="40"/>
      <c r="R185" s="38"/>
      <c r="S185" s="38"/>
      <c r="T185" s="38"/>
      <c r="U185" s="38"/>
      <c r="V185" s="38"/>
      <c r="W185" s="38"/>
      <c r="AL185" s="41"/>
    </row>
    <row r="186" spans="2:38" s="15" customFormat="1" ht="12.75" x14ac:dyDescent="0.2">
      <c r="B186" s="37"/>
      <c r="C186" s="37"/>
      <c r="D186" s="38"/>
      <c r="E186" s="38"/>
      <c r="F186" s="39"/>
      <c r="G186" s="39"/>
      <c r="H186" s="39"/>
      <c r="I186" s="38"/>
      <c r="K186" s="38"/>
      <c r="L186" s="38"/>
      <c r="M186" s="38"/>
      <c r="N186" s="38"/>
      <c r="O186" s="38"/>
      <c r="Q186" s="40"/>
      <c r="R186" s="38"/>
      <c r="S186" s="38"/>
      <c r="T186" s="38"/>
      <c r="U186" s="38"/>
      <c r="V186" s="38"/>
      <c r="W186" s="38"/>
      <c r="AL186" s="41"/>
    </row>
    <row r="187" spans="2:38" s="15" customFormat="1" ht="12.75" x14ac:dyDescent="0.2">
      <c r="B187" s="37"/>
      <c r="C187" s="37"/>
      <c r="D187" s="38"/>
      <c r="E187" s="38"/>
      <c r="F187" s="39"/>
      <c r="G187" s="39"/>
      <c r="H187" s="39"/>
      <c r="I187" s="38"/>
      <c r="K187" s="38"/>
      <c r="L187" s="38"/>
      <c r="M187" s="38"/>
      <c r="N187" s="38"/>
      <c r="O187" s="38"/>
      <c r="Q187" s="40"/>
      <c r="R187" s="38"/>
      <c r="S187" s="38"/>
      <c r="T187" s="38"/>
      <c r="U187" s="38"/>
      <c r="V187" s="38"/>
      <c r="W187" s="38"/>
      <c r="AL187" s="41"/>
    </row>
    <row r="188" spans="2:38" s="15" customFormat="1" ht="12.75" x14ac:dyDescent="0.2">
      <c r="B188" s="37"/>
      <c r="C188" s="37"/>
      <c r="D188" s="38"/>
      <c r="E188" s="38"/>
      <c r="F188" s="39"/>
      <c r="G188" s="39"/>
      <c r="H188" s="39"/>
      <c r="I188" s="38"/>
      <c r="K188" s="38"/>
      <c r="L188" s="38"/>
      <c r="M188" s="38"/>
      <c r="N188" s="38"/>
      <c r="O188" s="38"/>
      <c r="Q188" s="40"/>
      <c r="R188" s="38"/>
      <c r="S188" s="38"/>
      <c r="T188" s="38"/>
      <c r="U188" s="38"/>
      <c r="V188" s="38"/>
      <c r="W188" s="38"/>
      <c r="AL188" s="41"/>
    </row>
    <row r="189" spans="2:38" s="15" customFormat="1" ht="12.75" x14ac:dyDescent="0.2">
      <c r="B189" s="37"/>
      <c r="C189" s="37"/>
      <c r="D189" s="38"/>
      <c r="E189" s="38"/>
      <c r="F189" s="39"/>
      <c r="G189" s="39"/>
      <c r="H189" s="39"/>
      <c r="I189" s="38"/>
      <c r="K189" s="38"/>
      <c r="L189" s="38"/>
      <c r="M189" s="38"/>
      <c r="N189" s="38"/>
      <c r="O189" s="38"/>
      <c r="Q189" s="40"/>
      <c r="R189" s="38"/>
      <c r="S189" s="38"/>
      <c r="T189" s="38"/>
      <c r="U189" s="38"/>
      <c r="V189" s="38"/>
      <c r="W189" s="38"/>
      <c r="AL189" s="41"/>
    </row>
    <row r="190" spans="2:38" s="15" customFormat="1" ht="12.75" x14ac:dyDescent="0.2">
      <c r="B190" s="37"/>
      <c r="C190" s="37"/>
      <c r="D190" s="38"/>
      <c r="E190" s="38"/>
      <c r="F190" s="39"/>
      <c r="G190" s="39"/>
      <c r="H190" s="39"/>
      <c r="I190" s="38"/>
      <c r="K190" s="38"/>
      <c r="L190" s="38"/>
      <c r="M190" s="38"/>
      <c r="N190" s="38"/>
      <c r="O190" s="38"/>
      <c r="Q190" s="40"/>
      <c r="R190" s="38"/>
      <c r="S190" s="38"/>
      <c r="T190" s="38"/>
      <c r="U190" s="38"/>
      <c r="V190" s="38"/>
      <c r="W190" s="38"/>
      <c r="AL190" s="42"/>
    </row>
    <row r="191" spans="2:38" s="15" customFormat="1" ht="12.75" x14ac:dyDescent="0.2">
      <c r="B191" s="37"/>
      <c r="C191" s="37"/>
      <c r="D191" s="38"/>
      <c r="E191" s="38"/>
      <c r="F191" s="39"/>
      <c r="G191" s="39"/>
      <c r="H191" s="39"/>
      <c r="I191" s="38"/>
      <c r="K191" s="38"/>
      <c r="L191" s="38"/>
      <c r="M191" s="38"/>
      <c r="N191" s="38"/>
      <c r="O191" s="38"/>
      <c r="Q191" s="40"/>
      <c r="R191" s="38"/>
      <c r="S191" s="38"/>
      <c r="T191" s="38"/>
      <c r="U191" s="38"/>
      <c r="V191" s="38"/>
      <c r="W191" s="38"/>
      <c r="AL191" s="42"/>
    </row>
    <row r="192" spans="2:38" s="15" customFormat="1" ht="12.75" x14ac:dyDescent="0.2">
      <c r="B192" s="37"/>
      <c r="C192" s="37"/>
      <c r="D192" s="38"/>
      <c r="E192" s="38"/>
      <c r="F192" s="39"/>
      <c r="G192" s="39"/>
      <c r="H192" s="39"/>
      <c r="I192" s="38"/>
      <c r="K192" s="38"/>
      <c r="L192" s="38"/>
      <c r="M192" s="38"/>
      <c r="N192" s="38"/>
      <c r="O192" s="38"/>
      <c r="Q192" s="40"/>
      <c r="R192" s="38"/>
      <c r="S192" s="38"/>
      <c r="T192" s="38"/>
      <c r="U192" s="38"/>
      <c r="V192" s="38"/>
      <c r="W192" s="38"/>
      <c r="AL192" s="42"/>
    </row>
    <row r="193" spans="2:38" s="15" customFormat="1" ht="12.75" x14ac:dyDescent="0.2">
      <c r="B193" s="37"/>
      <c r="C193" s="37"/>
      <c r="D193" s="38"/>
      <c r="E193" s="38"/>
      <c r="F193" s="39"/>
      <c r="G193" s="39"/>
      <c r="H193" s="39"/>
      <c r="I193" s="38"/>
      <c r="K193" s="38"/>
      <c r="L193" s="38"/>
      <c r="M193" s="38"/>
      <c r="N193" s="38"/>
      <c r="O193" s="38"/>
      <c r="Q193" s="40"/>
      <c r="R193" s="38"/>
      <c r="S193" s="38"/>
      <c r="T193" s="38"/>
      <c r="U193" s="38"/>
      <c r="V193" s="38"/>
      <c r="W193" s="38"/>
      <c r="AL193" s="42"/>
    </row>
    <row r="194" spans="2:38" s="15" customFormat="1" ht="12.75" x14ac:dyDescent="0.2">
      <c r="B194" s="37"/>
      <c r="C194" s="37"/>
      <c r="D194" s="38"/>
      <c r="E194" s="38"/>
      <c r="F194" s="39"/>
      <c r="G194" s="39"/>
      <c r="H194" s="39"/>
      <c r="I194" s="38"/>
      <c r="K194" s="38"/>
      <c r="L194" s="38"/>
      <c r="M194" s="38"/>
      <c r="N194" s="38"/>
      <c r="O194" s="38"/>
      <c r="Q194" s="40"/>
      <c r="R194" s="38"/>
      <c r="S194" s="38"/>
      <c r="T194" s="38"/>
      <c r="U194" s="38"/>
      <c r="V194" s="38"/>
      <c r="W194" s="38"/>
      <c r="AL194" s="42"/>
    </row>
    <row r="195" spans="2:38" s="15" customFormat="1" ht="12.75" x14ac:dyDescent="0.2">
      <c r="B195" s="37"/>
      <c r="C195" s="37"/>
      <c r="D195" s="38"/>
      <c r="E195" s="38"/>
      <c r="F195" s="39"/>
      <c r="G195" s="39"/>
      <c r="H195" s="39"/>
      <c r="I195" s="38"/>
      <c r="K195" s="38"/>
      <c r="L195" s="38"/>
      <c r="M195" s="38"/>
      <c r="N195" s="38"/>
      <c r="O195" s="38"/>
      <c r="Q195" s="40"/>
      <c r="R195" s="38"/>
      <c r="S195" s="38"/>
      <c r="T195" s="38"/>
      <c r="U195" s="38"/>
      <c r="V195" s="38"/>
      <c r="W195" s="38"/>
      <c r="AL195" s="42"/>
    </row>
    <row r="196" spans="2:38" s="15" customFormat="1" ht="12.75" x14ac:dyDescent="0.2">
      <c r="B196" s="37"/>
      <c r="C196" s="37"/>
      <c r="D196" s="38"/>
      <c r="E196" s="38"/>
      <c r="F196" s="39"/>
      <c r="G196" s="39"/>
      <c r="H196" s="39"/>
      <c r="I196" s="38"/>
      <c r="K196" s="38"/>
      <c r="L196" s="38"/>
      <c r="M196" s="38"/>
      <c r="N196" s="38"/>
      <c r="O196" s="38"/>
      <c r="Q196" s="40"/>
      <c r="R196" s="38"/>
      <c r="S196" s="38"/>
      <c r="T196" s="38"/>
      <c r="U196" s="38"/>
      <c r="V196" s="38"/>
      <c r="W196" s="38"/>
      <c r="AL196" s="42"/>
    </row>
    <row r="197" spans="2:38" x14ac:dyDescent="0.25">
      <c r="Q197" s="9"/>
    </row>
    <row r="198" spans="2:38" x14ac:dyDescent="0.25">
      <c r="Q198" s="9"/>
    </row>
    <row r="199" spans="2:38" x14ac:dyDescent="0.25">
      <c r="Q199" s="9"/>
    </row>
    <row r="200" spans="2:38" x14ac:dyDescent="0.25">
      <c r="Q200" s="9"/>
    </row>
    <row r="201" spans="2:38" x14ac:dyDescent="0.25">
      <c r="Q201" s="9"/>
    </row>
    <row r="202" spans="2:38" x14ac:dyDescent="0.25">
      <c r="Q202" s="9"/>
    </row>
    <row r="203" spans="2:38" x14ac:dyDescent="0.25">
      <c r="Q203" s="9"/>
    </row>
    <row r="204" spans="2:38" x14ac:dyDescent="0.25">
      <c r="Q204" s="9"/>
    </row>
    <row r="205" spans="2:38" x14ac:dyDescent="0.25">
      <c r="Q205" s="9"/>
    </row>
    <row r="206" spans="2:38" x14ac:dyDescent="0.25">
      <c r="Q206" s="9"/>
    </row>
    <row r="207" spans="2:38" x14ac:dyDescent="0.25">
      <c r="Q207" s="9"/>
    </row>
    <row r="208" spans="2:38" x14ac:dyDescent="0.25">
      <c r="Q208" s="9"/>
    </row>
    <row r="209" spans="17:17" x14ac:dyDescent="0.25">
      <c r="Q209" s="9"/>
    </row>
    <row r="210" spans="17:17" x14ac:dyDescent="0.25">
      <c r="Q210" s="9"/>
    </row>
    <row r="211" spans="17:17" x14ac:dyDescent="0.25">
      <c r="Q211" s="9"/>
    </row>
    <row r="212" spans="17:17" x14ac:dyDescent="0.25">
      <c r="Q212" s="9"/>
    </row>
    <row r="213" spans="17:17" x14ac:dyDescent="0.25">
      <c r="Q213" s="9"/>
    </row>
    <row r="214" spans="17:17" x14ac:dyDescent="0.25">
      <c r="Q214" s="9"/>
    </row>
    <row r="215" spans="17:17" x14ac:dyDescent="0.25">
      <c r="Q215" s="9"/>
    </row>
    <row r="216" spans="17:17" x14ac:dyDescent="0.25">
      <c r="Q216" s="9"/>
    </row>
    <row r="217" spans="17:17" x14ac:dyDescent="0.25">
      <c r="Q217" s="9"/>
    </row>
    <row r="218" spans="17:17" x14ac:dyDescent="0.25">
      <c r="Q218" s="9"/>
    </row>
    <row r="219" spans="17:17" x14ac:dyDescent="0.25">
      <c r="Q219" s="9"/>
    </row>
    <row r="220" spans="17:17" x14ac:dyDescent="0.25">
      <c r="Q220" s="9"/>
    </row>
    <row r="221" spans="17:17" x14ac:dyDescent="0.25">
      <c r="Q221" s="9"/>
    </row>
    <row r="222" spans="17:17" x14ac:dyDescent="0.25">
      <c r="Q222" s="9"/>
    </row>
    <row r="223" spans="17:17" x14ac:dyDescent="0.25">
      <c r="Q223" s="9"/>
    </row>
    <row r="224" spans="17:17" x14ac:dyDescent="0.25">
      <c r="Q224" s="9"/>
    </row>
    <row r="225" spans="17:17" x14ac:dyDescent="0.25">
      <c r="Q225" s="9"/>
    </row>
    <row r="226" spans="17:17" x14ac:dyDescent="0.25">
      <c r="Q226" s="9"/>
    </row>
    <row r="227" spans="17:17" x14ac:dyDescent="0.25">
      <c r="Q227" s="9"/>
    </row>
    <row r="228" spans="17:17" x14ac:dyDescent="0.25">
      <c r="Q228" s="9"/>
    </row>
    <row r="229" spans="17:17" x14ac:dyDescent="0.25">
      <c r="Q229" s="9"/>
    </row>
    <row r="230" spans="17:17" x14ac:dyDescent="0.25">
      <c r="Q230" s="9"/>
    </row>
    <row r="231" spans="17:17" x14ac:dyDescent="0.25">
      <c r="Q231" s="9"/>
    </row>
    <row r="232" spans="17:17" x14ac:dyDescent="0.25">
      <c r="Q232" s="9"/>
    </row>
    <row r="233" spans="17:17" x14ac:dyDescent="0.25">
      <c r="Q233" s="9"/>
    </row>
    <row r="234" spans="17:17" x14ac:dyDescent="0.25">
      <c r="Q234" s="9"/>
    </row>
    <row r="235" spans="17:17" x14ac:dyDescent="0.25">
      <c r="Q235" s="9"/>
    </row>
    <row r="236" spans="17:17" x14ac:dyDescent="0.25">
      <c r="Q236" s="9"/>
    </row>
    <row r="237" spans="17:17" x14ac:dyDescent="0.25">
      <c r="Q237" s="9"/>
    </row>
    <row r="238" spans="17:17" x14ac:dyDescent="0.25">
      <c r="Q238" s="9"/>
    </row>
    <row r="239" spans="17:17" x14ac:dyDescent="0.25">
      <c r="Q239" s="9"/>
    </row>
    <row r="240" spans="17:17" x14ac:dyDescent="0.25">
      <c r="Q240" s="9"/>
    </row>
    <row r="241" spans="17:17" x14ac:dyDescent="0.25">
      <c r="Q241" s="9"/>
    </row>
    <row r="242" spans="17:17" x14ac:dyDescent="0.25">
      <c r="Q242" s="9"/>
    </row>
    <row r="243" spans="17:17" x14ac:dyDescent="0.25">
      <c r="Q243" s="9"/>
    </row>
    <row r="244" spans="17:17" x14ac:dyDescent="0.25">
      <c r="Q244" s="9"/>
    </row>
    <row r="245" spans="17:17" x14ac:dyDescent="0.25">
      <c r="Q245" s="9"/>
    </row>
    <row r="246" spans="17:17" x14ac:dyDescent="0.25">
      <c r="Q246" s="9"/>
    </row>
    <row r="247" spans="17:17" x14ac:dyDescent="0.25">
      <c r="Q247" s="9"/>
    </row>
    <row r="248" spans="17:17" x14ac:dyDescent="0.25">
      <c r="Q248" s="9"/>
    </row>
    <row r="249" spans="17:17" x14ac:dyDescent="0.25">
      <c r="Q249" s="9"/>
    </row>
    <row r="250" spans="17:17" x14ac:dyDescent="0.25">
      <c r="Q250" s="9"/>
    </row>
    <row r="251" spans="17:17" x14ac:dyDescent="0.25">
      <c r="Q251" s="9"/>
    </row>
    <row r="252" spans="17:17" x14ac:dyDescent="0.25">
      <c r="Q252" s="9"/>
    </row>
    <row r="253" spans="17:17" x14ac:dyDescent="0.25">
      <c r="Q253" s="9"/>
    </row>
    <row r="254" spans="17:17" x14ac:dyDescent="0.25">
      <c r="Q254" s="9"/>
    </row>
    <row r="255" spans="17:17" x14ac:dyDescent="0.25">
      <c r="Q255" s="9"/>
    </row>
    <row r="256" spans="17:17" x14ac:dyDescent="0.25">
      <c r="Q256" s="9"/>
    </row>
    <row r="257" spans="17:17" x14ac:dyDescent="0.25">
      <c r="Q257" s="9"/>
    </row>
    <row r="258" spans="17:17" x14ac:dyDescent="0.25">
      <c r="Q258" s="9"/>
    </row>
    <row r="259" spans="17:17" x14ac:dyDescent="0.25">
      <c r="Q259" s="9"/>
    </row>
    <row r="260" spans="17:17" x14ac:dyDescent="0.25">
      <c r="Q260" s="9"/>
    </row>
    <row r="261" spans="17:17" x14ac:dyDescent="0.25">
      <c r="Q261" s="9"/>
    </row>
    <row r="262" spans="17:17" x14ac:dyDescent="0.25">
      <c r="Q262" s="9"/>
    </row>
    <row r="263" spans="17:17" x14ac:dyDescent="0.25">
      <c r="Q263" s="9"/>
    </row>
    <row r="264" spans="17:17" x14ac:dyDescent="0.25">
      <c r="Q264" s="9"/>
    </row>
    <row r="265" spans="17:17" x14ac:dyDescent="0.25">
      <c r="Q265" s="9"/>
    </row>
    <row r="266" spans="17:17" x14ac:dyDescent="0.25">
      <c r="Q266" s="9"/>
    </row>
    <row r="267" spans="17:17" x14ac:dyDescent="0.25">
      <c r="Q267" s="9"/>
    </row>
    <row r="268" spans="17:17" x14ac:dyDescent="0.25">
      <c r="Q268" s="9"/>
    </row>
    <row r="269" spans="17:17" x14ac:dyDescent="0.25">
      <c r="Q269" s="9"/>
    </row>
    <row r="270" spans="17:17" x14ac:dyDescent="0.25">
      <c r="Q270" s="9"/>
    </row>
    <row r="271" spans="17:17" x14ac:dyDescent="0.25">
      <c r="Q271" s="9"/>
    </row>
    <row r="272" spans="17:17" x14ac:dyDescent="0.25">
      <c r="Q272" s="9"/>
    </row>
    <row r="273" spans="17:17" x14ac:dyDescent="0.25">
      <c r="Q273" s="9"/>
    </row>
    <row r="274" spans="17:17" x14ac:dyDescent="0.25">
      <c r="Q274" s="9"/>
    </row>
    <row r="275" spans="17:17" x14ac:dyDescent="0.25">
      <c r="Q275" s="9"/>
    </row>
    <row r="276" spans="17:17" x14ac:dyDescent="0.25">
      <c r="Q276" s="9"/>
    </row>
    <row r="277" spans="17:17" x14ac:dyDescent="0.25">
      <c r="Q277" s="9"/>
    </row>
    <row r="278" spans="17:17" x14ac:dyDescent="0.25">
      <c r="Q278" s="9"/>
    </row>
    <row r="279" spans="17:17" x14ac:dyDescent="0.25">
      <c r="Q279" s="9"/>
    </row>
    <row r="280" spans="17:17" x14ac:dyDescent="0.25">
      <c r="Q280" s="9"/>
    </row>
    <row r="281" spans="17:17" x14ac:dyDescent="0.25">
      <c r="Q281" s="9"/>
    </row>
    <row r="282" spans="17:17" x14ac:dyDescent="0.25">
      <c r="Q282" s="9"/>
    </row>
    <row r="283" spans="17:17" x14ac:dyDescent="0.25">
      <c r="Q283" s="9"/>
    </row>
    <row r="284" spans="17:17" x14ac:dyDescent="0.25">
      <c r="Q284" s="9"/>
    </row>
    <row r="285" spans="17:17" x14ac:dyDescent="0.25">
      <c r="Q285" s="9"/>
    </row>
    <row r="286" spans="17:17" x14ac:dyDescent="0.25">
      <c r="Q286" s="9"/>
    </row>
    <row r="287" spans="17:17" x14ac:dyDescent="0.25">
      <c r="Q287" s="9"/>
    </row>
    <row r="288" spans="17:17" x14ac:dyDescent="0.25">
      <c r="Q288" s="9"/>
    </row>
    <row r="289" spans="17:17" x14ac:dyDescent="0.25">
      <c r="Q289" s="9"/>
    </row>
    <row r="290" spans="17:17" x14ac:dyDescent="0.25">
      <c r="Q290" s="9"/>
    </row>
    <row r="291" spans="17:17" x14ac:dyDescent="0.25">
      <c r="Q291" s="9"/>
    </row>
    <row r="292" spans="17:17" x14ac:dyDescent="0.25">
      <c r="Q292" s="9"/>
    </row>
    <row r="293" spans="17:17" x14ac:dyDescent="0.25">
      <c r="Q293" s="9"/>
    </row>
    <row r="294" spans="17:17" x14ac:dyDescent="0.25">
      <c r="Q294" s="9"/>
    </row>
    <row r="295" spans="17:17" x14ac:dyDescent="0.25">
      <c r="Q295" s="9"/>
    </row>
    <row r="296" spans="17:17" x14ac:dyDescent="0.25">
      <c r="Q296" s="9"/>
    </row>
    <row r="297" spans="17:17" x14ac:dyDescent="0.25">
      <c r="Q297" s="9"/>
    </row>
    <row r="298" spans="17:17" x14ac:dyDescent="0.25">
      <c r="Q298" s="9"/>
    </row>
    <row r="299" spans="17:17" x14ac:dyDescent="0.25">
      <c r="Q299" s="9"/>
    </row>
    <row r="300" spans="17:17" x14ac:dyDescent="0.25">
      <c r="Q300" s="9"/>
    </row>
    <row r="301" spans="17:17" x14ac:dyDescent="0.25">
      <c r="Q301" s="9"/>
    </row>
    <row r="302" spans="17:17" x14ac:dyDescent="0.25">
      <c r="Q302" s="9"/>
    </row>
    <row r="303" spans="17:17" x14ac:dyDescent="0.25">
      <c r="Q303" s="9"/>
    </row>
    <row r="304" spans="17:17" x14ac:dyDescent="0.25">
      <c r="Q304" s="9"/>
    </row>
    <row r="305" spans="17:17" x14ac:dyDescent="0.25">
      <c r="Q305" s="9"/>
    </row>
    <row r="306" spans="17:17" x14ac:dyDescent="0.25">
      <c r="Q306" s="9"/>
    </row>
    <row r="307" spans="17:17" x14ac:dyDescent="0.25">
      <c r="Q307" s="9"/>
    </row>
    <row r="308" spans="17:17" x14ac:dyDescent="0.25">
      <c r="Q308" s="9"/>
    </row>
    <row r="309" spans="17:17" x14ac:dyDescent="0.25">
      <c r="Q309" s="9"/>
    </row>
    <row r="310" spans="17:17" x14ac:dyDescent="0.25">
      <c r="Q310" s="9"/>
    </row>
    <row r="311" spans="17:17" x14ac:dyDescent="0.25">
      <c r="Q311" s="9"/>
    </row>
    <row r="312" spans="17:17" x14ac:dyDescent="0.25">
      <c r="Q312" s="9"/>
    </row>
    <row r="313" spans="17:17" x14ac:dyDescent="0.25">
      <c r="Q313" s="9"/>
    </row>
    <row r="314" spans="17:17" x14ac:dyDescent="0.25">
      <c r="Q314" s="9"/>
    </row>
    <row r="315" spans="17:17" x14ac:dyDescent="0.25">
      <c r="Q315" s="9"/>
    </row>
    <row r="316" spans="17:17" x14ac:dyDescent="0.25">
      <c r="Q316" s="9"/>
    </row>
    <row r="317" spans="17:17" x14ac:dyDescent="0.25">
      <c r="Q317" s="9"/>
    </row>
    <row r="318" spans="17:17" x14ac:dyDescent="0.25">
      <c r="Q318" s="9"/>
    </row>
    <row r="319" spans="17:17" x14ac:dyDescent="0.25">
      <c r="Q319" s="9"/>
    </row>
    <row r="320" spans="17:17" x14ac:dyDescent="0.25">
      <c r="Q320" s="9"/>
    </row>
    <row r="321" spans="17:17" x14ac:dyDescent="0.25">
      <c r="Q321" s="9"/>
    </row>
    <row r="322" spans="17:17" x14ac:dyDescent="0.25">
      <c r="Q322" s="9"/>
    </row>
    <row r="323" spans="17:17" x14ac:dyDescent="0.25">
      <c r="Q323" s="9"/>
    </row>
    <row r="324" spans="17:17" x14ac:dyDescent="0.25">
      <c r="Q324" s="9"/>
    </row>
    <row r="325" spans="17:17" x14ac:dyDescent="0.25">
      <c r="Q325" s="9"/>
    </row>
    <row r="326" spans="17:17" x14ac:dyDescent="0.25">
      <c r="Q326" s="9"/>
    </row>
    <row r="327" spans="17:17" x14ac:dyDescent="0.25">
      <c r="Q327" s="9"/>
    </row>
    <row r="328" spans="17:17" x14ac:dyDescent="0.25">
      <c r="Q328" s="9"/>
    </row>
    <row r="329" spans="17:17" x14ac:dyDescent="0.25">
      <c r="Q329" s="9"/>
    </row>
    <row r="330" spans="17:17" x14ac:dyDescent="0.25">
      <c r="Q330" s="9"/>
    </row>
    <row r="331" spans="17:17" x14ac:dyDescent="0.25">
      <c r="Q331" s="9"/>
    </row>
    <row r="332" spans="17:17" x14ac:dyDescent="0.25">
      <c r="Q332" s="9"/>
    </row>
    <row r="333" spans="17:17" x14ac:dyDescent="0.25">
      <c r="Q333" s="9"/>
    </row>
    <row r="334" spans="17:17" x14ac:dyDescent="0.25">
      <c r="Q334" s="9"/>
    </row>
    <row r="335" spans="17:17" x14ac:dyDescent="0.25">
      <c r="Q335" s="9"/>
    </row>
    <row r="336" spans="17:17" x14ac:dyDescent="0.25">
      <c r="Q336" s="9"/>
    </row>
    <row r="337" spans="17:17" x14ac:dyDescent="0.25">
      <c r="Q337" s="9"/>
    </row>
    <row r="338" spans="17:17" x14ac:dyDescent="0.25">
      <c r="Q338" s="9"/>
    </row>
    <row r="339" spans="17:17" x14ac:dyDescent="0.25">
      <c r="Q339" s="9"/>
    </row>
    <row r="340" spans="17:17" x14ac:dyDescent="0.25">
      <c r="Q340" s="9"/>
    </row>
    <row r="341" spans="17:17" x14ac:dyDescent="0.25">
      <c r="Q341" s="9"/>
    </row>
    <row r="342" spans="17:17" x14ac:dyDescent="0.25">
      <c r="Q342" s="9"/>
    </row>
    <row r="343" spans="17:17" x14ac:dyDescent="0.25">
      <c r="Q343" s="9"/>
    </row>
    <row r="344" spans="17:17" x14ac:dyDescent="0.25">
      <c r="Q344" s="9"/>
    </row>
    <row r="345" spans="17:17" x14ac:dyDescent="0.25">
      <c r="Q345" s="9"/>
    </row>
    <row r="346" spans="17:17" x14ac:dyDescent="0.25">
      <c r="Q346" s="9"/>
    </row>
    <row r="347" spans="17:17" x14ac:dyDescent="0.25">
      <c r="Q347" s="9"/>
    </row>
    <row r="348" spans="17:17" x14ac:dyDescent="0.25">
      <c r="Q348" s="9"/>
    </row>
    <row r="349" spans="17:17" x14ac:dyDescent="0.25">
      <c r="Q349" s="9"/>
    </row>
    <row r="350" spans="17:17" x14ac:dyDescent="0.25">
      <c r="Q350" s="9"/>
    </row>
    <row r="351" spans="17:17" x14ac:dyDescent="0.25">
      <c r="Q351" s="9"/>
    </row>
    <row r="352" spans="17:17" x14ac:dyDescent="0.25">
      <c r="Q352" s="9"/>
    </row>
    <row r="353" spans="17:17" x14ac:dyDescent="0.25">
      <c r="Q353" s="9"/>
    </row>
    <row r="354" spans="17:17" x14ac:dyDescent="0.25">
      <c r="Q354" s="9"/>
    </row>
    <row r="355" spans="17:17" x14ac:dyDescent="0.25">
      <c r="Q355" s="9"/>
    </row>
    <row r="356" spans="17:17" x14ac:dyDescent="0.25">
      <c r="Q356" s="9"/>
    </row>
    <row r="357" spans="17:17" x14ac:dyDescent="0.25">
      <c r="Q357" s="9"/>
    </row>
    <row r="358" spans="17:17" x14ac:dyDescent="0.25">
      <c r="Q358" s="9"/>
    </row>
    <row r="359" spans="17:17" x14ac:dyDescent="0.25">
      <c r="Q359" s="9"/>
    </row>
    <row r="360" spans="17:17" x14ac:dyDescent="0.25">
      <c r="Q360" s="9"/>
    </row>
    <row r="361" spans="17:17" x14ac:dyDescent="0.25">
      <c r="Q361" s="9"/>
    </row>
    <row r="362" spans="17:17" x14ac:dyDescent="0.25">
      <c r="Q362" s="9"/>
    </row>
    <row r="363" spans="17:17" x14ac:dyDescent="0.25">
      <c r="Q363" s="9"/>
    </row>
    <row r="364" spans="17:17" x14ac:dyDescent="0.25">
      <c r="Q364" s="9"/>
    </row>
    <row r="365" spans="17:17" x14ac:dyDescent="0.25">
      <c r="Q365" s="9"/>
    </row>
    <row r="366" spans="17:17" x14ac:dyDescent="0.25">
      <c r="Q366" s="9"/>
    </row>
    <row r="367" spans="17:17" x14ac:dyDescent="0.25">
      <c r="Q367" s="9"/>
    </row>
    <row r="368" spans="17:17" x14ac:dyDescent="0.25">
      <c r="Q368" s="9"/>
    </row>
    <row r="369" spans="17:17" x14ac:dyDescent="0.25">
      <c r="Q369" s="9"/>
    </row>
    <row r="370" spans="17:17" x14ac:dyDescent="0.25">
      <c r="Q370" s="9"/>
    </row>
    <row r="371" spans="17:17" x14ac:dyDescent="0.25">
      <c r="Q371" s="9"/>
    </row>
    <row r="372" spans="17:17" x14ac:dyDescent="0.25">
      <c r="Q372" s="9"/>
    </row>
    <row r="373" spans="17:17" x14ac:dyDescent="0.25">
      <c r="Q373" s="9"/>
    </row>
    <row r="374" spans="17:17" x14ac:dyDescent="0.25">
      <c r="Q374" s="9"/>
    </row>
    <row r="375" spans="17:17" x14ac:dyDescent="0.25">
      <c r="Q375" s="9"/>
    </row>
    <row r="376" spans="17:17" x14ac:dyDescent="0.25">
      <c r="Q376" s="9"/>
    </row>
    <row r="377" spans="17:17" x14ac:dyDescent="0.25">
      <c r="Q377" s="9"/>
    </row>
    <row r="378" spans="17:17" x14ac:dyDescent="0.25">
      <c r="Q378" s="9"/>
    </row>
    <row r="379" spans="17:17" x14ac:dyDescent="0.25">
      <c r="Q379" s="9"/>
    </row>
    <row r="380" spans="17:17" x14ac:dyDescent="0.25">
      <c r="Q380" s="9"/>
    </row>
    <row r="381" spans="17:17" x14ac:dyDescent="0.25">
      <c r="Q381" s="9"/>
    </row>
    <row r="382" spans="17:17" x14ac:dyDescent="0.25">
      <c r="Q382" s="9"/>
    </row>
    <row r="383" spans="17:17" x14ac:dyDescent="0.25">
      <c r="Q383" s="9"/>
    </row>
    <row r="384" spans="17:17" x14ac:dyDescent="0.25">
      <c r="Q384" s="9"/>
    </row>
    <row r="385" spans="17:17" x14ac:dyDescent="0.25">
      <c r="Q385" s="9"/>
    </row>
    <row r="386" spans="17:17" x14ac:dyDescent="0.25">
      <c r="Q386" s="9"/>
    </row>
    <row r="387" spans="17:17" x14ac:dyDescent="0.25">
      <c r="Q387" s="9"/>
    </row>
    <row r="388" spans="17:17" x14ac:dyDescent="0.25">
      <c r="Q388" s="9"/>
    </row>
    <row r="389" spans="17:17" x14ac:dyDescent="0.25">
      <c r="Q389" s="9"/>
    </row>
    <row r="390" spans="17:17" x14ac:dyDescent="0.25">
      <c r="Q390" s="9"/>
    </row>
    <row r="391" spans="17:17" x14ac:dyDescent="0.25">
      <c r="Q391" s="9"/>
    </row>
    <row r="392" spans="17:17" x14ac:dyDescent="0.25">
      <c r="Q392" s="9"/>
    </row>
    <row r="393" spans="17:17" x14ac:dyDescent="0.25">
      <c r="Q393" s="9"/>
    </row>
    <row r="394" spans="17:17" x14ac:dyDescent="0.25">
      <c r="Q394" s="9"/>
    </row>
    <row r="395" spans="17:17" x14ac:dyDescent="0.25">
      <c r="Q395" s="9"/>
    </row>
    <row r="396" spans="17:17" x14ac:dyDescent="0.25">
      <c r="Q396" s="9"/>
    </row>
    <row r="397" spans="17:17" x14ac:dyDescent="0.25">
      <c r="Q397" s="9"/>
    </row>
    <row r="398" spans="17:17" x14ac:dyDescent="0.25">
      <c r="Q398" s="9"/>
    </row>
    <row r="399" spans="17:17" x14ac:dyDescent="0.25">
      <c r="Q399" s="9"/>
    </row>
    <row r="400" spans="17:17" x14ac:dyDescent="0.25">
      <c r="Q400" s="9"/>
    </row>
    <row r="401" spans="17:17" x14ac:dyDescent="0.25">
      <c r="Q401" s="9"/>
    </row>
    <row r="402" spans="17:17" x14ac:dyDescent="0.25">
      <c r="Q402" s="9"/>
    </row>
    <row r="403" spans="17:17" x14ac:dyDescent="0.25">
      <c r="Q403" s="9"/>
    </row>
    <row r="404" spans="17:17" x14ac:dyDescent="0.25">
      <c r="Q404" s="9"/>
    </row>
    <row r="405" spans="17:17" x14ac:dyDescent="0.25">
      <c r="Q405" s="9"/>
    </row>
    <row r="406" spans="17:17" x14ac:dyDescent="0.25">
      <c r="Q406" s="9"/>
    </row>
    <row r="407" spans="17:17" x14ac:dyDescent="0.25">
      <c r="Q407" s="9"/>
    </row>
    <row r="408" spans="17:17" x14ac:dyDescent="0.25">
      <c r="Q408" s="9"/>
    </row>
    <row r="409" spans="17:17" x14ac:dyDescent="0.25">
      <c r="Q409" s="9"/>
    </row>
    <row r="410" spans="17:17" x14ac:dyDescent="0.25">
      <c r="Q410" s="9"/>
    </row>
    <row r="411" spans="17:17" x14ac:dyDescent="0.25">
      <c r="Q411" s="9"/>
    </row>
    <row r="412" spans="17:17" x14ac:dyDescent="0.25">
      <c r="Q412" s="9"/>
    </row>
    <row r="413" spans="17:17" x14ac:dyDescent="0.25">
      <c r="Q413" s="9"/>
    </row>
    <row r="414" spans="17:17" x14ac:dyDescent="0.25">
      <c r="Q414" s="9"/>
    </row>
    <row r="415" spans="17:17" x14ac:dyDescent="0.25">
      <c r="Q415" s="9"/>
    </row>
    <row r="416" spans="17:17" x14ac:dyDescent="0.25">
      <c r="Q416" s="9"/>
    </row>
    <row r="417" spans="17:17" x14ac:dyDescent="0.25">
      <c r="Q417" s="9"/>
    </row>
    <row r="418" spans="17:17" x14ac:dyDescent="0.25">
      <c r="Q418" s="9"/>
    </row>
    <row r="419" spans="17:17" x14ac:dyDescent="0.25">
      <c r="Q419" s="9"/>
    </row>
    <row r="420" spans="17:17" x14ac:dyDescent="0.25">
      <c r="Q420" s="9"/>
    </row>
    <row r="421" spans="17:17" x14ac:dyDescent="0.25">
      <c r="Q421" s="9"/>
    </row>
    <row r="422" spans="17:17" x14ac:dyDescent="0.25">
      <c r="Q422" s="9"/>
    </row>
    <row r="423" spans="17:17" x14ac:dyDescent="0.25">
      <c r="Q423" s="9"/>
    </row>
    <row r="424" spans="17:17" x14ac:dyDescent="0.25">
      <c r="Q424" s="9"/>
    </row>
    <row r="425" spans="17:17" x14ac:dyDescent="0.25">
      <c r="Q425" s="9"/>
    </row>
    <row r="426" spans="17:17" x14ac:dyDescent="0.25">
      <c r="Q426" s="9"/>
    </row>
    <row r="427" spans="17:17" x14ac:dyDescent="0.25">
      <c r="Q427" s="9"/>
    </row>
    <row r="428" spans="17:17" x14ac:dyDescent="0.25">
      <c r="Q428" s="9"/>
    </row>
    <row r="429" spans="17:17" x14ac:dyDescent="0.25">
      <c r="Q429" s="9"/>
    </row>
    <row r="430" spans="17:17" x14ac:dyDescent="0.25">
      <c r="Q430" s="9"/>
    </row>
    <row r="431" spans="17:17" x14ac:dyDescent="0.25">
      <c r="Q431" s="9"/>
    </row>
    <row r="432" spans="17:17" x14ac:dyDescent="0.25">
      <c r="Q432" s="9"/>
    </row>
    <row r="433" spans="17:17" x14ac:dyDescent="0.25">
      <c r="Q433" s="9"/>
    </row>
    <row r="434" spans="17:17" x14ac:dyDescent="0.25">
      <c r="Q434" s="9"/>
    </row>
    <row r="435" spans="17:17" x14ac:dyDescent="0.25">
      <c r="Q435" s="9"/>
    </row>
    <row r="436" spans="17:17" x14ac:dyDescent="0.25">
      <c r="Q436" s="9"/>
    </row>
    <row r="437" spans="17:17" x14ac:dyDescent="0.25">
      <c r="Q437" s="9"/>
    </row>
    <row r="438" spans="17:17" x14ac:dyDescent="0.25">
      <c r="Q438" s="9"/>
    </row>
    <row r="439" spans="17:17" x14ac:dyDescent="0.25">
      <c r="Q439" s="9"/>
    </row>
    <row r="440" spans="17:17" x14ac:dyDescent="0.25">
      <c r="Q440" s="9"/>
    </row>
    <row r="441" spans="17:17" x14ac:dyDescent="0.25">
      <c r="Q441" s="9"/>
    </row>
    <row r="442" spans="17:17" x14ac:dyDescent="0.25">
      <c r="Q442" s="9"/>
    </row>
    <row r="443" spans="17:17" x14ac:dyDescent="0.25">
      <c r="Q443" s="9"/>
    </row>
    <row r="444" spans="17:17" x14ac:dyDescent="0.25">
      <c r="Q444" s="9"/>
    </row>
    <row r="445" spans="17:17" x14ac:dyDescent="0.25">
      <c r="Q445" s="9"/>
    </row>
    <row r="446" spans="17:17" x14ac:dyDescent="0.25">
      <c r="Q446" s="9"/>
    </row>
    <row r="447" spans="17:17" x14ac:dyDescent="0.25">
      <c r="Q447" s="9"/>
    </row>
    <row r="448" spans="17:17" x14ac:dyDescent="0.25">
      <c r="Q448" s="9"/>
    </row>
    <row r="449" spans="17:17" x14ac:dyDescent="0.25">
      <c r="Q449" s="9"/>
    </row>
    <row r="450" spans="17:17" x14ac:dyDescent="0.25">
      <c r="Q450" s="9"/>
    </row>
    <row r="451" spans="17:17" x14ac:dyDescent="0.25">
      <c r="Q451" s="9"/>
    </row>
    <row r="452" spans="17:17" x14ac:dyDescent="0.25">
      <c r="Q452" s="9"/>
    </row>
    <row r="453" spans="17:17" x14ac:dyDescent="0.25">
      <c r="Q453" s="9"/>
    </row>
    <row r="454" spans="17:17" x14ac:dyDescent="0.25">
      <c r="Q454" s="9"/>
    </row>
    <row r="455" spans="17:17" x14ac:dyDescent="0.25">
      <c r="Q455" s="9"/>
    </row>
    <row r="456" spans="17:17" x14ac:dyDescent="0.25">
      <c r="Q456" s="9"/>
    </row>
    <row r="457" spans="17:17" x14ac:dyDescent="0.25">
      <c r="Q457" s="9"/>
    </row>
    <row r="458" spans="17:17" x14ac:dyDescent="0.25">
      <c r="Q458" s="9"/>
    </row>
    <row r="459" spans="17:17" x14ac:dyDescent="0.25">
      <c r="Q459" s="9"/>
    </row>
    <row r="460" spans="17:17" x14ac:dyDescent="0.25">
      <c r="Q460" s="9"/>
    </row>
    <row r="461" spans="17:17" x14ac:dyDescent="0.25">
      <c r="Q461" s="9"/>
    </row>
    <row r="462" spans="17:17" x14ac:dyDescent="0.25">
      <c r="Q462" s="9"/>
    </row>
    <row r="463" spans="17:17" x14ac:dyDescent="0.25">
      <c r="Q463" s="9"/>
    </row>
    <row r="464" spans="17:17" x14ac:dyDescent="0.25">
      <c r="Q464" s="9"/>
    </row>
    <row r="465" spans="17:17" x14ac:dyDescent="0.25">
      <c r="Q465" s="9"/>
    </row>
    <row r="466" spans="17:17" x14ac:dyDescent="0.25">
      <c r="Q466" s="9"/>
    </row>
    <row r="467" spans="17:17" x14ac:dyDescent="0.25">
      <c r="Q467" s="9"/>
    </row>
    <row r="468" spans="17:17" x14ac:dyDescent="0.25">
      <c r="Q468" s="9"/>
    </row>
    <row r="469" spans="17:17" x14ac:dyDescent="0.25">
      <c r="Q469" s="9"/>
    </row>
    <row r="470" spans="17:17" x14ac:dyDescent="0.25">
      <c r="Q470" s="9"/>
    </row>
    <row r="471" spans="17:17" x14ac:dyDescent="0.25">
      <c r="Q471" s="9"/>
    </row>
    <row r="472" spans="17:17" x14ac:dyDescent="0.25">
      <c r="Q472" s="9"/>
    </row>
    <row r="473" spans="17:17" x14ac:dyDescent="0.25">
      <c r="Q473" s="9"/>
    </row>
    <row r="474" spans="17:17" x14ac:dyDescent="0.25">
      <c r="Q474" s="9"/>
    </row>
    <row r="475" spans="17:17" x14ac:dyDescent="0.25">
      <c r="Q475" s="9"/>
    </row>
    <row r="476" spans="17:17" x14ac:dyDescent="0.25">
      <c r="Q476" s="9"/>
    </row>
    <row r="477" spans="17:17" x14ac:dyDescent="0.25">
      <c r="Q477" s="9"/>
    </row>
    <row r="478" spans="17:17" x14ac:dyDescent="0.25">
      <c r="Q478" s="9"/>
    </row>
    <row r="479" spans="17:17" x14ac:dyDescent="0.25">
      <c r="Q479" s="9"/>
    </row>
    <row r="480" spans="17:17" x14ac:dyDescent="0.25">
      <c r="Q480" s="9"/>
    </row>
    <row r="481" spans="17:17" x14ac:dyDescent="0.25">
      <c r="Q481" s="9"/>
    </row>
    <row r="482" spans="17:17" x14ac:dyDescent="0.25">
      <c r="Q482" s="9"/>
    </row>
    <row r="483" spans="17:17" x14ac:dyDescent="0.25">
      <c r="Q483" s="9"/>
    </row>
    <row r="484" spans="17:17" x14ac:dyDescent="0.25">
      <c r="Q484" s="9"/>
    </row>
    <row r="485" spans="17:17" x14ac:dyDescent="0.25">
      <c r="Q485" s="9"/>
    </row>
    <row r="486" spans="17:17" x14ac:dyDescent="0.25">
      <c r="Q486" s="9"/>
    </row>
    <row r="487" spans="17:17" x14ac:dyDescent="0.25">
      <c r="Q487" s="9"/>
    </row>
    <row r="488" spans="17:17" x14ac:dyDescent="0.25">
      <c r="Q488" s="9"/>
    </row>
    <row r="489" spans="17:17" x14ac:dyDescent="0.25">
      <c r="Q489" s="9"/>
    </row>
    <row r="490" spans="17:17" x14ac:dyDescent="0.25">
      <c r="Q490" s="9"/>
    </row>
    <row r="491" spans="17:17" x14ac:dyDescent="0.25">
      <c r="Q491" s="9"/>
    </row>
    <row r="492" spans="17:17" x14ac:dyDescent="0.25">
      <c r="Q492" s="9"/>
    </row>
    <row r="493" spans="17:17" x14ac:dyDescent="0.25">
      <c r="Q493" s="9"/>
    </row>
    <row r="494" spans="17:17" x14ac:dyDescent="0.25">
      <c r="Q494" s="9"/>
    </row>
    <row r="495" spans="17:17" x14ac:dyDescent="0.25">
      <c r="Q495" s="9"/>
    </row>
    <row r="496" spans="17:17" x14ac:dyDescent="0.25">
      <c r="Q496" s="9"/>
    </row>
    <row r="497" spans="17:17" x14ac:dyDescent="0.25">
      <c r="Q497" s="9"/>
    </row>
    <row r="498" spans="17:17" x14ac:dyDescent="0.25">
      <c r="Q498" s="9"/>
    </row>
    <row r="499" spans="17:17" x14ac:dyDescent="0.25">
      <c r="Q499" s="9"/>
    </row>
    <row r="500" spans="17:17" x14ac:dyDescent="0.25">
      <c r="Q500" s="9"/>
    </row>
    <row r="501" spans="17:17" x14ac:dyDescent="0.25">
      <c r="Q501" s="9"/>
    </row>
    <row r="502" spans="17:17" x14ac:dyDescent="0.25">
      <c r="Q502" s="9"/>
    </row>
    <row r="503" spans="17:17" x14ac:dyDescent="0.25">
      <c r="Q503" s="9"/>
    </row>
    <row r="504" spans="17:17" x14ac:dyDescent="0.25">
      <c r="Q504" s="9"/>
    </row>
    <row r="505" spans="17:17" x14ac:dyDescent="0.25">
      <c r="Q505" s="9"/>
    </row>
    <row r="506" spans="17:17" x14ac:dyDescent="0.25">
      <c r="Q506" s="9"/>
    </row>
    <row r="507" spans="17:17" x14ac:dyDescent="0.25">
      <c r="Q507" s="9"/>
    </row>
    <row r="508" spans="17:17" x14ac:dyDescent="0.25">
      <c r="Q508" s="9"/>
    </row>
    <row r="509" spans="17:17" x14ac:dyDescent="0.25">
      <c r="Q509" s="9"/>
    </row>
    <row r="510" spans="17:17" x14ac:dyDescent="0.25">
      <c r="Q510" s="9"/>
    </row>
    <row r="511" spans="17:17" x14ac:dyDescent="0.25">
      <c r="Q511" s="9"/>
    </row>
    <row r="512" spans="17:17" x14ac:dyDescent="0.25">
      <c r="Q512" s="9"/>
    </row>
    <row r="513" spans="17:17" x14ac:dyDescent="0.25">
      <c r="Q513" s="9"/>
    </row>
    <row r="514" spans="17:17" x14ac:dyDescent="0.25">
      <c r="Q514" s="9"/>
    </row>
    <row r="515" spans="17:17" x14ac:dyDescent="0.25">
      <c r="Q515" s="9"/>
    </row>
    <row r="516" spans="17:17" x14ac:dyDescent="0.25">
      <c r="Q516" s="9"/>
    </row>
    <row r="517" spans="17:17" x14ac:dyDescent="0.25">
      <c r="Q517" s="9"/>
    </row>
    <row r="518" spans="17:17" x14ac:dyDescent="0.25">
      <c r="Q518" s="9"/>
    </row>
    <row r="519" spans="17:17" x14ac:dyDescent="0.25">
      <c r="Q519" s="9"/>
    </row>
    <row r="520" spans="17:17" x14ac:dyDescent="0.25">
      <c r="Q520" s="9"/>
    </row>
    <row r="521" spans="17:17" x14ac:dyDescent="0.25">
      <c r="Q521" s="9"/>
    </row>
    <row r="522" spans="17:17" x14ac:dyDescent="0.25">
      <c r="Q522" s="9"/>
    </row>
    <row r="523" spans="17:17" x14ac:dyDescent="0.25">
      <c r="Q523" s="9"/>
    </row>
    <row r="524" spans="17:17" x14ac:dyDescent="0.25">
      <c r="Q524" s="9"/>
    </row>
    <row r="525" spans="17:17" x14ac:dyDescent="0.25">
      <c r="Q525" s="9"/>
    </row>
    <row r="526" spans="17:17" x14ac:dyDescent="0.25">
      <c r="Q526" s="9"/>
    </row>
    <row r="527" spans="17:17" x14ac:dyDescent="0.25">
      <c r="Q527" s="9"/>
    </row>
    <row r="528" spans="17:17" x14ac:dyDescent="0.25">
      <c r="Q528" s="9"/>
    </row>
    <row r="529" spans="17:17" x14ac:dyDescent="0.25">
      <c r="Q529" s="9"/>
    </row>
    <row r="530" spans="17:17" x14ac:dyDescent="0.25">
      <c r="Q530" s="9"/>
    </row>
    <row r="531" spans="17:17" x14ac:dyDescent="0.25">
      <c r="Q531" s="9"/>
    </row>
    <row r="532" spans="17:17" x14ac:dyDescent="0.25">
      <c r="Q532" s="9"/>
    </row>
    <row r="533" spans="17:17" x14ac:dyDescent="0.25">
      <c r="Q533" s="9"/>
    </row>
    <row r="534" spans="17:17" x14ac:dyDescent="0.25">
      <c r="Q534" s="9"/>
    </row>
    <row r="535" spans="17:17" x14ac:dyDescent="0.25">
      <c r="Q535" s="9"/>
    </row>
    <row r="536" spans="17:17" x14ac:dyDescent="0.25">
      <c r="Q536" s="9"/>
    </row>
    <row r="537" spans="17:17" x14ac:dyDescent="0.25">
      <c r="Q537" s="9"/>
    </row>
    <row r="538" spans="17:17" x14ac:dyDescent="0.25">
      <c r="Q538" s="9"/>
    </row>
    <row r="539" spans="17:17" x14ac:dyDescent="0.25">
      <c r="Q539" s="9"/>
    </row>
    <row r="540" spans="17:17" x14ac:dyDescent="0.25">
      <c r="Q540" s="9"/>
    </row>
    <row r="541" spans="17:17" x14ac:dyDescent="0.25">
      <c r="Q541" s="9"/>
    </row>
    <row r="542" spans="17:17" x14ac:dyDescent="0.25">
      <c r="Q542" s="9"/>
    </row>
    <row r="543" spans="17:17" x14ac:dyDescent="0.25">
      <c r="Q543" s="9"/>
    </row>
    <row r="544" spans="17:17" x14ac:dyDescent="0.25">
      <c r="Q544" s="9"/>
    </row>
    <row r="545" spans="17:17" x14ac:dyDescent="0.25">
      <c r="Q545" s="9"/>
    </row>
    <row r="546" spans="17:17" x14ac:dyDescent="0.25">
      <c r="Q546" s="9"/>
    </row>
    <row r="547" spans="17:17" x14ac:dyDescent="0.25">
      <c r="Q547" s="9"/>
    </row>
    <row r="548" spans="17:17" x14ac:dyDescent="0.25">
      <c r="Q548" s="9"/>
    </row>
    <row r="549" spans="17:17" x14ac:dyDescent="0.25">
      <c r="Q549" s="9"/>
    </row>
    <row r="550" spans="17:17" x14ac:dyDescent="0.25">
      <c r="Q550" s="9"/>
    </row>
    <row r="551" spans="17:17" x14ac:dyDescent="0.25">
      <c r="Q551" s="9"/>
    </row>
    <row r="552" spans="17:17" x14ac:dyDescent="0.25">
      <c r="Q552" s="9"/>
    </row>
    <row r="553" spans="17:17" x14ac:dyDescent="0.25">
      <c r="Q553" s="9"/>
    </row>
    <row r="554" spans="17:17" x14ac:dyDescent="0.25">
      <c r="Q554" s="9"/>
    </row>
    <row r="555" spans="17:17" x14ac:dyDescent="0.25">
      <c r="Q555" s="9"/>
    </row>
    <row r="556" spans="17:17" x14ac:dyDescent="0.25">
      <c r="Q556" s="9"/>
    </row>
    <row r="557" spans="17:17" x14ac:dyDescent="0.25">
      <c r="Q557" s="9"/>
    </row>
    <row r="558" spans="17:17" x14ac:dyDescent="0.25">
      <c r="Q558" s="9"/>
    </row>
    <row r="559" spans="17:17" x14ac:dyDescent="0.25">
      <c r="Q559" s="9"/>
    </row>
    <row r="560" spans="17:17" x14ac:dyDescent="0.25">
      <c r="Q560" s="9"/>
    </row>
    <row r="561" spans="17:17" x14ac:dyDescent="0.25">
      <c r="Q561" s="9"/>
    </row>
    <row r="562" spans="17:17" x14ac:dyDescent="0.25">
      <c r="Q562" s="9"/>
    </row>
    <row r="563" spans="17:17" x14ac:dyDescent="0.25">
      <c r="Q563" s="9"/>
    </row>
    <row r="564" spans="17:17" x14ac:dyDescent="0.25">
      <c r="Q564" s="9"/>
    </row>
    <row r="565" spans="17:17" x14ac:dyDescent="0.25">
      <c r="Q565" s="9"/>
    </row>
    <row r="566" spans="17:17" x14ac:dyDescent="0.25">
      <c r="Q566" s="9"/>
    </row>
    <row r="567" spans="17:17" x14ac:dyDescent="0.25">
      <c r="Q567" s="9"/>
    </row>
    <row r="568" spans="17:17" x14ac:dyDescent="0.25">
      <c r="Q568" s="9"/>
    </row>
    <row r="569" spans="17:17" x14ac:dyDescent="0.25">
      <c r="Q569" s="9"/>
    </row>
    <row r="570" spans="17:17" x14ac:dyDescent="0.25">
      <c r="Q570" s="9"/>
    </row>
    <row r="571" spans="17:17" x14ac:dyDescent="0.25">
      <c r="Q571" s="9"/>
    </row>
    <row r="572" spans="17:17" x14ac:dyDescent="0.25">
      <c r="Q572" s="9"/>
    </row>
    <row r="573" spans="17:17" x14ac:dyDescent="0.25">
      <c r="Q573" s="9"/>
    </row>
    <row r="574" spans="17:17" x14ac:dyDescent="0.25">
      <c r="Q574" s="9"/>
    </row>
    <row r="575" spans="17:17" x14ac:dyDescent="0.25">
      <c r="Q575" s="9"/>
    </row>
    <row r="576" spans="17:17" x14ac:dyDescent="0.25">
      <c r="Q576" s="9"/>
    </row>
    <row r="577" spans="17:17" x14ac:dyDescent="0.25">
      <c r="Q577" s="9"/>
    </row>
    <row r="578" spans="17:17" x14ac:dyDescent="0.25">
      <c r="Q578" s="9"/>
    </row>
    <row r="579" spans="17:17" x14ac:dyDescent="0.25">
      <c r="Q579" s="9"/>
    </row>
    <row r="580" spans="17:17" x14ac:dyDescent="0.25">
      <c r="Q580" s="9"/>
    </row>
    <row r="581" spans="17:17" x14ac:dyDescent="0.25">
      <c r="Q581" s="9"/>
    </row>
    <row r="582" spans="17:17" x14ac:dyDescent="0.25">
      <c r="Q582" s="9"/>
    </row>
    <row r="583" spans="17:17" x14ac:dyDescent="0.25">
      <c r="Q583" s="9"/>
    </row>
    <row r="584" spans="17:17" x14ac:dyDescent="0.25">
      <c r="Q584" s="9"/>
    </row>
    <row r="585" spans="17:17" x14ac:dyDescent="0.25">
      <c r="Q585" s="9"/>
    </row>
    <row r="586" spans="17:17" x14ac:dyDescent="0.25">
      <c r="Q586" s="9"/>
    </row>
    <row r="587" spans="17:17" x14ac:dyDescent="0.25">
      <c r="Q587" s="9"/>
    </row>
    <row r="588" spans="17:17" x14ac:dyDescent="0.25">
      <c r="Q588" s="9"/>
    </row>
    <row r="589" spans="17:17" x14ac:dyDescent="0.25">
      <c r="Q589" s="9"/>
    </row>
    <row r="590" spans="17:17" x14ac:dyDescent="0.25">
      <c r="Q590" s="9"/>
    </row>
    <row r="591" spans="17:17" x14ac:dyDescent="0.25">
      <c r="Q591" s="9"/>
    </row>
    <row r="592" spans="17:17" x14ac:dyDescent="0.25">
      <c r="Q592" s="9"/>
    </row>
    <row r="593" spans="17:17" x14ac:dyDescent="0.25">
      <c r="Q593" s="9"/>
    </row>
    <row r="594" spans="17:17" x14ac:dyDescent="0.25">
      <c r="Q594" s="9"/>
    </row>
    <row r="595" spans="17:17" x14ac:dyDescent="0.25">
      <c r="Q595" s="9"/>
    </row>
    <row r="596" spans="17:17" x14ac:dyDescent="0.25">
      <c r="Q596" s="9"/>
    </row>
    <row r="597" spans="17:17" x14ac:dyDescent="0.25">
      <c r="Q597" s="9"/>
    </row>
    <row r="598" spans="17:17" x14ac:dyDescent="0.25">
      <c r="Q598" s="9"/>
    </row>
    <row r="599" spans="17:17" x14ac:dyDescent="0.25">
      <c r="Q599" s="9"/>
    </row>
    <row r="600" spans="17:17" x14ac:dyDescent="0.25">
      <c r="Q600" s="9"/>
    </row>
    <row r="601" spans="17:17" x14ac:dyDescent="0.25">
      <c r="Q601" s="9"/>
    </row>
    <row r="602" spans="17:17" x14ac:dyDescent="0.25">
      <c r="Q602" s="9"/>
    </row>
    <row r="603" spans="17:17" x14ac:dyDescent="0.25">
      <c r="Q603" s="9"/>
    </row>
    <row r="604" spans="17:17" x14ac:dyDescent="0.25">
      <c r="Q604" s="9"/>
    </row>
    <row r="605" spans="17:17" x14ac:dyDescent="0.25">
      <c r="Q605" s="9"/>
    </row>
    <row r="606" spans="17:17" x14ac:dyDescent="0.25">
      <c r="Q606" s="9"/>
    </row>
    <row r="607" spans="17:17" x14ac:dyDescent="0.25">
      <c r="Q607" s="9"/>
    </row>
    <row r="608" spans="17:17" x14ac:dyDescent="0.25">
      <c r="Q608" s="9"/>
    </row>
    <row r="609" spans="17:17" x14ac:dyDescent="0.25">
      <c r="Q609" s="9"/>
    </row>
    <row r="610" spans="17:17" x14ac:dyDescent="0.25">
      <c r="Q610" s="9"/>
    </row>
    <row r="611" spans="17:17" x14ac:dyDescent="0.25">
      <c r="Q611" s="9"/>
    </row>
    <row r="612" spans="17:17" x14ac:dyDescent="0.25">
      <c r="Q612" s="9"/>
    </row>
    <row r="613" spans="17:17" x14ac:dyDescent="0.25">
      <c r="Q613" s="9"/>
    </row>
    <row r="614" spans="17:17" x14ac:dyDescent="0.25">
      <c r="Q614" s="9"/>
    </row>
    <row r="615" spans="17:17" x14ac:dyDescent="0.25">
      <c r="Q615" s="9"/>
    </row>
    <row r="616" spans="17:17" x14ac:dyDescent="0.25">
      <c r="Q616" s="9"/>
    </row>
    <row r="617" spans="17:17" x14ac:dyDescent="0.25">
      <c r="Q617" s="9"/>
    </row>
    <row r="618" spans="17:17" x14ac:dyDescent="0.25">
      <c r="Q618" s="9"/>
    </row>
    <row r="619" spans="17:17" x14ac:dyDescent="0.25">
      <c r="Q619" s="9"/>
    </row>
    <row r="620" spans="17:17" x14ac:dyDescent="0.25">
      <c r="Q620" s="9"/>
    </row>
    <row r="621" spans="17:17" x14ac:dyDescent="0.25">
      <c r="Q621" s="9"/>
    </row>
    <row r="622" spans="17:17" x14ac:dyDescent="0.25">
      <c r="Q622" s="9"/>
    </row>
    <row r="623" spans="17:17" x14ac:dyDescent="0.25">
      <c r="Q623" s="9"/>
    </row>
    <row r="624" spans="17:17" x14ac:dyDescent="0.25">
      <c r="Q624" s="9"/>
    </row>
    <row r="625" spans="17:17" x14ac:dyDescent="0.25">
      <c r="Q625" s="9"/>
    </row>
    <row r="626" spans="17:17" x14ac:dyDescent="0.25">
      <c r="Q626" s="9"/>
    </row>
    <row r="627" spans="17:17" x14ac:dyDescent="0.25">
      <c r="Q627" s="9"/>
    </row>
    <row r="628" spans="17:17" x14ac:dyDescent="0.25">
      <c r="Q628" s="9"/>
    </row>
    <row r="629" spans="17:17" x14ac:dyDescent="0.25">
      <c r="Q629" s="9"/>
    </row>
    <row r="630" spans="17:17" x14ac:dyDescent="0.25">
      <c r="Q630" s="9"/>
    </row>
    <row r="631" spans="17:17" x14ac:dyDescent="0.25">
      <c r="Q631" s="9"/>
    </row>
    <row r="632" spans="17:17" x14ac:dyDescent="0.25">
      <c r="Q632" s="9"/>
    </row>
    <row r="633" spans="17:17" x14ac:dyDescent="0.25">
      <c r="Q633" s="9"/>
    </row>
    <row r="634" spans="17:17" x14ac:dyDescent="0.25">
      <c r="Q634" s="9"/>
    </row>
    <row r="635" spans="17:17" x14ac:dyDescent="0.25">
      <c r="Q635" s="9"/>
    </row>
    <row r="636" spans="17:17" x14ac:dyDescent="0.25">
      <c r="Q636" s="9"/>
    </row>
    <row r="637" spans="17:17" x14ac:dyDescent="0.25">
      <c r="Q637" s="9"/>
    </row>
    <row r="638" spans="17:17" x14ac:dyDescent="0.25">
      <c r="Q638" s="9"/>
    </row>
    <row r="639" spans="17:17" x14ac:dyDescent="0.25">
      <c r="Q639" s="9"/>
    </row>
    <row r="640" spans="17:17" x14ac:dyDescent="0.25">
      <c r="Q640" s="9"/>
    </row>
    <row r="641" spans="17:17" x14ac:dyDescent="0.25">
      <c r="Q641" s="9"/>
    </row>
    <row r="642" spans="17:17" x14ac:dyDescent="0.25">
      <c r="Q642" s="9"/>
    </row>
    <row r="643" spans="17:17" x14ac:dyDescent="0.25">
      <c r="Q643" s="9"/>
    </row>
    <row r="644" spans="17:17" x14ac:dyDescent="0.25">
      <c r="Q644" s="9"/>
    </row>
    <row r="645" spans="17:17" x14ac:dyDescent="0.25">
      <c r="Q645" s="9"/>
    </row>
    <row r="646" spans="17:17" x14ac:dyDescent="0.25">
      <c r="Q646" s="9"/>
    </row>
    <row r="647" spans="17:17" x14ac:dyDescent="0.25">
      <c r="Q647" s="9"/>
    </row>
    <row r="648" spans="17:17" x14ac:dyDescent="0.25">
      <c r="Q648" s="9"/>
    </row>
    <row r="649" spans="17:17" x14ac:dyDescent="0.25">
      <c r="Q649" s="9"/>
    </row>
    <row r="650" spans="17:17" x14ac:dyDescent="0.25">
      <c r="Q650" s="9"/>
    </row>
    <row r="651" spans="17:17" x14ac:dyDescent="0.25">
      <c r="Q651" s="9"/>
    </row>
    <row r="652" spans="17:17" x14ac:dyDescent="0.25">
      <c r="Q652" s="9"/>
    </row>
    <row r="653" spans="17:17" x14ac:dyDescent="0.25">
      <c r="Q653" s="9"/>
    </row>
    <row r="654" spans="17:17" x14ac:dyDescent="0.25">
      <c r="Q654" s="9"/>
    </row>
    <row r="655" spans="17:17" x14ac:dyDescent="0.25">
      <c r="Q655" s="9"/>
    </row>
    <row r="656" spans="17:17" x14ac:dyDescent="0.25">
      <c r="Q656" s="9"/>
    </row>
    <row r="657" spans="17:17" x14ac:dyDescent="0.25">
      <c r="Q657" s="9"/>
    </row>
    <row r="658" spans="17:17" x14ac:dyDescent="0.25">
      <c r="Q658" s="9"/>
    </row>
    <row r="659" spans="17:17" x14ac:dyDescent="0.25">
      <c r="Q659" s="9"/>
    </row>
    <row r="660" spans="17:17" x14ac:dyDescent="0.25">
      <c r="Q660" s="9"/>
    </row>
    <row r="661" spans="17:17" x14ac:dyDescent="0.25">
      <c r="Q661" s="9"/>
    </row>
    <row r="662" spans="17:17" x14ac:dyDescent="0.25">
      <c r="Q662" s="9"/>
    </row>
    <row r="663" spans="17:17" x14ac:dyDescent="0.25">
      <c r="Q663" s="9"/>
    </row>
    <row r="664" spans="17:17" x14ac:dyDescent="0.25">
      <c r="Q664" s="9"/>
    </row>
    <row r="665" spans="17:17" x14ac:dyDescent="0.25">
      <c r="Q665" s="9"/>
    </row>
    <row r="666" spans="17:17" x14ac:dyDescent="0.25">
      <c r="Q666" s="9"/>
    </row>
    <row r="667" spans="17:17" x14ac:dyDescent="0.25">
      <c r="Q667" s="9"/>
    </row>
    <row r="668" spans="17:17" x14ac:dyDescent="0.25">
      <c r="Q668" s="9"/>
    </row>
    <row r="669" spans="17:17" x14ac:dyDescent="0.25">
      <c r="Q669" s="9"/>
    </row>
    <row r="670" spans="17:17" x14ac:dyDescent="0.25">
      <c r="Q670" s="9"/>
    </row>
    <row r="671" spans="17:17" x14ac:dyDescent="0.25">
      <c r="Q671" s="9"/>
    </row>
    <row r="672" spans="17:17" x14ac:dyDescent="0.25">
      <c r="Q672" s="9"/>
    </row>
    <row r="673" spans="17:17" x14ac:dyDescent="0.25">
      <c r="Q673" s="9"/>
    </row>
    <row r="674" spans="17:17" x14ac:dyDescent="0.25">
      <c r="Q674" s="9"/>
    </row>
    <row r="675" spans="17:17" x14ac:dyDescent="0.25">
      <c r="Q675" s="9"/>
    </row>
    <row r="676" spans="17:17" x14ac:dyDescent="0.25">
      <c r="Q676" s="9"/>
    </row>
    <row r="677" spans="17:17" x14ac:dyDescent="0.25">
      <c r="Q677" s="9"/>
    </row>
    <row r="678" spans="17:17" x14ac:dyDescent="0.25">
      <c r="Q678" s="9"/>
    </row>
    <row r="679" spans="17:17" x14ac:dyDescent="0.25">
      <c r="Q679" s="9"/>
    </row>
    <row r="680" spans="17:17" x14ac:dyDescent="0.25">
      <c r="Q680" s="9"/>
    </row>
    <row r="681" spans="17:17" x14ac:dyDescent="0.25">
      <c r="Q681" s="9"/>
    </row>
    <row r="682" spans="17:17" x14ac:dyDescent="0.25">
      <c r="Q682" s="9"/>
    </row>
    <row r="683" spans="17:17" x14ac:dyDescent="0.25">
      <c r="Q683" s="9"/>
    </row>
    <row r="684" spans="17:17" x14ac:dyDescent="0.25">
      <c r="Q684" s="9"/>
    </row>
    <row r="685" spans="17:17" x14ac:dyDescent="0.25">
      <c r="Q685" s="9"/>
    </row>
    <row r="686" spans="17:17" x14ac:dyDescent="0.25">
      <c r="Q686" s="9"/>
    </row>
    <row r="687" spans="17:17" x14ac:dyDescent="0.25">
      <c r="Q687" s="9"/>
    </row>
    <row r="688" spans="17:17" x14ac:dyDescent="0.25">
      <c r="Q688" s="9"/>
    </row>
    <row r="689" spans="17:17" x14ac:dyDescent="0.25">
      <c r="Q689" s="9"/>
    </row>
    <row r="690" spans="17:17" x14ac:dyDescent="0.25">
      <c r="Q690" s="9"/>
    </row>
    <row r="691" spans="17:17" x14ac:dyDescent="0.25">
      <c r="Q691" s="9"/>
    </row>
    <row r="692" spans="17:17" x14ac:dyDescent="0.25">
      <c r="Q692" s="9"/>
    </row>
    <row r="693" spans="17:17" x14ac:dyDescent="0.25">
      <c r="Q693" s="9"/>
    </row>
    <row r="694" spans="17:17" x14ac:dyDescent="0.25">
      <c r="Q694" s="9"/>
    </row>
    <row r="695" spans="17:17" x14ac:dyDescent="0.25">
      <c r="Q695" s="9"/>
    </row>
    <row r="696" spans="17:17" x14ac:dyDescent="0.25">
      <c r="Q696" s="9"/>
    </row>
    <row r="697" spans="17:17" x14ac:dyDescent="0.25">
      <c r="Q697" s="9"/>
    </row>
    <row r="698" spans="17:17" x14ac:dyDescent="0.25">
      <c r="Q698" s="9"/>
    </row>
    <row r="699" spans="17:17" x14ac:dyDescent="0.25">
      <c r="Q699" s="9"/>
    </row>
    <row r="700" spans="17:17" x14ac:dyDescent="0.25">
      <c r="Q700" s="9"/>
    </row>
    <row r="701" spans="17:17" x14ac:dyDescent="0.25">
      <c r="Q701" s="9"/>
    </row>
    <row r="702" spans="17:17" x14ac:dyDescent="0.25">
      <c r="Q702" s="9"/>
    </row>
    <row r="703" spans="17:17" x14ac:dyDescent="0.25">
      <c r="Q703" s="9"/>
    </row>
    <row r="704" spans="17:17" x14ac:dyDescent="0.25">
      <c r="Q704" s="9"/>
    </row>
    <row r="705" spans="17:17" x14ac:dyDescent="0.25">
      <c r="Q705" s="9"/>
    </row>
    <row r="706" spans="17:17" x14ac:dyDescent="0.25">
      <c r="Q706" s="9"/>
    </row>
    <row r="707" spans="17:17" x14ac:dyDescent="0.25">
      <c r="Q707" s="9"/>
    </row>
    <row r="708" spans="17:17" x14ac:dyDescent="0.25">
      <c r="Q708" s="9"/>
    </row>
    <row r="709" spans="17:17" x14ac:dyDescent="0.25">
      <c r="Q709" s="9"/>
    </row>
    <row r="710" spans="17:17" x14ac:dyDescent="0.25">
      <c r="Q710" s="9"/>
    </row>
    <row r="711" spans="17:17" x14ac:dyDescent="0.25">
      <c r="Q711" s="9"/>
    </row>
    <row r="712" spans="17:17" x14ac:dyDescent="0.25">
      <c r="Q712" s="9"/>
    </row>
    <row r="713" spans="17:17" x14ac:dyDescent="0.25">
      <c r="Q713" s="9"/>
    </row>
    <row r="714" spans="17:17" x14ac:dyDescent="0.25">
      <c r="Q714" s="9"/>
    </row>
    <row r="715" spans="17:17" x14ac:dyDescent="0.25">
      <c r="Q715" s="9"/>
    </row>
    <row r="716" spans="17:17" x14ac:dyDescent="0.25">
      <c r="Q716" s="9"/>
    </row>
    <row r="717" spans="17:17" x14ac:dyDescent="0.25">
      <c r="Q717" s="9"/>
    </row>
    <row r="718" spans="17:17" x14ac:dyDescent="0.25">
      <c r="Q718" s="9"/>
    </row>
    <row r="719" spans="17:17" x14ac:dyDescent="0.25">
      <c r="Q719" s="9"/>
    </row>
    <row r="720" spans="17:17" x14ac:dyDescent="0.25">
      <c r="Q720" s="9"/>
    </row>
    <row r="721" spans="17:17" x14ac:dyDescent="0.25">
      <c r="Q721" s="9"/>
    </row>
    <row r="722" spans="17:17" x14ac:dyDescent="0.25">
      <c r="Q722" s="9"/>
    </row>
    <row r="723" spans="17:17" x14ac:dyDescent="0.25">
      <c r="Q723" s="9"/>
    </row>
    <row r="724" spans="17:17" x14ac:dyDescent="0.25">
      <c r="Q724" s="9"/>
    </row>
    <row r="725" spans="17:17" x14ac:dyDescent="0.25">
      <c r="Q725" s="9"/>
    </row>
    <row r="726" spans="17:17" x14ac:dyDescent="0.25">
      <c r="Q726" s="9"/>
    </row>
    <row r="727" spans="17:17" x14ac:dyDescent="0.25">
      <c r="Q727" s="9"/>
    </row>
    <row r="728" spans="17:17" x14ac:dyDescent="0.25">
      <c r="Q728" s="9"/>
    </row>
    <row r="729" spans="17:17" x14ac:dyDescent="0.25">
      <c r="Q729" s="9"/>
    </row>
    <row r="730" spans="17:17" x14ac:dyDescent="0.25">
      <c r="Q730" s="9"/>
    </row>
    <row r="731" spans="17:17" x14ac:dyDescent="0.25">
      <c r="Q731" s="9"/>
    </row>
    <row r="732" spans="17:17" x14ac:dyDescent="0.25">
      <c r="Q732" s="9"/>
    </row>
    <row r="733" spans="17:17" x14ac:dyDescent="0.25">
      <c r="Q733" s="9"/>
    </row>
    <row r="734" spans="17:17" x14ac:dyDescent="0.25">
      <c r="Q734" s="9"/>
    </row>
    <row r="735" spans="17:17" x14ac:dyDescent="0.25">
      <c r="Q735" s="9"/>
    </row>
    <row r="736" spans="17:17" x14ac:dyDescent="0.25">
      <c r="Q736" s="9"/>
    </row>
    <row r="737" spans="17:17" x14ac:dyDescent="0.25">
      <c r="Q737" s="9"/>
    </row>
    <row r="738" spans="17:17" x14ac:dyDescent="0.25">
      <c r="Q738" s="9"/>
    </row>
    <row r="739" spans="17:17" x14ac:dyDescent="0.25">
      <c r="Q739" s="9"/>
    </row>
    <row r="740" spans="17:17" x14ac:dyDescent="0.25">
      <c r="Q740" s="9"/>
    </row>
    <row r="741" spans="17:17" x14ac:dyDescent="0.25">
      <c r="Q741" s="9"/>
    </row>
    <row r="742" spans="17:17" x14ac:dyDescent="0.25">
      <c r="Q742" s="9"/>
    </row>
    <row r="743" spans="17:17" x14ac:dyDescent="0.25">
      <c r="Q743" s="9"/>
    </row>
    <row r="744" spans="17:17" x14ac:dyDescent="0.25">
      <c r="Q744" s="9"/>
    </row>
    <row r="745" spans="17:17" x14ac:dyDescent="0.25">
      <c r="Q745" s="9"/>
    </row>
    <row r="746" spans="17:17" x14ac:dyDescent="0.25">
      <c r="Q746" s="9"/>
    </row>
    <row r="747" spans="17:17" x14ac:dyDescent="0.25">
      <c r="Q747" s="9"/>
    </row>
    <row r="748" spans="17:17" x14ac:dyDescent="0.25">
      <c r="Q748" s="9"/>
    </row>
    <row r="749" spans="17:17" x14ac:dyDescent="0.25">
      <c r="Q749" s="9"/>
    </row>
    <row r="750" spans="17:17" x14ac:dyDescent="0.25">
      <c r="Q750" s="9"/>
    </row>
    <row r="751" spans="17:17" x14ac:dyDescent="0.25">
      <c r="Q751" s="9"/>
    </row>
    <row r="752" spans="17:17" x14ac:dyDescent="0.25">
      <c r="Q752" s="9"/>
    </row>
    <row r="753" spans="17:17" x14ac:dyDescent="0.25">
      <c r="Q753" s="9"/>
    </row>
    <row r="754" spans="17:17" x14ac:dyDescent="0.25">
      <c r="Q754" s="9"/>
    </row>
    <row r="755" spans="17:17" x14ac:dyDescent="0.25">
      <c r="Q755" s="9"/>
    </row>
    <row r="756" spans="17:17" x14ac:dyDescent="0.25">
      <c r="Q756" s="9"/>
    </row>
    <row r="757" spans="17:17" x14ac:dyDescent="0.25">
      <c r="Q757" s="9"/>
    </row>
    <row r="758" spans="17:17" x14ac:dyDescent="0.25">
      <c r="Q758" s="9"/>
    </row>
    <row r="759" spans="17:17" x14ac:dyDescent="0.25">
      <c r="Q759" s="9"/>
    </row>
    <row r="760" spans="17:17" x14ac:dyDescent="0.25">
      <c r="Q760" s="9"/>
    </row>
    <row r="761" spans="17:17" x14ac:dyDescent="0.25">
      <c r="Q761" s="9"/>
    </row>
    <row r="762" spans="17:17" x14ac:dyDescent="0.25">
      <c r="Q762" s="9"/>
    </row>
    <row r="763" spans="17:17" x14ac:dyDescent="0.25">
      <c r="Q763" s="9"/>
    </row>
    <row r="764" spans="17:17" x14ac:dyDescent="0.25">
      <c r="Q764" s="9"/>
    </row>
    <row r="765" spans="17:17" x14ac:dyDescent="0.25">
      <c r="Q765" s="9"/>
    </row>
    <row r="766" spans="17:17" x14ac:dyDescent="0.25">
      <c r="Q766" s="9"/>
    </row>
    <row r="767" spans="17:17" x14ac:dyDescent="0.25">
      <c r="Q767" s="9"/>
    </row>
    <row r="768" spans="17:17" x14ac:dyDescent="0.25">
      <c r="Q768" s="9"/>
    </row>
    <row r="769" spans="17:17" x14ac:dyDescent="0.25">
      <c r="Q769" s="9"/>
    </row>
    <row r="770" spans="17:17" x14ac:dyDescent="0.25">
      <c r="Q770" s="9"/>
    </row>
    <row r="771" spans="17:17" x14ac:dyDescent="0.25">
      <c r="Q771" s="9"/>
    </row>
    <row r="772" spans="17:17" x14ac:dyDescent="0.25">
      <c r="Q772" s="9"/>
    </row>
    <row r="773" spans="17:17" x14ac:dyDescent="0.25">
      <c r="Q773" s="9"/>
    </row>
    <row r="774" spans="17:17" x14ac:dyDescent="0.25">
      <c r="Q774" s="9"/>
    </row>
    <row r="775" spans="17:17" x14ac:dyDescent="0.25">
      <c r="Q775" s="9"/>
    </row>
    <row r="776" spans="17:17" x14ac:dyDescent="0.25">
      <c r="Q776" s="9"/>
    </row>
    <row r="777" spans="17:17" x14ac:dyDescent="0.25">
      <c r="Q777" s="9"/>
    </row>
    <row r="778" spans="17:17" x14ac:dyDescent="0.25">
      <c r="Q778" s="9"/>
    </row>
    <row r="779" spans="17:17" x14ac:dyDescent="0.25">
      <c r="Q779" s="9"/>
    </row>
    <row r="780" spans="17:17" x14ac:dyDescent="0.25">
      <c r="Q780" s="9"/>
    </row>
    <row r="781" spans="17:17" x14ac:dyDescent="0.25">
      <c r="Q781" s="9"/>
    </row>
    <row r="782" spans="17:17" x14ac:dyDescent="0.25">
      <c r="Q782" s="9"/>
    </row>
    <row r="783" spans="17:17" x14ac:dyDescent="0.25">
      <c r="Q783" s="9"/>
    </row>
    <row r="784" spans="17:17" x14ac:dyDescent="0.25">
      <c r="Q784" s="9"/>
    </row>
    <row r="785" spans="17:17" x14ac:dyDescent="0.25">
      <c r="Q785" s="9"/>
    </row>
    <row r="786" spans="17:17" x14ac:dyDescent="0.25">
      <c r="Q786" s="9"/>
    </row>
    <row r="787" spans="17:17" x14ac:dyDescent="0.25">
      <c r="Q787" s="9"/>
    </row>
    <row r="788" spans="17:17" x14ac:dyDescent="0.25">
      <c r="Q788" s="9"/>
    </row>
    <row r="789" spans="17:17" x14ac:dyDescent="0.25">
      <c r="Q789" s="9"/>
    </row>
    <row r="790" spans="17:17" x14ac:dyDescent="0.25">
      <c r="Q790" s="9"/>
    </row>
    <row r="791" spans="17:17" x14ac:dyDescent="0.25">
      <c r="Q791" s="9"/>
    </row>
    <row r="792" spans="17:17" x14ac:dyDescent="0.25">
      <c r="Q792" s="9"/>
    </row>
    <row r="793" spans="17:17" x14ac:dyDescent="0.25">
      <c r="Q793" s="9"/>
    </row>
    <row r="794" spans="17:17" x14ac:dyDescent="0.25">
      <c r="Q794" s="9"/>
    </row>
    <row r="795" spans="17:17" x14ac:dyDescent="0.25">
      <c r="Q795" s="9"/>
    </row>
    <row r="796" spans="17:17" x14ac:dyDescent="0.25">
      <c r="Q796" s="9"/>
    </row>
    <row r="797" spans="17:17" x14ac:dyDescent="0.25">
      <c r="Q797" s="9"/>
    </row>
    <row r="798" spans="17:17" x14ac:dyDescent="0.25">
      <c r="Q798" s="9"/>
    </row>
    <row r="799" spans="17:17" x14ac:dyDescent="0.25">
      <c r="Q799" s="9"/>
    </row>
    <row r="800" spans="17:17" x14ac:dyDescent="0.25">
      <c r="Q800" s="9"/>
    </row>
    <row r="801" spans="17:17" x14ac:dyDescent="0.25">
      <c r="Q801" s="9"/>
    </row>
    <row r="802" spans="17:17" x14ac:dyDescent="0.25">
      <c r="Q802" s="9"/>
    </row>
    <row r="803" spans="17:17" x14ac:dyDescent="0.25">
      <c r="Q803" s="9"/>
    </row>
    <row r="804" spans="17:17" x14ac:dyDescent="0.25">
      <c r="Q804" s="9"/>
    </row>
    <row r="805" spans="17:17" x14ac:dyDescent="0.25">
      <c r="Q805" s="9"/>
    </row>
    <row r="806" spans="17:17" x14ac:dyDescent="0.25">
      <c r="Q806" s="9"/>
    </row>
    <row r="807" spans="17:17" x14ac:dyDescent="0.25">
      <c r="Q807" s="9"/>
    </row>
    <row r="808" spans="17:17" x14ac:dyDescent="0.25">
      <c r="Q808" s="9"/>
    </row>
    <row r="809" spans="17:17" x14ac:dyDescent="0.25">
      <c r="Q809" s="9"/>
    </row>
    <row r="810" spans="17:17" x14ac:dyDescent="0.25">
      <c r="Q810" s="9"/>
    </row>
    <row r="811" spans="17:17" x14ac:dyDescent="0.25">
      <c r="Q811" s="9"/>
    </row>
    <row r="812" spans="17:17" x14ac:dyDescent="0.25">
      <c r="Q812" s="9"/>
    </row>
    <row r="813" spans="17:17" x14ac:dyDescent="0.25">
      <c r="Q813" s="9"/>
    </row>
    <row r="814" spans="17:17" x14ac:dyDescent="0.25">
      <c r="Q814" s="9"/>
    </row>
    <row r="815" spans="17:17" x14ac:dyDescent="0.25">
      <c r="Q815" s="9"/>
    </row>
    <row r="816" spans="17:17" x14ac:dyDescent="0.25">
      <c r="Q816" s="9"/>
    </row>
    <row r="817" spans="17:17" x14ac:dyDescent="0.25">
      <c r="Q817" s="9"/>
    </row>
    <row r="818" spans="17:17" x14ac:dyDescent="0.25">
      <c r="Q818" s="9"/>
    </row>
    <row r="819" spans="17:17" x14ac:dyDescent="0.25">
      <c r="Q819" s="9"/>
    </row>
    <row r="820" spans="17:17" x14ac:dyDescent="0.25">
      <c r="Q820" s="9"/>
    </row>
    <row r="821" spans="17:17" x14ac:dyDescent="0.25">
      <c r="Q821" s="9"/>
    </row>
    <row r="822" spans="17:17" x14ac:dyDescent="0.25">
      <c r="Q822" s="9"/>
    </row>
    <row r="823" spans="17:17" x14ac:dyDescent="0.25">
      <c r="Q823" s="9"/>
    </row>
    <row r="824" spans="17:17" x14ac:dyDescent="0.25">
      <c r="Q824" s="9"/>
    </row>
    <row r="825" spans="17:17" x14ac:dyDescent="0.25">
      <c r="Q825" s="9"/>
    </row>
    <row r="826" spans="17:17" x14ac:dyDescent="0.25">
      <c r="Q826" s="9"/>
    </row>
    <row r="827" spans="17:17" x14ac:dyDescent="0.25">
      <c r="Q827" s="9"/>
    </row>
    <row r="828" spans="17:17" x14ac:dyDescent="0.25">
      <c r="Q828" s="9"/>
    </row>
    <row r="829" spans="17:17" x14ac:dyDescent="0.25">
      <c r="Q829" s="9"/>
    </row>
    <row r="830" spans="17:17" x14ac:dyDescent="0.25">
      <c r="Q830" s="9"/>
    </row>
    <row r="831" spans="17:17" x14ac:dyDescent="0.25">
      <c r="Q831" s="9"/>
    </row>
    <row r="832" spans="17:17" x14ac:dyDescent="0.25">
      <c r="Q832" s="9"/>
    </row>
    <row r="833" spans="17:17" x14ac:dyDescent="0.25">
      <c r="Q833" s="9"/>
    </row>
    <row r="834" spans="17:17" x14ac:dyDescent="0.25">
      <c r="Q834" s="9"/>
    </row>
    <row r="835" spans="17:17" x14ac:dyDescent="0.25">
      <c r="Q835" s="9"/>
    </row>
    <row r="836" spans="17:17" x14ac:dyDescent="0.25">
      <c r="Q836" s="9"/>
    </row>
    <row r="837" spans="17:17" x14ac:dyDescent="0.25">
      <c r="Q837" s="9"/>
    </row>
    <row r="838" spans="17:17" x14ac:dyDescent="0.25">
      <c r="Q838" s="9"/>
    </row>
    <row r="839" spans="17:17" x14ac:dyDescent="0.25">
      <c r="Q839" s="9"/>
    </row>
    <row r="840" spans="17:17" x14ac:dyDescent="0.25">
      <c r="Q840" s="9"/>
    </row>
    <row r="841" spans="17:17" x14ac:dyDescent="0.25">
      <c r="Q841" s="9"/>
    </row>
    <row r="842" spans="17:17" x14ac:dyDescent="0.25">
      <c r="Q842" s="9"/>
    </row>
    <row r="843" spans="17:17" x14ac:dyDescent="0.25">
      <c r="Q843" s="9"/>
    </row>
    <row r="844" spans="17:17" x14ac:dyDescent="0.25">
      <c r="Q844" s="9"/>
    </row>
    <row r="845" spans="17:17" x14ac:dyDescent="0.25">
      <c r="Q845" s="9"/>
    </row>
    <row r="846" spans="17:17" x14ac:dyDescent="0.25">
      <c r="Q846" s="9"/>
    </row>
    <row r="847" spans="17:17" x14ac:dyDescent="0.25">
      <c r="Q847" s="9"/>
    </row>
    <row r="848" spans="17:17" x14ac:dyDescent="0.25">
      <c r="Q848" s="9"/>
    </row>
    <row r="849" spans="17:17" x14ac:dyDescent="0.25">
      <c r="Q849" s="9"/>
    </row>
    <row r="850" spans="17:17" x14ac:dyDescent="0.25">
      <c r="Q850" s="9"/>
    </row>
    <row r="851" spans="17:17" x14ac:dyDescent="0.25">
      <c r="Q851" s="9"/>
    </row>
    <row r="852" spans="17:17" x14ac:dyDescent="0.25">
      <c r="Q852" s="9"/>
    </row>
    <row r="853" spans="17:17" x14ac:dyDescent="0.25">
      <c r="Q853" s="9"/>
    </row>
    <row r="854" spans="17:17" x14ac:dyDescent="0.25">
      <c r="Q854" s="9"/>
    </row>
    <row r="855" spans="17:17" x14ac:dyDescent="0.25">
      <c r="Q855" s="9"/>
    </row>
    <row r="856" spans="17:17" x14ac:dyDescent="0.25">
      <c r="Q856" s="9"/>
    </row>
    <row r="857" spans="17:17" x14ac:dyDescent="0.25">
      <c r="Q857" s="9"/>
    </row>
    <row r="858" spans="17:17" x14ac:dyDescent="0.25">
      <c r="Q858" s="9"/>
    </row>
    <row r="859" spans="17:17" x14ac:dyDescent="0.25">
      <c r="Q859" s="9"/>
    </row>
    <row r="860" spans="17:17" x14ac:dyDescent="0.25">
      <c r="Q860" s="9"/>
    </row>
    <row r="861" spans="17:17" x14ac:dyDescent="0.25">
      <c r="Q861" s="9"/>
    </row>
    <row r="862" spans="17:17" x14ac:dyDescent="0.25">
      <c r="Q862" s="9"/>
    </row>
    <row r="863" spans="17:17" x14ac:dyDescent="0.25">
      <c r="Q863" s="9"/>
    </row>
    <row r="864" spans="17:17" x14ac:dyDescent="0.25">
      <c r="Q864" s="9"/>
    </row>
  </sheetData>
  <autoFilter ref="A3:Q3" xr:uid="{00000000-0009-0000-0000-000002000000}"/>
  <mergeCells count="14">
    <mergeCell ref="Z2:AK2"/>
    <mergeCell ref="N2:P2"/>
    <mergeCell ref="AM2:AO2"/>
    <mergeCell ref="Z1:AO1"/>
    <mergeCell ref="AL2:AL3"/>
    <mergeCell ref="U2:W2"/>
    <mergeCell ref="B1:P1"/>
    <mergeCell ref="R2:T2"/>
    <mergeCell ref="R1:W1"/>
    <mergeCell ref="B2:C2"/>
    <mergeCell ref="F2:G2"/>
    <mergeCell ref="H2:I2"/>
    <mergeCell ref="J2:K2"/>
    <mergeCell ref="D2:E2"/>
  </mergeCells>
  <conditionalFormatting sqref="AS4:AS36">
    <cfRule type="cellIs" dxfId="7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121"/>
  <sheetViews>
    <sheetView topLeftCell="A25" zoomScaleNormal="100" workbookViewId="0">
      <selection activeCell="M27" sqref="M27"/>
    </sheetView>
  </sheetViews>
  <sheetFormatPr defaultRowHeight="15" x14ac:dyDescent="0.25"/>
  <cols>
    <col min="1" max="1" width="10.42578125" bestFit="1" customWidth="1"/>
    <col min="2" max="2" width="11.28515625" customWidth="1"/>
    <col min="3" max="3" width="10.7109375" customWidth="1"/>
    <col min="6" max="6" width="13.28515625" customWidth="1"/>
    <col min="7" max="7" width="10.85546875" customWidth="1"/>
    <col min="8" max="8" width="11" bestFit="1" customWidth="1"/>
    <col min="9" max="9" width="10.85546875" customWidth="1"/>
    <col min="11" max="11" width="10.85546875" customWidth="1"/>
    <col min="13" max="13" width="12.5703125" customWidth="1"/>
    <col min="15" max="15" width="11.140625" customWidth="1"/>
    <col min="17" max="17" width="14" customWidth="1"/>
    <col min="18" max="18" width="11.42578125" customWidth="1"/>
    <col min="19" max="19" width="11.5703125" customWidth="1"/>
    <col min="20" max="20" width="10.28515625" customWidth="1"/>
    <col min="24" max="24" width="12.140625" customWidth="1"/>
    <col min="25" max="25" width="14.140625" customWidth="1"/>
    <col min="26" max="26" width="13" customWidth="1"/>
    <col min="29" max="29" width="10.28515625" customWidth="1"/>
    <col min="30" max="30" width="14.28515625" customWidth="1"/>
    <col min="32" max="32" width="10.28515625" customWidth="1"/>
    <col min="33" max="33" width="10" bestFit="1" customWidth="1"/>
    <col min="38" max="38" width="11.42578125" customWidth="1"/>
    <col min="39" max="39" width="10" customWidth="1"/>
    <col min="41" max="41" width="11.28515625" customWidth="1"/>
    <col min="42" max="42" width="10" bestFit="1" customWidth="1"/>
    <col min="43" max="43" width="11.85546875" customWidth="1"/>
    <col min="44" max="44" width="11.5703125" customWidth="1"/>
    <col min="45" max="45" width="12.140625" customWidth="1"/>
  </cols>
  <sheetData>
    <row r="1" spans="1:48" ht="18.75" x14ac:dyDescent="0.3">
      <c r="A1" s="6"/>
      <c r="B1" s="81" t="s">
        <v>45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11"/>
      <c r="R1" s="85" t="s">
        <v>46</v>
      </c>
      <c r="S1" s="85"/>
      <c r="T1" s="85"/>
      <c r="U1" s="85"/>
      <c r="V1" s="85"/>
      <c r="W1" s="85"/>
      <c r="X1" s="2"/>
      <c r="Y1" s="3"/>
      <c r="Z1" s="94" t="s">
        <v>33</v>
      </c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10"/>
      <c r="AQ1" s="2"/>
      <c r="AR1" s="2"/>
      <c r="AS1" s="2"/>
      <c r="AT1" s="2"/>
      <c r="AU1" s="2"/>
      <c r="AV1" s="2"/>
    </row>
    <row r="2" spans="1:48" x14ac:dyDescent="0.25">
      <c r="A2" s="12" t="s">
        <v>0</v>
      </c>
      <c r="B2" s="82" t="s">
        <v>5</v>
      </c>
      <c r="C2" s="82"/>
      <c r="D2" s="83" t="s">
        <v>12</v>
      </c>
      <c r="E2" s="83"/>
      <c r="F2" s="83" t="s">
        <v>6</v>
      </c>
      <c r="G2" s="83"/>
      <c r="H2" s="84" t="s">
        <v>7</v>
      </c>
      <c r="I2" s="84"/>
      <c r="J2" s="84" t="s">
        <v>8</v>
      </c>
      <c r="K2" s="84"/>
      <c r="L2" s="13"/>
      <c r="M2" s="13" t="s">
        <v>35</v>
      </c>
      <c r="N2" s="84" t="s">
        <v>15</v>
      </c>
      <c r="O2" s="84"/>
      <c r="P2" s="84"/>
      <c r="Q2" s="44"/>
      <c r="R2" s="86" t="s">
        <v>36</v>
      </c>
      <c r="S2" s="87"/>
      <c r="T2" s="88"/>
      <c r="U2" s="89" t="s">
        <v>47</v>
      </c>
      <c r="V2" s="90"/>
      <c r="W2" s="91"/>
      <c r="X2" s="12" t="s">
        <v>14</v>
      </c>
      <c r="Y2" s="14"/>
      <c r="Z2" s="92" t="s">
        <v>13</v>
      </c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5" t="s">
        <v>34</v>
      </c>
      <c r="AM2" s="93" t="s">
        <v>29</v>
      </c>
      <c r="AN2" s="93"/>
      <c r="AO2" s="93"/>
      <c r="AP2" s="48"/>
      <c r="AQ2" s="12"/>
      <c r="AR2" s="15"/>
      <c r="AS2" s="15"/>
      <c r="AT2" s="15"/>
      <c r="AU2" s="15"/>
      <c r="AV2" s="15"/>
    </row>
    <row r="3" spans="1:48" ht="39" x14ac:dyDescent="0.25">
      <c r="A3" s="16"/>
      <c r="B3" s="17" t="s">
        <v>1</v>
      </c>
      <c r="C3" s="17" t="s">
        <v>2</v>
      </c>
      <c r="D3" s="18" t="s">
        <v>1</v>
      </c>
      <c r="E3" s="18" t="s">
        <v>2</v>
      </c>
      <c r="F3" s="19" t="s">
        <v>1</v>
      </c>
      <c r="G3" s="19" t="s">
        <v>2</v>
      </c>
      <c r="H3" s="19" t="s">
        <v>9</v>
      </c>
      <c r="I3" s="18" t="s">
        <v>10</v>
      </c>
      <c r="J3" s="16" t="s">
        <v>11</v>
      </c>
      <c r="K3" s="18" t="s">
        <v>10</v>
      </c>
      <c r="L3" s="18" t="s">
        <v>4</v>
      </c>
      <c r="M3" s="18"/>
      <c r="N3" s="18" t="s">
        <v>52</v>
      </c>
      <c r="O3" s="18" t="s">
        <v>40</v>
      </c>
      <c r="P3" s="16" t="s">
        <v>28</v>
      </c>
      <c r="Q3" s="44" t="s">
        <v>3</v>
      </c>
      <c r="R3" s="18" t="s">
        <v>1</v>
      </c>
      <c r="S3" s="18" t="s">
        <v>2</v>
      </c>
      <c r="T3" s="18" t="s">
        <v>51</v>
      </c>
      <c r="U3" s="18" t="s">
        <v>39</v>
      </c>
      <c r="V3" s="18" t="s">
        <v>38</v>
      </c>
      <c r="W3" s="18" t="s">
        <v>37</v>
      </c>
      <c r="X3" s="16"/>
      <c r="Y3" s="20" t="s">
        <v>48</v>
      </c>
      <c r="Z3" s="16" t="s">
        <v>55</v>
      </c>
      <c r="AA3" s="16" t="s">
        <v>17</v>
      </c>
      <c r="AB3" s="16" t="s">
        <v>18</v>
      </c>
      <c r="AC3" s="16" t="s">
        <v>19</v>
      </c>
      <c r="AD3" s="16" t="s">
        <v>54</v>
      </c>
      <c r="AE3" s="16" t="s">
        <v>21</v>
      </c>
      <c r="AF3" s="16" t="s">
        <v>22</v>
      </c>
      <c r="AG3" s="16" t="s">
        <v>23</v>
      </c>
      <c r="AH3" s="16" t="s">
        <v>24</v>
      </c>
      <c r="AI3" s="16" t="s">
        <v>25</v>
      </c>
      <c r="AJ3" s="16" t="s">
        <v>53</v>
      </c>
      <c r="AK3" s="16" t="s">
        <v>41</v>
      </c>
      <c r="AL3" s="96"/>
      <c r="AM3" s="21" t="s">
        <v>30</v>
      </c>
      <c r="AN3" s="21" t="s">
        <v>31</v>
      </c>
      <c r="AO3" s="21" t="s">
        <v>32</v>
      </c>
      <c r="AP3" s="49" t="s">
        <v>49</v>
      </c>
      <c r="AQ3" s="22" t="s">
        <v>42</v>
      </c>
      <c r="AR3" s="23" t="s">
        <v>44</v>
      </c>
      <c r="AS3" s="24" t="s">
        <v>43</v>
      </c>
      <c r="AT3" s="15"/>
      <c r="AU3" s="15"/>
      <c r="AV3" s="15"/>
    </row>
    <row r="4" spans="1:48" x14ac:dyDescent="0.25">
      <c r="A4" s="25">
        <v>44835</v>
      </c>
      <c r="B4" s="46">
        <v>1672.86</v>
      </c>
      <c r="C4" s="46">
        <v>1598.71</v>
      </c>
      <c r="D4" s="47">
        <v>6460</v>
      </c>
      <c r="E4" s="47">
        <v>6200</v>
      </c>
      <c r="F4" s="13">
        <f t="shared" ref="F4:G34" si="0">B4*D4</f>
        <v>10806675.6</v>
      </c>
      <c r="G4" s="13">
        <f t="shared" si="0"/>
        <v>9912002</v>
      </c>
      <c r="H4" s="26"/>
      <c r="I4" s="13"/>
      <c r="J4" s="27">
        <v>36.5</v>
      </c>
      <c r="K4" s="13">
        <v>337000</v>
      </c>
      <c r="L4" s="13">
        <v>164000</v>
      </c>
      <c r="M4" s="13"/>
      <c r="N4" s="13">
        <v>123000</v>
      </c>
      <c r="O4" s="13">
        <v>464000</v>
      </c>
      <c r="P4" s="13">
        <v>6000</v>
      </c>
      <c r="Q4" s="45">
        <f>SUM(F4:G4)+I4+K4+SUM(L4:P4)</f>
        <v>21812677.600000001</v>
      </c>
      <c r="R4" s="13">
        <v>3680197</v>
      </c>
      <c r="S4" s="13">
        <v>9377274</v>
      </c>
      <c r="T4" s="13"/>
      <c r="U4" s="13"/>
      <c r="V4" s="13"/>
      <c r="W4" s="13">
        <v>163000</v>
      </c>
      <c r="X4" s="13">
        <v>398000</v>
      </c>
      <c r="Y4" s="28">
        <f>Q4-SUM(R4:X4)</f>
        <v>8194206.6000000015</v>
      </c>
      <c r="Z4" s="13"/>
      <c r="AA4" s="13"/>
      <c r="AB4" s="13"/>
      <c r="AC4" s="13">
        <v>15000</v>
      </c>
      <c r="AD4" s="13"/>
      <c r="AE4" s="13"/>
      <c r="AF4" s="13">
        <v>20000</v>
      </c>
      <c r="AG4" s="13">
        <v>2440000</v>
      </c>
      <c r="AH4" s="13"/>
      <c r="AI4" s="13"/>
      <c r="AJ4" s="13"/>
      <c r="AK4" s="13"/>
      <c r="AL4" s="43">
        <f t="shared" ref="AL4:AL17" si="1">SUM(Z4:AK4)</f>
        <v>2475000</v>
      </c>
      <c r="AM4" s="12"/>
      <c r="AN4" s="12"/>
      <c r="AO4" s="12"/>
      <c r="AP4" s="12"/>
      <c r="AQ4" s="29">
        <f>Q4-SUM(R4:X4)-AL4-SUM(AM4:AO4)-AP4</f>
        <v>5719206.6000000015</v>
      </c>
      <c r="AR4" s="15">
        <v>6931300</v>
      </c>
      <c r="AS4" s="30">
        <f t="shared" ref="AS4:AS34" si="2">AR4-AQ4</f>
        <v>1212093.3999999985</v>
      </c>
      <c r="AT4" s="15"/>
      <c r="AU4" s="15"/>
      <c r="AV4" s="15"/>
    </row>
    <row r="5" spans="1:48" x14ac:dyDescent="0.25">
      <c r="A5" s="25">
        <v>44836</v>
      </c>
      <c r="B5" s="46">
        <v>1581.07</v>
      </c>
      <c r="C5" s="46">
        <v>792.29</v>
      </c>
      <c r="D5" s="47">
        <v>6460</v>
      </c>
      <c r="E5" s="47">
        <v>6200</v>
      </c>
      <c r="F5" s="13">
        <f t="shared" si="0"/>
        <v>10213712.199999999</v>
      </c>
      <c r="G5" s="13">
        <f t="shared" si="0"/>
        <v>4912198</v>
      </c>
      <c r="H5" s="31"/>
      <c r="I5" s="13"/>
      <c r="J5" s="27">
        <v>30</v>
      </c>
      <c r="K5" s="13">
        <v>280000</v>
      </c>
      <c r="L5" s="13">
        <v>38000</v>
      </c>
      <c r="M5" s="13"/>
      <c r="N5" s="13">
        <v>72000</v>
      </c>
      <c r="O5" s="13"/>
      <c r="P5" s="13"/>
      <c r="Q5" s="45">
        <f t="shared" ref="Q5:Q34" si="3">SUM(F5:G5)+I5+K5+SUM(L5:P5)</f>
        <v>15515910.199999999</v>
      </c>
      <c r="R5" s="13">
        <v>597631</v>
      </c>
      <c r="S5" s="13">
        <v>3969091</v>
      </c>
      <c r="T5" s="13"/>
      <c r="U5" s="13"/>
      <c r="V5" s="13"/>
      <c r="W5" s="13">
        <v>20000</v>
      </c>
      <c r="X5" s="32">
        <v>400000</v>
      </c>
      <c r="Y5" s="28">
        <f>Q5-SUM(R5:X5)</f>
        <v>10529188.199999999</v>
      </c>
      <c r="Z5" s="33"/>
      <c r="AA5" s="34"/>
      <c r="AB5" s="13"/>
      <c r="AC5" s="13"/>
      <c r="AD5" s="13"/>
      <c r="AE5" s="13">
        <v>810000</v>
      </c>
      <c r="AF5" s="13">
        <v>3000</v>
      </c>
      <c r="AG5" s="13"/>
      <c r="AH5" s="13"/>
      <c r="AI5" s="13"/>
      <c r="AJ5" s="13"/>
      <c r="AK5" s="13"/>
      <c r="AL5" s="43">
        <f t="shared" si="1"/>
        <v>813000</v>
      </c>
      <c r="AM5" s="12"/>
      <c r="AN5" s="12"/>
      <c r="AO5" s="12"/>
      <c r="AP5" s="12">
        <v>491000</v>
      </c>
      <c r="AQ5" s="29">
        <f t="shared" ref="AQ5:AQ34" si="4">Q5-SUM(R5:X5)-AL5-SUM(AM5:AO5)-AP5</f>
        <v>9225188.1999999993</v>
      </c>
      <c r="AR5" s="15">
        <v>9488500</v>
      </c>
      <c r="AS5" s="30">
        <f t="shared" si="2"/>
        <v>263311.80000000075</v>
      </c>
      <c r="AT5" s="15"/>
      <c r="AU5" s="15"/>
      <c r="AV5" s="15"/>
    </row>
    <row r="6" spans="1:48" x14ac:dyDescent="0.25">
      <c r="A6" s="25">
        <v>44837</v>
      </c>
      <c r="B6" s="46">
        <v>1540.64</v>
      </c>
      <c r="C6" s="46">
        <v>2072.4499999999998</v>
      </c>
      <c r="D6" s="47">
        <v>6460</v>
      </c>
      <c r="E6" s="47">
        <v>6200</v>
      </c>
      <c r="F6" s="13">
        <f t="shared" si="0"/>
        <v>9952534.4000000004</v>
      </c>
      <c r="G6" s="13">
        <f t="shared" si="0"/>
        <v>12849189.999999998</v>
      </c>
      <c r="H6" s="26"/>
      <c r="I6" s="13"/>
      <c r="J6" s="27">
        <v>27</v>
      </c>
      <c r="K6" s="13">
        <v>252000</v>
      </c>
      <c r="L6" s="13">
        <v>8000</v>
      </c>
      <c r="M6" s="13"/>
      <c r="N6" s="13">
        <v>72000</v>
      </c>
      <c r="O6" s="13">
        <v>250000</v>
      </c>
      <c r="P6" s="13"/>
      <c r="Q6" s="45">
        <f t="shared" si="3"/>
        <v>23383724.399999999</v>
      </c>
      <c r="R6" s="13">
        <v>1230263</v>
      </c>
      <c r="S6" s="13">
        <v>10698311</v>
      </c>
      <c r="T6" s="13"/>
      <c r="U6" s="13"/>
      <c r="V6" s="13"/>
      <c r="W6" s="13"/>
      <c r="X6" s="13">
        <v>912900</v>
      </c>
      <c r="Y6" s="28">
        <f>Q6-SUM(R6:X6)</f>
        <v>10542250.399999999</v>
      </c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43">
        <f t="shared" si="1"/>
        <v>0</v>
      </c>
      <c r="AM6" s="12"/>
      <c r="AN6" s="12"/>
      <c r="AO6" s="12"/>
      <c r="AP6" s="12">
        <v>1684000</v>
      </c>
      <c r="AQ6" s="29">
        <f t="shared" si="4"/>
        <v>8858250.3999999985</v>
      </c>
      <c r="AR6" s="15">
        <v>9222800</v>
      </c>
      <c r="AS6" s="30">
        <f t="shared" si="2"/>
        <v>364549.60000000149</v>
      </c>
      <c r="AT6" s="15"/>
      <c r="AU6" s="15"/>
      <c r="AV6" s="15"/>
    </row>
    <row r="7" spans="1:48" x14ac:dyDescent="0.25">
      <c r="A7" s="25">
        <v>44838</v>
      </c>
      <c r="B7" s="46">
        <v>1514.54</v>
      </c>
      <c r="C7" s="46">
        <v>2285.29</v>
      </c>
      <c r="D7" s="47">
        <v>6460</v>
      </c>
      <c r="E7" s="47">
        <v>6200</v>
      </c>
      <c r="F7" s="13">
        <f t="shared" si="0"/>
        <v>9783928.4000000004</v>
      </c>
      <c r="G7" s="13">
        <f t="shared" si="0"/>
        <v>14168798</v>
      </c>
      <c r="H7" s="26"/>
      <c r="I7" s="13"/>
      <c r="J7" s="27">
        <v>40.5</v>
      </c>
      <c r="K7" s="13">
        <v>367000</v>
      </c>
      <c r="L7" s="13">
        <v>60000</v>
      </c>
      <c r="M7" s="13">
        <v>200000</v>
      </c>
      <c r="N7" s="13">
        <v>261200</v>
      </c>
      <c r="O7" s="13">
        <v>390000</v>
      </c>
      <c r="P7" s="13">
        <v>12000</v>
      </c>
      <c r="Q7" s="45">
        <f t="shared" si="3"/>
        <v>25242926.399999999</v>
      </c>
      <c r="R7" s="13">
        <v>2880890</v>
      </c>
      <c r="S7" s="13">
        <v>13154926</v>
      </c>
      <c r="T7" s="13"/>
      <c r="U7" s="13"/>
      <c r="V7" s="13"/>
      <c r="W7" s="13"/>
      <c r="X7" s="13">
        <v>1815000</v>
      </c>
      <c r="Y7" s="28">
        <f t="shared" ref="Y7:Y34" si="5">Q7-SUM(R7:X7)</f>
        <v>7392110.3999999985</v>
      </c>
      <c r="Z7" s="13"/>
      <c r="AA7" s="13"/>
      <c r="AB7" s="13"/>
      <c r="AC7" s="13"/>
      <c r="AD7" s="13"/>
      <c r="AE7" s="13"/>
      <c r="AF7" s="13">
        <v>6000</v>
      </c>
      <c r="AG7" s="13"/>
      <c r="AH7" s="13">
        <v>25000</v>
      </c>
      <c r="AI7" s="13"/>
      <c r="AJ7" s="13"/>
      <c r="AK7" s="13"/>
      <c r="AL7" s="43">
        <f t="shared" si="1"/>
        <v>31000</v>
      </c>
      <c r="AM7" s="12">
        <v>792500</v>
      </c>
      <c r="AN7" s="12"/>
      <c r="AO7" s="12"/>
      <c r="AP7" s="12">
        <v>496000</v>
      </c>
      <c r="AQ7" s="29">
        <f t="shared" si="4"/>
        <v>6072610.3999999985</v>
      </c>
      <c r="AR7" s="15">
        <v>6748100</v>
      </c>
      <c r="AS7" s="30">
        <f t="shared" si="2"/>
        <v>675489.60000000149</v>
      </c>
      <c r="AT7" s="15"/>
      <c r="AU7" s="15"/>
      <c r="AV7" s="15"/>
    </row>
    <row r="8" spans="1:48" x14ac:dyDescent="0.25">
      <c r="A8" s="25">
        <v>44839</v>
      </c>
      <c r="B8" s="46">
        <v>1046.5</v>
      </c>
      <c r="C8" s="46">
        <v>1464.53</v>
      </c>
      <c r="D8" s="47">
        <v>6460</v>
      </c>
      <c r="E8" s="47">
        <v>6200</v>
      </c>
      <c r="F8" s="13">
        <f t="shared" si="0"/>
        <v>6760390</v>
      </c>
      <c r="G8" s="13">
        <f t="shared" si="0"/>
        <v>9080086</v>
      </c>
      <c r="H8" s="26"/>
      <c r="I8" s="13"/>
      <c r="J8" s="27">
        <v>73.5</v>
      </c>
      <c r="K8" s="13">
        <v>675000</v>
      </c>
      <c r="L8" s="13">
        <v>16000</v>
      </c>
      <c r="M8" s="13">
        <v>200000</v>
      </c>
      <c r="N8" s="13">
        <v>261200</v>
      </c>
      <c r="O8" s="13">
        <v>14400</v>
      </c>
      <c r="P8" s="13"/>
      <c r="Q8" s="45">
        <f t="shared" si="3"/>
        <v>17007076</v>
      </c>
      <c r="R8" s="13">
        <v>1577606</v>
      </c>
      <c r="S8" s="13">
        <v>6546386</v>
      </c>
      <c r="T8" s="13"/>
      <c r="U8" s="13"/>
      <c r="V8" s="13"/>
      <c r="W8" s="13"/>
      <c r="X8" s="13">
        <v>3541300</v>
      </c>
      <c r="Y8" s="28">
        <f t="shared" si="5"/>
        <v>5341784</v>
      </c>
      <c r="Z8" s="13"/>
      <c r="AA8" s="13"/>
      <c r="AB8" s="13"/>
      <c r="AC8" s="13"/>
      <c r="AD8" s="13"/>
      <c r="AE8" s="13"/>
      <c r="AF8" s="13">
        <v>5000</v>
      </c>
      <c r="AG8" s="13"/>
      <c r="AH8" s="13"/>
      <c r="AI8" s="13"/>
      <c r="AJ8" s="13"/>
      <c r="AK8" s="13"/>
      <c r="AL8" s="43">
        <f t="shared" si="1"/>
        <v>5000</v>
      </c>
      <c r="AM8" s="12"/>
      <c r="AN8" s="12"/>
      <c r="AO8" s="12"/>
      <c r="AP8" s="12">
        <v>1340000</v>
      </c>
      <c r="AQ8" s="29">
        <f t="shared" si="4"/>
        <v>3996784</v>
      </c>
      <c r="AR8" s="15">
        <v>4458800</v>
      </c>
      <c r="AS8" s="30">
        <f t="shared" si="2"/>
        <v>462016</v>
      </c>
      <c r="AT8" s="15"/>
      <c r="AU8" s="15"/>
      <c r="AV8" s="15"/>
    </row>
    <row r="9" spans="1:48" x14ac:dyDescent="0.25">
      <c r="A9" s="25">
        <v>44840</v>
      </c>
      <c r="B9" s="46">
        <v>1046.3900000000001</v>
      </c>
      <c r="C9" s="46">
        <v>1603.88</v>
      </c>
      <c r="D9" s="47">
        <v>6460</v>
      </c>
      <c r="E9" s="47">
        <v>6200</v>
      </c>
      <c r="F9" s="13">
        <f t="shared" si="0"/>
        <v>6759679.4000000004</v>
      </c>
      <c r="G9" s="13">
        <f t="shared" si="0"/>
        <v>9944056</v>
      </c>
      <c r="H9" s="26"/>
      <c r="I9" s="13"/>
      <c r="J9" s="27">
        <v>58</v>
      </c>
      <c r="K9" s="13">
        <v>393000</v>
      </c>
      <c r="L9" s="13">
        <v>8000</v>
      </c>
      <c r="M9" s="13"/>
      <c r="N9" s="13">
        <v>301200</v>
      </c>
      <c r="O9" s="13">
        <v>793500</v>
      </c>
      <c r="P9" s="31">
        <v>4000</v>
      </c>
      <c r="Q9" s="45">
        <f t="shared" si="3"/>
        <v>18203435.399999999</v>
      </c>
      <c r="R9" s="13">
        <v>3115214</v>
      </c>
      <c r="S9" s="13">
        <v>9442940</v>
      </c>
      <c r="T9" s="13"/>
      <c r="U9" s="13"/>
      <c r="V9" s="13"/>
      <c r="W9" s="13"/>
      <c r="X9" s="31">
        <v>100000</v>
      </c>
      <c r="Y9" s="28">
        <f t="shared" si="5"/>
        <v>5545281.3999999985</v>
      </c>
      <c r="Z9" s="13"/>
      <c r="AA9" s="13"/>
      <c r="AB9" s="13"/>
      <c r="AC9" s="13"/>
      <c r="AD9" s="13"/>
      <c r="AE9" s="13"/>
      <c r="AF9" s="13">
        <v>6000</v>
      </c>
      <c r="AG9" s="13"/>
      <c r="AH9" s="13"/>
      <c r="AI9" s="13"/>
      <c r="AJ9" s="13"/>
      <c r="AK9" s="13"/>
      <c r="AL9" s="43">
        <f t="shared" si="1"/>
        <v>6000</v>
      </c>
      <c r="AM9" s="12"/>
      <c r="AN9" s="12"/>
      <c r="AO9" s="12"/>
      <c r="AP9" s="12"/>
      <c r="AQ9" s="29">
        <f t="shared" si="4"/>
        <v>5539281.3999999985</v>
      </c>
      <c r="AR9" s="15">
        <v>6161300</v>
      </c>
      <c r="AS9" s="30">
        <f t="shared" si="2"/>
        <v>622018.60000000149</v>
      </c>
      <c r="AT9" s="15"/>
      <c r="AU9" s="15"/>
      <c r="AV9" s="15"/>
    </row>
    <row r="10" spans="1:48" x14ac:dyDescent="0.25">
      <c r="A10" s="25">
        <v>44841</v>
      </c>
      <c r="B10" s="46">
        <v>1180.6199999999999</v>
      </c>
      <c r="C10" s="46">
        <v>2418.37</v>
      </c>
      <c r="D10" s="47">
        <v>6460</v>
      </c>
      <c r="E10" s="47">
        <v>6200</v>
      </c>
      <c r="F10" s="13">
        <f t="shared" si="0"/>
        <v>7626805.1999999993</v>
      </c>
      <c r="G10" s="13">
        <f t="shared" si="0"/>
        <v>14993894</v>
      </c>
      <c r="H10" s="26"/>
      <c r="I10" s="13"/>
      <c r="J10" s="27">
        <v>12</v>
      </c>
      <c r="K10" s="13">
        <v>112000</v>
      </c>
      <c r="L10" s="13">
        <v>15000</v>
      </c>
      <c r="M10" s="13"/>
      <c r="N10" s="13"/>
      <c r="O10" s="13">
        <v>500000</v>
      </c>
      <c r="P10" s="13"/>
      <c r="Q10" s="45">
        <f t="shared" si="3"/>
        <v>23247699.199999999</v>
      </c>
      <c r="R10" s="13">
        <v>1804661</v>
      </c>
      <c r="S10" s="13">
        <v>12106288</v>
      </c>
      <c r="T10" s="13"/>
      <c r="U10" s="13"/>
      <c r="V10" s="13"/>
      <c r="W10" s="13"/>
      <c r="X10" s="13">
        <v>4722000</v>
      </c>
      <c r="Y10" s="28">
        <f t="shared" si="5"/>
        <v>4614750.1999999993</v>
      </c>
      <c r="Z10" s="12"/>
      <c r="AA10" s="12"/>
      <c r="AB10" s="12"/>
      <c r="AC10" s="12">
        <v>136000</v>
      </c>
      <c r="AD10" s="12"/>
      <c r="AE10" s="12"/>
      <c r="AF10" s="12">
        <v>2000</v>
      </c>
      <c r="AG10" s="12"/>
      <c r="AH10" s="12">
        <v>89000</v>
      </c>
      <c r="AI10" s="12"/>
      <c r="AJ10" s="12"/>
      <c r="AK10" s="12"/>
      <c r="AL10" s="43">
        <f t="shared" si="1"/>
        <v>227000</v>
      </c>
      <c r="AM10" s="12"/>
      <c r="AN10" s="12"/>
      <c r="AO10" s="32"/>
      <c r="AP10" s="32">
        <v>1933000</v>
      </c>
      <c r="AQ10" s="29">
        <f t="shared" si="4"/>
        <v>2454750.1999999993</v>
      </c>
      <c r="AR10" s="15">
        <v>2570200</v>
      </c>
      <c r="AS10" s="30">
        <f t="shared" si="2"/>
        <v>115449.80000000075</v>
      </c>
      <c r="AT10" s="15"/>
      <c r="AU10" s="15"/>
      <c r="AV10" s="15"/>
    </row>
    <row r="11" spans="1:48" x14ac:dyDescent="0.25">
      <c r="A11" s="25">
        <v>44842</v>
      </c>
      <c r="B11" s="46">
        <v>1330.09</v>
      </c>
      <c r="C11" s="46">
        <v>976.91</v>
      </c>
      <c r="D11" s="47">
        <v>6120</v>
      </c>
      <c r="E11" s="47">
        <v>5850</v>
      </c>
      <c r="F11" s="13">
        <v>8214270</v>
      </c>
      <c r="G11" s="13">
        <v>5814323</v>
      </c>
      <c r="H11" s="26"/>
      <c r="I11" s="13"/>
      <c r="J11" s="27">
        <v>36.5</v>
      </c>
      <c r="K11" s="13">
        <v>377000</v>
      </c>
      <c r="L11" s="13">
        <v>8000</v>
      </c>
      <c r="M11" s="13"/>
      <c r="N11" s="13"/>
      <c r="O11" s="13"/>
      <c r="P11" s="13"/>
      <c r="Q11" s="45">
        <f t="shared" si="3"/>
        <v>14413593</v>
      </c>
      <c r="R11" s="13">
        <v>1270688</v>
      </c>
      <c r="S11" s="13">
        <v>2715003</v>
      </c>
      <c r="T11" s="13"/>
      <c r="U11" s="13"/>
      <c r="V11" s="13"/>
      <c r="W11" s="13"/>
      <c r="X11" s="13">
        <v>1393000</v>
      </c>
      <c r="Y11" s="28">
        <f t="shared" si="5"/>
        <v>9034902</v>
      </c>
      <c r="Z11" s="12"/>
      <c r="AA11" s="12"/>
      <c r="AB11" s="12"/>
      <c r="AC11" s="12"/>
      <c r="AD11" s="12"/>
      <c r="AE11" s="12"/>
      <c r="AF11" s="12">
        <v>5000</v>
      </c>
      <c r="AG11" s="12"/>
      <c r="AH11" s="12"/>
      <c r="AI11" s="12"/>
      <c r="AJ11" s="12">
        <v>50000</v>
      </c>
      <c r="AK11" s="12"/>
      <c r="AL11" s="43">
        <f t="shared" si="1"/>
        <v>55000</v>
      </c>
      <c r="AM11" s="12"/>
      <c r="AN11" s="12"/>
      <c r="AO11" s="32"/>
      <c r="AP11" s="32"/>
      <c r="AQ11" s="29">
        <f t="shared" si="4"/>
        <v>8979902</v>
      </c>
      <c r="AR11" s="15">
        <v>10561400</v>
      </c>
      <c r="AS11" s="30">
        <f t="shared" si="2"/>
        <v>1581498</v>
      </c>
      <c r="AT11" s="15"/>
      <c r="AU11" s="15"/>
      <c r="AV11" s="15"/>
    </row>
    <row r="12" spans="1:48" x14ac:dyDescent="0.25">
      <c r="A12" s="25">
        <v>44843</v>
      </c>
      <c r="B12" s="46">
        <v>1203.48</v>
      </c>
      <c r="C12" s="46">
        <v>1050.17</v>
      </c>
      <c r="D12" s="47">
        <v>6120</v>
      </c>
      <c r="E12" s="47">
        <v>5850</v>
      </c>
      <c r="F12" s="13">
        <f t="shared" si="0"/>
        <v>7365297.6000000006</v>
      </c>
      <c r="G12" s="13">
        <f t="shared" si="0"/>
        <v>6143494.5</v>
      </c>
      <c r="H12" s="26"/>
      <c r="I12" s="13"/>
      <c r="J12" s="27">
        <v>18.5</v>
      </c>
      <c r="K12" s="13">
        <v>169000</v>
      </c>
      <c r="L12" s="13">
        <v>23000</v>
      </c>
      <c r="M12" s="13"/>
      <c r="N12" s="13"/>
      <c r="O12" s="13"/>
      <c r="P12" s="13"/>
      <c r="Q12" s="45">
        <f t="shared" si="3"/>
        <v>13700792.100000001</v>
      </c>
      <c r="R12" s="13">
        <v>2309549</v>
      </c>
      <c r="S12" s="13">
        <v>4584768</v>
      </c>
      <c r="T12" s="13"/>
      <c r="U12" s="13"/>
      <c r="V12" s="13"/>
      <c r="W12" s="13"/>
      <c r="X12" s="13">
        <v>645800</v>
      </c>
      <c r="Y12" s="28">
        <f t="shared" si="5"/>
        <v>6160675.1000000015</v>
      </c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43">
        <f t="shared" si="1"/>
        <v>0</v>
      </c>
      <c r="AM12" s="12"/>
      <c r="AN12" s="12"/>
      <c r="AO12" s="12"/>
      <c r="AP12" s="12">
        <v>292500</v>
      </c>
      <c r="AQ12" s="29">
        <f t="shared" si="4"/>
        <v>5868175.1000000015</v>
      </c>
      <c r="AR12" s="15">
        <v>6333100</v>
      </c>
      <c r="AS12" s="30">
        <f t="shared" si="2"/>
        <v>464924.89999999851</v>
      </c>
      <c r="AT12" s="15"/>
      <c r="AU12" s="15"/>
      <c r="AV12" s="15"/>
    </row>
    <row r="13" spans="1:48" x14ac:dyDescent="0.25">
      <c r="A13" s="25">
        <v>44844</v>
      </c>
      <c r="B13" s="46">
        <v>1484.58</v>
      </c>
      <c r="C13" s="46">
        <v>887.69</v>
      </c>
      <c r="D13" s="47">
        <v>5930</v>
      </c>
      <c r="E13" s="47">
        <v>5820</v>
      </c>
      <c r="F13" s="13">
        <v>8867184</v>
      </c>
      <c r="G13" s="13">
        <v>5185435</v>
      </c>
      <c r="H13" s="26"/>
      <c r="I13" s="13"/>
      <c r="J13" s="27">
        <v>12</v>
      </c>
      <c r="K13" s="13">
        <v>112000</v>
      </c>
      <c r="L13" s="13">
        <v>30000</v>
      </c>
      <c r="M13" s="13"/>
      <c r="N13" s="13"/>
      <c r="O13" s="13">
        <v>1144200</v>
      </c>
      <c r="P13" s="13">
        <v>12000</v>
      </c>
      <c r="Q13" s="45">
        <f t="shared" si="3"/>
        <v>15350819</v>
      </c>
      <c r="R13" s="13">
        <v>1570189</v>
      </c>
      <c r="S13" s="13">
        <v>3293985</v>
      </c>
      <c r="T13" s="13"/>
      <c r="U13" s="13"/>
      <c r="V13" s="13"/>
      <c r="W13" s="13"/>
      <c r="X13" s="13">
        <v>609500</v>
      </c>
      <c r="Y13" s="28">
        <f t="shared" si="5"/>
        <v>9877145</v>
      </c>
      <c r="Z13" s="13"/>
      <c r="AA13" s="13">
        <v>10000</v>
      </c>
      <c r="AB13" s="13"/>
      <c r="AC13" s="13">
        <v>20000</v>
      </c>
      <c r="AD13" s="13"/>
      <c r="AE13" s="13"/>
      <c r="AF13" s="13">
        <v>3000</v>
      </c>
      <c r="AG13" s="13"/>
      <c r="AH13" s="13">
        <v>15000</v>
      </c>
      <c r="AI13" s="13"/>
      <c r="AJ13" s="13">
        <v>102500</v>
      </c>
      <c r="AK13" s="13"/>
      <c r="AL13" s="43">
        <f t="shared" si="1"/>
        <v>150500</v>
      </c>
      <c r="AM13" s="12"/>
      <c r="AN13" s="12"/>
      <c r="AO13" s="12"/>
      <c r="AP13" s="12"/>
      <c r="AQ13" s="29">
        <f t="shared" si="4"/>
        <v>9726645</v>
      </c>
      <c r="AR13" s="15">
        <v>10965100</v>
      </c>
      <c r="AS13" s="30">
        <f t="shared" si="2"/>
        <v>1238455</v>
      </c>
      <c r="AT13" s="15"/>
      <c r="AU13" s="15"/>
      <c r="AV13" s="15"/>
    </row>
    <row r="14" spans="1:48" x14ac:dyDescent="0.25">
      <c r="A14" s="25">
        <v>44845</v>
      </c>
      <c r="B14" s="46">
        <v>1929.02</v>
      </c>
      <c r="C14" s="46">
        <v>2418.23</v>
      </c>
      <c r="D14" s="47">
        <v>5930</v>
      </c>
      <c r="E14" s="47">
        <v>5820</v>
      </c>
      <c r="F14" s="13">
        <f t="shared" si="0"/>
        <v>11439088.6</v>
      </c>
      <c r="G14" s="13">
        <f t="shared" si="0"/>
        <v>14074098.6</v>
      </c>
      <c r="H14" s="26"/>
      <c r="I14" s="13"/>
      <c r="J14" s="27">
        <v>36.5</v>
      </c>
      <c r="K14" s="13">
        <v>337000</v>
      </c>
      <c r="L14" s="13">
        <v>15000</v>
      </c>
      <c r="M14" s="13"/>
      <c r="N14" s="13"/>
      <c r="O14" s="13">
        <v>294000</v>
      </c>
      <c r="P14" s="13"/>
      <c r="Q14" s="45">
        <f t="shared" si="3"/>
        <v>26159187.199999999</v>
      </c>
      <c r="R14" s="13">
        <v>1456158</v>
      </c>
      <c r="S14" s="13">
        <v>13600432</v>
      </c>
      <c r="T14" s="13"/>
      <c r="U14" s="13"/>
      <c r="V14" s="13"/>
      <c r="W14" s="13"/>
      <c r="X14" s="13">
        <v>2135100</v>
      </c>
      <c r="Y14" s="28">
        <f t="shared" si="5"/>
        <v>8967497.1999999993</v>
      </c>
      <c r="Z14" s="13"/>
      <c r="AA14" s="13"/>
      <c r="AB14" s="13"/>
      <c r="AC14" s="13">
        <v>26000</v>
      </c>
      <c r="AD14" s="13"/>
      <c r="AE14" s="13"/>
      <c r="AF14" s="13">
        <v>7000</v>
      </c>
      <c r="AG14" s="13"/>
      <c r="AH14" s="13"/>
      <c r="AI14" s="13"/>
      <c r="AJ14" s="13">
        <v>400000</v>
      </c>
      <c r="AK14" s="13"/>
      <c r="AL14" s="43">
        <f t="shared" si="1"/>
        <v>433000</v>
      </c>
      <c r="AM14" s="12"/>
      <c r="AN14" s="12"/>
      <c r="AO14" s="12"/>
      <c r="AP14" s="12"/>
      <c r="AQ14" s="29">
        <f t="shared" si="4"/>
        <v>8534497.1999999993</v>
      </c>
      <c r="AR14" s="15">
        <v>10083500</v>
      </c>
      <c r="AS14" s="30">
        <f t="shared" si="2"/>
        <v>1549002.8000000007</v>
      </c>
      <c r="AT14" s="15"/>
      <c r="AU14" s="15"/>
      <c r="AV14" s="15"/>
    </row>
    <row r="15" spans="1:48" x14ac:dyDescent="0.25">
      <c r="A15" s="25">
        <v>44846</v>
      </c>
      <c r="B15" s="46">
        <v>1184.8800000000001</v>
      </c>
      <c r="C15" s="46">
        <v>2457.96</v>
      </c>
      <c r="D15" s="47">
        <v>6120</v>
      </c>
      <c r="E15" s="47">
        <v>5850</v>
      </c>
      <c r="F15" s="13">
        <f t="shared" si="0"/>
        <v>7251465.6000000006</v>
      </c>
      <c r="G15" s="13">
        <f t="shared" si="0"/>
        <v>14379066</v>
      </c>
      <c r="H15" s="26"/>
      <c r="I15" s="51"/>
      <c r="J15" s="27">
        <v>33.5</v>
      </c>
      <c r="K15" s="13">
        <v>309000</v>
      </c>
      <c r="L15" s="13">
        <v>78000</v>
      </c>
      <c r="M15" s="13">
        <v>45000</v>
      </c>
      <c r="N15" s="13"/>
      <c r="O15" s="13"/>
      <c r="P15" s="13">
        <v>9000</v>
      </c>
      <c r="Q15" s="45">
        <f t="shared" si="3"/>
        <v>22071531.600000001</v>
      </c>
      <c r="R15" s="13">
        <v>738261</v>
      </c>
      <c r="S15" s="13">
        <v>5648971</v>
      </c>
      <c r="T15" s="13"/>
      <c r="U15" s="13"/>
      <c r="V15" s="13"/>
      <c r="W15" s="13"/>
      <c r="X15" s="13">
        <v>8598100</v>
      </c>
      <c r="Y15" s="28">
        <f t="shared" si="5"/>
        <v>7086199.6000000015</v>
      </c>
      <c r="Z15" s="13"/>
      <c r="AA15" s="13"/>
      <c r="AB15" s="13"/>
      <c r="AC15" s="13"/>
      <c r="AD15" s="13"/>
      <c r="AE15" s="13"/>
      <c r="AF15" s="13">
        <v>6000</v>
      </c>
      <c r="AG15" s="13"/>
      <c r="AH15" s="13"/>
      <c r="AI15" s="13"/>
      <c r="AJ15" s="13"/>
      <c r="AK15" s="13"/>
      <c r="AL15" s="43">
        <f t="shared" si="1"/>
        <v>6000</v>
      </c>
      <c r="AM15" s="15"/>
      <c r="AN15" s="35"/>
      <c r="AO15" s="32"/>
      <c r="AP15" s="32">
        <v>1816200</v>
      </c>
      <c r="AQ15" s="29">
        <f t="shared" si="4"/>
        <v>5263999.6000000015</v>
      </c>
      <c r="AR15" s="15">
        <v>6053000</v>
      </c>
      <c r="AS15" s="30">
        <f t="shared" si="2"/>
        <v>789000.39999999851</v>
      </c>
      <c r="AT15" s="15"/>
      <c r="AU15" s="15"/>
      <c r="AV15" s="15"/>
    </row>
    <row r="16" spans="1:48" x14ac:dyDescent="0.25">
      <c r="A16" s="25">
        <v>44847</v>
      </c>
      <c r="B16" s="46">
        <v>1091.43</v>
      </c>
      <c r="C16" s="46">
        <v>2603.35</v>
      </c>
      <c r="D16" s="47">
        <v>6120</v>
      </c>
      <c r="E16" s="47">
        <v>5850</v>
      </c>
      <c r="F16" s="13">
        <f t="shared" si="0"/>
        <v>6679551.6000000006</v>
      </c>
      <c r="G16" s="13">
        <f t="shared" si="0"/>
        <v>15229597.5</v>
      </c>
      <c r="H16" s="26"/>
      <c r="I16" s="13"/>
      <c r="J16" s="27">
        <v>21.5</v>
      </c>
      <c r="K16" s="13">
        <v>197000</v>
      </c>
      <c r="L16" s="13">
        <v>8000</v>
      </c>
      <c r="M16" s="13"/>
      <c r="N16" s="13"/>
      <c r="O16" s="13"/>
      <c r="P16" s="13">
        <v>12000</v>
      </c>
      <c r="Q16" s="45">
        <f t="shared" si="3"/>
        <v>22126149.100000001</v>
      </c>
      <c r="R16" s="13">
        <v>1975370</v>
      </c>
      <c r="S16" s="13">
        <v>8021474</v>
      </c>
      <c r="T16" s="13"/>
      <c r="U16" s="13"/>
      <c r="V16" s="13"/>
      <c r="W16" s="13"/>
      <c r="X16" s="13">
        <v>5447450</v>
      </c>
      <c r="Y16" s="28">
        <f t="shared" si="5"/>
        <v>6681855.1000000015</v>
      </c>
      <c r="Z16" s="13"/>
      <c r="AA16" s="13"/>
      <c r="AB16" s="13"/>
      <c r="AC16" s="13"/>
      <c r="AD16" s="13"/>
      <c r="AE16" s="13"/>
      <c r="AF16" s="13">
        <v>155000</v>
      </c>
      <c r="AG16" s="13"/>
      <c r="AH16" s="13"/>
      <c r="AI16" s="13"/>
      <c r="AJ16" s="13"/>
      <c r="AK16" s="13"/>
      <c r="AL16" s="43">
        <f t="shared" si="1"/>
        <v>155000</v>
      </c>
      <c r="AM16" s="31"/>
      <c r="AN16" s="36"/>
      <c r="AO16" s="32"/>
      <c r="AP16" s="32">
        <v>2180000</v>
      </c>
      <c r="AQ16" s="29">
        <f t="shared" si="4"/>
        <v>4346855.1000000015</v>
      </c>
      <c r="AR16" s="15">
        <v>4815400</v>
      </c>
      <c r="AS16" s="30">
        <f t="shared" si="2"/>
        <v>468544.89999999851</v>
      </c>
      <c r="AT16" s="15"/>
      <c r="AU16" s="15"/>
      <c r="AV16" s="15"/>
    </row>
    <row r="17" spans="1:48" x14ac:dyDescent="0.25">
      <c r="A17" s="25">
        <v>44848</v>
      </c>
      <c r="B17" s="46">
        <v>1792.32</v>
      </c>
      <c r="C17" s="46">
        <v>1111.25</v>
      </c>
      <c r="D17" s="47">
        <v>6120</v>
      </c>
      <c r="E17" s="47">
        <v>5850</v>
      </c>
      <c r="F17" s="13">
        <f t="shared" si="0"/>
        <v>10968998.4</v>
      </c>
      <c r="G17" s="13">
        <f t="shared" si="0"/>
        <v>6500812.5</v>
      </c>
      <c r="H17" s="26"/>
      <c r="I17" s="13"/>
      <c r="J17" s="27">
        <v>33.5</v>
      </c>
      <c r="K17" s="13">
        <v>309000</v>
      </c>
      <c r="L17" s="13">
        <v>4000</v>
      </c>
      <c r="M17" s="13">
        <v>90000</v>
      </c>
      <c r="N17" s="13"/>
      <c r="O17" s="13"/>
      <c r="P17" s="13">
        <v>4000</v>
      </c>
      <c r="Q17" s="45">
        <f t="shared" si="3"/>
        <v>17876810.899999999</v>
      </c>
      <c r="R17" s="13">
        <v>2148473</v>
      </c>
      <c r="S17" s="13">
        <v>3258067</v>
      </c>
      <c r="T17" s="13"/>
      <c r="U17" s="13"/>
      <c r="V17" s="13"/>
      <c r="W17" s="13"/>
      <c r="X17" s="13">
        <v>4444400</v>
      </c>
      <c r="Y17" s="28">
        <f t="shared" si="5"/>
        <v>8025870.8999999985</v>
      </c>
      <c r="Z17" s="13">
        <v>1017400</v>
      </c>
      <c r="AA17" s="13"/>
      <c r="AB17" s="13"/>
      <c r="AC17" s="13">
        <v>4500</v>
      </c>
      <c r="AD17" s="13"/>
      <c r="AE17" s="13"/>
      <c r="AF17" s="13">
        <v>3000</v>
      </c>
      <c r="AG17" s="13"/>
      <c r="AH17" s="13"/>
      <c r="AI17" s="13"/>
      <c r="AJ17" s="13"/>
      <c r="AK17" s="13"/>
      <c r="AL17" s="43">
        <f t="shared" si="1"/>
        <v>1024900</v>
      </c>
      <c r="AM17" s="12"/>
      <c r="AN17" s="12"/>
      <c r="AO17" s="12"/>
      <c r="AP17" s="12">
        <v>576605</v>
      </c>
      <c r="AQ17" s="29">
        <f t="shared" si="4"/>
        <v>6424365.8999999985</v>
      </c>
      <c r="AR17" s="15">
        <v>6662400</v>
      </c>
      <c r="AS17" s="30">
        <f t="shared" si="2"/>
        <v>238034.10000000149</v>
      </c>
      <c r="AT17" s="15"/>
      <c r="AU17" s="15"/>
      <c r="AV17" s="15"/>
    </row>
    <row r="18" spans="1:48" x14ac:dyDescent="0.25">
      <c r="A18" s="25">
        <v>44849</v>
      </c>
      <c r="B18" s="46">
        <v>1537.45</v>
      </c>
      <c r="C18" s="46">
        <v>0</v>
      </c>
      <c r="D18" s="47">
        <v>6120</v>
      </c>
      <c r="E18" s="47">
        <v>5850</v>
      </c>
      <c r="F18" s="13">
        <f t="shared" si="0"/>
        <v>9409194</v>
      </c>
      <c r="G18" s="13">
        <f t="shared" si="0"/>
        <v>0</v>
      </c>
      <c r="H18" s="13"/>
      <c r="I18" s="13"/>
      <c r="J18" s="27">
        <v>24.5</v>
      </c>
      <c r="K18" s="13">
        <v>225000</v>
      </c>
      <c r="L18" s="13">
        <v>33000</v>
      </c>
      <c r="M18" s="13"/>
      <c r="N18" s="13">
        <v>20000</v>
      </c>
      <c r="O18" s="13">
        <v>397000</v>
      </c>
      <c r="P18" s="13"/>
      <c r="Q18" s="45">
        <f t="shared" si="3"/>
        <v>10084194</v>
      </c>
      <c r="R18" s="13">
        <v>3671292</v>
      </c>
      <c r="S18" s="13">
        <v>0</v>
      </c>
      <c r="T18" s="13"/>
      <c r="U18" s="13"/>
      <c r="V18" s="13"/>
      <c r="W18" s="13">
        <v>209000</v>
      </c>
      <c r="X18" s="13">
        <v>1602100</v>
      </c>
      <c r="Y18" s="28">
        <f t="shared" si="5"/>
        <v>4601802</v>
      </c>
      <c r="Z18" s="12"/>
      <c r="AA18" s="12"/>
      <c r="AB18" s="12"/>
      <c r="AC18" s="12"/>
      <c r="AD18" s="12"/>
      <c r="AE18" s="12"/>
      <c r="AF18" s="12"/>
      <c r="AG18" s="12"/>
      <c r="AH18" s="12"/>
      <c r="AI18" s="12">
        <v>22000</v>
      </c>
      <c r="AJ18" s="12"/>
      <c r="AK18" s="12"/>
      <c r="AL18" s="43">
        <f t="shared" ref="AL18:AL34" si="6">SUM(Z18:AK18)</f>
        <v>22000</v>
      </c>
      <c r="AM18" s="12"/>
      <c r="AN18" s="12"/>
      <c r="AO18" s="12"/>
      <c r="AP18" s="12"/>
      <c r="AQ18" s="29">
        <f t="shared" si="4"/>
        <v>4579802</v>
      </c>
      <c r="AR18" s="15">
        <v>4999800</v>
      </c>
      <c r="AS18" s="30">
        <f t="shared" si="2"/>
        <v>419998</v>
      </c>
      <c r="AT18" s="15"/>
      <c r="AU18" s="15"/>
      <c r="AV18" s="15"/>
    </row>
    <row r="19" spans="1:48" x14ac:dyDescent="0.25">
      <c r="A19" s="25">
        <v>44850</v>
      </c>
      <c r="B19" s="46">
        <v>911.86</v>
      </c>
      <c r="C19" s="46">
        <v>179.73</v>
      </c>
      <c r="D19" s="47">
        <v>6120</v>
      </c>
      <c r="E19" s="47">
        <v>5850</v>
      </c>
      <c r="F19" s="13">
        <f t="shared" si="0"/>
        <v>5580583.2000000002</v>
      </c>
      <c r="G19" s="13">
        <f t="shared" si="0"/>
        <v>1051420.5</v>
      </c>
      <c r="H19" s="26"/>
      <c r="I19" s="13"/>
      <c r="J19" s="27">
        <v>30.5</v>
      </c>
      <c r="K19" s="13">
        <v>394000</v>
      </c>
      <c r="L19" s="13">
        <v>25000</v>
      </c>
      <c r="M19" s="13"/>
      <c r="N19" s="13"/>
      <c r="O19" s="13">
        <v>649500</v>
      </c>
      <c r="P19" s="13"/>
      <c r="Q19" s="45">
        <f t="shared" si="3"/>
        <v>7700503.7000000002</v>
      </c>
      <c r="R19" s="13">
        <v>1303380</v>
      </c>
      <c r="S19" s="13">
        <v>0</v>
      </c>
      <c r="T19" s="13"/>
      <c r="U19" s="13"/>
      <c r="V19" s="13"/>
      <c r="W19" s="13"/>
      <c r="X19" s="13">
        <v>1201250</v>
      </c>
      <c r="Y19" s="28">
        <f t="shared" si="5"/>
        <v>5195873.7</v>
      </c>
      <c r="Z19" s="13"/>
      <c r="AA19" s="13"/>
      <c r="AB19" s="13"/>
      <c r="AC19" s="13">
        <v>18500</v>
      </c>
      <c r="AD19" s="13">
        <v>117000</v>
      </c>
      <c r="AE19" s="13"/>
      <c r="AF19" s="13"/>
      <c r="AG19" s="13"/>
      <c r="AH19" s="13"/>
      <c r="AI19" s="13"/>
      <c r="AJ19" s="13"/>
      <c r="AK19" s="13"/>
      <c r="AL19" s="43">
        <f t="shared" si="6"/>
        <v>135500</v>
      </c>
      <c r="AM19" s="12"/>
      <c r="AN19" s="12"/>
      <c r="AO19" s="12"/>
      <c r="AP19" s="12"/>
      <c r="AQ19" s="29">
        <f t="shared" si="4"/>
        <v>5060373.7</v>
      </c>
      <c r="AR19" s="15">
        <v>5681400</v>
      </c>
      <c r="AS19" s="30">
        <f t="shared" si="2"/>
        <v>621026.29999999981</v>
      </c>
      <c r="AT19" s="15"/>
      <c r="AU19" s="15"/>
      <c r="AV19" s="15"/>
    </row>
    <row r="20" spans="1:48" x14ac:dyDescent="0.25">
      <c r="A20" s="25">
        <v>44851</v>
      </c>
      <c r="B20" s="46">
        <v>1322.68</v>
      </c>
      <c r="C20" s="46">
        <v>3044.79</v>
      </c>
      <c r="D20" s="47">
        <v>6120</v>
      </c>
      <c r="E20" s="47">
        <v>5850</v>
      </c>
      <c r="F20" s="13">
        <f t="shared" si="0"/>
        <v>8094801.6000000006</v>
      </c>
      <c r="G20" s="13">
        <f t="shared" si="0"/>
        <v>17812021.5</v>
      </c>
      <c r="H20" s="26"/>
      <c r="I20" s="13"/>
      <c r="J20" s="27">
        <v>12</v>
      </c>
      <c r="K20" s="13">
        <v>56000</v>
      </c>
      <c r="L20" s="13"/>
      <c r="M20" s="13"/>
      <c r="N20" s="13">
        <v>16000</v>
      </c>
      <c r="O20" s="13"/>
      <c r="P20" s="13">
        <v>4000</v>
      </c>
      <c r="Q20" s="45">
        <f t="shared" si="3"/>
        <v>25982823.100000001</v>
      </c>
      <c r="R20" s="13">
        <v>2157026</v>
      </c>
      <c r="S20" s="13">
        <v>3074250</v>
      </c>
      <c r="T20" s="13"/>
      <c r="U20" s="13"/>
      <c r="V20" s="13"/>
      <c r="W20" s="13"/>
      <c r="X20" s="13">
        <v>10515250</v>
      </c>
      <c r="Y20" s="28">
        <f t="shared" si="5"/>
        <v>10236297.100000001</v>
      </c>
      <c r="Z20" s="12"/>
      <c r="AA20" s="12"/>
      <c r="AB20" s="12"/>
      <c r="AC20" s="12"/>
      <c r="AD20" s="12"/>
      <c r="AE20" s="12"/>
      <c r="AF20" s="13">
        <v>11000</v>
      </c>
      <c r="AG20" s="12"/>
      <c r="AH20" s="13"/>
      <c r="AI20" s="12">
        <v>7000</v>
      </c>
      <c r="AJ20" s="12"/>
      <c r="AK20" s="12"/>
      <c r="AL20" s="43">
        <f t="shared" si="6"/>
        <v>18000</v>
      </c>
      <c r="AM20" s="12"/>
      <c r="AN20" s="12"/>
      <c r="AO20" s="12"/>
      <c r="AP20" s="12">
        <v>2922684</v>
      </c>
      <c r="AQ20" s="29">
        <f t="shared" si="4"/>
        <v>7295613.1000000015</v>
      </c>
      <c r="AR20" s="15">
        <v>7642100</v>
      </c>
      <c r="AS20" s="30">
        <f t="shared" si="2"/>
        <v>346486.89999999851</v>
      </c>
      <c r="AT20" s="15"/>
      <c r="AU20" s="15"/>
      <c r="AV20" s="15"/>
    </row>
    <row r="21" spans="1:48" x14ac:dyDescent="0.25">
      <c r="A21" s="25">
        <v>44852</v>
      </c>
      <c r="B21" s="46">
        <v>982.75</v>
      </c>
      <c r="C21" s="46">
        <v>1065.03</v>
      </c>
      <c r="D21" s="47">
        <v>6120</v>
      </c>
      <c r="E21" s="47">
        <v>5850</v>
      </c>
      <c r="F21" s="13">
        <f t="shared" si="0"/>
        <v>6014430</v>
      </c>
      <c r="G21" s="13">
        <f t="shared" si="0"/>
        <v>6230425.5</v>
      </c>
      <c r="H21" s="26"/>
      <c r="I21" s="13"/>
      <c r="J21" s="12">
        <v>30</v>
      </c>
      <c r="K21" s="13">
        <v>280000</v>
      </c>
      <c r="L21" s="13">
        <v>98000</v>
      </c>
      <c r="M21" s="13">
        <v>20000</v>
      </c>
      <c r="N21" s="13"/>
      <c r="O21" s="13"/>
      <c r="P21" s="12">
        <v>9000</v>
      </c>
      <c r="Q21" s="45">
        <f t="shared" si="3"/>
        <v>12651855.5</v>
      </c>
      <c r="R21" s="13">
        <v>2062517</v>
      </c>
      <c r="S21" s="13">
        <v>4179825</v>
      </c>
      <c r="T21" s="13"/>
      <c r="U21" s="13"/>
      <c r="V21" s="13"/>
      <c r="W21" s="13"/>
      <c r="X21" s="12">
        <v>2170538</v>
      </c>
      <c r="Y21" s="28">
        <f t="shared" si="5"/>
        <v>4238975.5</v>
      </c>
      <c r="Z21" s="12"/>
      <c r="AA21" s="12"/>
      <c r="AB21" s="12"/>
      <c r="AC21" s="12"/>
      <c r="AD21" s="12">
        <v>117000</v>
      </c>
      <c r="AE21" s="12"/>
      <c r="AF21" s="12">
        <v>3000</v>
      </c>
      <c r="AG21" s="12"/>
      <c r="AH21" s="13"/>
      <c r="AI21" s="12"/>
      <c r="AJ21" s="12"/>
      <c r="AK21" s="12"/>
      <c r="AL21" s="43">
        <f t="shared" si="6"/>
        <v>120000</v>
      </c>
      <c r="AM21" s="12"/>
      <c r="AN21" s="12"/>
      <c r="AO21" s="12"/>
      <c r="AP21" s="12">
        <v>300000</v>
      </c>
      <c r="AQ21" s="29">
        <f t="shared" si="4"/>
        <v>3818975.5</v>
      </c>
      <c r="AR21" s="15">
        <v>4573500</v>
      </c>
      <c r="AS21" s="30">
        <f t="shared" si="2"/>
        <v>754524.5</v>
      </c>
      <c r="AT21" s="15"/>
      <c r="AU21" s="15"/>
      <c r="AV21" s="15"/>
    </row>
    <row r="22" spans="1:48" x14ac:dyDescent="0.25">
      <c r="A22" s="25">
        <v>44853</v>
      </c>
      <c r="B22" s="46">
        <v>1750</v>
      </c>
      <c r="C22" s="46">
        <v>1335.56</v>
      </c>
      <c r="D22" s="47">
        <v>5930</v>
      </c>
      <c r="E22" s="47">
        <v>5820</v>
      </c>
      <c r="F22" s="13">
        <v>10421419</v>
      </c>
      <c r="G22" s="13">
        <v>7775461</v>
      </c>
      <c r="H22" s="26"/>
      <c r="I22" s="13"/>
      <c r="J22" s="12">
        <v>30.5</v>
      </c>
      <c r="K22" s="13">
        <v>281000</v>
      </c>
      <c r="L22" s="13">
        <v>15000</v>
      </c>
      <c r="M22" s="13"/>
      <c r="N22" s="13"/>
      <c r="O22" s="13">
        <v>100000</v>
      </c>
      <c r="P22" s="12">
        <v>4000</v>
      </c>
      <c r="Q22" s="45">
        <f t="shared" si="3"/>
        <v>18596880</v>
      </c>
      <c r="R22" s="13">
        <v>3507810</v>
      </c>
      <c r="S22" s="13">
        <v>6257522</v>
      </c>
      <c r="T22" s="13"/>
      <c r="U22" s="13"/>
      <c r="V22" s="13"/>
      <c r="W22" s="13"/>
      <c r="X22" s="12">
        <v>669300</v>
      </c>
      <c r="Y22" s="28">
        <f t="shared" si="5"/>
        <v>8162248</v>
      </c>
      <c r="Z22" s="12"/>
      <c r="AA22" s="12"/>
      <c r="AB22" s="12"/>
      <c r="AC22" s="12"/>
      <c r="AD22" s="12"/>
      <c r="AE22" s="12"/>
      <c r="AF22" s="12">
        <v>3000</v>
      </c>
      <c r="AG22" s="12">
        <v>30000</v>
      </c>
      <c r="AH22" s="12">
        <v>2000</v>
      </c>
      <c r="AI22" s="12"/>
      <c r="AJ22" s="12"/>
      <c r="AK22" s="12"/>
      <c r="AL22" s="43">
        <f t="shared" si="6"/>
        <v>35000</v>
      </c>
      <c r="AM22" s="12"/>
      <c r="AN22" s="12"/>
      <c r="AO22" s="12"/>
      <c r="AP22" s="12">
        <v>1181979</v>
      </c>
      <c r="AQ22" s="29">
        <f t="shared" si="4"/>
        <v>6945269</v>
      </c>
      <c r="AR22" s="15">
        <v>7286300</v>
      </c>
      <c r="AS22" s="30">
        <f t="shared" si="2"/>
        <v>341031</v>
      </c>
      <c r="AT22" s="15"/>
      <c r="AU22" s="15"/>
      <c r="AV22" s="15"/>
    </row>
    <row r="23" spans="1:48" x14ac:dyDescent="0.25">
      <c r="A23" s="25">
        <v>44854</v>
      </c>
      <c r="B23" s="46">
        <v>1891.11</v>
      </c>
      <c r="C23" s="46">
        <v>1066.57</v>
      </c>
      <c r="D23" s="47">
        <v>5930</v>
      </c>
      <c r="E23" s="47">
        <v>5820</v>
      </c>
      <c r="F23" s="13">
        <f t="shared" si="0"/>
        <v>11214282.299999999</v>
      </c>
      <c r="G23" s="13">
        <f t="shared" si="0"/>
        <v>6207437.3999999994</v>
      </c>
      <c r="H23" s="26"/>
      <c r="I23" s="13"/>
      <c r="J23" s="12">
        <v>18.5</v>
      </c>
      <c r="K23" s="13">
        <v>113000</v>
      </c>
      <c r="L23" s="13">
        <v>16000</v>
      </c>
      <c r="M23" s="13">
        <v>500000</v>
      </c>
      <c r="N23" s="13"/>
      <c r="O23" s="13">
        <v>1000000</v>
      </c>
      <c r="P23" s="12">
        <v>5000</v>
      </c>
      <c r="Q23" s="45">
        <f t="shared" si="3"/>
        <v>19055719.699999999</v>
      </c>
      <c r="R23" s="13">
        <v>2055520</v>
      </c>
      <c r="S23" s="13">
        <v>1651221</v>
      </c>
      <c r="T23" s="13"/>
      <c r="U23" s="13"/>
      <c r="V23" s="13"/>
      <c r="W23" s="13"/>
      <c r="X23" s="12">
        <v>5710000</v>
      </c>
      <c r="Y23" s="28">
        <f t="shared" si="5"/>
        <v>9638978.6999999993</v>
      </c>
      <c r="Z23" s="12"/>
      <c r="AA23" s="12"/>
      <c r="AB23" s="12"/>
      <c r="AC23" s="12"/>
      <c r="AD23" s="12"/>
      <c r="AE23" s="12"/>
      <c r="AF23" s="12">
        <v>3000</v>
      </c>
      <c r="AG23" s="12"/>
      <c r="AH23" s="12">
        <v>10000</v>
      </c>
      <c r="AI23" s="12"/>
      <c r="AJ23" s="12"/>
      <c r="AK23" s="12"/>
      <c r="AL23" s="43">
        <f t="shared" si="6"/>
        <v>13000</v>
      </c>
      <c r="AM23" s="12"/>
      <c r="AN23" s="12"/>
      <c r="AO23" s="12"/>
      <c r="AP23" s="12">
        <v>835700</v>
      </c>
      <c r="AQ23" s="29">
        <f t="shared" si="4"/>
        <v>8790278.6999999993</v>
      </c>
      <c r="AR23" s="15">
        <v>9349300</v>
      </c>
      <c r="AS23" s="30">
        <f t="shared" si="2"/>
        <v>559021.30000000075</v>
      </c>
      <c r="AT23" s="15"/>
      <c r="AU23" s="15"/>
      <c r="AV23" s="15"/>
    </row>
    <row r="24" spans="1:48" x14ac:dyDescent="0.25">
      <c r="A24" s="25">
        <v>44855</v>
      </c>
      <c r="B24" s="46">
        <v>2249.87</v>
      </c>
      <c r="C24" s="46">
        <v>1313.07</v>
      </c>
      <c r="D24" s="47">
        <v>5930</v>
      </c>
      <c r="E24" s="47">
        <v>5820</v>
      </c>
      <c r="F24" s="13">
        <f t="shared" si="0"/>
        <v>13341729.1</v>
      </c>
      <c r="G24" s="13">
        <f t="shared" si="0"/>
        <v>7642067.3999999994</v>
      </c>
      <c r="H24" s="26"/>
      <c r="I24" s="13"/>
      <c r="J24" s="12">
        <v>21</v>
      </c>
      <c r="K24" s="13">
        <v>196000</v>
      </c>
      <c r="L24" s="13">
        <v>47000</v>
      </c>
      <c r="M24" s="13">
        <v>60000</v>
      </c>
      <c r="N24" s="13">
        <v>72000</v>
      </c>
      <c r="O24" s="13"/>
      <c r="P24" s="12">
        <v>9000</v>
      </c>
      <c r="Q24" s="45">
        <f t="shared" si="3"/>
        <v>21367796.5</v>
      </c>
      <c r="R24" s="13">
        <v>1395300</v>
      </c>
      <c r="S24" s="13">
        <v>6459658</v>
      </c>
      <c r="T24" s="13"/>
      <c r="U24" s="13"/>
      <c r="V24" s="13"/>
      <c r="W24" s="13"/>
      <c r="X24" s="12">
        <v>5038650</v>
      </c>
      <c r="Y24" s="28">
        <f t="shared" si="5"/>
        <v>8474188.5</v>
      </c>
      <c r="Z24" s="12"/>
      <c r="AA24" s="12"/>
      <c r="AB24" s="12"/>
      <c r="AC24" s="12"/>
      <c r="AD24" s="12"/>
      <c r="AE24" s="12"/>
      <c r="AF24" s="12">
        <v>3000</v>
      </c>
      <c r="AG24" s="12"/>
      <c r="AH24" s="12">
        <v>7500</v>
      </c>
      <c r="AI24" s="12"/>
      <c r="AJ24" s="12"/>
      <c r="AK24" s="12"/>
      <c r="AL24" s="43">
        <f t="shared" si="6"/>
        <v>10500</v>
      </c>
      <c r="AM24" s="12"/>
      <c r="AN24" s="12"/>
      <c r="AO24" s="12"/>
      <c r="AP24" s="12">
        <v>919700</v>
      </c>
      <c r="AQ24" s="29">
        <f t="shared" si="4"/>
        <v>7543988.5</v>
      </c>
      <c r="AR24" s="15">
        <v>8211500</v>
      </c>
      <c r="AS24" s="30">
        <f t="shared" si="2"/>
        <v>667511.5</v>
      </c>
      <c r="AT24" s="15"/>
      <c r="AU24" s="15"/>
      <c r="AV24" s="15"/>
    </row>
    <row r="25" spans="1:48" x14ac:dyDescent="0.25">
      <c r="A25" s="25">
        <v>44856</v>
      </c>
      <c r="B25" s="46">
        <v>2095.09</v>
      </c>
      <c r="C25" s="46">
        <v>1155.79</v>
      </c>
      <c r="D25" s="47">
        <v>5930</v>
      </c>
      <c r="E25" s="47">
        <v>5820</v>
      </c>
      <c r="F25" s="13">
        <f t="shared" si="0"/>
        <v>12423883.700000001</v>
      </c>
      <c r="G25" s="13">
        <f t="shared" si="0"/>
        <v>6726697.7999999998</v>
      </c>
      <c r="H25" s="26"/>
      <c r="I25" s="13"/>
      <c r="J25" s="12">
        <v>24</v>
      </c>
      <c r="K25" s="13">
        <v>224000</v>
      </c>
      <c r="L25" s="13">
        <v>16000</v>
      </c>
      <c r="M25" s="13"/>
      <c r="N25" s="13">
        <v>127000</v>
      </c>
      <c r="O25" s="13">
        <v>6000</v>
      </c>
      <c r="P25" s="12"/>
      <c r="Q25" s="45">
        <f t="shared" si="3"/>
        <v>19523581.5</v>
      </c>
      <c r="R25" s="13">
        <v>1825144</v>
      </c>
      <c r="S25" s="13">
        <v>1876137</v>
      </c>
      <c r="T25" s="13"/>
      <c r="U25" s="13"/>
      <c r="V25" s="13"/>
      <c r="W25" s="13">
        <v>200000</v>
      </c>
      <c r="X25" s="12">
        <v>2226893</v>
      </c>
      <c r="Y25" s="28">
        <f t="shared" si="5"/>
        <v>13395407.5</v>
      </c>
      <c r="Z25" s="12"/>
      <c r="AA25" s="12"/>
      <c r="AB25" s="12"/>
      <c r="AC25" s="12"/>
      <c r="AD25" s="12"/>
      <c r="AE25" s="12"/>
      <c r="AF25" s="12">
        <v>3000</v>
      </c>
      <c r="AG25" s="12"/>
      <c r="AH25" s="12">
        <v>19000</v>
      </c>
      <c r="AI25" s="12"/>
      <c r="AJ25" s="12"/>
      <c r="AK25" s="12">
        <v>27000</v>
      </c>
      <c r="AL25" s="43">
        <f t="shared" si="6"/>
        <v>49000</v>
      </c>
      <c r="AM25" s="12"/>
      <c r="AN25" s="12"/>
      <c r="AO25" s="12"/>
      <c r="AP25" s="12">
        <v>170000</v>
      </c>
      <c r="AQ25" s="29">
        <f t="shared" si="4"/>
        <v>13176407.5</v>
      </c>
      <c r="AR25" s="15">
        <v>13968700</v>
      </c>
      <c r="AS25" s="30">
        <f t="shared" si="2"/>
        <v>792292.5</v>
      </c>
      <c r="AT25" s="15"/>
      <c r="AU25" s="15"/>
      <c r="AV25" s="15"/>
    </row>
    <row r="26" spans="1:48" x14ac:dyDescent="0.25">
      <c r="A26" s="25">
        <v>44857</v>
      </c>
      <c r="B26" s="46">
        <v>1362.12</v>
      </c>
      <c r="C26" s="46">
        <v>883.6</v>
      </c>
      <c r="D26" s="47">
        <v>5930</v>
      </c>
      <c r="E26" s="47">
        <v>5820</v>
      </c>
      <c r="F26" s="13">
        <f t="shared" si="0"/>
        <v>8077371.5999999996</v>
      </c>
      <c r="G26" s="13">
        <f t="shared" si="0"/>
        <v>5142552</v>
      </c>
      <c r="H26" s="26"/>
      <c r="I26" s="13"/>
      <c r="J26" s="12">
        <v>48.5</v>
      </c>
      <c r="K26" s="13">
        <v>449000</v>
      </c>
      <c r="L26" s="13">
        <v>73000</v>
      </c>
      <c r="M26" s="13"/>
      <c r="N26" s="13"/>
      <c r="O26" s="13">
        <v>4593000</v>
      </c>
      <c r="P26" s="12"/>
      <c r="Q26" s="45">
        <f t="shared" ref="Q26" si="7">SUM(F26:G26)+I26+K26+SUM(L26:P26)</f>
        <v>18334923.600000001</v>
      </c>
      <c r="R26" s="13">
        <v>2071230</v>
      </c>
      <c r="S26" s="13">
        <v>4190627</v>
      </c>
      <c r="T26" s="13"/>
      <c r="U26" s="13"/>
      <c r="V26" s="13"/>
      <c r="W26" s="13"/>
      <c r="X26" s="12">
        <v>1937100</v>
      </c>
      <c r="Y26" s="28">
        <f t="shared" ref="Y26" si="8">Q26-SUM(R26:X26)</f>
        <v>10135966.600000001</v>
      </c>
      <c r="Z26" s="12"/>
      <c r="AA26" s="12">
        <v>10000</v>
      </c>
      <c r="AB26" s="12"/>
      <c r="AC26" s="12"/>
      <c r="AD26" s="12"/>
      <c r="AE26" s="12"/>
      <c r="AF26" s="12">
        <v>6000</v>
      </c>
      <c r="AG26" s="12"/>
      <c r="AH26" s="12"/>
      <c r="AI26" s="12"/>
      <c r="AJ26" s="12"/>
      <c r="AK26" s="12"/>
      <c r="AL26" s="43">
        <f t="shared" ref="AL26" si="9">SUM(Z26:AK26)</f>
        <v>16000</v>
      </c>
      <c r="AM26" s="12"/>
      <c r="AN26" s="12"/>
      <c r="AO26" s="12"/>
      <c r="AP26" s="12"/>
      <c r="AQ26" s="29">
        <f t="shared" si="4"/>
        <v>10119966.600000001</v>
      </c>
      <c r="AR26" s="15">
        <v>12313000</v>
      </c>
      <c r="AS26" s="30">
        <f t="shared" si="2"/>
        <v>2193033.3999999985</v>
      </c>
      <c r="AT26" s="15"/>
      <c r="AU26" s="15"/>
      <c r="AV26" s="15"/>
    </row>
    <row r="27" spans="1:48" x14ac:dyDescent="0.25">
      <c r="A27" s="25">
        <v>44858</v>
      </c>
      <c r="B27" s="46">
        <v>1697.79</v>
      </c>
      <c r="C27" s="46">
        <v>2837.73</v>
      </c>
      <c r="D27" s="47">
        <v>5930</v>
      </c>
      <c r="E27" s="47">
        <v>5820</v>
      </c>
      <c r="F27" s="13">
        <f t="shared" si="0"/>
        <v>10067894.699999999</v>
      </c>
      <c r="G27" s="13">
        <f t="shared" si="0"/>
        <v>16515588.6</v>
      </c>
      <c r="H27" s="26"/>
      <c r="I27" s="13"/>
      <c r="J27" s="12">
        <v>36.5</v>
      </c>
      <c r="K27" s="13">
        <v>337000</v>
      </c>
      <c r="L27" s="13">
        <v>8000</v>
      </c>
      <c r="M27" s="13">
        <v>210000</v>
      </c>
      <c r="N27" s="13">
        <v>72000</v>
      </c>
      <c r="O27" s="13">
        <v>240000</v>
      </c>
      <c r="P27" s="12">
        <v>4000</v>
      </c>
      <c r="Q27" s="45">
        <f t="shared" si="3"/>
        <v>27454483.299999997</v>
      </c>
      <c r="R27" s="13">
        <v>2020010</v>
      </c>
      <c r="S27" s="13">
        <v>3978007</v>
      </c>
      <c r="T27" s="13"/>
      <c r="U27" s="13"/>
      <c r="V27" s="13"/>
      <c r="W27" s="13">
        <v>103000</v>
      </c>
      <c r="X27" s="12">
        <v>12438254</v>
      </c>
      <c r="Y27" s="28">
        <f t="shared" si="5"/>
        <v>8915212.299999997</v>
      </c>
      <c r="Z27" s="12"/>
      <c r="AA27" s="12"/>
      <c r="AB27" s="12"/>
      <c r="AC27" s="12"/>
      <c r="AD27" s="12">
        <v>292400</v>
      </c>
      <c r="AE27" s="12"/>
      <c r="AF27" s="12">
        <v>3000</v>
      </c>
      <c r="AG27" s="12"/>
      <c r="AH27" s="12"/>
      <c r="AI27" s="12"/>
      <c r="AJ27" s="12"/>
      <c r="AK27" s="12"/>
      <c r="AL27" s="43">
        <f t="shared" si="6"/>
        <v>295400</v>
      </c>
      <c r="AM27" s="12"/>
      <c r="AN27" s="12"/>
      <c r="AO27" s="12"/>
      <c r="AP27" s="12">
        <v>1164000</v>
      </c>
      <c r="AQ27" s="29">
        <f t="shared" si="4"/>
        <v>7455812.299999997</v>
      </c>
      <c r="AR27" s="15">
        <v>8085000</v>
      </c>
      <c r="AS27" s="30">
        <f t="shared" si="2"/>
        <v>629187.70000000298</v>
      </c>
      <c r="AT27" s="15"/>
      <c r="AU27" s="15"/>
      <c r="AV27" s="15"/>
    </row>
    <row r="28" spans="1:48" x14ac:dyDescent="0.25">
      <c r="A28" s="25">
        <v>44859</v>
      </c>
      <c r="B28" s="46">
        <v>1497.48</v>
      </c>
      <c r="C28" s="46">
        <v>1451.59</v>
      </c>
      <c r="D28" s="47">
        <v>5930</v>
      </c>
      <c r="E28" s="47">
        <v>5820</v>
      </c>
      <c r="F28" s="13">
        <f t="shared" si="0"/>
        <v>8880056.4000000004</v>
      </c>
      <c r="G28" s="13">
        <f t="shared" si="0"/>
        <v>8448253.7999999989</v>
      </c>
      <c r="H28" s="26"/>
      <c r="I28" s="13"/>
      <c r="J28" s="12">
        <v>21.5</v>
      </c>
      <c r="K28" s="13">
        <v>197000</v>
      </c>
      <c r="L28" s="13">
        <v>15000</v>
      </c>
      <c r="M28" s="13"/>
      <c r="N28" s="13">
        <v>423000</v>
      </c>
      <c r="O28" s="13"/>
      <c r="P28" s="12">
        <v>6000</v>
      </c>
      <c r="Q28" s="45">
        <f t="shared" si="3"/>
        <v>17969310.199999999</v>
      </c>
      <c r="R28" s="13">
        <v>1467731</v>
      </c>
      <c r="S28" s="13">
        <v>5206620</v>
      </c>
      <c r="T28" s="13"/>
      <c r="U28" s="13"/>
      <c r="V28" s="13"/>
      <c r="W28" s="13"/>
      <c r="X28" s="12">
        <v>4187446</v>
      </c>
      <c r="Y28" s="28">
        <f t="shared" si="5"/>
        <v>7107513.1999999993</v>
      </c>
      <c r="Z28" s="12"/>
      <c r="AA28" s="12"/>
      <c r="AB28" s="12"/>
      <c r="AC28" s="12"/>
      <c r="AD28" s="12"/>
      <c r="AE28" s="12"/>
      <c r="AF28" s="12">
        <v>3000</v>
      </c>
      <c r="AG28" s="12"/>
      <c r="AH28" s="12"/>
      <c r="AI28" s="12"/>
      <c r="AJ28" s="12"/>
      <c r="AK28" s="12"/>
      <c r="AL28" s="43">
        <f t="shared" si="6"/>
        <v>3000</v>
      </c>
      <c r="AM28" s="12"/>
      <c r="AN28" s="12"/>
      <c r="AO28" s="12"/>
      <c r="AP28" s="12">
        <v>100000</v>
      </c>
      <c r="AQ28" s="29">
        <f t="shared" si="4"/>
        <v>7004513.1999999993</v>
      </c>
      <c r="AR28" s="15">
        <v>7331500</v>
      </c>
      <c r="AS28" s="30">
        <f t="shared" si="2"/>
        <v>326986.80000000075</v>
      </c>
      <c r="AT28" s="15"/>
      <c r="AU28" s="15"/>
      <c r="AV28" s="15"/>
    </row>
    <row r="29" spans="1:48" x14ac:dyDescent="0.25">
      <c r="A29" s="25">
        <v>44860</v>
      </c>
      <c r="B29" s="46">
        <v>1364</v>
      </c>
      <c r="C29" s="46">
        <v>1315.09</v>
      </c>
      <c r="D29" s="47">
        <v>5930</v>
      </c>
      <c r="E29" s="47">
        <v>5820</v>
      </c>
      <c r="F29" s="13">
        <f t="shared" si="0"/>
        <v>8088520</v>
      </c>
      <c r="G29" s="13">
        <f t="shared" si="0"/>
        <v>7653823.7999999998</v>
      </c>
      <c r="H29" s="26"/>
      <c r="I29" s="13"/>
      <c r="J29" s="12">
        <v>52</v>
      </c>
      <c r="K29" s="13">
        <v>478000</v>
      </c>
      <c r="L29" s="13">
        <v>27000</v>
      </c>
      <c r="M29" s="13"/>
      <c r="N29" s="13"/>
      <c r="O29" s="13"/>
      <c r="P29" s="12">
        <v>8000</v>
      </c>
      <c r="Q29" s="45">
        <f t="shared" si="3"/>
        <v>16255343.800000001</v>
      </c>
      <c r="R29" s="13">
        <v>3795516</v>
      </c>
      <c r="S29" s="13">
        <v>1864098</v>
      </c>
      <c r="T29" s="13"/>
      <c r="U29" s="13"/>
      <c r="V29" s="13"/>
      <c r="W29" s="13"/>
      <c r="X29" s="12">
        <v>2176660</v>
      </c>
      <c r="Y29" s="28">
        <f t="shared" si="5"/>
        <v>8419069.8000000007</v>
      </c>
      <c r="Z29" s="12"/>
      <c r="AA29" s="12"/>
      <c r="AB29" s="12"/>
      <c r="AC29" s="12"/>
      <c r="AD29" s="12">
        <v>116400</v>
      </c>
      <c r="AE29" s="12"/>
      <c r="AF29" s="12">
        <v>7000</v>
      </c>
      <c r="AG29" s="12"/>
      <c r="AH29" s="12">
        <v>45000</v>
      </c>
      <c r="AI29" s="12"/>
      <c r="AJ29" s="12"/>
      <c r="AK29" s="12"/>
      <c r="AL29" s="43">
        <f t="shared" si="6"/>
        <v>168400</v>
      </c>
      <c r="AM29" s="12"/>
      <c r="AN29" s="12"/>
      <c r="AO29" s="12"/>
      <c r="AP29" s="12">
        <v>1357000</v>
      </c>
      <c r="AQ29" s="29">
        <f t="shared" si="4"/>
        <v>6893669.8000000007</v>
      </c>
      <c r="AR29" s="15">
        <v>7230700</v>
      </c>
      <c r="AS29" s="30">
        <f t="shared" si="2"/>
        <v>337030.19999999925</v>
      </c>
      <c r="AT29" s="15"/>
      <c r="AU29" s="15"/>
      <c r="AV29" s="15"/>
    </row>
    <row r="30" spans="1:48" x14ac:dyDescent="0.25">
      <c r="A30" s="25">
        <v>44861</v>
      </c>
      <c r="B30" s="46">
        <v>1328.29</v>
      </c>
      <c r="C30" s="46">
        <v>1279.53</v>
      </c>
      <c r="D30" s="47">
        <v>5930</v>
      </c>
      <c r="E30" s="47">
        <v>5820</v>
      </c>
      <c r="F30" s="13">
        <f t="shared" si="0"/>
        <v>7876759.7000000002</v>
      </c>
      <c r="G30" s="13">
        <f t="shared" si="0"/>
        <v>7446864.5999999996</v>
      </c>
      <c r="H30" s="26"/>
      <c r="I30" s="13"/>
      <c r="J30" s="12">
        <v>77</v>
      </c>
      <c r="K30" s="13">
        <v>704000</v>
      </c>
      <c r="L30" s="13">
        <v>8000</v>
      </c>
      <c r="M30" s="13"/>
      <c r="N30" s="13"/>
      <c r="O30" s="13">
        <v>170000</v>
      </c>
      <c r="P30" s="12">
        <v>6000</v>
      </c>
      <c r="Q30" s="45">
        <f t="shared" si="3"/>
        <v>16211624.300000001</v>
      </c>
      <c r="R30" s="13">
        <v>700205</v>
      </c>
      <c r="S30" s="13">
        <v>3173494</v>
      </c>
      <c r="T30" s="13"/>
      <c r="U30" s="13"/>
      <c r="V30" s="13"/>
      <c r="W30" s="13"/>
      <c r="X30" s="12">
        <v>2823920</v>
      </c>
      <c r="Y30" s="28">
        <f t="shared" si="5"/>
        <v>9514005.3000000007</v>
      </c>
      <c r="Z30" s="12"/>
      <c r="AA30" s="12"/>
      <c r="AB30" s="12"/>
      <c r="AC30" s="12">
        <v>7000</v>
      </c>
      <c r="AD30" s="12"/>
      <c r="AE30" s="12"/>
      <c r="AF30" s="12">
        <v>7000</v>
      </c>
      <c r="AG30" s="12"/>
      <c r="AH30" s="12"/>
      <c r="AI30" s="12"/>
      <c r="AJ30" s="12"/>
      <c r="AK30" s="12"/>
      <c r="AL30" s="43">
        <f t="shared" si="6"/>
        <v>14000</v>
      </c>
      <c r="AM30" s="12"/>
      <c r="AN30" s="12"/>
      <c r="AO30" s="12"/>
      <c r="AP30" s="12">
        <v>280000</v>
      </c>
      <c r="AQ30" s="29">
        <f t="shared" si="4"/>
        <v>9220005.3000000007</v>
      </c>
      <c r="AR30" s="15">
        <v>9896000</v>
      </c>
      <c r="AS30" s="30">
        <f t="shared" si="2"/>
        <v>675994.69999999925</v>
      </c>
      <c r="AT30" s="15"/>
      <c r="AU30" s="15"/>
      <c r="AV30" s="15"/>
    </row>
    <row r="31" spans="1:48" x14ac:dyDescent="0.25">
      <c r="A31" s="25">
        <v>44862</v>
      </c>
      <c r="B31" s="46">
        <v>1680.81</v>
      </c>
      <c r="C31" s="46">
        <v>1837.14</v>
      </c>
      <c r="D31" s="47">
        <v>5930</v>
      </c>
      <c r="E31" s="47">
        <v>5820</v>
      </c>
      <c r="F31" s="13">
        <f t="shared" si="0"/>
        <v>9967203.2999999989</v>
      </c>
      <c r="G31" s="13">
        <f t="shared" si="0"/>
        <v>10692154.800000001</v>
      </c>
      <c r="H31" s="26"/>
      <c r="I31" s="13"/>
      <c r="J31" s="12">
        <v>12</v>
      </c>
      <c r="K31" s="13">
        <v>112000</v>
      </c>
      <c r="L31" s="13"/>
      <c r="M31" s="13">
        <v>250000</v>
      </c>
      <c r="N31" s="13">
        <v>14000</v>
      </c>
      <c r="O31" s="13">
        <v>1041500</v>
      </c>
      <c r="P31" s="12">
        <v>6000</v>
      </c>
      <c r="Q31" s="45">
        <f t="shared" si="3"/>
        <v>22082858.100000001</v>
      </c>
      <c r="R31" s="13">
        <v>616681</v>
      </c>
      <c r="S31" s="13">
        <v>3105121</v>
      </c>
      <c r="T31" s="13"/>
      <c r="U31" s="13"/>
      <c r="V31" s="13"/>
      <c r="W31" s="13">
        <v>55500</v>
      </c>
      <c r="X31" s="12">
        <v>10151930</v>
      </c>
      <c r="Y31" s="28">
        <f t="shared" si="5"/>
        <v>8153626.1000000015</v>
      </c>
      <c r="Z31" s="12"/>
      <c r="AA31" s="12"/>
      <c r="AB31" s="12"/>
      <c r="AC31" s="12"/>
      <c r="AD31" s="12"/>
      <c r="AE31" s="12"/>
      <c r="AF31" s="12">
        <v>6000</v>
      </c>
      <c r="AG31" s="12"/>
      <c r="AH31" s="12">
        <v>12000</v>
      </c>
      <c r="AI31" s="12"/>
      <c r="AJ31" s="12"/>
      <c r="AK31" s="12"/>
      <c r="AL31" s="43">
        <f t="shared" si="6"/>
        <v>18000</v>
      </c>
      <c r="AM31" s="12"/>
      <c r="AN31" s="12"/>
      <c r="AO31" s="12"/>
      <c r="AP31" s="12">
        <v>1164000</v>
      </c>
      <c r="AQ31" s="29">
        <f t="shared" si="4"/>
        <v>6971626.1000000015</v>
      </c>
      <c r="AR31" s="15">
        <v>7805200</v>
      </c>
      <c r="AS31" s="30">
        <f t="shared" si="2"/>
        <v>833573.89999999851</v>
      </c>
      <c r="AT31" s="15"/>
      <c r="AU31" s="15"/>
      <c r="AV31" s="15"/>
    </row>
    <row r="32" spans="1:48" x14ac:dyDescent="0.25">
      <c r="A32" s="25">
        <v>44863</v>
      </c>
      <c r="B32" s="46">
        <v>1253</v>
      </c>
      <c r="C32" s="46">
        <v>1114.0899999999999</v>
      </c>
      <c r="D32" s="47">
        <v>5930</v>
      </c>
      <c r="E32" s="47">
        <v>5820</v>
      </c>
      <c r="F32" s="13">
        <f t="shared" si="0"/>
        <v>7430290</v>
      </c>
      <c r="G32" s="13">
        <f t="shared" si="0"/>
        <v>6484003.7999999998</v>
      </c>
      <c r="H32" s="26"/>
      <c r="I32" s="13"/>
      <c r="J32" s="12"/>
      <c r="K32" s="13"/>
      <c r="L32" s="13"/>
      <c r="M32" s="13"/>
      <c r="N32" s="13"/>
      <c r="O32" s="13">
        <v>2300000</v>
      </c>
      <c r="P32" s="12"/>
      <c r="Q32" s="45">
        <f t="shared" si="3"/>
        <v>16214293.800000001</v>
      </c>
      <c r="R32" s="13">
        <v>710415</v>
      </c>
      <c r="S32" s="13">
        <v>3368939</v>
      </c>
      <c r="T32" s="13"/>
      <c r="U32" s="13"/>
      <c r="V32" s="13"/>
      <c r="W32" s="13"/>
      <c r="X32" s="12">
        <v>1860155</v>
      </c>
      <c r="Y32" s="28">
        <f t="shared" si="5"/>
        <v>10274784.800000001</v>
      </c>
      <c r="Z32" s="12"/>
      <c r="AA32" s="12"/>
      <c r="AB32" s="12"/>
      <c r="AC32" s="12"/>
      <c r="AD32" s="12"/>
      <c r="AE32" s="12"/>
      <c r="AF32" s="12">
        <v>3000</v>
      </c>
      <c r="AG32" s="12"/>
      <c r="AH32" s="12"/>
      <c r="AI32" s="12"/>
      <c r="AJ32" s="12"/>
      <c r="AK32" s="12"/>
      <c r="AL32" s="43">
        <f t="shared" si="6"/>
        <v>3000</v>
      </c>
      <c r="AM32" s="12"/>
      <c r="AN32" s="12"/>
      <c r="AO32" s="12"/>
      <c r="AP32" s="12"/>
      <c r="AQ32" s="29">
        <f t="shared" si="4"/>
        <v>10271784.800000001</v>
      </c>
      <c r="AR32" s="15">
        <v>10664800</v>
      </c>
      <c r="AS32" s="30">
        <f t="shared" si="2"/>
        <v>393015.19999999925</v>
      </c>
      <c r="AT32" s="15"/>
      <c r="AU32" s="15"/>
      <c r="AV32" s="15"/>
    </row>
    <row r="33" spans="1:48" x14ac:dyDescent="0.25">
      <c r="A33" s="25">
        <v>44864</v>
      </c>
      <c r="B33" s="46">
        <v>1499.45</v>
      </c>
      <c r="C33" s="46">
        <v>672.53</v>
      </c>
      <c r="D33" s="47">
        <v>5930</v>
      </c>
      <c r="E33" s="47">
        <v>5820</v>
      </c>
      <c r="F33" s="13">
        <f t="shared" si="0"/>
        <v>8891738.5</v>
      </c>
      <c r="G33" s="13">
        <f t="shared" si="0"/>
        <v>3914124.5999999996</v>
      </c>
      <c r="H33" s="26"/>
      <c r="I33" s="13"/>
      <c r="J33" s="12">
        <v>13</v>
      </c>
      <c r="K33" s="13">
        <v>140000</v>
      </c>
      <c r="L33" s="13">
        <v>40000</v>
      </c>
      <c r="M33" s="13"/>
      <c r="N33" s="13"/>
      <c r="O33" s="13">
        <v>590000</v>
      </c>
      <c r="P33" s="12"/>
      <c r="Q33" s="45">
        <f t="shared" si="3"/>
        <v>13575863.1</v>
      </c>
      <c r="R33" s="13">
        <v>740750</v>
      </c>
      <c r="S33" s="13">
        <v>2847787</v>
      </c>
      <c r="T33" s="13"/>
      <c r="U33" s="13"/>
      <c r="V33" s="13"/>
      <c r="W33" s="13">
        <v>43500</v>
      </c>
      <c r="X33" s="12">
        <v>490000</v>
      </c>
      <c r="Y33" s="28">
        <f t="shared" si="5"/>
        <v>9453826.0999999996</v>
      </c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43">
        <f t="shared" si="6"/>
        <v>0</v>
      </c>
      <c r="AM33" s="12"/>
      <c r="AN33" s="12"/>
      <c r="AO33" s="12"/>
      <c r="AP33" s="12"/>
      <c r="AQ33" s="29">
        <f t="shared" si="4"/>
        <v>9453826.0999999996</v>
      </c>
      <c r="AR33" s="15">
        <v>10183800</v>
      </c>
      <c r="AS33" s="30">
        <f t="shared" si="2"/>
        <v>729973.90000000037</v>
      </c>
      <c r="AT33" s="15"/>
      <c r="AU33" s="15"/>
      <c r="AV33" s="15"/>
    </row>
    <row r="34" spans="1:48" x14ac:dyDescent="0.25">
      <c r="A34" s="25">
        <v>44865</v>
      </c>
      <c r="B34" s="46">
        <v>1456.44</v>
      </c>
      <c r="C34" s="46">
        <v>1586</v>
      </c>
      <c r="D34" s="47">
        <v>5930</v>
      </c>
      <c r="E34" s="47">
        <v>5820</v>
      </c>
      <c r="F34" s="13">
        <f t="shared" si="0"/>
        <v>8636689.2000000011</v>
      </c>
      <c r="G34" s="13">
        <f t="shared" si="0"/>
        <v>9230520</v>
      </c>
      <c r="H34" s="26"/>
      <c r="I34" s="13"/>
      <c r="J34" s="12">
        <v>39.5</v>
      </c>
      <c r="K34" s="13">
        <v>253000</v>
      </c>
      <c r="L34" s="13">
        <v>31000</v>
      </c>
      <c r="M34" s="13"/>
      <c r="N34" s="13"/>
      <c r="O34" s="13">
        <v>470000</v>
      </c>
      <c r="P34" s="12">
        <v>8000</v>
      </c>
      <c r="Q34" s="45">
        <f t="shared" si="3"/>
        <v>18629209.200000003</v>
      </c>
      <c r="R34" s="13">
        <v>2293626</v>
      </c>
      <c r="S34" s="13">
        <v>3818122</v>
      </c>
      <c r="T34" s="13"/>
      <c r="U34" s="13"/>
      <c r="V34" s="13"/>
      <c r="W34" s="13"/>
      <c r="X34" s="12">
        <v>4450866</v>
      </c>
      <c r="Y34" s="28">
        <f t="shared" si="5"/>
        <v>8066595.200000003</v>
      </c>
      <c r="Z34" s="12">
        <v>122000</v>
      </c>
      <c r="AA34" s="12"/>
      <c r="AB34" s="12">
        <v>625000</v>
      </c>
      <c r="AC34" s="12"/>
      <c r="AD34" s="12"/>
      <c r="AE34" s="12">
        <v>837000</v>
      </c>
      <c r="AF34" s="12">
        <v>5000</v>
      </c>
      <c r="AG34" s="12">
        <v>2440000</v>
      </c>
      <c r="AH34" s="12"/>
      <c r="AI34" s="12"/>
      <c r="AJ34" s="12"/>
      <c r="AK34" s="12"/>
      <c r="AL34" s="43">
        <f t="shared" si="6"/>
        <v>4029000</v>
      </c>
      <c r="AM34" s="12"/>
      <c r="AN34" s="12"/>
      <c r="AO34" s="12"/>
      <c r="AP34" s="12"/>
      <c r="AQ34" s="29">
        <f t="shared" si="4"/>
        <v>4037595.200000003</v>
      </c>
      <c r="AR34" s="15">
        <v>4434100</v>
      </c>
      <c r="AS34" s="30">
        <f t="shared" si="2"/>
        <v>396504.79999999702</v>
      </c>
      <c r="AT34" s="15"/>
      <c r="AU34" s="15"/>
      <c r="AV34" s="15"/>
    </row>
    <row r="35" spans="1:48" x14ac:dyDescent="0.25">
      <c r="A35" s="15"/>
      <c r="B35" s="37"/>
      <c r="C35" s="37"/>
      <c r="D35" s="38"/>
      <c r="E35" s="38"/>
      <c r="F35" s="39"/>
      <c r="G35" s="39"/>
      <c r="H35" s="39"/>
      <c r="I35" s="38"/>
      <c r="J35" s="15"/>
      <c r="K35" s="38"/>
      <c r="L35" s="38"/>
      <c r="M35" s="38"/>
      <c r="N35" s="38"/>
      <c r="O35" s="38"/>
      <c r="P35" s="15"/>
      <c r="Q35" s="40"/>
      <c r="R35" s="38"/>
      <c r="S35" s="38"/>
      <c r="T35" s="38"/>
      <c r="U35" s="38"/>
      <c r="V35" s="38"/>
      <c r="W35" s="38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41">
        <f>SUM(AL4:AL34)</f>
        <v>10331200</v>
      </c>
      <c r="AM35" s="15"/>
      <c r="AN35" s="15"/>
      <c r="AO35" s="15"/>
      <c r="AP35" s="15"/>
      <c r="AQ35" s="15"/>
      <c r="AR35" s="15"/>
      <c r="AS35" s="30">
        <f>SUM(AS4:AS19)</f>
        <v>11085413.200000003</v>
      </c>
      <c r="AT35" s="15"/>
      <c r="AU35" s="15"/>
      <c r="AV35" s="15"/>
    </row>
    <row r="36" spans="1:48" x14ac:dyDescent="0.25">
      <c r="A36" s="15"/>
      <c r="B36" s="37"/>
      <c r="C36" s="37"/>
      <c r="D36" s="38"/>
      <c r="E36" s="38"/>
      <c r="F36" s="39"/>
      <c r="G36" s="39"/>
      <c r="H36" s="39"/>
      <c r="I36" s="38"/>
      <c r="J36" s="15"/>
      <c r="K36" s="38"/>
      <c r="L36" s="38"/>
      <c r="M36" s="38"/>
      <c r="N36" s="38"/>
      <c r="O36" s="38"/>
      <c r="P36" s="15"/>
      <c r="Q36" s="40"/>
      <c r="R36" s="38"/>
      <c r="S36" s="38"/>
      <c r="T36" s="38"/>
      <c r="U36" s="38"/>
      <c r="V36" s="38"/>
      <c r="W36" s="38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41"/>
      <c r="AM36" s="15"/>
      <c r="AN36" s="15"/>
      <c r="AO36" s="15"/>
      <c r="AP36" s="15"/>
      <c r="AQ36" s="15"/>
      <c r="AR36" s="15"/>
      <c r="AS36" s="15"/>
      <c r="AT36" s="15"/>
      <c r="AU36" s="15"/>
      <c r="AV36" s="15"/>
    </row>
    <row r="37" spans="1:48" x14ac:dyDescent="0.25">
      <c r="A37" s="15"/>
      <c r="B37" s="37"/>
      <c r="C37" s="37"/>
      <c r="D37" s="38"/>
      <c r="E37" s="38"/>
      <c r="F37" s="39"/>
      <c r="G37" s="39"/>
      <c r="H37" s="39"/>
      <c r="I37" s="38"/>
      <c r="J37" s="15"/>
      <c r="K37" s="38"/>
      <c r="L37" s="38"/>
      <c r="M37" s="38"/>
      <c r="N37" s="38"/>
      <c r="O37" s="38"/>
      <c r="P37" s="15"/>
      <c r="Q37" s="40"/>
      <c r="R37" s="38"/>
      <c r="S37" s="38"/>
      <c r="T37" s="38"/>
      <c r="U37" s="38"/>
      <c r="V37" s="38"/>
      <c r="W37" s="38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41"/>
      <c r="AM37" s="15"/>
      <c r="AN37" s="15"/>
      <c r="AO37" s="15"/>
      <c r="AP37" s="15"/>
      <c r="AQ37" s="15"/>
      <c r="AR37" s="15"/>
      <c r="AS37" s="15"/>
      <c r="AT37" s="15"/>
      <c r="AU37" s="15"/>
      <c r="AV37" s="15"/>
    </row>
    <row r="38" spans="1:48" x14ac:dyDescent="0.25">
      <c r="A38" s="15"/>
      <c r="B38" s="37"/>
      <c r="C38" s="37"/>
      <c r="D38" s="38"/>
      <c r="E38" s="38"/>
      <c r="F38" s="39"/>
      <c r="G38" s="39"/>
      <c r="H38" s="39"/>
      <c r="I38" s="38"/>
      <c r="J38" s="15"/>
      <c r="K38" s="38"/>
      <c r="L38" s="38"/>
      <c r="M38" s="38"/>
      <c r="N38" s="38"/>
      <c r="O38" s="38"/>
      <c r="P38" s="15"/>
      <c r="Q38" s="40"/>
      <c r="R38" s="38"/>
      <c r="S38" s="38"/>
      <c r="T38" s="38"/>
      <c r="U38" s="38"/>
      <c r="V38" s="38"/>
      <c r="W38" s="38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41"/>
      <c r="AM38" s="15"/>
      <c r="AN38" s="15"/>
      <c r="AO38" s="15"/>
      <c r="AP38" s="15"/>
      <c r="AQ38" s="15"/>
      <c r="AR38" s="15"/>
      <c r="AS38" s="15"/>
      <c r="AT38" s="15"/>
      <c r="AU38" s="15"/>
      <c r="AV38" s="15"/>
    </row>
    <row r="39" spans="1:48" x14ac:dyDescent="0.25">
      <c r="A39" s="15"/>
      <c r="B39" s="37"/>
      <c r="C39" s="37"/>
      <c r="D39" s="38"/>
      <c r="E39" s="38"/>
      <c r="F39" s="39"/>
      <c r="G39" s="39"/>
      <c r="H39" s="39"/>
      <c r="I39" s="38"/>
      <c r="J39" s="15"/>
      <c r="K39" s="38"/>
      <c r="L39" s="38"/>
      <c r="M39" s="38"/>
      <c r="N39" s="38"/>
      <c r="O39" s="38"/>
      <c r="P39" s="15"/>
      <c r="Q39" s="40"/>
      <c r="R39" s="38"/>
      <c r="S39" s="38"/>
      <c r="T39" s="38"/>
      <c r="U39" s="38"/>
      <c r="V39" s="38"/>
      <c r="W39" s="38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41"/>
      <c r="AM39" s="15"/>
      <c r="AN39" s="15"/>
      <c r="AO39" s="15"/>
      <c r="AP39" s="15"/>
      <c r="AQ39" s="15"/>
      <c r="AR39" s="15"/>
      <c r="AS39" s="15"/>
      <c r="AT39" s="15"/>
      <c r="AU39" s="15"/>
      <c r="AV39" s="15"/>
    </row>
    <row r="40" spans="1:48" x14ac:dyDescent="0.25">
      <c r="A40" s="15"/>
      <c r="B40" s="37"/>
      <c r="C40" s="37"/>
      <c r="D40" s="38"/>
      <c r="E40" s="38"/>
      <c r="F40" s="39"/>
      <c r="G40" s="39"/>
      <c r="H40" s="39"/>
      <c r="I40" s="38"/>
      <c r="J40" s="15"/>
      <c r="K40" s="38"/>
      <c r="L40" s="38"/>
      <c r="M40" s="38"/>
      <c r="N40" s="38"/>
      <c r="O40" s="38"/>
      <c r="P40" s="15"/>
      <c r="Q40" s="40"/>
      <c r="R40" s="38"/>
      <c r="S40" s="38"/>
      <c r="T40" s="38"/>
      <c r="U40" s="38"/>
      <c r="V40" s="38"/>
      <c r="W40" s="38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41"/>
      <c r="AM40" s="15"/>
      <c r="AN40" s="15"/>
      <c r="AO40" s="15"/>
      <c r="AP40" s="15"/>
      <c r="AQ40" s="15"/>
      <c r="AR40" s="15"/>
      <c r="AS40" s="15"/>
      <c r="AT40" s="15"/>
      <c r="AU40" s="15"/>
      <c r="AV40" s="15"/>
    </row>
    <row r="41" spans="1:48" x14ac:dyDescent="0.25">
      <c r="A41" s="15"/>
      <c r="B41" s="37"/>
      <c r="C41" s="37"/>
      <c r="D41" s="38"/>
      <c r="E41" s="38"/>
      <c r="F41" s="39"/>
      <c r="G41" s="39"/>
      <c r="H41" s="39"/>
      <c r="I41" s="38"/>
      <c r="J41" s="15"/>
      <c r="K41" s="38"/>
      <c r="L41" s="38"/>
      <c r="M41" s="38"/>
      <c r="N41" s="38"/>
      <c r="O41" s="38"/>
      <c r="P41" s="15"/>
      <c r="Q41" s="40"/>
      <c r="R41" s="38"/>
      <c r="S41" s="38"/>
      <c r="T41" s="38"/>
      <c r="U41" s="38"/>
      <c r="V41" s="38"/>
      <c r="W41" s="38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41"/>
      <c r="AM41" s="15"/>
      <c r="AN41" s="15"/>
      <c r="AO41" s="15"/>
      <c r="AP41" s="15"/>
      <c r="AQ41" s="15"/>
      <c r="AR41" s="15"/>
      <c r="AS41" s="15"/>
      <c r="AT41" s="15"/>
      <c r="AU41" s="15"/>
      <c r="AV41" s="15"/>
    </row>
    <row r="42" spans="1:48" x14ac:dyDescent="0.25">
      <c r="A42" s="15"/>
      <c r="B42" s="37"/>
      <c r="C42" s="37"/>
      <c r="D42" s="38"/>
      <c r="E42" s="38"/>
      <c r="F42" s="39"/>
      <c r="G42" s="39"/>
      <c r="H42" s="39"/>
      <c r="I42" s="38"/>
      <c r="J42" s="15"/>
      <c r="K42" s="38"/>
      <c r="L42" s="38"/>
      <c r="M42" s="38"/>
      <c r="N42" s="38"/>
      <c r="O42" s="38"/>
      <c r="P42" s="15"/>
      <c r="Q42" s="40"/>
      <c r="R42" s="38"/>
      <c r="S42" s="38"/>
      <c r="T42" s="38"/>
      <c r="U42" s="38"/>
      <c r="V42" s="38"/>
      <c r="W42" s="38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41"/>
      <c r="AM42" s="15"/>
      <c r="AN42" s="15"/>
      <c r="AO42" s="15"/>
      <c r="AP42" s="15"/>
      <c r="AQ42" s="15"/>
      <c r="AR42" s="15"/>
      <c r="AS42" s="15"/>
      <c r="AT42" s="15"/>
      <c r="AU42" s="15"/>
      <c r="AV42" s="15"/>
    </row>
    <row r="43" spans="1:48" x14ac:dyDescent="0.25">
      <c r="A43" s="15"/>
      <c r="B43" s="37"/>
      <c r="C43" s="37"/>
      <c r="D43" s="38"/>
      <c r="E43" s="38"/>
      <c r="F43" s="39"/>
      <c r="G43" s="39"/>
      <c r="H43" s="39"/>
      <c r="I43" s="38"/>
      <c r="J43" s="15"/>
      <c r="K43" s="38"/>
      <c r="L43" s="38"/>
      <c r="M43" s="38"/>
      <c r="N43" s="38"/>
      <c r="O43" s="38"/>
      <c r="P43" s="15"/>
      <c r="Q43" s="40"/>
      <c r="R43" s="38"/>
      <c r="S43" s="38"/>
      <c r="T43" s="38"/>
      <c r="U43" s="38"/>
      <c r="V43" s="38"/>
      <c r="W43" s="38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41"/>
      <c r="AM43" s="15"/>
      <c r="AN43" s="15"/>
      <c r="AO43" s="15"/>
      <c r="AP43" s="15"/>
      <c r="AQ43" s="15"/>
      <c r="AR43" s="15"/>
      <c r="AS43" s="15"/>
      <c r="AT43" s="15"/>
      <c r="AU43" s="15"/>
      <c r="AV43" s="15"/>
    </row>
    <row r="44" spans="1:48" x14ac:dyDescent="0.25">
      <c r="A44" s="15"/>
      <c r="B44" s="37"/>
      <c r="C44" s="37"/>
      <c r="D44" s="38"/>
      <c r="E44" s="38"/>
      <c r="F44" s="39"/>
      <c r="G44" s="39"/>
      <c r="H44" s="39"/>
      <c r="I44" s="38"/>
      <c r="J44" s="15"/>
      <c r="K44" s="38"/>
      <c r="L44" s="38"/>
      <c r="M44" s="38"/>
      <c r="N44" s="38"/>
      <c r="O44" s="38"/>
      <c r="P44" s="15"/>
      <c r="Q44" s="40"/>
      <c r="R44" s="38"/>
      <c r="S44" s="38"/>
      <c r="T44" s="38"/>
      <c r="U44" s="38"/>
      <c r="V44" s="38"/>
      <c r="W44" s="38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41"/>
      <c r="AM44" s="15"/>
      <c r="AN44" s="15"/>
      <c r="AO44" s="15"/>
      <c r="AP44" s="15"/>
      <c r="AQ44" s="15"/>
      <c r="AR44" s="15"/>
      <c r="AS44" s="15"/>
      <c r="AT44" s="15"/>
      <c r="AU44" s="15"/>
      <c r="AV44" s="15"/>
    </row>
    <row r="45" spans="1:48" x14ac:dyDescent="0.25">
      <c r="A45" s="15"/>
      <c r="B45" s="37"/>
      <c r="C45" s="37"/>
      <c r="D45" s="38"/>
      <c r="E45" s="38"/>
      <c r="F45" s="39"/>
      <c r="G45" s="39"/>
      <c r="H45" s="39"/>
      <c r="I45" s="38"/>
      <c r="J45" s="15"/>
      <c r="K45" s="38"/>
      <c r="L45" s="38"/>
      <c r="M45" s="38"/>
      <c r="N45" s="38"/>
      <c r="O45" s="38"/>
      <c r="P45" s="15"/>
      <c r="Q45" s="40"/>
      <c r="R45" s="38"/>
      <c r="S45" s="38"/>
      <c r="T45" s="38"/>
      <c r="U45" s="38"/>
      <c r="V45" s="38"/>
      <c r="W45" s="38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41"/>
      <c r="AM45" s="15"/>
      <c r="AN45" s="15"/>
      <c r="AO45" s="15"/>
      <c r="AP45" s="15"/>
      <c r="AQ45" s="15"/>
      <c r="AR45" s="15"/>
      <c r="AS45" s="15"/>
      <c r="AT45" s="15"/>
      <c r="AU45" s="15"/>
      <c r="AV45" s="15"/>
    </row>
    <row r="46" spans="1:48" x14ac:dyDescent="0.25">
      <c r="A46" s="15"/>
      <c r="B46" s="37"/>
      <c r="C46" s="37"/>
      <c r="D46" s="38"/>
      <c r="E46" s="38"/>
      <c r="F46" s="39"/>
      <c r="G46" s="39"/>
      <c r="H46" s="39"/>
      <c r="I46" s="38"/>
      <c r="J46" s="15"/>
      <c r="K46" s="38"/>
      <c r="L46" s="38"/>
      <c r="M46" s="38"/>
      <c r="N46" s="38"/>
      <c r="O46" s="38"/>
      <c r="P46" s="15"/>
      <c r="Q46" s="40"/>
      <c r="R46" s="38"/>
      <c r="S46" s="38"/>
      <c r="T46" s="38"/>
      <c r="U46" s="38"/>
      <c r="V46" s="38"/>
      <c r="W46" s="38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41"/>
      <c r="AM46" s="15"/>
      <c r="AN46" s="15"/>
      <c r="AO46" s="15"/>
      <c r="AP46" s="15"/>
      <c r="AQ46" s="15"/>
      <c r="AR46" s="15"/>
      <c r="AS46" s="15"/>
      <c r="AT46" s="15"/>
      <c r="AU46" s="15"/>
      <c r="AV46" s="15"/>
    </row>
    <row r="47" spans="1:48" x14ac:dyDescent="0.25">
      <c r="A47" s="15"/>
      <c r="B47" s="37"/>
      <c r="C47" s="37"/>
      <c r="D47" s="38"/>
      <c r="E47" s="38"/>
      <c r="F47" s="39"/>
      <c r="G47" s="39"/>
      <c r="H47" s="39"/>
      <c r="I47" s="38"/>
      <c r="J47" s="15"/>
      <c r="K47" s="38"/>
      <c r="L47" s="38"/>
      <c r="M47" s="38"/>
      <c r="N47" s="38"/>
      <c r="O47" s="38"/>
      <c r="P47" s="15"/>
      <c r="Q47" s="40"/>
      <c r="R47" s="38"/>
      <c r="S47" s="38"/>
      <c r="T47" s="38"/>
      <c r="U47" s="38"/>
      <c r="V47" s="38"/>
      <c r="W47" s="38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41"/>
      <c r="AM47" s="15"/>
      <c r="AN47" s="15"/>
      <c r="AO47" s="15"/>
      <c r="AP47" s="15"/>
      <c r="AQ47" s="15"/>
      <c r="AR47" s="15"/>
      <c r="AS47" s="15"/>
      <c r="AT47" s="15"/>
      <c r="AU47" s="15"/>
      <c r="AV47" s="15"/>
    </row>
    <row r="48" spans="1:48" x14ac:dyDescent="0.25">
      <c r="A48" s="15"/>
      <c r="B48" s="37"/>
      <c r="C48" s="37"/>
      <c r="D48" s="38"/>
      <c r="E48" s="38"/>
      <c r="F48" s="39"/>
      <c r="G48" s="39"/>
      <c r="H48" s="39"/>
      <c r="I48" s="38"/>
      <c r="J48" s="15"/>
      <c r="K48" s="38"/>
      <c r="L48" s="38"/>
      <c r="M48" s="38"/>
      <c r="N48" s="38"/>
      <c r="O48" s="38"/>
      <c r="P48" s="15"/>
      <c r="Q48" s="40"/>
      <c r="R48" s="38"/>
      <c r="S48" s="38"/>
      <c r="T48" s="38"/>
      <c r="U48" s="38"/>
      <c r="V48" s="38"/>
      <c r="W48" s="38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41"/>
      <c r="AM48" s="15"/>
      <c r="AN48" s="15"/>
      <c r="AO48" s="15"/>
      <c r="AP48" s="15"/>
      <c r="AQ48" s="15"/>
      <c r="AR48" s="15"/>
      <c r="AS48" s="15"/>
      <c r="AT48" s="15"/>
      <c r="AU48" s="15"/>
      <c r="AV48" s="15"/>
    </row>
    <row r="49" spans="1:48" x14ac:dyDescent="0.25">
      <c r="A49" s="15"/>
      <c r="B49" s="37"/>
      <c r="C49" s="37"/>
      <c r="D49" s="38"/>
      <c r="E49" s="38"/>
      <c r="F49" s="39"/>
      <c r="G49" s="39"/>
      <c r="H49" s="39"/>
      <c r="I49" s="38"/>
      <c r="J49" s="15"/>
      <c r="K49" s="38"/>
      <c r="L49" s="38"/>
      <c r="M49" s="38"/>
      <c r="N49" s="38"/>
      <c r="O49" s="38"/>
      <c r="P49" s="15"/>
      <c r="Q49" s="40"/>
      <c r="R49" s="38"/>
      <c r="S49" s="38"/>
      <c r="T49" s="38"/>
      <c r="U49" s="38"/>
      <c r="V49" s="38"/>
      <c r="W49" s="38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41"/>
      <c r="AM49" s="15"/>
      <c r="AN49" s="15"/>
      <c r="AO49" s="15"/>
      <c r="AP49" s="15"/>
      <c r="AQ49" s="15"/>
      <c r="AR49" s="15"/>
      <c r="AS49" s="15"/>
      <c r="AT49" s="15"/>
      <c r="AU49" s="15"/>
      <c r="AV49" s="15"/>
    </row>
    <row r="50" spans="1:48" x14ac:dyDescent="0.25">
      <c r="A50" s="15"/>
      <c r="B50" s="37"/>
      <c r="C50" s="37"/>
      <c r="D50" s="38"/>
      <c r="E50" s="38"/>
      <c r="F50" s="39"/>
      <c r="G50" s="39"/>
      <c r="H50" s="39"/>
      <c r="I50" s="38"/>
      <c r="J50" s="15"/>
      <c r="K50" s="38"/>
      <c r="L50" s="38"/>
      <c r="M50" s="38"/>
      <c r="N50" s="38"/>
      <c r="O50" s="38"/>
      <c r="P50" s="15"/>
      <c r="Q50" s="40"/>
      <c r="R50" s="38"/>
      <c r="S50" s="38"/>
      <c r="T50" s="38"/>
      <c r="U50" s="38"/>
      <c r="V50" s="38"/>
      <c r="W50" s="38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41"/>
      <c r="AM50" s="15"/>
      <c r="AN50" s="15"/>
      <c r="AO50" s="15"/>
      <c r="AP50" s="15"/>
      <c r="AQ50" s="15"/>
      <c r="AR50" s="15"/>
      <c r="AS50" s="15"/>
      <c r="AT50" s="15"/>
      <c r="AU50" s="15"/>
      <c r="AV50" s="15"/>
    </row>
    <row r="51" spans="1:48" x14ac:dyDescent="0.25">
      <c r="A51" s="15"/>
      <c r="B51" s="37"/>
      <c r="C51" s="37"/>
      <c r="D51" s="38"/>
      <c r="E51" s="38"/>
      <c r="F51" s="39"/>
      <c r="G51" s="39"/>
      <c r="H51" s="39"/>
      <c r="I51" s="38"/>
      <c r="J51" s="15"/>
      <c r="K51" s="38"/>
      <c r="L51" s="38"/>
      <c r="M51" s="38"/>
      <c r="N51" s="38"/>
      <c r="O51" s="38"/>
      <c r="P51" s="15"/>
      <c r="Q51" s="40"/>
      <c r="R51" s="38"/>
      <c r="S51" s="38"/>
      <c r="T51" s="38"/>
      <c r="U51" s="38"/>
      <c r="V51" s="38"/>
      <c r="W51" s="38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41"/>
      <c r="AM51" s="15"/>
      <c r="AN51" s="15"/>
      <c r="AO51" s="15"/>
      <c r="AP51" s="15"/>
      <c r="AQ51" s="15"/>
      <c r="AR51" s="15"/>
      <c r="AS51" s="15"/>
      <c r="AT51" s="15"/>
      <c r="AU51" s="15"/>
      <c r="AV51" s="15"/>
    </row>
    <row r="52" spans="1:48" x14ac:dyDescent="0.25">
      <c r="A52" s="15"/>
      <c r="B52" s="37"/>
      <c r="C52" s="37"/>
      <c r="D52" s="38"/>
      <c r="E52" s="38"/>
      <c r="F52" s="39"/>
      <c r="G52" s="39"/>
      <c r="H52" s="39"/>
      <c r="I52" s="38"/>
      <c r="J52" s="15"/>
      <c r="K52" s="38"/>
      <c r="L52" s="38"/>
      <c r="M52" s="38"/>
      <c r="N52" s="38"/>
      <c r="O52" s="38"/>
      <c r="P52" s="15"/>
      <c r="Q52" s="40"/>
      <c r="R52" s="38"/>
      <c r="S52" s="38"/>
      <c r="T52" s="38"/>
      <c r="U52" s="38"/>
      <c r="V52" s="38"/>
      <c r="W52" s="38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41"/>
      <c r="AM52" s="15"/>
      <c r="AN52" s="15"/>
      <c r="AO52" s="15"/>
      <c r="AP52" s="15"/>
      <c r="AQ52" s="15"/>
      <c r="AR52" s="15"/>
      <c r="AS52" s="15"/>
      <c r="AT52" s="15"/>
      <c r="AU52" s="15"/>
      <c r="AV52" s="15"/>
    </row>
    <row r="53" spans="1:48" x14ac:dyDescent="0.25">
      <c r="A53" s="15"/>
      <c r="B53" s="37"/>
      <c r="C53" s="37"/>
      <c r="D53" s="38"/>
      <c r="E53" s="38"/>
      <c r="F53" s="39"/>
      <c r="G53" s="39"/>
      <c r="H53" s="39"/>
      <c r="I53" s="38"/>
      <c r="J53" s="15"/>
      <c r="K53" s="38"/>
      <c r="L53" s="38"/>
      <c r="M53" s="38"/>
      <c r="N53" s="38"/>
      <c r="O53" s="38"/>
      <c r="P53" s="15"/>
      <c r="Q53" s="40"/>
      <c r="R53" s="38"/>
      <c r="S53" s="38"/>
      <c r="T53" s="38"/>
      <c r="U53" s="38"/>
      <c r="V53" s="38"/>
      <c r="W53" s="38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41"/>
      <c r="AM53" s="15"/>
      <c r="AN53" s="15"/>
      <c r="AO53" s="15"/>
      <c r="AP53" s="15"/>
      <c r="AQ53" s="15"/>
      <c r="AR53" s="15"/>
      <c r="AS53" s="15"/>
      <c r="AT53" s="15"/>
      <c r="AU53" s="15"/>
      <c r="AV53" s="15"/>
    </row>
    <row r="54" spans="1:48" x14ac:dyDescent="0.25">
      <c r="A54" s="15"/>
      <c r="B54" s="37"/>
      <c r="C54" s="37"/>
      <c r="D54" s="38"/>
      <c r="E54" s="38"/>
      <c r="F54" s="39"/>
      <c r="G54" s="39"/>
      <c r="H54" s="39"/>
      <c r="I54" s="38"/>
      <c r="J54" s="15"/>
      <c r="K54" s="38"/>
      <c r="L54" s="38"/>
      <c r="M54" s="38"/>
      <c r="N54" s="38"/>
      <c r="O54" s="38"/>
      <c r="P54" s="15"/>
      <c r="Q54" s="40"/>
      <c r="R54" s="38"/>
      <c r="S54" s="38"/>
      <c r="T54" s="38"/>
      <c r="U54" s="38"/>
      <c r="V54" s="38"/>
      <c r="W54" s="38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41"/>
      <c r="AM54" s="15"/>
      <c r="AN54" s="15"/>
      <c r="AO54" s="15"/>
      <c r="AP54" s="15"/>
      <c r="AQ54" s="15"/>
      <c r="AR54" s="15"/>
      <c r="AS54" s="15"/>
      <c r="AT54" s="15"/>
      <c r="AU54" s="15"/>
      <c r="AV54" s="15"/>
    </row>
    <row r="55" spans="1:48" x14ac:dyDescent="0.25">
      <c r="A55" s="15"/>
      <c r="B55" s="37"/>
      <c r="C55" s="37"/>
      <c r="D55" s="38"/>
      <c r="E55" s="38"/>
      <c r="F55" s="39"/>
      <c r="G55" s="39"/>
      <c r="H55" s="39"/>
      <c r="I55" s="38"/>
      <c r="J55" s="15"/>
      <c r="K55" s="38"/>
      <c r="L55" s="38"/>
      <c r="M55" s="38"/>
      <c r="N55" s="38"/>
      <c r="O55" s="38"/>
      <c r="P55" s="15"/>
      <c r="Q55" s="40"/>
      <c r="R55" s="38"/>
      <c r="S55" s="38"/>
      <c r="T55" s="38"/>
      <c r="U55" s="38"/>
      <c r="V55" s="38"/>
      <c r="W55" s="38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41"/>
      <c r="AM55" s="15"/>
      <c r="AN55" s="15"/>
      <c r="AO55" s="15"/>
      <c r="AP55" s="15"/>
      <c r="AQ55" s="15"/>
      <c r="AR55" s="15"/>
      <c r="AS55" s="15"/>
      <c r="AT55" s="15"/>
      <c r="AU55" s="15"/>
      <c r="AV55" s="15"/>
    </row>
    <row r="56" spans="1:48" x14ac:dyDescent="0.25">
      <c r="A56" s="15"/>
      <c r="B56" s="37"/>
      <c r="C56" s="37"/>
      <c r="D56" s="38"/>
      <c r="E56" s="38"/>
      <c r="F56" s="39"/>
      <c r="G56" s="39"/>
      <c r="H56" s="39"/>
      <c r="I56" s="38"/>
      <c r="J56" s="15"/>
      <c r="K56" s="38"/>
      <c r="L56" s="38"/>
      <c r="M56" s="38"/>
      <c r="N56" s="38"/>
      <c r="O56" s="38"/>
      <c r="P56" s="15"/>
      <c r="Q56" s="40"/>
      <c r="R56" s="38"/>
      <c r="S56" s="38"/>
      <c r="T56" s="38"/>
      <c r="U56" s="38"/>
      <c r="V56" s="38"/>
      <c r="W56" s="38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41"/>
      <c r="AM56" s="15"/>
      <c r="AN56" s="15"/>
      <c r="AO56" s="15"/>
      <c r="AP56" s="15"/>
      <c r="AQ56" s="15"/>
      <c r="AR56" s="15"/>
      <c r="AS56" s="15"/>
      <c r="AT56" s="15"/>
      <c r="AU56" s="15"/>
      <c r="AV56" s="15"/>
    </row>
    <row r="57" spans="1:48" x14ac:dyDescent="0.25">
      <c r="A57" s="15"/>
      <c r="B57" s="37"/>
      <c r="C57" s="37"/>
      <c r="D57" s="38"/>
      <c r="E57" s="38"/>
      <c r="F57" s="39"/>
      <c r="G57" s="39"/>
      <c r="H57" s="39"/>
      <c r="I57" s="38"/>
      <c r="J57" s="15"/>
      <c r="K57" s="38"/>
      <c r="L57" s="38"/>
      <c r="M57" s="38"/>
      <c r="N57" s="38"/>
      <c r="O57" s="38"/>
      <c r="P57" s="15"/>
      <c r="Q57" s="40"/>
      <c r="R57" s="38"/>
      <c r="S57" s="38"/>
      <c r="T57" s="38"/>
      <c r="U57" s="38"/>
      <c r="V57" s="38"/>
      <c r="W57" s="38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41"/>
      <c r="AM57" s="15"/>
      <c r="AN57" s="15"/>
      <c r="AO57" s="15"/>
      <c r="AP57" s="15"/>
      <c r="AQ57" s="15"/>
      <c r="AR57" s="15"/>
      <c r="AS57" s="15"/>
      <c r="AT57" s="15"/>
      <c r="AU57" s="15"/>
      <c r="AV57" s="15"/>
    </row>
    <row r="58" spans="1:48" x14ac:dyDescent="0.25">
      <c r="A58" s="15"/>
      <c r="B58" s="37"/>
      <c r="C58" s="37"/>
      <c r="D58" s="38"/>
      <c r="E58" s="38"/>
      <c r="F58" s="39"/>
      <c r="G58" s="39"/>
      <c r="H58" s="39"/>
      <c r="I58" s="38"/>
      <c r="J58" s="15"/>
      <c r="K58" s="38"/>
      <c r="L58" s="38"/>
      <c r="M58" s="38"/>
      <c r="N58" s="38"/>
      <c r="O58" s="38"/>
      <c r="P58" s="15"/>
      <c r="Q58" s="40"/>
      <c r="R58" s="38"/>
      <c r="S58" s="38"/>
      <c r="T58" s="38"/>
      <c r="U58" s="38"/>
      <c r="V58" s="38"/>
      <c r="W58" s="38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41"/>
      <c r="AM58" s="15"/>
      <c r="AN58" s="15"/>
      <c r="AO58" s="15"/>
      <c r="AP58" s="15"/>
      <c r="AQ58" s="15"/>
      <c r="AR58" s="15"/>
      <c r="AS58" s="15"/>
      <c r="AT58" s="15"/>
      <c r="AU58" s="15"/>
      <c r="AV58" s="15"/>
    </row>
    <row r="59" spans="1:48" x14ac:dyDescent="0.25">
      <c r="A59" s="15"/>
      <c r="B59" s="37"/>
      <c r="C59" s="37"/>
      <c r="D59" s="38"/>
      <c r="E59" s="38"/>
      <c r="F59" s="39"/>
      <c r="G59" s="39"/>
      <c r="H59" s="39"/>
      <c r="I59" s="38"/>
      <c r="J59" s="15"/>
      <c r="K59" s="38"/>
      <c r="L59" s="38"/>
      <c r="M59" s="38"/>
      <c r="N59" s="38"/>
      <c r="O59" s="38"/>
      <c r="P59" s="15"/>
      <c r="Q59" s="40"/>
      <c r="R59" s="38"/>
      <c r="S59" s="38"/>
      <c r="T59" s="38"/>
      <c r="U59" s="38"/>
      <c r="V59" s="38"/>
      <c r="W59" s="38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41"/>
      <c r="AM59" s="15"/>
      <c r="AN59" s="15"/>
      <c r="AO59" s="15"/>
      <c r="AP59" s="15"/>
      <c r="AQ59" s="15"/>
      <c r="AR59" s="15"/>
      <c r="AS59" s="15"/>
      <c r="AT59" s="15"/>
      <c r="AU59" s="15"/>
      <c r="AV59" s="15"/>
    </row>
    <row r="60" spans="1:48" x14ac:dyDescent="0.25">
      <c r="A60" s="15"/>
      <c r="B60" s="37"/>
      <c r="C60" s="37"/>
      <c r="D60" s="38"/>
      <c r="E60" s="38"/>
      <c r="F60" s="39"/>
      <c r="G60" s="39"/>
      <c r="H60" s="39"/>
      <c r="I60" s="38"/>
      <c r="J60" s="15"/>
      <c r="K60" s="38"/>
      <c r="L60" s="38"/>
      <c r="M60" s="38"/>
      <c r="N60" s="38"/>
      <c r="O60" s="38"/>
      <c r="P60" s="15"/>
      <c r="Q60" s="40"/>
      <c r="R60" s="38"/>
      <c r="S60" s="38"/>
      <c r="T60" s="38"/>
      <c r="U60" s="38"/>
      <c r="V60" s="38"/>
      <c r="W60" s="38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41"/>
      <c r="AM60" s="15"/>
      <c r="AN60" s="15"/>
      <c r="AO60" s="15"/>
      <c r="AP60" s="15"/>
      <c r="AQ60" s="15"/>
      <c r="AR60" s="15"/>
      <c r="AS60" s="15"/>
      <c r="AT60" s="15"/>
      <c r="AU60" s="15"/>
      <c r="AV60" s="15"/>
    </row>
    <row r="61" spans="1:48" x14ac:dyDescent="0.25">
      <c r="A61" s="15"/>
      <c r="B61" s="37"/>
      <c r="C61" s="37"/>
      <c r="D61" s="38"/>
      <c r="E61" s="38"/>
      <c r="F61" s="39"/>
      <c r="G61" s="39"/>
      <c r="H61" s="39"/>
      <c r="I61" s="38"/>
      <c r="J61" s="15"/>
      <c r="K61" s="38"/>
      <c r="L61" s="38"/>
      <c r="M61" s="38"/>
      <c r="N61" s="38"/>
      <c r="O61" s="38"/>
      <c r="P61" s="15"/>
      <c r="Q61" s="40"/>
      <c r="R61" s="38"/>
      <c r="S61" s="38"/>
      <c r="T61" s="38"/>
      <c r="U61" s="38"/>
      <c r="V61" s="38"/>
      <c r="W61" s="38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41"/>
      <c r="AM61" s="15"/>
      <c r="AN61" s="15"/>
      <c r="AO61" s="15"/>
      <c r="AP61" s="15"/>
      <c r="AQ61" s="15"/>
      <c r="AR61" s="15"/>
      <c r="AS61" s="15"/>
      <c r="AT61" s="15"/>
      <c r="AU61" s="15"/>
      <c r="AV61" s="15"/>
    </row>
    <row r="62" spans="1:48" x14ac:dyDescent="0.25">
      <c r="A62" s="15"/>
      <c r="B62" s="37"/>
      <c r="C62" s="37"/>
      <c r="D62" s="38"/>
      <c r="E62" s="38"/>
      <c r="F62" s="39"/>
      <c r="G62" s="39"/>
      <c r="H62" s="39"/>
      <c r="I62" s="38"/>
      <c r="J62" s="15"/>
      <c r="K62" s="38"/>
      <c r="L62" s="38"/>
      <c r="M62" s="38"/>
      <c r="N62" s="38"/>
      <c r="O62" s="38"/>
      <c r="P62" s="15"/>
      <c r="Q62" s="40"/>
      <c r="R62" s="38"/>
      <c r="S62" s="38"/>
      <c r="T62" s="38"/>
      <c r="U62" s="38"/>
      <c r="V62" s="38"/>
      <c r="W62" s="38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41"/>
      <c r="AM62" s="15"/>
      <c r="AN62" s="15"/>
      <c r="AO62" s="15"/>
      <c r="AP62" s="15"/>
      <c r="AQ62" s="15"/>
      <c r="AR62" s="15"/>
      <c r="AS62" s="15"/>
      <c r="AT62" s="15"/>
      <c r="AU62" s="15"/>
      <c r="AV62" s="15"/>
    </row>
    <row r="63" spans="1:48" x14ac:dyDescent="0.25">
      <c r="A63" s="15"/>
      <c r="B63" s="37"/>
      <c r="C63" s="37"/>
      <c r="D63" s="38"/>
      <c r="E63" s="38"/>
      <c r="F63" s="39"/>
      <c r="G63" s="39"/>
      <c r="H63" s="39"/>
      <c r="I63" s="38"/>
      <c r="J63" s="15"/>
      <c r="K63" s="38"/>
      <c r="L63" s="38"/>
      <c r="M63" s="38"/>
      <c r="N63" s="38"/>
      <c r="O63" s="38"/>
      <c r="P63" s="15"/>
      <c r="Q63" s="40"/>
      <c r="R63" s="38"/>
      <c r="S63" s="38"/>
      <c r="T63" s="38"/>
      <c r="U63" s="38"/>
      <c r="V63" s="38"/>
      <c r="W63" s="38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41"/>
      <c r="AM63" s="15"/>
      <c r="AN63" s="15"/>
      <c r="AO63" s="15"/>
      <c r="AP63" s="15"/>
      <c r="AQ63" s="15"/>
      <c r="AR63" s="15"/>
      <c r="AS63" s="15"/>
      <c r="AT63" s="15"/>
      <c r="AU63" s="15"/>
      <c r="AV63" s="15"/>
    </row>
    <row r="64" spans="1:48" x14ac:dyDescent="0.25">
      <c r="A64" s="15"/>
      <c r="B64" s="37"/>
      <c r="C64" s="37"/>
      <c r="D64" s="38"/>
      <c r="E64" s="38"/>
      <c r="F64" s="39"/>
      <c r="G64" s="39"/>
      <c r="H64" s="39"/>
      <c r="I64" s="38"/>
      <c r="J64" s="15"/>
      <c r="K64" s="38"/>
      <c r="L64" s="38"/>
      <c r="M64" s="38"/>
      <c r="N64" s="38"/>
      <c r="O64" s="38"/>
      <c r="P64" s="15"/>
      <c r="Q64" s="40"/>
      <c r="R64" s="38"/>
      <c r="S64" s="38"/>
      <c r="T64" s="38"/>
      <c r="U64" s="38"/>
      <c r="V64" s="38"/>
      <c r="W64" s="38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41"/>
      <c r="AM64" s="15"/>
      <c r="AN64" s="15"/>
      <c r="AO64" s="15"/>
      <c r="AP64" s="15"/>
      <c r="AQ64" s="15"/>
      <c r="AR64" s="15"/>
      <c r="AS64" s="15"/>
      <c r="AT64" s="15"/>
      <c r="AU64" s="15"/>
      <c r="AV64" s="15"/>
    </row>
    <row r="65" spans="1:48" x14ac:dyDescent="0.25">
      <c r="A65" s="15"/>
      <c r="B65" s="37"/>
      <c r="C65" s="37"/>
      <c r="D65" s="38"/>
      <c r="E65" s="38"/>
      <c r="F65" s="39"/>
      <c r="G65" s="39"/>
      <c r="H65" s="39"/>
      <c r="I65" s="38"/>
      <c r="J65" s="15"/>
      <c r="K65" s="38"/>
      <c r="L65" s="38"/>
      <c r="M65" s="38"/>
      <c r="N65" s="38"/>
      <c r="O65" s="38"/>
      <c r="P65" s="15"/>
      <c r="Q65" s="40"/>
      <c r="R65" s="38"/>
      <c r="S65" s="38"/>
      <c r="T65" s="38"/>
      <c r="U65" s="38"/>
      <c r="V65" s="38"/>
      <c r="W65" s="38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41"/>
      <c r="AM65" s="15"/>
      <c r="AN65" s="15"/>
      <c r="AO65" s="15"/>
      <c r="AP65" s="15"/>
      <c r="AQ65" s="15"/>
      <c r="AR65" s="15"/>
      <c r="AS65" s="15"/>
      <c r="AT65" s="15"/>
      <c r="AU65" s="15"/>
      <c r="AV65" s="15"/>
    </row>
    <row r="66" spans="1:48" x14ac:dyDescent="0.25">
      <c r="A66" s="15"/>
      <c r="B66" s="37"/>
      <c r="C66" s="37"/>
      <c r="D66" s="38"/>
      <c r="E66" s="38"/>
      <c r="F66" s="39"/>
      <c r="G66" s="39"/>
      <c r="H66" s="39"/>
      <c r="I66" s="38"/>
      <c r="J66" s="15"/>
      <c r="K66" s="38"/>
      <c r="L66" s="38"/>
      <c r="M66" s="38"/>
      <c r="N66" s="38"/>
      <c r="O66" s="38"/>
      <c r="P66" s="15"/>
      <c r="Q66" s="40"/>
      <c r="R66" s="38"/>
      <c r="S66" s="38"/>
      <c r="T66" s="38"/>
      <c r="U66" s="38"/>
      <c r="V66" s="38"/>
      <c r="W66" s="38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41"/>
      <c r="AM66" s="15"/>
      <c r="AN66" s="15"/>
      <c r="AO66" s="15"/>
      <c r="AP66" s="15"/>
      <c r="AQ66" s="15"/>
      <c r="AR66" s="15"/>
      <c r="AS66" s="15"/>
      <c r="AT66" s="15"/>
      <c r="AU66" s="15"/>
      <c r="AV66" s="15"/>
    </row>
    <row r="67" spans="1:48" x14ac:dyDescent="0.25">
      <c r="A67" s="15"/>
      <c r="B67" s="37"/>
      <c r="C67" s="37"/>
      <c r="D67" s="38"/>
      <c r="E67" s="38"/>
      <c r="F67" s="39"/>
      <c r="G67" s="39"/>
      <c r="H67" s="39"/>
      <c r="I67" s="38"/>
      <c r="J67" s="15"/>
      <c r="K67" s="38"/>
      <c r="L67" s="38"/>
      <c r="M67" s="38"/>
      <c r="N67" s="38"/>
      <c r="O67" s="38"/>
      <c r="P67" s="15"/>
      <c r="Q67" s="40"/>
      <c r="R67" s="38"/>
      <c r="S67" s="38"/>
      <c r="T67" s="38"/>
      <c r="U67" s="38"/>
      <c r="V67" s="38"/>
      <c r="W67" s="38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41"/>
      <c r="AM67" s="15"/>
      <c r="AN67" s="15"/>
      <c r="AO67" s="15"/>
      <c r="AP67" s="15"/>
      <c r="AQ67" s="15"/>
      <c r="AR67" s="15"/>
      <c r="AS67" s="15"/>
      <c r="AT67" s="15"/>
      <c r="AU67" s="15"/>
      <c r="AV67" s="15"/>
    </row>
    <row r="68" spans="1:48" x14ac:dyDescent="0.25">
      <c r="A68" s="15"/>
      <c r="B68" s="37"/>
      <c r="C68" s="37"/>
      <c r="D68" s="38"/>
      <c r="E68" s="38"/>
      <c r="F68" s="39"/>
      <c r="G68" s="39"/>
      <c r="H68" s="39"/>
      <c r="I68" s="38"/>
      <c r="J68" s="15"/>
      <c r="K68" s="38"/>
      <c r="L68" s="38"/>
      <c r="M68" s="38"/>
      <c r="N68" s="38"/>
      <c r="O68" s="38"/>
      <c r="P68" s="15"/>
      <c r="Q68" s="40"/>
      <c r="R68" s="38"/>
      <c r="S68" s="38"/>
      <c r="T68" s="38"/>
      <c r="U68" s="38"/>
      <c r="V68" s="38"/>
      <c r="W68" s="38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41"/>
      <c r="AM68" s="15"/>
      <c r="AN68" s="15"/>
      <c r="AO68" s="15"/>
      <c r="AP68" s="15"/>
      <c r="AQ68" s="15"/>
      <c r="AR68" s="15"/>
      <c r="AS68" s="15"/>
      <c r="AT68" s="15"/>
      <c r="AU68" s="15"/>
      <c r="AV68" s="15"/>
    </row>
    <row r="69" spans="1:48" x14ac:dyDescent="0.25">
      <c r="A69" s="15"/>
      <c r="B69" s="37"/>
      <c r="C69" s="37"/>
      <c r="D69" s="38"/>
      <c r="E69" s="38"/>
      <c r="F69" s="39"/>
      <c r="G69" s="39"/>
      <c r="H69" s="39"/>
      <c r="I69" s="38"/>
      <c r="J69" s="15"/>
      <c r="K69" s="38"/>
      <c r="L69" s="38"/>
      <c r="M69" s="38"/>
      <c r="N69" s="38"/>
      <c r="O69" s="38"/>
      <c r="P69" s="15"/>
      <c r="Q69" s="40"/>
      <c r="R69" s="38"/>
      <c r="S69" s="38"/>
      <c r="T69" s="38"/>
      <c r="U69" s="38"/>
      <c r="V69" s="38"/>
      <c r="W69" s="38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41"/>
      <c r="AM69" s="15"/>
      <c r="AN69" s="15"/>
      <c r="AO69" s="15"/>
      <c r="AP69" s="15"/>
      <c r="AQ69" s="15"/>
      <c r="AR69" s="15"/>
      <c r="AS69" s="15"/>
      <c r="AT69" s="15"/>
      <c r="AU69" s="15"/>
      <c r="AV69" s="15"/>
    </row>
    <row r="70" spans="1:48" x14ac:dyDescent="0.25">
      <c r="A70" s="15"/>
      <c r="B70" s="37"/>
      <c r="C70" s="37"/>
      <c r="D70" s="38"/>
      <c r="E70" s="38"/>
      <c r="F70" s="39"/>
      <c r="G70" s="39"/>
      <c r="H70" s="39"/>
      <c r="I70" s="38"/>
      <c r="J70" s="15"/>
      <c r="K70" s="38"/>
      <c r="L70" s="38"/>
      <c r="M70" s="38"/>
      <c r="N70" s="38"/>
      <c r="O70" s="38"/>
      <c r="P70" s="15"/>
      <c r="Q70" s="40"/>
      <c r="R70" s="38"/>
      <c r="S70" s="38"/>
      <c r="T70" s="38"/>
      <c r="U70" s="38"/>
      <c r="V70" s="38"/>
      <c r="W70" s="38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41"/>
      <c r="AM70" s="15"/>
      <c r="AN70" s="15"/>
      <c r="AO70" s="15"/>
      <c r="AP70" s="15"/>
      <c r="AQ70" s="15"/>
      <c r="AR70" s="15"/>
      <c r="AS70" s="15"/>
      <c r="AT70" s="15"/>
      <c r="AU70" s="15"/>
      <c r="AV70" s="15"/>
    </row>
    <row r="71" spans="1:48" x14ac:dyDescent="0.25">
      <c r="A71" s="15"/>
      <c r="B71" s="37"/>
      <c r="C71" s="37"/>
      <c r="D71" s="38"/>
      <c r="E71" s="38"/>
      <c r="F71" s="39"/>
      <c r="G71" s="39"/>
      <c r="H71" s="39"/>
      <c r="I71" s="38"/>
      <c r="J71" s="15"/>
      <c r="K71" s="38"/>
      <c r="L71" s="38"/>
      <c r="M71" s="38"/>
      <c r="N71" s="38"/>
      <c r="O71" s="38"/>
      <c r="P71" s="15"/>
      <c r="Q71" s="40"/>
      <c r="R71" s="38"/>
      <c r="S71" s="38"/>
      <c r="T71" s="38"/>
      <c r="U71" s="38"/>
      <c r="V71" s="38"/>
      <c r="W71" s="38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41"/>
      <c r="AM71" s="15"/>
      <c r="AN71" s="15"/>
      <c r="AO71" s="15"/>
      <c r="AP71" s="15"/>
      <c r="AQ71" s="15"/>
      <c r="AR71" s="15"/>
      <c r="AS71" s="15"/>
      <c r="AT71" s="15"/>
      <c r="AU71" s="15"/>
      <c r="AV71" s="15"/>
    </row>
    <row r="72" spans="1:48" x14ac:dyDescent="0.25">
      <c r="A72" s="15"/>
      <c r="B72" s="37"/>
      <c r="C72" s="37"/>
      <c r="D72" s="38"/>
      <c r="E72" s="38"/>
      <c r="F72" s="39"/>
      <c r="G72" s="39"/>
      <c r="H72" s="39"/>
      <c r="I72" s="38"/>
      <c r="J72" s="15"/>
      <c r="K72" s="38"/>
      <c r="L72" s="38"/>
      <c r="M72" s="38"/>
      <c r="N72" s="38"/>
      <c r="O72" s="38"/>
      <c r="P72" s="15"/>
      <c r="Q72" s="40"/>
      <c r="R72" s="38"/>
      <c r="S72" s="38"/>
      <c r="T72" s="38"/>
      <c r="U72" s="38"/>
      <c r="V72" s="38"/>
      <c r="W72" s="38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41"/>
      <c r="AM72" s="15"/>
      <c r="AN72" s="15"/>
      <c r="AO72" s="15"/>
      <c r="AP72" s="15"/>
      <c r="AQ72" s="15"/>
      <c r="AR72" s="15"/>
      <c r="AS72" s="15"/>
      <c r="AT72" s="15"/>
      <c r="AU72" s="15"/>
      <c r="AV72" s="15"/>
    </row>
    <row r="73" spans="1:48" x14ac:dyDescent="0.25">
      <c r="A73" s="15"/>
      <c r="B73" s="37"/>
      <c r="C73" s="37"/>
      <c r="D73" s="38"/>
      <c r="E73" s="38"/>
      <c r="F73" s="39"/>
      <c r="G73" s="39"/>
      <c r="H73" s="39"/>
      <c r="I73" s="38"/>
      <c r="J73" s="15"/>
      <c r="K73" s="38"/>
      <c r="L73" s="38"/>
      <c r="M73" s="38"/>
      <c r="N73" s="38"/>
      <c r="O73" s="38"/>
      <c r="P73" s="15"/>
      <c r="Q73" s="40"/>
      <c r="R73" s="38"/>
      <c r="S73" s="38"/>
      <c r="T73" s="38"/>
      <c r="U73" s="38"/>
      <c r="V73" s="38"/>
      <c r="W73" s="38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41"/>
      <c r="AM73" s="15"/>
      <c r="AN73" s="15"/>
      <c r="AO73" s="15"/>
      <c r="AP73" s="15"/>
      <c r="AQ73" s="15"/>
      <c r="AR73" s="15"/>
      <c r="AS73" s="15"/>
      <c r="AT73" s="15"/>
      <c r="AU73" s="15"/>
      <c r="AV73" s="15"/>
    </row>
    <row r="74" spans="1:48" x14ac:dyDescent="0.25">
      <c r="A74" s="15"/>
      <c r="B74" s="37"/>
      <c r="C74" s="37"/>
      <c r="D74" s="38"/>
      <c r="E74" s="38"/>
      <c r="F74" s="39"/>
      <c r="G74" s="39"/>
      <c r="H74" s="39"/>
      <c r="I74" s="38"/>
      <c r="J74" s="15"/>
      <c r="K74" s="38"/>
      <c r="L74" s="38"/>
      <c r="M74" s="38"/>
      <c r="N74" s="38"/>
      <c r="O74" s="38"/>
      <c r="P74" s="15"/>
      <c r="Q74" s="40"/>
      <c r="R74" s="38"/>
      <c r="S74" s="38"/>
      <c r="T74" s="38"/>
      <c r="U74" s="38"/>
      <c r="V74" s="38"/>
      <c r="W74" s="38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41"/>
      <c r="AM74" s="15"/>
      <c r="AN74" s="15"/>
      <c r="AO74" s="15"/>
      <c r="AP74" s="15"/>
      <c r="AQ74" s="15"/>
      <c r="AR74" s="15"/>
      <c r="AS74" s="15"/>
      <c r="AT74" s="15"/>
      <c r="AU74" s="15"/>
      <c r="AV74" s="15"/>
    </row>
    <row r="75" spans="1:48" x14ac:dyDescent="0.25">
      <c r="A75" s="15"/>
      <c r="B75" s="37"/>
      <c r="C75" s="37"/>
      <c r="D75" s="38"/>
      <c r="E75" s="38"/>
      <c r="F75" s="39"/>
      <c r="G75" s="39"/>
      <c r="H75" s="39"/>
      <c r="I75" s="38"/>
      <c r="J75" s="15"/>
      <c r="K75" s="38"/>
      <c r="L75" s="38"/>
      <c r="M75" s="38"/>
      <c r="N75" s="38"/>
      <c r="O75" s="38"/>
      <c r="P75" s="15"/>
      <c r="Q75" s="40"/>
      <c r="R75" s="38"/>
      <c r="S75" s="38"/>
      <c r="T75" s="38"/>
      <c r="U75" s="38"/>
      <c r="V75" s="38"/>
      <c r="W75" s="38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41"/>
      <c r="AM75" s="15"/>
      <c r="AN75" s="15"/>
      <c r="AO75" s="15"/>
      <c r="AP75" s="15"/>
      <c r="AQ75" s="15"/>
      <c r="AR75" s="15"/>
      <c r="AS75" s="15"/>
      <c r="AT75" s="15"/>
      <c r="AU75" s="15"/>
      <c r="AV75" s="15"/>
    </row>
    <row r="76" spans="1:48" x14ac:dyDescent="0.25">
      <c r="A76" s="15"/>
      <c r="B76" s="37"/>
      <c r="C76" s="37"/>
      <c r="D76" s="38"/>
      <c r="E76" s="38"/>
      <c r="F76" s="39"/>
      <c r="G76" s="39"/>
      <c r="H76" s="39"/>
      <c r="I76" s="38"/>
      <c r="J76" s="15"/>
      <c r="K76" s="38"/>
      <c r="L76" s="38"/>
      <c r="M76" s="38"/>
      <c r="N76" s="38"/>
      <c r="O76" s="38"/>
      <c r="P76" s="15"/>
      <c r="Q76" s="40"/>
      <c r="R76" s="38"/>
      <c r="S76" s="38"/>
      <c r="T76" s="38"/>
      <c r="U76" s="38"/>
      <c r="V76" s="38"/>
      <c r="W76" s="38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41"/>
      <c r="AM76" s="15"/>
      <c r="AN76" s="15"/>
      <c r="AO76" s="15"/>
      <c r="AP76" s="15"/>
      <c r="AQ76" s="15"/>
      <c r="AR76" s="15"/>
      <c r="AS76" s="15"/>
      <c r="AT76" s="15"/>
      <c r="AU76" s="15"/>
      <c r="AV76" s="15"/>
    </row>
    <row r="77" spans="1:48" x14ac:dyDescent="0.25">
      <c r="A77" s="15"/>
      <c r="B77" s="37"/>
      <c r="C77" s="37"/>
      <c r="D77" s="38"/>
      <c r="E77" s="38"/>
      <c r="F77" s="39"/>
      <c r="G77" s="39"/>
      <c r="H77" s="39"/>
      <c r="I77" s="38"/>
      <c r="J77" s="15"/>
      <c r="K77" s="38"/>
      <c r="L77" s="38"/>
      <c r="M77" s="38"/>
      <c r="N77" s="38"/>
      <c r="O77" s="38"/>
      <c r="P77" s="15"/>
      <c r="Q77" s="40"/>
      <c r="R77" s="38"/>
      <c r="S77" s="38"/>
      <c r="T77" s="38"/>
      <c r="U77" s="38"/>
      <c r="V77" s="38"/>
      <c r="W77" s="38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41"/>
      <c r="AM77" s="15"/>
      <c r="AN77" s="15"/>
      <c r="AO77" s="15"/>
      <c r="AP77" s="15"/>
      <c r="AQ77" s="15"/>
      <c r="AR77" s="15"/>
      <c r="AS77" s="15"/>
      <c r="AT77" s="15"/>
      <c r="AU77" s="15"/>
      <c r="AV77" s="15"/>
    </row>
    <row r="78" spans="1:48" x14ac:dyDescent="0.25">
      <c r="A78" s="15"/>
      <c r="B78" s="37"/>
      <c r="C78" s="37"/>
      <c r="D78" s="38"/>
      <c r="E78" s="38"/>
      <c r="F78" s="39"/>
      <c r="G78" s="39"/>
      <c r="H78" s="39"/>
      <c r="I78" s="38"/>
      <c r="J78" s="15"/>
      <c r="K78" s="38"/>
      <c r="L78" s="38"/>
      <c r="M78" s="38"/>
      <c r="N78" s="38"/>
      <c r="O78" s="38"/>
      <c r="P78" s="15"/>
      <c r="Q78" s="40"/>
      <c r="R78" s="38"/>
      <c r="S78" s="38"/>
      <c r="T78" s="38"/>
      <c r="U78" s="38"/>
      <c r="V78" s="38"/>
      <c r="W78" s="38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41"/>
      <c r="AM78" s="15"/>
      <c r="AN78" s="15"/>
      <c r="AO78" s="15"/>
      <c r="AP78" s="15"/>
      <c r="AQ78" s="15"/>
      <c r="AR78" s="15"/>
      <c r="AS78" s="15"/>
      <c r="AT78" s="15"/>
      <c r="AU78" s="15"/>
      <c r="AV78" s="15"/>
    </row>
    <row r="79" spans="1:48" x14ac:dyDescent="0.25">
      <c r="A79" s="15"/>
      <c r="B79" s="37"/>
      <c r="C79" s="37"/>
      <c r="D79" s="38"/>
      <c r="E79" s="38"/>
      <c r="F79" s="39"/>
      <c r="G79" s="39"/>
      <c r="H79" s="39"/>
      <c r="I79" s="38"/>
      <c r="J79" s="15"/>
      <c r="K79" s="38"/>
      <c r="L79" s="38"/>
      <c r="M79" s="38"/>
      <c r="N79" s="38"/>
      <c r="O79" s="38"/>
      <c r="P79" s="15"/>
      <c r="Q79" s="40"/>
      <c r="R79" s="38"/>
      <c r="S79" s="38"/>
      <c r="T79" s="38"/>
      <c r="U79" s="38"/>
      <c r="V79" s="38"/>
      <c r="W79" s="38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41"/>
      <c r="AM79" s="15"/>
      <c r="AN79" s="15"/>
      <c r="AO79" s="15"/>
      <c r="AP79" s="15"/>
      <c r="AQ79" s="15"/>
      <c r="AR79" s="15"/>
      <c r="AS79" s="15"/>
      <c r="AT79" s="15"/>
      <c r="AU79" s="15"/>
      <c r="AV79" s="15"/>
    </row>
    <row r="80" spans="1:48" x14ac:dyDescent="0.25">
      <c r="A80" s="15"/>
      <c r="B80" s="37"/>
      <c r="C80" s="37"/>
      <c r="D80" s="38"/>
      <c r="E80" s="38"/>
      <c r="F80" s="39"/>
      <c r="G80" s="39"/>
      <c r="H80" s="39"/>
      <c r="I80" s="38"/>
      <c r="J80" s="15"/>
      <c r="K80" s="38"/>
      <c r="L80" s="38"/>
      <c r="M80" s="38"/>
      <c r="N80" s="38"/>
      <c r="O80" s="38"/>
      <c r="P80" s="15"/>
      <c r="Q80" s="40"/>
      <c r="R80" s="38"/>
      <c r="S80" s="38"/>
      <c r="T80" s="38"/>
      <c r="U80" s="38"/>
      <c r="V80" s="38"/>
      <c r="W80" s="38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41"/>
      <c r="AM80" s="15"/>
      <c r="AN80" s="15"/>
      <c r="AO80" s="15"/>
      <c r="AP80" s="15"/>
      <c r="AQ80" s="15"/>
      <c r="AR80" s="15"/>
      <c r="AS80" s="15"/>
      <c r="AT80" s="15"/>
      <c r="AU80" s="15"/>
      <c r="AV80" s="15"/>
    </row>
    <row r="81" spans="1:48" x14ac:dyDescent="0.25">
      <c r="A81" s="15"/>
      <c r="B81" s="37"/>
      <c r="C81" s="37"/>
      <c r="D81" s="38"/>
      <c r="E81" s="38"/>
      <c r="F81" s="39"/>
      <c r="G81" s="39"/>
      <c r="H81" s="39"/>
      <c r="I81" s="38"/>
      <c r="J81" s="15"/>
      <c r="K81" s="38"/>
      <c r="L81" s="38"/>
      <c r="M81" s="38"/>
      <c r="N81" s="38"/>
      <c r="O81" s="38"/>
      <c r="P81" s="15"/>
      <c r="Q81" s="40"/>
      <c r="R81" s="38"/>
      <c r="S81" s="38"/>
      <c r="T81" s="38"/>
      <c r="U81" s="38"/>
      <c r="V81" s="38"/>
      <c r="W81" s="38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41"/>
      <c r="AM81" s="15"/>
      <c r="AN81" s="15"/>
      <c r="AO81" s="15"/>
      <c r="AP81" s="15"/>
      <c r="AQ81" s="15"/>
      <c r="AR81" s="15"/>
      <c r="AS81" s="15"/>
      <c r="AT81" s="15"/>
      <c r="AU81" s="15"/>
      <c r="AV81" s="15"/>
    </row>
    <row r="82" spans="1:48" x14ac:dyDescent="0.25">
      <c r="A82" s="15"/>
      <c r="B82" s="37"/>
      <c r="C82" s="37"/>
      <c r="D82" s="38"/>
      <c r="E82" s="38"/>
      <c r="F82" s="39"/>
      <c r="G82" s="39"/>
      <c r="H82" s="39"/>
      <c r="I82" s="38"/>
      <c r="J82" s="15"/>
      <c r="K82" s="38"/>
      <c r="L82" s="38"/>
      <c r="M82" s="38"/>
      <c r="N82" s="38"/>
      <c r="O82" s="38"/>
      <c r="P82" s="15"/>
      <c r="Q82" s="40"/>
      <c r="R82" s="38"/>
      <c r="S82" s="38"/>
      <c r="T82" s="38"/>
      <c r="U82" s="38"/>
      <c r="V82" s="38"/>
      <c r="W82" s="38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41"/>
      <c r="AM82" s="15"/>
      <c r="AN82" s="15"/>
      <c r="AO82" s="15"/>
      <c r="AP82" s="15"/>
      <c r="AQ82" s="15"/>
      <c r="AR82" s="15"/>
      <c r="AS82" s="15"/>
      <c r="AT82" s="15"/>
      <c r="AU82" s="15"/>
      <c r="AV82" s="15"/>
    </row>
    <row r="83" spans="1:48" x14ac:dyDescent="0.25">
      <c r="A83" s="15"/>
      <c r="B83" s="37"/>
      <c r="C83" s="37"/>
      <c r="D83" s="38"/>
      <c r="E83" s="38"/>
      <c r="F83" s="39"/>
      <c r="G83" s="39"/>
      <c r="H83" s="39"/>
      <c r="I83" s="38"/>
      <c r="J83" s="15"/>
      <c r="K83" s="38"/>
      <c r="L83" s="38"/>
      <c r="M83" s="38"/>
      <c r="N83" s="38"/>
      <c r="O83" s="38"/>
      <c r="P83" s="15"/>
      <c r="Q83" s="40"/>
      <c r="R83" s="38"/>
      <c r="S83" s="38"/>
      <c r="T83" s="38"/>
      <c r="U83" s="38"/>
      <c r="V83" s="38"/>
      <c r="W83" s="38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41"/>
      <c r="AM83" s="15"/>
      <c r="AN83" s="15"/>
      <c r="AO83" s="15"/>
      <c r="AP83" s="15"/>
      <c r="AQ83" s="15"/>
      <c r="AR83" s="15"/>
      <c r="AS83" s="15"/>
      <c r="AT83" s="15"/>
      <c r="AU83" s="15"/>
      <c r="AV83" s="15"/>
    </row>
    <row r="84" spans="1:48" x14ac:dyDescent="0.25">
      <c r="A84" s="15"/>
      <c r="B84" s="37"/>
      <c r="C84" s="37"/>
      <c r="D84" s="38"/>
      <c r="E84" s="38"/>
      <c r="F84" s="39"/>
      <c r="G84" s="39"/>
      <c r="H84" s="39"/>
      <c r="I84" s="38"/>
      <c r="J84" s="15"/>
      <c r="K84" s="38"/>
      <c r="L84" s="38"/>
      <c r="M84" s="38"/>
      <c r="N84" s="38"/>
      <c r="O84" s="38"/>
      <c r="P84" s="15"/>
      <c r="Q84" s="40"/>
      <c r="R84" s="38"/>
      <c r="S84" s="38"/>
      <c r="T84" s="38"/>
      <c r="U84" s="38"/>
      <c r="V84" s="38"/>
      <c r="W84" s="38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41"/>
      <c r="AM84" s="15"/>
      <c r="AN84" s="15"/>
      <c r="AO84" s="15"/>
      <c r="AP84" s="15"/>
      <c r="AQ84" s="15"/>
      <c r="AR84" s="15"/>
      <c r="AS84" s="15"/>
      <c r="AT84" s="15"/>
      <c r="AU84" s="15"/>
      <c r="AV84" s="15"/>
    </row>
    <row r="85" spans="1:48" x14ac:dyDescent="0.25">
      <c r="A85" s="15"/>
      <c r="B85" s="37"/>
      <c r="C85" s="37"/>
      <c r="D85" s="38"/>
      <c r="E85" s="38"/>
      <c r="F85" s="39"/>
      <c r="G85" s="39"/>
      <c r="H85" s="39"/>
      <c r="I85" s="38"/>
      <c r="J85" s="15"/>
      <c r="K85" s="38"/>
      <c r="L85" s="38"/>
      <c r="M85" s="38"/>
      <c r="N85" s="38"/>
      <c r="O85" s="38"/>
      <c r="P85" s="15"/>
      <c r="Q85" s="40"/>
      <c r="R85" s="38"/>
      <c r="S85" s="38"/>
      <c r="T85" s="38"/>
      <c r="U85" s="38"/>
      <c r="V85" s="38"/>
      <c r="W85" s="38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41"/>
      <c r="AM85" s="15"/>
      <c r="AN85" s="15"/>
      <c r="AO85" s="15"/>
      <c r="AP85" s="15"/>
      <c r="AQ85" s="15"/>
      <c r="AR85" s="15"/>
      <c r="AS85" s="15"/>
      <c r="AT85" s="15"/>
      <c r="AU85" s="15"/>
      <c r="AV85" s="15"/>
    </row>
    <row r="86" spans="1:48" x14ac:dyDescent="0.25">
      <c r="A86" s="15"/>
      <c r="B86" s="37"/>
      <c r="C86" s="37"/>
      <c r="D86" s="38"/>
      <c r="E86" s="38"/>
      <c r="F86" s="39"/>
      <c r="G86" s="39"/>
      <c r="H86" s="39"/>
      <c r="I86" s="38"/>
      <c r="J86" s="15"/>
      <c r="K86" s="38"/>
      <c r="L86" s="38"/>
      <c r="M86" s="38"/>
      <c r="N86" s="38"/>
      <c r="O86" s="38"/>
      <c r="P86" s="15"/>
      <c r="Q86" s="40"/>
      <c r="R86" s="38"/>
      <c r="S86" s="38"/>
      <c r="T86" s="38"/>
      <c r="U86" s="38"/>
      <c r="V86" s="38"/>
      <c r="W86" s="38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41"/>
      <c r="AM86" s="15"/>
      <c r="AN86" s="15"/>
      <c r="AO86" s="15"/>
      <c r="AP86" s="15"/>
      <c r="AQ86" s="15"/>
      <c r="AR86" s="15"/>
      <c r="AS86" s="15"/>
      <c r="AT86" s="15"/>
      <c r="AU86" s="15"/>
      <c r="AV86" s="15"/>
    </row>
    <row r="87" spans="1:48" x14ac:dyDescent="0.25">
      <c r="A87" s="15"/>
      <c r="B87" s="37"/>
      <c r="C87" s="37"/>
      <c r="D87" s="38"/>
      <c r="E87" s="38"/>
      <c r="F87" s="39"/>
      <c r="G87" s="39"/>
      <c r="H87" s="39"/>
      <c r="I87" s="38"/>
      <c r="J87" s="15"/>
      <c r="K87" s="38"/>
      <c r="L87" s="38"/>
      <c r="M87" s="38"/>
      <c r="N87" s="38"/>
      <c r="O87" s="38"/>
      <c r="P87" s="15"/>
      <c r="Q87" s="40"/>
      <c r="R87" s="38"/>
      <c r="S87" s="38"/>
      <c r="T87" s="38"/>
      <c r="U87" s="38"/>
      <c r="V87" s="38"/>
      <c r="W87" s="38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41"/>
      <c r="AM87" s="15"/>
      <c r="AN87" s="15"/>
      <c r="AO87" s="15"/>
      <c r="AP87" s="15"/>
      <c r="AQ87" s="15"/>
      <c r="AR87" s="15"/>
      <c r="AS87" s="15"/>
      <c r="AT87" s="15"/>
      <c r="AU87" s="15"/>
      <c r="AV87" s="15"/>
    </row>
    <row r="88" spans="1:48" x14ac:dyDescent="0.25">
      <c r="A88" s="15"/>
      <c r="B88" s="37"/>
      <c r="C88" s="37"/>
      <c r="D88" s="38"/>
      <c r="E88" s="38"/>
      <c r="F88" s="39"/>
      <c r="G88" s="39"/>
      <c r="H88" s="39"/>
      <c r="I88" s="38"/>
      <c r="J88" s="15"/>
      <c r="K88" s="38"/>
      <c r="L88" s="38"/>
      <c r="M88" s="38"/>
      <c r="N88" s="38"/>
      <c r="O88" s="38"/>
      <c r="P88" s="15"/>
      <c r="Q88" s="40"/>
      <c r="R88" s="38"/>
      <c r="S88" s="38"/>
      <c r="T88" s="38"/>
      <c r="U88" s="38"/>
      <c r="V88" s="38"/>
      <c r="W88" s="38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41"/>
      <c r="AM88" s="15"/>
      <c r="AN88" s="15"/>
      <c r="AO88" s="15"/>
      <c r="AP88" s="15"/>
      <c r="AQ88" s="15"/>
      <c r="AR88" s="15"/>
      <c r="AS88" s="15"/>
      <c r="AT88" s="15"/>
      <c r="AU88" s="15"/>
      <c r="AV88" s="15"/>
    </row>
    <row r="89" spans="1:48" x14ac:dyDescent="0.25">
      <c r="A89" s="15"/>
      <c r="B89" s="37"/>
      <c r="C89" s="37"/>
      <c r="D89" s="38"/>
      <c r="E89" s="38"/>
      <c r="F89" s="39"/>
      <c r="G89" s="39"/>
      <c r="H89" s="39"/>
      <c r="I89" s="38"/>
      <c r="J89" s="15"/>
      <c r="K89" s="38"/>
      <c r="L89" s="38"/>
      <c r="M89" s="38"/>
      <c r="N89" s="38"/>
      <c r="O89" s="38"/>
      <c r="P89" s="15"/>
      <c r="Q89" s="40"/>
      <c r="R89" s="38"/>
      <c r="S89" s="38"/>
      <c r="T89" s="38"/>
      <c r="U89" s="38"/>
      <c r="V89" s="38"/>
      <c r="W89" s="38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41"/>
      <c r="AM89" s="15"/>
      <c r="AN89" s="15"/>
      <c r="AO89" s="15"/>
      <c r="AP89" s="15"/>
      <c r="AQ89" s="15"/>
      <c r="AR89" s="15"/>
      <c r="AS89" s="15"/>
      <c r="AT89" s="15"/>
      <c r="AU89" s="15"/>
      <c r="AV89" s="15"/>
    </row>
    <row r="90" spans="1:48" x14ac:dyDescent="0.25">
      <c r="A90" s="15"/>
      <c r="B90" s="37"/>
      <c r="C90" s="37"/>
      <c r="D90" s="38"/>
      <c r="E90" s="38"/>
      <c r="F90" s="39"/>
      <c r="G90" s="39"/>
      <c r="H90" s="39"/>
      <c r="I90" s="38"/>
      <c r="J90" s="15"/>
      <c r="K90" s="38"/>
      <c r="L90" s="38"/>
      <c r="M90" s="38"/>
      <c r="N90" s="38"/>
      <c r="O90" s="38"/>
      <c r="P90" s="15"/>
      <c r="Q90" s="40"/>
      <c r="R90" s="38"/>
      <c r="S90" s="38"/>
      <c r="T90" s="38"/>
      <c r="U90" s="38"/>
      <c r="V90" s="38"/>
      <c r="W90" s="38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41"/>
      <c r="AM90" s="15"/>
      <c r="AN90" s="15"/>
      <c r="AO90" s="15"/>
      <c r="AP90" s="15"/>
      <c r="AQ90" s="15"/>
      <c r="AR90" s="15"/>
      <c r="AS90" s="15"/>
      <c r="AT90" s="15"/>
      <c r="AU90" s="15"/>
      <c r="AV90" s="15"/>
    </row>
    <row r="91" spans="1:48" x14ac:dyDescent="0.25">
      <c r="A91" s="15"/>
      <c r="B91" s="37"/>
      <c r="C91" s="37"/>
      <c r="D91" s="38"/>
      <c r="E91" s="38"/>
      <c r="F91" s="39"/>
      <c r="G91" s="39"/>
      <c r="H91" s="39"/>
      <c r="I91" s="38"/>
      <c r="J91" s="15"/>
      <c r="K91" s="38"/>
      <c r="L91" s="38"/>
      <c r="M91" s="38"/>
      <c r="N91" s="38"/>
      <c r="O91" s="38"/>
      <c r="P91" s="15"/>
      <c r="Q91" s="40"/>
      <c r="R91" s="38"/>
      <c r="S91" s="38"/>
      <c r="T91" s="38"/>
      <c r="U91" s="38"/>
      <c r="V91" s="38"/>
      <c r="W91" s="38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41"/>
      <c r="AM91" s="15"/>
      <c r="AN91" s="15"/>
      <c r="AO91" s="15"/>
      <c r="AP91" s="15"/>
      <c r="AQ91" s="15"/>
      <c r="AR91" s="15"/>
      <c r="AS91" s="15"/>
      <c r="AT91" s="15"/>
      <c r="AU91" s="15"/>
      <c r="AV91" s="15"/>
    </row>
    <row r="92" spans="1:48" x14ac:dyDescent="0.25">
      <c r="A92" s="15"/>
      <c r="B92" s="37"/>
      <c r="C92" s="37"/>
      <c r="D92" s="38"/>
      <c r="E92" s="38"/>
      <c r="F92" s="39"/>
      <c r="G92" s="39"/>
      <c r="H92" s="39"/>
      <c r="I92" s="38"/>
      <c r="J92" s="15"/>
      <c r="K92" s="38"/>
      <c r="L92" s="38"/>
      <c r="M92" s="38"/>
      <c r="N92" s="38"/>
      <c r="O92" s="38"/>
      <c r="P92" s="15"/>
      <c r="Q92" s="40"/>
      <c r="R92" s="38"/>
      <c r="S92" s="38"/>
      <c r="T92" s="38"/>
      <c r="U92" s="38"/>
      <c r="V92" s="38"/>
      <c r="W92" s="38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41"/>
      <c r="AM92" s="15"/>
      <c r="AN92" s="15"/>
      <c r="AO92" s="15"/>
      <c r="AP92" s="15"/>
      <c r="AQ92" s="15"/>
      <c r="AR92" s="15"/>
      <c r="AS92" s="15"/>
      <c r="AT92" s="15"/>
      <c r="AU92" s="15"/>
      <c r="AV92" s="15"/>
    </row>
    <row r="93" spans="1:48" x14ac:dyDescent="0.25">
      <c r="A93" s="15"/>
      <c r="B93" s="37"/>
      <c r="C93" s="37"/>
      <c r="D93" s="38"/>
      <c r="E93" s="38"/>
      <c r="F93" s="39"/>
      <c r="G93" s="39"/>
      <c r="H93" s="39"/>
      <c r="I93" s="38"/>
      <c r="J93" s="15"/>
      <c r="K93" s="38"/>
      <c r="L93" s="38"/>
      <c r="M93" s="38"/>
      <c r="N93" s="38"/>
      <c r="O93" s="38"/>
      <c r="P93" s="15"/>
      <c r="Q93" s="40"/>
      <c r="R93" s="38"/>
      <c r="S93" s="38"/>
      <c r="T93" s="38"/>
      <c r="U93" s="38"/>
      <c r="V93" s="38"/>
      <c r="W93" s="38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41"/>
      <c r="AM93" s="15"/>
      <c r="AN93" s="15"/>
      <c r="AO93" s="15"/>
      <c r="AP93" s="15"/>
      <c r="AQ93" s="15"/>
      <c r="AR93" s="15"/>
      <c r="AS93" s="15"/>
      <c r="AT93" s="15"/>
      <c r="AU93" s="15"/>
      <c r="AV93" s="15"/>
    </row>
    <row r="94" spans="1:48" x14ac:dyDescent="0.25">
      <c r="A94" s="15"/>
      <c r="B94" s="37"/>
      <c r="C94" s="37"/>
      <c r="D94" s="38"/>
      <c r="E94" s="38"/>
      <c r="F94" s="39"/>
      <c r="G94" s="39"/>
      <c r="H94" s="39"/>
      <c r="I94" s="38"/>
      <c r="J94" s="15"/>
      <c r="K94" s="38"/>
      <c r="L94" s="38"/>
      <c r="M94" s="38"/>
      <c r="N94" s="38"/>
      <c r="O94" s="38"/>
      <c r="P94" s="15"/>
      <c r="Q94" s="40"/>
      <c r="R94" s="38"/>
      <c r="S94" s="38"/>
      <c r="T94" s="38"/>
      <c r="U94" s="38"/>
      <c r="V94" s="38"/>
      <c r="W94" s="38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41"/>
      <c r="AM94" s="15"/>
      <c r="AN94" s="15"/>
      <c r="AO94" s="15"/>
      <c r="AP94" s="15"/>
      <c r="AQ94" s="15"/>
      <c r="AR94" s="15"/>
      <c r="AS94" s="15"/>
      <c r="AT94" s="15"/>
      <c r="AU94" s="15"/>
      <c r="AV94" s="15"/>
    </row>
    <row r="95" spans="1:48" x14ac:dyDescent="0.25">
      <c r="A95" s="15"/>
      <c r="B95" s="37"/>
      <c r="C95" s="37"/>
      <c r="D95" s="38"/>
      <c r="E95" s="38"/>
      <c r="F95" s="39"/>
      <c r="G95" s="39"/>
      <c r="H95" s="39"/>
      <c r="I95" s="38"/>
      <c r="J95" s="15"/>
      <c r="K95" s="38"/>
      <c r="L95" s="38"/>
      <c r="M95" s="38"/>
      <c r="N95" s="38"/>
      <c r="O95" s="38"/>
      <c r="P95" s="15"/>
      <c r="Q95" s="40"/>
      <c r="R95" s="38"/>
      <c r="S95" s="38"/>
      <c r="T95" s="38"/>
      <c r="U95" s="38"/>
      <c r="V95" s="38"/>
      <c r="W95" s="38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41"/>
      <c r="AM95" s="15"/>
      <c r="AN95" s="15"/>
      <c r="AO95" s="15"/>
      <c r="AP95" s="15"/>
      <c r="AQ95" s="15"/>
      <c r="AR95" s="15"/>
      <c r="AS95" s="15"/>
      <c r="AT95" s="15"/>
      <c r="AU95" s="15"/>
      <c r="AV95" s="15"/>
    </row>
    <row r="96" spans="1:48" x14ac:dyDescent="0.25">
      <c r="A96" s="15"/>
      <c r="B96" s="37"/>
      <c r="C96" s="37"/>
      <c r="D96" s="38"/>
      <c r="E96" s="38"/>
      <c r="F96" s="39"/>
      <c r="G96" s="39"/>
      <c r="H96" s="39"/>
      <c r="I96" s="38"/>
      <c r="J96" s="15"/>
      <c r="K96" s="38"/>
      <c r="L96" s="38"/>
      <c r="M96" s="38"/>
      <c r="N96" s="38"/>
      <c r="O96" s="38"/>
      <c r="P96" s="15"/>
      <c r="Q96" s="40"/>
      <c r="R96" s="38"/>
      <c r="S96" s="38"/>
      <c r="T96" s="38"/>
      <c r="U96" s="38"/>
      <c r="V96" s="38"/>
      <c r="W96" s="38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41"/>
      <c r="AM96" s="15"/>
      <c r="AN96" s="15"/>
      <c r="AO96" s="15"/>
      <c r="AP96" s="15"/>
      <c r="AQ96" s="15"/>
      <c r="AR96" s="15"/>
      <c r="AS96" s="15"/>
      <c r="AT96" s="15"/>
      <c r="AU96" s="15"/>
      <c r="AV96" s="15"/>
    </row>
    <row r="97" spans="1:48" x14ac:dyDescent="0.25">
      <c r="A97" s="15"/>
      <c r="B97" s="37"/>
      <c r="C97" s="37"/>
      <c r="D97" s="38"/>
      <c r="E97" s="38"/>
      <c r="F97" s="39"/>
      <c r="G97" s="39"/>
      <c r="H97" s="39"/>
      <c r="I97" s="38"/>
      <c r="J97" s="15"/>
      <c r="K97" s="38"/>
      <c r="L97" s="38"/>
      <c r="M97" s="38"/>
      <c r="N97" s="38"/>
      <c r="O97" s="38"/>
      <c r="P97" s="15"/>
      <c r="Q97" s="40"/>
      <c r="R97" s="38"/>
      <c r="S97" s="38"/>
      <c r="T97" s="38"/>
      <c r="U97" s="38"/>
      <c r="V97" s="38"/>
      <c r="W97" s="38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41"/>
      <c r="AM97" s="15"/>
      <c r="AN97" s="15"/>
      <c r="AO97" s="15"/>
      <c r="AP97" s="15"/>
      <c r="AQ97" s="15"/>
      <c r="AR97" s="15"/>
      <c r="AS97" s="15"/>
      <c r="AT97" s="15"/>
      <c r="AU97" s="15"/>
      <c r="AV97" s="15"/>
    </row>
    <row r="98" spans="1:48" x14ac:dyDescent="0.25">
      <c r="A98" s="15"/>
      <c r="B98" s="37"/>
      <c r="C98" s="37"/>
      <c r="D98" s="38"/>
      <c r="E98" s="38"/>
      <c r="F98" s="39"/>
      <c r="G98" s="39"/>
      <c r="H98" s="39"/>
      <c r="I98" s="38"/>
      <c r="J98" s="15"/>
      <c r="K98" s="38"/>
      <c r="L98" s="38"/>
      <c r="M98" s="38"/>
      <c r="N98" s="38"/>
      <c r="O98" s="38"/>
      <c r="P98" s="15"/>
      <c r="Q98" s="40"/>
      <c r="R98" s="38"/>
      <c r="S98" s="38"/>
      <c r="T98" s="38"/>
      <c r="U98" s="38"/>
      <c r="V98" s="38"/>
      <c r="W98" s="38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41"/>
      <c r="AM98" s="15"/>
      <c r="AN98" s="15"/>
      <c r="AO98" s="15"/>
      <c r="AP98" s="15"/>
      <c r="AQ98" s="15"/>
      <c r="AR98" s="15"/>
      <c r="AS98" s="15"/>
      <c r="AT98" s="15"/>
      <c r="AU98" s="15"/>
      <c r="AV98" s="15"/>
    </row>
    <row r="99" spans="1:48" x14ac:dyDescent="0.25">
      <c r="A99" s="15"/>
      <c r="B99" s="37"/>
      <c r="C99" s="37"/>
      <c r="D99" s="38"/>
      <c r="E99" s="38"/>
      <c r="F99" s="39"/>
      <c r="G99" s="39"/>
      <c r="H99" s="39"/>
      <c r="I99" s="38"/>
      <c r="J99" s="15"/>
      <c r="K99" s="38"/>
      <c r="L99" s="38"/>
      <c r="M99" s="38"/>
      <c r="N99" s="38"/>
      <c r="O99" s="38"/>
      <c r="P99" s="15"/>
      <c r="Q99" s="40"/>
      <c r="R99" s="38"/>
      <c r="S99" s="38"/>
      <c r="T99" s="38"/>
      <c r="U99" s="38"/>
      <c r="V99" s="38"/>
      <c r="W99" s="38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41"/>
      <c r="AM99" s="15"/>
      <c r="AN99" s="15"/>
      <c r="AO99" s="15"/>
      <c r="AP99" s="15"/>
      <c r="AQ99" s="15"/>
      <c r="AR99" s="15"/>
      <c r="AS99" s="15"/>
      <c r="AT99" s="15"/>
      <c r="AU99" s="15"/>
      <c r="AV99" s="15"/>
    </row>
    <row r="100" spans="1:48" x14ac:dyDescent="0.25">
      <c r="A100" s="15"/>
      <c r="B100" s="37"/>
      <c r="C100" s="37"/>
      <c r="D100" s="38"/>
      <c r="E100" s="38"/>
      <c r="F100" s="39"/>
      <c r="G100" s="39"/>
      <c r="H100" s="39"/>
      <c r="I100" s="38"/>
      <c r="J100" s="15"/>
      <c r="K100" s="38"/>
      <c r="L100" s="38"/>
      <c r="M100" s="38"/>
      <c r="N100" s="38"/>
      <c r="O100" s="38"/>
      <c r="P100" s="15"/>
      <c r="Q100" s="40"/>
      <c r="R100" s="38"/>
      <c r="S100" s="38"/>
      <c r="T100" s="38"/>
      <c r="U100" s="38"/>
      <c r="V100" s="38"/>
      <c r="W100" s="38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41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</row>
    <row r="101" spans="1:48" x14ac:dyDescent="0.25">
      <c r="A101" s="15"/>
      <c r="B101" s="37"/>
      <c r="C101" s="37"/>
      <c r="D101" s="38"/>
      <c r="E101" s="38"/>
      <c r="F101" s="39"/>
      <c r="G101" s="39"/>
      <c r="H101" s="39"/>
      <c r="I101" s="38"/>
      <c r="J101" s="15"/>
      <c r="K101" s="38"/>
      <c r="L101" s="38"/>
      <c r="M101" s="38"/>
      <c r="N101" s="38"/>
      <c r="O101" s="38"/>
      <c r="P101" s="15"/>
      <c r="Q101" s="40"/>
      <c r="R101" s="38"/>
      <c r="S101" s="38"/>
      <c r="T101" s="38"/>
      <c r="U101" s="38"/>
      <c r="V101" s="38"/>
      <c r="W101" s="38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41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</row>
    <row r="102" spans="1:48" x14ac:dyDescent="0.25">
      <c r="A102" s="15"/>
      <c r="B102" s="37"/>
      <c r="C102" s="37"/>
      <c r="D102" s="38"/>
      <c r="E102" s="38"/>
      <c r="F102" s="39"/>
      <c r="G102" s="39"/>
      <c r="H102" s="39"/>
      <c r="I102" s="38"/>
      <c r="J102" s="15"/>
      <c r="K102" s="38"/>
      <c r="L102" s="38"/>
      <c r="M102" s="38"/>
      <c r="N102" s="38"/>
      <c r="O102" s="38"/>
      <c r="P102" s="15"/>
      <c r="Q102" s="40"/>
      <c r="R102" s="38"/>
      <c r="S102" s="38"/>
      <c r="T102" s="38"/>
      <c r="U102" s="38"/>
      <c r="V102" s="38"/>
      <c r="W102" s="38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41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</row>
    <row r="103" spans="1:48" x14ac:dyDescent="0.25">
      <c r="A103" s="15"/>
      <c r="B103" s="37"/>
      <c r="C103" s="37"/>
      <c r="D103" s="38"/>
      <c r="E103" s="38"/>
      <c r="F103" s="39"/>
      <c r="G103" s="39"/>
      <c r="H103" s="39"/>
      <c r="I103" s="38"/>
      <c r="J103" s="15"/>
      <c r="K103" s="38"/>
      <c r="L103" s="38"/>
      <c r="M103" s="38"/>
      <c r="N103" s="38"/>
      <c r="O103" s="38"/>
      <c r="P103" s="15"/>
      <c r="Q103" s="40"/>
      <c r="R103" s="38"/>
      <c r="S103" s="38"/>
      <c r="T103" s="38"/>
      <c r="U103" s="38"/>
      <c r="V103" s="38"/>
      <c r="W103" s="38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41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</row>
    <row r="104" spans="1:48" x14ac:dyDescent="0.25">
      <c r="A104" s="15"/>
      <c r="B104" s="37"/>
      <c r="C104" s="37"/>
      <c r="D104" s="38"/>
      <c r="E104" s="38"/>
      <c r="F104" s="39"/>
      <c r="G104" s="39"/>
      <c r="H104" s="39"/>
      <c r="I104" s="38"/>
      <c r="J104" s="15"/>
      <c r="K104" s="38"/>
      <c r="L104" s="38"/>
      <c r="M104" s="38"/>
      <c r="N104" s="38"/>
      <c r="O104" s="38"/>
      <c r="P104" s="15"/>
      <c r="Q104" s="40"/>
      <c r="R104" s="38"/>
      <c r="S104" s="38"/>
      <c r="T104" s="38"/>
      <c r="U104" s="38"/>
      <c r="V104" s="38"/>
      <c r="W104" s="38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41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</row>
    <row r="105" spans="1:48" x14ac:dyDescent="0.25">
      <c r="A105" s="15"/>
      <c r="B105" s="37"/>
      <c r="C105" s="37"/>
      <c r="D105" s="38"/>
      <c r="E105" s="38"/>
      <c r="F105" s="39"/>
      <c r="G105" s="39"/>
      <c r="H105" s="39"/>
      <c r="I105" s="38"/>
      <c r="J105" s="15"/>
      <c r="K105" s="38"/>
      <c r="L105" s="38"/>
      <c r="M105" s="38"/>
      <c r="N105" s="38"/>
      <c r="O105" s="38"/>
      <c r="P105" s="15"/>
      <c r="Q105" s="40"/>
      <c r="R105" s="38"/>
      <c r="S105" s="38"/>
      <c r="T105" s="38"/>
      <c r="U105" s="38"/>
      <c r="V105" s="38"/>
      <c r="W105" s="38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41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</row>
    <row r="106" spans="1:48" x14ac:dyDescent="0.25">
      <c r="A106" s="15"/>
      <c r="B106" s="37"/>
      <c r="C106" s="37"/>
      <c r="D106" s="38"/>
      <c r="E106" s="38"/>
      <c r="F106" s="39"/>
      <c r="G106" s="39"/>
      <c r="H106" s="39"/>
      <c r="I106" s="38"/>
      <c r="J106" s="15"/>
      <c r="K106" s="38"/>
      <c r="L106" s="38"/>
      <c r="M106" s="38"/>
      <c r="N106" s="38"/>
      <c r="O106" s="38"/>
      <c r="P106" s="15"/>
      <c r="Q106" s="40"/>
      <c r="R106" s="38"/>
      <c r="S106" s="38"/>
      <c r="T106" s="38"/>
      <c r="U106" s="38"/>
      <c r="V106" s="38"/>
      <c r="W106" s="38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41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</row>
    <row r="107" spans="1:48" x14ac:dyDescent="0.25">
      <c r="A107" s="15"/>
      <c r="B107" s="37"/>
      <c r="C107" s="37"/>
      <c r="D107" s="38"/>
      <c r="E107" s="38"/>
      <c r="F107" s="39"/>
      <c r="G107" s="39"/>
      <c r="H107" s="39"/>
      <c r="I107" s="38"/>
      <c r="J107" s="15"/>
      <c r="K107" s="38"/>
      <c r="L107" s="38"/>
      <c r="M107" s="38"/>
      <c r="N107" s="38"/>
      <c r="O107" s="38"/>
      <c r="P107" s="15"/>
      <c r="Q107" s="40"/>
      <c r="R107" s="38"/>
      <c r="S107" s="38"/>
      <c r="T107" s="38"/>
      <c r="U107" s="38"/>
      <c r="V107" s="38"/>
      <c r="W107" s="38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41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</row>
    <row r="108" spans="1:48" x14ac:dyDescent="0.25">
      <c r="A108" s="15"/>
      <c r="B108" s="37"/>
      <c r="C108" s="37"/>
      <c r="D108" s="38"/>
      <c r="E108" s="38"/>
      <c r="F108" s="39"/>
      <c r="G108" s="39"/>
      <c r="H108" s="39"/>
      <c r="I108" s="38"/>
      <c r="J108" s="15"/>
      <c r="K108" s="38"/>
      <c r="L108" s="38"/>
      <c r="M108" s="38"/>
      <c r="N108" s="38"/>
      <c r="O108" s="38"/>
      <c r="P108" s="15"/>
      <c r="Q108" s="40"/>
      <c r="R108" s="38"/>
      <c r="S108" s="38"/>
      <c r="T108" s="38"/>
      <c r="U108" s="38"/>
      <c r="V108" s="38"/>
      <c r="W108" s="38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41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</row>
    <row r="109" spans="1:48" x14ac:dyDescent="0.25">
      <c r="A109" s="15"/>
      <c r="B109" s="37"/>
      <c r="C109" s="37"/>
      <c r="D109" s="38"/>
      <c r="E109" s="38"/>
      <c r="F109" s="39"/>
      <c r="G109" s="39"/>
      <c r="H109" s="39"/>
      <c r="I109" s="38"/>
      <c r="J109" s="15"/>
      <c r="K109" s="38"/>
      <c r="L109" s="38"/>
      <c r="M109" s="38"/>
      <c r="N109" s="38"/>
      <c r="O109" s="38"/>
      <c r="P109" s="15"/>
      <c r="Q109" s="40"/>
      <c r="R109" s="38"/>
      <c r="S109" s="38"/>
      <c r="T109" s="38"/>
      <c r="U109" s="38"/>
      <c r="V109" s="38"/>
      <c r="W109" s="38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41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</row>
    <row r="110" spans="1:48" x14ac:dyDescent="0.25">
      <c r="A110" s="15"/>
      <c r="B110" s="37"/>
      <c r="C110" s="37"/>
      <c r="D110" s="38"/>
      <c r="E110" s="38"/>
      <c r="F110" s="39"/>
      <c r="G110" s="39"/>
      <c r="H110" s="39"/>
      <c r="I110" s="38"/>
      <c r="J110" s="15"/>
      <c r="K110" s="38"/>
      <c r="L110" s="38"/>
      <c r="M110" s="38"/>
      <c r="N110" s="38"/>
      <c r="O110" s="38"/>
      <c r="P110" s="15"/>
      <c r="Q110" s="40"/>
      <c r="R110" s="38"/>
      <c r="S110" s="38"/>
      <c r="T110" s="38"/>
      <c r="U110" s="38"/>
      <c r="V110" s="38"/>
      <c r="W110" s="38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41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</row>
    <row r="111" spans="1:48" x14ac:dyDescent="0.25">
      <c r="A111" s="15"/>
      <c r="B111" s="37"/>
      <c r="C111" s="37"/>
      <c r="D111" s="38"/>
      <c r="E111" s="38"/>
      <c r="F111" s="39"/>
      <c r="G111" s="39"/>
      <c r="H111" s="39"/>
      <c r="I111" s="38"/>
      <c r="J111" s="15"/>
      <c r="K111" s="38"/>
      <c r="L111" s="38"/>
      <c r="M111" s="38"/>
      <c r="N111" s="38"/>
      <c r="O111" s="38"/>
      <c r="P111" s="15"/>
      <c r="Q111" s="40"/>
      <c r="R111" s="38"/>
      <c r="S111" s="38"/>
      <c r="T111" s="38"/>
      <c r="U111" s="38"/>
      <c r="V111" s="38"/>
      <c r="W111" s="38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41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</row>
    <row r="112" spans="1:48" x14ac:dyDescent="0.25">
      <c r="A112" s="15"/>
      <c r="B112" s="37"/>
      <c r="C112" s="37"/>
      <c r="D112" s="38"/>
      <c r="E112" s="38"/>
      <c r="F112" s="39"/>
      <c r="G112" s="39"/>
      <c r="H112" s="39"/>
      <c r="I112" s="38"/>
      <c r="J112" s="15"/>
      <c r="K112" s="38"/>
      <c r="L112" s="38"/>
      <c r="M112" s="38"/>
      <c r="N112" s="38"/>
      <c r="O112" s="38"/>
      <c r="P112" s="15"/>
      <c r="Q112" s="40"/>
      <c r="R112" s="38"/>
      <c r="S112" s="38"/>
      <c r="T112" s="38"/>
      <c r="U112" s="38"/>
      <c r="V112" s="38"/>
      <c r="W112" s="38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41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</row>
    <row r="113" spans="1:48" x14ac:dyDescent="0.25">
      <c r="A113" s="15"/>
      <c r="B113" s="37"/>
      <c r="C113" s="37"/>
      <c r="D113" s="38"/>
      <c r="E113" s="38"/>
      <c r="F113" s="39"/>
      <c r="G113" s="39"/>
      <c r="H113" s="39"/>
      <c r="I113" s="38"/>
      <c r="J113" s="15"/>
      <c r="K113" s="38"/>
      <c r="L113" s="38"/>
      <c r="M113" s="38"/>
      <c r="N113" s="38"/>
      <c r="O113" s="38"/>
      <c r="P113" s="15"/>
      <c r="Q113" s="40"/>
      <c r="R113" s="38"/>
      <c r="S113" s="38"/>
      <c r="T113" s="38"/>
      <c r="U113" s="38"/>
      <c r="V113" s="38"/>
      <c r="W113" s="38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41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</row>
    <row r="114" spans="1:48" x14ac:dyDescent="0.25">
      <c r="A114" s="15"/>
      <c r="B114" s="37"/>
      <c r="C114" s="37"/>
      <c r="D114" s="38"/>
      <c r="E114" s="38"/>
      <c r="F114" s="39"/>
      <c r="G114" s="39"/>
      <c r="H114" s="39"/>
      <c r="I114" s="38"/>
      <c r="J114" s="15"/>
      <c r="K114" s="38"/>
      <c r="L114" s="38"/>
      <c r="M114" s="38"/>
      <c r="N114" s="38"/>
      <c r="O114" s="38"/>
      <c r="P114" s="15"/>
      <c r="Q114" s="40"/>
      <c r="R114" s="38"/>
      <c r="S114" s="38"/>
      <c r="T114" s="38"/>
      <c r="U114" s="38"/>
      <c r="V114" s="38"/>
      <c r="W114" s="38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41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</row>
    <row r="115" spans="1:48" x14ac:dyDescent="0.25">
      <c r="A115" s="15"/>
      <c r="B115" s="37"/>
      <c r="C115" s="37"/>
      <c r="D115" s="38"/>
      <c r="E115" s="38"/>
      <c r="F115" s="39"/>
      <c r="G115" s="39"/>
      <c r="H115" s="39"/>
      <c r="I115" s="38"/>
      <c r="J115" s="15"/>
      <c r="K115" s="38"/>
      <c r="L115" s="38"/>
      <c r="M115" s="38"/>
      <c r="N115" s="38"/>
      <c r="O115" s="38"/>
      <c r="P115" s="15"/>
      <c r="Q115" s="40"/>
      <c r="R115" s="38"/>
      <c r="S115" s="38"/>
      <c r="T115" s="38"/>
      <c r="U115" s="38"/>
      <c r="V115" s="38"/>
      <c r="W115" s="38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41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</row>
    <row r="116" spans="1:48" x14ac:dyDescent="0.25">
      <c r="A116" s="15"/>
      <c r="B116" s="37"/>
      <c r="C116" s="37"/>
      <c r="D116" s="38"/>
      <c r="E116" s="38"/>
      <c r="F116" s="39"/>
      <c r="G116" s="39"/>
      <c r="H116" s="39"/>
      <c r="I116" s="38"/>
      <c r="J116" s="15"/>
      <c r="K116" s="38"/>
      <c r="L116" s="38"/>
      <c r="M116" s="38"/>
      <c r="N116" s="38"/>
      <c r="O116" s="38"/>
      <c r="P116" s="15"/>
      <c r="Q116" s="40"/>
      <c r="R116" s="38"/>
      <c r="S116" s="38"/>
      <c r="T116" s="38"/>
      <c r="U116" s="38"/>
      <c r="V116" s="38"/>
      <c r="W116" s="38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41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</row>
    <row r="117" spans="1:48" x14ac:dyDescent="0.25">
      <c r="A117" s="15"/>
      <c r="B117" s="37"/>
      <c r="C117" s="37"/>
      <c r="D117" s="38"/>
      <c r="E117" s="38"/>
      <c r="F117" s="39"/>
      <c r="G117" s="39"/>
      <c r="H117" s="39"/>
      <c r="I117" s="38"/>
      <c r="J117" s="15"/>
      <c r="K117" s="38"/>
      <c r="L117" s="38"/>
      <c r="M117" s="38"/>
      <c r="N117" s="38"/>
      <c r="O117" s="38"/>
      <c r="P117" s="15"/>
      <c r="Q117" s="40"/>
      <c r="R117" s="38"/>
      <c r="S117" s="38"/>
      <c r="T117" s="38"/>
      <c r="U117" s="38"/>
      <c r="V117" s="38"/>
      <c r="W117" s="38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41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</row>
    <row r="118" spans="1:48" x14ac:dyDescent="0.25">
      <c r="A118" s="15"/>
      <c r="B118" s="37"/>
      <c r="C118" s="37"/>
      <c r="D118" s="38"/>
      <c r="E118" s="38"/>
      <c r="F118" s="39"/>
      <c r="G118" s="39"/>
      <c r="H118" s="39"/>
      <c r="I118" s="38"/>
      <c r="J118" s="15"/>
      <c r="K118" s="38"/>
      <c r="L118" s="38"/>
      <c r="M118" s="38"/>
      <c r="N118" s="38"/>
      <c r="O118" s="38"/>
      <c r="P118" s="15"/>
      <c r="Q118" s="40"/>
      <c r="R118" s="38"/>
      <c r="S118" s="38"/>
      <c r="T118" s="38"/>
      <c r="U118" s="38"/>
      <c r="V118" s="38"/>
      <c r="W118" s="38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41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</row>
    <row r="119" spans="1:48" x14ac:dyDescent="0.25">
      <c r="A119" s="15"/>
      <c r="B119" s="37"/>
      <c r="C119" s="37"/>
      <c r="D119" s="38"/>
      <c r="E119" s="38"/>
      <c r="F119" s="39"/>
      <c r="G119" s="39"/>
      <c r="H119" s="39"/>
      <c r="I119" s="38"/>
      <c r="J119" s="15"/>
      <c r="K119" s="38"/>
      <c r="L119" s="38"/>
      <c r="M119" s="38"/>
      <c r="N119" s="38"/>
      <c r="O119" s="38"/>
      <c r="P119" s="15"/>
      <c r="Q119" s="40"/>
      <c r="R119" s="38"/>
      <c r="S119" s="38"/>
      <c r="T119" s="38"/>
      <c r="U119" s="38"/>
      <c r="V119" s="38"/>
      <c r="W119" s="38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41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</row>
    <row r="120" spans="1:48" x14ac:dyDescent="0.25">
      <c r="A120" s="15"/>
      <c r="B120" s="37"/>
      <c r="C120" s="37"/>
      <c r="D120" s="38"/>
      <c r="E120" s="38"/>
      <c r="F120" s="39"/>
      <c r="G120" s="39"/>
      <c r="H120" s="39"/>
      <c r="I120" s="38"/>
      <c r="J120" s="15"/>
      <c r="K120" s="38"/>
      <c r="L120" s="38"/>
      <c r="M120" s="38"/>
      <c r="N120" s="38"/>
      <c r="O120" s="38"/>
      <c r="P120" s="15"/>
      <c r="Q120" s="40"/>
      <c r="R120" s="38"/>
      <c r="S120" s="38"/>
      <c r="T120" s="38"/>
      <c r="U120" s="38"/>
      <c r="V120" s="38"/>
      <c r="W120" s="38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41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</row>
    <row r="121" spans="1:48" x14ac:dyDescent="0.25">
      <c r="A121" s="15"/>
      <c r="B121" s="37"/>
      <c r="C121" s="37"/>
      <c r="D121" s="38"/>
      <c r="E121" s="38"/>
      <c r="F121" s="39"/>
      <c r="G121" s="39"/>
      <c r="H121" s="39"/>
      <c r="I121" s="38"/>
      <c r="J121" s="15"/>
      <c r="K121" s="38"/>
      <c r="L121" s="38"/>
      <c r="M121" s="38"/>
      <c r="N121" s="38"/>
      <c r="O121" s="38"/>
      <c r="P121" s="15"/>
      <c r="Q121" s="40"/>
      <c r="R121" s="38"/>
      <c r="S121" s="38"/>
      <c r="T121" s="38"/>
      <c r="U121" s="38"/>
      <c r="V121" s="38"/>
      <c r="W121" s="38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41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</row>
  </sheetData>
  <mergeCells count="14">
    <mergeCell ref="U2:W2"/>
    <mergeCell ref="Z2:AK2"/>
    <mergeCell ref="AL2:AL3"/>
    <mergeCell ref="AM2:AO2"/>
    <mergeCell ref="B1:P1"/>
    <mergeCell ref="R1:W1"/>
    <mergeCell ref="Z1:AO1"/>
    <mergeCell ref="B2:C2"/>
    <mergeCell ref="D2:E2"/>
    <mergeCell ref="F2:G2"/>
    <mergeCell ref="H2:I2"/>
    <mergeCell ref="J2:K2"/>
    <mergeCell ref="N2:P2"/>
    <mergeCell ref="R2:T2"/>
  </mergeCells>
  <conditionalFormatting sqref="AS4:AS36">
    <cfRule type="cellIs" dxfId="6" priority="1" operator="lessThan">
      <formula>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122"/>
  <sheetViews>
    <sheetView zoomScaleNormal="100" workbookViewId="0">
      <selection activeCell="M27" sqref="M27"/>
    </sheetView>
  </sheetViews>
  <sheetFormatPr defaultRowHeight="15" x14ac:dyDescent="0.25"/>
  <cols>
    <col min="1" max="1" width="11.85546875" customWidth="1"/>
    <col min="2" max="2" width="12.140625" customWidth="1"/>
    <col min="3" max="3" width="12.42578125" customWidth="1"/>
    <col min="4" max="4" width="11.85546875" customWidth="1"/>
    <col min="5" max="5" width="11" customWidth="1"/>
    <col min="6" max="6" width="12.85546875" customWidth="1"/>
    <col min="7" max="7" width="12.42578125" customWidth="1"/>
    <col min="8" max="8" width="11.140625" customWidth="1"/>
    <col min="9" max="9" width="11.5703125" customWidth="1"/>
    <col min="11" max="11" width="11.7109375" customWidth="1"/>
    <col min="12" max="12" width="9.140625" customWidth="1"/>
    <col min="13" max="13" width="13.42578125" customWidth="1"/>
    <col min="14" max="15" width="14" bestFit="1" customWidth="1"/>
    <col min="17" max="17" width="20.28515625" customWidth="1"/>
    <col min="18" max="18" width="13.5703125" customWidth="1"/>
    <col min="19" max="19" width="12.28515625" customWidth="1"/>
    <col min="24" max="24" width="12" customWidth="1"/>
    <col min="25" max="25" width="15" customWidth="1"/>
    <col min="26" max="26" width="10.85546875" customWidth="1"/>
    <col min="30" max="30" width="13.140625" customWidth="1"/>
    <col min="31" max="31" width="12.28515625" customWidth="1"/>
    <col min="33" max="33" width="10.7109375" customWidth="1"/>
    <col min="38" max="38" width="11.7109375" customWidth="1"/>
    <col min="42" max="42" width="12.140625" customWidth="1"/>
    <col min="43" max="43" width="10.7109375" customWidth="1"/>
    <col min="44" max="44" width="10.85546875" customWidth="1"/>
    <col min="45" max="45" width="11.28515625" customWidth="1"/>
    <col min="48" max="48" width="9" customWidth="1"/>
    <col min="49" max="49" width="10" customWidth="1"/>
    <col min="50" max="50" width="8.28515625" customWidth="1"/>
  </cols>
  <sheetData>
    <row r="1" spans="1:48" ht="18.75" x14ac:dyDescent="0.3">
      <c r="A1" s="6"/>
      <c r="B1" s="81" t="s">
        <v>45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11"/>
      <c r="R1" s="85" t="s">
        <v>46</v>
      </c>
      <c r="S1" s="85"/>
      <c r="T1" s="85"/>
      <c r="U1" s="85"/>
      <c r="V1" s="85"/>
      <c r="W1" s="85"/>
      <c r="X1" s="2"/>
      <c r="Y1" s="3"/>
      <c r="Z1" s="94" t="s">
        <v>33</v>
      </c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10"/>
      <c r="AQ1" s="2"/>
      <c r="AR1" s="2"/>
      <c r="AS1" s="2"/>
      <c r="AT1" s="2"/>
      <c r="AU1" s="2"/>
      <c r="AV1" s="2"/>
    </row>
    <row r="2" spans="1:48" x14ac:dyDescent="0.25">
      <c r="A2" s="12" t="s">
        <v>0</v>
      </c>
      <c r="B2" s="82" t="s">
        <v>5</v>
      </c>
      <c r="C2" s="82"/>
      <c r="D2" s="83" t="s">
        <v>12</v>
      </c>
      <c r="E2" s="83"/>
      <c r="F2" s="83" t="s">
        <v>6</v>
      </c>
      <c r="G2" s="83"/>
      <c r="H2" s="84" t="s">
        <v>7</v>
      </c>
      <c r="I2" s="84"/>
      <c r="J2" s="84" t="s">
        <v>8</v>
      </c>
      <c r="K2" s="84"/>
      <c r="L2" s="13"/>
      <c r="M2" s="13" t="s">
        <v>35</v>
      </c>
      <c r="N2" s="84" t="s">
        <v>15</v>
      </c>
      <c r="O2" s="84"/>
      <c r="P2" s="84"/>
      <c r="Q2" s="44"/>
      <c r="R2" s="86" t="s">
        <v>36</v>
      </c>
      <c r="S2" s="87"/>
      <c r="T2" s="88"/>
      <c r="U2" s="89" t="s">
        <v>47</v>
      </c>
      <c r="V2" s="90"/>
      <c r="W2" s="91"/>
      <c r="X2" s="12" t="s">
        <v>14</v>
      </c>
      <c r="Y2" s="14"/>
      <c r="Z2" s="92" t="s">
        <v>13</v>
      </c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5" t="s">
        <v>34</v>
      </c>
      <c r="AM2" s="93" t="s">
        <v>29</v>
      </c>
      <c r="AN2" s="93"/>
      <c r="AO2" s="93"/>
      <c r="AP2" s="48"/>
      <c r="AQ2" s="12"/>
      <c r="AR2" s="15"/>
      <c r="AS2" s="15"/>
      <c r="AT2" s="15"/>
      <c r="AU2" s="15"/>
      <c r="AV2" s="15"/>
    </row>
    <row r="3" spans="1:48" ht="39" x14ac:dyDescent="0.25">
      <c r="A3" s="16"/>
      <c r="B3" s="17" t="s">
        <v>1</v>
      </c>
      <c r="C3" s="17" t="s">
        <v>2</v>
      </c>
      <c r="D3" s="18" t="s">
        <v>1</v>
      </c>
      <c r="E3" s="18" t="s">
        <v>2</v>
      </c>
      <c r="F3" s="19" t="s">
        <v>1</v>
      </c>
      <c r="G3" s="19" t="s">
        <v>2</v>
      </c>
      <c r="H3" s="19" t="s">
        <v>9</v>
      </c>
      <c r="I3" s="18" t="s">
        <v>10</v>
      </c>
      <c r="J3" s="16" t="s">
        <v>11</v>
      </c>
      <c r="K3" s="18" t="s">
        <v>10</v>
      </c>
      <c r="L3" s="18" t="s">
        <v>4</v>
      </c>
      <c r="M3" s="18"/>
      <c r="N3" s="18" t="s">
        <v>52</v>
      </c>
      <c r="O3" s="18" t="s">
        <v>40</v>
      </c>
      <c r="P3" s="16" t="s">
        <v>28</v>
      </c>
      <c r="Q3" s="44" t="s">
        <v>3</v>
      </c>
      <c r="R3" s="18" t="s">
        <v>1</v>
      </c>
      <c r="S3" s="18" t="s">
        <v>2</v>
      </c>
      <c r="T3" s="18" t="s">
        <v>51</v>
      </c>
      <c r="U3" s="18" t="s">
        <v>39</v>
      </c>
      <c r="V3" s="18" t="s">
        <v>38</v>
      </c>
      <c r="W3" s="18" t="s">
        <v>37</v>
      </c>
      <c r="X3" s="16"/>
      <c r="Y3" s="20" t="s">
        <v>48</v>
      </c>
      <c r="Z3" s="16" t="s">
        <v>55</v>
      </c>
      <c r="AA3" s="16" t="s">
        <v>17</v>
      </c>
      <c r="AB3" s="16" t="s">
        <v>18</v>
      </c>
      <c r="AC3" s="16" t="s">
        <v>19</v>
      </c>
      <c r="AD3" s="16" t="s">
        <v>54</v>
      </c>
      <c r="AE3" s="16" t="s">
        <v>58</v>
      </c>
      <c r="AF3" s="16" t="s">
        <v>22</v>
      </c>
      <c r="AG3" s="16" t="s">
        <v>23</v>
      </c>
      <c r="AH3" s="16" t="s">
        <v>24</v>
      </c>
      <c r="AI3" s="16" t="s">
        <v>25</v>
      </c>
      <c r="AJ3" s="16" t="s">
        <v>53</v>
      </c>
      <c r="AK3" s="16" t="s">
        <v>41</v>
      </c>
      <c r="AL3" s="96"/>
      <c r="AM3" s="21" t="s">
        <v>30</v>
      </c>
      <c r="AN3" s="21" t="s">
        <v>31</v>
      </c>
      <c r="AO3" s="21" t="s">
        <v>32</v>
      </c>
      <c r="AP3" s="49" t="s">
        <v>49</v>
      </c>
      <c r="AQ3" s="22" t="s">
        <v>42</v>
      </c>
      <c r="AR3" s="23" t="s">
        <v>44</v>
      </c>
      <c r="AS3" s="24" t="s">
        <v>43</v>
      </c>
      <c r="AT3" s="15"/>
      <c r="AU3" s="15"/>
      <c r="AV3" s="15"/>
    </row>
    <row r="4" spans="1:48" x14ac:dyDescent="0.25">
      <c r="A4" s="25">
        <v>44866</v>
      </c>
      <c r="B4" s="46">
        <v>1440</v>
      </c>
      <c r="C4" s="46">
        <v>2798.35</v>
      </c>
      <c r="D4" s="47">
        <v>5930</v>
      </c>
      <c r="E4" s="47">
        <v>5820</v>
      </c>
      <c r="F4" s="13">
        <f t="shared" ref="F4:G34" si="0">B4*D4</f>
        <v>8539200</v>
      </c>
      <c r="G4" s="13">
        <f t="shared" si="0"/>
        <v>16286397</v>
      </c>
      <c r="H4" s="26">
        <v>34.75</v>
      </c>
      <c r="I4" s="13">
        <v>839000</v>
      </c>
      <c r="J4" s="27">
        <v>36.5</v>
      </c>
      <c r="K4" s="13">
        <v>337000</v>
      </c>
      <c r="L4" s="13">
        <v>8000</v>
      </c>
      <c r="M4" s="13"/>
      <c r="N4" s="13">
        <v>208000</v>
      </c>
      <c r="O4" s="13"/>
      <c r="P4" s="13"/>
      <c r="Q4" s="45">
        <f>SUM(F4:G4)+I4+K4+SUM(L4:P4)</f>
        <v>26217597</v>
      </c>
      <c r="R4" s="13">
        <v>4389285</v>
      </c>
      <c r="S4" s="13">
        <v>15043161</v>
      </c>
      <c r="T4" s="13"/>
      <c r="U4" s="13"/>
      <c r="V4" s="13"/>
      <c r="W4" s="13">
        <v>51500</v>
      </c>
      <c r="X4" s="13">
        <v>4694700</v>
      </c>
      <c r="Y4" s="28">
        <f>Q4-SUM(R4:X4)</f>
        <v>2038951</v>
      </c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43">
        <f t="shared" ref="AL4:AL17" si="1">SUM(Z4:AK4)</f>
        <v>0</v>
      </c>
      <c r="AM4" s="12"/>
      <c r="AN4" s="12"/>
      <c r="AO4" s="12"/>
      <c r="AP4" s="12"/>
      <c r="AQ4" s="29">
        <f>Q4-SUM(R4:X4)-AL4-SUM(AM4:AO4)-AP4</f>
        <v>2038951</v>
      </c>
      <c r="AR4" s="15">
        <v>2038400</v>
      </c>
      <c r="AS4" s="30">
        <f t="shared" ref="AS4:AS34" si="2">AR4-AQ4</f>
        <v>-551</v>
      </c>
      <c r="AT4" s="15"/>
      <c r="AU4" s="15"/>
      <c r="AV4" s="15"/>
    </row>
    <row r="5" spans="1:48" x14ac:dyDescent="0.25">
      <c r="A5" s="25">
        <v>44867</v>
      </c>
      <c r="B5" s="46">
        <v>1136.46</v>
      </c>
      <c r="C5" s="46">
        <v>1778</v>
      </c>
      <c r="D5" s="47">
        <v>5930</v>
      </c>
      <c r="E5" s="47">
        <v>5820</v>
      </c>
      <c r="F5" s="13">
        <f t="shared" si="0"/>
        <v>6739207.7999999998</v>
      </c>
      <c r="G5" s="13">
        <f t="shared" si="0"/>
        <v>10347960</v>
      </c>
      <c r="H5" s="31">
        <v>67.25</v>
      </c>
      <c r="I5" s="13">
        <v>1456000</v>
      </c>
      <c r="J5" s="27">
        <v>12.5</v>
      </c>
      <c r="K5" s="13">
        <v>113000</v>
      </c>
      <c r="L5" s="13">
        <v>46000</v>
      </c>
      <c r="M5" s="13"/>
      <c r="N5" s="13">
        <v>301500</v>
      </c>
      <c r="O5" s="13">
        <v>1568400</v>
      </c>
      <c r="P5" s="13">
        <v>8000</v>
      </c>
      <c r="Q5" s="45">
        <f t="shared" ref="Q5:Q34" si="3">SUM(F5:G5)+I5+K5+SUM(L5:P5)</f>
        <v>20580067.800000001</v>
      </c>
      <c r="R5" s="13">
        <v>1259975</v>
      </c>
      <c r="S5" s="13">
        <v>4572467</v>
      </c>
      <c r="T5" s="13"/>
      <c r="U5" s="13"/>
      <c r="V5" s="13"/>
      <c r="W5" s="13">
        <v>54000</v>
      </c>
      <c r="X5" s="32">
        <v>7143610</v>
      </c>
      <c r="Y5" s="28">
        <f>Q5-SUM(R5:X5)</f>
        <v>7550015.8000000007</v>
      </c>
      <c r="Z5" s="33"/>
      <c r="AA5" s="34"/>
      <c r="AB5" s="13"/>
      <c r="AC5" s="13"/>
      <c r="AD5" s="13"/>
      <c r="AE5" s="13"/>
      <c r="AF5" s="13">
        <v>10000</v>
      </c>
      <c r="AG5" s="13"/>
      <c r="AH5" s="13"/>
      <c r="AI5" s="13"/>
      <c r="AJ5" s="13">
        <v>35500</v>
      </c>
      <c r="AK5" s="13"/>
      <c r="AL5" s="43">
        <f t="shared" si="1"/>
        <v>45500</v>
      </c>
      <c r="AM5" s="12"/>
      <c r="AN5" s="12"/>
      <c r="AO5" s="12"/>
      <c r="AP5" s="12">
        <v>2792260</v>
      </c>
      <c r="AQ5" s="29">
        <f t="shared" ref="AQ5:AQ34" si="4">Q5-SUM(R5:X5)-AL5-SUM(AM5:AO5)-AP5</f>
        <v>4712255.8000000007</v>
      </c>
      <c r="AR5" s="15">
        <v>4712300</v>
      </c>
      <c r="AS5" s="30">
        <f t="shared" si="2"/>
        <v>44.199999999254942</v>
      </c>
      <c r="AT5" s="15"/>
      <c r="AU5" s="15"/>
      <c r="AV5" s="15"/>
    </row>
    <row r="6" spans="1:48" x14ac:dyDescent="0.25">
      <c r="A6" s="25">
        <v>44868</v>
      </c>
      <c r="B6" s="46">
        <v>1498.35</v>
      </c>
      <c r="C6" s="46">
        <v>4056.27</v>
      </c>
      <c r="D6" s="47">
        <v>5930</v>
      </c>
      <c r="E6" s="47">
        <v>5820</v>
      </c>
      <c r="F6" s="13">
        <f t="shared" si="0"/>
        <v>8885215.5</v>
      </c>
      <c r="G6" s="13">
        <f t="shared" si="0"/>
        <v>23607491.399999999</v>
      </c>
      <c r="H6" s="26">
        <v>12.5</v>
      </c>
      <c r="I6" s="13">
        <v>246000</v>
      </c>
      <c r="J6" s="27">
        <v>79.5</v>
      </c>
      <c r="K6" s="13">
        <v>922500</v>
      </c>
      <c r="L6" s="13">
        <v>8000</v>
      </c>
      <c r="M6" s="13"/>
      <c r="N6" s="13">
        <v>192500</v>
      </c>
      <c r="O6" s="13">
        <v>974000</v>
      </c>
      <c r="P6" s="13"/>
      <c r="Q6" s="45">
        <f t="shared" si="3"/>
        <v>34835706.899999999</v>
      </c>
      <c r="R6" s="13">
        <v>1427928</v>
      </c>
      <c r="S6" s="13">
        <v>22417883</v>
      </c>
      <c r="T6" s="13"/>
      <c r="U6" s="13"/>
      <c r="V6" s="13"/>
      <c r="W6" s="13">
        <v>17000</v>
      </c>
      <c r="X6" s="13">
        <v>782000</v>
      </c>
      <c r="Y6" s="28">
        <f>Q6-SUM(R6:X6)</f>
        <v>10190895.899999999</v>
      </c>
      <c r="Z6" s="13"/>
      <c r="AA6" s="13"/>
      <c r="AB6" s="13"/>
      <c r="AC6" s="13">
        <v>3000</v>
      </c>
      <c r="AD6" s="13"/>
      <c r="AE6" s="13"/>
      <c r="AF6" s="13"/>
      <c r="AG6" s="13"/>
      <c r="AH6" s="13"/>
      <c r="AI6" s="13"/>
      <c r="AJ6" s="13"/>
      <c r="AK6" s="13"/>
      <c r="AL6" s="43">
        <f t="shared" si="1"/>
        <v>3000</v>
      </c>
      <c r="AM6" s="12"/>
      <c r="AN6" s="12"/>
      <c r="AO6" s="12"/>
      <c r="AP6" s="12"/>
      <c r="AQ6" s="29">
        <f t="shared" si="4"/>
        <v>10187895.899999999</v>
      </c>
      <c r="AR6" s="15">
        <v>10187900</v>
      </c>
      <c r="AS6" s="30">
        <f t="shared" si="2"/>
        <v>4.1000000014901161</v>
      </c>
      <c r="AT6" s="15"/>
      <c r="AU6" s="15"/>
      <c r="AV6" s="15"/>
    </row>
    <row r="7" spans="1:48" x14ac:dyDescent="0.25">
      <c r="A7" s="25">
        <v>44869</v>
      </c>
      <c r="B7" s="46">
        <v>2301.21</v>
      </c>
      <c r="C7" s="46">
        <v>3447.84</v>
      </c>
      <c r="D7" s="47">
        <v>5930</v>
      </c>
      <c r="E7" s="47">
        <v>5820</v>
      </c>
      <c r="F7" s="13">
        <f t="shared" si="0"/>
        <v>13646175.300000001</v>
      </c>
      <c r="G7" s="13">
        <f t="shared" si="0"/>
        <v>20066428.800000001</v>
      </c>
      <c r="H7" s="26">
        <v>79</v>
      </c>
      <c r="I7" s="13">
        <v>1679500</v>
      </c>
      <c r="J7" s="27">
        <v>18.5</v>
      </c>
      <c r="K7" s="13">
        <v>169000</v>
      </c>
      <c r="L7" s="13">
        <v>38000</v>
      </c>
      <c r="M7" s="13">
        <v>93000</v>
      </c>
      <c r="N7" s="13"/>
      <c r="O7" s="13">
        <v>698500</v>
      </c>
      <c r="P7" s="13">
        <v>11000</v>
      </c>
      <c r="Q7" s="45">
        <f t="shared" si="3"/>
        <v>36401604.100000001</v>
      </c>
      <c r="R7" s="13">
        <v>2779918</v>
      </c>
      <c r="S7" s="13">
        <v>20518431</v>
      </c>
      <c r="T7" s="13"/>
      <c r="U7" s="13"/>
      <c r="V7" s="13"/>
      <c r="W7" s="13">
        <v>170500</v>
      </c>
      <c r="X7" s="13">
        <v>3616600</v>
      </c>
      <c r="Y7" s="28">
        <f t="shared" ref="Y7:Y34" si="5">Q7-SUM(R7:X7)</f>
        <v>9316155.1000000015</v>
      </c>
      <c r="Z7" s="13"/>
      <c r="AA7" s="13"/>
      <c r="AB7" s="13"/>
      <c r="AC7" s="13">
        <v>3000</v>
      </c>
      <c r="AD7" s="13"/>
      <c r="AE7" s="13"/>
      <c r="AF7" s="13">
        <v>9000</v>
      </c>
      <c r="AG7" s="13"/>
      <c r="AH7" s="13">
        <v>83000</v>
      </c>
      <c r="AI7" s="13"/>
      <c r="AJ7" s="13"/>
      <c r="AK7" s="13"/>
      <c r="AL7" s="43">
        <f t="shared" si="1"/>
        <v>95000</v>
      </c>
      <c r="AM7" s="12"/>
      <c r="AN7" s="12"/>
      <c r="AO7" s="12"/>
      <c r="AP7" s="12">
        <v>835000</v>
      </c>
      <c r="AQ7" s="29">
        <f t="shared" si="4"/>
        <v>8386155.1000000015</v>
      </c>
      <c r="AR7" s="15">
        <v>8389200</v>
      </c>
      <c r="AS7" s="30">
        <f t="shared" si="2"/>
        <v>3044.8999999985099</v>
      </c>
      <c r="AT7" s="15"/>
      <c r="AU7" s="15"/>
      <c r="AV7" s="15"/>
    </row>
    <row r="8" spans="1:48" x14ac:dyDescent="0.25">
      <c r="A8" s="25">
        <v>44870</v>
      </c>
      <c r="B8" s="46">
        <v>2518.17</v>
      </c>
      <c r="C8" s="46">
        <v>1898.67</v>
      </c>
      <c r="D8" s="47">
        <v>5709</v>
      </c>
      <c r="E8" s="47">
        <v>5820</v>
      </c>
      <c r="F8" s="13">
        <f t="shared" si="0"/>
        <v>14376232.530000001</v>
      </c>
      <c r="G8" s="13">
        <f t="shared" si="0"/>
        <v>11050259.4</v>
      </c>
      <c r="H8" s="26">
        <v>19</v>
      </c>
      <c r="I8" s="13">
        <v>392000</v>
      </c>
      <c r="J8" s="27">
        <v>24.5</v>
      </c>
      <c r="K8" s="13">
        <v>225000</v>
      </c>
      <c r="L8" s="13">
        <v>70000</v>
      </c>
      <c r="M8" s="13"/>
      <c r="N8" s="13">
        <v>112000</v>
      </c>
      <c r="O8" s="13">
        <v>2000000</v>
      </c>
      <c r="P8" s="13">
        <v>6000</v>
      </c>
      <c r="Q8" s="45">
        <f t="shared" si="3"/>
        <v>28231491.93</v>
      </c>
      <c r="R8" s="13">
        <v>3228595</v>
      </c>
      <c r="S8" s="13">
        <v>9126517</v>
      </c>
      <c r="T8" s="13"/>
      <c r="U8" s="13"/>
      <c r="V8" s="13"/>
      <c r="W8" s="13">
        <v>80000</v>
      </c>
      <c r="X8" s="13">
        <v>1293450</v>
      </c>
      <c r="Y8" s="28">
        <f t="shared" si="5"/>
        <v>14502929.93</v>
      </c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43">
        <f t="shared" si="1"/>
        <v>0</v>
      </c>
      <c r="AM8" s="12"/>
      <c r="AN8" s="12"/>
      <c r="AO8" s="12"/>
      <c r="AP8" s="12"/>
      <c r="AQ8" s="29">
        <f t="shared" si="4"/>
        <v>14502929.93</v>
      </c>
      <c r="AR8" s="15">
        <v>14530100</v>
      </c>
      <c r="AS8" s="30">
        <f t="shared" si="2"/>
        <v>27170.070000000298</v>
      </c>
      <c r="AT8" s="15"/>
      <c r="AU8" s="15"/>
      <c r="AV8" s="15"/>
    </row>
    <row r="9" spans="1:48" x14ac:dyDescent="0.25">
      <c r="A9" s="25">
        <v>44871</v>
      </c>
      <c r="B9" s="46">
        <v>1444.75</v>
      </c>
      <c r="C9" s="46">
        <v>1190.45</v>
      </c>
      <c r="D9" s="47">
        <v>5709</v>
      </c>
      <c r="E9" s="47">
        <v>5820</v>
      </c>
      <c r="F9" s="13">
        <f t="shared" si="0"/>
        <v>8248077.75</v>
      </c>
      <c r="G9" s="13">
        <f t="shared" si="0"/>
        <v>6928419</v>
      </c>
      <c r="H9" s="26">
        <v>23</v>
      </c>
      <c r="I9" s="13">
        <v>490500</v>
      </c>
      <c r="J9" s="27">
        <v>9</v>
      </c>
      <c r="K9" s="13">
        <v>84000</v>
      </c>
      <c r="L9" s="13">
        <v>8000</v>
      </c>
      <c r="M9" s="13"/>
      <c r="N9" s="13"/>
      <c r="O9" s="13">
        <v>6194000</v>
      </c>
      <c r="P9" s="31"/>
      <c r="Q9" s="45">
        <f t="shared" si="3"/>
        <v>21952996.75</v>
      </c>
      <c r="R9" s="13">
        <v>2170580</v>
      </c>
      <c r="S9" s="13">
        <v>5778579</v>
      </c>
      <c r="T9" s="13"/>
      <c r="U9" s="13"/>
      <c r="V9" s="13"/>
      <c r="W9" s="13">
        <v>264000</v>
      </c>
      <c r="X9" s="31">
        <v>752635</v>
      </c>
      <c r="Y9" s="28">
        <f t="shared" si="5"/>
        <v>12987202.75</v>
      </c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43">
        <f t="shared" si="1"/>
        <v>0</v>
      </c>
      <c r="AM9" s="12"/>
      <c r="AN9" s="12"/>
      <c r="AO9" s="12"/>
      <c r="AP9" s="12"/>
      <c r="AQ9" s="29">
        <f t="shared" si="4"/>
        <v>12987202.75</v>
      </c>
      <c r="AR9" s="15">
        <v>12987200</v>
      </c>
      <c r="AS9" s="30">
        <f t="shared" si="2"/>
        <v>-2.75</v>
      </c>
      <c r="AT9" s="15"/>
      <c r="AU9" s="15"/>
      <c r="AV9" s="15"/>
    </row>
    <row r="10" spans="1:48" x14ac:dyDescent="0.25">
      <c r="A10" s="25">
        <v>44872</v>
      </c>
      <c r="B10" s="46">
        <v>1769.56</v>
      </c>
      <c r="C10" s="46">
        <v>3198.31</v>
      </c>
      <c r="D10" s="47">
        <v>5709</v>
      </c>
      <c r="E10" s="47">
        <v>5820</v>
      </c>
      <c r="F10" s="13">
        <f t="shared" si="0"/>
        <v>10102418.039999999</v>
      </c>
      <c r="G10" s="13">
        <f t="shared" si="0"/>
        <v>18614164.199999999</v>
      </c>
      <c r="H10" s="26">
        <v>22.75</v>
      </c>
      <c r="I10" s="13">
        <v>524000</v>
      </c>
      <c r="J10" s="27">
        <v>15</v>
      </c>
      <c r="K10" s="13">
        <v>140000</v>
      </c>
      <c r="L10" s="13">
        <v>46000</v>
      </c>
      <c r="M10" s="13">
        <v>200000</v>
      </c>
      <c r="N10" s="13"/>
      <c r="O10" s="13"/>
      <c r="P10" s="13">
        <v>8000</v>
      </c>
      <c r="Q10" s="45">
        <f t="shared" si="3"/>
        <v>29634582.239999998</v>
      </c>
      <c r="R10" s="13">
        <v>2885821</v>
      </c>
      <c r="S10" s="13">
        <v>18443516</v>
      </c>
      <c r="T10" s="13"/>
      <c r="U10" s="13"/>
      <c r="V10" s="13"/>
      <c r="W10" s="13"/>
      <c r="X10" s="13">
        <v>1991512</v>
      </c>
      <c r="Y10" s="28">
        <f t="shared" si="5"/>
        <v>6313733.2399999984</v>
      </c>
      <c r="Z10" s="12"/>
      <c r="AA10" s="12"/>
      <c r="AB10" s="12"/>
      <c r="AC10" s="12">
        <v>4000</v>
      </c>
      <c r="AD10" s="12"/>
      <c r="AE10" s="12"/>
      <c r="AF10" s="12"/>
      <c r="AG10" s="12"/>
      <c r="AH10" s="12"/>
      <c r="AI10" s="12"/>
      <c r="AJ10" s="12"/>
      <c r="AK10" s="12"/>
      <c r="AL10" s="43">
        <f t="shared" si="1"/>
        <v>4000</v>
      </c>
      <c r="AM10" s="12"/>
      <c r="AN10" s="12"/>
      <c r="AO10" s="32"/>
      <c r="AP10" s="32">
        <v>950000</v>
      </c>
      <c r="AQ10" s="29">
        <f t="shared" si="4"/>
        <v>5359733.2399999984</v>
      </c>
      <c r="AR10" s="15">
        <v>5359700</v>
      </c>
      <c r="AS10" s="30">
        <f t="shared" si="2"/>
        <v>-33.239999998360872</v>
      </c>
      <c r="AT10" s="15"/>
      <c r="AU10" s="15"/>
      <c r="AV10" s="15"/>
    </row>
    <row r="11" spans="1:48" x14ac:dyDescent="0.25">
      <c r="A11" s="25">
        <v>44873</v>
      </c>
      <c r="B11" s="46">
        <v>1454</v>
      </c>
      <c r="C11" s="46">
        <v>2454</v>
      </c>
      <c r="D11" s="47">
        <v>5709</v>
      </c>
      <c r="E11" s="47">
        <v>5820</v>
      </c>
      <c r="F11" s="13">
        <f t="shared" ref="F11:F14" si="6">B11*D11</f>
        <v>8300886</v>
      </c>
      <c r="G11" s="13">
        <f t="shared" ref="G11:G14" si="7">C11*E11</f>
        <v>14282280</v>
      </c>
      <c r="H11" s="26">
        <v>41.5</v>
      </c>
      <c r="I11" s="13">
        <v>951000</v>
      </c>
      <c r="J11" s="27">
        <v>18</v>
      </c>
      <c r="K11" s="13">
        <v>393000</v>
      </c>
      <c r="L11" s="13">
        <v>70000</v>
      </c>
      <c r="M11" s="13"/>
      <c r="N11" s="13">
        <v>231200</v>
      </c>
      <c r="O11" s="13">
        <v>180000</v>
      </c>
      <c r="P11" s="13">
        <v>6000</v>
      </c>
      <c r="Q11" s="45">
        <f t="shared" si="3"/>
        <v>24414366</v>
      </c>
      <c r="R11" s="13">
        <v>2402193</v>
      </c>
      <c r="S11" s="13">
        <v>14078622</v>
      </c>
      <c r="T11" s="13"/>
      <c r="U11" s="13"/>
      <c r="V11" s="13"/>
      <c r="W11" s="13"/>
      <c r="X11" s="13">
        <v>1343040</v>
      </c>
      <c r="Y11" s="28">
        <f t="shared" si="5"/>
        <v>6590511</v>
      </c>
      <c r="Z11" s="12"/>
      <c r="AA11" s="12"/>
      <c r="AB11" s="12"/>
      <c r="AC11" s="12"/>
      <c r="AD11" s="12"/>
      <c r="AE11" s="12"/>
      <c r="AF11" s="12">
        <v>3000</v>
      </c>
      <c r="AG11" s="12"/>
      <c r="AH11" s="12"/>
      <c r="AI11" s="12"/>
      <c r="AJ11" s="12"/>
      <c r="AK11" s="12"/>
      <c r="AL11" s="43">
        <f t="shared" si="1"/>
        <v>3000</v>
      </c>
      <c r="AM11" s="12"/>
      <c r="AN11" s="12"/>
      <c r="AO11" s="32"/>
      <c r="AP11" s="32"/>
      <c r="AQ11" s="29">
        <f t="shared" si="4"/>
        <v>6587511</v>
      </c>
      <c r="AR11" s="15">
        <v>6587500</v>
      </c>
      <c r="AS11" s="30">
        <f t="shared" si="2"/>
        <v>-11</v>
      </c>
      <c r="AT11" s="15"/>
      <c r="AU11" s="15"/>
      <c r="AV11" s="15"/>
    </row>
    <row r="12" spans="1:48" x14ac:dyDescent="0.25">
      <c r="A12" s="25">
        <v>44874</v>
      </c>
      <c r="B12" s="46">
        <v>1999.22</v>
      </c>
      <c r="C12" s="46">
        <v>5811.17</v>
      </c>
      <c r="D12" s="47">
        <v>5709</v>
      </c>
      <c r="E12" s="47">
        <v>5820</v>
      </c>
      <c r="F12" s="13">
        <f t="shared" si="6"/>
        <v>11413546.98</v>
      </c>
      <c r="G12" s="13">
        <f t="shared" si="7"/>
        <v>33821009.399999999</v>
      </c>
      <c r="H12" s="26">
        <v>16.5</v>
      </c>
      <c r="I12" s="13">
        <v>340000</v>
      </c>
      <c r="J12" s="27">
        <v>43</v>
      </c>
      <c r="K12" s="13">
        <v>394000</v>
      </c>
      <c r="L12" s="13">
        <v>31000</v>
      </c>
      <c r="M12" s="13">
        <v>30000</v>
      </c>
      <c r="N12" s="13">
        <v>148500</v>
      </c>
      <c r="O12" s="13">
        <v>1000000</v>
      </c>
      <c r="P12" s="13">
        <v>6000</v>
      </c>
      <c r="Q12" s="45">
        <f t="shared" si="3"/>
        <v>47184056.379999995</v>
      </c>
      <c r="R12" s="13">
        <v>3628988</v>
      </c>
      <c r="S12" s="13">
        <v>31472162</v>
      </c>
      <c r="T12" s="13"/>
      <c r="U12" s="13"/>
      <c r="V12" s="13"/>
      <c r="W12" s="13"/>
      <c r="X12" s="13">
        <v>1820000</v>
      </c>
      <c r="Y12" s="28">
        <f t="shared" si="5"/>
        <v>10262906.379999995</v>
      </c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43">
        <f t="shared" si="1"/>
        <v>0</v>
      </c>
      <c r="AM12" s="12"/>
      <c r="AN12" s="12"/>
      <c r="AO12" s="12"/>
      <c r="AP12" s="12"/>
      <c r="AQ12" s="29">
        <f t="shared" si="4"/>
        <v>10262906.379999995</v>
      </c>
      <c r="AR12" s="15">
        <v>10262900</v>
      </c>
      <c r="AS12" s="30">
        <f t="shared" si="2"/>
        <v>-6.3799999952316284</v>
      </c>
      <c r="AT12" s="15"/>
      <c r="AU12" s="15"/>
      <c r="AV12" s="15"/>
    </row>
    <row r="13" spans="1:48" x14ac:dyDescent="0.25">
      <c r="A13" s="25">
        <v>44875</v>
      </c>
      <c r="B13" s="46">
        <v>2059.04</v>
      </c>
      <c r="C13" s="46">
        <v>3153.66</v>
      </c>
      <c r="D13" s="47">
        <v>5709</v>
      </c>
      <c r="E13" s="47">
        <v>5699</v>
      </c>
      <c r="F13" s="13">
        <f t="shared" si="6"/>
        <v>11755059.359999999</v>
      </c>
      <c r="G13" s="13">
        <v>18049183</v>
      </c>
      <c r="H13" s="26">
        <v>10.5</v>
      </c>
      <c r="I13" s="13">
        <v>230500</v>
      </c>
      <c r="J13" s="27">
        <v>43</v>
      </c>
      <c r="K13" s="13">
        <v>394000</v>
      </c>
      <c r="L13" s="13">
        <v>8000</v>
      </c>
      <c r="M13" s="13"/>
      <c r="N13" s="13"/>
      <c r="O13" s="13">
        <v>972000</v>
      </c>
      <c r="P13" s="13">
        <v>5000</v>
      </c>
      <c r="Q13" s="45">
        <f t="shared" si="3"/>
        <v>31413742.359999999</v>
      </c>
      <c r="R13" s="13">
        <v>2931109</v>
      </c>
      <c r="S13" s="13">
        <v>15511634</v>
      </c>
      <c r="T13" s="13"/>
      <c r="U13" s="13"/>
      <c r="V13" s="13"/>
      <c r="W13" s="13">
        <v>231000</v>
      </c>
      <c r="X13" s="13">
        <v>3461251</v>
      </c>
      <c r="Y13" s="28">
        <f t="shared" si="5"/>
        <v>9278748.3599999994</v>
      </c>
      <c r="Z13" s="13"/>
      <c r="AA13" s="13"/>
      <c r="AB13" s="13"/>
      <c r="AC13" s="13"/>
      <c r="AD13" s="13">
        <v>113980</v>
      </c>
      <c r="AE13" s="13"/>
      <c r="AF13" s="13"/>
      <c r="AG13" s="13"/>
      <c r="AH13" s="13"/>
      <c r="AI13" s="13">
        <v>5000</v>
      </c>
      <c r="AJ13" s="13"/>
      <c r="AK13" s="13"/>
      <c r="AL13" s="43">
        <f t="shared" si="1"/>
        <v>118980</v>
      </c>
      <c r="AM13" s="12"/>
      <c r="AN13" s="12"/>
      <c r="AO13" s="12"/>
      <c r="AP13" s="12">
        <v>2267071</v>
      </c>
      <c r="AQ13" s="29">
        <f t="shared" si="4"/>
        <v>6892697.3599999994</v>
      </c>
      <c r="AR13" s="15">
        <v>6892700</v>
      </c>
      <c r="AS13" s="30">
        <f t="shared" si="2"/>
        <v>2.6400000005960464</v>
      </c>
      <c r="AT13" s="15"/>
      <c r="AU13" s="15"/>
      <c r="AV13" s="15"/>
    </row>
    <row r="14" spans="1:48" x14ac:dyDescent="0.25">
      <c r="A14" s="25">
        <v>44876</v>
      </c>
      <c r="B14" s="46">
        <v>2109</v>
      </c>
      <c r="C14" s="46">
        <v>2918</v>
      </c>
      <c r="D14" s="47">
        <v>5709</v>
      </c>
      <c r="E14" s="47">
        <v>5699</v>
      </c>
      <c r="F14" s="13">
        <f t="shared" si="6"/>
        <v>12040281</v>
      </c>
      <c r="G14" s="13">
        <f t="shared" si="7"/>
        <v>16629682</v>
      </c>
      <c r="H14" s="26">
        <v>23</v>
      </c>
      <c r="I14" s="13">
        <v>499500</v>
      </c>
      <c r="J14" s="27">
        <v>48.5</v>
      </c>
      <c r="K14" s="13">
        <v>449000</v>
      </c>
      <c r="L14" s="13">
        <v>60000</v>
      </c>
      <c r="M14" s="13">
        <v>100000</v>
      </c>
      <c r="N14" s="13">
        <v>61000</v>
      </c>
      <c r="O14" s="13"/>
      <c r="P14" s="13">
        <v>8000</v>
      </c>
      <c r="Q14" s="45">
        <f t="shared" si="3"/>
        <v>29847463</v>
      </c>
      <c r="R14" s="13">
        <v>3559895</v>
      </c>
      <c r="S14" s="13">
        <v>14083470</v>
      </c>
      <c r="T14" s="13"/>
      <c r="U14" s="13"/>
      <c r="V14" s="13"/>
      <c r="W14" s="13">
        <v>313000</v>
      </c>
      <c r="X14" s="13">
        <v>2293755</v>
      </c>
      <c r="Y14" s="28">
        <f t="shared" si="5"/>
        <v>9597343</v>
      </c>
      <c r="Z14" s="13"/>
      <c r="AA14" s="13"/>
      <c r="AB14" s="13"/>
      <c r="AC14" s="13"/>
      <c r="AD14" s="13"/>
      <c r="AE14" s="13"/>
      <c r="AF14" s="13">
        <v>6000</v>
      </c>
      <c r="AG14" s="13"/>
      <c r="AH14" s="13"/>
      <c r="AI14" s="13"/>
      <c r="AJ14" s="13">
        <v>400000</v>
      </c>
      <c r="AK14" s="13"/>
      <c r="AL14" s="43">
        <f t="shared" si="1"/>
        <v>406000</v>
      </c>
      <c r="AM14" s="12"/>
      <c r="AN14" s="12"/>
      <c r="AO14" s="12"/>
      <c r="AP14" s="12">
        <v>2182083</v>
      </c>
      <c r="AQ14" s="29">
        <f t="shared" si="4"/>
        <v>7009260</v>
      </c>
      <c r="AR14" s="15">
        <v>7009200</v>
      </c>
      <c r="AS14" s="30">
        <f t="shared" si="2"/>
        <v>-60</v>
      </c>
      <c r="AT14" s="15"/>
      <c r="AU14" s="15"/>
      <c r="AV14" s="15"/>
    </row>
    <row r="15" spans="1:48" x14ac:dyDescent="0.25">
      <c r="A15" s="25">
        <v>44877</v>
      </c>
      <c r="B15" s="46">
        <v>1594.72</v>
      </c>
      <c r="C15" s="46">
        <v>1958.5</v>
      </c>
      <c r="D15" s="47">
        <v>5709</v>
      </c>
      <c r="E15" s="47">
        <v>5699</v>
      </c>
      <c r="F15" s="13">
        <f t="shared" si="0"/>
        <v>9104256.4800000004</v>
      </c>
      <c r="G15" s="13">
        <f t="shared" si="0"/>
        <v>11161491.5</v>
      </c>
      <c r="H15" s="26">
        <v>22.75</v>
      </c>
      <c r="I15" s="51">
        <v>493000</v>
      </c>
      <c r="J15" s="27">
        <v>67</v>
      </c>
      <c r="K15" s="13">
        <v>618000</v>
      </c>
      <c r="L15" s="13"/>
      <c r="M15" s="13">
        <v>1000000</v>
      </c>
      <c r="N15" s="13"/>
      <c r="O15" s="13"/>
      <c r="P15" s="13"/>
      <c r="Q15" s="45">
        <f t="shared" si="3"/>
        <v>22376747.98</v>
      </c>
      <c r="R15" s="13">
        <v>2270208</v>
      </c>
      <c r="S15" s="13">
        <v>9212592</v>
      </c>
      <c r="T15" s="13"/>
      <c r="U15" s="13"/>
      <c r="V15" s="13"/>
      <c r="W15" s="13">
        <v>100000</v>
      </c>
      <c r="X15" s="13">
        <v>984950</v>
      </c>
      <c r="Y15" s="28">
        <f t="shared" si="5"/>
        <v>9808997.9800000004</v>
      </c>
      <c r="Z15" s="13"/>
      <c r="AA15" s="13"/>
      <c r="AB15" s="13"/>
      <c r="AC15" s="13"/>
      <c r="AD15" s="13">
        <v>170970</v>
      </c>
      <c r="AE15" s="13"/>
      <c r="AF15" s="13"/>
      <c r="AG15" s="13"/>
      <c r="AH15" s="13"/>
      <c r="AI15" s="13"/>
      <c r="AJ15" s="13">
        <v>20000</v>
      </c>
      <c r="AK15" s="13"/>
      <c r="AL15" s="43">
        <f t="shared" si="1"/>
        <v>190970</v>
      </c>
      <c r="AM15" s="15"/>
      <c r="AN15" s="35"/>
      <c r="AO15" s="32"/>
      <c r="AP15" s="32"/>
      <c r="AQ15" s="29">
        <f t="shared" si="4"/>
        <v>9618027.9800000004</v>
      </c>
      <c r="AR15" s="15">
        <v>9614000</v>
      </c>
      <c r="AS15" s="30">
        <f t="shared" si="2"/>
        <v>-4027.980000000447</v>
      </c>
      <c r="AT15" s="15"/>
      <c r="AU15" s="15"/>
      <c r="AV15" s="15"/>
    </row>
    <row r="16" spans="1:48" x14ac:dyDescent="0.25">
      <c r="A16" s="25">
        <v>44878</v>
      </c>
      <c r="B16" s="46">
        <v>999.07</v>
      </c>
      <c r="C16" s="46">
        <v>543.02</v>
      </c>
      <c r="D16" s="47">
        <v>5709</v>
      </c>
      <c r="E16" s="47">
        <v>5699</v>
      </c>
      <c r="F16" s="13">
        <f t="shared" si="0"/>
        <v>5703690.6299999999</v>
      </c>
      <c r="G16" s="13">
        <f t="shared" si="0"/>
        <v>3094670.98</v>
      </c>
      <c r="H16" s="26">
        <v>23.75</v>
      </c>
      <c r="I16" s="13">
        <v>566500</v>
      </c>
      <c r="J16" s="27">
        <v>12</v>
      </c>
      <c r="K16" s="13">
        <v>112000</v>
      </c>
      <c r="L16" s="13">
        <v>15000</v>
      </c>
      <c r="M16" s="13"/>
      <c r="N16" s="13"/>
      <c r="O16" s="13"/>
      <c r="P16" s="13"/>
      <c r="Q16" s="45">
        <f t="shared" si="3"/>
        <v>9491861.6099999994</v>
      </c>
      <c r="R16" s="13">
        <v>905653</v>
      </c>
      <c r="S16" s="13">
        <v>1015985</v>
      </c>
      <c r="T16" s="13"/>
      <c r="U16" s="13"/>
      <c r="V16" s="13"/>
      <c r="W16" s="13"/>
      <c r="X16" s="13">
        <v>1441940</v>
      </c>
      <c r="Y16" s="28">
        <f t="shared" si="5"/>
        <v>6128283.6099999994</v>
      </c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43">
        <f t="shared" si="1"/>
        <v>0</v>
      </c>
      <c r="AM16" s="31"/>
      <c r="AN16" s="36"/>
      <c r="AO16" s="32"/>
      <c r="AP16" s="32">
        <v>563800</v>
      </c>
      <c r="AQ16" s="29">
        <f t="shared" si="4"/>
        <v>5564483.6099999994</v>
      </c>
      <c r="AR16" s="15">
        <v>5564500</v>
      </c>
      <c r="AS16" s="30">
        <f t="shared" si="2"/>
        <v>16.390000000596046</v>
      </c>
      <c r="AT16" s="15"/>
      <c r="AU16" s="15"/>
      <c r="AV16" s="15"/>
    </row>
    <row r="17" spans="1:50" x14ac:dyDescent="0.25">
      <c r="A17" s="25">
        <v>44879</v>
      </c>
      <c r="B17" s="46">
        <v>1910</v>
      </c>
      <c r="C17" s="46">
        <v>4950</v>
      </c>
      <c r="D17" s="47">
        <v>5709</v>
      </c>
      <c r="E17" s="47">
        <v>5699</v>
      </c>
      <c r="F17" s="13">
        <f t="shared" si="0"/>
        <v>10904190</v>
      </c>
      <c r="G17" s="13">
        <f t="shared" si="0"/>
        <v>28210050</v>
      </c>
      <c r="H17" s="26">
        <v>30.5</v>
      </c>
      <c r="I17" s="13">
        <v>650500</v>
      </c>
      <c r="J17" s="27">
        <v>45.5</v>
      </c>
      <c r="K17" s="13">
        <v>421000</v>
      </c>
      <c r="L17" s="13">
        <v>8000</v>
      </c>
      <c r="M17" s="13"/>
      <c r="N17" s="13"/>
      <c r="O17" s="13">
        <v>2000000</v>
      </c>
      <c r="P17" s="13">
        <v>2000</v>
      </c>
      <c r="Q17" s="45">
        <f t="shared" si="3"/>
        <v>42195740</v>
      </c>
      <c r="R17" s="13">
        <v>2071020</v>
      </c>
      <c r="S17" s="13">
        <v>23828365</v>
      </c>
      <c r="T17" s="13"/>
      <c r="U17" s="13"/>
      <c r="V17" s="13"/>
      <c r="W17" s="13">
        <v>14000</v>
      </c>
      <c r="X17" s="13">
        <v>2363527</v>
      </c>
      <c r="Y17" s="28">
        <f t="shared" si="5"/>
        <v>13918828</v>
      </c>
      <c r="Z17" s="13"/>
      <c r="AA17" s="13"/>
      <c r="AB17" s="13"/>
      <c r="AC17" s="13">
        <v>50000</v>
      </c>
      <c r="AD17" s="13">
        <v>113980</v>
      </c>
      <c r="AE17" s="13"/>
      <c r="AF17" s="13">
        <v>25000</v>
      </c>
      <c r="AG17" s="13"/>
      <c r="AH17" s="13">
        <v>50000</v>
      </c>
      <c r="AI17" s="13"/>
      <c r="AJ17" s="13"/>
      <c r="AK17" s="13"/>
      <c r="AL17" s="43">
        <f t="shared" si="1"/>
        <v>238980</v>
      </c>
      <c r="AM17" s="12"/>
      <c r="AN17" s="12"/>
      <c r="AO17" s="12"/>
      <c r="AP17" s="12">
        <v>1244822</v>
      </c>
      <c r="AQ17" s="29">
        <f t="shared" si="4"/>
        <v>12435026</v>
      </c>
      <c r="AR17" s="15">
        <v>12441100</v>
      </c>
      <c r="AS17" s="30">
        <f t="shared" si="2"/>
        <v>6074</v>
      </c>
      <c r="AT17" s="15"/>
      <c r="AU17" s="15"/>
      <c r="AV17" s="15"/>
    </row>
    <row r="18" spans="1:50" x14ac:dyDescent="0.25">
      <c r="A18" s="25">
        <v>44880</v>
      </c>
      <c r="B18" s="46">
        <v>1794</v>
      </c>
      <c r="C18" s="46">
        <v>1856.11</v>
      </c>
      <c r="D18" s="47">
        <v>5709</v>
      </c>
      <c r="E18" s="47">
        <v>5699</v>
      </c>
      <c r="F18" s="13">
        <f t="shared" si="0"/>
        <v>10241946</v>
      </c>
      <c r="G18" s="13">
        <f t="shared" si="0"/>
        <v>10577970.889999999</v>
      </c>
      <c r="H18" s="13">
        <v>28</v>
      </c>
      <c r="I18" s="13">
        <v>658000</v>
      </c>
      <c r="J18" s="27">
        <v>55.5</v>
      </c>
      <c r="K18" s="13">
        <v>507000</v>
      </c>
      <c r="L18" s="13">
        <v>8000</v>
      </c>
      <c r="M18" s="13">
        <v>114000</v>
      </c>
      <c r="N18" s="13">
        <v>255000</v>
      </c>
      <c r="O18" s="13">
        <v>275000</v>
      </c>
      <c r="P18" s="13">
        <v>6000</v>
      </c>
      <c r="Q18" s="45">
        <f t="shared" si="3"/>
        <v>22642916.890000001</v>
      </c>
      <c r="R18" s="13">
        <v>840927</v>
      </c>
      <c r="S18" s="13">
        <v>5624099</v>
      </c>
      <c r="T18" s="13"/>
      <c r="U18" s="13"/>
      <c r="V18" s="13"/>
      <c r="W18" s="13"/>
      <c r="X18" s="13">
        <v>2705610</v>
      </c>
      <c r="Y18" s="28">
        <f t="shared" si="5"/>
        <v>13472280.890000001</v>
      </c>
      <c r="Z18" s="12"/>
      <c r="AA18" s="12"/>
      <c r="AB18" s="12"/>
      <c r="AC18" s="12"/>
      <c r="AD18" s="12">
        <v>113980</v>
      </c>
      <c r="AE18" s="12"/>
      <c r="AF18" s="12"/>
      <c r="AG18" s="12"/>
      <c r="AH18" s="12"/>
      <c r="AI18" s="12"/>
      <c r="AJ18" s="12"/>
      <c r="AK18" s="12"/>
      <c r="AL18" s="43">
        <f t="shared" ref="AL18:AL34" si="8">SUM(Z18:AK18)</f>
        <v>113980</v>
      </c>
      <c r="AM18" s="12"/>
      <c r="AN18" s="12"/>
      <c r="AO18" s="12"/>
      <c r="AP18" s="12">
        <v>1645850</v>
      </c>
      <c r="AQ18" s="29">
        <f t="shared" si="4"/>
        <v>11712450.890000001</v>
      </c>
      <c r="AR18" s="15">
        <v>11712500</v>
      </c>
      <c r="AS18" s="30">
        <f t="shared" si="2"/>
        <v>49.109999999403954</v>
      </c>
      <c r="AT18" s="15"/>
      <c r="AU18" s="15"/>
      <c r="AV18" s="15"/>
    </row>
    <row r="19" spans="1:50" x14ac:dyDescent="0.25">
      <c r="A19" s="25">
        <v>44881</v>
      </c>
      <c r="B19" s="46">
        <v>2161.5300000000002</v>
      </c>
      <c r="C19" s="46">
        <v>3449.35</v>
      </c>
      <c r="D19" s="47">
        <v>5709</v>
      </c>
      <c r="E19" s="47">
        <v>5699</v>
      </c>
      <c r="F19" s="13">
        <f t="shared" si="0"/>
        <v>12340174.770000001</v>
      </c>
      <c r="G19" s="13">
        <f t="shared" si="0"/>
        <v>19657845.649999999</v>
      </c>
      <c r="H19" s="26">
        <v>87.75</v>
      </c>
      <c r="I19" s="13">
        <v>1019000</v>
      </c>
      <c r="J19" s="27">
        <v>24</v>
      </c>
      <c r="K19" s="13">
        <v>224000</v>
      </c>
      <c r="L19" s="13">
        <v>115000</v>
      </c>
      <c r="M19" s="13"/>
      <c r="N19" s="13"/>
      <c r="O19" s="13">
        <v>200000</v>
      </c>
      <c r="P19" s="13">
        <v>22000</v>
      </c>
      <c r="Q19" s="45">
        <f t="shared" si="3"/>
        <v>33578020.420000002</v>
      </c>
      <c r="R19" s="13">
        <v>2550937</v>
      </c>
      <c r="S19" s="13">
        <v>13871827</v>
      </c>
      <c r="T19" s="13"/>
      <c r="U19" s="13"/>
      <c r="V19" s="13"/>
      <c r="W19" s="13"/>
      <c r="X19" s="13">
        <v>5165510</v>
      </c>
      <c r="Y19" s="28">
        <f t="shared" si="5"/>
        <v>11989746.420000002</v>
      </c>
      <c r="Z19" s="13"/>
      <c r="AA19" s="13"/>
      <c r="AB19" s="13"/>
      <c r="AC19" s="13">
        <v>5000</v>
      </c>
      <c r="AD19" s="13">
        <v>113980</v>
      </c>
      <c r="AE19" s="13"/>
      <c r="AF19" s="13">
        <v>12000</v>
      </c>
      <c r="AG19" s="13"/>
      <c r="AH19" s="13"/>
      <c r="AI19" s="13"/>
      <c r="AJ19" s="13">
        <v>408000</v>
      </c>
      <c r="AK19" s="13"/>
      <c r="AL19" s="43">
        <v>528980</v>
      </c>
      <c r="AM19" s="12">
        <v>578500</v>
      </c>
      <c r="AN19" s="12"/>
      <c r="AO19" s="12"/>
      <c r="AP19" s="12">
        <v>1412370</v>
      </c>
      <c r="AQ19" s="29">
        <f t="shared" si="4"/>
        <v>9469896.4200000018</v>
      </c>
      <c r="AR19" s="15">
        <v>9469900</v>
      </c>
      <c r="AS19" s="30">
        <f t="shared" si="2"/>
        <v>3.5799999982118607</v>
      </c>
      <c r="AT19" s="15"/>
      <c r="AU19" s="15"/>
      <c r="AV19" s="15"/>
    </row>
    <row r="20" spans="1:50" x14ac:dyDescent="0.25">
      <c r="A20" s="25">
        <v>44882</v>
      </c>
      <c r="B20" s="46">
        <v>2078.61</v>
      </c>
      <c r="C20" s="46">
        <v>2906.62</v>
      </c>
      <c r="D20" s="47">
        <v>5599</v>
      </c>
      <c r="E20" s="47">
        <v>5699</v>
      </c>
      <c r="F20" s="13">
        <v>11662450</v>
      </c>
      <c r="G20" s="13">
        <f t="shared" si="0"/>
        <v>16564827.379999999</v>
      </c>
      <c r="H20" s="26">
        <v>41</v>
      </c>
      <c r="I20" s="13">
        <v>842500</v>
      </c>
      <c r="J20" s="27">
        <v>68</v>
      </c>
      <c r="K20" s="13">
        <v>580000</v>
      </c>
      <c r="L20" s="13">
        <v>86000</v>
      </c>
      <c r="M20" s="13"/>
      <c r="N20" s="13">
        <v>127500</v>
      </c>
      <c r="O20" s="13">
        <v>2000</v>
      </c>
      <c r="P20" s="13">
        <v>8000</v>
      </c>
      <c r="Q20" s="45">
        <f t="shared" si="3"/>
        <v>29873277.379999999</v>
      </c>
      <c r="R20" s="13">
        <v>2451640</v>
      </c>
      <c r="S20" s="13">
        <v>15038839</v>
      </c>
      <c r="T20" s="13"/>
      <c r="U20" s="13"/>
      <c r="V20" s="13"/>
      <c r="W20" s="13">
        <v>102000</v>
      </c>
      <c r="X20" s="13">
        <v>3617680</v>
      </c>
      <c r="Y20" s="28">
        <f t="shared" si="5"/>
        <v>8663118.379999999</v>
      </c>
      <c r="Z20" s="12"/>
      <c r="AA20" s="12"/>
      <c r="AB20" s="12"/>
      <c r="AC20" s="12"/>
      <c r="AD20" s="12">
        <v>113980</v>
      </c>
      <c r="AE20" s="12"/>
      <c r="AF20" s="13">
        <v>4000</v>
      </c>
      <c r="AG20" s="12"/>
      <c r="AH20" s="13"/>
      <c r="AI20" s="12"/>
      <c r="AJ20" s="12"/>
      <c r="AK20" s="12"/>
      <c r="AL20" s="43">
        <f t="shared" si="8"/>
        <v>117980</v>
      </c>
      <c r="AM20" s="12"/>
      <c r="AN20" s="12"/>
      <c r="AO20" s="12"/>
      <c r="AP20" s="12">
        <v>869000</v>
      </c>
      <c r="AQ20" s="29">
        <f t="shared" si="4"/>
        <v>7676138.379999999</v>
      </c>
      <c r="AR20" s="15">
        <v>7676100</v>
      </c>
      <c r="AS20" s="30">
        <f t="shared" si="2"/>
        <v>-38.379999998956919</v>
      </c>
      <c r="AT20" s="15"/>
      <c r="AU20" s="15"/>
      <c r="AV20" s="15"/>
    </row>
    <row r="21" spans="1:50" x14ac:dyDescent="0.25">
      <c r="A21" s="25">
        <v>44883</v>
      </c>
      <c r="B21" s="46">
        <v>2067.61</v>
      </c>
      <c r="C21" s="46">
        <v>2616.25</v>
      </c>
      <c r="D21" s="47">
        <v>5599</v>
      </c>
      <c r="E21" s="47">
        <v>5699</v>
      </c>
      <c r="F21" s="13">
        <v>11655951</v>
      </c>
      <c r="G21" s="13">
        <f t="shared" si="0"/>
        <v>14910008.75</v>
      </c>
      <c r="H21" s="26">
        <v>53.75</v>
      </c>
      <c r="I21" s="13">
        <v>1145000</v>
      </c>
      <c r="J21" s="12">
        <v>30</v>
      </c>
      <c r="K21" s="13">
        <v>280000</v>
      </c>
      <c r="L21" s="13">
        <v>30000</v>
      </c>
      <c r="M21" s="13"/>
      <c r="N21" s="13"/>
      <c r="O21" s="13">
        <v>3826971</v>
      </c>
      <c r="P21" s="12">
        <v>8000</v>
      </c>
      <c r="Q21" s="45">
        <f t="shared" si="3"/>
        <v>31855930.75</v>
      </c>
      <c r="R21" s="13">
        <v>1827455</v>
      </c>
      <c r="S21" s="13">
        <v>9657482</v>
      </c>
      <c r="T21" s="13"/>
      <c r="U21" s="13"/>
      <c r="V21" s="13"/>
      <c r="W21" s="13"/>
      <c r="X21" s="12">
        <v>6272738</v>
      </c>
      <c r="Y21" s="28">
        <f t="shared" si="5"/>
        <v>14098255.75</v>
      </c>
      <c r="Z21" s="12"/>
      <c r="AA21" s="12"/>
      <c r="AB21" s="12"/>
      <c r="AC21" s="12">
        <v>5000</v>
      </c>
      <c r="AD21" s="12"/>
      <c r="AE21" s="12"/>
      <c r="AF21" s="12">
        <v>5000</v>
      </c>
      <c r="AG21" s="12"/>
      <c r="AH21" s="13"/>
      <c r="AI21" s="12"/>
      <c r="AJ21" s="12"/>
      <c r="AK21" s="12"/>
      <c r="AL21" s="43">
        <f t="shared" si="8"/>
        <v>10000</v>
      </c>
      <c r="AM21" s="12"/>
      <c r="AN21" s="12"/>
      <c r="AO21" s="12"/>
      <c r="AP21" s="12">
        <v>1715857</v>
      </c>
      <c r="AQ21" s="29">
        <f t="shared" si="4"/>
        <v>12372398.75</v>
      </c>
      <c r="AR21" s="15">
        <v>12371900</v>
      </c>
      <c r="AS21" s="30">
        <f t="shared" si="2"/>
        <v>-498.75</v>
      </c>
      <c r="AT21" s="15"/>
      <c r="AU21" s="15"/>
      <c r="AV21" s="15"/>
    </row>
    <row r="22" spans="1:50" x14ac:dyDescent="0.25">
      <c r="A22" s="25">
        <v>44884</v>
      </c>
      <c r="B22" s="46">
        <v>1964.01</v>
      </c>
      <c r="C22" s="46">
        <v>3559.14</v>
      </c>
      <c r="D22" s="47">
        <v>5599</v>
      </c>
      <c r="E22" s="47">
        <v>5699</v>
      </c>
      <c r="F22" s="13">
        <f t="shared" ref="F22" si="9">B22*D22</f>
        <v>10996491.99</v>
      </c>
      <c r="G22" s="13">
        <f t="shared" ref="G22" si="10">C22*E22</f>
        <v>20283538.859999999</v>
      </c>
      <c r="H22" s="26">
        <v>18.75</v>
      </c>
      <c r="I22" s="13">
        <v>442500</v>
      </c>
      <c r="J22" s="12">
        <v>24.5</v>
      </c>
      <c r="K22" s="13">
        <v>225000</v>
      </c>
      <c r="L22" s="13">
        <v>8000</v>
      </c>
      <c r="M22" s="13"/>
      <c r="N22" s="13"/>
      <c r="O22" s="13">
        <v>1363000</v>
      </c>
      <c r="P22" s="12"/>
      <c r="Q22" s="45">
        <f t="shared" si="3"/>
        <v>33318530.850000001</v>
      </c>
      <c r="R22" s="13">
        <v>842171</v>
      </c>
      <c r="S22" s="13">
        <v>18725823</v>
      </c>
      <c r="T22" s="13"/>
      <c r="U22" s="13"/>
      <c r="V22" s="13"/>
      <c r="W22" s="13"/>
      <c r="X22" s="12">
        <v>2810590</v>
      </c>
      <c r="Y22" s="28">
        <f t="shared" si="5"/>
        <v>10939946.850000001</v>
      </c>
      <c r="Z22" s="12"/>
      <c r="AA22" s="12"/>
      <c r="AB22" s="12"/>
      <c r="AC22" s="12">
        <v>69000</v>
      </c>
      <c r="AD22" s="12"/>
      <c r="AE22" s="12"/>
      <c r="AF22" s="12"/>
      <c r="AG22" s="12"/>
      <c r="AH22" s="12"/>
      <c r="AI22" s="12"/>
      <c r="AJ22" s="12"/>
      <c r="AK22" s="12"/>
      <c r="AL22" s="43">
        <f t="shared" si="8"/>
        <v>69000</v>
      </c>
      <c r="AM22" s="12"/>
      <c r="AN22" s="12"/>
      <c r="AO22" s="12"/>
      <c r="AP22" s="12">
        <v>1099000</v>
      </c>
      <c r="AQ22" s="29">
        <f t="shared" si="4"/>
        <v>9771946.8500000015</v>
      </c>
      <c r="AR22" s="15">
        <v>9771900</v>
      </c>
      <c r="AS22" s="30">
        <f t="shared" si="2"/>
        <v>-46.850000001490116</v>
      </c>
      <c r="AT22" s="15"/>
      <c r="AU22" s="15"/>
      <c r="AV22" s="15"/>
    </row>
    <row r="23" spans="1:50" x14ac:dyDescent="0.25">
      <c r="A23" s="25">
        <v>44885</v>
      </c>
      <c r="B23" s="46">
        <v>1882.4</v>
      </c>
      <c r="C23" s="46">
        <v>1570.03</v>
      </c>
      <c r="D23" s="47">
        <v>5599</v>
      </c>
      <c r="E23" s="47">
        <v>5699</v>
      </c>
      <c r="F23" s="13">
        <f t="shared" si="0"/>
        <v>10539557.6</v>
      </c>
      <c r="G23" s="13">
        <f t="shared" si="0"/>
        <v>8947600.9700000007</v>
      </c>
      <c r="H23" s="26">
        <v>16</v>
      </c>
      <c r="I23" s="13">
        <v>324000</v>
      </c>
      <c r="J23" s="12">
        <v>24.5</v>
      </c>
      <c r="K23" s="13">
        <v>225000</v>
      </c>
      <c r="L23" s="13">
        <v>23000</v>
      </c>
      <c r="M23" s="13"/>
      <c r="N23" s="13"/>
      <c r="O23" s="13">
        <v>2200000</v>
      </c>
      <c r="P23" s="12"/>
      <c r="Q23" s="45">
        <f t="shared" si="3"/>
        <v>22259158.57</v>
      </c>
      <c r="R23" s="13">
        <v>967138</v>
      </c>
      <c r="S23" s="13">
        <v>5214730</v>
      </c>
      <c r="T23" s="13"/>
      <c r="U23" s="13"/>
      <c r="V23" s="13"/>
      <c r="W23" s="13"/>
      <c r="X23" s="12">
        <v>1914950</v>
      </c>
      <c r="Y23" s="28">
        <f t="shared" si="5"/>
        <v>14162340.57</v>
      </c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43">
        <f t="shared" si="8"/>
        <v>0</v>
      </c>
      <c r="AM23" s="12"/>
      <c r="AN23" s="12"/>
      <c r="AO23" s="12"/>
      <c r="AP23" s="12">
        <v>3184403</v>
      </c>
      <c r="AQ23" s="29">
        <f t="shared" si="4"/>
        <v>10977937.57</v>
      </c>
      <c r="AR23" s="15">
        <v>10977900</v>
      </c>
      <c r="AS23" s="30">
        <f t="shared" si="2"/>
        <v>-37.570000000298023</v>
      </c>
      <c r="AT23" s="15"/>
      <c r="AU23" s="15"/>
      <c r="AV23" s="15"/>
    </row>
    <row r="24" spans="1:50" x14ac:dyDescent="0.25">
      <c r="A24" s="25">
        <v>44886</v>
      </c>
      <c r="B24" s="46">
        <v>1819.83</v>
      </c>
      <c r="C24" s="46">
        <v>2821.51</v>
      </c>
      <c r="D24" s="47">
        <v>5599</v>
      </c>
      <c r="E24" s="47">
        <v>5699</v>
      </c>
      <c r="F24" s="13">
        <f t="shared" si="0"/>
        <v>10189228.17</v>
      </c>
      <c r="G24" s="13">
        <f t="shared" si="0"/>
        <v>16079785.490000002</v>
      </c>
      <c r="H24" s="26">
        <v>8.5</v>
      </c>
      <c r="I24" s="13">
        <v>202000</v>
      </c>
      <c r="J24" s="12">
        <v>24.5</v>
      </c>
      <c r="K24" s="13">
        <v>225000</v>
      </c>
      <c r="L24" s="13"/>
      <c r="M24" s="13"/>
      <c r="N24" s="13"/>
      <c r="O24" s="13">
        <v>312900</v>
      </c>
      <c r="P24" s="12">
        <v>8000</v>
      </c>
      <c r="Q24" s="45">
        <f t="shared" si="3"/>
        <v>27016913.660000004</v>
      </c>
      <c r="R24" s="13">
        <v>1276844</v>
      </c>
      <c r="S24" s="13">
        <v>11528203</v>
      </c>
      <c r="T24" s="13"/>
      <c r="U24" s="13"/>
      <c r="V24" s="13"/>
      <c r="W24" s="13">
        <v>236900</v>
      </c>
      <c r="X24" s="12">
        <v>3576210</v>
      </c>
      <c r="Y24" s="28">
        <f t="shared" si="5"/>
        <v>10398756.660000004</v>
      </c>
      <c r="Z24" s="12"/>
      <c r="AA24" s="12"/>
      <c r="AB24" s="12"/>
      <c r="AC24" s="12"/>
      <c r="AD24" s="12"/>
      <c r="AE24" s="12"/>
      <c r="AF24" s="12">
        <v>7000</v>
      </c>
      <c r="AG24" s="12"/>
      <c r="AH24" s="12"/>
      <c r="AI24" s="12"/>
      <c r="AJ24" s="12">
        <v>30000</v>
      </c>
      <c r="AK24" s="12"/>
      <c r="AL24" s="43">
        <f t="shared" si="8"/>
        <v>37000</v>
      </c>
      <c r="AM24" s="12"/>
      <c r="AN24" s="12"/>
      <c r="AO24" s="12"/>
      <c r="AP24" s="12">
        <v>1459593</v>
      </c>
      <c r="AQ24" s="29">
        <f t="shared" si="4"/>
        <v>8902163.6600000039</v>
      </c>
      <c r="AR24" s="15">
        <v>8902200</v>
      </c>
      <c r="AS24" s="30">
        <f t="shared" si="2"/>
        <v>36.339999996125698</v>
      </c>
      <c r="AT24" s="15"/>
      <c r="AU24" s="15"/>
      <c r="AV24" s="15"/>
    </row>
    <row r="25" spans="1:50" x14ac:dyDescent="0.25">
      <c r="A25" s="25">
        <v>44887</v>
      </c>
      <c r="B25" s="46">
        <v>1712.28</v>
      </c>
      <c r="C25" s="46">
        <v>2615.16</v>
      </c>
      <c r="D25" s="47">
        <v>5599</v>
      </c>
      <c r="E25" s="47">
        <v>5680</v>
      </c>
      <c r="F25" s="13">
        <f t="shared" ref="F25" si="11">B25*D25</f>
        <v>9587055.7200000007</v>
      </c>
      <c r="G25" s="13">
        <f t="shared" ref="G25" si="12">C25*E25</f>
        <v>14854108.799999999</v>
      </c>
      <c r="H25" s="26">
        <v>23.75</v>
      </c>
      <c r="I25" s="13">
        <v>596000</v>
      </c>
      <c r="J25" s="12">
        <v>12.5</v>
      </c>
      <c r="K25" s="13">
        <v>113000</v>
      </c>
      <c r="L25" s="13">
        <v>31000</v>
      </c>
      <c r="M25" s="13"/>
      <c r="N25" s="13"/>
      <c r="O25" s="13">
        <v>819900</v>
      </c>
      <c r="P25" s="12">
        <v>16000</v>
      </c>
      <c r="Q25" s="45">
        <f t="shared" si="3"/>
        <v>26017064.52</v>
      </c>
      <c r="R25" s="13">
        <v>1504965</v>
      </c>
      <c r="S25" s="13">
        <v>9913274</v>
      </c>
      <c r="T25" s="13"/>
      <c r="U25" s="13"/>
      <c r="V25" s="13"/>
      <c r="W25" s="13"/>
      <c r="X25" s="12">
        <v>4166600</v>
      </c>
      <c r="Y25" s="28">
        <f t="shared" si="5"/>
        <v>10432225.52</v>
      </c>
      <c r="Z25" s="12"/>
      <c r="AA25" s="12"/>
      <c r="AB25" s="12"/>
      <c r="AC25" s="12"/>
      <c r="AD25" s="12"/>
      <c r="AE25" s="12"/>
      <c r="AF25" s="12">
        <v>5000</v>
      </c>
      <c r="AG25" s="12"/>
      <c r="AH25" s="12"/>
      <c r="AI25" s="12"/>
      <c r="AJ25" s="12"/>
      <c r="AK25" s="12"/>
      <c r="AL25" s="43">
        <f t="shared" ref="AL25" si="13">SUM(Z25:AK25)</f>
        <v>5000</v>
      </c>
      <c r="AM25" s="12"/>
      <c r="AN25" s="12"/>
      <c r="AO25" s="12"/>
      <c r="AP25" s="12">
        <v>1219348</v>
      </c>
      <c r="AQ25" s="29">
        <f t="shared" ref="AQ25" si="14">Q25-SUM(R25:X25)-AL25-SUM(AM25:AO25)-AP25</f>
        <v>9207877.5199999996</v>
      </c>
      <c r="AR25" s="15">
        <v>9207900</v>
      </c>
      <c r="AS25" s="30">
        <f t="shared" ref="AS25" si="15">AR25-AQ25</f>
        <v>22.480000000447035</v>
      </c>
      <c r="AT25" s="15"/>
      <c r="AU25" s="15"/>
      <c r="AV25" s="15"/>
      <c r="AX25" t="s">
        <v>56</v>
      </c>
    </row>
    <row r="26" spans="1:50" x14ac:dyDescent="0.25">
      <c r="A26" s="25">
        <v>44888</v>
      </c>
      <c r="B26" s="46">
        <v>1716.97</v>
      </c>
      <c r="C26" s="46">
        <v>22.23</v>
      </c>
      <c r="D26" s="47">
        <v>5599</v>
      </c>
      <c r="E26" s="47">
        <v>5680</v>
      </c>
      <c r="F26" s="13">
        <f t="shared" si="0"/>
        <v>9613315.0299999993</v>
      </c>
      <c r="G26" s="13">
        <f t="shared" si="0"/>
        <v>126266.40000000001</v>
      </c>
      <c r="H26" s="26">
        <v>13</v>
      </c>
      <c r="I26" s="13">
        <v>275500</v>
      </c>
      <c r="J26" s="12">
        <v>0</v>
      </c>
      <c r="K26" s="13">
        <v>0</v>
      </c>
      <c r="L26" s="13"/>
      <c r="M26" s="13"/>
      <c r="N26" s="13"/>
      <c r="O26" s="13">
        <v>2000</v>
      </c>
      <c r="P26" s="12">
        <v>12000</v>
      </c>
      <c r="Q26" s="45">
        <f t="shared" ref="Q26" si="16">SUM(F26:G26)+I26+K26+SUM(L26:P26)</f>
        <v>10029081.43</v>
      </c>
      <c r="R26" s="13">
        <v>1572386</v>
      </c>
      <c r="S26" s="13"/>
      <c r="T26" s="13"/>
      <c r="U26" s="13"/>
      <c r="V26" s="13"/>
      <c r="W26" s="13"/>
      <c r="X26" s="12">
        <v>1823570</v>
      </c>
      <c r="Y26" s="28">
        <f t="shared" ref="Y26" si="17">Q26-SUM(R26:X26)</f>
        <v>6633125.4299999997</v>
      </c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43">
        <f t="shared" ref="AL26" si="18">SUM(Z26:AK26)</f>
        <v>0</v>
      </c>
      <c r="AM26" s="12"/>
      <c r="AN26" s="12"/>
      <c r="AO26" s="12"/>
      <c r="AP26" s="12">
        <v>320453</v>
      </c>
      <c r="AQ26" s="29">
        <f t="shared" si="4"/>
        <v>6312672.4299999997</v>
      </c>
      <c r="AR26" s="15">
        <v>6317700</v>
      </c>
      <c r="AS26" s="30">
        <f t="shared" si="2"/>
        <v>5027.570000000298</v>
      </c>
      <c r="AT26" s="15"/>
      <c r="AU26" s="15"/>
      <c r="AV26" s="15"/>
    </row>
    <row r="27" spans="1:50" x14ac:dyDescent="0.25">
      <c r="A27" s="25">
        <v>44889</v>
      </c>
      <c r="B27" s="46">
        <v>321.51</v>
      </c>
      <c r="C27" s="46">
        <v>2355.85</v>
      </c>
      <c r="D27" s="47">
        <v>5599</v>
      </c>
      <c r="E27" s="47">
        <v>5680</v>
      </c>
      <c r="F27" s="13">
        <f t="shared" si="0"/>
        <v>1800134.49</v>
      </c>
      <c r="G27" s="13">
        <f t="shared" si="0"/>
        <v>13381228</v>
      </c>
      <c r="H27" s="26">
        <v>7</v>
      </c>
      <c r="I27" s="13">
        <v>188000</v>
      </c>
      <c r="J27" s="12">
        <v>0</v>
      </c>
      <c r="K27" s="13">
        <v>0</v>
      </c>
      <c r="L27" s="13"/>
      <c r="M27" s="13">
        <v>30000</v>
      </c>
      <c r="N27" s="13"/>
      <c r="O27" s="13">
        <v>2000</v>
      </c>
      <c r="P27" s="12">
        <v>12000</v>
      </c>
      <c r="Q27" s="45">
        <f t="shared" si="3"/>
        <v>15413362.49</v>
      </c>
      <c r="R27" s="13">
        <v>286389</v>
      </c>
      <c r="S27" s="13">
        <v>10510400</v>
      </c>
      <c r="T27" s="13"/>
      <c r="U27" s="13"/>
      <c r="V27" s="13"/>
      <c r="W27" s="13"/>
      <c r="X27" s="12">
        <v>2836170</v>
      </c>
      <c r="Y27" s="28">
        <f t="shared" si="5"/>
        <v>1780403.4900000002</v>
      </c>
      <c r="Z27" s="12"/>
      <c r="AA27" s="12"/>
      <c r="AB27" s="12"/>
      <c r="AC27" s="12">
        <v>6000</v>
      </c>
      <c r="AD27" s="12"/>
      <c r="AE27" s="12">
        <v>150000</v>
      </c>
      <c r="AF27" s="12">
        <v>9000</v>
      </c>
      <c r="AG27" s="12">
        <v>12000</v>
      </c>
      <c r="AH27" s="12"/>
      <c r="AI27" s="12"/>
      <c r="AJ27" s="12">
        <v>300000</v>
      </c>
      <c r="AK27" s="12"/>
      <c r="AL27" s="43">
        <f t="shared" si="8"/>
        <v>477000</v>
      </c>
      <c r="AM27" s="12"/>
      <c r="AN27" s="12"/>
      <c r="AO27" s="12"/>
      <c r="AP27" s="12">
        <v>454400</v>
      </c>
      <c r="AQ27" s="29">
        <f t="shared" si="4"/>
        <v>849003.49000000022</v>
      </c>
      <c r="AR27" s="15">
        <v>850600</v>
      </c>
      <c r="AS27" s="30">
        <f t="shared" si="2"/>
        <v>1596.5099999997765</v>
      </c>
      <c r="AT27" s="15"/>
      <c r="AU27" s="15"/>
      <c r="AV27" s="15"/>
    </row>
    <row r="28" spans="1:50" x14ac:dyDescent="0.25">
      <c r="A28" s="25">
        <v>44890</v>
      </c>
      <c r="B28" s="46">
        <v>1349.98</v>
      </c>
      <c r="C28" s="46">
        <v>1663.47</v>
      </c>
      <c r="D28" s="47">
        <v>5599</v>
      </c>
      <c r="E28" s="47">
        <v>5680</v>
      </c>
      <c r="F28" s="13">
        <f t="shared" si="0"/>
        <v>7558538.0200000005</v>
      </c>
      <c r="G28" s="13">
        <f t="shared" si="0"/>
        <v>9448509.5999999996</v>
      </c>
      <c r="H28" s="26">
        <v>10.5</v>
      </c>
      <c r="I28" s="13">
        <v>220000</v>
      </c>
      <c r="J28" s="12">
        <v>64</v>
      </c>
      <c r="K28" s="13">
        <v>590000</v>
      </c>
      <c r="L28" s="13">
        <v>8000</v>
      </c>
      <c r="M28" s="13">
        <v>750000</v>
      </c>
      <c r="N28" s="13">
        <v>127500</v>
      </c>
      <c r="O28" s="13">
        <v>300000</v>
      </c>
      <c r="P28" s="12">
        <v>4000</v>
      </c>
      <c r="Q28" s="45">
        <f t="shared" si="3"/>
        <v>19006547.620000001</v>
      </c>
      <c r="R28" s="13">
        <v>790158</v>
      </c>
      <c r="S28" s="13">
        <v>6473824</v>
      </c>
      <c r="T28" s="13"/>
      <c r="U28" s="13"/>
      <c r="V28" s="13"/>
      <c r="W28" s="13"/>
      <c r="X28" s="12">
        <v>1056203</v>
      </c>
      <c r="Y28" s="28">
        <f t="shared" si="5"/>
        <v>10686362.620000001</v>
      </c>
      <c r="Z28" s="12"/>
      <c r="AA28" s="12"/>
      <c r="AB28" s="12"/>
      <c r="AC28" s="12"/>
      <c r="AD28" s="12">
        <v>113600</v>
      </c>
      <c r="AE28" s="12"/>
      <c r="AF28" s="12">
        <v>3000</v>
      </c>
      <c r="AG28" s="12"/>
      <c r="AH28" s="12">
        <v>15500</v>
      </c>
      <c r="AI28" s="12"/>
      <c r="AJ28" s="12"/>
      <c r="AK28" s="12"/>
      <c r="AL28" s="43">
        <f t="shared" si="8"/>
        <v>132100</v>
      </c>
      <c r="AM28" s="12"/>
      <c r="AN28" s="12"/>
      <c r="AO28" s="12"/>
      <c r="AP28" s="12"/>
      <c r="AQ28" s="29">
        <f t="shared" si="4"/>
        <v>10554262.620000001</v>
      </c>
      <c r="AR28" s="15">
        <v>10554300</v>
      </c>
      <c r="AS28" s="30">
        <f t="shared" si="2"/>
        <v>37.379999998956919</v>
      </c>
      <c r="AT28" s="15"/>
      <c r="AU28" s="15"/>
      <c r="AV28" s="15"/>
      <c r="AX28" t="s">
        <v>56</v>
      </c>
    </row>
    <row r="29" spans="1:50" x14ac:dyDescent="0.25">
      <c r="A29" s="25">
        <v>44891</v>
      </c>
      <c r="B29" s="46">
        <v>2723.13</v>
      </c>
      <c r="C29" s="46">
        <v>1952.71</v>
      </c>
      <c r="D29" s="47">
        <v>5599</v>
      </c>
      <c r="E29" s="47">
        <v>5680</v>
      </c>
      <c r="F29" s="13">
        <f t="shared" si="0"/>
        <v>15246804.870000001</v>
      </c>
      <c r="G29" s="13">
        <f t="shared" si="0"/>
        <v>11091392.800000001</v>
      </c>
      <c r="H29" s="26">
        <v>25</v>
      </c>
      <c r="I29" s="13">
        <v>362000</v>
      </c>
      <c r="J29" s="12">
        <v>21.5</v>
      </c>
      <c r="K29" s="13">
        <v>197000</v>
      </c>
      <c r="L29" s="13">
        <v>8000</v>
      </c>
      <c r="M29" s="13">
        <v>300000</v>
      </c>
      <c r="N29" s="13"/>
      <c r="O29" s="13">
        <v>2200000</v>
      </c>
      <c r="P29" s="12">
        <v>5000</v>
      </c>
      <c r="Q29" s="45">
        <f t="shared" si="3"/>
        <v>29410197.670000002</v>
      </c>
      <c r="R29" s="13">
        <v>1168329</v>
      </c>
      <c r="S29" s="13">
        <v>5226357</v>
      </c>
      <c r="T29" s="13"/>
      <c r="U29" s="13"/>
      <c r="V29" s="13"/>
      <c r="W29" s="13"/>
      <c r="X29" s="12">
        <v>4801374</v>
      </c>
      <c r="Y29" s="28">
        <f t="shared" si="5"/>
        <v>18214137.670000002</v>
      </c>
      <c r="Z29" s="12"/>
      <c r="AA29" s="12"/>
      <c r="AB29" s="12"/>
      <c r="AC29" s="12"/>
      <c r="AD29" s="12"/>
      <c r="AE29" s="12"/>
      <c r="AF29" s="12">
        <v>3000</v>
      </c>
      <c r="AG29" s="12">
        <v>300000</v>
      </c>
      <c r="AH29" s="12">
        <v>19000</v>
      </c>
      <c r="AI29" s="12"/>
      <c r="AJ29" s="12"/>
      <c r="AK29" s="12"/>
      <c r="AL29" s="43">
        <f t="shared" si="8"/>
        <v>322000</v>
      </c>
      <c r="AM29" s="12"/>
      <c r="AN29" s="12"/>
      <c r="AO29" s="12"/>
      <c r="AP29" s="12">
        <v>385000</v>
      </c>
      <c r="AQ29" s="29">
        <f t="shared" si="4"/>
        <v>17507137.670000002</v>
      </c>
      <c r="AR29" s="15">
        <v>17666000</v>
      </c>
      <c r="AS29" s="30">
        <f t="shared" si="2"/>
        <v>158862.32999999821</v>
      </c>
      <c r="AT29" s="15"/>
      <c r="AU29" s="15"/>
      <c r="AV29" s="15"/>
    </row>
    <row r="30" spans="1:50" x14ac:dyDescent="0.25">
      <c r="A30" s="25">
        <v>44892</v>
      </c>
      <c r="B30" s="46">
        <v>1840.89</v>
      </c>
      <c r="C30" s="46">
        <v>1171.33</v>
      </c>
      <c r="D30" s="47">
        <v>5599</v>
      </c>
      <c r="E30" s="47">
        <v>5680</v>
      </c>
      <c r="F30" s="13">
        <f t="shared" si="0"/>
        <v>10307143.110000001</v>
      </c>
      <c r="G30" s="13">
        <f t="shared" si="0"/>
        <v>6653154.3999999994</v>
      </c>
      <c r="H30" s="26">
        <v>46.25</v>
      </c>
      <c r="I30" s="13">
        <v>993500</v>
      </c>
      <c r="J30" s="12">
        <v>36.5</v>
      </c>
      <c r="K30" s="13">
        <v>337000</v>
      </c>
      <c r="L30" s="13">
        <v>58000</v>
      </c>
      <c r="M30" s="13">
        <v>500000</v>
      </c>
      <c r="N30" s="13">
        <v>255000</v>
      </c>
      <c r="O30" s="13">
        <v>428000</v>
      </c>
      <c r="P30" s="12"/>
      <c r="Q30" s="45">
        <f t="shared" si="3"/>
        <v>19531797.510000002</v>
      </c>
      <c r="R30" s="13">
        <v>1361739</v>
      </c>
      <c r="S30" s="13">
        <v>2091853</v>
      </c>
      <c r="T30" s="13"/>
      <c r="U30" s="13"/>
      <c r="V30" s="13"/>
      <c r="W30" s="13">
        <v>100000</v>
      </c>
      <c r="X30" s="12">
        <v>1474900</v>
      </c>
      <c r="Y30" s="28">
        <f t="shared" si="5"/>
        <v>14503305.510000002</v>
      </c>
      <c r="Z30" s="12"/>
      <c r="AA30" s="12"/>
      <c r="AB30" s="12"/>
      <c r="AC30" s="12"/>
      <c r="AD30" s="12"/>
      <c r="AE30" s="12"/>
      <c r="AF30" s="12">
        <v>2000</v>
      </c>
      <c r="AG30" s="12"/>
      <c r="AH30" s="12"/>
      <c r="AI30" s="12"/>
      <c r="AJ30" s="12"/>
      <c r="AK30" s="12"/>
      <c r="AL30" s="43">
        <f t="shared" si="8"/>
        <v>2000</v>
      </c>
      <c r="AM30" s="12"/>
      <c r="AN30" s="12"/>
      <c r="AO30" s="12"/>
      <c r="AP30" s="12">
        <v>313600</v>
      </c>
      <c r="AQ30" s="29">
        <f t="shared" si="4"/>
        <v>14187705.510000002</v>
      </c>
      <c r="AR30" s="15">
        <v>14237700</v>
      </c>
      <c r="AS30" s="30">
        <f t="shared" si="2"/>
        <v>49994.489999998361</v>
      </c>
      <c r="AT30" s="15"/>
      <c r="AU30" s="15"/>
      <c r="AV30" s="15"/>
    </row>
    <row r="31" spans="1:50" x14ac:dyDescent="0.25">
      <c r="A31" s="25">
        <v>44893</v>
      </c>
      <c r="B31" s="46">
        <v>1840.48</v>
      </c>
      <c r="C31" s="46">
        <v>5983.44</v>
      </c>
      <c r="D31" s="47">
        <v>5599</v>
      </c>
      <c r="E31" s="47">
        <v>5680</v>
      </c>
      <c r="F31" s="13">
        <f t="shared" si="0"/>
        <v>10304847.52</v>
      </c>
      <c r="G31" s="13">
        <f t="shared" si="0"/>
        <v>33985939.199999996</v>
      </c>
      <c r="H31" s="26">
        <v>119.25</v>
      </c>
      <c r="I31" s="13">
        <v>2683000</v>
      </c>
      <c r="J31" s="12">
        <v>9</v>
      </c>
      <c r="K31" s="13">
        <v>84000</v>
      </c>
      <c r="L31" s="13">
        <v>60000</v>
      </c>
      <c r="M31" s="13"/>
      <c r="N31" s="13"/>
      <c r="O31" s="13">
        <v>250000</v>
      </c>
      <c r="P31" s="12">
        <v>16000</v>
      </c>
      <c r="Q31" s="45">
        <f t="shared" si="3"/>
        <v>47383786.719999999</v>
      </c>
      <c r="R31" s="13">
        <v>604551</v>
      </c>
      <c r="S31" s="13">
        <v>26465270</v>
      </c>
      <c r="T31" s="13"/>
      <c r="U31" s="13"/>
      <c r="V31" s="13"/>
      <c r="W31" s="13"/>
      <c r="X31" s="12">
        <v>5004000</v>
      </c>
      <c r="Y31" s="28">
        <f t="shared" si="5"/>
        <v>15309965.719999999</v>
      </c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43">
        <f t="shared" si="8"/>
        <v>0</v>
      </c>
      <c r="AM31" s="12"/>
      <c r="AN31" s="12"/>
      <c r="AO31" s="12"/>
      <c r="AP31" s="12">
        <v>772000</v>
      </c>
      <c r="AQ31" s="29">
        <f t="shared" si="4"/>
        <v>14537965.719999999</v>
      </c>
      <c r="AR31" s="15">
        <v>14538000</v>
      </c>
      <c r="AS31" s="30">
        <f t="shared" si="2"/>
        <v>34.280000001192093</v>
      </c>
      <c r="AT31" s="15"/>
      <c r="AU31" s="15"/>
      <c r="AV31" s="15"/>
    </row>
    <row r="32" spans="1:50" x14ac:dyDescent="0.25">
      <c r="A32" s="25">
        <v>44894</v>
      </c>
      <c r="B32" s="46">
        <v>1431.63</v>
      </c>
      <c r="C32" s="46">
        <v>2063.81</v>
      </c>
      <c r="D32" s="47">
        <v>5599</v>
      </c>
      <c r="E32" s="47">
        <v>5680</v>
      </c>
      <c r="F32" s="13">
        <f t="shared" si="0"/>
        <v>8015696.370000001</v>
      </c>
      <c r="G32" s="13">
        <f t="shared" si="0"/>
        <v>11722440.799999999</v>
      </c>
      <c r="H32" s="26">
        <v>54.25</v>
      </c>
      <c r="I32" s="13">
        <v>1166500</v>
      </c>
      <c r="J32" s="12">
        <v>76.5</v>
      </c>
      <c r="K32" s="13">
        <v>703000</v>
      </c>
      <c r="L32" s="13">
        <v>115000</v>
      </c>
      <c r="M32" s="13"/>
      <c r="N32" s="13">
        <v>610500</v>
      </c>
      <c r="O32" s="13">
        <v>3024000</v>
      </c>
      <c r="P32" s="12">
        <v>8000</v>
      </c>
      <c r="Q32" s="45">
        <f t="shared" si="3"/>
        <v>25365137.170000002</v>
      </c>
      <c r="R32" s="13">
        <v>664321</v>
      </c>
      <c r="S32" s="13">
        <v>8373679</v>
      </c>
      <c r="T32" s="13"/>
      <c r="U32" s="13"/>
      <c r="V32" s="13"/>
      <c r="W32" s="13"/>
      <c r="X32" s="12">
        <v>952090</v>
      </c>
      <c r="Y32" s="28">
        <f t="shared" si="5"/>
        <v>15375047.170000002</v>
      </c>
      <c r="Z32" s="12">
        <v>1097300</v>
      </c>
      <c r="AA32" s="12"/>
      <c r="AB32" s="12"/>
      <c r="AC32" s="12"/>
      <c r="AD32" s="12"/>
      <c r="AE32" s="12"/>
      <c r="AF32" s="12">
        <v>2000</v>
      </c>
      <c r="AG32" s="12"/>
      <c r="AH32" s="12"/>
      <c r="AI32" s="12"/>
      <c r="AJ32" s="12"/>
      <c r="AK32" s="12"/>
      <c r="AL32" s="43">
        <f t="shared" si="8"/>
        <v>1099300</v>
      </c>
      <c r="AM32" s="12"/>
      <c r="AN32" s="12"/>
      <c r="AO32" s="12"/>
      <c r="AP32" s="12">
        <v>626000</v>
      </c>
      <c r="AQ32" s="29">
        <f t="shared" si="4"/>
        <v>13649747.170000002</v>
      </c>
      <c r="AR32" s="15">
        <v>13652500</v>
      </c>
      <c r="AS32" s="30">
        <f t="shared" si="2"/>
        <v>2752.8299999982119</v>
      </c>
      <c r="AT32" s="15"/>
      <c r="AU32" s="15"/>
      <c r="AV32" s="15"/>
    </row>
    <row r="33" spans="1:48" x14ac:dyDescent="0.25">
      <c r="A33" s="25">
        <v>44895</v>
      </c>
      <c r="B33" s="46">
        <v>1163.79</v>
      </c>
      <c r="C33" s="46">
        <v>1839.31</v>
      </c>
      <c r="D33" s="47">
        <v>5599</v>
      </c>
      <c r="E33" s="47">
        <v>5680</v>
      </c>
      <c r="F33" s="13">
        <f t="shared" si="0"/>
        <v>6516060.21</v>
      </c>
      <c r="G33" s="13">
        <f t="shared" si="0"/>
        <v>10447280.799999999</v>
      </c>
      <c r="H33" s="26">
        <v>85.25</v>
      </c>
      <c r="I33" s="13">
        <v>1133500</v>
      </c>
      <c r="J33" s="12">
        <v>33.5</v>
      </c>
      <c r="K33" s="13">
        <v>309000</v>
      </c>
      <c r="L33" s="13">
        <v>53000</v>
      </c>
      <c r="M33" s="13">
        <v>50000</v>
      </c>
      <c r="N33" s="13">
        <v>127500</v>
      </c>
      <c r="O33" s="13">
        <v>405000</v>
      </c>
      <c r="P33" s="12">
        <v>8000</v>
      </c>
      <c r="Q33" s="45">
        <f t="shared" si="3"/>
        <v>19049341.009999998</v>
      </c>
      <c r="R33" s="13">
        <v>1199910</v>
      </c>
      <c r="S33" s="13">
        <v>4239033</v>
      </c>
      <c r="T33" s="13"/>
      <c r="U33" s="13"/>
      <c r="V33" s="13"/>
      <c r="W33" s="13"/>
      <c r="X33" s="12">
        <v>2936000</v>
      </c>
      <c r="Y33" s="28">
        <f t="shared" si="5"/>
        <v>10674398.009999998</v>
      </c>
      <c r="Z33" s="12"/>
      <c r="AA33" s="12"/>
      <c r="AB33" s="12">
        <v>625000</v>
      </c>
      <c r="AC33" s="12"/>
      <c r="AD33" s="12"/>
      <c r="AE33" s="12">
        <v>900000</v>
      </c>
      <c r="AF33" s="12">
        <v>30000</v>
      </c>
      <c r="AG33" s="12"/>
      <c r="AH33" s="12"/>
      <c r="AI33" s="12"/>
      <c r="AJ33" s="12"/>
      <c r="AK33" s="12"/>
      <c r="AL33" s="43">
        <f t="shared" si="8"/>
        <v>1555000</v>
      </c>
      <c r="AM33" s="12"/>
      <c r="AN33" s="12"/>
      <c r="AO33" s="12"/>
      <c r="AP33" s="12">
        <v>358000</v>
      </c>
      <c r="AQ33" s="29">
        <f t="shared" si="4"/>
        <v>8761398.0099999979</v>
      </c>
      <c r="AR33" s="15">
        <v>8761400</v>
      </c>
      <c r="AS33" s="30">
        <f t="shared" si="2"/>
        <v>1.9900000020861626</v>
      </c>
      <c r="AT33" s="15"/>
      <c r="AU33" s="15"/>
      <c r="AV33" s="15"/>
    </row>
    <row r="34" spans="1:48" x14ac:dyDescent="0.25">
      <c r="A34" s="25" t="s">
        <v>57</v>
      </c>
      <c r="B34" s="46"/>
      <c r="C34" s="46"/>
      <c r="D34" s="47"/>
      <c r="E34" s="47"/>
      <c r="F34" s="13">
        <f t="shared" si="0"/>
        <v>0</v>
      </c>
      <c r="G34" s="13">
        <f t="shared" si="0"/>
        <v>0</v>
      </c>
      <c r="H34" s="26"/>
      <c r="I34" s="13"/>
      <c r="J34" s="12"/>
      <c r="K34" s="13"/>
      <c r="L34" s="13"/>
      <c r="M34" s="13"/>
      <c r="N34" s="13"/>
      <c r="O34" s="13"/>
      <c r="P34" s="12"/>
      <c r="Q34" s="45">
        <f t="shared" si="3"/>
        <v>0</v>
      </c>
      <c r="R34" s="13"/>
      <c r="S34" s="13"/>
      <c r="T34" s="13"/>
      <c r="U34" s="13"/>
      <c r="V34" s="13"/>
      <c r="W34" s="13"/>
      <c r="X34" s="12"/>
      <c r="Y34" s="28">
        <f t="shared" si="5"/>
        <v>0</v>
      </c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43">
        <f t="shared" si="8"/>
        <v>0</v>
      </c>
      <c r="AM34" s="12"/>
      <c r="AN34" s="12"/>
      <c r="AO34" s="12"/>
      <c r="AP34" s="12"/>
      <c r="AQ34" s="29">
        <f t="shared" si="4"/>
        <v>0</v>
      </c>
      <c r="AR34" s="15"/>
      <c r="AS34" s="30">
        <f t="shared" si="2"/>
        <v>0</v>
      </c>
      <c r="AT34" s="15"/>
      <c r="AU34" s="15"/>
      <c r="AV34" s="15"/>
    </row>
    <row r="35" spans="1:48" x14ac:dyDescent="0.25">
      <c r="A35" s="15"/>
      <c r="B35" s="37"/>
      <c r="C35" s="37"/>
      <c r="D35" s="38"/>
      <c r="E35" s="38"/>
      <c r="F35" s="39"/>
      <c r="G35" s="39"/>
      <c r="H35" s="39"/>
      <c r="I35" s="13"/>
      <c r="J35" s="15"/>
      <c r="K35" s="38"/>
      <c r="L35" s="38"/>
      <c r="M35" s="38"/>
      <c r="N35" s="38"/>
      <c r="O35" s="38"/>
      <c r="P35" s="15"/>
      <c r="Q35" s="40"/>
      <c r="R35" s="38"/>
      <c r="S35" s="38"/>
      <c r="T35" s="38"/>
      <c r="U35" s="38"/>
      <c r="V35" s="38"/>
      <c r="W35" s="38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41">
        <f>SUM(AL4:AL34)</f>
        <v>5574770</v>
      </c>
      <c r="AM35" s="15"/>
      <c r="AN35" s="15"/>
      <c r="AO35" s="15"/>
      <c r="AP35" s="15"/>
      <c r="AQ35" s="15"/>
      <c r="AR35" s="15"/>
      <c r="AS35" s="30">
        <f>SUM(AS4:AS19)</f>
        <v>31716.640000004321</v>
      </c>
      <c r="AT35" s="15"/>
      <c r="AU35" s="15"/>
      <c r="AV35" s="15"/>
    </row>
    <row r="36" spans="1:48" x14ac:dyDescent="0.25">
      <c r="A36" s="15"/>
      <c r="B36" s="37"/>
      <c r="C36" s="37"/>
      <c r="D36" s="38"/>
      <c r="E36" s="38"/>
      <c r="F36" s="39"/>
      <c r="G36" s="39"/>
      <c r="H36" s="52"/>
      <c r="I36" s="54"/>
      <c r="J36" s="53"/>
      <c r="K36" s="38"/>
      <c r="L36" s="38"/>
      <c r="M36" s="38"/>
      <c r="N36" s="38"/>
      <c r="O36" s="38"/>
      <c r="P36" s="15"/>
      <c r="Q36" s="40"/>
      <c r="R36" s="38"/>
      <c r="S36" s="38"/>
      <c r="T36" s="38"/>
      <c r="U36" s="38"/>
      <c r="V36" s="38"/>
      <c r="W36" s="38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41"/>
      <c r="AM36" s="15"/>
      <c r="AN36" s="15"/>
      <c r="AO36" s="15"/>
      <c r="AP36" s="15"/>
      <c r="AQ36" s="15"/>
      <c r="AR36" s="15"/>
      <c r="AS36" s="15"/>
      <c r="AT36" s="15"/>
      <c r="AU36" s="15"/>
      <c r="AV36" s="15"/>
    </row>
    <row r="37" spans="1:48" x14ac:dyDescent="0.25">
      <c r="A37" s="15"/>
      <c r="B37" s="37"/>
      <c r="C37" s="37"/>
      <c r="D37" s="38"/>
      <c r="E37" s="38"/>
      <c r="F37" s="39"/>
      <c r="G37" s="39"/>
      <c r="H37" s="39"/>
      <c r="I37" s="38"/>
      <c r="J37" s="15"/>
      <c r="K37" s="38"/>
      <c r="L37" s="38"/>
      <c r="M37" s="38"/>
      <c r="N37" s="38"/>
      <c r="O37" s="38"/>
      <c r="P37" s="15"/>
      <c r="Q37" s="40"/>
      <c r="R37" s="38"/>
      <c r="S37" s="38"/>
      <c r="T37" s="38"/>
      <c r="U37" s="38"/>
      <c r="V37" s="38"/>
      <c r="W37" s="38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41"/>
      <c r="AM37" s="15"/>
      <c r="AN37" s="15"/>
      <c r="AO37" s="15"/>
      <c r="AP37" s="15"/>
      <c r="AQ37" s="15"/>
      <c r="AR37" s="15"/>
      <c r="AS37" s="15"/>
      <c r="AT37" s="15"/>
      <c r="AU37" s="15"/>
      <c r="AV37" s="15"/>
    </row>
    <row r="38" spans="1:48" x14ac:dyDescent="0.25">
      <c r="A38" s="15"/>
      <c r="B38" s="37"/>
      <c r="C38" s="37"/>
      <c r="D38" s="38"/>
      <c r="E38" s="38"/>
      <c r="F38" s="39"/>
      <c r="G38" s="39"/>
      <c r="H38" s="39"/>
      <c r="I38" s="38"/>
      <c r="J38" s="15"/>
      <c r="K38" s="38"/>
      <c r="L38" s="38"/>
      <c r="M38" s="38"/>
      <c r="N38" s="38"/>
      <c r="O38" s="38"/>
      <c r="P38" s="15"/>
      <c r="Q38" s="40"/>
      <c r="R38" s="38"/>
      <c r="S38" s="38"/>
      <c r="T38" s="38"/>
      <c r="U38" s="38"/>
      <c r="V38" s="38"/>
      <c r="W38" s="38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41"/>
      <c r="AM38" s="15"/>
      <c r="AN38" s="15"/>
      <c r="AO38" s="15"/>
      <c r="AP38" s="15"/>
      <c r="AQ38" s="15"/>
      <c r="AR38" s="15"/>
      <c r="AS38" s="15"/>
      <c r="AT38" s="15"/>
      <c r="AU38" s="15"/>
      <c r="AV38" s="15"/>
    </row>
    <row r="39" spans="1:48" x14ac:dyDescent="0.25">
      <c r="A39" s="15"/>
      <c r="B39" s="37"/>
      <c r="C39" s="37"/>
      <c r="D39" s="38"/>
      <c r="E39" s="38"/>
      <c r="F39" s="39"/>
      <c r="G39" s="39"/>
      <c r="H39" s="39"/>
      <c r="I39" s="38"/>
      <c r="J39" s="15"/>
      <c r="K39" s="38"/>
      <c r="L39" s="38"/>
      <c r="M39" s="38"/>
      <c r="N39" s="38"/>
      <c r="O39" s="38"/>
      <c r="P39" s="15"/>
      <c r="Q39" s="40"/>
      <c r="R39" s="38"/>
      <c r="S39" s="38"/>
      <c r="T39" s="38"/>
      <c r="U39" s="38"/>
      <c r="V39" s="38"/>
      <c r="W39" s="38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41"/>
      <c r="AM39" s="15"/>
      <c r="AN39" s="15"/>
      <c r="AO39" s="15"/>
      <c r="AP39" s="15"/>
      <c r="AQ39" s="15"/>
      <c r="AR39" s="15"/>
      <c r="AS39" s="15"/>
      <c r="AT39" s="15"/>
      <c r="AU39" s="15"/>
      <c r="AV39" s="15"/>
    </row>
    <row r="40" spans="1:48" x14ac:dyDescent="0.25">
      <c r="A40" s="15"/>
      <c r="B40" s="37"/>
      <c r="C40" s="37"/>
      <c r="D40" s="38"/>
      <c r="E40" s="38"/>
      <c r="F40" s="39"/>
      <c r="G40" s="39"/>
      <c r="H40" s="39"/>
      <c r="I40" s="38"/>
      <c r="J40" s="15"/>
      <c r="K40" s="38"/>
      <c r="L40" s="38"/>
      <c r="M40" s="38"/>
      <c r="N40" s="38"/>
      <c r="O40" s="38"/>
      <c r="P40" s="15"/>
      <c r="Q40" s="40"/>
      <c r="R40" s="38"/>
      <c r="S40" s="38"/>
      <c r="T40" s="38"/>
      <c r="U40" s="38"/>
      <c r="V40" s="38"/>
      <c r="W40" s="38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41"/>
      <c r="AM40" s="15"/>
      <c r="AN40" s="15"/>
      <c r="AO40" s="15"/>
      <c r="AP40" s="15"/>
      <c r="AQ40" s="15"/>
      <c r="AR40" s="15"/>
      <c r="AS40" s="15"/>
      <c r="AT40" s="15"/>
      <c r="AU40" s="15"/>
      <c r="AV40" s="15"/>
    </row>
    <row r="41" spans="1:48" x14ac:dyDescent="0.25">
      <c r="A41" s="15"/>
      <c r="B41" s="37"/>
      <c r="C41" s="37"/>
      <c r="D41" s="38"/>
      <c r="E41" s="38"/>
      <c r="F41" s="39"/>
      <c r="G41" s="39"/>
      <c r="H41" s="39"/>
      <c r="I41" s="38"/>
      <c r="J41" s="15"/>
      <c r="K41" s="38"/>
      <c r="L41" s="38"/>
      <c r="M41" s="38"/>
      <c r="N41" s="38"/>
      <c r="O41" s="38"/>
      <c r="P41" s="15"/>
      <c r="Q41" s="40"/>
      <c r="R41" s="38"/>
      <c r="S41" s="38"/>
      <c r="T41" s="38"/>
      <c r="U41" s="38"/>
      <c r="V41" s="38"/>
      <c r="W41" s="38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41"/>
      <c r="AM41" s="15"/>
      <c r="AN41" s="15"/>
      <c r="AO41" s="15"/>
      <c r="AP41" s="15"/>
      <c r="AQ41" s="15"/>
      <c r="AR41" s="15"/>
      <c r="AS41" s="15"/>
      <c r="AT41" s="15"/>
      <c r="AU41" s="15"/>
      <c r="AV41" s="15"/>
    </row>
    <row r="42" spans="1:48" x14ac:dyDescent="0.25">
      <c r="A42" s="15"/>
      <c r="B42" s="37"/>
      <c r="C42" s="37"/>
      <c r="D42" s="38"/>
      <c r="E42" s="38"/>
      <c r="F42" s="39"/>
      <c r="G42" s="39"/>
      <c r="H42" s="39"/>
      <c r="I42" s="38"/>
      <c r="J42" s="15"/>
      <c r="K42" s="38"/>
      <c r="L42" s="38"/>
      <c r="M42" s="38"/>
      <c r="N42" s="38"/>
      <c r="O42" s="38"/>
      <c r="P42" s="15"/>
      <c r="Q42" s="40"/>
      <c r="R42" s="38"/>
      <c r="S42" s="38"/>
      <c r="T42" s="38"/>
      <c r="U42" s="38"/>
      <c r="V42" s="38"/>
      <c r="W42" s="38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41"/>
      <c r="AM42" s="15"/>
      <c r="AN42" s="15"/>
      <c r="AO42" s="15"/>
      <c r="AP42" s="15"/>
      <c r="AQ42" s="15"/>
      <c r="AR42" s="15"/>
      <c r="AS42" s="15"/>
      <c r="AT42" s="15"/>
      <c r="AU42" s="15"/>
      <c r="AV42" s="15"/>
    </row>
    <row r="43" spans="1:48" x14ac:dyDescent="0.25">
      <c r="A43" s="15"/>
      <c r="B43" s="37"/>
      <c r="C43" s="37"/>
      <c r="D43" s="38"/>
      <c r="E43" s="38"/>
      <c r="F43" s="39"/>
      <c r="G43" s="39"/>
      <c r="H43" s="39"/>
      <c r="I43" s="38"/>
      <c r="J43" s="15"/>
      <c r="K43" s="38"/>
      <c r="L43" s="38"/>
      <c r="M43" s="38"/>
      <c r="N43" s="38"/>
      <c r="O43" s="38"/>
      <c r="P43" s="15"/>
      <c r="Q43" s="40"/>
      <c r="R43" s="38"/>
      <c r="S43" s="38"/>
      <c r="T43" s="38"/>
      <c r="U43" s="38"/>
      <c r="V43" s="38"/>
      <c r="W43" s="38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41"/>
      <c r="AM43" s="15"/>
      <c r="AN43" s="15"/>
      <c r="AO43" s="15"/>
      <c r="AP43" s="15"/>
      <c r="AQ43" s="15"/>
      <c r="AR43" s="15"/>
      <c r="AS43" s="15"/>
      <c r="AT43" s="15"/>
      <c r="AU43" s="15"/>
      <c r="AV43" s="15"/>
    </row>
    <row r="44" spans="1:48" x14ac:dyDescent="0.25">
      <c r="A44" s="15"/>
      <c r="B44" s="37"/>
      <c r="C44" s="37"/>
      <c r="D44" s="38"/>
      <c r="E44" s="38"/>
      <c r="F44" s="39"/>
      <c r="G44" s="39"/>
      <c r="H44" s="39"/>
      <c r="I44" s="38"/>
      <c r="J44" s="15"/>
      <c r="K44" s="38"/>
      <c r="L44" s="38"/>
      <c r="M44" s="38"/>
      <c r="N44" s="38"/>
      <c r="O44" s="38"/>
      <c r="P44" s="15"/>
      <c r="Q44" s="40"/>
      <c r="R44" s="38"/>
      <c r="S44" s="38"/>
      <c r="T44" s="38"/>
      <c r="U44" s="38"/>
      <c r="V44" s="38"/>
      <c r="W44" s="38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41"/>
      <c r="AM44" s="15"/>
      <c r="AN44" s="15"/>
      <c r="AO44" s="15"/>
      <c r="AP44" s="15"/>
      <c r="AQ44" s="15"/>
      <c r="AR44" s="15"/>
      <c r="AS44" s="15"/>
      <c r="AT44" s="15"/>
      <c r="AU44" s="15"/>
      <c r="AV44" s="15"/>
    </row>
    <row r="45" spans="1:48" x14ac:dyDescent="0.25">
      <c r="A45" s="15"/>
      <c r="B45" s="37"/>
      <c r="C45" s="37"/>
      <c r="D45" s="38"/>
      <c r="E45" s="38"/>
      <c r="F45" s="39"/>
      <c r="G45" s="39"/>
      <c r="H45" s="39"/>
      <c r="I45" s="38"/>
      <c r="J45" s="15"/>
      <c r="K45" s="38"/>
      <c r="L45" s="38"/>
      <c r="M45" s="38"/>
      <c r="N45" s="38"/>
      <c r="O45" s="38"/>
      <c r="P45" s="15"/>
      <c r="Q45" s="40"/>
      <c r="R45" s="38"/>
      <c r="S45" s="38"/>
      <c r="T45" s="38"/>
      <c r="U45" s="38"/>
      <c r="V45" s="38"/>
      <c r="W45" s="38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41"/>
      <c r="AM45" s="15"/>
      <c r="AN45" s="15"/>
      <c r="AO45" s="15"/>
      <c r="AP45" s="15"/>
      <c r="AQ45" s="15"/>
      <c r="AR45" s="15"/>
      <c r="AS45" s="15"/>
      <c r="AT45" s="15"/>
      <c r="AU45" s="15"/>
      <c r="AV45" s="15"/>
    </row>
    <row r="46" spans="1:48" x14ac:dyDescent="0.25">
      <c r="A46" s="15"/>
      <c r="B46" s="37"/>
      <c r="C46" s="37"/>
      <c r="D46" s="38"/>
      <c r="E46" s="38"/>
      <c r="F46" s="39"/>
      <c r="G46" s="39"/>
      <c r="H46" s="39"/>
      <c r="I46" s="38"/>
      <c r="J46" s="15"/>
      <c r="K46" s="38"/>
      <c r="L46" s="38"/>
      <c r="M46" s="38"/>
      <c r="N46" s="38"/>
      <c r="O46" s="38"/>
      <c r="P46" s="15"/>
      <c r="Q46" s="40"/>
      <c r="R46" s="38"/>
      <c r="S46" s="38"/>
      <c r="T46" s="38"/>
      <c r="U46" s="38"/>
      <c r="V46" s="38"/>
      <c r="W46" s="38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41"/>
      <c r="AM46" s="15"/>
      <c r="AN46" s="15"/>
      <c r="AO46" s="15"/>
      <c r="AP46" s="15"/>
      <c r="AQ46" s="15"/>
      <c r="AR46" s="15"/>
      <c r="AS46" s="15"/>
      <c r="AT46" s="15"/>
      <c r="AU46" s="15"/>
      <c r="AV46" s="15"/>
    </row>
    <row r="47" spans="1:48" x14ac:dyDescent="0.25">
      <c r="A47" s="15"/>
      <c r="B47" s="37"/>
      <c r="C47" s="37"/>
      <c r="D47" s="38"/>
      <c r="E47" s="38"/>
      <c r="F47" s="39"/>
      <c r="G47" s="39"/>
      <c r="H47" s="39"/>
      <c r="I47" s="38"/>
      <c r="J47" s="15"/>
      <c r="K47" s="38"/>
      <c r="L47" s="38"/>
      <c r="M47" s="38"/>
      <c r="N47" s="38"/>
      <c r="O47" s="38"/>
      <c r="P47" s="15"/>
      <c r="Q47" s="40"/>
      <c r="R47" s="38"/>
      <c r="S47" s="38"/>
      <c r="T47" s="38"/>
      <c r="U47" s="38"/>
      <c r="V47" s="38"/>
      <c r="W47" s="38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41"/>
      <c r="AM47" s="15"/>
      <c r="AN47" s="15"/>
      <c r="AO47" s="15"/>
      <c r="AP47" s="15"/>
      <c r="AQ47" s="15"/>
      <c r="AR47" s="15"/>
      <c r="AS47" s="15"/>
      <c r="AT47" s="15"/>
      <c r="AU47" s="15"/>
      <c r="AV47" s="15"/>
    </row>
    <row r="48" spans="1:48" x14ac:dyDescent="0.25">
      <c r="A48" s="15"/>
      <c r="B48" s="37"/>
      <c r="C48" s="37"/>
      <c r="D48" s="38"/>
      <c r="E48" s="38"/>
      <c r="F48" s="39"/>
      <c r="G48" s="39"/>
      <c r="H48" s="39"/>
      <c r="I48" s="38"/>
      <c r="J48" s="15"/>
      <c r="K48" s="38"/>
      <c r="L48" s="38"/>
      <c r="M48" s="38"/>
      <c r="N48" s="38"/>
      <c r="O48" s="38"/>
      <c r="P48" s="15"/>
      <c r="Q48" s="40"/>
      <c r="R48" s="38"/>
      <c r="S48" s="38"/>
      <c r="T48" s="38"/>
      <c r="U48" s="38"/>
      <c r="V48" s="38"/>
      <c r="W48" s="38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41"/>
      <c r="AM48" s="15"/>
      <c r="AN48" s="15"/>
      <c r="AO48" s="15"/>
      <c r="AP48" s="15"/>
      <c r="AQ48" s="15"/>
      <c r="AR48" s="15"/>
      <c r="AS48" s="15"/>
      <c r="AT48" s="15"/>
      <c r="AU48" s="15"/>
      <c r="AV48" s="15"/>
    </row>
    <row r="49" spans="1:48" x14ac:dyDescent="0.25">
      <c r="A49" s="15"/>
      <c r="B49" s="37"/>
      <c r="C49" s="37"/>
      <c r="D49" s="38"/>
      <c r="E49" s="38"/>
      <c r="F49" s="39"/>
      <c r="G49" s="39"/>
      <c r="H49" s="39"/>
      <c r="I49" s="38"/>
      <c r="J49" s="15"/>
      <c r="K49" s="38"/>
      <c r="L49" s="38"/>
      <c r="M49" s="38"/>
      <c r="N49" s="38"/>
      <c r="O49" s="38"/>
      <c r="P49" s="15"/>
      <c r="Q49" s="40"/>
      <c r="R49" s="38"/>
      <c r="S49" s="38"/>
      <c r="T49" s="38"/>
      <c r="U49" s="38"/>
      <c r="V49" s="38"/>
      <c r="W49" s="38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41"/>
      <c r="AM49" s="15"/>
      <c r="AN49" s="15"/>
      <c r="AO49" s="15"/>
      <c r="AP49" s="15"/>
      <c r="AQ49" s="15"/>
      <c r="AR49" s="15"/>
      <c r="AS49" s="15"/>
      <c r="AT49" s="15"/>
      <c r="AU49" s="15"/>
      <c r="AV49" s="15"/>
    </row>
    <row r="50" spans="1:48" x14ac:dyDescent="0.25">
      <c r="A50" s="15"/>
      <c r="B50" s="37"/>
      <c r="C50" s="37"/>
      <c r="D50" s="38"/>
      <c r="E50" s="38"/>
      <c r="F50" s="39"/>
      <c r="G50" s="39"/>
      <c r="H50" s="39"/>
      <c r="I50" s="38"/>
      <c r="J50" s="15"/>
      <c r="K50" s="38"/>
      <c r="L50" s="38"/>
      <c r="M50" s="38"/>
      <c r="N50" s="38"/>
      <c r="O50" s="38"/>
      <c r="P50" s="15"/>
      <c r="Q50" s="40"/>
      <c r="R50" s="38"/>
      <c r="S50" s="38"/>
      <c r="T50" s="38"/>
      <c r="U50" s="38"/>
      <c r="V50" s="38"/>
      <c r="W50" s="38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41"/>
      <c r="AM50" s="15"/>
      <c r="AN50" s="15"/>
      <c r="AO50" s="15"/>
      <c r="AP50" s="15"/>
      <c r="AQ50" s="15"/>
      <c r="AR50" s="15"/>
      <c r="AS50" s="15"/>
      <c r="AT50" s="15"/>
      <c r="AU50" s="15"/>
      <c r="AV50" s="15"/>
    </row>
    <row r="51" spans="1:48" x14ac:dyDescent="0.25">
      <c r="A51" s="15"/>
      <c r="B51" s="37"/>
      <c r="C51" s="37"/>
      <c r="D51" s="38"/>
      <c r="E51" s="38"/>
      <c r="F51" s="39"/>
      <c r="G51" s="39"/>
      <c r="H51" s="39"/>
      <c r="I51" s="38"/>
      <c r="J51" s="15"/>
      <c r="K51" s="38"/>
      <c r="L51" s="38"/>
      <c r="M51" s="38"/>
      <c r="N51" s="38"/>
      <c r="O51" s="38"/>
      <c r="P51" s="15"/>
      <c r="Q51" s="40"/>
      <c r="R51" s="38"/>
      <c r="S51" s="38"/>
      <c r="T51" s="38"/>
      <c r="U51" s="38"/>
      <c r="V51" s="38"/>
      <c r="W51" s="38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41"/>
      <c r="AM51" s="15"/>
      <c r="AN51" s="15"/>
      <c r="AO51" s="15"/>
      <c r="AP51" s="15"/>
      <c r="AQ51" s="15"/>
      <c r="AR51" s="15"/>
      <c r="AS51" s="15"/>
      <c r="AT51" s="15"/>
      <c r="AU51" s="15"/>
      <c r="AV51" s="15"/>
    </row>
    <row r="52" spans="1:48" x14ac:dyDescent="0.25">
      <c r="A52" s="15"/>
      <c r="B52" s="37"/>
      <c r="C52" s="37"/>
      <c r="D52" s="38"/>
      <c r="E52" s="38"/>
      <c r="F52" s="39"/>
      <c r="G52" s="39"/>
      <c r="H52" s="39"/>
      <c r="I52" s="38"/>
      <c r="J52" s="15"/>
      <c r="K52" s="38"/>
      <c r="L52" s="38"/>
      <c r="M52" s="38"/>
      <c r="N52" s="38"/>
      <c r="O52" s="38"/>
      <c r="P52" s="15"/>
      <c r="Q52" s="40"/>
      <c r="R52" s="38"/>
      <c r="S52" s="38"/>
      <c r="T52" s="38"/>
      <c r="U52" s="38"/>
      <c r="V52" s="38"/>
      <c r="W52" s="38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41"/>
      <c r="AM52" s="15"/>
      <c r="AN52" s="15"/>
      <c r="AO52" s="15"/>
      <c r="AP52" s="15"/>
      <c r="AQ52" s="15"/>
      <c r="AR52" s="15"/>
      <c r="AS52" s="15"/>
      <c r="AT52" s="15"/>
      <c r="AU52" s="15"/>
      <c r="AV52" s="15"/>
    </row>
    <row r="53" spans="1:48" x14ac:dyDescent="0.25">
      <c r="A53" s="15"/>
      <c r="B53" s="37"/>
      <c r="C53" s="37"/>
      <c r="D53" s="38"/>
      <c r="E53" s="38"/>
      <c r="F53" s="39"/>
      <c r="G53" s="39"/>
      <c r="H53" s="39"/>
      <c r="I53" s="38"/>
      <c r="J53" s="15"/>
      <c r="K53" s="38"/>
      <c r="L53" s="38"/>
      <c r="M53" s="38"/>
      <c r="N53" s="38"/>
      <c r="O53" s="38"/>
      <c r="P53" s="15"/>
      <c r="Q53" s="40"/>
      <c r="R53" s="38"/>
      <c r="S53" s="38"/>
      <c r="T53" s="38"/>
      <c r="U53" s="38"/>
      <c r="V53" s="38"/>
      <c r="W53" s="38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41"/>
      <c r="AM53" s="15"/>
      <c r="AN53" s="15"/>
      <c r="AO53" s="15"/>
      <c r="AP53" s="15"/>
      <c r="AQ53" s="15"/>
      <c r="AR53" s="15"/>
      <c r="AS53" s="15"/>
      <c r="AT53" s="15"/>
      <c r="AU53" s="15"/>
      <c r="AV53" s="15"/>
    </row>
    <row r="54" spans="1:48" x14ac:dyDescent="0.25">
      <c r="A54" s="15"/>
      <c r="B54" s="37"/>
      <c r="C54" s="37"/>
      <c r="D54" s="38"/>
      <c r="E54" s="38"/>
      <c r="F54" s="39"/>
      <c r="G54" s="39"/>
      <c r="H54" s="39"/>
      <c r="I54" s="38"/>
      <c r="J54" s="15"/>
      <c r="K54" s="38"/>
      <c r="L54" s="38"/>
      <c r="M54" s="38"/>
      <c r="N54" s="38"/>
      <c r="O54" s="38"/>
      <c r="P54" s="15"/>
      <c r="Q54" s="40"/>
      <c r="R54" s="38"/>
      <c r="S54" s="38"/>
      <c r="T54" s="38"/>
      <c r="U54" s="38"/>
      <c r="V54" s="38"/>
      <c r="W54" s="38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41"/>
      <c r="AM54" s="15"/>
      <c r="AN54" s="15"/>
      <c r="AO54" s="15"/>
      <c r="AP54" s="15"/>
      <c r="AQ54" s="15"/>
      <c r="AR54" s="15"/>
      <c r="AS54" s="15"/>
      <c r="AT54" s="15"/>
      <c r="AU54" s="15"/>
      <c r="AV54" s="15"/>
    </row>
    <row r="55" spans="1:48" x14ac:dyDescent="0.25">
      <c r="A55" s="15"/>
      <c r="B55" s="37"/>
      <c r="C55" s="37"/>
      <c r="D55" s="38"/>
      <c r="E55" s="38"/>
      <c r="F55" s="39"/>
      <c r="G55" s="39"/>
      <c r="H55" s="39"/>
      <c r="I55" s="38"/>
      <c r="J55" s="15"/>
      <c r="K55" s="38"/>
      <c r="L55" s="38"/>
      <c r="M55" s="38"/>
      <c r="N55" s="38"/>
      <c r="O55" s="38"/>
      <c r="P55" s="15"/>
      <c r="Q55" s="40"/>
      <c r="R55" s="38"/>
      <c r="S55" s="38"/>
      <c r="T55" s="38"/>
      <c r="U55" s="38"/>
      <c r="V55" s="38"/>
      <c r="W55" s="38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41"/>
      <c r="AM55" s="15"/>
      <c r="AN55" s="15"/>
      <c r="AO55" s="15"/>
      <c r="AP55" s="15"/>
      <c r="AQ55" s="15"/>
      <c r="AR55" s="15"/>
      <c r="AS55" s="15"/>
      <c r="AT55" s="15"/>
      <c r="AU55" s="15"/>
      <c r="AV55" s="15"/>
    </row>
    <row r="56" spans="1:48" x14ac:dyDescent="0.25">
      <c r="A56" s="15"/>
      <c r="B56" s="37"/>
      <c r="C56" s="37"/>
      <c r="D56" s="38"/>
      <c r="E56" s="38"/>
      <c r="F56" s="39"/>
      <c r="G56" s="39"/>
      <c r="H56" s="39"/>
      <c r="I56" s="38"/>
      <c r="J56" s="15"/>
      <c r="K56" s="38"/>
      <c r="L56" s="38"/>
      <c r="M56" s="38"/>
      <c r="N56" s="38"/>
      <c r="O56" s="38"/>
      <c r="P56" s="15"/>
      <c r="Q56" s="40"/>
      <c r="R56" s="38"/>
      <c r="S56" s="38"/>
      <c r="T56" s="38"/>
      <c r="U56" s="38"/>
      <c r="V56" s="38"/>
      <c r="W56" s="38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41"/>
      <c r="AM56" s="15"/>
      <c r="AN56" s="15"/>
      <c r="AO56" s="15"/>
      <c r="AP56" s="15"/>
      <c r="AQ56" s="15"/>
      <c r="AR56" s="15"/>
      <c r="AS56" s="15"/>
      <c r="AT56" s="15"/>
      <c r="AU56" s="15"/>
      <c r="AV56" s="15"/>
    </row>
    <row r="57" spans="1:48" x14ac:dyDescent="0.25">
      <c r="A57" s="15"/>
      <c r="B57" s="37"/>
      <c r="C57" s="37"/>
      <c r="D57" s="38"/>
      <c r="E57" s="38"/>
      <c r="F57" s="39"/>
      <c r="G57" s="39"/>
      <c r="H57" s="39"/>
      <c r="I57" s="38"/>
      <c r="J57" s="15"/>
      <c r="K57" s="38"/>
      <c r="L57" s="38"/>
      <c r="M57" s="38"/>
      <c r="N57" s="38"/>
      <c r="O57" s="38"/>
      <c r="P57" s="15"/>
      <c r="Q57" s="40"/>
      <c r="R57" s="38"/>
      <c r="S57" s="38"/>
      <c r="T57" s="38"/>
      <c r="U57" s="38"/>
      <c r="V57" s="38"/>
      <c r="W57" s="38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41"/>
      <c r="AM57" s="15"/>
      <c r="AN57" s="15"/>
      <c r="AO57" s="15"/>
      <c r="AP57" s="15"/>
      <c r="AQ57" s="15"/>
      <c r="AR57" s="15"/>
      <c r="AS57" s="15"/>
      <c r="AT57" s="15"/>
      <c r="AU57" s="15"/>
      <c r="AV57" s="15"/>
    </row>
    <row r="58" spans="1:48" x14ac:dyDescent="0.25">
      <c r="A58" s="15"/>
      <c r="B58" s="37"/>
      <c r="C58" s="37"/>
      <c r="D58" s="38"/>
      <c r="E58" s="38"/>
      <c r="F58" s="39"/>
      <c r="G58" s="39"/>
      <c r="H58" s="39"/>
      <c r="I58" s="38"/>
      <c r="J58" s="15"/>
      <c r="K58" s="38"/>
      <c r="L58" s="38"/>
      <c r="M58" s="38"/>
      <c r="N58" s="38"/>
      <c r="O58" s="38"/>
      <c r="P58" s="15"/>
      <c r="Q58" s="40"/>
      <c r="R58" s="38"/>
      <c r="S58" s="38"/>
      <c r="T58" s="38"/>
      <c r="U58" s="38"/>
      <c r="V58" s="38"/>
      <c r="W58" s="38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41"/>
      <c r="AM58" s="15"/>
      <c r="AN58" s="15"/>
      <c r="AO58" s="15"/>
      <c r="AP58" s="15"/>
      <c r="AQ58" s="15"/>
      <c r="AR58" s="15"/>
      <c r="AS58" s="15"/>
      <c r="AT58" s="15"/>
      <c r="AU58" s="15"/>
      <c r="AV58" s="15"/>
    </row>
    <row r="59" spans="1:48" x14ac:dyDescent="0.25">
      <c r="A59" s="15"/>
      <c r="B59" s="37"/>
      <c r="C59" s="37"/>
      <c r="D59" s="38"/>
      <c r="E59" s="38"/>
      <c r="F59" s="39"/>
      <c r="G59" s="39"/>
      <c r="H59" s="39"/>
      <c r="I59" s="38"/>
      <c r="J59" s="15"/>
      <c r="K59" s="38"/>
      <c r="L59" s="38"/>
      <c r="M59" s="38"/>
      <c r="N59" s="38"/>
      <c r="O59" s="38"/>
      <c r="P59" s="15"/>
      <c r="Q59" s="40"/>
      <c r="R59" s="38"/>
      <c r="S59" s="38"/>
      <c r="T59" s="38"/>
      <c r="U59" s="38"/>
      <c r="V59" s="38"/>
      <c r="W59" s="38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41"/>
      <c r="AM59" s="15"/>
      <c r="AN59" s="15"/>
      <c r="AO59" s="15"/>
      <c r="AP59" s="15"/>
      <c r="AQ59" s="15"/>
      <c r="AR59" s="15"/>
      <c r="AS59" s="15"/>
      <c r="AT59" s="15"/>
      <c r="AU59" s="15"/>
      <c r="AV59" s="15"/>
    </row>
    <row r="60" spans="1:48" x14ac:dyDescent="0.25">
      <c r="A60" s="15"/>
      <c r="B60" s="37"/>
      <c r="C60" s="37"/>
      <c r="D60" s="38"/>
      <c r="E60" s="38"/>
      <c r="F60" s="39"/>
      <c r="G60" s="39"/>
      <c r="H60" s="39"/>
      <c r="I60" s="38"/>
      <c r="J60" s="15"/>
      <c r="K60" s="38"/>
      <c r="L60" s="38"/>
      <c r="M60" s="38"/>
      <c r="N60" s="38"/>
      <c r="O60" s="38"/>
      <c r="P60" s="15"/>
      <c r="Q60" s="40"/>
      <c r="R60" s="38"/>
      <c r="S60" s="38"/>
      <c r="T60" s="38"/>
      <c r="U60" s="38"/>
      <c r="V60" s="38"/>
      <c r="W60" s="38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41"/>
      <c r="AM60" s="15"/>
      <c r="AN60" s="15"/>
      <c r="AO60" s="15"/>
      <c r="AP60" s="15"/>
      <c r="AQ60" s="15"/>
      <c r="AR60" s="15"/>
      <c r="AS60" s="15"/>
      <c r="AT60" s="15"/>
      <c r="AU60" s="15"/>
      <c r="AV60" s="15"/>
    </row>
    <row r="61" spans="1:48" x14ac:dyDescent="0.25">
      <c r="A61" s="15"/>
      <c r="B61" s="37"/>
      <c r="C61" s="37"/>
      <c r="D61" s="38"/>
      <c r="E61" s="38"/>
      <c r="F61" s="39"/>
      <c r="G61" s="39"/>
      <c r="H61" s="39"/>
      <c r="I61" s="38"/>
      <c r="J61" s="15"/>
      <c r="K61" s="38"/>
      <c r="L61" s="38"/>
      <c r="M61" s="38"/>
      <c r="N61" s="38"/>
      <c r="O61" s="38"/>
      <c r="P61" s="15"/>
      <c r="Q61" s="40"/>
      <c r="R61" s="38"/>
      <c r="S61" s="38"/>
      <c r="T61" s="38"/>
      <c r="U61" s="38"/>
      <c r="V61" s="38"/>
      <c r="W61" s="38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41"/>
      <c r="AM61" s="15"/>
      <c r="AN61" s="15"/>
      <c r="AO61" s="15"/>
      <c r="AP61" s="15"/>
      <c r="AQ61" s="15"/>
      <c r="AR61" s="15"/>
      <c r="AS61" s="15"/>
      <c r="AT61" s="15"/>
      <c r="AU61" s="15"/>
      <c r="AV61" s="15"/>
    </row>
    <row r="62" spans="1:48" x14ac:dyDescent="0.25">
      <c r="A62" s="15"/>
      <c r="B62" s="37"/>
      <c r="C62" s="37"/>
      <c r="D62" s="38"/>
      <c r="E62" s="38"/>
      <c r="F62" s="39"/>
      <c r="G62" s="39"/>
      <c r="H62" s="39"/>
      <c r="I62" s="38"/>
      <c r="J62" s="15"/>
      <c r="K62" s="38"/>
      <c r="L62" s="38"/>
      <c r="M62" s="38"/>
      <c r="N62" s="38"/>
      <c r="O62" s="38"/>
      <c r="P62" s="15"/>
      <c r="Q62" s="40"/>
      <c r="R62" s="38"/>
      <c r="S62" s="38"/>
      <c r="T62" s="38"/>
      <c r="U62" s="38"/>
      <c r="V62" s="38"/>
      <c r="W62" s="38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41"/>
      <c r="AM62" s="15"/>
      <c r="AN62" s="15"/>
      <c r="AO62" s="15"/>
      <c r="AP62" s="15"/>
      <c r="AQ62" s="15"/>
      <c r="AR62" s="15"/>
      <c r="AS62" s="15"/>
      <c r="AT62" s="15"/>
      <c r="AU62" s="15"/>
      <c r="AV62" s="15"/>
    </row>
    <row r="63" spans="1:48" x14ac:dyDescent="0.25">
      <c r="A63" s="15"/>
      <c r="B63" s="37"/>
      <c r="C63" s="37"/>
      <c r="D63" s="38"/>
      <c r="E63" s="38"/>
      <c r="F63" s="39"/>
      <c r="G63" s="39"/>
      <c r="H63" s="39"/>
      <c r="I63" s="38"/>
      <c r="J63" s="15"/>
      <c r="K63" s="38"/>
      <c r="L63" s="38"/>
      <c r="M63" s="38"/>
      <c r="N63" s="38"/>
      <c r="O63" s="38"/>
      <c r="P63" s="15"/>
      <c r="Q63" s="40"/>
      <c r="R63" s="38"/>
      <c r="S63" s="38"/>
      <c r="T63" s="38"/>
      <c r="U63" s="38"/>
      <c r="V63" s="38"/>
      <c r="W63" s="38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41"/>
      <c r="AM63" s="15"/>
      <c r="AN63" s="15"/>
      <c r="AO63" s="15"/>
      <c r="AP63" s="15"/>
      <c r="AQ63" s="15"/>
      <c r="AR63" s="15"/>
      <c r="AS63" s="15"/>
      <c r="AT63" s="15"/>
      <c r="AU63" s="15"/>
      <c r="AV63" s="15"/>
    </row>
    <row r="64" spans="1:48" x14ac:dyDescent="0.25">
      <c r="A64" s="15"/>
      <c r="B64" s="37"/>
      <c r="C64" s="37"/>
      <c r="D64" s="38"/>
      <c r="E64" s="38"/>
      <c r="F64" s="39"/>
      <c r="G64" s="39"/>
      <c r="H64" s="39"/>
      <c r="I64" s="38"/>
      <c r="J64" s="15"/>
      <c r="K64" s="38"/>
      <c r="L64" s="38"/>
      <c r="M64" s="38"/>
      <c r="N64" s="38"/>
      <c r="O64" s="38"/>
      <c r="P64" s="15"/>
      <c r="Q64" s="40"/>
      <c r="R64" s="38"/>
      <c r="S64" s="38"/>
      <c r="T64" s="38"/>
      <c r="U64" s="38"/>
      <c r="V64" s="38"/>
      <c r="W64" s="38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41"/>
      <c r="AM64" s="15"/>
      <c r="AN64" s="15"/>
      <c r="AO64" s="15"/>
      <c r="AP64" s="15"/>
      <c r="AQ64" s="15"/>
      <c r="AR64" s="15"/>
      <c r="AS64" s="15"/>
      <c r="AT64" s="15"/>
      <c r="AU64" s="15"/>
      <c r="AV64" s="15"/>
    </row>
    <row r="65" spans="1:48" x14ac:dyDescent="0.25">
      <c r="A65" s="15"/>
      <c r="B65" s="37"/>
      <c r="C65" s="37"/>
      <c r="D65" s="38"/>
      <c r="E65" s="38"/>
      <c r="F65" s="39"/>
      <c r="G65" s="39"/>
      <c r="H65" s="39"/>
      <c r="I65" s="38"/>
      <c r="J65" s="15"/>
      <c r="K65" s="38"/>
      <c r="L65" s="38"/>
      <c r="M65" s="38"/>
      <c r="N65" s="38"/>
      <c r="O65" s="38"/>
      <c r="P65" s="15"/>
      <c r="Q65" s="40"/>
      <c r="R65" s="38"/>
      <c r="S65" s="38"/>
      <c r="T65" s="38"/>
      <c r="U65" s="38"/>
      <c r="V65" s="38"/>
      <c r="W65" s="38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41"/>
      <c r="AM65" s="15"/>
      <c r="AN65" s="15"/>
      <c r="AO65" s="15"/>
      <c r="AP65" s="15"/>
      <c r="AQ65" s="15"/>
      <c r="AR65" s="15"/>
      <c r="AS65" s="15"/>
      <c r="AT65" s="15"/>
      <c r="AU65" s="15"/>
      <c r="AV65" s="15"/>
    </row>
    <row r="66" spans="1:48" x14ac:dyDescent="0.25">
      <c r="A66" s="15"/>
      <c r="B66" s="37"/>
      <c r="C66" s="37"/>
      <c r="D66" s="38"/>
      <c r="E66" s="38"/>
      <c r="F66" s="39"/>
      <c r="G66" s="39"/>
      <c r="H66" s="39"/>
      <c r="I66" s="38"/>
      <c r="J66" s="15"/>
      <c r="K66" s="38"/>
      <c r="L66" s="38"/>
      <c r="M66" s="38"/>
      <c r="N66" s="38"/>
      <c r="O66" s="38"/>
      <c r="P66" s="15"/>
      <c r="Q66" s="40"/>
      <c r="R66" s="38"/>
      <c r="S66" s="38"/>
      <c r="T66" s="38"/>
      <c r="U66" s="38"/>
      <c r="V66" s="38"/>
      <c r="W66" s="38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41"/>
      <c r="AM66" s="15"/>
      <c r="AN66" s="15"/>
      <c r="AO66" s="15"/>
      <c r="AP66" s="15"/>
      <c r="AQ66" s="15"/>
      <c r="AR66" s="15"/>
      <c r="AS66" s="15"/>
      <c r="AT66" s="15"/>
      <c r="AU66" s="15"/>
      <c r="AV66" s="15"/>
    </row>
    <row r="67" spans="1:48" x14ac:dyDescent="0.25">
      <c r="A67" s="15"/>
      <c r="B67" s="37"/>
      <c r="C67" s="37"/>
      <c r="D67" s="38"/>
      <c r="E67" s="38"/>
      <c r="F67" s="39"/>
      <c r="G67" s="39"/>
      <c r="H67" s="39"/>
      <c r="I67" s="38"/>
      <c r="J67" s="15"/>
      <c r="K67" s="38"/>
      <c r="L67" s="38"/>
      <c r="M67" s="38"/>
      <c r="N67" s="38"/>
      <c r="O67" s="38"/>
      <c r="P67" s="15"/>
      <c r="Q67" s="40"/>
      <c r="R67" s="38"/>
      <c r="S67" s="38"/>
      <c r="T67" s="38"/>
      <c r="U67" s="38"/>
      <c r="V67" s="38"/>
      <c r="W67" s="38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41"/>
      <c r="AM67" s="15"/>
      <c r="AN67" s="15"/>
      <c r="AO67" s="15"/>
      <c r="AP67" s="15"/>
      <c r="AQ67" s="15"/>
      <c r="AR67" s="15"/>
      <c r="AS67" s="15"/>
      <c r="AT67" s="15"/>
      <c r="AU67" s="15"/>
      <c r="AV67" s="15"/>
    </row>
    <row r="68" spans="1:48" x14ac:dyDescent="0.25">
      <c r="A68" s="15"/>
      <c r="B68" s="37"/>
      <c r="C68" s="37"/>
      <c r="D68" s="38"/>
      <c r="E68" s="38"/>
      <c r="F68" s="39"/>
      <c r="G68" s="39"/>
      <c r="H68" s="39"/>
      <c r="I68" s="38"/>
      <c r="J68" s="15"/>
      <c r="K68" s="38"/>
      <c r="L68" s="38"/>
      <c r="M68" s="38"/>
      <c r="N68" s="38"/>
      <c r="O68" s="38"/>
      <c r="P68" s="15"/>
      <c r="Q68" s="40"/>
      <c r="R68" s="38"/>
      <c r="S68" s="38"/>
      <c r="T68" s="38"/>
      <c r="U68" s="38"/>
      <c r="V68" s="38"/>
      <c r="W68" s="38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41"/>
      <c r="AM68" s="15"/>
      <c r="AN68" s="15"/>
      <c r="AO68" s="15"/>
      <c r="AP68" s="15"/>
      <c r="AQ68" s="15"/>
      <c r="AR68" s="15"/>
      <c r="AS68" s="15"/>
      <c r="AT68" s="15"/>
      <c r="AU68" s="15"/>
      <c r="AV68" s="15"/>
    </row>
    <row r="69" spans="1:48" x14ac:dyDescent="0.25">
      <c r="A69" s="15"/>
      <c r="B69" s="37"/>
      <c r="C69" s="37"/>
      <c r="D69" s="38"/>
      <c r="E69" s="38"/>
      <c r="F69" s="39"/>
      <c r="G69" s="39"/>
      <c r="H69" s="39"/>
      <c r="I69" s="38"/>
      <c r="J69" s="15"/>
      <c r="K69" s="38"/>
      <c r="L69" s="38"/>
      <c r="M69" s="38"/>
      <c r="N69" s="38"/>
      <c r="O69" s="38"/>
      <c r="P69" s="15"/>
      <c r="Q69" s="40"/>
      <c r="R69" s="38"/>
      <c r="S69" s="38"/>
      <c r="T69" s="38"/>
      <c r="U69" s="38"/>
      <c r="V69" s="38"/>
      <c r="W69" s="38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41"/>
      <c r="AM69" s="15"/>
      <c r="AN69" s="15"/>
      <c r="AO69" s="15"/>
      <c r="AP69" s="15"/>
      <c r="AQ69" s="15"/>
      <c r="AR69" s="15"/>
      <c r="AS69" s="15"/>
      <c r="AT69" s="15"/>
      <c r="AU69" s="15"/>
      <c r="AV69" s="15"/>
    </row>
    <row r="70" spans="1:48" x14ac:dyDescent="0.25">
      <c r="A70" s="15"/>
      <c r="B70" s="37"/>
      <c r="C70" s="37"/>
      <c r="D70" s="38"/>
      <c r="E70" s="38"/>
      <c r="F70" s="39"/>
      <c r="G70" s="39"/>
      <c r="H70" s="39"/>
      <c r="I70" s="38"/>
      <c r="J70" s="15"/>
      <c r="K70" s="38"/>
      <c r="L70" s="38"/>
      <c r="M70" s="38"/>
      <c r="N70" s="38"/>
      <c r="O70" s="38"/>
      <c r="P70" s="15"/>
      <c r="Q70" s="40"/>
      <c r="R70" s="38"/>
      <c r="S70" s="38"/>
      <c r="T70" s="38"/>
      <c r="U70" s="38"/>
      <c r="V70" s="38"/>
      <c r="W70" s="38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41"/>
      <c r="AM70" s="15"/>
      <c r="AN70" s="15"/>
      <c r="AO70" s="15"/>
      <c r="AP70" s="15"/>
      <c r="AQ70" s="15"/>
      <c r="AR70" s="15"/>
      <c r="AS70" s="15"/>
      <c r="AT70" s="15"/>
      <c r="AU70" s="15"/>
      <c r="AV70" s="15"/>
    </row>
    <row r="71" spans="1:48" x14ac:dyDescent="0.25">
      <c r="A71" s="15"/>
      <c r="B71" s="37"/>
      <c r="C71" s="37"/>
      <c r="D71" s="38"/>
      <c r="E71" s="38"/>
      <c r="F71" s="39"/>
      <c r="G71" s="39"/>
      <c r="H71" s="39"/>
      <c r="I71" s="38"/>
      <c r="J71" s="15"/>
      <c r="K71" s="38"/>
      <c r="L71" s="38"/>
      <c r="M71" s="38"/>
      <c r="N71" s="38"/>
      <c r="O71" s="38"/>
      <c r="P71" s="15"/>
      <c r="Q71" s="40"/>
      <c r="R71" s="38"/>
      <c r="S71" s="38"/>
      <c r="T71" s="38"/>
      <c r="U71" s="38"/>
      <c r="V71" s="38"/>
      <c r="W71" s="38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41"/>
      <c r="AM71" s="15"/>
      <c r="AN71" s="15"/>
      <c r="AO71" s="15"/>
      <c r="AP71" s="15"/>
      <c r="AQ71" s="15"/>
      <c r="AR71" s="15"/>
      <c r="AS71" s="15"/>
      <c r="AT71" s="15"/>
      <c r="AU71" s="15"/>
      <c r="AV71" s="15"/>
    </row>
    <row r="72" spans="1:48" x14ac:dyDescent="0.25">
      <c r="A72" s="15"/>
      <c r="B72" s="37"/>
      <c r="C72" s="37"/>
      <c r="D72" s="38"/>
      <c r="E72" s="38"/>
      <c r="F72" s="39"/>
      <c r="G72" s="39"/>
      <c r="H72" s="39"/>
      <c r="I72" s="38"/>
      <c r="J72" s="15"/>
      <c r="K72" s="38"/>
      <c r="L72" s="38"/>
      <c r="M72" s="38"/>
      <c r="N72" s="38"/>
      <c r="O72" s="38"/>
      <c r="P72" s="15"/>
      <c r="Q72" s="40"/>
      <c r="R72" s="38"/>
      <c r="S72" s="38"/>
      <c r="T72" s="38"/>
      <c r="U72" s="38"/>
      <c r="V72" s="38"/>
      <c r="W72" s="38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41"/>
      <c r="AM72" s="15"/>
      <c r="AN72" s="15"/>
      <c r="AO72" s="15"/>
      <c r="AP72" s="15"/>
      <c r="AQ72" s="15"/>
      <c r="AR72" s="15"/>
      <c r="AS72" s="15"/>
      <c r="AT72" s="15"/>
      <c r="AU72" s="15"/>
      <c r="AV72" s="15"/>
    </row>
    <row r="73" spans="1:48" x14ac:dyDescent="0.25">
      <c r="A73" s="15"/>
      <c r="B73" s="37"/>
      <c r="C73" s="37"/>
      <c r="D73" s="38"/>
      <c r="E73" s="38"/>
      <c r="F73" s="39"/>
      <c r="G73" s="39"/>
      <c r="H73" s="39"/>
      <c r="I73" s="38"/>
      <c r="J73" s="15"/>
      <c r="K73" s="38"/>
      <c r="L73" s="38"/>
      <c r="M73" s="38"/>
      <c r="N73" s="38"/>
      <c r="O73" s="38"/>
      <c r="P73" s="15"/>
      <c r="Q73" s="40"/>
      <c r="R73" s="38"/>
      <c r="S73" s="38"/>
      <c r="T73" s="38"/>
      <c r="U73" s="38"/>
      <c r="V73" s="38"/>
      <c r="W73" s="38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41"/>
      <c r="AM73" s="15"/>
      <c r="AN73" s="15"/>
      <c r="AO73" s="15"/>
      <c r="AP73" s="15"/>
      <c r="AQ73" s="15"/>
      <c r="AR73" s="15"/>
      <c r="AS73" s="15"/>
      <c r="AT73" s="15"/>
      <c r="AU73" s="15"/>
      <c r="AV73" s="15"/>
    </row>
    <row r="74" spans="1:48" x14ac:dyDescent="0.25">
      <c r="A74" s="15"/>
      <c r="B74" s="37"/>
      <c r="C74" s="37"/>
      <c r="D74" s="38"/>
      <c r="E74" s="38"/>
      <c r="F74" s="39"/>
      <c r="G74" s="39"/>
      <c r="H74" s="39"/>
      <c r="I74" s="38"/>
      <c r="J74" s="15"/>
      <c r="K74" s="38"/>
      <c r="L74" s="38"/>
      <c r="M74" s="38"/>
      <c r="N74" s="38"/>
      <c r="O74" s="38"/>
      <c r="P74" s="15"/>
      <c r="Q74" s="40"/>
      <c r="R74" s="38"/>
      <c r="S74" s="38"/>
      <c r="T74" s="38"/>
      <c r="U74" s="38"/>
      <c r="V74" s="38"/>
      <c r="W74" s="38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41"/>
      <c r="AM74" s="15"/>
      <c r="AN74" s="15"/>
      <c r="AO74" s="15"/>
      <c r="AP74" s="15"/>
      <c r="AQ74" s="15"/>
      <c r="AR74" s="15"/>
      <c r="AS74" s="15"/>
      <c r="AT74" s="15"/>
      <c r="AU74" s="15"/>
      <c r="AV74" s="15"/>
    </row>
    <row r="75" spans="1:48" x14ac:dyDescent="0.25">
      <c r="A75" s="15"/>
      <c r="B75" s="37"/>
      <c r="C75" s="37"/>
      <c r="D75" s="38"/>
      <c r="E75" s="38"/>
      <c r="F75" s="39"/>
      <c r="G75" s="39"/>
      <c r="H75" s="39"/>
      <c r="I75" s="38"/>
      <c r="J75" s="15"/>
      <c r="K75" s="38"/>
      <c r="L75" s="38"/>
      <c r="M75" s="38"/>
      <c r="N75" s="38"/>
      <c r="O75" s="38"/>
      <c r="P75" s="15"/>
      <c r="Q75" s="40"/>
      <c r="R75" s="38"/>
      <c r="S75" s="38"/>
      <c r="T75" s="38"/>
      <c r="U75" s="38"/>
      <c r="V75" s="38"/>
      <c r="W75" s="38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41"/>
      <c r="AM75" s="15"/>
      <c r="AN75" s="15"/>
      <c r="AO75" s="15"/>
      <c r="AP75" s="15"/>
      <c r="AQ75" s="15"/>
      <c r="AR75" s="15"/>
      <c r="AS75" s="15"/>
      <c r="AT75" s="15"/>
      <c r="AU75" s="15"/>
      <c r="AV75" s="15"/>
    </row>
    <row r="76" spans="1:48" x14ac:dyDescent="0.25">
      <c r="A76" s="15"/>
      <c r="B76" s="37"/>
      <c r="C76" s="37"/>
      <c r="D76" s="38"/>
      <c r="E76" s="38"/>
      <c r="F76" s="39"/>
      <c r="G76" s="39"/>
      <c r="H76" s="39"/>
      <c r="I76" s="38"/>
      <c r="J76" s="15"/>
      <c r="K76" s="38"/>
      <c r="L76" s="38"/>
      <c r="M76" s="38"/>
      <c r="N76" s="38"/>
      <c r="O76" s="38"/>
      <c r="P76" s="15"/>
      <c r="Q76" s="40"/>
      <c r="R76" s="38"/>
      <c r="S76" s="38"/>
      <c r="T76" s="38"/>
      <c r="U76" s="38"/>
      <c r="V76" s="38"/>
      <c r="W76" s="38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41"/>
      <c r="AM76" s="15"/>
      <c r="AN76" s="15"/>
      <c r="AO76" s="15"/>
      <c r="AP76" s="15"/>
      <c r="AQ76" s="15"/>
      <c r="AR76" s="15"/>
      <c r="AS76" s="15"/>
      <c r="AT76" s="15"/>
      <c r="AU76" s="15"/>
      <c r="AV76" s="15"/>
    </row>
    <row r="77" spans="1:48" x14ac:dyDescent="0.25">
      <c r="A77" s="15"/>
      <c r="B77" s="37"/>
      <c r="C77" s="37"/>
      <c r="D77" s="38"/>
      <c r="E77" s="38"/>
      <c r="F77" s="39"/>
      <c r="G77" s="39"/>
      <c r="H77" s="39"/>
      <c r="I77" s="38"/>
      <c r="J77" s="15"/>
      <c r="K77" s="38"/>
      <c r="L77" s="38"/>
      <c r="M77" s="38"/>
      <c r="N77" s="38"/>
      <c r="O77" s="38"/>
      <c r="P77" s="15"/>
      <c r="Q77" s="40"/>
      <c r="R77" s="38"/>
      <c r="S77" s="38"/>
      <c r="T77" s="38"/>
      <c r="U77" s="38"/>
      <c r="V77" s="38"/>
      <c r="W77" s="38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41"/>
      <c r="AM77" s="15"/>
      <c r="AN77" s="15"/>
      <c r="AO77" s="15"/>
      <c r="AP77" s="15"/>
      <c r="AQ77" s="15"/>
      <c r="AR77" s="15"/>
      <c r="AS77" s="15"/>
      <c r="AT77" s="15"/>
      <c r="AU77" s="15"/>
      <c r="AV77" s="15"/>
    </row>
    <row r="78" spans="1:48" x14ac:dyDescent="0.25">
      <c r="A78" s="15"/>
      <c r="B78" s="37"/>
      <c r="C78" s="37"/>
      <c r="D78" s="38"/>
      <c r="E78" s="38"/>
      <c r="F78" s="39"/>
      <c r="G78" s="39"/>
      <c r="H78" s="39"/>
      <c r="I78" s="38"/>
      <c r="J78" s="15"/>
      <c r="K78" s="38"/>
      <c r="L78" s="38"/>
      <c r="M78" s="38"/>
      <c r="N78" s="38"/>
      <c r="O78" s="38"/>
      <c r="P78" s="15"/>
      <c r="Q78" s="40"/>
      <c r="R78" s="38"/>
      <c r="S78" s="38"/>
      <c r="T78" s="38"/>
      <c r="U78" s="38"/>
      <c r="V78" s="38"/>
      <c r="W78" s="38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41"/>
      <c r="AM78" s="15"/>
      <c r="AN78" s="15"/>
      <c r="AO78" s="15"/>
      <c r="AP78" s="15"/>
      <c r="AQ78" s="15"/>
      <c r="AR78" s="15"/>
      <c r="AS78" s="15"/>
      <c r="AT78" s="15"/>
      <c r="AU78" s="15"/>
      <c r="AV78" s="15"/>
    </row>
    <row r="79" spans="1:48" x14ac:dyDescent="0.25">
      <c r="A79" s="15"/>
      <c r="B79" s="37"/>
      <c r="C79" s="37"/>
      <c r="D79" s="38"/>
      <c r="E79" s="38"/>
      <c r="F79" s="39"/>
      <c r="G79" s="39"/>
      <c r="H79" s="39"/>
      <c r="I79" s="38"/>
      <c r="J79" s="15"/>
      <c r="K79" s="38"/>
      <c r="L79" s="38"/>
      <c r="M79" s="38"/>
      <c r="N79" s="38"/>
      <c r="O79" s="38"/>
      <c r="P79" s="15"/>
      <c r="Q79" s="40"/>
      <c r="R79" s="38"/>
      <c r="S79" s="38"/>
      <c r="T79" s="38"/>
      <c r="U79" s="38"/>
      <c r="V79" s="38"/>
      <c r="W79" s="38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41"/>
      <c r="AM79" s="15"/>
      <c r="AN79" s="15"/>
      <c r="AO79" s="15"/>
      <c r="AP79" s="15"/>
      <c r="AQ79" s="15"/>
      <c r="AR79" s="15"/>
      <c r="AS79" s="15"/>
      <c r="AT79" s="15"/>
      <c r="AU79" s="15"/>
      <c r="AV79" s="15"/>
    </row>
    <row r="80" spans="1:48" x14ac:dyDescent="0.25">
      <c r="A80" s="15"/>
      <c r="B80" s="37"/>
      <c r="C80" s="37"/>
      <c r="D80" s="38"/>
      <c r="E80" s="38"/>
      <c r="F80" s="39"/>
      <c r="G80" s="39"/>
      <c r="H80" s="39"/>
      <c r="I80" s="38"/>
      <c r="J80" s="15"/>
      <c r="K80" s="38"/>
      <c r="L80" s="38"/>
      <c r="M80" s="38"/>
      <c r="N80" s="38"/>
      <c r="O80" s="38"/>
      <c r="P80" s="15"/>
      <c r="Q80" s="40"/>
      <c r="R80" s="38"/>
      <c r="S80" s="38"/>
      <c r="T80" s="38"/>
      <c r="U80" s="38"/>
      <c r="V80" s="38"/>
      <c r="W80" s="38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41"/>
      <c r="AM80" s="15"/>
      <c r="AN80" s="15"/>
      <c r="AO80" s="15"/>
      <c r="AP80" s="15"/>
      <c r="AQ80" s="15"/>
      <c r="AR80" s="15"/>
      <c r="AS80" s="15"/>
      <c r="AT80" s="15"/>
      <c r="AU80" s="15"/>
      <c r="AV80" s="15"/>
    </row>
    <row r="81" spans="1:48" x14ac:dyDescent="0.25">
      <c r="A81" s="15"/>
      <c r="B81" s="37"/>
      <c r="C81" s="37"/>
      <c r="D81" s="38"/>
      <c r="E81" s="38"/>
      <c r="F81" s="39"/>
      <c r="G81" s="39"/>
      <c r="H81" s="39"/>
      <c r="I81" s="38"/>
      <c r="J81" s="15"/>
      <c r="K81" s="38"/>
      <c r="L81" s="38"/>
      <c r="M81" s="38"/>
      <c r="N81" s="38"/>
      <c r="O81" s="38"/>
      <c r="P81" s="15"/>
      <c r="Q81" s="40"/>
      <c r="R81" s="38"/>
      <c r="S81" s="38"/>
      <c r="T81" s="38"/>
      <c r="U81" s="38"/>
      <c r="V81" s="38"/>
      <c r="W81" s="38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41"/>
      <c r="AM81" s="15"/>
      <c r="AN81" s="15"/>
      <c r="AO81" s="15"/>
      <c r="AP81" s="15"/>
      <c r="AQ81" s="15"/>
      <c r="AR81" s="15"/>
      <c r="AS81" s="15"/>
      <c r="AT81" s="15"/>
      <c r="AU81" s="15"/>
      <c r="AV81" s="15"/>
    </row>
    <row r="82" spans="1:48" x14ac:dyDescent="0.25">
      <c r="A82" s="15"/>
      <c r="B82" s="37"/>
      <c r="C82" s="37"/>
      <c r="D82" s="38"/>
      <c r="E82" s="38"/>
      <c r="F82" s="39"/>
      <c r="G82" s="39"/>
      <c r="H82" s="39"/>
      <c r="I82" s="38"/>
      <c r="J82" s="15"/>
      <c r="K82" s="38"/>
      <c r="L82" s="38"/>
      <c r="M82" s="38"/>
      <c r="N82" s="38"/>
      <c r="O82" s="38"/>
      <c r="P82" s="15"/>
      <c r="Q82" s="40"/>
      <c r="R82" s="38"/>
      <c r="S82" s="38"/>
      <c r="T82" s="38"/>
      <c r="U82" s="38"/>
      <c r="V82" s="38"/>
      <c r="W82" s="38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41"/>
      <c r="AM82" s="15"/>
      <c r="AN82" s="15"/>
      <c r="AO82" s="15"/>
      <c r="AP82" s="15"/>
      <c r="AQ82" s="15"/>
      <c r="AR82" s="15"/>
      <c r="AS82" s="15"/>
      <c r="AT82" s="15"/>
      <c r="AU82" s="15"/>
      <c r="AV82" s="15"/>
    </row>
    <row r="83" spans="1:48" x14ac:dyDescent="0.25">
      <c r="A83" s="15"/>
      <c r="B83" s="37"/>
      <c r="C83" s="37"/>
      <c r="D83" s="38"/>
      <c r="E83" s="38"/>
      <c r="F83" s="39"/>
      <c r="G83" s="39"/>
      <c r="H83" s="39"/>
      <c r="I83" s="38"/>
      <c r="J83" s="15"/>
      <c r="K83" s="38"/>
      <c r="L83" s="38"/>
      <c r="M83" s="38"/>
      <c r="N83" s="38"/>
      <c r="O83" s="38"/>
      <c r="P83" s="15"/>
      <c r="Q83" s="40"/>
      <c r="R83" s="38"/>
      <c r="S83" s="38"/>
      <c r="T83" s="38"/>
      <c r="U83" s="38"/>
      <c r="V83" s="38"/>
      <c r="W83" s="38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41"/>
      <c r="AM83" s="15"/>
      <c r="AN83" s="15"/>
      <c r="AO83" s="15"/>
      <c r="AP83" s="15"/>
      <c r="AQ83" s="15"/>
      <c r="AR83" s="15"/>
      <c r="AS83" s="15"/>
      <c r="AT83" s="15"/>
      <c r="AU83" s="15"/>
      <c r="AV83" s="15"/>
    </row>
    <row r="84" spans="1:48" x14ac:dyDescent="0.25">
      <c r="A84" s="15"/>
      <c r="B84" s="37"/>
      <c r="C84" s="37"/>
      <c r="D84" s="38"/>
      <c r="E84" s="38"/>
      <c r="F84" s="39"/>
      <c r="G84" s="39"/>
      <c r="H84" s="39"/>
      <c r="I84" s="38"/>
      <c r="J84" s="15"/>
      <c r="K84" s="38"/>
      <c r="L84" s="38"/>
      <c r="M84" s="38"/>
      <c r="N84" s="38"/>
      <c r="O84" s="38"/>
      <c r="P84" s="15"/>
      <c r="Q84" s="40"/>
      <c r="R84" s="38"/>
      <c r="S84" s="38"/>
      <c r="T84" s="38"/>
      <c r="U84" s="38"/>
      <c r="V84" s="38"/>
      <c r="W84" s="38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41"/>
      <c r="AM84" s="15"/>
      <c r="AN84" s="15"/>
      <c r="AO84" s="15"/>
      <c r="AP84" s="15"/>
      <c r="AQ84" s="15"/>
      <c r="AR84" s="15"/>
      <c r="AS84" s="15"/>
      <c r="AT84" s="15"/>
      <c r="AU84" s="15"/>
      <c r="AV84" s="15"/>
    </row>
    <row r="85" spans="1:48" x14ac:dyDescent="0.25">
      <c r="A85" s="15"/>
      <c r="B85" s="37"/>
      <c r="C85" s="37"/>
      <c r="D85" s="38"/>
      <c r="E85" s="38"/>
      <c r="F85" s="39"/>
      <c r="G85" s="39"/>
      <c r="H85" s="39"/>
      <c r="I85" s="38"/>
      <c r="J85" s="15"/>
      <c r="K85" s="38"/>
      <c r="L85" s="38"/>
      <c r="M85" s="38"/>
      <c r="N85" s="38"/>
      <c r="O85" s="38"/>
      <c r="P85" s="15"/>
      <c r="Q85" s="40"/>
      <c r="R85" s="38"/>
      <c r="S85" s="38"/>
      <c r="T85" s="38"/>
      <c r="U85" s="38"/>
      <c r="V85" s="38"/>
      <c r="W85" s="38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41"/>
      <c r="AM85" s="15"/>
      <c r="AN85" s="15"/>
      <c r="AO85" s="15"/>
      <c r="AP85" s="15"/>
      <c r="AQ85" s="15"/>
      <c r="AR85" s="15"/>
      <c r="AS85" s="15"/>
      <c r="AT85" s="15"/>
      <c r="AU85" s="15"/>
      <c r="AV85" s="15"/>
    </row>
    <row r="86" spans="1:48" x14ac:dyDescent="0.25">
      <c r="A86" s="15"/>
      <c r="B86" s="37"/>
      <c r="C86" s="37"/>
      <c r="D86" s="38"/>
      <c r="E86" s="38"/>
      <c r="F86" s="39"/>
      <c r="G86" s="39"/>
      <c r="H86" s="39"/>
      <c r="I86" s="38"/>
      <c r="J86" s="15"/>
      <c r="K86" s="38"/>
      <c r="L86" s="38"/>
      <c r="M86" s="38"/>
      <c r="N86" s="38"/>
      <c r="O86" s="38"/>
      <c r="P86" s="15"/>
      <c r="Q86" s="40"/>
      <c r="R86" s="38"/>
      <c r="S86" s="38"/>
      <c r="T86" s="38"/>
      <c r="U86" s="38"/>
      <c r="V86" s="38"/>
      <c r="W86" s="38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41"/>
      <c r="AM86" s="15"/>
      <c r="AN86" s="15"/>
      <c r="AO86" s="15"/>
      <c r="AP86" s="15"/>
      <c r="AQ86" s="15"/>
      <c r="AR86" s="15"/>
      <c r="AS86" s="15"/>
      <c r="AT86" s="15"/>
      <c r="AU86" s="15"/>
      <c r="AV86" s="15"/>
    </row>
    <row r="87" spans="1:48" x14ac:dyDescent="0.25">
      <c r="A87" s="15"/>
      <c r="B87" s="37"/>
      <c r="C87" s="37"/>
      <c r="D87" s="38"/>
      <c r="E87" s="38"/>
      <c r="F87" s="39"/>
      <c r="G87" s="39"/>
      <c r="H87" s="39"/>
      <c r="I87" s="38"/>
      <c r="J87" s="15"/>
      <c r="K87" s="38"/>
      <c r="L87" s="38"/>
      <c r="M87" s="38"/>
      <c r="N87" s="38"/>
      <c r="O87" s="38"/>
      <c r="P87" s="15"/>
      <c r="Q87" s="40"/>
      <c r="R87" s="38"/>
      <c r="S87" s="38"/>
      <c r="T87" s="38"/>
      <c r="U87" s="38"/>
      <c r="V87" s="38"/>
      <c r="W87" s="38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41"/>
      <c r="AM87" s="15"/>
      <c r="AN87" s="15"/>
      <c r="AO87" s="15"/>
      <c r="AP87" s="15"/>
      <c r="AQ87" s="15"/>
      <c r="AR87" s="15"/>
      <c r="AS87" s="15"/>
      <c r="AT87" s="15"/>
      <c r="AU87" s="15"/>
      <c r="AV87" s="15"/>
    </row>
    <row r="88" spans="1:48" x14ac:dyDescent="0.25">
      <c r="A88" s="15"/>
      <c r="B88" s="37"/>
      <c r="C88" s="37"/>
      <c r="D88" s="38"/>
      <c r="E88" s="38"/>
      <c r="F88" s="39"/>
      <c r="G88" s="39"/>
      <c r="H88" s="39"/>
      <c r="I88" s="38"/>
      <c r="J88" s="15"/>
      <c r="K88" s="38"/>
      <c r="L88" s="38"/>
      <c r="M88" s="38"/>
      <c r="N88" s="38"/>
      <c r="O88" s="38"/>
      <c r="P88" s="15"/>
      <c r="Q88" s="40"/>
      <c r="R88" s="38"/>
      <c r="S88" s="38"/>
      <c r="T88" s="38"/>
      <c r="U88" s="38"/>
      <c r="V88" s="38"/>
      <c r="W88" s="38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41"/>
      <c r="AM88" s="15"/>
      <c r="AN88" s="15"/>
      <c r="AO88" s="15"/>
      <c r="AP88" s="15"/>
      <c r="AQ88" s="15"/>
      <c r="AR88" s="15"/>
      <c r="AS88" s="15"/>
      <c r="AT88" s="15"/>
      <c r="AU88" s="15"/>
      <c r="AV88" s="15"/>
    </row>
    <row r="89" spans="1:48" x14ac:dyDescent="0.25">
      <c r="A89" s="15"/>
      <c r="B89" s="37"/>
      <c r="C89" s="37"/>
      <c r="D89" s="38"/>
      <c r="E89" s="38"/>
      <c r="F89" s="39"/>
      <c r="G89" s="39"/>
      <c r="H89" s="39"/>
      <c r="I89" s="38"/>
      <c r="J89" s="15"/>
      <c r="K89" s="38"/>
      <c r="L89" s="38"/>
      <c r="M89" s="38"/>
      <c r="N89" s="38"/>
      <c r="O89" s="38"/>
      <c r="P89" s="15"/>
      <c r="Q89" s="40"/>
      <c r="R89" s="38"/>
      <c r="S89" s="38"/>
      <c r="T89" s="38"/>
      <c r="U89" s="38"/>
      <c r="V89" s="38"/>
      <c r="W89" s="38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41"/>
      <c r="AM89" s="15"/>
      <c r="AN89" s="15"/>
      <c r="AO89" s="15"/>
      <c r="AP89" s="15"/>
      <c r="AQ89" s="15"/>
      <c r="AR89" s="15"/>
      <c r="AS89" s="15"/>
      <c r="AT89" s="15"/>
      <c r="AU89" s="15"/>
      <c r="AV89" s="15"/>
    </row>
    <row r="90" spans="1:48" x14ac:dyDescent="0.25">
      <c r="A90" s="15"/>
      <c r="B90" s="37"/>
      <c r="C90" s="37"/>
      <c r="D90" s="38"/>
      <c r="E90" s="38"/>
      <c r="F90" s="39"/>
      <c r="G90" s="39"/>
      <c r="H90" s="39"/>
      <c r="I90" s="38"/>
      <c r="J90" s="15"/>
      <c r="K90" s="38"/>
      <c r="L90" s="38"/>
      <c r="M90" s="38"/>
      <c r="N90" s="38"/>
      <c r="O90" s="38"/>
      <c r="P90" s="15"/>
      <c r="Q90" s="40"/>
      <c r="R90" s="38"/>
      <c r="S90" s="38"/>
      <c r="T90" s="38"/>
      <c r="U90" s="38"/>
      <c r="V90" s="38"/>
      <c r="W90" s="38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41"/>
      <c r="AM90" s="15"/>
      <c r="AN90" s="15"/>
      <c r="AO90" s="15"/>
      <c r="AP90" s="15"/>
      <c r="AQ90" s="15"/>
      <c r="AR90" s="15"/>
      <c r="AS90" s="15"/>
      <c r="AT90" s="15"/>
      <c r="AU90" s="15"/>
      <c r="AV90" s="15"/>
    </row>
    <row r="91" spans="1:48" x14ac:dyDescent="0.25">
      <c r="A91" s="15"/>
      <c r="B91" s="37"/>
      <c r="C91" s="37"/>
      <c r="D91" s="38"/>
      <c r="E91" s="38"/>
      <c r="F91" s="39"/>
      <c r="G91" s="39"/>
      <c r="H91" s="39"/>
      <c r="I91" s="38"/>
      <c r="J91" s="15"/>
      <c r="K91" s="38"/>
      <c r="L91" s="38"/>
      <c r="M91" s="38"/>
      <c r="N91" s="38"/>
      <c r="O91" s="38"/>
      <c r="P91" s="15"/>
      <c r="Q91" s="40"/>
      <c r="R91" s="38"/>
      <c r="S91" s="38"/>
      <c r="T91" s="38"/>
      <c r="U91" s="38"/>
      <c r="V91" s="38"/>
      <c r="W91" s="38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41"/>
      <c r="AM91" s="15"/>
      <c r="AN91" s="15"/>
      <c r="AO91" s="15"/>
      <c r="AP91" s="15"/>
      <c r="AQ91" s="15"/>
      <c r="AR91" s="15"/>
      <c r="AS91" s="15"/>
      <c r="AT91" s="15"/>
      <c r="AU91" s="15"/>
      <c r="AV91" s="15"/>
    </row>
    <row r="92" spans="1:48" x14ac:dyDescent="0.25">
      <c r="A92" s="15"/>
      <c r="B92" s="37"/>
      <c r="C92" s="37"/>
      <c r="D92" s="38"/>
      <c r="E92" s="38"/>
      <c r="F92" s="39"/>
      <c r="G92" s="39"/>
      <c r="H92" s="39"/>
      <c r="I92" s="38"/>
      <c r="J92" s="15"/>
      <c r="K92" s="38"/>
      <c r="L92" s="38"/>
      <c r="M92" s="38"/>
      <c r="N92" s="38"/>
      <c r="O92" s="38"/>
      <c r="P92" s="15"/>
      <c r="Q92" s="40"/>
      <c r="R92" s="38"/>
      <c r="S92" s="38"/>
      <c r="T92" s="38"/>
      <c r="U92" s="38"/>
      <c r="V92" s="38"/>
      <c r="W92" s="38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41"/>
      <c r="AM92" s="15"/>
      <c r="AN92" s="15"/>
      <c r="AO92" s="15"/>
      <c r="AP92" s="15"/>
      <c r="AQ92" s="15"/>
      <c r="AR92" s="15"/>
      <c r="AS92" s="15"/>
      <c r="AT92" s="15"/>
      <c r="AU92" s="15"/>
      <c r="AV92" s="15"/>
    </row>
    <row r="93" spans="1:48" x14ac:dyDescent="0.25">
      <c r="A93" s="15"/>
      <c r="B93" s="37"/>
      <c r="C93" s="37"/>
      <c r="D93" s="38"/>
      <c r="E93" s="38"/>
      <c r="F93" s="39"/>
      <c r="G93" s="39"/>
      <c r="H93" s="39"/>
      <c r="I93" s="38"/>
      <c r="J93" s="15"/>
      <c r="K93" s="38"/>
      <c r="L93" s="38"/>
      <c r="M93" s="38"/>
      <c r="N93" s="38"/>
      <c r="O93" s="38"/>
      <c r="P93" s="15"/>
      <c r="Q93" s="40"/>
      <c r="R93" s="38"/>
      <c r="S93" s="38"/>
      <c r="T93" s="38"/>
      <c r="U93" s="38"/>
      <c r="V93" s="38"/>
      <c r="W93" s="38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41"/>
      <c r="AM93" s="15"/>
      <c r="AN93" s="15"/>
      <c r="AO93" s="15"/>
      <c r="AP93" s="15"/>
      <c r="AQ93" s="15"/>
      <c r="AR93" s="15"/>
      <c r="AS93" s="15"/>
      <c r="AT93" s="15"/>
      <c r="AU93" s="15"/>
      <c r="AV93" s="15"/>
    </row>
    <row r="94" spans="1:48" x14ac:dyDescent="0.25">
      <c r="A94" s="15"/>
      <c r="B94" s="37"/>
      <c r="C94" s="37"/>
      <c r="D94" s="38"/>
      <c r="E94" s="38"/>
      <c r="F94" s="39"/>
      <c r="G94" s="39"/>
      <c r="H94" s="39"/>
      <c r="I94" s="38"/>
      <c r="J94" s="15"/>
      <c r="K94" s="38"/>
      <c r="L94" s="38"/>
      <c r="M94" s="38"/>
      <c r="N94" s="38"/>
      <c r="O94" s="38"/>
      <c r="P94" s="15"/>
      <c r="Q94" s="40"/>
      <c r="R94" s="38"/>
      <c r="S94" s="38"/>
      <c r="T94" s="38"/>
      <c r="U94" s="38"/>
      <c r="V94" s="38"/>
      <c r="W94" s="38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41"/>
      <c r="AM94" s="15"/>
      <c r="AN94" s="15"/>
      <c r="AO94" s="15"/>
      <c r="AP94" s="15"/>
      <c r="AQ94" s="15"/>
      <c r="AR94" s="15"/>
      <c r="AS94" s="15"/>
      <c r="AT94" s="15"/>
      <c r="AU94" s="15"/>
      <c r="AV94" s="15"/>
    </row>
    <row r="95" spans="1:48" x14ac:dyDescent="0.25">
      <c r="A95" s="15"/>
      <c r="B95" s="37"/>
      <c r="C95" s="37"/>
      <c r="D95" s="38"/>
      <c r="E95" s="38"/>
      <c r="F95" s="39"/>
      <c r="G95" s="39"/>
      <c r="H95" s="39"/>
      <c r="I95" s="38"/>
      <c r="J95" s="15"/>
      <c r="K95" s="38"/>
      <c r="L95" s="38"/>
      <c r="M95" s="38"/>
      <c r="N95" s="38"/>
      <c r="O95" s="38"/>
      <c r="P95" s="15"/>
      <c r="Q95" s="40"/>
      <c r="R95" s="38"/>
      <c r="S95" s="38"/>
      <c r="T95" s="38"/>
      <c r="U95" s="38"/>
      <c r="V95" s="38"/>
      <c r="W95" s="38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41"/>
      <c r="AM95" s="15"/>
      <c r="AN95" s="15"/>
      <c r="AO95" s="15"/>
      <c r="AP95" s="15"/>
      <c r="AQ95" s="15"/>
      <c r="AR95" s="15"/>
      <c r="AS95" s="15"/>
      <c r="AT95" s="15"/>
      <c r="AU95" s="15"/>
      <c r="AV95" s="15"/>
    </row>
    <row r="96" spans="1:48" x14ac:dyDescent="0.25">
      <c r="A96" s="15"/>
      <c r="B96" s="37"/>
      <c r="C96" s="37"/>
      <c r="D96" s="38"/>
      <c r="E96" s="38"/>
      <c r="F96" s="39"/>
      <c r="G96" s="39"/>
      <c r="H96" s="39"/>
      <c r="I96" s="38"/>
      <c r="J96" s="15"/>
      <c r="K96" s="38"/>
      <c r="L96" s="38"/>
      <c r="M96" s="38"/>
      <c r="N96" s="38"/>
      <c r="O96" s="38"/>
      <c r="P96" s="15"/>
      <c r="Q96" s="40"/>
      <c r="R96" s="38"/>
      <c r="S96" s="38"/>
      <c r="T96" s="38"/>
      <c r="U96" s="38"/>
      <c r="V96" s="38"/>
      <c r="W96" s="38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41"/>
      <c r="AM96" s="15"/>
      <c r="AN96" s="15"/>
      <c r="AO96" s="15"/>
      <c r="AP96" s="15"/>
      <c r="AQ96" s="15"/>
      <c r="AR96" s="15"/>
      <c r="AS96" s="15"/>
      <c r="AT96" s="15"/>
      <c r="AU96" s="15"/>
      <c r="AV96" s="15"/>
    </row>
    <row r="97" spans="1:48" x14ac:dyDescent="0.25">
      <c r="A97" s="15"/>
      <c r="B97" s="37"/>
      <c r="C97" s="37"/>
      <c r="D97" s="38"/>
      <c r="E97" s="38"/>
      <c r="F97" s="39"/>
      <c r="G97" s="39"/>
      <c r="H97" s="39"/>
      <c r="I97" s="38"/>
      <c r="J97" s="15"/>
      <c r="K97" s="38"/>
      <c r="L97" s="38"/>
      <c r="M97" s="38"/>
      <c r="N97" s="38"/>
      <c r="O97" s="38"/>
      <c r="P97" s="15"/>
      <c r="Q97" s="40"/>
      <c r="R97" s="38"/>
      <c r="S97" s="38"/>
      <c r="T97" s="38"/>
      <c r="U97" s="38"/>
      <c r="V97" s="38"/>
      <c r="W97" s="38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41"/>
      <c r="AM97" s="15"/>
      <c r="AN97" s="15"/>
      <c r="AO97" s="15"/>
      <c r="AP97" s="15"/>
      <c r="AQ97" s="15"/>
      <c r="AR97" s="15"/>
      <c r="AS97" s="15"/>
      <c r="AT97" s="15"/>
      <c r="AU97" s="15"/>
      <c r="AV97" s="15"/>
    </row>
    <row r="98" spans="1:48" x14ac:dyDescent="0.25">
      <c r="A98" s="15"/>
      <c r="B98" s="37"/>
      <c r="C98" s="37"/>
      <c r="D98" s="38"/>
      <c r="E98" s="38"/>
      <c r="F98" s="39"/>
      <c r="G98" s="39"/>
      <c r="H98" s="39"/>
      <c r="I98" s="38"/>
      <c r="J98" s="15"/>
      <c r="K98" s="38"/>
      <c r="L98" s="38"/>
      <c r="M98" s="38"/>
      <c r="N98" s="38"/>
      <c r="O98" s="38"/>
      <c r="P98" s="15"/>
      <c r="Q98" s="40"/>
      <c r="R98" s="38"/>
      <c r="S98" s="38"/>
      <c r="T98" s="38"/>
      <c r="U98" s="38"/>
      <c r="V98" s="38"/>
      <c r="W98" s="38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41"/>
      <c r="AM98" s="15"/>
      <c r="AN98" s="15"/>
      <c r="AO98" s="15"/>
      <c r="AP98" s="15"/>
      <c r="AQ98" s="15"/>
      <c r="AR98" s="15"/>
      <c r="AS98" s="15"/>
      <c r="AT98" s="15"/>
      <c r="AU98" s="15"/>
      <c r="AV98" s="15"/>
    </row>
    <row r="99" spans="1:48" x14ac:dyDescent="0.25">
      <c r="A99" s="15"/>
      <c r="B99" s="37"/>
      <c r="C99" s="37"/>
      <c r="D99" s="38"/>
      <c r="E99" s="38"/>
      <c r="F99" s="39"/>
      <c r="G99" s="39"/>
      <c r="H99" s="39"/>
      <c r="I99" s="38"/>
      <c r="J99" s="15"/>
      <c r="K99" s="38"/>
      <c r="L99" s="38"/>
      <c r="M99" s="38"/>
      <c r="N99" s="38"/>
      <c r="O99" s="38"/>
      <c r="P99" s="15"/>
      <c r="Q99" s="40"/>
      <c r="R99" s="38"/>
      <c r="S99" s="38"/>
      <c r="T99" s="38"/>
      <c r="U99" s="38"/>
      <c r="V99" s="38"/>
      <c r="W99" s="38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41"/>
      <c r="AM99" s="15"/>
      <c r="AN99" s="15"/>
      <c r="AO99" s="15"/>
      <c r="AP99" s="15"/>
      <c r="AQ99" s="15"/>
      <c r="AR99" s="15"/>
      <c r="AS99" s="15"/>
      <c r="AT99" s="15"/>
      <c r="AU99" s="15"/>
      <c r="AV99" s="15"/>
    </row>
    <row r="100" spans="1:48" x14ac:dyDescent="0.25">
      <c r="A100" s="15"/>
      <c r="B100" s="37"/>
      <c r="C100" s="37"/>
      <c r="D100" s="38"/>
      <c r="E100" s="38"/>
      <c r="F100" s="39"/>
      <c r="G100" s="39"/>
      <c r="H100" s="39"/>
      <c r="I100" s="38"/>
      <c r="J100" s="15"/>
      <c r="K100" s="38"/>
      <c r="L100" s="38"/>
      <c r="M100" s="38"/>
      <c r="N100" s="38"/>
      <c r="O100" s="38"/>
      <c r="P100" s="15"/>
      <c r="Q100" s="40"/>
      <c r="R100" s="38"/>
      <c r="S100" s="38"/>
      <c r="T100" s="38"/>
      <c r="U100" s="38"/>
      <c r="V100" s="38"/>
      <c r="W100" s="38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41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</row>
    <row r="101" spans="1:48" x14ac:dyDescent="0.25">
      <c r="A101" s="15"/>
      <c r="B101" s="37"/>
      <c r="C101" s="37"/>
      <c r="D101" s="38"/>
      <c r="E101" s="38"/>
      <c r="F101" s="39"/>
      <c r="G101" s="39"/>
      <c r="H101" s="39"/>
      <c r="I101" s="38"/>
      <c r="J101" s="15"/>
      <c r="K101" s="38"/>
      <c r="L101" s="38"/>
      <c r="M101" s="38"/>
      <c r="N101" s="38"/>
      <c r="O101" s="38"/>
      <c r="P101" s="15"/>
      <c r="Q101" s="40"/>
      <c r="R101" s="38"/>
      <c r="S101" s="38"/>
      <c r="T101" s="38"/>
      <c r="U101" s="38"/>
      <c r="V101" s="38"/>
      <c r="W101" s="38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41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</row>
    <row r="102" spans="1:48" x14ac:dyDescent="0.25">
      <c r="A102" s="15"/>
      <c r="B102" s="37"/>
      <c r="C102" s="37"/>
      <c r="D102" s="38"/>
      <c r="E102" s="38"/>
      <c r="F102" s="39"/>
      <c r="G102" s="39"/>
      <c r="H102" s="39"/>
      <c r="I102" s="38"/>
      <c r="J102" s="15"/>
      <c r="K102" s="38"/>
      <c r="L102" s="38"/>
      <c r="M102" s="38"/>
      <c r="N102" s="38"/>
      <c r="O102" s="38"/>
      <c r="P102" s="15"/>
      <c r="Q102" s="40"/>
      <c r="R102" s="38"/>
      <c r="S102" s="38"/>
      <c r="T102" s="38"/>
      <c r="U102" s="38"/>
      <c r="V102" s="38"/>
      <c r="W102" s="38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41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</row>
    <row r="103" spans="1:48" x14ac:dyDescent="0.25">
      <c r="A103" s="15"/>
      <c r="B103" s="37"/>
      <c r="C103" s="37"/>
      <c r="D103" s="38"/>
      <c r="E103" s="38"/>
      <c r="F103" s="39"/>
      <c r="G103" s="39"/>
      <c r="H103" s="39"/>
      <c r="I103" s="38"/>
      <c r="J103" s="15"/>
      <c r="K103" s="38"/>
      <c r="L103" s="38"/>
      <c r="M103" s="38"/>
      <c r="N103" s="38"/>
      <c r="O103" s="38"/>
      <c r="P103" s="15"/>
      <c r="Q103" s="40"/>
      <c r="R103" s="38"/>
      <c r="S103" s="38"/>
      <c r="T103" s="38"/>
      <c r="U103" s="38"/>
      <c r="V103" s="38"/>
      <c r="W103" s="38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41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</row>
    <row r="104" spans="1:48" x14ac:dyDescent="0.25">
      <c r="A104" s="15"/>
      <c r="B104" s="37"/>
      <c r="C104" s="37"/>
      <c r="D104" s="38"/>
      <c r="E104" s="38"/>
      <c r="F104" s="39"/>
      <c r="G104" s="39"/>
      <c r="H104" s="39"/>
      <c r="I104" s="38"/>
      <c r="J104" s="15"/>
      <c r="K104" s="38"/>
      <c r="L104" s="38"/>
      <c r="M104" s="38"/>
      <c r="N104" s="38"/>
      <c r="O104" s="38"/>
      <c r="P104" s="15"/>
      <c r="Q104" s="40"/>
      <c r="R104" s="38"/>
      <c r="S104" s="38"/>
      <c r="T104" s="38"/>
      <c r="U104" s="38"/>
      <c r="V104" s="38"/>
      <c r="W104" s="38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41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</row>
    <row r="105" spans="1:48" x14ac:dyDescent="0.25">
      <c r="A105" s="15"/>
      <c r="B105" s="37"/>
      <c r="C105" s="37"/>
      <c r="D105" s="38"/>
      <c r="E105" s="38"/>
      <c r="F105" s="39"/>
      <c r="G105" s="39"/>
      <c r="H105" s="39"/>
      <c r="I105" s="38"/>
      <c r="J105" s="15"/>
      <c r="K105" s="38"/>
      <c r="L105" s="38"/>
      <c r="M105" s="38"/>
      <c r="N105" s="38"/>
      <c r="O105" s="38"/>
      <c r="P105" s="15"/>
      <c r="Q105" s="40"/>
      <c r="R105" s="38"/>
      <c r="S105" s="38"/>
      <c r="T105" s="38"/>
      <c r="U105" s="38"/>
      <c r="V105" s="38"/>
      <c r="W105" s="38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41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</row>
    <row r="106" spans="1:48" x14ac:dyDescent="0.25">
      <c r="A106" s="15"/>
      <c r="B106" s="37"/>
      <c r="C106" s="37"/>
      <c r="D106" s="38"/>
      <c r="E106" s="38"/>
      <c r="F106" s="39"/>
      <c r="G106" s="39"/>
      <c r="H106" s="39"/>
      <c r="I106" s="38"/>
      <c r="J106" s="15"/>
      <c r="K106" s="38"/>
      <c r="L106" s="38"/>
      <c r="M106" s="38"/>
      <c r="N106" s="38"/>
      <c r="O106" s="38"/>
      <c r="P106" s="15"/>
      <c r="Q106" s="40"/>
      <c r="R106" s="38"/>
      <c r="S106" s="38"/>
      <c r="T106" s="38"/>
      <c r="U106" s="38"/>
      <c r="V106" s="38"/>
      <c r="W106" s="38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41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</row>
    <row r="107" spans="1:48" x14ac:dyDescent="0.25">
      <c r="A107" s="15"/>
      <c r="B107" s="37"/>
      <c r="C107" s="37"/>
      <c r="D107" s="38"/>
      <c r="E107" s="38"/>
      <c r="F107" s="39"/>
      <c r="G107" s="39"/>
      <c r="H107" s="39"/>
      <c r="I107" s="38"/>
      <c r="J107" s="15"/>
      <c r="K107" s="38"/>
      <c r="L107" s="38"/>
      <c r="M107" s="38"/>
      <c r="N107" s="38"/>
      <c r="O107" s="38"/>
      <c r="P107" s="15"/>
      <c r="Q107" s="40"/>
      <c r="R107" s="38"/>
      <c r="S107" s="38"/>
      <c r="T107" s="38"/>
      <c r="U107" s="38"/>
      <c r="V107" s="38"/>
      <c r="W107" s="38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41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</row>
    <row r="108" spans="1:48" x14ac:dyDescent="0.25">
      <c r="A108" s="15"/>
      <c r="B108" s="37"/>
      <c r="C108" s="37"/>
      <c r="D108" s="38"/>
      <c r="E108" s="38"/>
      <c r="F108" s="39"/>
      <c r="G108" s="39"/>
      <c r="H108" s="39"/>
      <c r="I108" s="38"/>
      <c r="J108" s="15"/>
      <c r="K108" s="38"/>
      <c r="L108" s="38"/>
      <c r="M108" s="38"/>
      <c r="N108" s="38"/>
      <c r="O108" s="38"/>
      <c r="P108" s="15"/>
      <c r="Q108" s="40"/>
      <c r="R108" s="38"/>
      <c r="S108" s="38"/>
      <c r="T108" s="38"/>
      <c r="U108" s="38"/>
      <c r="V108" s="38"/>
      <c r="W108" s="38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41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</row>
    <row r="109" spans="1:48" x14ac:dyDescent="0.25">
      <c r="A109" s="15"/>
      <c r="B109" s="37"/>
      <c r="C109" s="37"/>
      <c r="D109" s="38"/>
      <c r="E109" s="38"/>
      <c r="F109" s="39"/>
      <c r="G109" s="39"/>
      <c r="H109" s="39"/>
      <c r="I109" s="38"/>
      <c r="J109" s="15"/>
      <c r="K109" s="38"/>
      <c r="L109" s="38"/>
      <c r="M109" s="38"/>
      <c r="N109" s="38"/>
      <c r="O109" s="38"/>
      <c r="P109" s="15"/>
      <c r="Q109" s="40"/>
      <c r="R109" s="38"/>
      <c r="S109" s="38"/>
      <c r="T109" s="38"/>
      <c r="U109" s="38"/>
      <c r="V109" s="38"/>
      <c r="W109" s="38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41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</row>
    <row r="110" spans="1:48" x14ac:dyDescent="0.25">
      <c r="A110" s="15"/>
      <c r="B110" s="37"/>
      <c r="C110" s="37"/>
      <c r="D110" s="38"/>
      <c r="E110" s="38"/>
      <c r="F110" s="39"/>
      <c r="G110" s="39"/>
      <c r="H110" s="39"/>
      <c r="I110" s="38"/>
      <c r="J110" s="15"/>
      <c r="K110" s="38"/>
      <c r="L110" s="38"/>
      <c r="M110" s="38"/>
      <c r="N110" s="38"/>
      <c r="O110" s="38"/>
      <c r="P110" s="15"/>
      <c r="Q110" s="40"/>
      <c r="R110" s="38"/>
      <c r="S110" s="38"/>
      <c r="T110" s="38"/>
      <c r="U110" s="38"/>
      <c r="V110" s="38"/>
      <c r="W110" s="38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41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</row>
    <row r="111" spans="1:48" x14ac:dyDescent="0.25">
      <c r="A111" s="15"/>
      <c r="B111" s="37"/>
      <c r="C111" s="37"/>
      <c r="D111" s="38"/>
      <c r="E111" s="38"/>
      <c r="F111" s="39"/>
      <c r="G111" s="39"/>
      <c r="H111" s="39"/>
      <c r="I111" s="38"/>
      <c r="J111" s="15"/>
      <c r="K111" s="38"/>
      <c r="L111" s="38"/>
      <c r="M111" s="38"/>
      <c r="N111" s="38"/>
      <c r="O111" s="38"/>
      <c r="P111" s="15"/>
      <c r="Q111" s="40"/>
      <c r="R111" s="38"/>
      <c r="S111" s="38"/>
      <c r="T111" s="38"/>
      <c r="U111" s="38"/>
      <c r="V111" s="38"/>
      <c r="W111" s="38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41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</row>
    <row r="112" spans="1:48" x14ac:dyDescent="0.25">
      <c r="A112" s="15"/>
      <c r="B112" s="37"/>
      <c r="C112" s="37"/>
      <c r="D112" s="38"/>
      <c r="E112" s="38"/>
      <c r="F112" s="39"/>
      <c r="G112" s="39"/>
      <c r="H112" s="39"/>
      <c r="I112" s="38"/>
      <c r="J112" s="15"/>
      <c r="K112" s="38"/>
      <c r="L112" s="38"/>
      <c r="M112" s="38"/>
      <c r="N112" s="38"/>
      <c r="O112" s="38"/>
      <c r="P112" s="15"/>
      <c r="Q112" s="40"/>
      <c r="R112" s="38"/>
      <c r="S112" s="38"/>
      <c r="T112" s="38"/>
      <c r="U112" s="38"/>
      <c r="V112" s="38"/>
      <c r="W112" s="38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41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</row>
    <row r="113" spans="1:48" x14ac:dyDescent="0.25">
      <c r="A113" s="15"/>
      <c r="B113" s="37"/>
      <c r="C113" s="37"/>
      <c r="D113" s="38"/>
      <c r="E113" s="38"/>
      <c r="F113" s="39"/>
      <c r="G113" s="39"/>
      <c r="H113" s="39"/>
      <c r="I113" s="38"/>
      <c r="J113" s="15"/>
      <c r="K113" s="38"/>
      <c r="L113" s="38"/>
      <c r="M113" s="38"/>
      <c r="N113" s="38"/>
      <c r="O113" s="38"/>
      <c r="P113" s="15"/>
      <c r="Q113" s="40"/>
      <c r="R113" s="38"/>
      <c r="S113" s="38"/>
      <c r="T113" s="38"/>
      <c r="U113" s="38"/>
      <c r="V113" s="38"/>
      <c r="W113" s="38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41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</row>
    <row r="114" spans="1:48" x14ac:dyDescent="0.25">
      <c r="A114" s="15"/>
      <c r="B114" s="37"/>
      <c r="C114" s="37"/>
      <c r="D114" s="38"/>
      <c r="E114" s="38"/>
      <c r="F114" s="39"/>
      <c r="G114" s="39"/>
      <c r="H114" s="39"/>
      <c r="I114" s="38"/>
      <c r="J114" s="15"/>
      <c r="K114" s="38"/>
      <c r="L114" s="38"/>
      <c r="M114" s="38"/>
      <c r="N114" s="38"/>
      <c r="O114" s="38"/>
      <c r="P114" s="15"/>
      <c r="Q114" s="40"/>
      <c r="R114" s="38"/>
      <c r="S114" s="38"/>
      <c r="T114" s="38"/>
      <c r="U114" s="38"/>
      <c r="V114" s="38"/>
      <c r="W114" s="38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41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</row>
    <row r="115" spans="1:48" x14ac:dyDescent="0.25">
      <c r="A115" s="15"/>
      <c r="B115" s="37"/>
      <c r="C115" s="37"/>
      <c r="D115" s="38"/>
      <c r="E115" s="38"/>
      <c r="F115" s="39"/>
      <c r="G115" s="39"/>
      <c r="H115" s="39"/>
      <c r="I115" s="38"/>
      <c r="J115" s="15"/>
      <c r="K115" s="38"/>
      <c r="L115" s="38"/>
      <c r="M115" s="38"/>
      <c r="N115" s="38"/>
      <c r="O115" s="38"/>
      <c r="P115" s="15"/>
      <c r="Q115" s="40"/>
      <c r="R115" s="38"/>
      <c r="S115" s="38"/>
      <c r="T115" s="38"/>
      <c r="U115" s="38"/>
      <c r="V115" s="38"/>
      <c r="W115" s="38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41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</row>
    <row r="116" spans="1:48" x14ac:dyDescent="0.25">
      <c r="A116" s="15"/>
      <c r="B116" s="37"/>
      <c r="C116" s="37"/>
      <c r="D116" s="38"/>
      <c r="E116" s="38"/>
      <c r="F116" s="39"/>
      <c r="G116" s="39"/>
      <c r="H116" s="39"/>
      <c r="I116" s="38"/>
      <c r="J116" s="15"/>
      <c r="K116" s="38"/>
      <c r="L116" s="38"/>
      <c r="M116" s="38"/>
      <c r="N116" s="38"/>
      <c r="O116" s="38"/>
      <c r="P116" s="15"/>
      <c r="Q116" s="40"/>
      <c r="R116" s="38"/>
      <c r="S116" s="38"/>
      <c r="T116" s="38"/>
      <c r="U116" s="38"/>
      <c r="V116" s="38"/>
      <c r="W116" s="38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41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</row>
    <row r="117" spans="1:48" x14ac:dyDescent="0.25">
      <c r="A117" s="15"/>
      <c r="B117" s="37"/>
      <c r="C117" s="37"/>
      <c r="D117" s="38"/>
      <c r="E117" s="38"/>
      <c r="F117" s="39"/>
      <c r="G117" s="39"/>
      <c r="H117" s="39"/>
      <c r="I117" s="38"/>
      <c r="J117" s="15"/>
      <c r="K117" s="38"/>
      <c r="L117" s="38"/>
      <c r="M117" s="38"/>
      <c r="N117" s="38"/>
      <c r="O117" s="38"/>
      <c r="P117" s="15"/>
      <c r="Q117" s="40"/>
      <c r="R117" s="38"/>
      <c r="S117" s="38"/>
      <c r="T117" s="38"/>
      <c r="U117" s="38"/>
      <c r="V117" s="38"/>
      <c r="W117" s="38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41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</row>
    <row r="118" spans="1:48" x14ac:dyDescent="0.25">
      <c r="A118" s="15"/>
      <c r="B118" s="37"/>
      <c r="C118" s="37"/>
      <c r="D118" s="38"/>
      <c r="E118" s="38"/>
      <c r="F118" s="39"/>
      <c r="G118" s="39"/>
      <c r="H118" s="39"/>
      <c r="I118" s="38"/>
      <c r="J118" s="15"/>
      <c r="K118" s="38"/>
      <c r="L118" s="38"/>
      <c r="M118" s="38"/>
      <c r="N118" s="38"/>
      <c r="O118" s="38"/>
      <c r="P118" s="15"/>
      <c r="Q118" s="40"/>
      <c r="R118" s="38"/>
      <c r="S118" s="38"/>
      <c r="T118" s="38"/>
      <c r="U118" s="38"/>
      <c r="V118" s="38"/>
      <c r="W118" s="38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41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</row>
    <row r="119" spans="1:48" x14ac:dyDescent="0.25">
      <c r="A119" s="15"/>
      <c r="B119" s="37"/>
      <c r="C119" s="37"/>
      <c r="D119" s="38"/>
      <c r="E119" s="38"/>
      <c r="F119" s="39"/>
      <c r="G119" s="39"/>
      <c r="H119" s="39"/>
      <c r="I119" s="38"/>
      <c r="J119" s="15"/>
      <c r="K119" s="38"/>
      <c r="L119" s="38"/>
      <c r="M119" s="38"/>
      <c r="N119" s="38"/>
      <c r="O119" s="38"/>
      <c r="P119" s="15"/>
      <c r="Q119" s="40"/>
      <c r="R119" s="38"/>
      <c r="S119" s="38"/>
      <c r="T119" s="38"/>
      <c r="U119" s="38"/>
      <c r="V119" s="38"/>
      <c r="W119" s="38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41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</row>
    <row r="120" spans="1:48" x14ac:dyDescent="0.25">
      <c r="A120" s="15"/>
      <c r="B120" s="37"/>
      <c r="C120" s="37"/>
      <c r="D120" s="38"/>
      <c r="E120" s="38"/>
      <c r="F120" s="39"/>
      <c r="G120" s="39"/>
      <c r="H120" s="39"/>
      <c r="I120" s="38"/>
      <c r="J120" s="15"/>
      <c r="K120" s="38"/>
      <c r="L120" s="38"/>
      <c r="M120" s="38"/>
      <c r="N120" s="38"/>
      <c r="O120" s="38"/>
      <c r="P120" s="15"/>
      <c r="Q120" s="40"/>
      <c r="R120" s="38"/>
      <c r="S120" s="38"/>
      <c r="T120" s="38"/>
      <c r="U120" s="38"/>
      <c r="V120" s="38"/>
      <c r="W120" s="38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41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</row>
    <row r="121" spans="1:48" x14ac:dyDescent="0.25">
      <c r="A121" s="15"/>
      <c r="B121" s="37"/>
      <c r="C121" s="37"/>
      <c r="D121" s="38"/>
      <c r="E121" s="38"/>
      <c r="F121" s="39"/>
      <c r="G121" s="39"/>
      <c r="H121" s="39"/>
      <c r="I121" s="38"/>
      <c r="J121" s="15"/>
      <c r="K121" s="38"/>
      <c r="L121" s="38"/>
      <c r="M121" s="38"/>
      <c r="N121" s="38"/>
      <c r="O121" s="38"/>
      <c r="P121" s="15"/>
      <c r="Q121" s="40"/>
      <c r="R121" s="38"/>
      <c r="S121" s="38"/>
      <c r="T121" s="38"/>
      <c r="U121" s="38"/>
      <c r="V121" s="38"/>
      <c r="W121" s="38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41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</row>
    <row r="122" spans="1:48" x14ac:dyDescent="0.25">
      <c r="I122" s="38"/>
    </row>
  </sheetData>
  <mergeCells count="14">
    <mergeCell ref="U2:W2"/>
    <mergeCell ref="Z2:AK2"/>
    <mergeCell ref="AL2:AL3"/>
    <mergeCell ref="AM2:AO2"/>
    <mergeCell ref="B1:P1"/>
    <mergeCell ref="R1:W1"/>
    <mergeCell ref="Z1:AO1"/>
    <mergeCell ref="B2:C2"/>
    <mergeCell ref="D2:E2"/>
    <mergeCell ref="F2:G2"/>
    <mergeCell ref="H2:I2"/>
    <mergeCell ref="J2:K2"/>
    <mergeCell ref="N2:P2"/>
    <mergeCell ref="R2:T2"/>
  </mergeCells>
  <conditionalFormatting sqref="AS4:AS36">
    <cfRule type="cellIs" dxfId="5" priority="1" operator="lessThan">
      <formula>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Y115"/>
  <sheetViews>
    <sheetView topLeftCell="A16" workbookViewId="0">
      <selection activeCell="M27" sqref="M27"/>
    </sheetView>
  </sheetViews>
  <sheetFormatPr defaultRowHeight="15" x14ac:dyDescent="0.25"/>
  <cols>
    <col min="2" max="2" width="11.85546875" customWidth="1"/>
    <col min="3" max="3" width="16.7109375" customWidth="1"/>
    <col min="4" max="4" width="14.42578125" customWidth="1"/>
    <col min="5" max="5" width="13" customWidth="1"/>
    <col min="6" max="7" width="14.28515625" customWidth="1"/>
    <col min="8" max="8" width="14.5703125" customWidth="1"/>
    <col min="9" max="10" width="12" customWidth="1"/>
    <col min="11" max="11" width="9.42578125" bestFit="1" customWidth="1"/>
    <col min="12" max="12" width="11" customWidth="1"/>
    <col min="14" max="14" width="12.5703125" customWidth="1"/>
    <col min="15" max="16" width="11.28515625" customWidth="1"/>
    <col min="17" max="17" width="10" bestFit="1" customWidth="1"/>
    <col min="18" max="18" width="13.85546875" customWidth="1"/>
    <col min="19" max="19" width="12.42578125" customWidth="1"/>
    <col min="20" max="20" width="13.85546875" customWidth="1"/>
    <col min="22" max="23" width="11.140625" customWidth="1"/>
    <col min="25" max="25" width="14" customWidth="1"/>
    <col min="26" max="26" width="13.7109375" customWidth="1"/>
    <col min="27" max="27" width="17" customWidth="1"/>
    <col min="31" max="31" width="11.28515625" customWidth="1"/>
    <col min="34" max="34" width="10" bestFit="1" customWidth="1"/>
    <col min="37" max="37" width="15.28515625" customWidth="1"/>
    <col min="39" max="39" width="13" customWidth="1"/>
    <col min="42" max="42" width="13.42578125" customWidth="1"/>
    <col min="43" max="43" width="15" customWidth="1"/>
    <col min="44" max="44" width="12.7109375" customWidth="1"/>
    <col min="45" max="45" width="12.140625" customWidth="1"/>
    <col min="46" max="46" width="13.7109375" customWidth="1"/>
  </cols>
  <sheetData>
    <row r="2" spans="2:49" ht="18.75" x14ac:dyDescent="0.3">
      <c r="B2" s="6"/>
      <c r="C2" s="81" t="s">
        <v>45</v>
      </c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11"/>
      <c r="S2" s="85" t="s">
        <v>46</v>
      </c>
      <c r="T2" s="85"/>
      <c r="U2" s="85"/>
      <c r="V2" s="85"/>
      <c r="W2" s="85"/>
      <c r="X2" s="85"/>
      <c r="Y2" s="2"/>
      <c r="Z2" s="3"/>
      <c r="AA2" s="94" t="s">
        <v>33</v>
      </c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10"/>
      <c r="AR2" s="2"/>
      <c r="AS2" s="2"/>
      <c r="AT2" s="2"/>
      <c r="AU2" s="2"/>
      <c r="AV2" s="2"/>
      <c r="AW2" s="2"/>
    </row>
    <row r="3" spans="2:49" x14ac:dyDescent="0.25">
      <c r="B3" s="12" t="s">
        <v>0</v>
      </c>
      <c r="C3" s="82" t="s">
        <v>5</v>
      </c>
      <c r="D3" s="82"/>
      <c r="E3" s="83" t="s">
        <v>12</v>
      </c>
      <c r="F3" s="83"/>
      <c r="G3" s="83" t="s">
        <v>6</v>
      </c>
      <c r="H3" s="83"/>
      <c r="I3" s="84" t="s">
        <v>7</v>
      </c>
      <c r="J3" s="84"/>
      <c r="K3" s="84" t="s">
        <v>8</v>
      </c>
      <c r="L3" s="84"/>
      <c r="M3" s="13"/>
      <c r="N3" s="13" t="s">
        <v>35</v>
      </c>
      <c r="O3" s="84" t="s">
        <v>15</v>
      </c>
      <c r="P3" s="84"/>
      <c r="Q3" s="84"/>
      <c r="R3" s="44"/>
      <c r="S3" s="86" t="s">
        <v>36</v>
      </c>
      <c r="T3" s="87"/>
      <c r="U3" s="88"/>
      <c r="V3" s="89" t="s">
        <v>47</v>
      </c>
      <c r="W3" s="90"/>
      <c r="X3" s="91"/>
      <c r="Y3" s="12" t="s">
        <v>14</v>
      </c>
      <c r="Z3" s="14"/>
      <c r="AA3" s="92" t="s">
        <v>13</v>
      </c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5" t="s">
        <v>34</v>
      </c>
      <c r="AN3" s="93" t="s">
        <v>29</v>
      </c>
      <c r="AO3" s="93"/>
      <c r="AP3" s="93"/>
      <c r="AQ3" s="48"/>
      <c r="AR3" s="12"/>
      <c r="AS3" s="15"/>
      <c r="AT3" s="15"/>
      <c r="AU3" s="15"/>
      <c r="AV3" s="15"/>
      <c r="AW3" s="15"/>
    </row>
    <row r="4" spans="2:49" ht="26.25" x14ac:dyDescent="0.25">
      <c r="B4" s="16"/>
      <c r="C4" s="17" t="s">
        <v>1</v>
      </c>
      <c r="D4" s="17" t="s">
        <v>2</v>
      </c>
      <c r="E4" s="18" t="s">
        <v>1</v>
      </c>
      <c r="F4" s="18" t="s">
        <v>2</v>
      </c>
      <c r="G4" s="19" t="s">
        <v>1</v>
      </c>
      <c r="H4" s="19" t="s">
        <v>2</v>
      </c>
      <c r="I4" s="19" t="s">
        <v>9</v>
      </c>
      <c r="J4" s="18" t="s">
        <v>10</v>
      </c>
      <c r="K4" s="16" t="s">
        <v>11</v>
      </c>
      <c r="L4" s="18" t="s">
        <v>10</v>
      </c>
      <c r="M4" s="18" t="s">
        <v>4</v>
      </c>
      <c r="N4" s="18"/>
      <c r="O4" s="18" t="s">
        <v>52</v>
      </c>
      <c r="P4" s="18" t="s">
        <v>40</v>
      </c>
      <c r="Q4" s="16" t="s">
        <v>28</v>
      </c>
      <c r="R4" s="44" t="s">
        <v>3</v>
      </c>
      <c r="S4" s="18" t="s">
        <v>1</v>
      </c>
      <c r="T4" s="18" t="s">
        <v>2</v>
      </c>
      <c r="U4" s="18" t="s">
        <v>60</v>
      </c>
      <c r="V4" s="18" t="s">
        <v>39</v>
      </c>
      <c r="W4" s="18" t="s">
        <v>38</v>
      </c>
      <c r="X4" s="18" t="s">
        <v>37</v>
      </c>
      <c r="Y4" s="16"/>
      <c r="Z4" s="20" t="s">
        <v>48</v>
      </c>
      <c r="AA4" s="16" t="s">
        <v>61</v>
      </c>
      <c r="AB4" s="16" t="s">
        <v>17</v>
      </c>
      <c r="AC4" s="16" t="s">
        <v>18</v>
      </c>
      <c r="AD4" s="16" t="s">
        <v>19</v>
      </c>
      <c r="AE4" s="16" t="s">
        <v>54</v>
      </c>
      <c r="AF4" s="16" t="s">
        <v>58</v>
      </c>
      <c r="AG4" s="16" t="s">
        <v>22</v>
      </c>
      <c r="AH4" s="16" t="s">
        <v>23</v>
      </c>
      <c r="AI4" s="16" t="s">
        <v>24</v>
      </c>
      <c r="AJ4" s="16" t="s">
        <v>25</v>
      </c>
      <c r="AK4" s="16" t="s">
        <v>64</v>
      </c>
      <c r="AL4" s="16" t="s">
        <v>41</v>
      </c>
      <c r="AM4" s="96"/>
      <c r="AN4" s="21" t="s">
        <v>30</v>
      </c>
      <c r="AO4" s="21" t="s">
        <v>31</v>
      </c>
      <c r="AP4" s="21" t="s">
        <v>32</v>
      </c>
      <c r="AQ4" s="49" t="s">
        <v>49</v>
      </c>
      <c r="AR4" s="22" t="s">
        <v>42</v>
      </c>
      <c r="AS4" s="23" t="s">
        <v>44</v>
      </c>
      <c r="AT4" s="24" t="s">
        <v>43</v>
      </c>
      <c r="AU4" s="15"/>
      <c r="AV4" s="15"/>
      <c r="AW4" s="15"/>
    </row>
    <row r="5" spans="2:49" x14ac:dyDescent="0.25">
      <c r="B5" s="25">
        <v>44896</v>
      </c>
      <c r="C5" s="46">
        <v>1436.97</v>
      </c>
      <c r="D5" s="46">
        <v>5619.52</v>
      </c>
      <c r="E5" s="47">
        <v>5599</v>
      </c>
      <c r="F5" s="47">
        <v>5680</v>
      </c>
      <c r="G5" s="13">
        <f t="shared" ref="G5:H35" si="0">C5*E5</f>
        <v>8045595.0300000003</v>
      </c>
      <c r="H5" s="13">
        <f t="shared" si="0"/>
        <v>31918873.600000001</v>
      </c>
      <c r="I5" s="26">
        <v>33.25</v>
      </c>
      <c r="J5" s="13">
        <v>792000</v>
      </c>
      <c r="K5" s="27">
        <v>18.5</v>
      </c>
      <c r="L5" s="13">
        <v>282000</v>
      </c>
      <c r="M5" s="13">
        <v>23000</v>
      </c>
      <c r="N5" s="13"/>
      <c r="O5" s="13"/>
      <c r="P5" s="13">
        <v>413000</v>
      </c>
      <c r="Q5" s="13">
        <v>24000</v>
      </c>
      <c r="R5" s="45">
        <f>SUM(G5:H5)+J5+L5+SUM(M5:Q5)</f>
        <v>41498468.630000003</v>
      </c>
      <c r="S5" s="13">
        <v>1007429</v>
      </c>
      <c r="T5" s="13">
        <v>29184368</v>
      </c>
      <c r="U5" s="13">
        <v>223960</v>
      </c>
      <c r="V5" s="13"/>
      <c r="W5" s="13"/>
      <c r="X5" s="13"/>
      <c r="Y5" s="13">
        <v>4518644</v>
      </c>
      <c r="Z5" s="28">
        <f>R5-SUM(S5:Y5)</f>
        <v>6564067.6300000027</v>
      </c>
      <c r="AA5" s="13"/>
      <c r="AB5" s="13"/>
      <c r="AC5" s="13"/>
      <c r="AD5" s="13">
        <v>20000</v>
      </c>
      <c r="AE5" s="13"/>
      <c r="AF5" s="13"/>
      <c r="AG5" s="13">
        <v>6000</v>
      </c>
      <c r="AH5" s="13"/>
      <c r="AI5" s="13">
        <v>10000</v>
      </c>
      <c r="AJ5" s="13"/>
      <c r="AK5" s="13"/>
      <c r="AL5" s="13"/>
      <c r="AM5" s="43">
        <f t="shared" ref="AM5:AM20" si="1">SUM(AA5:AL5)</f>
        <v>36000</v>
      </c>
      <c r="AN5" s="12"/>
      <c r="AO5" s="12"/>
      <c r="AP5" s="12"/>
      <c r="AQ5" s="12">
        <v>738400</v>
      </c>
      <c r="AR5" s="29">
        <f>R5-SUM(S5:Y5)-AM5-SUM(AN5:AP5)-AQ5</f>
        <v>5789667.6300000027</v>
      </c>
      <c r="AS5" s="15">
        <v>5789200</v>
      </c>
      <c r="AT5" s="30">
        <f t="shared" ref="AT5:AT35" si="2">AS5-AR5</f>
        <v>-467.63000000268221</v>
      </c>
      <c r="AU5" s="15"/>
      <c r="AV5" s="15"/>
      <c r="AW5" s="15"/>
    </row>
    <row r="6" spans="2:49" x14ac:dyDescent="0.25">
      <c r="B6" s="25">
        <v>44897</v>
      </c>
      <c r="C6" s="46">
        <v>2503.94</v>
      </c>
      <c r="D6" s="46">
        <v>1705.81</v>
      </c>
      <c r="E6" s="47">
        <v>5599</v>
      </c>
      <c r="F6" s="47">
        <v>5680</v>
      </c>
      <c r="G6" s="13">
        <f t="shared" si="0"/>
        <v>14019560.060000001</v>
      </c>
      <c r="H6" s="13">
        <f t="shared" si="0"/>
        <v>9689000.7999999989</v>
      </c>
      <c r="I6" s="31">
        <v>24.25</v>
      </c>
      <c r="J6" s="13">
        <v>505500</v>
      </c>
      <c r="K6" s="27">
        <v>18</v>
      </c>
      <c r="L6" s="13">
        <v>168000</v>
      </c>
      <c r="M6" s="13">
        <v>8000</v>
      </c>
      <c r="N6" s="13"/>
      <c r="O6" s="13"/>
      <c r="P6" s="13">
        <v>358000</v>
      </c>
      <c r="Q6" s="13">
        <v>4000</v>
      </c>
      <c r="R6" s="45">
        <f t="shared" ref="R6:R35" si="3">SUM(G6:H6)+J6+L6+SUM(M6:Q6)</f>
        <v>24752060.859999999</v>
      </c>
      <c r="S6" s="13">
        <v>1907494</v>
      </c>
      <c r="T6" s="13">
        <v>4419749</v>
      </c>
      <c r="U6" s="13"/>
      <c r="V6" s="13"/>
      <c r="W6" s="13"/>
      <c r="X6" s="13"/>
      <c r="Y6" s="32">
        <v>3694600</v>
      </c>
      <c r="Z6" s="28">
        <f>R6-SUM(S6:Y6)</f>
        <v>14730217.859999999</v>
      </c>
      <c r="AA6" s="33"/>
      <c r="AB6" s="34"/>
      <c r="AC6" s="13"/>
      <c r="AD6" s="13"/>
      <c r="AE6" s="13"/>
      <c r="AF6" s="13"/>
      <c r="AG6" s="13">
        <v>3000</v>
      </c>
      <c r="AH6" s="13">
        <v>1420000</v>
      </c>
      <c r="AI6" s="13">
        <v>70000</v>
      </c>
      <c r="AJ6" s="13"/>
      <c r="AK6" s="13"/>
      <c r="AL6" s="13"/>
      <c r="AM6" s="43">
        <f t="shared" si="1"/>
        <v>1493000</v>
      </c>
      <c r="AN6" s="12"/>
      <c r="AO6" s="12"/>
      <c r="AP6" s="12"/>
      <c r="AQ6" s="12">
        <v>366000</v>
      </c>
      <c r="AR6" s="29">
        <f t="shared" ref="AR6:AR35" si="4">R6-SUM(S6:Y6)-AM6-SUM(AN6:AP6)-AQ6</f>
        <v>12871217.859999999</v>
      </c>
      <c r="AS6" s="15">
        <v>12871200</v>
      </c>
      <c r="AT6" s="30">
        <f t="shared" si="2"/>
        <v>-17.859999999403954</v>
      </c>
      <c r="AU6" s="15"/>
      <c r="AV6" s="15"/>
      <c r="AW6" s="15"/>
    </row>
    <row r="7" spans="2:49" x14ac:dyDescent="0.25">
      <c r="B7" s="25">
        <v>44898</v>
      </c>
      <c r="C7" s="46">
        <v>2298.61</v>
      </c>
      <c r="D7" s="46">
        <v>3321.4</v>
      </c>
      <c r="E7" s="47">
        <v>5599</v>
      </c>
      <c r="F7" s="47">
        <v>5680</v>
      </c>
      <c r="G7" s="13">
        <f t="shared" si="0"/>
        <v>12869917.390000001</v>
      </c>
      <c r="H7" s="13">
        <f t="shared" si="0"/>
        <v>18865552</v>
      </c>
      <c r="I7" s="26">
        <v>52.5</v>
      </c>
      <c r="J7" s="13">
        <v>1126000</v>
      </c>
      <c r="K7" s="27">
        <v>36.5</v>
      </c>
      <c r="L7" s="13">
        <v>337000</v>
      </c>
      <c r="M7" s="13">
        <v>38000</v>
      </c>
      <c r="N7" s="13">
        <v>150000</v>
      </c>
      <c r="O7" s="13"/>
      <c r="P7" s="13">
        <v>338600</v>
      </c>
      <c r="Q7" s="13">
        <v>0</v>
      </c>
      <c r="R7" s="45">
        <f t="shared" si="3"/>
        <v>33725069.390000001</v>
      </c>
      <c r="S7" s="13">
        <v>1277755</v>
      </c>
      <c r="T7" s="13">
        <v>8232237</v>
      </c>
      <c r="U7" s="13"/>
      <c r="V7" s="13"/>
      <c r="W7" s="13"/>
      <c r="X7" s="13">
        <v>631123</v>
      </c>
      <c r="Y7" s="13">
        <v>8651400</v>
      </c>
      <c r="Z7" s="28">
        <f>R7-SUM(S7:Y7)</f>
        <v>14932554.390000001</v>
      </c>
      <c r="AA7" s="13"/>
      <c r="AB7" s="13"/>
      <c r="AC7" s="13"/>
      <c r="AD7" s="13"/>
      <c r="AE7" s="13"/>
      <c r="AF7" s="13"/>
      <c r="AG7" s="13">
        <v>6000</v>
      </c>
      <c r="AH7" s="13">
        <v>100000</v>
      </c>
      <c r="AI7" s="13">
        <v>19000</v>
      </c>
      <c r="AJ7" s="13"/>
      <c r="AK7" s="13"/>
      <c r="AL7" s="13"/>
      <c r="AM7" s="43">
        <f t="shared" si="1"/>
        <v>125000</v>
      </c>
      <c r="AN7" s="12"/>
      <c r="AO7" s="12"/>
      <c r="AP7" s="12"/>
      <c r="AQ7" s="12">
        <v>1746112</v>
      </c>
      <c r="AR7" s="29">
        <f t="shared" si="4"/>
        <v>13061442.390000001</v>
      </c>
      <c r="AS7" s="15">
        <v>13063400</v>
      </c>
      <c r="AT7" s="30">
        <f t="shared" si="2"/>
        <v>1957.609999999404</v>
      </c>
      <c r="AU7" s="15"/>
      <c r="AV7" s="15"/>
      <c r="AW7" s="15"/>
    </row>
    <row r="8" spans="2:49" x14ac:dyDescent="0.25">
      <c r="B8" s="25">
        <v>44899</v>
      </c>
      <c r="C8" s="46">
        <v>2016.76</v>
      </c>
      <c r="D8" s="46">
        <v>6739</v>
      </c>
      <c r="E8" s="47">
        <v>5599</v>
      </c>
      <c r="F8" s="47">
        <v>5680</v>
      </c>
      <c r="G8" s="13">
        <f t="shared" si="0"/>
        <v>11291839.24</v>
      </c>
      <c r="H8" s="13">
        <f t="shared" si="0"/>
        <v>38277520</v>
      </c>
      <c r="I8" s="26">
        <v>36</v>
      </c>
      <c r="J8" s="13">
        <v>821000</v>
      </c>
      <c r="K8" s="27">
        <v>27</v>
      </c>
      <c r="L8" s="13">
        <v>252000</v>
      </c>
      <c r="M8" s="13">
        <v>143000</v>
      </c>
      <c r="N8" s="13">
        <v>250000</v>
      </c>
      <c r="O8" s="13"/>
      <c r="P8" s="13">
        <v>2246000</v>
      </c>
      <c r="Q8" s="13">
        <v>0</v>
      </c>
      <c r="R8" s="45">
        <f t="shared" si="3"/>
        <v>53281359.240000002</v>
      </c>
      <c r="S8" s="13">
        <v>858266</v>
      </c>
      <c r="T8" s="13">
        <v>32004597</v>
      </c>
      <c r="U8" s="13"/>
      <c r="V8" s="13"/>
      <c r="W8" s="13"/>
      <c r="X8" s="13"/>
      <c r="Y8" s="13">
        <v>4196800</v>
      </c>
      <c r="Z8" s="28">
        <f t="shared" ref="Z8:Z35" si="5">R8-SUM(S8:Y8)</f>
        <v>16221696.240000002</v>
      </c>
      <c r="AA8" s="13"/>
      <c r="AB8" s="13"/>
      <c r="AC8" s="13"/>
      <c r="AD8" s="13"/>
      <c r="AE8" s="13"/>
      <c r="AF8" s="13"/>
      <c r="AG8" s="13"/>
      <c r="AH8" s="13">
        <v>84000</v>
      </c>
      <c r="AI8" s="13"/>
      <c r="AJ8" s="13"/>
      <c r="AK8" s="13"/>
      <c r="AL8" s="13">
        <v>11000</v>
      </c>
      <c r="AM8" s="43">
        <f t="shared" si="1"/>
        <v>95000</v>
      </c>
      <c r="AN8" s="12"/>
      <c r="AO8" s="12"/>
      <c r="AP8" s="12"/>
      <c r="AQ8" s="12">
        <v>1435500</v>
      </c>
      <c r="AR8" s="29">
        <f t="shared" si="4"/>
        <v>14691196.240000002</v>
      </c>
      <c r="AS8" s="15">
        <v>14690600</v>
      </c>
      <c r="AT8" s="30">
        <f t="shared" si="2"/>
        <v>-596.24000000208616</v>
      </c>
      <c r="AU8" s="15"/>
      <c r="AV8" s="15"/>
      <c r="AW8" s="15"/>
    </row>
    <row r="9" spans="2:49" x14ac:dyDescent="0.25">
      <c r="B9" s="25">
        <v>44900</v>
      </c>
      <c r="C9" s="46">
        <v>1788.91</v>
      </c>
      <c r="D9" s="46">
        <v>2576.46</v>
      </c>
      <c r="E9" s="47">
        <v>5599</v>
      </c>
      <c r="F9" s="47">
        <v>5680</v>
      </c>
      <c r="G9" s="13">
        <f t="shared" si="0"/>
        <v>10016107.09</v>
      </c>
      <c r="H9" s="13">
        <f t="shared" si="0"/>
        <v>14634292.800000001</v>
      </c>
      <c r="I9" s="26">
        <v>50</v>
      </c>
      <c r="J9" s="13">
        <v>1222000</v>
      </c>
      <c r="K9" s="27">
        <v>55</v>
      </c>
      <c r="L9" s="13">
        <v>506000</v>
      </c>
      <c r="M9" s="13">
        <v>16000</v>
      </c>
      <c r="N9" s="13"/>
      <c r="O9" s="13"/>
      <c r="P9" s="13">
        <v>1485000</v>
      </c>
      <c r="Q9" s="13">
        <v>4000</v>
      </c>
      <c r="R9" s="45">
        <f t="shared" si="3"/>
        <v>27883399.890000001</v>
      </c>
      <c r="S9" s="13">
        <v>793597</v>
      </c>
      <c r="T9" s="13">
        <v>9888659</v>
      </c>
      <c r="U9" s="13"/>
      <c r="V9" s="13"/>
      <c r="W9" s="13"/>
      <c r="X9" s="13"/>
      <c r="Y9" s="13">
        <v>3994537</v>
      </c>
      <c r="Z9" s="28">
        <f t="shared" si="5"/>
        <v>13206606.890000001</v>
      </c>
      <c r="AA9" s="13"/>
      <c r="AB9" s="13"/>
      <c r="AC9" s="13"/>
      <c r="AD9" s="13">
        <v>20000</v>
      </c>
      <c r="AE9" s="13"/>
      <c r="AF9" s="13"/>
      <c r="AG9" s="13">
        <v>3000</v>
      </c>
      <c r="AH9" s="13"/>
      <c r="AI9" s="13">
        <v>10000</v>
      </c>
      <c r="AJ9" s="13"/>
      <c r="AK9" s="13"/>
      <c r="AL9" s="13"/>
      <c r="AM9" s="43">
        <f t="shared" si="1"/>
        <v>33000</v>
      </c>
      <c r="AN9" s="12"/>
      <c r="AO9" s="12"/>
      <c r="AP9" s="12"/>
      <c r="AQ9" s="12">
        <v>1130320</v>
      </c>
      <c r="AR9" s="29">
        <f t="shared" si="4"/>
        <v>12043286.890000001</v>
      </c>
      <c r="AS9" s="15">
        <v>12043300</v>
      </c>
      <c r="AT9" s="30">
        <f t="shared" si="2"/>
        <v>13.109999999403954</v>
      </c>
      <c r="AU9" s="15"/>
      <c r="AV9" s="15"/>
      <c r="AW9" s="15"/>
    </row>
    <row r="10" spans="2:49" x14ac:dyDescent="0.25">
      <c r="B10" s="25">
        <v>44901</v>
      </c>
      <c r="C10" s="46">
        <v>1849.37</v>
      </c>
      <c r="D10" s="46">
        <v>4508.49</v>
      </c>
      <c r="E10" s="47">
        <v>5599</v>
      </c>
      <c r="F10" s="47">
        <v>5680</v>
      </c>
      <c r="G10" s="13">
        <f t="shared" si="0"/>
        <v>10354622.629999999</v>
      </c>
      <c r="H10" s="13">
        <f t="shared" si="0"/>
        <v>25608223.199999999</v>
      </c>
      <c r="I10" s="26">
        <v>23.25</v>
      </c>
      <c r="J10" s="13">
        <v>548000</v>
      </c>
      <c r="K10" s="27">
        <v>125.5</v>
      </c>
      <c r="L10" s="13">
        <v>1051000</v>
      </c>
      <c r="M10" s="13">
        <v>16000</v>
      </c>
      <c r="N10" s="13"/>
      <c r="O10" s="13">
        <v>1788300</v>
      </c>
      <c r="P10" s="13">
        <v>2752600</v>
      </c>
      <c r="Q10" s="31">
        <v>20000</v>
      </c>
      <c r="R10" s="45">
        <f t="shared" si="3"/>
        <v>42138745.829999998</v>
      </c>
      <c r="S10" s="13">
        <v>2156919</v>
      </c>
      <c r="T10" s="13">
        <v>23292854</v>
      </c>
      <c r="U10" s="13"/>
      <c r="V10" s="13"/>
      <c r="W10" s="13"/>
      <c r="X10" s="13"/>
      <c r="Y10" s="31">
        <v>6272980</v>
      </c>
      <c r="Z10" s="28">
        <f t="shared" si="5"/>
        <v>10415992.829999998</v>
      </c>
      <c r="AA10" s="13"/>
      <c r="AB10" s="13"/>
      <c r="AC10" s="13"/>
      <c r="AD10" s="13"/>
      <c r="AE10" s="13"/>
      <c r="AF10" s="13"/>
      <c r="AG10" s="13">
        <v>3000</v>
      </c>
      <c r="AH10" s="13"/>
      <c r="AI10" s="13"/>
      <c r="AJ10" s="13"/>
      <c r="AK10" s="13"/>
      <c r="AL10" s="13"/>
      <c r="AM10" s="43">
        <f t="shared" si="1"/>
        <v>3000</v>
      </c>
      <c r="AN10" s="12"/>
      <c r="AO10" s="12"/>
      <c r="AP10" s="12"/>
      <c r="AQ10" s="12">
        <v>1581300</v>
      </c>
      <c r="AR10" s="29">
        <f t="shared" si="4"/>
        <v>8831692.8299999982</v>
      </c>
      <c r="AS10" s="15">
        <v>8831700</v>
      </c>
      <c r="AT10" s="30">
        <f t="shared" si="2"/>
        <v>7.1700000017881393</v>
      </c>
      <c r="AU10" s="15"/>
      <c r="AV10" s="15"/>
      <c r="AW10" s="15"/>
    </row>
    <row r="11" spans="2:49" x14ac:dyDescent="0.25">
      <c r="B11" s="25">
        <v>44902</v>
      </c>
      <c r="C11" s="46">
        <v>2373.1</v>
      </c>
      <c r="D11" s="46">
        <v>4333.87</v>
      </c>
      <c r="E11" s="47">
        <v>5509</v>
      </c>
      <c r="F11" s="47">
        <v>5680</v>
      </c>
      <c r="G11" s="13">
        <f t="shared" si="0"/>
        <v>13073407.9</v>
      </c>
      <c r="H11" s="13">
        <f t="shared" si="0"/>
        <v>24616381.599999998</v>
      </c>
      <c r="I11" s="26">
        <v>18.25</v>
      </c>
      <c r="J11" s="13">
        <v>406000</v>
      </c>
      <c r="K11" s="27">
        <v>37</v>
      </c>
      <c r="L11" s="13">
        <v>338000</v>
      </c>
      <c r="M11" s="13">
        <v>0</v>
      </c>
      <c r="N11" s="13">
        <v>1000000</v>
      </c>
      <c r="O11" s="13"/>
      <c r="P11" s="13">
        <v>2600000</v>
      </c>
      <c r="Q11" s="13">
        <v>4000</v>
      </c>
      <c r="R11" s="45">
        <f t="shared" si="3"/>
        <v>42037789.5</v>
      </c>
      <c r="S11" s="13">
        <v>3669502</v>
      </c>
      <c r="T11" s="13">
        <v>18954380</v>
      </c>
      <c r="U11" s="13"/>
      <c r="V11" s="13"/>
      <c r="W11" s="13"/>
      <c r="X11" s="13"/>
      <c r="Y11" s="13">
        <v>6743761</v>
      </c>
      <c r="Z11" s="28">
        <f t="shared" si="5"/>
        <v>12670146.5</v>
      </c>
      <c r="AA11" s="12"/>
      <c r="AB11" s="12"/>
      <c r="AC11" s="12"/>
      <c r="AD11" s="12"/>
      <c r="AE11" s="12"/>
      <c r="AF11" s="12"/>
      <c r="AG11" s="12">
        <v>8000</v>
      </c>
      <c r="AH11" s="12"/>
      <c r="AI11" s="12"/>
      <c r="AJ11" s="12">
        <v>5000</v>
      </c>
      <c r="AK11" s="12"/>
      <c r="AL11" s="12"/>
      <c r="AM11" s="43">
        <f t="shared" si="1"/>
        <v>13000</v>
      </c>
      <c r="AN11" s="12"/>
      <c r="AO11" s="12"/>
      <c r="AP11" s="32"/>
      <c r="AQ11" s="32">
        <v>489039</v>
      </c>
      <c r="AR11" s="29">
        <f t="shared" si="4"/>
        <v>12168107.5</v>
      </c>
      <c r="AS11" s="15">
        <v>12175600</v>
      </c>
      <c r="AT11" s="30">
        <f t="shared" si="2"/>
        <v>7492.5</v>
      </c>
      <c r="AU11" s="15"/>
      <c r="AV11" s="15"/>
      <c r="AW11" s="15"/>
    </row>
    <row r="12" spans="2:49" x14ac:dyDescent="0.25">
      <c r="B12" s="25">
        <v>44903</v>
      </c>
      <c r="C12" s="46">
        <v>2528.33</v>
      </c>
      <c r="D12" s="46">
        <v>0</v>
      </c>
      <c r="E12" s="47">
        <v>5509</v>
      </c>
      <c r="F12" s="47">
        <v>5680</v>
      </c>
      <c r="G12" s="13">
        <f t="shared" si="0"/>
        <v>13928569.969999999</v>
      </c>
      <c r="H12" s="13">
        <f t="shared" si="0"/>
        <v>0</v>
      </c>
      <c r="I12" s="26">
        <v>52.25</v>
      </c>
      <c r="J12" s="13">
        <v>1186000</v>
      </c>
      <c r="K12" s="27">
        <v>36.5</v>
      </c>
      <c r="L12" s="13">
        <v>337000</v>
      </c>
      <c r="M12" s="13">
        <v>78000</v>
      </c>
      <c r="N12" s="13"/>
      <c r="O12" s="13">
        <v>120000</v>
      </c>
      <c r="P12" s="13">
        <v>1389000</v>
      </c>
      <c r="Q12" s="13">
        <v>4000</v>
      </c>
      <c r="R12" s="45">
        <f t="shared" si="3"/>
        <v>17042569.969999999</v>
      </c>
      <c r="S12" s="13">
        <v>4068029</v>
      </c>
      <c r="T12" s="13">
        <v>0</v>
      </c>
      <c r="U12" s="13"/>
      <c r="V12" s="13"/>
      <c r="W12" s="13"/>
      <c r="X12" s="13">
        <v>100000</v>
      </c>
      <c r="Y12" s="13">
        <v>1072400</v>
      </c>
      <c r="Z12" s="28">
        <f t="shared" si="5"/>
        <v>11802140.969999999</v>
      </c>
      <c r="AA12" s="12">
        <v>10000</v>
      </c>
      <c r="AB12" s="12"/>
      <c r="AC12" s="12"/>
      <c r="AD12" s="12"/>
      <c r="AE12" s="12"/>
      <c r="AF12" s="12"/>
      <c r="AG12" s="12"/>
      <c r="AH12" s="12"/>
      <c r="AI12" s="12">
        <v>23000</v>
      </c>
      <c r="AJ12" s="12"/>
      <c r="AK12" s="12"/>
      <c r="AL12" s="12"/>
      <c r="AM12" s="43">
        <f t="shared" si="1"/>
        <v>33000</v>
      </c>
      <c r="AN12" s="12"/>
      <c r="AO12" s="12"/>
      <c r="AP12" s="32"/>
      <c r="AQ12" s="32">
        <v>939000</v>
      </c>
      <c r="AR12" s="29">
        <f t="shared" si="4"/>
        <v>10830140.969999999</v>
      </c>
      <c r="AS12" s="15">
        <v>10830100</v>
      </c>
      <c r="AT12" s="30">
        <f t="shared" si="2"/>
        <v>-40.969999998807907</v>
      </c>
      <c r="AU12" s="15"/>
      <c r="AV12" s="15"/>
      <c r="AW12" s="15"/>
    </row>
    <row r="13" spans="2:49" x14ac:dyDescent="0.25">
      <c r="B13" s="25">
        <v>44904</v>
      </c>
      <c r="C13" s="46">
        <v>2699.15</v>
      </c>
      <c r="D13" s="46">
        <v>3122</v>
      </c>
      <c r="E13" s="47">
        <v>5509</v>
      </c>
      <c r="F13" s="47">
        <v>5680</v>
      </c>
      <c r="G13" s="13">
        <f t="shared" si="0"/>
        <v>14869617.35</v>
      </c>
      <c r="H13" s="13">
        <f t="shared" si="0"/>
        <v>17732960</v>
      </c>
      <c r="I13" s="26">
        <v>23.75</v>
      </c>
      <c r="J13" s="13">
        <v>599000</v>
      </c>
      <c r="K13" s="27">
        <v>55</v>
      </c>
      <c r="L13" s="13">
        <v>506000</v>
      </c>
      <c r="M13" s="13">
        <v>23000</v>
      </c>
      <c r="N13" s="13">
        <v>22000</v>
      </c>
      <c r="O13" s="13"/>
      <c r="P13" s="13">
        <v>1050000</v>
      </c>
      <c r="Q13" s="13">
        <v>12000</v>
      </c>
      <c r="R13" s="45">
        <f t="shared" si="3"/>
        <v>34814577.350000001</v>
      </c>
      <c r="S13" s="13">
        <v>3657325</v>
      </c>
      <c r="T13" s="13">
        <v>15259783</v>
      </c>
      <c r="U13" s="13"/>
      <c r="V13" s="13"/>
      <c r="W13" s="13"/>
      <c r="X13" s="13"/>
      <c r="Y13" s="13">
        <v>5707490</v>
      </c>
      <c r="Z13" s="28">
        <f t="shared" si="5"/>
        <v>10189979.350000001</v>
      </c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43">
        <f t="shared" si="1"/>
        <v>0</v>
      </c>
      <c r="AN13" s="12"/>
      <c r="AO13" s="12"/>
      <c r="AP13" s="12"/>
      <c r="AQ13" s="12"/>
      <c r="AR13" s="29">
        <f t="shared" si="4"/>
        <v>10189979.350000001</v>
      </c>
      <c r="AS13" s="15">
        <v>10192000</v>
      </c>
      <c r="AT13" s="30">
        <f t="shared" si="2"/>
        <v>2020.6499999985099</v>
      </c>
      <c r="AU13" s="15"/>
      <c r="AV13" s="15"/>
      <c r="AW13" s="15"/>
    </row>
    <row r="14" spans="2:49" x14ac:dyDescent="0.25">
      <c r="B14" s="25">
        <v>44905</v>
      </c>
      <c r="C14" s="46">
        <v>3194.63</v>
      </c>
      <c r="D14" s="46">
        <v>4303.95</v>
      </c>
      <c r="E14" s="47">
        <v>5509</v>
      </c>
      <c r="F14" s="47">
        <v>5680</v>
      </c>
      <c r="G14" s="13">
        <f t="shared" si="0"/>
        <v>17599216.670000002</v>
      </c>
      <c r="H14" s="13">
        <f t="shared" si="0"/>
        <v>24446436</v>
      </c>
      <c r="I14" s="26">
        <v>22.25</v>
      </c>
      <c r="J14" s="13">
        <v>464500</v>
      </c>
      <c r="K14" s="27">
        <v>31</v>
      </c>
      <c r="L14" s="13">
        <v>282000</v>
      </c>
      <c r="M14" s="13">
        <v>131000</v>
      </c>
      <c r="N14" s="13"/>
      <c r="O14" s="13"/>
      <c r="P14" s="13">
        <v>1820000</v>
      </c>
      <c r="Q14" s="13">
        <v>4000</v>
      </c>
      <c r="R14" s="45">
        <f t="shared" si="3"/>
        <v>44747152.670000002</v>
      </c>
      <c r="S14" s="13">
        <v>2623815</v>
      </c>
      <c r="T14" s="13">
        <v>16724733</v>
      </c>
      <c r="U14" s="13"/>
      <c r="V14" s="13"/>
      <c r="W14" s="13"/>
      <c r="X14" s="13">
        <v>59000</v>
      </c>
      <c r="Y14" s="13">
        <v>7058120</v>
      </c>
      <c r="Z14" s="28">
        <f t="shared" si="5"/>
        <v>18281484.670000002</v>
      </c>
      <c r="AA14" s="13"/>
      <c r="AB14" s="13"/>
      <c r="AC14" s="13"/>
      <c r="AD14" s="13"/>
      <c r="AE14" s="13"/>
      <c r="AF14" s="13"/>
      <c r="AG14" s="13">
        <v>3000</v>
      </c>
      <c r="AH14" s="13" t="s">
        <v>62</v>
      </c>
      <c r="AI14" s="13">
        <v>10000</v>
      </c>
      <c r="AJ14" s="13"/>
      <c r="AK14" s="13"/>
      <c r="AL14" s="13">
        <v>30000</v>
      </c>
      <c r="AM14" s="43">
        <f t="shared" si="1"/>
        <v>43000</v>
      </c>
      <c r="AN14" s="12"/>
      <c r="AO14" s="12"/>
      <c r="AP14" s="12"/>
      <c r="AQ14" s="12">
        <v>1008600</v>
      </c>
      <c r="AR14" s="29">
        <f t="shared" si="4"/>
        <v>17229884.670000002</v>
      </c>
      <c r="AS14" s="15">
        <v>17229500</v>
      </c>
      <c r="AT14" s="30">
        <f t="shared" si="2"/>
        <v>-384.67000000178814</v>
      </c>
      <c r="AU14" s="15"/>
      <c r="AV14" s="15"/>
      <c r="AW14" s="15"/>
    </row>
    <row r="15" spans="2:49" x14ac:dyDescent="0.25">
      <c r="B15" s="25">
        <v>44906</v>
      </c>
      <c r="C15" s="46">
        <v>2260.3200000000002</v>
      </c>
      <c r="D15" s="46">
        <v>2846.14</v>
      </c>
      <c r="E15" s="47">
        <v>5509</v>
      </c>
      <c r="F15" s="47">
        <v>5680</v>
      </c>
      <c r="G15" s="13">
        <f t="shared" si="0"/>
        <v>12452102.880000001</v>
      </c>
      <c r="H15" s="13">
        <f t="shared" si="0"/>
        <v>16166075.199999999</v>
      </c>
      <c r="I15" s="26">
        <v>7.25</v>
      </c>
      <c r="J15" s="13">
        <v>153000</v>
      </c>
      <c r="K15" s="27">
        <v>12</v>
      </c>
      <c r="L15" s="13">
        <v>112000</v>
      </c>
      <c r="M15" s="13">
        <v>8000</v>
      </c>
      <c r="N15" s="13"/>
      <c r="O15" s="13"/>
      <c r="P15" s="13">
        <v>2783500</v>
      </c>
      <c r="Q15" s="13">
        <v>0</v>
      </c>
      <c r="R15" s="45">
        <f t="shared" si="3"/>
        <v>31674678.079999998</v>
      </c>
      <c r="S15" s="13">
        <v>3174573</v>
      </c>
      <c r="T15" s="13">
        <v>12899879</v>
      </c>
      <c r="U15" s="13"/>
      <c r="V15" s="13"/>
      <c r="W15" s="13"/>
      <c r="X15" s="13">
        <v>335607</v>
      </c>
      <c r="Y15" s="13">
        <v>5131240</v>
      </c>
      <c r="Z15" s="28">
        <f t="shared" si="5"/>
        <v>10133379.079999998</v>
      </c>
      <c r="AA15" s="13"/>
      <c r="AB15" s="13">
        <v>2000</v>
      </c>
      <c r="AC15" s="13"/>
      <c r="AD15" s="13"/>
      <c r="AE15" s="13">
        <v>113770</v>
      </c>
      <c r="AF15" s="13"/>
      <c r="AG15" s="13">
        <v>3000</v>
      </c>
      <c r="AH15" s="13"/>
      <c r="AI15" s="13"/>
      <c r="AJ15" s="13"/>
      <c r="AK15" s="13"/>
      <c r="AL15" s="13"/>
      <c r="AM15" s="43">
        <f t="shared" si="1"/>
        <v>118770</v>
      </c>
      <c r="AN15" s="12"/>
      <c r="AO15" s="12"/>
      <c r="AP15" s="12" t="s">
        <v>59</v>
      </c>
      <c r="AQ15" s="12">
        <v>871742</v>
      </c>
      <c r="AR15" s="29">
        <f t="shared" si="4"/>
        <v>9142867.0799999982</v>
      </c>
      <c r="AS15" s="15">
        <v>9142800</v>
      </c>
      <c r="AT15" s="30">
        <f t="shared" si="2"/>
        <v>-67.079999998211861</v>
      </c>
      <c r="AU15" s="15"/>
      <c r="AV15" s="15"/>
      <c r="AW15" s="15"/>
    </row>
    <row r="16" spans="2:49" x14ac:dyDescent="0.25">
      <c r="B16" s="25">
        <v>44907</v>
      </c>
      <c r="C16" s="46">
        <v>2538.69</v>
      </c>
      <c r="D16" s="46">
        <v>6577.79</v>
      </c>
      <c r="E16" s="47">
        <v>5509</v>
      </c>
      <c r="F16" s="47">
        <v>5680</v>
      </c>
      <c r="G16" s="13">
        <f t="shared" si="0"/>
        <v>13985643.210000001</v>
      </c>
      <c r="H16" s="13">
        <f t="shared" si="0"/>
        <v>37361847.200000003</v>
      </c>
      <c r="I16" s="26">
        <v>98.5</v>
      </c>
      <c r="J16" s="51">
        <v>2270500</v>
      </c>
      <c r="K16" s="27">
        <v>67</v>
      </c>
      <c r="L16" s="13">
        <v>618000</v>
      </c>
      <c r="M16" s="13">
        <v>50000</v>
      </c>
      <c r="N16" s="13"/>
      <c r="O16" s="13"/>
      <c r="P16" s="13">
        <v>459000</v>
      </c>
      <c r="Q16" s="13">
        <v>8000</v>
      </c>
      <c r="R16" s="45">
        <f t="shared" si="3"/>
        <v>54752990.410000004</v>
      </c>
      <c r="S16" s="13">
        <v>3076074</v>
      </c>
      <c r="T16" s="13">
        <v>19124397</v>
      </c>
      <c r="U16" s="13"/>
      <c r="V16" s="13"/>
      <c r="W16" s="13"/>
      <c r="X16" s="13"/>
      <c r="Y16" s="13">
        <v>18372529</v>
      </c>
      <c r="Z16" s="28">
        <f t="shared" si="5"/>
        <v>14179990.410000004</v>
      </c>
      <c r="AA16" s="13">
        <v>30000</v>
      </c>
      <c r="AB16" s="13"/>
      <c r="AC16" s="13"/>
      <c r="AD16" s="13">
        <v>50000</v>
      </c>
      <c r="AE16" s="13"/>
      <c r="AF16" s="13"/>
      <c r="AG16" s="13">
        <v>9000</v>
      </c>
      <c r="AH16" s="13"/>
      <c r="AI16" s="13"/>
      <c r="AJ16" s="13"/>
      <c r="AK16" s="13"/>
      <c r="AL16" s="13"/>
      <c r="AM16" s="43">
        <f t="shared" si="1"/>
        <v>89000</v>
      </c>
      <c r="AN16" s="15"/>
      <c r="AO16" s="35"/>
      <c r="AP16" s="32"/>
      <c r="AQ16" s="32">
        <v>2863100</v>
      </c>
      <c r="AR16" s="29">
        <f t="shared" si="4"/>
        <v>11227890.410000004</v>
      </c>
      <c r="AS16" s="15">
        <v>11229700</v>
      </c>
      <c r="AT16" s="30">
        <f t="shared" si="2"/>
        <v>1809.5899999961257</v>
      </c>
      <c r="AU16" s="15"/>
      <c r="AV16" s="15"/>
      <c r="AW16" s="15"/>
    </row>
    <row r="17" spans="2:51" x14ac:dyDescent="0.25">
      <c r="B17" s="25">
        <v>44908</v>
      </c>
      <c r="C17" s="46">
        <v>1786.48</v>
      </c>
      <c r="D17" s="46">
        <v>3673.06</v>
      </c>
      <c r="E17" s="47">
        <v>5509</v>
      </c>
      <c r="F17" s="47">
        <v>5680</v>
      </c>
      <c r="G17" s="13">
        <f t="shared" si="0"/>
        <v>9841718.3200000003</v>
      </c>
      <c r="H17" s="13">
        <f t="shared" si="0"/>
        <v>20862980.800000001</v>
      </c>
      <c r="I17" s="26">
        <v>25</v>
      </c>
      <c r="J17" s="13">
        <v>598000</v>
      </c>
      <c r="K17" s="27">
        <v>12.5</v>
      </c>
      <c r="L17" s="13">
        <v>113000</v>
      </c>
      <c r="M17" s="13"/>
      <c r="N17" s="13"/>
      <c r="O17" s="13"/>
      <c r="P17" s="13">
        <v>806000</v>
      </c>
      <c r="Q17" s="13">
        <v>16000</v>
      </c>
      <c r="R17" s="45">
        <f t="shared" si="3"/>
        <v>32237699.120000001</v>
      </c>
      <c r="S17" s="13">
        <v>2882922</v>
      </c>
      <c r="T17" s="13">
        <v>14174015</v>
      </c>
      <c r="U17" s="13"/>
      <c r="V17" s="13"/>
      <c r="W17" s="13"/>
      <c r="X17" s="13"/>
      <c r="Y17" s="13">
        <v>6770085</v>
      </c>
      <c r="Z17" s="28">
        <f t="shared" si="5"/>
        <v>8410677.120000001</v>
      </c>
      <c r="AA17" s="13"/>
      <c r="AB17" s="13"/>
      <c r="AC17" s="13"/>
      <c r="AD17" s="13">
        <v>17000</v>
      </c>
      <c r="AE17" s="13"/>
      <c r="AF17" s="13"/>
      <c r="AG17" s="13"/>
      <c r="AH17" s="13"/>
      <c r="AI17" s="13"/>
      <c r="AJ17" s="13"/>
      <c r="AK17" s="13"/>
      <c r="AL17" s="13"/>
      <c r="AM17" s="43">
        <f t="shared" si="1"/>
        <v>17000</v>
      </c>
      <c r="AN17" s="31"/>
      <c r="AO17" s="36"/>
      <c r="AP17" s="32"/>
      <c r="AQ17" s="32">
        <v>1096906</v>
      </c>
      <c r="AR17" s="29">
        <f t="shared" si="4"/>
        <v>7296771.120000001</v>
      </c>
      <c r="AS17" s="15">
        <v>7296800</v>
      </c>
      <c r="AT17" s="30">
        <f t="shared" si="2"/>
        <v>28.879999998956919</v>
      </c>
      <c r="AU17" s="15"/>
      <c r="AV17" s="15"/>
      <c r="AW17" s="15"/>
    </row>
    <row r="18" spans="2:51" x14ac:dyDescent="0.25">
      <c r="B18" s="25">
        <v>44909</v>
      </c>
      <c r="C18" s="46">
        <v>1629</v>
      </c>
      <c r="D18" s="46">
        <v>5231.1729999999998</v>
      </c>
      <c r="E18" s="47">
        <v>5509</v>
      </c>
      <c r="F18" s="47">
        <v>5680</v>
      </c>
      <c r="G18" s="13">
        <f t="shared" si="0"/>
        <v>8974161</v>
      </c>
      <c r="H18" s="13">
        <f t="shared" si="0"/>
        <v>29713062.639999997</v>
      </c>
      <c r="I18" s="26">
        <v>21.25</v>
      </c>
      <c r="J18" s="13">
        <v>448500</v>
      </c>
      <c r="K18" s="27">
        <v>12.5</v>
      </c>
      <c r="L18" s="13">
        <v>113000</v>
      </c>
      <c r="M18" s="13"/>
      <c r="N18" s="13"/>
      <c r="O18" s="13">
        <v>191500</v>
      </c>
      <c r="P18" s="13">
        <v>3250000</v>
      </c>
      <c r="Q18" s="13">
        <v>0</v>
      </c>
      <c r="R18" s="45">
        <f t="shared" si="3"/>
        <v>42690223.640000001</v>
      </c>
      <c r="S18" s="13">
        <v>2440250</v>
      </c>
      <c r="T18" s="13">
        <v>27582048</v>
      </c>
      <c r="U18" s="13"/>
      <c r="V18" s="13"/>
      <c r="W18" s="13"/>
      <c r="X18" s="13">
        <v>390000</v>
      </c>
      <c r="Y18" s="13">
        <v>2039442</v>
      </c>
      <c r="Z18" s="28">
        <f t="shared" si="5"/>
        <v>10238483.640000001</v>
      </c>
      <c r="AA18" s="13"/>
      <c r="AB18" s="13"/>
      <c r="AC18" s="13"/>
      <c r="AD18" s="13"/>
      <c r="AE18" s="13"/>
      <c r="AF18" s="13"/>
      <c r="AG18" s="13">
        <v>3000</v>
      </c>
      <c r="AH18" s="13"/>
      <c r="AI18" s="13"/>
      <c r="AJ18" s="13"/>
      <c r="AK18" s="13"/>
      <c r="AL18" s="13"/>
      <c r="AM18" s="43">
        <f t="shared" si="1"/>
        <v>3000</v>
      </c>
      <c r="AN18" s="12"/>
      <c r="AO18" s="12"/>
      <c r="AP18" s="12"/>
      <c r="AQ18" s="12">
        <v>2037364</v>
      </c>
      <c r="AR18" s="29">
        <f t="shared" si="4"/>
        <v>8198119.6400000006</v>
      </c>
      <c r="AS18" s="15">
        <v>8200413</v>
      </c>
      <c r="AT18" s="30">
        <f t="shared" si="2"/>
        <v>2293.359999999404</v>
      </c>
      <c r="AU18" s="15"/>
      <c r="AV18" s="15"/>
      <c r="AW18" s="15"/>
    </row>
    <row r="19" spans="2:51" x14ac:dyDescent="0.25">
      <c r="B19" s="25">
        <v>44910</v>
      </c>
      <c r="C19" s="46">
        <v>2113</v>
      </c>
      <c r="D19" s="46">
        <v>3631.75</v>
      </c>
      <c r="E19" s="47">
        <v>5509</v>
      </c>
      <c r="F19" s="47">
        <v>5680</v>
      </c>
      <c r="G19" s="13">
        <f t="shared" si="0"/>
        <v>11640517</v>
      </c>
      <c r="H19" s="13">
        <f t="shared" si="0"/>
        <v>20628340</v>
      </c>
      <c r="I19" s="13">
        <v>30</v>
      </c>
      <c r="J19" s="13">
        <v>635500</v>
      </c>
      <c r="K19" s="27">
        <v>33</v>
      </c>
      <c r="L19" s="13">
        <v>308000</v>
      </c>
      <c r="M19" s="13">
        <v>45000</v>
      </c>
      <c r="N19" s="13">
        <v>22000</v>
      </c>
      <c r="O19" s="13">
        <v>127500</v>
      </c>
      <c r="P19" s="13">
        <v>3577000</v>
      </c>
      <c r="Q19" s="13">
        <v>0</v>
      </c>
      <c r="R19" s="45">
        <f t="shared" si="3"/>
        <v>36983857</v>
      </c>
      <c r="S19" s="13">
        <v>1483996</v>
      </c>
      <c r="T19" s="13">
        <v>13276079</v>
      </c>
      <c r="U19" s="13"/>
      <c r="V19" s="13"/>
      <c r="W19" s="13"/>
      <c r="X19" s="13">
        <v>165300</v>
      </c>
      <c r="Y19" s="13">
        <v>7771539</v>
      </c>
      <c r="Z19" s="28">
        <f t="shared" si="5"/>
        <v>14286943</v>
      </c>
      <c r="AA19" s="12"/>
      <c r="AB19" s="12"/>
      <c r="AC19" s="12"/>
      <c r="AD19" s="12"/>
      <c r="AE19" s="12"/>
      <c r="AF19" s="12"/>
      <c r="AG19" s="12">
        <v>3000</v>
      </c>
      <c r="AH19" s="12"/>
      <c r="AI19" s="12"/>
      <c r="AJ19" s="12"/>
      <c r="AK19" s="12">
        <v>400000</v>
      </c>
      <c r="AL19" s="12"/>
      <c r="AM19" s="43">
        <f t="shared" ref="AM19:AM35" si="6">SUM(AA19:AL19)</f>
        <v>403000</v>
      </c>
      <c r="AN19" s="12"/>
      <c r="AO19" s="12"/>
      <c r="AP19" s="12"/>
      <c r="AQ19" s="12">
        <v>1009833</v>
      </c>
      <c r="AR19" s="29">
        <f t="shared" si="4"/>
        <v>12874110</v>
      </c>
      <c r="AS19" s="15">
        <v>12878100</v>
      </c>
      <c r="AT19" s="30">
        <f t="shared" si="2"/>
        <v>3990</v>
      </c>
      <c r="AU19" s="15"/>
      <c r="AV19" s="15"/>
      <c r="AW19" s="15"/>
    </row>
    <row r="20" spans="2:51" x14ac:dyDescent="0.25">
      <c r="B20" s="25">
        <v>44911</v>
      </c>
      <c r="C20" s="46">
        <v>2118.64</v>
      </c>
      <c r="D20" s="46">
        <v>2908.2</v>
      </c>
      <c r="E20" s="47">
        <v>5509</v>
      </c>
      <c r="F20" s="47">
        <v>5680</v>
      </c>
      <c r="G20" s="13">
        <f t="shared" si="0"/>
        <v>11671587.76</v>
      </c>
      <c r="H20" s="13">
        <f t="shared" si="0"/>
        <v>16518575.999999998</v>
      </c>
      <c r="I20" s="26">
        <v>47.25</v>
      </c>
      <c r="J20" s="13">
        <v>1061500</v>
      </c>
      <c r="K20" s="27">
        <v>134.5</v>
      </c>
      <c r="L20" s="13">
        <v>1135000</v>
      </c>
      <c r="M20" s="13">
        <v>23000</v>
      </c>
      <c r="N20" s="13"/>
      <c r="O20" s="13">
        <v>906300</v>
      </c>
      <c r="P20" s="13">
        <v>1480000</v>
      </c>
      <c r="Q20" s="13">
        <v>8000</v>
      </c>
      <c r="R20" s="45">
        <f t="shared" si="3"/>
        <v>32803963.759999998</v>
      </c>
      <c r="S20" s="13">
        <v>2381527</v>
      </c>
      <c r="T20" s="13">
        <v>13199318</v>
      </c>
      <c r="U20" s="13"/>
      <c r="V20" s="13"/>
      <c r="W20" s="13"/>
      <c r="X20" s="13">
        <v>301000</v>
      </c>
      <c r="Y20" s="13">
        <v>3369480</v>
      </c>
      <c r="Z20" s="28">
        <f t="shared" si="5"/>
        <v>13552638.759999998</v>
      </c>
      <c r="AA20" s="12">
        <v>10000</v>
      </c>
      <c r="AB20" s="12"/>
      <c r="AC20" s="12"/>
      <c r="AD20" s="12"/>
      <c r="AE20" s="12">
        <v>113600</v>
      </c>
      <c r="AF20" s="12"/>
      <c r="AG20" s="12">
        <v>5000</v>
      </c>
      <c r="AH20" s="12"/>
      <c r="AI20" s="12"/>
      <c r="AJ20" s="12">
        <v>7000</v>
      </c>
      <c r="AK20" s="13"/>
      <c r="AL20" s="13"/>
      <c r="AM20" s="43">
        <f t="shared" si="1"/>
        <v>135600</v>
      </c>
      <c r="AN20" s="12"/>
      <c r="AO20" s="12"/>
      <c r="AP20" s="12"/>
      <c r="AQ20" s="12">
        <v>1270000</v>
      </c>
      <c r="AR20" s="29">
        <f t="shared" si="4"/>
        <v>12147038.759999998</v>
      </c>
      <c r="AS20" s="15">
        <v>12140500</v>
      </c>
      <c r="AT20" s="30">
        <f t="shared" si="2"/>
        <v>-6538.7599999979138</v>
      </c>
      <c r="AU20" s="15"/>
      <c r="AV20" s="15"/>
      <c r="AW20" s="15"/>
    </row>
    <row r="21" spans="2:51" x14ac:dyDescent="0.25">
      <c r="B21" s="25">
        <v>44912</v>
      </c>
      <c r="C21" s="46">
        <v>2978.9389999999999</v>
      </c>
      <c r="D21" s="46">
        <v>1805.31</v>
      </c>
      <c r="E21" s="47">
        <v>5509</v>
      </c>
      <c r="F21" s="47">
        <v>5680</v>
      </c>
      <c r="G21" s="13">
        <f>C21*E21</f>
        <v>16410974.950999999</v>
      </c>
      <c r="H21" s="13">
        <f t="shared" si="0"/>
        <v>10254160.799999999</v>
      </c>
      <c r="I21" s="26">
        <v>34.25</v>
      </c>
      <c r="J21" s="13">
        <v>677000</v>
      </c>
      <c r="K21" s="27">
        <v>52</v>
      </c>
      <c r="L21" s="13">
        <v>478000</v>
      </c>
      <c r="M21" s="13">
        <v>8000</v>
      </c>
      <c r="N21" s="13"/>
      <c r="O21" s="13"/>
      <c r="P21" s="13">
        <v>995900</v>
      </c>
      <c r="Q21" s="13"/>
      <c r="R21" s="45">
        <f t="shared" si="3"/>
        <v>28824035.750999998</v>
      </c>
      <c r="S21" s="13">
        <v>1536470</v>
      </c>
      <c r="T21" s="13">
        <v>6491638</v>
      </c>
      <c r="U21" s="13"/>
      <c r="V21" s="13"/>
      <c r="W21" s="13"/>
      <c r="X21" s="13">
        <v>166900</v>
      </c>
      <c r="Y21" s="13">
        <v>4206600</v>
      </c>
      <c r="Z21" s="28">
        <f t="shared" si="5"/>
        <v>16422427.750999998</v>
      </c>
      <c r="AA21" s="12"/>
      <c r="AB21" s="12"/>
      <c r="AC21" s="12"/>
      <c r="AD21" s="12"/>
      <c r="AE21" s="12"/>
      <c r="AF21" s="12"/>
      <c r="AG21" s="13">
        <v>3000</v>
      </c>
      <c r="AH21" s="12"/>
      <c r="AI21" s="13">
        <v>3000</v>
      </c>
      <c r="AJ21" s="12"/>
      <c r="AK21" s="12"/>
      <c r="AL21" s="12"/>
      <c r="AM21" s="43">
        <f t="shared" si="6"/>
        <v>6000</v>
      </c>
      <c r="AN21" s="12"/>
      <c r="AO21" s="12"/>
      <c r="AP21" s="12"/>
      <c r="AQ21" s="12">
        <v>113600</v>
      </c>
      <c r="AR21" s="29">
        <f t="shared" si="4"/>
        <v>16302827.750999998</v>
      </c>
      <c r="AS21" s="15">
        <v>16302800</v>
      </c>
      <c r="AT21" s="30">
        <f t="shared" si="2"/>
        <v>-27.750999998301268</v>
      </c>
      <c r="AU21" s="15"/>
      <c r="AV21" s="15"/>
      <c r="AW21" s="15"/>
    </row>
    <row r="22" spans="2:51" x14ac:dyDescent="0.25">
      <c r="B22" s="25">
        <v>44913</v>
      </c>
      <c r="C22" s="46">
        <v>1750.95</v>
      </c>
      <c r="D22" s="46">
        <v>2699.7</v>
      </c>
      <c r="E22" s="47">
        <v>5509</v>
      </c>
      <c r="F22" s="47">
        <v>5680</v>
      </c>
      <c r="G22" s="13">
        <f t="shared" si="0"/>
        <v>9645983.5500000007</v>
      </c>
      <c r="H22" s="13">
        <f t="shared" si="0"/>
        <v>15334295.999999998</v>
      </c>
      <c r="I22" s="26">
        <v>29.25</v>
      </c>
      <c r="J22" s="13">
        <v>585000</v>
      </c>
      <c r="K22" s="12">
        <v>24.5</v>
      </c>
      <c r="L22" s="13">
        <v>225000</v>
      </c>
      <c r="M22" s="13"/>
      <c r="N22" s="13">
        <v>500000</v>
      </c>
      <c r="O22" s="13">
        <v>127500</v>
      </c>
      <c r="P22" s="13">
        <v>250000</v>
      </c>
      <c r="Q22" s="12"/>
      <c r="R22" s="45">
        <f t="shared" si="3"/>
        <v>26667779.549999997</v>
      </c>
      <c r="S22" s="13">
        <v>1064449</v>
      </c>
      <c r="T22" s="13">
        <v>12526394</v>
      </c>
      <c r="U22" s="13"/>
      <c r="V22" s="13"/>
      <c r="W22" s="13"/>
      <c r="X22" s="13"/>
      <c r="Y22" s="12">
        <v>2583900</v>
      </c>
      <c r="Z22" s="28">
        <f t="shared" si="5"/>
        <v>10493036.549999997</v>
      </c>
      <c r="AA22" s="12"/>
      <c r="AB22" s="12"/>
      <c r="AC22" s="12"/>
      <c r="AD22" s="12">
        <v>5000</v>
      </c>
      <c r="AE22" s="12"/>
      <c r="AF22" s="12"/>
      <c r="AG22" s="12"/>
      <c r="AH22" s="12"/>
      <c r="AI22" s="13"/>
      <c r="AJ22" s="12"/>
      <c r="AK22" s="12"/>
      <c r="AL22" s="12"/>
      <c r="AM22" s="43">
        <f t="shared" si="6"/>
        <v>5000</v>
      </c>
      <c r="AN22" s="12"/>
      <c r="AO22" s="12"/>
      <c r="AP22" s="12"/>
      <c r="AQ22" s="12"/>
      <c r="AR22" s="29">
        <f t="shared" si="4"/>
        <v>10488036.549999997</v>
      </c>
      <c r="AS22" s="15">
        <v>10488100</v>
      </c>
      <c r="AT22" s="30">
        <f t="shared" si="2"/>
        <v>63.450000002980232</v>
      </c>
      <c r="AU22" s="15"/>
      <c r="AV22" s="15"/>
      <c r="AW22" s="15"/>
    </row>
    <row r="23" spans="2:51" x14ac:dyDescent="0.25">
      <c r="B23" s="25">
        <v>44914</v>
      </c>
      <c r="C23" s="46">
        <v>2172.84</v>
      </c>
      <c r="D23" s="46">
        <v>5492.96</v>
      </c>
      <c r="E23" s="47">
        <v>5509</v>
      </c>
      <c r="F23" s="47">
        <v>5680</v>
      </c>
      <c r="G23" s="13">
        <f t="shared" ref="G23" si="7">C23*E23</f>
        <v>11970175.560000001</v>
      </c>
      <c r="H23" s="13">
        <f t="shared" si="0"/>
        <v>31200012.800000001</v>
      </c>
      <c r="I23" s="26">
        <v>61</v>
      </c>
      <c r="J23" s="13">
        <v>1308500</v>
      </c>
      <c r="K23" s="12">
        <v>73</v>
      </c>
      <c r="L23" s="13">
        <v>393000</v>
      </c>
      <c r="M23" s="13">
        <v>23000</v>
      </c>
      <c r="N23" s="13">
        <v>0</v>
      </c>
      <c r="O23" s="13"/>
      <c r="P23" s="13">
        <v>5220</v>
      </c>
      <c r="Q23" s="12"/>
      <c r="R23" s="45">
        <f t="shared" si="3"/>
        <v>44899908.359999999</v>
      </c>
      <c r="S23" s="13">
        <v>1313826</v>
      </c>
      <c r="T23" s="13">
        <v>24141693</v>
      </c>
      <c r="U23" s="13"/>
      <c r="V23" s="13"/>
      <c r="W23" s="13"/>
      <c r="X23" s="13">
        <v>290000</v>
      </c>
      <c r="Y23" s="12">
        <v>5227940</v>
      </c>
      <c r="Z23" s="28">
        <f t="shared" si="5"/>
        <v>13926449.359999999</v>
      </c>
      <c r="AA23" s="12"/>
      <c r="AB23" s="12"/>
      <c r="AC23" s="12"/>
      <c r="AD23" s="12">
        <v>45000</v>
      </c>
      <c r="AE23" s="12"/>
      <c r="AF23" s="12"/>
      <c r="AG23" s="12">
        <v>3000</v>
      </c>
      <c r="AH23" s="12"/>
      <c r="AI23" s="12">
        <v>3000</v>
      </c>
      <c r="AJ23" s="12"/>
      <c r="AK23" s="12"/>
      <c r="AL23" s="12"/>
      <c r="AM23" s="43">
        <f t="shared" si="6"/>
        <v>51000</v>
      </c>
      <c r="AN23" s="12"/>
      <c r="AO23" s="12"/>
      <c r="AP23" s="12"/>
      <c r="AQ23" s="12">
        <v>2328039</v>
      </c>
      <c r="AR23" s="29">
        <f t="shared" si="4"/>
        <v>11547410.359999999</v>
      </c>
      <c r="AS23" s="15">
        <v>11834400</v>
      </c>
      <c r="AT23" s="30">
        <f t="shared" si="2"/>
        <v>286989.6400000006</v>
      </c>
      <c r="AU23" s="15"/>
      <c r="AV23" s="15"/>
      <c r="AW23" s="15"/>
    </row>
    <row r="24" spans="2:51" x14ac:dyDescent="0.25">
      <c r="B24" s="25">
        <v>44915</v>
      </c>
      <c r="C24" s="46">
        <v>1776.69</v>
      </c>
      <c r="D24" s="46">
        <v>3487.07</v>
      </c>
      <c r="E24" s="47">
        <v>5509</v>
      </c>
      <c r="F24" s="47">
        <v>5680</v>
      </c>
      <c r="G24" s="13">
        <f t="shared" si="0"/>
        <v>9787785.2100000009</v>
      </c>
      <c r="H24" s="13">
        <f t="shared" si="0"/>
        <v>19806557.600000001</v>
      </c>
      <c r="I24" s="26">
        <v>45.75</v>
      </c>
      <c r="J24" s="13">
        <v>1036500</v>
      </c>
      <c r="K24" s="12">
        <v>24</v>
      </c>
      <c r="L24" s="13">
        <v>224000</v>
      </c>
      <c r="M24" s="13"/>
      <c r="N24" s="13">
        <v>0</v>
      </c>
      <c r="O24" s="13"/>
      <c r="P24" s="13">
        <v>2066000</v>
      </c>
      <c r="Q24" s="12" t="s">
        <v>63</v>
      </c>
      <c r="R24" s="45">
        <f t="shared" si="3"/>
        <v>32920842.810000002</v>
      </c>
      <c r="S24" s="13">
        <v>628121</v>
      </c>
      <c r="T24" s="13">
        <v>13375381</v>
      </c>
      <c r="U24" s="13">
        <v>364925</v>
      </c>
      <c r="V24" s="13"/>
      <c r="W24" s="13"/>
      <c r="X24" s="13">
        <v>50000</v>
      </c>
      <c r="Y24" s="12">
        <v>2848880</v>
      </c>
      <c r="Z24" s="28">
        <f t="shared" si="5"/>
        <v>15653535.810000002</v>
      </c>
      <c r="AA24" s="12">
        <v>1097200</v>
      </c>
      <c r="AB24" s="12">
        <v>20000</v>
      </c>
      <c r="AC24" s="12"/>
      <c r="AD24" s="12"/>
      <c r="AE24" s="12">
        <v>113600</v>
      </c>
      <c r="AF24" s="12"/>
      <c r="AG24" s="12">
        <v>30000</v>
      </c>
      <c r="AH24" s="12"/>
      <c r="AI24" s="12">
        <v>20000</v>
      </c>
      <c r="AJ24" s="12">
        <v>10000</v>
      </c>
      <c r="AK24" s="12"/>
      <c r="AL24" s="12"/>
      <c r="AM24" s="43">
        <f t="shared" si="6"/>
        <v>1290800</v>
      </c>
      <c r="AN24" s="12"/>
      <c r="AO24" s="12"/>
      <c r="AP24" s="12"/>
      <c r="AQ24" s="12">
        <v>945900</v>
      </c>
      <c r="AR24" s="29">
        <f t="shared" si="4"/>
        <v>13416835.810000002</v>
      </c>
      <c r="AS24" s="15">
        <v>13414700</v>
      </c>
      <c r="AT24" s="30">
        <f t="shared" si="2"/>
        <v>-2135.8100000023842</v>
      </c>
      <c r="AU24" s="15"/>
      <c r="AV24" s="15"/>
      <c r="AW24" s="15"/>
    </row>
    <row r="25" spans="2:51" x14ac:dyDescent="0.25">
      <c r="B25" s="25">
        <v>44916</v>
      </c>
      <c r="C25" s="46">
        <v>2022.16</v>
      </c>
      <c r="D25" s="46">
        <v>4771.2700000000004</v>
      </c>
      <c r="E25" s="47">
        <v>5509</v>
      </c>
      <c r="F25" s="47">
        <v>5680</v>
      </c>
      <c r="G25" s="13">
        <f t="shared" si="0"/>
        <v>11140079.440000001</v>
      </c>
      <c r="H25" s="13">
        <f t="shared" si="0"/>
        <v>27100813.600000001</v>
      </c>
      <c r="I25" s="26">
        <v>48.25</v>
      </c>
      <c r="J25" s="13">
        <v>1057000</v>
      </c>
      <c r="K25" s="12" t="s">
        <v>62</v>
      </c>
      <c r="L25" s="13">
        <v>507000</v>
      </c>
      <c r="M25" s="13">
        <v>23000</v>
      </c>
      <c r="N25" s="13">
        <v>134600</v>
      </c>
      <c r="O25" s="13"/>
      <c r="P25" s="13">
        <v>5771500</v>
      </c>
      <c r="Q25" s="12"/>
      <c r="R25" s="45">
        <f t="shared" si="3"/>
        <v>45733993.040000007</v>
      </c>
      <c r="S25" s="13">
        <v>1810985</v>
      </c>
      <c r="T25" s="13">
        <v>23213089</v>
      </c>
      <c r="U25" s="13"/>
      <c r="V25" s="13"/>
      <c r="W25" s="13"/>
      <c r="X25" s="13"/>
      <c r="Y25" s="12">
        <v>3450789</v>
      </c>
      <c r="Z25" s="28">
        <f t="shared" si="5"/>
        <v>17259130.040000007</v>
      </c>
      <c r="AA25" s="12"/>
      <c r="AB25" s="12"/>
      <c r="AC25" s="12"/>
      <c r="AD25" s="12">
        <v>19000</v>
      </c>
      <c r="AE25" s="12"/>
      <c r="AF25" s="12"/>
      <c r="AG25" s="12">
        <v>5000</v>
      </c>
      <c r="AH25" s="12"/>
      <c r="AI25" s="12"/>
      <c r="AJ25" s="12"/>
      <c r="AK25" s="12"/>
      <c r="AL25" s="12"/>
      <c r="AM25" s="43">
        <f t="shared" si="6"/>
        <v>24000</v>
      </c>
      <c r="AN25" s="12"/>
      <c r="AO25" s="12"/>
      <c r="AP25" s="12"/>
      <c r="AQ25" s="12">
        <v>450000</v>
      </c>
      <c r="AR25" s="29">
        <f t="shared" si="4"/>
        <v>16785130.040000007</v>
      </c>
      <c r="AS25" s="15">
        <v>16785100</v>
      </c>
      <c r="AT25" s="30">
        <f t="shared" si="2"/>
        <v>-30.040000006556511</v>
      </c>
      <c r="AU25" s="15"/>
      <c r="AV25" s="15"/>
      <c r="AW25" s="15"/>
    </row>
    <row r="26" spans="2:51" x14ac:dyDescent="0.25">
      <c r="B26" s="25">
        <v>44917</v>
      </c>
      <c r="C26" s="46">
        <v>2810.62</v>
      </c>
      <c r="D26" s="46">
        <v>2449.7550000000001</v>
      </c>
      <c r="E26" s="47">
        <v>5509</v>
      </c>
      <c r="F26" s="47">
        <v>5680</v>
      </c>
      <c r="G26" s="13">
        <f t="shared" si="0"/>
        <v>15483705.58</v>
      </c>
      <c r="H26" s="13">
        <f t="shared" si="0"/>
        <v>13914608.4</v>
      </c>
      <c r="I26" s="26">
        <v>48.75</v>
      </c>
      <c r="J26" s="13">
        <v>966000</v>
      </c>
      <c r="K26" s="12">
        <v>129.5</v>
      </c>
      <c r="L26" s="13">
        <v>1183000</v>
      </c>
      <c r="M26" s="13">
        <v>30000</v>
      </c>
      <c r="N26" s="13"/>
      <c r="O26" s="13">
        <v>127500</v>
      </c>
      <c r="P26" s="13">
        <v>646000</v>
      </c>
      <c r="Q26" s="12"/>
      <c r="R26" s="45">
        <f t="shared" si="3"/>
        <v>32350813.98</v>
      </c>
      <c r="S26" s="13">
        <v>2291400</v>
      </c>
      <c r="T26" s="13">
        <v>4964259</v>
      </c>
      <c r="U26" s="13"/>
      <c r="V26" s="13"/>
      <c r="W26" s="13"/>
      <c r="X26" s="13"/>
      <c r="Y26" s="12">
        <v>6851710</v>
      </c>
      <c r="Z26" s="28">
        <f t="shared" si="5"/>
        <v>18243444.98</v>
      </c>
      <c r="AA26" s="12"/>
      <c r="AB26" s="12"/>
      <c r="AC26" s="12"/>
      <c r="AD26" s="12"/>
      <c r="AE26" s="12"/>
      <c r="AF26" s="12"/>
      <c r="AG26" s="12">
        <v>3000</v>
      </c>
      <c r="AH26" s="12"/>
      <c r="AI26" s="12"/>
      <c r="AJ26" s="12"/>
      <c r="AK26" s="12"/>
      <c r="AL26" s="12"/>
      <c r="AM26" s="43">
        <f t="shared" ref="AM26" si="8">SUM(AA26:AL26)</f>
        <v>3000</v>
      </c>
      <c r="AN26" s="12"/>
      <c r="AO26" s="12"/>
      <c r="AP26" s="12"/>
      <c r="AQ26" s="12">
        <v>2678000</v>
      </c>
      <c r="AR26" s="29">
        <f t="shared" ref="AR26" si="9">R26-SUM(S26:Y26)-AM26-SUM(AN26:AP26)-AQ26</f>
        <v>15562444.98</v>
      </c>
      <c r="AS26" s="15">
        <v>15562400</v>
      </c>
      <c r="AT26" s="30">
        <f t="shared" si="2"/>
        <v>-44.980000000447035</v>
      </c>
      <c r="AU26" s="15"/>
      <c r="AV26" s="15"/>
      <c r="AW26" s="15"/>
      <c r="AY26" t="s">
        <v>56</v>
      </c>
    </row>
    <row r="27" spans="2:51" x14ac:dyDescent="0.25">
      <c r="B27" s="25">
        <v>44918</v>
      </c>
      <c r="C27" s="46">
        <v>3676.97</v>
      </c>
      <c r="D27" s="46">
        <v>2129.08</v>
      </c>
      <c r="E27" s="47">
        <v>5509</v>
      </c>
      <c r="F27" s="47">
        <v>5680</v>
      </c>
      <c r="G27" s="13">
        <f t="shared" si="0"/>
        <v>20256427.73</v>
      </c>
      <c r="H27" s="13">
        <f t="shared" si="0"/>
        <v>12093174.4</v>
      </c>
      <c r="I27" s="26">
        <v>70.5</v>
      </c>
      <c r="J27" s="13">
        <v>1452500</v>
      </c>
      <c r="K27" s="12">
        <v>99</v>
      </c>
      <c r="L27" s="13">
        <v>902000</v>
      </c>
      <c r="M27" s="13">
        <v>85000</v>
      </c>
      <c r="N27" s="13">
        <v>1000000</v>
      </c>
      <c r="O27" s="13">
        <v>358700</v>
      </c>
      <c r="P27" s="13">
        <v>812488</v>
      </c>
      <c r="Q27" s="12"/>
      <c r="R27" s="45">
        <f t="shared" ref="R27" si="10">SUM(G27:H27)+J27+L27+SUM(M27:Q27)</f>
        <v>36960290.130000003</v>
      </c>
      <c r="S27" s="13">
        <v>2144680</v>
      </c>
      <c r="T27" s="13">
        <v>6211762</v>
      </c>
      <c r="U27" s="13"/>
      <c r="V27" s="13"/>
      <c r="W27" s="13"/>
      <c r="X27" s="13">
        <v>777143</v>
      </c>
      <c r="Y27" s="12">
        <v>8864405</v>
      </c>
      <c r="Z27" s="28">
        <f t="shared" ref="Z27" si="11">R27-SUM(S27:Y27)</f>
        <v>18962300.130000003</v>
      </c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43">
        <f t="shared" ref="AM27" si="12">SUM(AA27:AL27)</f>
        <v>0</v>
      </c>
      <c r="AN27" s="12"/>
      <c r="AO27" s="12"/>
      <c r="AP27" s="12"/>
      <c r="AQ27" s="12">
        <v>1426059</v>
      </c>
      <c r="AR27" s="29">
        <f t="shared" si="4"/>
        <v>17536241.130000003</v>
      </c>
      <c r="AS27" s="15">
        <v>17541400</v>
      </c>
      <c r="AT27" s="30">
        <f t="shared" si="2"/>
        <v>5158.8699999973178</v>
      </c>
      <c r="AU27" s="15"/>
      <c r="AV27" s="15"/>
      <c r="AW27" s="15"/>
    </row>
    <row r="28" spans="2:51" x14ac:dyDescent="0.25">
      <c r="B28" s="25">
        <v>44919</v>
      </c>
      <c r="C28" s="46">
        <v>4189.22</v>
      </c>
      <c r="D28" s="46">
        <v>1570.67</v>
      </c>
      <c r="E28" s="47">
        <v>5509</v>
      </c>
      <c r="F28" s="47">
        <v>5680</v>
      </c>
      <c r="G28" s="13">
        <f t="shared" si="0"/>
        <v>23078412.98</v>
      </c>
      <c r="H28" s="13">
        <f t="shared" si="0"/>
        <v>8921405.5999999996</v>
      </c>
      <c r="I28" s="26">
        <v>36.25</v>
      </c>
      <c r="J28" s="13">
        <v>870500</v>
      </c>
      <c r="K28" s="12">
        <v>164.5</v>
      </c>
      <c r="L28" s="13">
        <v>1517000</v>
      </c>
      <c r="M28" s="13">
        <v>15000</v>
      </c>
      <c r="N28" s="13">
        <v>150000</v>
      </c>
      <c r="O28" s="13">
        <v>382500</v>
      </c>
      <c r="P28" s="13">
        <v>3521100</v>
      </c>
      <c r="Q28" s="12"/>
      <c r="R28" s="45">
        <f t="shared" si="3"/>
        <v>38455918.579999998</v>
      </c>
      <c r="S28" s="13">
        <v>1687051</v>
      </c>
      <c r="T28" s="13">
        <v>3467251</v>
      </c>
      <c r="U28" s="13"/>
      <c r="V28" s="13"/>
      <c r="W28" s="13"/>
      <c r="X28" s="13">
        <v>311028</v>
      </c>
      <c r="Y28" s="12">
        <v>12353807</v>
      </c>
      <c r="Z28" s="28">
        <f t="shared" si="5"/>
        <v>20636781.579999998</v>
      </c>
      <c r="AA28" s="12"/>
      <c r="AB28" s="12"/>
      <c r="AC28" s="12"/>
      <c r="AD28" s="12"/>
      <c r="AE28" s="12">
        <v>55090</v>
      </c>
      <c r="AF28" s="12"/>
      <c r="AG28" s="12">
        <v>3000</v>
      </c>
      <c r="AH28" s="12"/>
      <c r="AI28" s="12"/>
      <c r="AJ28" s="12"/>
      <c r="AK28" s="12"/>
      <c r="AL28" s="12"/>
      <c r="AM28" s="43">
        <f t="shared" si="6"/>
        <v>58090</v>
      </c>
      <c r="AN28" s="12"/>
      <c r="AO28" s="12"/>
      <c r="AP28" s="12"/>
      <c r="AQ28" s="12">
        <v>756500</v>
      </c>
      <c r="AR28" s="29">
        <f t="shared" si="4"/>
        <v>19822191.579999998</v>
      </c>
      <c r="AS28" s="15">
        <v>19822200</v>
      </c>
      <c r="AT28" s="30">
        <f t="shared" si="2"/>
        <v>8.4200000017881393</v>
      </c>
      <c r="AU28" s="15"/>
      <c r="AV28" s="15"/>
      <c r="AW28" s="15"/>
    </row>
    <row r="29" spans="2:51" x14ac:dyDescent="0.25">
      <c r="B29" s="25">
        <v>44920</v>
      </c>
      <c r="C29" s="46">
        <v>1605.17</v>
      </c>
      <c r="D29" s="46">
        <v>599.15</v>
      </c>
      <c r="E29" s="47">
        <v>5509</v>
      </c>
      <c r="F29" s="47">
        <v>5680</v>
      </c>
      <c r="G29" s="13">
        <f t="shared" si="0"/>
        <v>8842881.5300000012</v>
      </c>
      <c r="H29" s="13">
        <f t="shared" si="0"/>
        <v>3403172</v>
      </c>
      <c r="I29" s="26">
        <v>8.25</v>
      </c>
      <c r="J29" s="13">
        <v>184500</v>
      </c>
      <c r="K29" s="12">
        <v>60</v>
      </c>
      <c r="L29" s="13">
        <v>560000</v>
      </c>
      <c r="M29" s="13">
        <v>15000</v>
      </c>
      <c r="N29" s="13"/>
      <c r="O29" s="13"/>
      <c r="P29" s="13"/>
      <c r="Q29" s="12"/>
      <c r="R29" s="45">
        <f t="shared" si="3"/>
        <v>13005553.530000001</v>
      </c>
      <c r="S29" s="13">
        <v>428324</v>
      </c>
      <c r="T29" s="13">
        <v>1356156</v>
      </c>
      <c r="U29" s="13"/>
      <c r="V29" s="13"/>
      <c r="W29" s="13"/>
      <c r="X29" s="13">
        <v>100000</v>
      </c>
      <c r="Y29" s="12">
        <v>594400</v>
      </c>
      <c r="Z29" s="28">
        <f t="shared" si="5"/>
        <v>10526673.530000001</v>
      </c>
      <c r="AA29" s="12"/>
      <c r="AB29" s="12"/>
      <c r="AC29" s="12"/>
      <c r="AD29" s="12"/>
      <c r="AE29" s="12">
        <v>238600</v>
      </c>
      <c r="AF29" s="12">
        <v>72000</v>
      </c>
      <c r="AG29" s="12"/>
      <c r="AH29" s="12"/>
      <c r="AI29" s="12"/>
      <c r="AJ29" s="12"/>
      <c r="AK29" s="12"/>
      <c r="AL29" s="12"/>
      <c r="AM29" s="43">
        <f t="shared" si="6"/>
        <v>310600</v>
      </c>
      <c r="AN29" s="12"/>
      <c r="AO29" s="12"/>
      <c r="AP29" s="12"/>
      <c r="AQ29" s="12"/>
      <c r="AR29" s="29">
        <f t="shared" si="4"/>
        <v>10216073.530000001</v>
      </c>
      <c r="AS29" s="15">
        <v>10216000</v>
      </c>
      <c r="AT29" s="30">
        <f t="shared" si="2"/>
        <v>-73.530000001192093</v>
      </c>
      <c r="AU29" s="15"/>
      <c r="AV29" s="15"/>
      <c r="AW29" s="15"/>
      <c r="AY29" t="s">
        <v>56</v>
      </c>
    </row>
    <row r="30" spans="2:51" x14ac:dyDescent="0.25">
      <c r="B30" s="25">
        <v>44921</v>
      </c>
      <c r="C30" s="46">
        <v>1824.57</v>
      </c>
      <c r="D30" s="46">
        <v>1602.05</v>
      </c>
      <c r="E30" s="47">
        <v>5509</v>
      </c>
      <c r="F30" s="47">
        <v>5680</v>
      </c>
      <c r="G30" s="13">
        <f t="shared" si="0"/>
        <v>10051556.129999999</v>
      </c>
      <c r="H30" s="13">
        <f t="shared" si="0"/>
        <v>9099644</v>
      </c>
      <c r="I30" s="26">
        <v>23</v>
      </c>
      <c r="J30" s="13">
        <v>460500</v>
      </c>
      <c r="K30" s="12">
        <v>33.5</v>
      </c>
      <c r="L30" s="13">
        <v>309000</v>
      </c>
      <c r="M30" s="13">
        <v>0</v>
      </c>
      <c r="N30" s="13"/>
      <c r="O30" s="13"/>
      <c r="P30" s="13"/>
      <c r="Q30" s="12"/>
      <c r="R30" s="45">
        <f t="shared" si="3"/>
        <v>19920700.129999999</v>
      </c>
      <c r="S30" s="13">
        <v>729045</v>
      </c>
      <c r="T30" s="13">
        <v>6608975</v>
      </c>
      <c r="U30" s="13"/>
      <c r="V30" s="13"/>
      <c r="W30" s="13"/>
      <c r="X30" s="13">
        <v>806000</v>
      </c>
      <c r="Y30" s="12">
        <v>560000</v>
      </c>
      <c r="Z30" s="28">
        <f t="shared" si="5"/>
        <v>11216680.129999999</v>
      </c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43">
        <f t="shared" si="6"/>
        <v>0</v>
      </c>
      <c r="AN30" s="12"/>
      <c r="AO30" s="12"/>
      <c r="AP30" s="12"/>
      <c r="AQ30" s="12"/>
      <c r="AR30" s="29">
        <f t="shared" si="4"/>
        <v>11216680.129999999</v>
      </c>
      <c r="AS30" s="15">
        <v>11216700</v>
      </c>
      <c r="AT30" s="30">
        <f t="shared" si="2"/>
        <v>19.870000001043081</v>
      </c>
      <c r="AU30" s="15"/>
      <c r="AV30" s="15"/>
      <c r="AW30" s="15"/>
    </row>
    <row r="31" spans="2:51" x14ac:dyDescent="0.25">
      <c r="B31" s="25">
        <v>44922</v>
      </c>
      <c r="C31" s="46">
        <v>2334.64</v>
      </c>
      <c r="D31" s="46">
        <v>3156.98</v>
      </c>
      <c r="E31" s="47">
        <v>5509</v>
      </c>
      <c r="F31" s="47">
        <v>5680</v>
      </c>
      <c r="G31" s="13">
        <f t="shared" si="0"/>
        <v>12861531.76</v>
      </c>
      <c r="H31" s="13">
        <f t="shared" si="0"/>
        <v>17931646.399999999</v>
      </c>
      <c r="I31" s="26">
        <v>34.75</v>
      </c>
      <c r="J31" s="13">
        <v>739000</v>
      </c>
      <c r="K31" s="12">
        <v>37</v>
      </c>
      <c r="L31" s="13">
        <v>1938000</v>
      </c>
      <c r="M31" s="13">
        <v>30000</v>
      </c>
      <c r="N31" s="13">
        <v>170000</v>
      </c>
      <c r="O31" s="13"/>
      <c r="P31" s="13">
        <v>1717400</v>
      </c>
      <c r="Q31" s="12">
        <v>40000</v>
      </c>
      <c r="R31" s="45">
        <f t="shared" si="3"/>
        <v>35427578.159999996</v>
      </c>
      <c r="S31" s="13">
        <v>1920870</v>
      </c>
      <c r="T31" s="13">
        <v>11580149</v>
      </c>
      <c r="U31" s="13"/>
      <c r="V31" s="13"/>
      <c r="W31" s="13"/>
      <c r="X31" s="13">
        <v>640670</v>
      </c>
      <c r="Y31" s="12">
        <v>4001900</v>
      </c>
      <c r="Z31" s="28">
        <f t="shared" si="5"/>
        <v>17283989.159999996</v>
      </c>
      <c r="AA31" s="12"/>
      <c r="AB31" s="12"/>
      <c r="AC31" s="12"/>
      <c r="AD31" s="12"/>
      <c r="AE31" s="12"/>
      <c r="AF31" s="12"/>
      <c r="AG31" s="12">
        <v>2000</v>
      </c>
      <c r="AH31" s="12"/>
      <c r="AI31" s="12"/>
      <c r="AJ31" s="12"/>
      <c r="AK31" s="12"/>
      <c r="AL31" s="12"/>
      <c r="AM31" s="43">
        <f t="shared" si="6"/>
        <v>2000</v>
      </c>
      <c r="AN31" s="12"/>
      <c r="AO31" s="12"/>
      <c r="AP31" s="12"/>
      <c r="AQ31" s="12">
        <v>1336000</v>
      </c>
      <c r="AR31" s="29">
        <f t="shared" si="4"/>
        <v>15945989.159999996</v>
      </c>
      <c r="AS31" s="15">
        <v>15946000</v>
      </c>
      <c r="AT31" s="30">
        <f t="shared" si="2"/>
        <v>10.840000003576279</v>
      </c>
      <c r="AU31" s="15"/>
      <c r="AV31" s="15"/>
      <c r="AW31" s="15"/>
    </row>
    <row r="32" spans="2:51" x14ac:dyDescent="0.25">
      <c r="B32" s="25">
        <v>44923</v>
      </c>
      <c r="C32" s="46">
        <v>5129.3999999999996</v>
      </c>
      <c r="D32" s="46">
        <v>2477.5300000000002</v>
      </c>
      <c r="E32" s="47">
        <v>5360</v>
      </c>
      <c r="F32" s="47">
        <v>5579</v>
      </c>
      <c r="G32" s="13">
        <f t="shared" si="0"/>
        <v>27493583.999999996</v>
      </c>
      <c r="H32" s="13">
        <f t="shared" si="0"/>
        <v>13822139.870000001</v>
      </c>
      <c r="I32" s="26">
        <v>26</v>
      </c>
      <c r="J32" s="13">
        <v>592000</v>
      </c>
      <c r="K32" s="12">
        <v>64.5</v>
      </c>
      <c r="L32" s="13">
        <v>591000</v>
      </c>
      <c r="M32" s="13">
        <v>0</v>
      </c>
      <c r="N32" s="13">
        <v>200000</v>
      </c>
      <c r="O32" s="13"/>
      <c r="P32" s="13">
        <v>2400000</v>
      </c>
      <c r="Q32" s="12"/>
      <c r="R32" s="45">
        <f t="shared" si="3"/>
        <v>45098723.869999997</v>
      </c>
      <c r="S32" s="13">
        <v>1150452</v>
      </c>
      <c r="T32" s="13">
        <v>7594778</v>
      </c>
      <c r="U32" s="13"/>
      <c r="V32" s="13"/>
      <c r="W32" s="13"/>
      <c r="X32" s="13"/>
      <c r="Y32" s="12">
        <v>3073730</v>
      </c>
      <c r="Z32" s="28">
        <f t="shared" si="5"/>
        <v>33279763.869999997</v>
      </c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43">
        <f t="shared" si="6"/>
        <v>0</v>
      </c>
      <c r="AN32" s="12"/>
      <c r="AO32" s="12"/>
      <c r="AP32" s="12"/>
      <c r="AQ32" s="12">
        <v>1115800</v>
      </c>
      <c r="AR32" s="29">
        <f t="shared" si="4"/>
        <v>32163963.869999997</v>
      </c>
      <c r="AS32" s="15">
        <v>32163900</v>
      </c>
      <c r="AT32" s="30">
        <f t="shared" si="2"/>
        <v>-63.869999997317791</v>
      </c>
      <c r="AU32" s="15"/>
      <c r="AV32" s="15"/>
      <c r="AW32" s="15"/>
    </row>
    <row r="33" spans="2:51" x14ac:dyDescent="0.25">
      <c r="B33" s="25">
        <v>44924</v>
      </c>
      <c r="C33" s="46">
        <v>4027.78</v>
      </c>
      <c r="D33" s="46">
        <v>3572.35</v>
      </c>
      <c r="E33" s="47">
        <v>5360</v>
      </c>
      <c r="F33" s="47">
        <v>5579</v>
      </c>
      <c r="G33" s="13">
        <f t="shared" si="0"/>
        <v>21588900.800000001</v>
      </c>
      <c r="H33" s="13">
        <f t="shared" si="0"/>
        <v>19930140.649999999</v>
      </c>
      <c r="I33" s="26">
        <v>21.5</v>
      </c>
      <c r="J33" s="13">
        <v>465000</v>
      </c>
      <c r="K33" s="12">
        <v>27</v>
      </c>
      <c r="L33" s="13">
        <v>252000</v>
      </c>
      <c r="M33" s="13">
        <v>0</v>
      </c>
      <c r="N33" s="13"/>
      <c r="O33" s="13"/>
      <c r="P33" s="13">
        <v>2390474</v>
      </c>
      <c r="Q33" s="12"/>
      <c r="R33" s="45">
        <f t="shared" si="3"/>
        <v>44626515.450000003</v>
      </c>
      <c r="S33" s="13">
        <v>2139562</v>
      </c>
      <c r="T33" s="13">
        <v>15230183</v>
      </c>
      <c r="U33" s="13"/>
      <c r="V33" s="13"/>
      <c r="W33" s="13"/>
      <c r="X33" s="13"/>
      <c r="Y33" s="12">
        <v>1824114</v>
      </c>
      <c r="Z33" s="28">
        <f t="shared" si="5"/>
        <v>25432656.450000003</v>
      </c>
      <c r="AA33" s="12"/>
      <c r="AB33" s="12"/>
      <c r="AC33" s="12"/>
      <c r="AD33" s="12">
        <v>9000</v>
      </c>
      <c r="AE33" s="12"/>
      <c r="AF33" s="12"/>
      <c r="AG33" s="12">
        <v>2500</v>
      </c>
      <c r="AH33" s="12">
        <v>1200000</v>
      </c>
      <c r="AI33" s="12"/>
      <c r="AJ33" s="12"/>
      <c r="AK33" s="12"/>
      <c r="AL33" s="12"/>
      <c r="AM33" s="43">
        <f t="shared" si="6"/>
        <v>1211500</v>
      </c>
      <c r="AN33" s="12"/>
      <c r="AO33" s="12"/>
      <c r="AP33" s="12"/>
      <c r="AQ33" s="12">
        <v>1458600</v>
      </c>
      <c r="AR33" s="29">
        <f t="shared" si="4"/>
        <v>22762556.450000003</v>
      </c>
      <c r="AS33" s="15">
        <v>22762600</v>
      </c>
      <c r="AT33" s="30">
        <f t="shared" si="2"/>
        <v>43.549999997019768</v>
      </c>
      <c r="AU33" s="15"/>
      <c r="AV33" s="15"/>
      <c r="AW33" s="15"/>
    </row>
    <row r="34" spans="2:51" x14ac:dyDescent="0.25">
      <c r="B34" s="25">
        <v>44925</v>
      </c>
      <c r="C34" s="46">
        <v>3601.67</v>
      </c>
      <c r="D34" s="46">
        <v>2211.0300000000002</v>
      </c>
      <c r="E34" s="47">
        <v>5360</v>
      </c>
      <c r="F34" s="47">
        <v>5579</v>
      </c>
      <c r="G34" s="13">
        <f t="shared" si="0"/>
        <v>19304951.199999999</v>
      </c>
      <c r="H34" s="13">
        <f t="shared" si="0"/>
        <v>12335336.370000001</v>
      </c>
      <c r="I34" s="26">
        <v>61.5</v>
      </c>
      <c r="J34" s="13">
        <v>1324000</v>
      </c>
      <c r="K34" s="12">
        <v>24</v>
      </c>
      <c r="L34" s="13">
        <v>224000</v>
      </c>
      <c r="M34" s="13">
        <v>15000</v>
      </c>
      <c r="N34" s="13">
        <v>0</v>
      </c>
      <c r="O34" s="13">
        <v>0</v>
      </c>
      <c r="P34" s="13">
        <v>465000</v>
      </c>
      <c r="Q34" s="12">
        <v>36000</v>
      </c>
      <c r="R34" s="45">
        <f t="shared" si="3"/>
        <v>33704287.57</v>
      </c>
      <c r="S34" s="13">
        <v>1197352</v>
      </c>
      <c r="T34" s="13">
        <v>3010367</v>
      </c>
      <c r="U34" s="13"/>
      <c r="V34" s="13"/>
      <c r="W34" s="13"/>
      <c r="X34" s="13">
        <v>708900</v>
      </c>
      <c r="Y34" s="12">
        <v>4877530</v>
      </c>
      <c r="Z34" s="28">
        <f t="shared" si="5"/>
        <v>23910138.57</v>
      </c>
      <c r="AA34" s="12"/>
      <c r="AB34" s="12"/>
      <c r="AC34" s="12">
        <v>625000</v>
      </c>
      <c r="AD34" s="12"/>
      <c r="AE34" s="12"/>
      <c r="AF34" s="12">
        <v>837000</v>
      </c>
      <c r="AG34" s="12"/>
      <c r="AH34" s="12"/>
      <c r="AI34" s="12"/>
      <c r="AJ34" s="12"/>
      <c r="AK34" s="12">
        <v>1500000</v>
      </c>
      <c r="AL34" s="12"/>
      <c r="AM34" s="43">
        <f t="shared" si="6"/>
        <v>2962000</v>
      </c>
      <c r="AN34" s="12"/>
      <c r="AO34" s="12"/>
      <c r="AP34" s="12"/>
      <c r="AQ34" s="12">
        <v>1171590</v>
      </c>
      <c r="AR34" s="29">
        <f t="shared" si="4"/>
        <v>19776548.57</v>
      </c>
      <c r="AS34" s="15">
        <v>19776500</v>
      </c>
      <c r="AT34" s="30">
        <f t="shared" si="2"/>
        <v>-48.570000000298023</v>
      </c>
      <c r="AU34" s="15"/>
      <c r="AV34" s="15"/>
      <c r="AW34" s="15"/>
    </row>
    <row r="35" spans="2:51" x14ac:dyDescent="0.25">
      <c r="B35" s="25">
        <v>44926</v>
      </c>
      <c r="C35" s="46">
        <v>1437.95</v>
      </c>
      <c r="D35" s="46">
        <v>5719.68</v>
      </c>
      <c r="E35" s="47">
        <v>5360</v>
      </c>
      <c r="F35" s="47">
        <v>5579</v>
      </c>
      <c r="G35" s="13">
        <f t="shared" si="0"/>
        <v>7707412</v>
      </c>
      <c r="H35" s="13">
        <f t="shared" si="0"/>
        <v>31910094.720000003</v>
      </c>
      <c r="I35" s="26">
        <v>11.5</v>
      </c>
      <c r="J35" s="13">
        <v>249000</v>
      </c>
      <c r="K35" s="12">
        <v>124.5</v>
      </c>
      <c r="L35" s="13">
        <v>507000</v>
      </c>
      <c r="M35" s="13">
        <v>0</v>
      </c>
      <c r="N35" s="13">
        <v>0</v>
      </c>
      <c r="O35" s="13">
        <v>127500</v>
      </c>
      <c r="P35" s="13">
        <v>3391758</v>
      </c>
      <c r="Q35" s="12"/>
      <c r="R35" s="45">
        <f t="shared" si="3"/>
        <v>43892764.719999999</v>
      </c>
      <c r="S35" s="13">
        <v>1022151</v>
      </c>
      <c r="T35" s="13">
        <v>28932749</v>
      </c>
      <c r="U35" s="13"/>
      <c r="V35" s="13"/>
      <c r="W35" s="13"/>
      <c r="X35" s="13">
        <v>264680</v>
      </c>
      <c r="Y35" s="12">
        <v>2751195</v>
      </c>
      <c r="Z35" s="28">
        <f t="shared" si="5"/>
        <v>10921989.719999999</v>
      </c>
      <c r="AA35" s="12"/>
      <c r="AB35" s="12"/>
      <c r="AC35" s="12"/>
      <c r="AD35" s="12"/>
      <c r="AE35" s="12"/>
      <c r="AF35" s="12"/>
      <c r="AG35" s="12"/>
      <c r="AH35" s="12">
        <v>1390000</v>
      </c>
      <c r="AI35" s="12">
        <v>19000</v>
      </c>
      <c r="AJ35" s="12"/>
      <c r="AK35" s="12"/>
      <c r="AL35" s="12"/>
      <c r="AM35" s="43">
        <f t="shared" si="6"/>
        <v>1409000</v>
      </c>
      <c r="AN35" s="12"/>
      <c r="AO35" s="12"/>
      <c r="AP35" s="12"/>
      <c r="AQ35" s="12"/>
      <c r="AR35" s="29">
        <f t="shared" si="4"/>
        <v>9512989.7199999988</v>
      </c>
      <c r="AS35" s="15">
        <v>9513600</v>
      </c>
      <c r="AT35" s="30">
        <f t="shared" si="2"/>
        <v>610.28000000119209</v>
      </c>
      <c r="AU35" s="15"/>
      <c r="AV35" s="15"/>
      <c r="AW35" s="15"/>
    </row>
    <row r="36" spans="2:51" x14ac:dyDescent="0.25">
      <c r="B36" s="15"/>
      <c r="C36" s="37"/>
      <c r="D36" s="37"/>
      <c r="E36" s="38"/>
      <c r="F36" s="38"/>
      <c r="G36" s="39"/>
      <c r="H36" s="39"/>
      <c r="I36" s="39"/>
      <c r="J36" s="13"/>
      <c r="K36" s="15"/>
      <c r="L36" s="38"/>
      <c r="M36" s="38"/>
      <c r="N36" s="38"/>
      <c r="O36" s="38"/>
      <c r="P36" s="38"/>
      <c r="Q36" s="15"/>
      <c r="R36" s="40"/>
      <c r="S36" s="38"/>
      <c r="T36" s="38"/>
      <c r="U36" s="38"/>
      <c r="V36" s="38"/>
      <c r="W36" s="38"/>
      <c r="X36" s="38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41">
        <f>SUM(AM5:AM35)</f>
        <v>9973360</v>
      </c>
      <c r="AN36" s="15"/>
      <c r="AO36" s="15"/>
      <c r="AP36" s="15"/>
      <c r="AQ36" s="15"/>
      <c r="AR36" s="15"/>
      <c r="AS36" s="15"/>
      <c r="AT36" s="30">
        <f>SUM(AT5:AT20)</f>
        <v>11499.659999992698</v>
      </c>
      <c r="AU36" s="15"/>
      <c r="AV36" s="15"/>
      <c r="AW36" s="15"/>
    </row>
    <row r="37" spans="2:51" x14ac:dyDescent="0.25">
      <c r="B37" s="15"/>
      <c r="C37" s="37"/>
      <c r="D37" s="37"/>
      <c r="E37" s="38"/>
      <c r="F37" s="38"/>
      <c r="G37" s="39"/>
      <c r="H37" s="39"/>
      <c r="I37" s="52"/>
      <c r="J37" s="54"/>
      <c r="K37" s="53"/>
      <c r="L37" s="38"/>
      <c r="M37" s="38"/>
      <c r="N37" s="38"/>
      <c r="O37" s="38"/>
      <c r="P37" s="38"/>
      <c r="Q37" s="15"/>
      <c r="R37" s="40"/>
      <c r="S37" s="38"/>
      <c r="T37" s="38"/>
      <c r="U37" s="38"/>
      <c r="V37" s="38"/>
      <c r="W37" s="38"/>
      <c r="X37" s="38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41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Y37" t="s">
        <v>65</v>
      </c>
    </row>
    <row r="38" spans="2:51" x14ac:dyDescent="0.25">
      <c r="B38" s="15"/>
      <c r="C38" s="37"/>
      <c r="D38" s="37"/>
      <c r="E38" s="38"/>
      <c r="F38" s="38"/>
      <c r="G38" s="39"/>
      <c r="H38" s="39"/>
      <c r="I38" s="39"/>
      <c r="J38" s="38"/>
      <c r="K38" s="15"/>
      <c r="L38" s="38"/>
      <c r="M38" s="38"/>
      <c r="N38" s="38"/>
      <c r="O38" s="38"/>
      <c r="P38" s="38"/>
      <c r="Q38" s="15"/>
      <c r="R38" s="40"/>
      <c r="S38" s="38"/>
      <c r="T38" s="38"/>
      <c r="U38" s="38"/>
      <c r="V38" s="38"/>
      <c r="W38" s="38"/>
      <c r="X38" s="38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41"/>
      <c r="AN38" s="15"/>
      <c r="AO38" s="15"/>
      <c r="AP38" s="15"/>
      <c r="AQ38" s="15"/>
      <c r="AR38" s="15"/>
      <c r="AS38" s="15"/>
      <c r="AT38" s="15"/>
      <c r="AU38" s="15"/>
      <c r="AV38" s="15"/>
      <c r="AW38" s="15"/>
    </row>
    <row r="39" spans="2:51" x14ac:dyDescent="0.25">
      <c r="B39" s="15"/>
      <c r="C39" s="37"/>
      <c r="D39" s="37"/>
      <c r="E39" s="38"/>
      <c r="F39" s="38"/>
      <c r="G39" s="39"/>
      <c r="H39" s="39"/>
      <c r="I39" s="39"/>
      <c r="J39" s="38"/>
      <c r="K39" s="15"/>
      <c r="L39" s="38"/>
      <c r="M39" s="38"/>
      <c r="N39" s="38"/>
      <c r="O39" s="38"/>
      <c r="P39" s="38"/>
      <c r="Q39" s="15"/>
      <c r="R39" s="40"/>
      <c r="S39" s="38"/>
      <c r="T39" s="38"/>
      <c r="U39" s="38"/>
      <c r="V39" s="38"/>
      <c r="W39" s="38"/>
      <c r="X39" s="38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41"/>
      <c r="AN39" s="15"/>
      <c r="AO39" s="15"/>
      <c r="AP39" s="15"/>
      <c r="AQ39" s="15"/>
      <c r="AR39" s="15"/>
      <c r="AS39" s="15"/>
      <c r="AT39" s="15"/>
      <c r="AU39" s="15"/>
      <c r="AV39" s="15"/>
      <c r="AW39" s="15"/>
    </row>
    <row r="40" spans="2:51" x14ac:dyDescent="0.25">
      <c r="B40" s="15"/>
      <c r="C40" s="37"/>
      <c r="D40" s="37"/>
      <c r="E40" s="38"/>
      <c r="F40" s="38"/>
      <c r="G40" s="39"/>
      <c r="H40" s="39"/>
      <c r="I40" s="39"/>
      <c r="J40" s="38"/>
      <c r="K40" s="15"/>
      <c r="L40" s="38"/>
      <c r="M40" s="38"/>
      <c r="N40" s="38"/>
      <c r="O40" s="38"/>
      <c r="P40" s="38"/>
      <c r="Q40" s="15"/>
      <c r="R40" s="40"/>
      <c r="S40" s="38"/>
      <c r="T40" s="38"/>
      <c r="U40" s="38"/>
      <c r="V40" s="38"/>
      <c r="W40" s="38"/>
      <c r="X40" s="38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41"/>
      <c r="AN40" s="15"/>
      <c r="AO40" s="15"/>
      <c r="AP40" s="15"/>
      <c r="AQ40" s="15"/>
      <c r="AR40" s="15"/>
      <c r="AS40" s="15"/>
      <c r="AT40" s="15"/>
      <c r="AU40" s="15"/>
      <c r="AV40" s="15"/>
      <c r="AW40" s="15"/>
    </row>
    <row r="41" spans="2:51" x14ac:dyDescent="0.25">
      <c r="B41" s="15"/>
      <c r="C41" s="37"/>
      <c r="D41" s="37"/>
      <c r="E41" s="38"/>
      <c r="F41" s="38"/>
      <c r="G41" s="39"/>
      <c r="H41" s="39"/>
      <c r="I41" s="39"/>
      <c r="J41" s="38"/>
      <c r="K41" s="15"/>
      <c r="L41" s="38"/>
      <c r="M41" s="38"/>
      <c r="N41" s="38"/>
      <c r="O41" s="38"/>
      <c r="P41" s="38"/>
      <c r="Q41" s="15"/>
      <c r="R41" s="40"/>
      <c r="S41" s="38"/>
      <c r="T41" s="38"/>
      <c r="U41" s="38"/>
      <c r="V41" s="38"/>
      <c r="W41" s="38"/>
      <c r="X41" s="38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41"/>
      <c r="AN41" s="15"/>
      <c r="AO41" s="15"/>
      <c r="AP41" s="15"/>
      <c r="AQ41" s="15"/>
      <c r="AR41" s="15"/>
      <c r="AS41" s="15"/>
      <c r="AT41" s="15"/>
      <c r="AU41" s="15"/>
      <c r="AV41" s="15"/>
      <c r="AW41" s="15"/>
    </row>
    <row r="42" spans="2:51" x14ac:dyDescent="0.25">
      <c r="B42" s="15"/>
      <c r="C42" s="37"/>
      <c r="D42" s="37"/>
      <c r="E42" s="38"/>
      <c r="F42" s="38"/>
      <c r="G42" s="39"/>
      <c r="H42" s="39"/>
      <c r="I42" s="39"/>
      <c r="J42" s="38"/>
      <c r="K42" s="15"/>
      <c r="L42" s="38"/>
      <c r="M42" s="38"/>
      <c r="N42" s="38"/>
      <c r="O42" s="38"/>
      <c r="P42" s="38"/>
      <c r="Q42" s="15"/>
      <c r="R42" s="40"/>
      <c r="S42" s="38"/>
      <c r="T42" s="38"/>
      <c r="U42" s="38"/>
      <c r="V42" s="38"/>
      <c r="W42" s="38"/>
      <c r="X42" s="38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41"/>
      <c r="AN42" s="15"/>
      <c r="AO42" s="15"/>
      <c r="AP42" s="15"/>
      <c r="AQ42" s="15"/>
      <c r="AR42" s="15"/>
      <c r="AS42" s="15"/>
      <c r="AT42" s="15"/>
      <c r="AU42" s="15"/>
      <c r="AV42" s="15"/>
      <c r="AW42" s="15"/>
    </row>
    <row r="43" spans="2:51" x14ac:dyDescent="0.25">
      <c r="B43" s="15"/>
      <c r="C43" s="37"/>
      <c r="D43" s="37"/>
      <c r="E43" s="38"/>
      <c r="F43" s="38"/>
      <c r="G43" s="39"/>
      <c r="H43" s="39"/>
      <c r="I43" s="39"/>
      <c r="J43" s="38"/>
      <c r="K43" s="15"/>
      <c r="L43" s="38"/>
      <c r="M43" s="38"/>
      <c r="N43" s="38"/>
      <c r="O43" s="38"/>
      <c r="P43" s="38"/>
      <c r="Q43" s="15"/>
      <c r="R43" s="40"/>
      <c r="S43" s="38"/>
      <c r="T43" s="38"/>
      <c r="U43" s="38"/>
      <c r="V43" s="38"/>
      <c r="W43" s="38"/>
      <c r="X43" s="38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41"/>
      <c r="AN43" s="15"/>
      <c r="AO43" s="15"/>
      <c r="AP43" s="15"/>
      <c r="AQ43" s="15"/>
      <c r="AR43" s="15"/>
      <c r="AS43" s="15"/>
      <c r="AT43" s="15"/>
      <c r="AU43" s="15"/>
      <c r="AV43" s="15"/>
      <c r="AW43" s="15"/>
    </row>
    <row r="44" spans="2:51" x14ac:dyDescent="0.25">
      <c r="B44" s="15"/>
      <c r="C44" s="37"/>
      <c r="D44" s="37"/>
      <c r="E44" s="38"/>
      <c r="F44" s="38"/>
      <c r="G44" s="39"/>
      <c r="H44" s="39"/>
      <c r="I44" s="39"/>
      <c r="J44" s="38"/>
      <c r="K44" s="15"/>
      <c r="L44" s="38"/>
      <c r="M44" s="38"/>
      <c r="N44" s="38"/>
      <c r="O44" s="38"/>
      <c r="P44" s="38"/>
      <c r="Q44" s="15"/>
      <c r="R44" s="40"/>
      <c r="S44" s="38"/>
      <c r="T44" s="38"/>
      <c r="U44" s="38"/>
      <c r="V44" s="38"/>
      <c r="W44" s="38"/>
      <c r="X44" s="38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41"/>
      <c r="AN44" s="15"/>
      <c r="AO44" s="15"/>
      <c r="AP44" s="15"/>
      <c r="AQ44" s="15"/>
      <c r="AR44" s="15"/>
      <c r="AS44" s="15"/>
      <c r="AT44" s="15"/>
      <c r="AU44" s="15"/>
      <c r="AV44" s="15"/>
      <c r="AW44" s="15"/>
    </row>
    <row r="45" spans="2:51" x14ac:dyDescent="0.25">
      <c r="B45" s="15"/>
      <c r="C45" s="37"/>
      <c r="D45" s="37"/>
      <c r="E45" s="38"/>
      <c r="F45" s="38"/>
      <c r="G45" s="39"/>
      <c r="H45" s="39"/>
      <c r="I45" s="39"/>
      <c r="J45" s="38"/>
      <c r="K45" s="15"/>
      <c r="L45" s="38"/>
      <c r="M45" s="38"/>
      <c r="N45" s="38"/>
      <c r="O45" s="38"/>
      <c r="P45" s="38"/>
      <c r="Q45" s="15"/>
      <c r="R45" s="40"/>
      <c r="S45" s="38"/>
      <c r="T45" s="38"/>
      <c r="U45" s="38"/>
      <c r="V45" s="38"/>
      <c r="W45" s="38"/>
      <c r="X45" s="38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41"/>
      <c r="AN45" s="15"/>
      <c r="AO45" s="15"/>
      <c r="AP45" s="15"/>
      <c r="AQ45" s="15"/>
      <c r="AR45" s="15"/>
      <c r="AS45" s="15"/>
      <c r="AT45" s="15"/>
      <c r="AU45" s="15"/>
      <c r="AV45" s="15"/>
      <c r="AW45" s="15"/>
    </row>
    <row r="46" spans="2:51" x14ac:dyDescent="0.25">
      <c r="B46" s="15"/>
      <c r="C46" s="37"/>
      <c r="D46" s="37"/>
      <c r="E46" s="38"/>
      <c r="F46" s="38"/>
      <c r="G46" s="39"/>
      <c r="H46" s="39"/>
      <c r="I46" s="39"/>
      <c r="J46" s="38"/>
      <c r="K46" s="15"/>
      <c r="L46" s="38"/>
      <c r="M46" s="38"/>
      <c r="N46" s="38"/>
      <c r="O46" s="38"/>
      <c r="P46" s="38"/>
      <c r="Q46" s="15"/>
      <c r="R46" s="40"/>
      <c r="S46" s="38"/>
      <c r="T46" s="38"/>
      <c r="U46" s="38"/>
      <c r="V46" s="38"/>
      <c r="W46" s="38"/>
      <c r="X46" s="38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41"/>
      <c r="AN46" s="15"/>
      <c r="AO46" s="15"/>
      <c r="AP46" s="15"/>
      <c r="AQ46" s="15"/>
      <c r="AR46" s="15"/>
      <c r="AS46" s="15"/>
      <c r="AT46" s="15"/>
      <c r="AU46" s="15"/>
      <c r="AV46" s="15"/>
      <c r="AW46" s="15"/>
    </row>
    <row r="47" spans="2:51" x14ac:dyDescent="0.25">
      <c r="B47" s="15"/>
      <c r="C47" s="37"/>
      <c r="D47" s="37"/>
      <c r="E47" s="38"/>
      <c r="F47" s="38"/>
      <c r="G47" s="39"/>
      <c r="H47" s="39"/>
      <c r="I47" s="39"/>
      <c r="J47" s="38"/>
      <c r="K47" s="15"/>
      <c r="L47" s="38"/>
      <c r="M47" s="38"/>
      <c r="N47" s="38"/>
      <c r="O47" s="38"/>
      <c r="P47" s="38"/>
      <c r="Q47" s="15"/>
      <c r="R47" s="40"/>
      <c r="S47" s="38"/>
      <c r="T47" s="38"/>
      <c r="U47" s="38"/>
      <c r="V47" s="38"/>
      <c r="W47" s="38"/>
      <c r="X47" s="38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41"/>
      <c r="AN47" s="15"/>
      <c r="AO47" s="15"/>
      <c r="AP47" s="15"/>
      <c r="AQ47" s="15"/>
      <c r="AR47" s="15"/>
      <c r="AS47" s="15"/>
      <c r="AT47" s="15"/>
      <c r="AU47" s="15"/>
      <c r="AV47" s="15"/>
      <c r="AW47" s="15"/>
    </row>
    <row r="48" spans="2:51" x14ac:dyDescent="0.25">
      <c r="B48" s="15"/>
      <c r="C48" s="37"/>
      <c r="D48" s="37"/>
      <c r="E48" s="38"/>
      <c r="F48" s="38"/>
      <c r="G48" s="39"/>
      <c r="H48" s="39"/>
      <c r="I48" s="39"/>
      <c r="J48" s="38"/>
      <c r="K48" s="15"/>
      <c r="L48" s="38"/>
      <c r="M48" s="38"/>
      <c r="N48" s="38"/>
      <c r="O48" s="38"/>
      <c r="P48" s="38"/>
      <c r="Q48" s="15"/>
      <c r="R48" s="40"/>
      <c r="S48" s="38"/>
      <c r="T48" s="38"/>
      <c r="U48" s="38"/>
      <c r="V48" s="38"/>
      <c r="W48" s="38"/>
      <c r="X48" s="38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41"/>
      <c r="AN48" s="15"/>
      <c r="AO48" s="15"/>
      <c r="AP48" s="15"/>
      <c r="AQ48" s="15"/>
      <c r="AR48" s="15"/>
      <c r="AS48" s="15"/>
      <c r="AT48" s="15"/>
      <c r="AU48" s="15"/>
      <c r="AV48" s="15"/>
      <c r="AW48" s="15"/>
    </row>
    <row r="49" spans="2:49" x14ac:dyDescent="0.25">
      <c r="B49" s="15"/>
      <c r="C49" s="37"/>
      <c r="D49" s="37"/>
      <c r="E49" s="38"/>
      <c r="F49" s="38"/>
      <c r="G49" s="39"/>
      <c r="H49" s="39"/>
      <c r="I49" s="39"/>
      <c r="J49" s="38"/>
      <c r="K49" s="15"/>
      <c r="L49" s="38"/>
      <c r="M49" s="38"/>
      <c r="N49" s="38"/>
      <c r="O49" s="38"/>
      <c r="P49" s="38"/>
      <c r="Q49" s="15"/>
      <c r="R49" s="40"/>
      <c r="S49" s="38"/>
      <c r="T49" s="38"/>
      <c r="U49" s="38"/>
      <c r="V49" s="38"/>
      <c r="W49" s="38"/>
      <c r="X49" s="38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41"/>
      <c r="AN49" s="15"/>
      <c r="AO49" s="15"/>
      <c r="AP49" s="15"/>
      <c r="AQ49" s="15"/>
      <c r="AR49" s="15"/>
      <c r="AS49" s="15"/>
      <c r="AT49" s="15"/>
      <c r="AU49" s="15"/>
      <c r="AV49" s="15"/>
      <c r="AW49" s="15"/>
    </row>
    <row r="50" spans="2:49" x14ac:dyDescent="0.25">
      <c r="B50" s="15"/>
      <c r="C50" s="37"/>
      <c r="D50" s="37"/>
      <c r="E50" s="38"/>
      <c r="F50" s="38"/>
      <c r="G50" s="39"/>
      <c r="H50" s="39"/>
      <c r="I50" s="39"/>
      <c r="J50" s="38"/>
      <c r="K50" s="15"/>
      <c r="L50" s="38"/>
      <c r="M50" s="38"/>
      <c r="N50" s="38"/>
      <c r="O50" s="38"/>
      <c r="P50" s="38"/>
      <c r="Q50" s="15"/>
      <c r="R50" s="40"/>
      <c r="S50" s="38"/>
      <c r="T50" s="38"/>
      <c r="U50" s="38"/>
      <c r="V50" s="38"/>
      <c r="W50" s="38"/>
      <c r="X50" s="38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41"/>
      <c r="AN50" s="15"/>
      <c r="AO50" s="15"/>
      <c r="AP50" s="15"/>
      <c r="AQ50" s="15"/>
      <c r="AR50" s="15"/>
      <c r="AS50" s="15"/>
      <c r="AT50" s="15"/>
      <c r="AU50" s="15"/>
      <c r="AV50" s="15"/>
      <c r="AW50" s="15"/>
    </row>
    <row r="51" spans="2:49" x14ac:dyDescent="0.25">
      <c r="B51" s="15"/>
      <c r="C51" s="37"/>
      <c r="D51" s="37"/>
      <c r="E51" s="38"/>
      <c r="F51" s="38"/>
      <c r="G51" s="39"/>
      <c r="H51" s="39"/>
      <c r="I51" s="39"/>
      <c r="J51" s="38"/>
      <c r="K51" s="15"/>
      <c r="L51" s="38"/>
      <c r="M51" s="38"/>
      <c r="N51" s="38"/>
      <c r="O51" s="38"/>
      <c r="P51" s="38"/>
      <c r="Q51" s="15"/>
      <c r="R51" s="40"/>
      <c r="S51" s="38"/>
      <c r="T51" s="38"/>
      <c r="U51" s="38"/>
      <c r="V51" s="38"/>
      <c r="W51" s="38"/>
      <c r="X51" s="38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41"/>
      <c r="AN51" s="15"/>
      <c r="AO51" s="15"/>
      <c r="AP51" s="15"/>
      <c r="AQ51" s="15"/>
      <c r="AR51" s="15"/>
      <c r="AS51" s="15"/>
      <c r="AT51" s="15"/>
      <c r="AU51" s="15"/>
      <c r="AV51" s="15"/>
      <c r="AW51" s="15"/>
    </row>
    <row r="52" spans="2:49" x14ac:dyDescent="0.25">
      <c r="B52" s="15"/>
      <c r="C52" s="37"/>
      <c r="D52" s="37"/>
      <c r="E52" s="38"/>
      <c r="F52" s="38"/>
      <c r="G52" s="39"/>
      <c r="H52" s="39"/>
      <c r="I52" s="39"/>
      <c r="J52" s="38"/>
      <c r="K52" s="15"/>
      <c r="L52" s="38"/>
      <c r="M52" s="38"/>
      <c r="N52" s="38"/>
      <c r="O52" s="38"/>
      <c r="P52" s="38"/>
      <c r="Q52" s="15"/>
      <c r="R52" s="40"/>
      <c r="S52" s="38"/>
      <c r="T52" s="38"/>
      <c r="U52" s="38"/>
      <c r="V52" s="38"/>
      <c r="W52" s="38"/>
      <c r="X52" s="38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41"/>
      <c r="AN52" s="15"/>
      <c r="AO52" s="15"/>
      <c r="AP52" s="15"/>
      <c r="AQ52" s="15"/>
      <c r="AR52" s="15"/>
      <c r="AS52" s="15"/>
      <c r="AT52" s="15"/>
      <c r="AU52" s="15"/>
      <c r="AV52" s="15"/>
      <c r="AW52" s="15"/>
    </row>
    <row r="53" spans="2:49" x14ac:dyDescent="0.25">
      <c r="B53" s="15"/>
      <c r="C53" s="37"/>
      <c r="D53" s="37"/>
      <c r="E53" s="38"/>
      <c r="F53" s="38"/>
      <c r="G53" s="39"/>
      <c r="H53" s="39"/>
      <c r="I53" s="39"/>
      <c r="J53" s="38"/>
      <c r="K53" s="15"/>
      <c r="L53" s="38"/>
      <c r="M53" s="38"/>
      <c r="N53" s="38"/>
      <c r="O53" s="38"/>
      <c r="P53" s="38"/>
      <c r="Q53" s="15"/>
      <c r="R53" s="40"/>
      <c r="S53" s="38"/>
      <c r="T53" s="38"/>
      <c r="U53" s="38"/>
      <c r="V53" s="38"/>
      <c r="W53" s="38"/>
      <c r="X53" s="38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41"/>
      <c r="AN53" s="15"/>
      <c r="AO53" s="15"/>
      <c r="AP53" s="15"/>
      <c r="AQ53" s="15"/>
      <c r="AR53" s="15"/>
      <c r="AS53" s="15"/>
      <c r="AT53" s="15"/>
      <c r="AU53" s="15"/>
      <c r="AV53" s="15"/>
      <c r="AW53" s="15"/>
    </row>
    <row r="54" spans="2:49" x14ac:dyDescent="0.25">
      <c r="B54" s="15"/>
      <c r="C54" s="37"/>
      <c r="D54" s="37"/>
      <c r="E54" s="38"/>
      <c r="F54" s="38"/>
      <c r="G54" s="39"/>
      <c r="H54" s="39"/>
      <c r="I54" s="39"/>
      <c r="J54" s="38"/>
      <c r="K54" s="15"/>
      <c r="L54" s="38"/>
      <c r="M54" s="38"/>
      <c r="N54" s="38"/>
      <c r="O54" s="38"/>
      <c r="P54" s="38"/>
      <c r="Q54" s="15"/>
      <c r="R54" s="40"/>
      <c r="S54" s="38"/>
      <c r="T54" s="38"/>
      <c r="U54" s="38"/>
      <c r="V54" s="38"/>
      <c r="W54" s="38"/>
      <c r="X54" s="38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41"/>
      <c r="AN54" s="15"/>
      <c r="AO54" s="15"/>
      <c r="AP54" s="15"/>
      <c r="AQ54" s="15"/>
      <c r="AR54" s="15"/>
      <c r="AS54" s="15"/>
      <c r="AT54" s="15"/>
      <c r="AU54" s="15"/>
      <c r="AV54" s="15"/>
      <c r="AW54" s="15"/>
    </row>
    <row r="55" spans="2:49" x14ac:dyDescent="0.25">
      <c r="B55" s="15"/>
      <c r="C55" s="37"/>
      <c r="D55" s="37"/>
      <c r="E55" s="38"/>
      <c r="F55" s="38"/>
      <c r="G55" s="39"/>
      <c r="H55" s="39"/>
      <c r="I55" s="39"/>
      <c r="J55" s="38"/>
      <c r="K55" s="15"/>
      <c r="L55" s="38"/>
      <c r="M55" s="38"/>
      <c r="N55" s="38"/>
      <c r="O55" s="38"/>
      <c r="P55" s="38"/>
      <c r="Q55" s="15"/>
      <c r="R55" s="40"/>
      <c r="S55" s="38"/>
      <c r="T55" s="38"/>
      <c r="U55" s="38"/>
      <c r="V55" s="38"/>
      <c r="W55" s="38"/>
      <c r="X55" s="38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41"/>
      <c r="AN55" s="15"/>
      <c r="AO55" s="15"/>
      <c r="AP55" s="15"/>
      <c r="AQ55" s="15"/>
      <c r="AR55" s="15"/>
      <c r="AS55" s="15"/>
      <c r="AT55" s="15"/>
      <c r="AU55" s="15"/>
      <c r="AV55" s="15"/>
      <c r="AW55" s="15"/>
    </row>
    <row r="56" spans="2:49" x14ac:dyDescent="0.25">
      <c r="B56" s="15"/>
      <c r="C56" s="37"/>
      <c r="D56" s="37"/>
      <c r="E56" s="38"/>
      <c r="F56" s="38"/>
      <c r="G56" s="39"/>
      <c r="H56" s="39"/>
      <c r="I56" s="39"/>
      <c r="J56" s="38"/>
      <c r="K56" s="15"/>
      <c r="L56" s="38"/>
      <c r="M56" s="38"/>
      <c r="N56" s="38"/>
      <c r="O56" s="38"/>
      <c r="P56" s="38"/>
      <c r="Q56" s="15"/>
      <c r="R56" s="40"/>
      <c r="S56" s="38"/>
      <c r="T56" s="38"/>
      <c r="U56" s="38"/>
      <c r="V56" s="38"/>
      <c r="W56" s="38"/>
      <c r="X56" s="38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41"/>
      <c r="AN56" s="15"/>
      <c r="AO56" s="15"/>
      <c r="AP56" s="15"/>
      <c r="AQ56" s="15"/>
      <c r="AR56" s="15"/>
      <c r="AS56" s="15"/>
      <c r="AT56" s="15"/>
      <c r="AU56" s="15"/>
      <c r="AV56" s="15"/>
      <c r="AW56" s="15"/>
    </row>
    <row r="57" spans="2:49" x14ac:dyDescent="0.25">
      <c r="B57" s="15"/>
      <c r="C57" s="37"/>
      <c r="D57" s="37"/>
      <c r="E57" s="38"/>
      <c r="F57" s="38"/>
      <c r="G57" s="39"/>
      <c r="H57" s="39"/>
      <c r="I57" s="39"/>
      <c r="J57" s="38"/>
      <c r="K57" s="15"/>
      <c r="L57" s="38"/>
      <c r="M57" s="38"/>
      <c r="N57" s="38"/>
      <c r="O57" s="38"/>
      <c r="P57" s="38"/>
      <c r="Q57" s="15"/>
      <c r="R57" s="40"/>
      <c r="S57" s="38"/>
      <c r="T57" s="38"/>
      <c r="U57" s="38"/>
      <c r="V57" s="38"/>
      <c r="W57" s="38"/>
      <c r="X57" s="38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41"/>
      <c r="AN57" s="15"/>
      <c r="AO57" s="15"/>
      <c r="AP57" s="15"/>
      <c r="AQ57" s="15"/>
      <c r="AR57" s="15"/>
      <c r="AS57" s="15"/>
      <c r="AT57" s="15"/>
      <c r="AU57" s="15"/>
      <c r="AV57" s="15"/>
      <c r="AW57" s="15"/>
    </row>
    <row r="58" spans="2:49" x14ac:dyDescent="0.25">
      <c r="B58" s="15"/>
      <c r="C58" s="37"/>
      <c r="D58" s="37"/>
      <c r="E58" s="38"/>
      <c r="F58" s="38"/>
      <c r="G58" s="39"/>
      <c r="H58" s="39"/>
      <c r="I58" s="39"/>
      <c r="J58" s="38"/>
      <c r="K58" s="15"/>
      <c r="L58" s="38"/>
      <c r="M58" s="38"/>
      <c r="N58" s="38"/>
      <c r="O58" s="38"/>
      <c r="P58" s="38"/>
      <c r="Q58" s="15"/>
      <c r="R58" s="40"/>
      <c r="S58" s="38"/>
      <c r="T58" s="38"/>
      <c r="U58" s="38"/>
      <c r="V58" s="38"/>
      <c r="W58" s="38"/>
      <c r="X58" s="38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41"/>
      <c r="AN58" s="15"/>
      <c r="AO58" s="15"/>
      <c r="AP58" s="15"/>
      <c r="AQ58" s="15"/>
      <c r="AR58" s="15"/>
      <c r="AS58" s="15"/>
      <c r="AT58" s="15"/>
      <c r="AU58" s="15"/>
      <c r="AV58" s="15"/>
      <c r="AW58" s="15"/>
    </row>
    <row r="59" spans="2:49" x14ac:dyDescent="0.25">
      <c r="B59" s="15"/>
      <c r="C59" s="37"/>
      <c r="D59" s="37"/>
      <c r="E59" s="38"/>
      <c r="F59" s="38"/>
      <c r="G59" s="39"/>
      <c r="H59" s="39"/>
      <c r="I59" s="39"/>
      <c r="J59" s="38"/>
      <c r="K59" s="15"/>
      <c r="L59" s="38"/>
      <c r="M59" s="38"/>
      <c r="N59" s="38"/>
      <c r="O59" s="38"/>
      <c r="P59" s="38"/>
      <c r="Q59" s="15"/>
      <c r="R59" s="40"/>
      <c r="S59" s="38"/>
      <c r="T59" s="38"/>
      <c r="U59" s="38"/>
      <c r="V59" s="38"/>
      <c r="W59" s="38"/>
      <c r="X59" s="38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41"/>
      <c r="AN59" s="15"/>
      <c r="AO59" s="15"/>
      <c r="AP59" s="15"/>
      <c r="AQ59" s="15"/>
      <c r="AR59" s="15"/>
      <c r="AS59" s="15"/>
      <c r="AT59" s="15"/>
      <c r="AU59" s="15"/>
      <c r="AV59" s="15"/>
      <c r="AW59" s="15"/>
    </row>
    <row r="60" spans="2:49" x14ac:dyDescent="0.25">
      <c r="B60" s="15"/>
      <c r="C60" s="37"/>
      <c r="D60" s="37"/>
      <c r="E60" s="38"/>
      <c r="F60" s="38"/>
      <c r="G60" s="39"/>
      <c r="H60" s="39"/>
      <c r="I60" s="39"/>
      <c r="J60" s="38"/>
      <c r="K60" s="15"/>
      <c r="L60" s="38"/>
      <c r="M60" s="38"/>
      <c r="N60" s="38"/>
      <c r="O60" s="38"/>
      <c r="P60" s="38"/>
      <c r="Q60" s="15"/>
      <c r="R60" s="40"/>
      <c r="S60" s="38"/>
      <c r="T60" s="38"/>
      <c r="U60" s="38"/>
      <c r="V60" s="38"/>
      <c r="W60" s="38"/>
      <c r="X60" s="38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41"/>
      <c r="AN60" s="15"/>
      <c r="AO60" s="15"/>
      <c r="AP60" s="15"/>
      <c r="AQ60" s="15"/>
      <c r="AR60" s="15"/>
      <c r="AS60" s="15"/>
      <c r="AT60" s="15"/>
      <c r="AU60" s="15"/>
      <c r="AV60" s="15"/>
      <c r="AW60" s="15"/>
    </row>
    <row r="61" spans="2:49" x14ac:dyDescent="0.25">
      <c r="B61" s="15"/>
      <c r="C61" s="37"/>
      <c r="D61" s="37"/>
      <c r="E61" s="38"/>
      <c r="F61" s="38"/>
      <c r="G61" s="39"/>
      <c r="H61" s="39"/>
      <c r="I61" s="39"/>
      <c r="J61" s="38"/>
      <c r="K61" s="15"/>
      <c r="L61" s="38"/>
      <c r="M61" s="38"/>
      <c r="N61" s="38"/>
      <c r="O61" s="38"/>
      <c r="P61" s="38"/>
      <c r="Q61" s="15"/>
      <c r="R61" s="40"/>
      <c r="S61" s="38"/>
      <c r="T61" s="38"/>
      <c r="U61" s="38"/>
      <c r="V61" s="38"/>
      <c r="W61" s="38"/>
      <c r="X61" s="38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41"/>
      <c r="AN61" s="15"/>
      <c r="AO61" s="15"/>
      <c r="AP61" s="15"/>
      <c r="AQ61" s="15"/>
      <c r="AR61" s="15"/>
      <c r="AS61" s="15"/>
      <c r="AT61" s="15"/>
      <c r="AU61" s="15"/>
      <c r="AV61" s="15"/>
      <c r="AW61" s="15"/>
    </row>
    <row r="62" spans="2:49" x14ac:dyDescent="0.25">
      <c r="B62" s="15"/>
      <c r="C62" s="37"/>
      <c r="D62" s="37"/>
      <c r="E62" s="38"/>
      <c r="F62" s="38"/>
      <c r="G62" s="39"/>
      <c r="H62" s="39"/>
      <c r="I62" s="39"/>
      <c r="J62" s="38"/>
      <c r="K62" s="15"/>
      <c r="L62" s="38"/>
      <c r="M62" s="38"/>
      <c r="N62" s="38"/>
      <c r="O62" s="38"/>
      <c r="P62" s="38"/>
      <c r="Q62" s="15"/>
      <c r="R62" s="40"/>
      <c r="S62" s="38"/>
      <c r="T62" s="38"/>
      <c r="U62" s="38"/>
      <c r="V62" s="38"/>
      <c r="W62" s="38"/>
      <c r="X62" s="38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41"/>
      <c r="AN62" s="15"/>
      <c r="AO62" s="15"/>
      <c r="AP62" s="15"/>
      <c r="AQ62" s="15"/>
      <c r="AR62" s="15"/>
      <c r="AS62" s="15"/>
      <c r="AT62" s="15"/>
      <c r="AU62" s="15"/>
      <c r="AV62" s="15"/>
      <c r="AW62" s="15"/>
    </row>
    <row r="63" spans="2:49" x14ac:dyDescent="0.25">
      <c r="B63" s="15"/>
      <c r="C63" s="37"/>
      <c r="D63" s="37"/>
      <c r="E63" s="38"/>
      <c r="F63" s="38"/>
      <c r="G63" s="39"/>
      <c r="H63" s="39"/>
      <c r="I63" s="39"/>
      <c r="J63" s="38"/>
      <c r="K63" s="15"/>
      <c r="L63" s="38"/>
      <c r="M63" s="38"/>
      <c r="N63" s="38"/>
      <c r="O63" s="38"/>
      <c r="P63" s="38"/>
      <c r="Q63" s="15"/>
      <c r="R63" s="40"/>
      <c r="S63" s="38"/>
      <c r="T63" s="38"/>
      <c r="U63" s="38"/>
      <c r="V63" s="38"/>
      <c r="W63" s="38"/>
      <c r="X63" s="38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41"/>
      <c r="AN63" s="15"/>
      <c r="AO63" s="15"/>
      <c r="AP63" s="15"/>
      <c r="AQ63" s="15"/>
      <c r="AR63" s="15"/>
      <c r="AS63" s="15"/>
      <c r="AT63" s="15"/>
      <c r="AU63" s="15"/>
      <c r="AV63" s="15"/>
      <c r="AW63" s="15"/>
    </row>
    <row r="64" spans="2:49" x14ac:dyDescent="0.25">
      <c r="B64" s="15"/>
      <c r="C64" s="37"/>
      <c r="D64" s="37"/>
      <c r="E64" s="38"/>
      <c r="F64" s="38"/>
      <c r="G64" s="39"/>
      <c r="H64" s="39"/>
      <c r="I64" s="39"/>
      <c r="J64" s="38"/>
      <c r="K64" s="15"/>
      <c r="L64" s="38"/>
      <c r="M64" s="38"/>
      <c r="N64" s="38"/>
      <c r="O64" s="38"/>
      <c r="P64" s="38"/>
      <c r="Q64" s="15"/>
      <c r="R64" s="40"/>
      <c r="S64" s="38"/>
      <c r="T64" s="38"/>
      <c r="U64" s="38"/>
      <c r="V64" s="38"/>
      <c r="W64" s="38"/>
      <c r="X64" s="38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41"/>
      <c r="AN64" s="15"/>
      <c r="AO64" s="15"/>
      <c r="AP64" s="15"/>
      <c r="AQ64" s="15"/>
      <c r="AR64" s="15"/>
      <c r="AS64" s="15"/>
      <c r="AT64" s="15"/>
      <c r="AU64" s="15"/>
      <c r="AV64" s="15"/>
      <c r="AW64" s="15"/>
    </row>
    <row r="65" spans="2:49" x14ac:dyDescent="0.25">
      <c r="B65" s="15"/>
      <c r="C65" s="37"/>
      <c r="D65" s="37"/>
      <c r="E65" s="38"/>
      <c r="F65" s="38"/>
      <c r="G65" s="39"/>
      <c r="H65" s="39"/>
      <c r="I65" s="39"/>
      <c r="J65" s="38"/>
      <c r="K65" s="15"/>
      <c r="L65" s="38"/>
      <c r="M65" s="38"/>
      <c r="N65" s="38"/>
      <c r="O65" s="38"/>
      <c r="P65" s="38"/>
      <c r="Q65" s="15"/>
      <c r="R65" s="40"/>
      <c r="S65" s="38"/>
      <c r="T65" s="38"/>
      <c r="U65" s="38"/>
      <c r="V65" s="38"/>
      <c r="W65" s="38"/>
      <c r="X65" s="38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41"/>
      <c r="AN65" s="15"/>
      <c r="AO65" s="15"/>
      <c r="AP65" s="15"/>
      <c r="AQ65" s="15"/>
      <c r="AR65" s="15"/>
      <c r="AS65" s="15"/>
      <c r="AT65" s="15"/>
      <c r="AU65" s="15"/>
      <c r="AV65" s="15"/>
      <c r="AW65" s="15"/>
    </row>
    <row r="66" spans="2:49" x14ac:dyDescent="0.25">
      <c r="B66" s="15"/>
      <c r="C66" s="37"/>
      <c r="D66" s="37"/>
      <c r="E66" s="38"/>
      <c r="F66" s="38"/>
      <c r="G66" s="39"/>
      <c r="H66" s="39"/>
      <c r="I66" s="39"/>
      <c r="J66" s="38"/>
      <c r="K66" s="15"/>
      <c r="L66" s="38"/>
      <c r="M66" s="38"/>
      <c r="N66" s="38"/>
      <c r="O66" s="38"/>
      <c r="P66" s="38"/>
      <c r="Q66" s="15"/>
      <c r="R66" s="40"/>
      <c r="S66" s="38"/>
      <c r="T66" s="38"/>
      <c r="U66" s="38"/>
      <c r="V66" s="38"/>
      <c r="W66" s="38"/>
      <c r="X66" s="38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41"/>
      <c r="AN66" s="15"/>
      <c r="AO66" s="15"/>
      <c r="AP66" s="15"/>
      <c r="AQ66" s="15"/>
      <c r="AR66" s="15"/>
      <c r="AS66" s="15"/>
      <c r="AT66" s="15"/>
      <c r="AU66" s="15"/>
      <c r="AV66" s="15"/>
      <c r="AW66" s="15"/>
    </row>
    <row r="67" spans="2:49" x14ac:dyDescent="0.25">
      <c r="B67" s="15"/>
      <c r="C67" s="37"/>
      <c r="D67" s="37"/>
      <c r="E67" s="38"/>
      <c r="F67" s="38"/>
      <c r="G67" s="39"/>
      <c r="H67" s="39"/>
      <c r="I67" s="39"/>
      <c r="J67" s="38"/>
      <c r="K67" s="15"/>
      <c r="L67" s="38"/>
      <c r="M67" s="38"/>
      <c r="N67" s="38"/>
      <c r="O67" s="38"/>
      <c r="P67" s="38"/>
      <c r="Q67" s="15"/>
      <c r="R67" s="40"/>
      <c r="S67" s="38"/>
      <c r="T67" s="38"/>
      <c r="U67" s="38"/>
      <c r="V67" s="38"/>
      <c r="W67" s="38"/>
      <c r="X67" s="38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41"/>
      <c r="AN67" s="15"/>
      <c r="AO67" s="15"/>
      <c r="AP67" s="15"/>
      <c r="AQ67" s="15"/>
      <c r="AR67" s="15"/>
      <c r="AS67" s="15"/>
      <c r="AT67" s="15"/>
      <c r="AU67" s="15"/>
      <c r="AV67" s="15"/>
      <c r="AW67" s="15"/>
    </row>
    <row r="68" spans="2:49" x14ac:dyDescent="0.25">
      <c r="B68" s="15"/>
      <c r="C68" s="37"/>
      <c r="D68" s="37"/>
      <c r="E68" s="38"/>
      <c r="F68" s="38"/>
      <c r="G68" s="39"/>
      <c r="H68" s="39"/>
      <c r="I68" s="39"/>
      <c r="J68" s="38"/>
      <c r="K68" s="15"/>
      <c r="L68" s="38"/>
      <c r="M68" s="38"/>
      <c r="N68" s="38"/>
      <c r="O68" s="38"/>
      <c r="P68" s="38"/>
      <c r="Q68" s="15"/>
      <c r="R68" s="40"/>
      <c r="S68" s="38"/>
      <c r="T68" s="38"/>
      <c r="U68" s="38"/>
      <c r="V68" s="38"/>
      <c r="W68" s="38"/>
      <c r="X68" s="38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41"/>
      <c r="AN68" s="15"/>
      <c r="AO68" s="15"/>
      <c r="AP68" s="15"/>
      <c r="AQ68" s="15"/>
      <c r="AR68" s="15"/>
      <c r="AS68" s="15"/>
      <c r="AT68" s="15"/>
      <c r="AU68" s="15"/>
      <c r="AV68" s="15"/>
      <c r="AW68" s="15"/>
    </row>
    <row r="69" spans="2:49" x14ac:dyDescent="0.25">
      <c r="B69" s="15"/>
      <c r="C69" s="37"/>
      <c r="D69" s="37"/>
      <c r="E69" s="38"/>
      <c r="F69" s="38"/>
      <c r="G69" s="39"/>
      <c r="H69" s="39"/>
      <c r="I69" s="39"/>
      <c r="J69" s="38"/>
      <c r="K69" s="15"/>
      <c r="L69" s="38"/>
      <c r="M69" s="38"/>
      <c r="N69" s="38"/>
      <c r="O69" s="38"/>
      <c r="P69" s="38"/>
      <c r="Q69" s="15"/>
      <c r="R69" s="40"/>
      <c r="S69" s="38"/>
      <c r="T69" s="38"/>
      <c r="U69" s="38"/>
      <c r="V69" s="38"/>
      <c r="W69" s="38"/>
      <c r="X69" s="38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41"/>
      <c r="AN69" s="15"/>
      <c r="AO69" s="15"/>
      <c r="AP69" s="15"/>
      <c r="AQ69" s="15"/>
      <c r="AR69" s="15"/>
      <c r="AS69" s="15"/>
      <c r="AT69" s="15"/>
      <c r="AU69" s="15"/>
      <c r="AV69" s="15"/>
      <c r="AW69" s="15"/>
    </row>
    <row r="70" spans="2:49" x14ac:dyDescent="0.25">
      <c r="B70" s="15"/>
      <c r="C70" s="37"/>
      <c r="D70" s="37"/>
      <c r="E70" s="38"/>
      <c r="F70" s="38"/>
      <c r="G70" s="39"/>
      <c r="H70" s="39"/>
      <c r="I70" s="39"/>
      <c r="J70" s="38"/>
      <c r="K70" s="15"/>
      <c r="L70" s="38"/>
      <c r="M70" s="38"/>
      <c r="N70" s="38"/>
      <c r="O70" s="38"/>
      <c r="P70" s="38"/>
      <c r="Q70" s="15"/>
      <c r="R70" s="40"/>
      <c r="S70" s="38"/>
      <c r="T70" s="38"/>
      <c r="U70" s="38"/>
      <c r="V70" s="38"/>
      <c r="W70" s="38"/>
      <c r="X70" s="38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41"/>
      <c r="AN70" s="15"/>
      <c r="AO70" s="15"/>
      <c r="AP70" s="15"/>
      <c r="AQ70" s="15"/>
      <c r="AR70" s="15"/>
      <c r="AS70" s="15"/>
      <c r="AT70" s="15"/>
      <c r="AU70" s="15"/>
      <c r="AV70" s="15"/>
      <c r="AW70" s="15"/>
    </row>
    <row r="71" spans="2:49" x14ac:dyDescent="0.25">
      <c r="B71" s="15"/>
      <c r="C71" s="37"/>
      <c r="D71" s="37"/>
      <c r="E71" s="38"/>
      <c r="F71" s="38"/>
      <c r="G71" s="39"/>
      <c r="H71" s="39"/>
      <c r="I71" s="39"/>
      <c r="J71" s="38"/>
      <c r="K71" s="15"/>
      <c r="L71" s="38"/>
      <c r="M71" s="38"/>
      <c r="N71" s="38"/>
      <c r="O71" s="38"/>
      <c r="P71" s="38"/>
      <c r="Q71" s="15"/>
      <c r="R71" s="40"/>
      <c r="S71" s="38"/>
      <c r="T71" s="38"/>
      <c r="U71" s="38"/>
      <c r="V71" s="38"/>
      <c r="W71" s="38"/>
      <c r="X71" s="38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41"/>
      <c r="AN71" s="15"/>
      <c r="AO71" s="15"/>
      <c r="AP71" s="15"/>
      <c r="AQ71" s="15"/>
      <c r="AR71" s="15"/>
      <c r="AS71" s="15"/>
      <c r="AT71" s="15"/>
      <c r="AU71" s="15"/>
      <c r="AV71" s="15"/>
      <c r="AW71" s="15"/>
    </row>
    <row r="72" spans="2:49" x14ac:dyDescent="0.25">
      <c r="B72" s="15"/>
      <c r="C72" s="37"/>
      <c r="D72" s="37"/>
      <c r="E72" s="38"/>
      <c r="F72" s="38"/>
      <c r="G72" s="39"/>
      <c r="H72" s="39"/>
      <c r="I72" s="39"/>
      <c r="J72" s="38"/>
      <c r="K72" s="15"/>
      <c r="L72" s="38"/>
      <c r="M72" s="38"/>
      <c r="N72" s="38"/>
      <c r="O72" s="38"/>
      <c r="P72" s="38"/>
      <c r="Q72" s="15"/>
      <c r="R72" s="40"/>
      <c r="S72" s="38"/>
      <c r="T72" s="38"/>
      <c r="U72" s="38"/>
      <c r="V72" s="38"/>
      <c r="W72" s="38"/>
      <c r="X72" s="38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41"/>
      <c r="AN72" s="15"/>
      <c r="AO72" s="15"/>
      <c r="AP72" s="15"/>
      <c r="AQ72" s="15"/>
      <c r="AR72" s="15"/>
      <c r="AS72" s="15"/>
      <c r="AT72" s="15"/>
      <c r="AU72" s="15"/>
      <c r="AV72" s="15"/>
      <c r="AW72" s="15"/>
    </row>
    <row r="73" spans="2:49" x14ac:dyDescent="0.25">
      <c r="B73" s="15"/>
      <c r="C73" s="37"/>
      <c r="D73" s="37"/>
      <c r="E73" s="38"/>
      <c r="F73" s="38"/>
      <c r="G73" s="39"/>
      <c r="H73" s="39"/>
      <c r="I73" s="39"/>
      <c r="J73" s="38"/>
      <c r="K73" s="15"/>
      <c r="L73" s="38"/>
      <c r="M73" s="38"/>
      <c r="N73" s="38"/>
      <c r="O73" s="38"/>
      <c r="P73" s="38"/>
      <c r="Q73" s="15"/>
      <c r="R73" s="40"/>
      <c r="S73" s="38"/>
      <c r="T73" s="38"/>
      <c r="U73" s="38"/>
      <c r="V73" s="38"/>
      <c r="W73" s="38"/>
      <c r="X73" s="38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41"/>
      <c r="AN73" s="15"/>
      <c r="AO73" s="15"/>
      <c r="AP73" s="15"/>
      <c r="AQ73" s="15"/>
      <c r="AR73" s="15"/>
      <c r="AS73" s="15"/>
      <c r="AT73" s="15"/>
      <c r="AU73" s="15"/>
      <c r="AV73" s="15"/>
      <c r="AW73" s="15"/>
    </row>
    <row r="74" spans="2:49" x14ac:dyDescent="0.25">
      <c r="B74" s="15"/>
      <c r="C74" s="37"/>
      <c r="D74" s="37"/>
      <c r="E74" s="38"/>
      <c r="F74" s="38"/>
      <c r="G74" s="39"/>
      <c r="H74" s="39"/>
      <c r="I74" s="39"/>
      <c r="J74" s="38"/>
      <c r="K74" s="15"/>
      <c r="L74" s="38"/>
      <c r="M74" s="38"/>
      <c r="N74" s="38"/>
      <c r="O74" s="38"/>
      <c r="P74" s="38"/>
      <c r="Q74" s="15"/>
      <c r="R74" s="40"/>
      <c r="S74" s="38"/>
      <c r="T74" s="38"/>
      <c r="U74" s="38"/>
      <c r="V74" s="38"/>
      <c r="W74" s="38"/>
      <c r="X74" s="38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41"/>
      <c r="AN74" s="15"/>
      <c r="AO74" s="15"/>
      <c r="AP74" s="15"/>
      <c r="AQ74" s="15"/>
      <c r="AR74" s="15"/>
      <c r="AS74" s="15"/>
      <c r="AT74" s="15"/>
      <c r="AU74" s="15"/>
      <c r="AV74" s="15"/>
      <c r="AW74" s="15"/>
    </row>
    <row r="75" spans="2:49" x14ac:dyDescent="0.25">
      <c r="B75" s="15"/>
      <c r="C75" s="37"/>
      <c r="D75" s="37"/>
      <c r="E75" s="38"/>
      <c r="F75" s="38"/>
      <c r="G75" s="39"/>
      <c r="H75" s="39"/>
      <c r="I75" s="39"/>
      <c r="J75" s="38"/>
      <c r="K75" s="15"/>
      <c r="L75" s="38"/>
      <c r="M75" s="38"/>
      <c r="N75" s="38"/>
      <c r="O75" s="38"/>
      <c r="P75" s="38"/>
      <c r="Q75" s="15"/>
      <c r="R75" s="40"/>
      <c r="S75" s="38"/>
      <c r="T75" s="38"/>
      <c r="U75" s="38"/>
      <c r="V75" s="38"/>
      <c r="W75" s="38"/>
      <c r="X75" s="38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41"/>
      <c r="AN75" s="15"/>
      <c r="AO75" s="15"/>
      <c r="AP75" s="15"/>
      <c r="AQ75" s="15"/>
      <c r="AR75" s="15"/>
      <c r="AS75" s="15"/>
      <c r="AT75" s="15"/>
      <c r="AU75" s="15"/>
      <c r="AV75" s="15"/>
      <c r="AW75" s="15"/>
    </row>
    <row r="76" spans="2:49" x14ac:dyDescent="0.25">
      <c r="B76" s="15"/>
      <c r="C76" s="37"/>
      <c r="D76" s="37"/>
      <c r="E76" s="38"/>
      <c r="F76" s="38"/>
      <c r="G76" s="39"/>
      <c r="H76" s="39"/>
      <c r="I76" s="39"/>
      <c r="J76" s="38"/>
      <c r="K76" s="15"/>
      <c r="L76" s="38"/>
      <c r="M76" s="38"/>
      <c r="N76" s="38"/>
      <c r="O76" s="38"/>
      <c r="P76" s="38"/>
      <c r="Q76" s="15"/>
      <c r="R76" s="40"/>
      <c r="S76" s="38"/>
      <c r="T76" s="38"/>
      <c r="U76" s="38"/>
      <c r="V76" s="38"/>
      <c r="W76" s="38"/>
      <c r="X76" s="38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41"/>
      <c r="AN76" s="15"/>
      <c r="AO76" s="15"/>
      <c r="AP76" s="15"/>
      <c r="AQ76" s="15"/>
      <c r="AR76" s="15"/>
      <c r="AS76" s="15"/>
      <c r="AT76" s="15"/>
      <c r="AU76" s="15"/>
      <c r="AV76" s="15"/>
      <c r="AW76" s="15"/>
    </row>
    <row r="77" spans="2:49" x14ac:dyDescent="0.25">
      <c r="B77" s="15"/>
      <c r="C77" s="37"/>
      <c r="D77" s="37"/>
      <c r="E77" s="38"/>
      <c r="F77" s="38"/>
      <c r="G77" s="39"/>
      <c r="H77" s="39"/>
      <c r="I77" s="39"/>
      <c r="J77" s="38"/>
      <c r="K77" s="15"/>
      <c r="L77" s="38"/>
      <c r="M77" s="38"/>
      <c r="N77" s="38"/>
      <c r="O77" s="38"/>
      <c r="P77" s="38"/>
      <c r="Q77" s="15"/>
      <c r="R77" s="40"/>
      <c r="S77" s="38"/>
      <c r="T77" s="38"/>
      <c r="U77" s="38"/>
      <c r="V77" s="38"/>
      <c r="W77" s="38"/>
      <c r="X77" s="38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41"/>
      <c r="AN77" s="15"/>
      <c r="AO77" s="15"/>
      <c r="AP77" s="15"/>
      <c r="AQ77" s="15"/>
      <c r="AR77" s="15"/>
      <c r="AS77" s="15"/>
      <c r="AT77" s="15"/>
      <c r="AU77" s="15"/>
      <c r="AV77" s="15"/>
      <c r="AW77" s="15"/>
    </row>
    <row r="78" spans="2:49" x14ac:dyDescent="0.25">
      <c r="B78" s="15"/>
      <c r="C78" s="37"/>
      <c r="D78" s="37"/>
      <c r="E78" s="38"/>
      <c r="F78" s="38"/>
      <c r="G78" s="39"/>
      <c r="H78" s="39"/>
      <c r="I78" s="39"/>
      <c r="J78" s="38"/>
      <c r="K78" s="15"/>
      <c r="L78" s="38"/>
      <c r="M78" s="38"/>
      <c r="N78" s="38"/>
      <c r="O78" s="38"/>
      <c r="P78" s="38"/>
      <c r="Q78" s="15"/>
      <c r="R78" s="40"/>
      <c r="S78" s="38"/>
      <c r="T78" s="38"/>
      <c r="U78" s="38"/>
      <c r="V78" s="38"/>
      <c r="W78" s="38"/>
      <c r="X78" s="38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41"/>
      <c r="AN78" s="15"/>
      <c r="AO78" s="15"/>
      <c r="AP78" s="15"/>
      <c r="AQ78" s="15"/>
      <c r="AR78" s="15"/>
      <c r="AS78" s="15"/>
      <c r="AT78" s="15"/>
      <c r="AU78" s="15"/>
      <c r="AV78" s="15"/>
      <c r="AW78" s="15"/>
    </row>
    <row r="79" spans="2:49" x14ac:dyDescent="0.25">
      <c r="B79" s="15"/>
      <c r="C79" s="37"/>
      <c r="D79" s="37"/>
      <c r="E79" s="38"/>
      <c r="F79" s="38"/>
      <c r="G79" s="39"/>
      <c r="H79" s="39"/>
      <c r="I79" s="39"/>
      <c r="J79" s="38"/>
      <c r="K79" s="15"/>
      <c r="L79" s="38"/>
      <c r="M79" s="38"/>
      <c r="N79" s="38"/>
      <c r="O79" s="38"/>
      <c r="P79" s="38"/>
      <c r="Q79" s="15"/>
      <c r="R79" s="40"/>
      <c r="S79" s="38"/>
      <c r="T79" s="38"/>
      <c r="U79" s="38"/>
      <c r="V79" s="38"/>
      <c r="W79" s="38"/>
      <c r="X79" s="38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41"/>
      <c r="AN79" s="15"/>
      <c r="AO79" s="15"/>
      <c r="AP79" s="15"/>
      <c r="AQ79" s="15"/>
      <c r="AR79" s="15"/>
      <c r="AS79" s="15"/>
      <c r="AT79" s="15"/>
      <c r="AU79" s="15"/>
      <c r="AV79" s="15"/>
      <c r="AW79" s="15"/>
    </row>
    <row r="80" spans="2:49" x14ac:dyDescent="0.25">
      <c r="B80" s="15"/>
      <c r="C80" s="37"/>
      <c r="D80" s="37"/>
      <c r="E80" s="38"/>
      <c r="F80" s="38"/>
      <c r="G80" s="39"/>
      <c r="H80" s="39"/>
      <c r="I80" s="39"/>
      <c r="J80" s="38"/>
      <c r="K80" s="15"/>
      <c r="L80" s="38"/>
      <c r="M80" s="38"/>
      <c r="N80" s="38"/>
      <c r="O80" s="38"/>
      <c r="P80" s="38"/>
      <c r="Q80" s="15"/>
      <c r="R80" s="40"/>
      <c r="S80" s="38"/>
      <c r="T80" s="38"/>
      <c r="U80" s="38"/>
      <c r="V80" s="38"/>
      <c r="W80" s="38"/>
      <c r="X80" s="38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41"/>
      <c r="AN80" s="15"/>
      <c r="AO80" s="15"/>
      <c r="AP80" s="15"/>
      <c r="AQ80" s="15"/>
      <c r="AR80" s="15"/>
      <c r="AS80" s="15"/>
      <c r="AT80" s="15"/>
      <c r="AU80" s="15"/>
      <c r="AV80" s="15"/>
      <c r="AW80" s="15"/>
    </row>
    <row r="81" spans="2:49" x14ac:dyDescent="0.25">
      <c r="B81" s="15"/>
      <c r="C81" s="37"/>
      <c r="D81" s="37"/>
      <c r="E81" s="38"/>
      <c r="F81" s="38"/>
      <c r="G81" s="39"/>
      <c r="H81" s="39"/>
      <c r="I81" s="39"/>
      <c r="J81" s="38"/>
      <c r="K81" s="15"/>
      <c r="L81" s="38"/>
      <c r="M81" s="38"/>
      <c r="N81" s="38"/>
      <c r="O81" s="38"/>
      <c r="P81" s="38"/>
      <c r="Q81" s="15"/>
      <c r="R81" s="40"/>
      <c r="S81" s="38"/>
      <c r="T81" s="38"/>
      <c r="U81" s="38"/>
      <c r="V81" s="38"/>
      <c r="W81" s="38"/>
      <c r="X81" s="38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41"/>
      <c r="AN81" s="15"/>
      <c r="AO81" s="15"/>
      <c r="AP81" s="15"/>
      <c r="AQ81" s="15"/>
      <c r="AR81" s="15"/>
      <c r="AS81" s="15"/>
      <c r="AT81" s="15"/>
      <c r="AU81" s="15"/>
      <c r="AV81" s="15"/>
      <c r="AW81" s="15"/>
    </row>
    <row r="82" spans="2:49" x14ac:dyDescent="0.25">
      <c r="B82" s="15"/>
      <c r="C82" s="37"/>
      <c r="D82" s="37"/>
      <c r="E82" s="38"/>
      <c r="F82" s="38"/>
      <c r="G82" s="39"/>
      <c r="H82" s="39"/>
      <c r="I82" s="39"/>
      <c r="J82" s="38"/>
      <c r="K82" s="15"/>
      <c r="L82" s="38"/>
      <c r="M82" s="38"/>
      <c r="N82" s="38"/>
      <c r="O82" s="38"/>
      <c r="P82" s="38"/>
      <c r="Q82" s="15"/>
      <c r="R82" s="40"/>
      <c r="S82" s="38"/>
      <c r="T82" s="38"/>
      <c r="U82" s="38"/>
      <c r="V82" s="38"/>
      <c r="W82" s="38"/>
      <c r="X82" s="38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41"/>
      <c r="AN82" s="15"/>
      <c r="AO82" s="15"/>
      <c r="AP82" s="15"/>
      <c r="AQ82" s="15"/>
      <c r="AR82" s="15"/>
      <c r="AS82" s="15"/>
      <c r="AT82" s="15"/>
      <c r="AU82" s="15"/>
      <c r="AV82" s="15"/>
      <c r="AW82" s="15"/>
    </row>
    <row r="83" spans="2:49" x14ac:dyDescent="0.25">
      <c r="B83" s="15"/>
      <c r="C83" s="37"/>
      <c r="D83" s="37"/>
      <c r="E83" s="38"/>
      <c r="F83" s="38"/>
      <c r="G83" s="39"/>
      <c r="H83" s="39"/>
      <c r="I83" s="39"/>
      <c r="J83" s="38"/>
      <c r="K83" s="15"/>
      <c r="L83" s="38"/>
      <c r="M83" s="38"/>
      <c r="N83" s="38"/>
      <c r="O83" s="38"/>
      <c r="P83" s="38"/>
      <c r="Q83" s="15"/>
      <c r="R83" s="40"/>
      <c r="S83" s="38"/>
      <c r="T83" s="38"/>
      <c r="U83" s="38"/>
      <c r="V83" s="38"/>
      <c r="W83" s="38"/>
      <c r="X83" s="38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1"/>
      <c r="AN83" s="15"/>
      <c r="AO83" s="15"/>
      <c r="AP83" s="15"/>
      <c r="AQ83" s="15"/>
      <c r="AR83" s="15"/>
      <c r="AS83" s="15"/>
      <c r="AT83" s="15"/>
      <c r="AU83" s="15"/>
      <c r="AV83" s="15"/>
      <c r="AW83" s="15"/>
    </row>
    <row r="84" spans="2:49" x14ac:dyDescent="0.25">
      <c r="B84" s="15"/>
      <c r="C84" s="37"/>
      <c r="D84" s="37"/>
      <c r="E84" s="38"/>
      <c r="F84" s="38"/>
      <c r="G84" s="39"/>
      <c r="H84" s="39"/>
      <c r="I84" s="39"/>
      <c r="J84" s="38"/>
      <c r="K84" s="15"/>
      <c r="L84" s="38"/>
      <c r="M84" s="38"/>
      <c r="N84" s="38"/>
      <c r="O84" s="38"/>
      <c r="P84" s="38"/>
      <c r="Q84" s="15"/>
      <c r="R84" s="40"/>
      <c r="S84" s="38"/>
      <c r="T84" s="38"/>
      <c r="U84" s="38"/>
      <c r="V84" s="38"/>
      <c r="W84" s="38"/>
      <c r="X84" s="38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41"/>
      <c r="AN84" s="15"/>
      <c r="AO84" s="15"/>
      <c r="AP84" s="15"/>
      <c r="AQ84" s="15"/>
      <c r="AR84" s="15"/>
      <c r="AS84" s="15"/>
      <c r="AT84" s="15"/>
      <c r="AU84" s="15"/>
      <c r="AV84" s="15"/>
      <c r="AW84" s="15"/>
    </row>
    <row r="85" spans="2:49" x14ac:dyDescent="0.25">
      <c r="B85" s="15"/>
      <c r="C85" s="37"/>
      <c r="D85" s="37"/>
      <c r="E85" s="38"/>
      <c r="F85" s="38"/>
      <c r="G85" s="39"/>
      <c r="H85" s="39"/>
      <c r="I85" s="39"/>
      <c r="J85" s="38"/>
      <c r="K85" s="15"/>
      <c r="L85" s="38"/>
      <c r="M85" s="38"/>
      <c r="N85" s="38"/>
      <c r="O85" s="38"/>
      <c r="P85" s="38"/>
      <c r="Q85" s="15"/>
      <c r="R85" s="40"/>
      <c r="S85" s="38"/>
      <c r="T85" s="38"/>
      <c r="U85" s="38"/>
      <c r="V85" s="38"/>
      <c r="W85" s="38"/>
      <c r="X85" s="38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41"/>
      <c r="AN85" s="15"/>
      <c r="AO85" s="15"/>
      <c r="AP85" s="15"/>
      <c r="AQ85" s="15"/>
      <c r="AR85" s="15"/>
      <c r="AS85" s="15"/>
      <c r="AT85" s="15"/>
      <c r="AU85" s="15"/>
      <c r="AV85" s="15"/>
      <c r="AW85" s="15"/>
    </row>
    <row r="86" spans="2:49" x14ac:dyDescent="0.25">
      <c r="B86" s="15"/>
      <c r="C86" s="37"/>
      <c r="D86" s="37"/>
      <c r="E86" s="38"/>
      <c r="F86" s="38"/>
      <c r="G86" s="39"/>
      <c r="H86" s="39"/>
      <c r="I86" s="39"/>
      <c r="J86" s="38"/>
      <c r="K86" s="15"/>
      <c r="L86" s="38"/>
      <c r="M86" s="38"/>
      <c r="N86" s="38"/>
      <c r="O86" s="38"/>
      <c r="P86" s="38"/>
      <c r="Q86" s="15"/>
      <c r="R86" s="40"/>
      <c r="S86" s="38"/>
      <c r="T86" s="38"/>
      <c r="U86" s="38"/>
      <c r="V86" s="38"/>
      <c r="W86" s="38"/>
      <c r="X86" s="38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41"/>
      <c r="AN86" s="15"/>
      <c r="AO86" s="15"/>
      <c r="AP86" s="15"/>
      <c r="AQ86" s="15"/>
      <c r="AR86" s="15"/>
      <c r="AS86" s="15"/>
      <c r="AT86" s="15"/>
      <c r="AU86" s="15"/>
      <c r="AV86" s="15"/>
      <c r="AW86" s="15"/>
    </row>
    <row r="87" spans="2:49" x14ac:dyDescent="0.25">
      <c r="B87" s="15"/>
      <c r="C87" s="37"/>
      <c r="D87" s="37"/>
      <c r="E87" s="38"/>
      <c r="F87" s="38"/>
      <c r="G87" s="39"/>
      <c r="H87" s="39"/>
      <c r="I87" s="39"/>
      <c r="J87" s="38"/>
      <c r="K87" s="15"/>
      <c r="L87" s="38"/>
      <c r="M87" s="38"/>
      <c r="N87" s="38"/>
      <c r="O87" s="38"/>
      <c r="P87" s="38"/>
      <c r="Q87" s="15"/>
      <c r="R87" s="40"/>
      <c r="S87" s="38"/>
      <c r="T87" s="38"/>
      <c r="U87" s="38"/>
      <c r="V87" s="38"/>
      <c r="W87" s="38"/>
      <c r="X87" s="38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41"/>
      <c r="AN87" s="15"/>
      <c r="AO87" s="15"/>
      <c r="AP87" s="15"/>
      <c r="AQ87" s="15"/>
      <c r="AR87" s="15"/>
      <c r="AS87" s="15"/>
      <c r="AT87" s="15"/>
      <c r="AU87" s="15"/>
      <c r="AV87" s="15"/>
      <c r="AW87" s="15"/>
    </row>
    <row r="88" spans="2:49" x14ac:dyDescent="0.25">
      <c r="B88" s="15"/>
      <c r="C88" s="37"/>
      <c r="D88" s="37"/>
      <c r="E88" s="38"/>
      <c r="F88" s="38"/>
      <c r="G88" s="39"/>
      <c r="H88" s="39"/>
      <c r="I88" s="39"/>
      <c r="J88" s="38"/>
      <c r="K88" s="15"/>
      <c r="L88" s="38"/>
      <c r="M88" s="38"/>
      <c r="N88" s="38"/>
      <c r="O88" s="38"/>
      <c r="P88" s="38"/>
      <c r="Q88" s="15"/>
      <c r="R88" s="40"/>
      <c r="S88" s="38"/>
      <c r="T88" s="38"/>
      <c r="U88" s="38"/>
      <c r="V88" s="38"/>
      <c r="W88" s="38"/>
      <c r="X88" s="38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41"/>
      <c r="AN88" s="15"/>
      <c r="AO88" s="15"/>
      <c r="AP88" s="15"/>
      <c r="AQ88" s="15"/>
      <c r="AR88" s="15"/>
      <c r="AS88" s="15"/>
      <c r="AT88" s="15"/>
      <c r="AU88" s="15"/>
      <c r="AV88" s="15"/>
      <c r="AW88" s="15"/>
    </row>
    <row r="89" spans="2:49" x14ac:dyDescent="0.25">
      <c r="B89" s="15"/>
      <c r="C89" s="37"/>
      <c r="D89" s="37"/>
      <c r="E89" s="38"/>
      <c r="F89" s="38"/>
      <c r="G89" s="39"/>
      <c r="H89" s="39"/>
      <c r="I89" s="39"/>
      <c r="J89" s="38"/>
      <c r="K89" s="15"/>
      <c r="L89" s="38"/>
      <c r="M89" s="38"/>
      <c r="N89" s="38"/>
      <c r="O89" s="38"/>
      <c r="P89" s="38"/>
      <c r="Q89" s="15"/>
      <c r="R89" s="40"/>
      <c r="S89" s="38"/>
      <c r="T89" s="38"/>
      <c r="U89" s="38"/>
      <c r="V89" s="38"/>
      <c r="W89" s="38"/>
      <c r="X89" s="38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41"/>
      <c r="AN89" s="15"/>
      <c r="AO89" s="15"/>
      <c r="AP89" s="15"/>
      <c r="AQ89" s="15"/>
      <c r="AR89" s="15"/>
      <c r="AS89" s="15"/>
      <c r="AT89" s="15"/>
      <c r="AU89" s="15"/>
      <c r="AV89" s="15"/>
      <c r="AW89" s="15"/>
    </row>
    <row r="90" spans="2:49" x14ac:dyDescent="0.25">
      <c r="B90" s="15"/>
      <c r="C90" s="37"/>
      <c r="D90" s="37"/>
      <c r="E90" s="38"/>
      <c r="F90" s="38"/>
      <c r="G90" s="39"/>
      <c r="H90" s="39"/>
      <c r="I90" s="39"/>
      <c r="J90" s="38"/>
      <c r="K90" s="15"/>
      <c r="L90" s="38"/>
      <c r="M90" s="38"/>
      <c r="N90" s="38"/>
      <c r="O90" s="38"/>
      <c r="P90" s="38"/>
      <c r="Q90" s="15"/>
      <c r="R90" s="40"/>
      <c r="S90" s="38"/>
      <c r="T90" s="38"/>
      <c r="U90" s="38"/>
      <c r="V90" s="38"/>
      <c r="W90" s="38"/>
      <c r="X90" s="38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41"/>
      <c r="AN90" s="15"/>
      <c r="AO90" s="15"/>
      <c r="AP90" s="15"/>
      <c r="AQ90" s="15"/>
      <c r="AR90" s="15"/>
      <c r="AS90" s="15"/>
      <c r="AT90" s="15"/>
      <c r="AU90" s="15"/>
      <c r="AV90" s="15"/>
      <c r="AW90" s="15"/>
    </row>
    <row r="91" spans="2:49" x14ac:dyDescent="0.25">
      <c r="B91" s="15"/>
      <c r="C91" s="37"/>
      <c r="D91" s="37"/>
      <c r="E91" s="38"/>
      <c r="F91" s="38"/>
      <c r="G91" s="39"/>
      <c r="H91" s="39"/>
      <c r="I91" s="39"/>
      <c r="J91" s="38"/>
      <c r="K91" s="15"/>
      <c r="L91" s="38"/>
      <c r="M91" s="38"/>
      <c r="N91" s="38"/>
      <c r="O91" s="38"/>
      <c r="P91" s="38"/>
      <c r="Q91" s="15"/>
      <c r="R91" s="40"/>
      <c r="S91" s="38"/>
      <c r="T91" s="38"/>
      <c r="U91" s="38"/>
      <c r="V91" s="38"/>
      <c r="W91" s="38"/>
      <c r="X91" s="38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41"/>
      <c r="AN91" s="15"/>
      <c r="AO91" s="15"/>
      <c r="AP91" s="15"/>
      <c r="AQ91" s="15"/>
      <c r="AR91" s="15"/>
      <c r="AS91" s="15"/>
      <c r="AT91" s="15"/>
      <c r="AU91" s="15"/>
      <c r="AV91" s="15"/>
      <c r="AW91" s="15"/>
    </row>
    <row r="92" spans="2:49" x14ac:dyDescent="0.25">
      <c r="B92" s="15"/>
      <c r="C92" s="37"/>
      <c r="D92" s="37"/>
      <c r="E92" s="38"/>
      <c r="F92" s="38"/>
      <c r="G92" s="39"/>
      <c r="H92" s="39"/>
      <c r="I92" s="39"/>
      <c r="J92" s="38"/>
      <c r="K92" s="15"/>
      <c r="L92" s="38"/>
      <c r="M92" s="38"/>
      <c r="N92" s="38"/>
      <c r="O92" s="38"/>
      <c r="P92" s="38"/>
      <c r="Q92" s="15"/>
      <c r="R92" s="40"/>
      <c r="S92" s="38"/>
      <c r="T92" s="38"/>
      <c r="U92" s="38"/>
      <c r="V92" s="38"/>
      <c r="W92" s="38"/>
      <c r="X92" s="38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41"/>
      <c r="AN92" s="15"/>
      <c r="AO92" s="15"/>
      <c r="AP92" s="15"/>
      <c r="AQ92" s="15"/>
      <c r="AR92" s="15"/>
      <c r="AS92" s="15"/>
      <c r="AT92" s="15"/>
      <c r="AU92" s="15"/>
      <c r="AV92" s="15"/>
      <c r="AW92" s="15"/>
    </row>
    <row r="93" spans="2:49" x14ac:dyDescent="0.25">
      <c r="B93" s="15"/>
      <c r="C93" s="37"/>
      <c r="D93" s="37"/>
      <c r="E93" s="38"/>
      <c r="F93" s="38"/>
      <c r="G93" s="39"/>
      <c r="H93" s="39"/>
      <c r="I93" s="39"/>
      <c r="J93" s="38"/>
      <c r="K93" s="15"/>
      <c r="L93" s="38"/>
      <c r="M93" s="38"/>
      <c r="N93" s="38"/>
      <c r="O93" s="38"/>
      <c r="P93" s="38"/>
      <c r="Q93" s="15"/>
      <c r="R93" s="40"/>
      <c r="S93" s="38"/>
      <c r="T93" s="38"/>
      <c r="U93" s="38"/>
      <c r="V93" s="38"/>
      <c r="W93" s="38"/>
      <c r="X93" s="38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41"/>
      <c r="AN93" s="15"/>
      <c r="AO93" s="15"/>
      <c r="AP93" s="15"/>
      <c r="AQ93" s="15"/>
      <c r="AR93" s="15"/>
      <c r="AS93" s="15"/>
      <c r="AT93" s="15"/>
      <c r="AU93" s="15"/>
      <c r="AV93" s="15"/>
      <c r="AW93" s="15"/>
    </row>
    <row r="94" spans="2:49" x14ac:dyDescent="0.25">
      <c r="B94" s="15"/>
      <c r="C94" s="37"/>
      <c r="D94" s="37"/>
      <c r="E94" s="38"/>
      <c r="F94" s="38"/>
      <c r="G94" s="39"/>
      <c r="H94" s="39"/>
      <c r="I94" s="39"/>
      <c r="J94" s="38"/>
      <c r="K94" s="15"/>
      <c r="L94" s="38"/>
      <c r="M94" s="38"/>
      <c r="N94" s="38"/>
      <c r="O94" s="38"/>
      <c r="P94" s="38"/>
      <c r="Q94" s="15"/>
      <c r="R94" s="40"/>
      <c r="S94" s="38"/>
      <c r="T94" s="38"/>
      <c r="U94" s="38"/>
      <c r="V94" s="38"/>
      <c r="W94" s="38"/>
      <c r="X94" s="38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41"/>
      <c r="AN94" s="15"/>
      <c r="AO94" s="15"/>
      <c r="AP94" s="15"/>
      <c r="AQ94" s="15"/>
      <c r="AR94" s="15"/>
      <c r="AS94" s="15"/>
      <c r="AT94" s="15"/>
      <c r="AU94" s="15"/>
      <c r="AV94" s="15"/>
      <c r="AW94" s="15"/>
    </row>
    <row r="95" spans="2:49" x14ac:dyDescent="0.25">
      <c r="B95" s="15"/>
      <c r="C95" s="37"/>
      <c r="D95" s="37"/>
      <c r="E95" s="38"/>
      <c r="F95" s="38"/>
      <c r="G95" s="39"/>
      <c r="H95" s="39"/>
      <c r="I95" s="39"/>
      <c r="J95" s="38"/>
      <c r="K95" s="15"/>
      <c r="L95" s="38"/>
      <c r="M95" s="38"/>
      <c r="N95" s="38"/>
      <c r="O95" s="38"/>
      <c r="P95" s="38"/>
      <c r="Q95" s="15"/>
      <c r="R95" s="40"/>
      <c r="S95" s="38"/>
      <c r="T95" s="38"/>
      <c r="U95" s="38"/>
      <c r="V95" s="38"/>
      <c r="W95" s="38"/>
      <c r="X95" s="38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41"/>
      <c r="AN95" s="15"/>
      <c r="AO95" s="15"/>
      <c r="AP95" s="15"/>
      <c r="AQ95" s="15"/>
      <c r="AR95" s="15"/>
      <c r="AS95" s="15"/>
      <c r="AT95" s="15"/>
      <c r="AU95" s="15"/>
      <c r="AV95" s="15"/>
      <c r="AW95" s="15"/>
    </row>
    <row r="96" spans="2:49" x14ac:dyDescent="0.25">
      <c r="B96" s="15"/>
      <c r="C96" s="37"/>
      <c r="D96" s="37"/>
      <c r="E96" s="38"/>
      <c r="F96" s="38"/>
      <c r="G96" s="39"/>
      <c r="H96" s="39"/>
      <c r="I96" s="39"/>
      <c r="J96" s="38"/>
      <c r="K96" s="15"/>
      <c r="L96" s="38"/>
      <c r="M96" s="38"/>
      <c r="N96" s="38"/>
      <c r="O96" s="38"/>
      <c r="P96" s="38"/>
      <c r="Q96" s="15"/>
      <c r="R96" s="40"/>
      <c r="S96" s="38"/>
      <c r="T96" s="38"/>
      <c r="U96" s="38"/>
      <c r="V96" s="38"/>
      <c r="W96" s="38"/>
      <c r="X96" s="38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41"/>
      <c r="AN96" s="15"/>
      <c r="AO96" s="15"/>
      <c r="AP96" s="15"/>
      <c r="AQ96" s="15"/>
      <c r="AR96" s="15"/>
      <c r="AS96" s="15"/>
      <c r="AT96" s="15"/>
      <c r="AU96" s="15"/>
      <c r="AV96" s="15"/>
      <c r="AW96" s="15"/>
    </row>
    <row r="97" spans="2:49" x14ac:dyDescent="0.25">
      <c r="B97" s="15"/>
      <c r="C97" s="37"/>
      <c r="D97" s="37"/>
      <c r="E97" s="38"/>
      <c r="F97" s="38"/>
      <c r="G97" s="39"/>
      <c r="H97" s="39"/>
      <c r="I97" s="39"/>
      <c r="J97" s="38"/>
      <c r="K97" s="15"/>
      <c r="L97" s="38"/>
      <c r="M97" s="38"/>
      <c r="N97" s="38"/>
      <c r="O97" s="38"/>
      <c r="P97" s="38"/>
      <c r="Q97" s="15"/>
      <c r="R97" s="40"/>
      <c r="S97" s="38"/>
      <c r="T97" s="38"/>
      <c r="U97" s="38"/>
      <c r="V97" s="38"/>
      <c r="W97" s="38"/>
      <c r="X97" s="38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41"/>
      <c r="AN97" s="15"/>
      <c r="AO97" s="15"/>
      <c r="AP97" s="15"/>
      <c r="AQ97" s="15"/>
      <c r="AR97" s="15"/>
      <c r="AS97" s="15"/>
      <c r="AT97" s="15"/>
      <c r="AU97" s="15"/>
      <c r="AV97" s="15"/>
      <c r="AW97" s="15"/>
    </row>
    <row r="98" spans="2:49" x14ac:dyDescent="0.25">
      <c r="B98" s="15"/>
      <c r="C98" s="37"/>
      <c r="D98" s="37"/>
      <c r="E98" s="38"/>
      <c r="F98" s="38"/>
      <c r="G98" s="39"/>
      <c r="H98" s="39"/>
      <c r="I98" s="39"/>
      <c r="J98" s="38"/>
      <c r="K98" s="15"/>
      <c r="L98" s="38"/>
      <c r="M98" s="38"/>
      <c r="N98" s="38"/>
      <c r="O98" s="38"/>
      <c r="P98" s="38"/>
      <c r="Q98" s="15"/>
      <c r="R98" s="40"/>
      <c r="S98" s="38"/>
      <c r="T98" s="38"/>
      <c r="U98" s="38"/>
      <c r="V98" s="38"/>
      <c r="W98" s="38"/>
      <c r="X98" s="38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41"/>
      <c r="AN98" s="15"/>
      <c r="AO98" s="15"/>
      <c r="AP98" s="15"/>
      <c r="AQ98" s="15"/>
      <c r="AR98" s="15"/>
      <c r="AS98" s="15"/>
      <c r="AT98" s="15"/>
      <c r="AU98" s="15"/>
      <c r="AV98" s="15"/>
      <c r="AW98" s="15"/>
    </row>
    <row r="99" spans="2:49" x14ac:dyDescent="0.25">
      <c r="B99" s="15"/>
      <c r="C99" s="37"/>
      <c r="D99" s="37"/>
      <c r="E99" s="38"/>
      <c r="F99" s="38"/>
      <c r="G99" s="39"/>
      <c r="H99" s="39"/>
      <c r="I99" s="39"/>
      <c r="J99" s="38"/>
      <c r="K99" s="15"/>
      <c r="L99" s="38"/>
      <c r="M99" s="38"/>
      <c r="N99" s="38"/>
      <c r="O99" s="38"/>
      <c r="P99" s="38"/>
      <c r="Q99" s="15"/>
      <c r="R99" s="40"/>
      <c r="S99" s="38"/>
      <c r="T99" s="38"/>
      <c r="U99" s="38"/>
      <c r="V99" s="38"/>
      <c r="W99" s="38"/>
      <c r="X99" s="38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41"/>
      <c r="AN99" s="15"/>
      <c r="AO99" s="15"/>
      <c r="AP99" s="15"/>
      <c r="AQ99" s="15"/>
      <c r="AR99" s="15"/>
      <c r="AS99" s="15"/>
      <c r="AT99" s="15"/>
      <c r="AU99" s="15"/>
      <c r="AV99" s="15"/>
      <c r="AW99" s="15"/>
    </row>
    <row r="100" spans="2:49" x14ac:dyDescent="0.25">
      <c r="B100" s="15"/>
      <c r="C100" s="37"/>
      <c r="D100" s="37"/>
      <c r="E100" s="38"/>
      <c r="F100" s="38"/>
      <c r="G100" s="39"/>
      <c r="H100" s="39"/>
      <c r="I100" s="39"/>
      <c r="J100" s="38"/>
      <c r="K100" s="15"/>
      <c r="L100" s="38"/>
      <c r="M100" s="38"/>
      <c r="N100" s="38"/>
      <c r="O100" s="38"/>
      <c r="P100" s="38"/>
      <c r="Q100" s="15"/>
      <c r="R100" s="40"/>
      <c r="S100" s="38"/>
      <c r="T100" s="38"/>
      <c r="U100" s="38"/>
      <c r="V100" s="38"/>
      <c r="W100" s="38"/>
      <c r="X100" s="38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41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</row>
    <row r="101" spans="2:49" x14ac:dyDescent="0.25">
      <c r="B101" s="15"/>
      <c r="C101" s="37"/>
      <c r="D101" s="37"/>
      <c r="E101" s="38"/>
      <c r="F101" s="38"/>
      <c r="G101" s="39"/>
      <c r="H101" s="39"/>
      <c r="I101" s="39"/>
      <c r="J101" s="38"/>
      <c r="K101" s="15"/>
      <c r="L101" s="38"/>
      <c r="M101" s="38"/>
      <c r="N101" s="38"/>
      <c r="O101" s="38"/>
      <c r="P101" s="38"/>
      <c r="Q101" s="15"/>
      <c r="R101" s="40"/>
      <c r="S101" s="38"/>
      <c r="T101" s="38"/>
      <c r="U101" s="38"/>
      <c r="V101" s="38"/>
      <c r="W101" s="38"/>
      <c r="X101" s="38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41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</row>
    <row r="102" spans="2:49" x14ac:dyDescent="0.25">
      <c r="B102" s="15"/>
      <c r="C102" s="37"/>
      <c r="D102" s="37"/>
      <c r="E102" s="38"/>
      <c r="F102" s="38"/>
      <c r="G102" s="39"/>
      <c r="H102" s="39"/>
      <c r="I102" s="39"/>
      <c r="J102" s="38"/>
      <c r="K102" s="15"/>
      <c r="L102" s="38"/>
      <c r="M102" s="38"/>
      <c r="N102" s="38"/>
      <c r="O102" s="38"/>
      <c r="P102" s="38"/>
      <c r="Q102" s="15"/>
      <c r="R102" s="40"/>
      <c r="S102" s="38"/>
      <c r="T102" s="38"/>
      <c r="U102" s="38"/>
      <c r="V102" s="38"/>
      <c r="W102" s="38"/>
      <c r="X102" s="38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41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</row>
    <row r="103" spans="2:49" x14ac:dyDescent="0.25">
      <c r="B103" s="15"/>
      <c r="C103" s="37"/>
      <c r="D103" s="37"/>
      <c r="E103" s="38"/>
      <c r="F103" s="38"/>
      <c r="G103" s="39"/>
      <c r="H103" s="39"/>
      <c r="I103" s="39"/>
      <c r="J103" s="38"/>
      <c r="K103" s="15"/>
      <c r="L103" s="38"/>
      <c r="M103" s="38"/>
      <c r="N103" s="38"/>
      <c r="O103" s="38"/>
      <c r="P103" s="38"/>
      <c r="Q103" s="15"/>
      <c r="R103" s="40"/>
      <c r="S103" s="38"/>
      <c r="T103" s="38"/>
      <c r="U103" s="38"/>
      <c r="V103" s="38"/>
      <c r="W103" s="38"/>
      <c r="X103" s="38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41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</row>
    <row r="104" spans="2:49" x14ac:dyDescent="0.25">
      <c r="B104" s="15"/>
      <c r="C104" s="37"/>
      <c r="D104" s="37"/>
      <c r="E104" s="38"/>
      <c r="F104" s="38"/>
      <c r="G104" s="39"/>
      <c r="H104" s="39"/>
      <c r="I104" s="39"/>
      <c r="J104" s="38"/>
      <c r="K104" s="15"/>
      <c r="L104" s="38"/>
      <c r="M104" s="38"/>
      <c r="N104" s="38"/>
      <c r="O104" s="38"/>
      <c r="P104" s="38"/>
      <c r="Q104" s="15"/>
      <c r="R104" s="40"/>
      <c r="S104" s="38"/>
      <c r="T104" s="38"/>
      <c r="U104" s="38"/>
      <c r="V104" s="38"/>
      <c r="W104" s="38"/>
      <c r="X104" s="38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41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</row>
    <row r="105" spans="2:49" x14ac:dyDescent="0.25">
      <c r="B105" s="15"/>
      <c r="C105" s="37"/>
      <c r="D105" s="37"/>
      <c r="E105" s="38"/>
      <c r="F105" s="38"/>
      <c r="G105" s="39"/>
      <c r="H105" s="39"/>
      <c r="I105" s="39"/>
      <c r="J105" s="38"/>
      <c r="K105" s="15"/>
      <c r="L105" s="38"/>
      <c r="M105" s="38"/>
      <c r="N105" s="38"/>
      <c r="O105" s="38"/>
      <c r="P105" s="38"/>
      <c r="Q105" s="15"/>
      <c r="R105" s="40"/>
      <c r="S105" s="38"/>
      <c r="T105" s="38"/>
      <c r="U105" s="38"/>
      <c r="V105" s="38"/>
      <c r="W105" s="38"/>
      <c r="X105" s="38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41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</row>
    <row r="106" spans="2:49" x14ac:dyDescent="0.25">
      <c r="B106" s="15"/>
      <c r="C106" s="37"/>
      <c r="D106" s="37"/>
      <c r="E106" s="38"/>
      <c r="F106" s="38"/>
      <c r="G106" s="39"/>
      <c r="H106" s="39"/>
      <c r="I106" s="39"/>
      <c r="J106" s="38"/>
      <c r="K106" s="15"/>
      <c r="L106" s="38"/>
      <c r="M106" s="38"/>
      <c r="N106" s="38"/>
      <c r="O106" s="38"/>
      <c r="P106" s="38"/>
      <c r="Q106" s="15"/>
      <c r="R106" s="40"/>
      <c r="S106" s="38"/>
      <c r="T106" s="38"/>
      <c r="U106" s="38"/>
      <c r="V106" s="38"/>
      <c r="W106" s="38"/>
      <c r="X106" s="38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41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</row>
    <row r="107" spans="2:49" x14ac:dyDescent="0.25">
      <c r="B107" s="15"/>
      <c r="C107" s="37"/>
      <c r="D107" s="37"/>
      <c r="E107" s="38"/>
      <c r="F107" s="38"/>
      <c r="G107" s="39"/>
      <c r="H107" s="39"/>
      <c r="I107" s="39"/>
      <c r="J107" s="38"/>
      <c r="K107" s="15"/>
      <c r="L107" s="38"/>
      <c r="M107" s="38"/>
      <c r="N107" s="38"/>
      <c r="O107" s="38"/>
      <c r="P107" s="38"/>
      <c r="Q107" s="15"/>
      <c r="R107" s="40"/>
      <c r="S107" s="38"/>
      <c r="T107" s="38"/>
      <c r="U107" s="38"/>
      <c r="V107" s="38"/>
      <c r="W107" s="38"/>
      <c r="X107" s="38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41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</row>
    <row r="108" spans="2:49" x14ac:dyDescent="0.25">
      <c r="B108" s="15"/>
      <c r="C108" s="37"/>
      <c r="D108" s="37"/>
      <c r="E108" s="38"/>
      <c r="F108" s="38"/>
      <c r="G108" s="39"/>
      <c r="H108" s="39"/>
      <c r="I108" s="39"/>
      <c r="J108" s="38"/>
      <c r="K108" s="15"/>
      <c r="L108" s="38"/>
      <c r="M108" s="38"/>
      <c r="N108" s="38"/>
      <c r="O108" s="38"/>
      <c r="P108" s="38"/>
      <c r="Q108" s="15"/>
      <c r="R108" s="40"/>
      <c r="S108" s="38"/>
      <c r="T108" s="38"/>
      <c r="U108" s="38"/>
      <c r="V108" s="38"/>
      <c r="W108" s="38"/>
      <c r="X108" s="38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41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</row>
    <row r="109" spans="2:49" x14ac:dyDescent="0.25">
      <c r="B109" s="15"/>
      <c r="C109" s="37"/>
      <c r="D109" s="37"/>
      <c r="E109" s="38"/>
      <c r="F109" s="38"/>
      <c r="G109" s="39"/>
      <c r="H109" s="39"/>
      <c r="I109" s="39"/>
      <c r="J109" s="38"/>
      <c r="K109" s="15"/>
      <c r="L109" s="38"/>
      <c r="M109" s="38"/>
      <c r="N109" s="38"/>
      <c r="O109" s="38"/>
      <c r="P109" s="38"/>
      <c r="Q109" s="15"/>
      <c r="R109" s="40"/>
      <c r="S109" s="38"/>
      <c r="T109" s="38"/>
      <c r="U109" s="38"/>
      <c r="V109" s="38"/>
      <c r="W109" s="38"/>
      <c r="X109" s="38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41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</row>
    <row r="110" spans="2:49" x14ac:dyDescent="0.25">
      <c r="B110" s="15"/>
      <c r="C110" s="37"/>
      <c r="D110" s="37"/>
      <c r="E110" s="38"/>
      <c r="F110" s="38"/>
      <c r="G110" s="39"/>
      <c r="H110" s="39"/>
      <c r="I110" s="39"/>
      <c r="J110" s="38"/>
      <c r="K110" s="15"/>
      <c r="L110" s="38"/>
      <c r="M110" s="38"/>
      <c r="N110" s="38"/>
      <c r="O110" s="38"/>
      <c r="P110" s="38"/>
      <c r="Q110" s="15"/>
      <c r="R110" s="40"/>
      <c r="S110" s="38"/>
      <c r="T110" s="38"/>
      <c r="U110" s="38"/>
      <c r="V110" s="38"/>
      <c r="W110" s="38"/>
      <c r="X110" s="38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41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</row>
    <row r="111" spans="2:49" x14ac:dyDescent="0.25">
      <c r="B111" s="15"/>
      <c r="C111" s="37"/>
      <c r="D111" s="37"/>
      <c r="E111" s="38"/>
      <c r="F111" s="38"/>
      <c r="G111" s="39"/>
      <c r="H111" s="39"/>
      <c r="I111" s="39"/>
      <c r="J111" s="38"/>
      <c r="K111" s="15"/>
      <c r="L111" s="38"/>
      <c r="M111" s="38"/>
      <c r="N111" s="38"/>
      <c r="O111" s="38"/>
      <c r="P111" s="38"/>
      <c r="Q111" s="15"/>
      <c r="R111" s="40"/>
      <c r="S111" s="38"/>
      <c r="T111" s="38"/>
      <c r="U111" s="38"/>
      <c r="V111" s="38"/>
      <c r="W111" s="38"/>
      <c r="X111" s="38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41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</row>
    <row r="112" spans="2:49" x14ac:dyDescent="0.25">
      <c r="B112" s="15"/>
      <c r="C112" s="37"/>
      <c r="D112" s="37"/>
      <c r="E112" s="38"/>
      <c r="F112" s="38"/>
      <c r="G112" s="39"/>
      <c r="H112" s="39"/>
      <c r="I112" s="39"/>
      <c r="J112" s="38"/>
      <c r="K112" s="15"/>
      <c r="L112" s="38"/>
      <c r="M112" s="38"/>
      <c r="N112" s="38"/>
      <c r="O112" s="38"/>
      <c r="P112" s="38"/>
      <c r="Q112" s="15"/>
      <c r="R112" s="40"/>
      <c r="S112" s="38"/>
      <c r="T112" s="38"/>
      <c r="U112" s="38"/>
      <c r="V112" s="38"/>
      <c r="W112" s="38"/>
      <c r="X112" s="38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41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</row>
    <row r="113" spans="2:49" x14ac:dyDescent="0.25">
      <c r="B113" s="15"/>
      <c r="C113" s="37"/>
      <c r="D113" s="37"/>
      <c r="E113" s="38"/>
      <c r="F113" s="38"/>
      <c r="G113" s="39"/>
      <c r="H113" s="39"/>
      <c r="I113" s="39"/>
      <c r="J113" s="38"/>
      <c r="K113" s="15"/>
      <c r="L113" s="38"/>
      <c r="M113" s="38"/>
      <c r="N113" s="38"/>
      <c r="O113" s="38"/>
      <c r="P113" s="38"/>
      <c r="Q113" s="15"/>
      <c r="R113" s="40"/>
      <c r="S113" s="38"/>
      <c r="T113" s="38"/>
      <c r="U113" s="38"/>
      <c r="V113" s="38"/>
      <c r="W113" s="38"/>
      <c r="X113" s="38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41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</row>
    <row r="114" spans="2:49" x14ac:dyDescent="0.25">
      <c r="B114" s="15"/>
      <c r="C114" s="37"/>
      <c r="D114" s="37"/>
      <c r="E114" s="38"/>
      <c r="F114" s="38"/>
      <c r="G114" s="39"/>
      <c r="H114" s="39"/>
      <c r="I114" s="39"/>
      <c r="J114" s="38"/>
      <c r="K114" s="15"/>
      <c r="L114" s="38"/>
      <c r="M114" s="38"/>
      <c r="N114" s="38"/>
      <c r="O114" s="38"/>
      <c r="P114" s="38"/>
      <c r="Q114" s="15"/>
      <c r="R114" s="40"/>
      <c r="S114" s="38"/>
      <c r="T114" s="38"/>
      <c r="U114" s="38"/>
      <c r="V114" s="38"/>
      <c r="W114" s="38"/>
      <c r="X114" s="38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41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</row>
    <row r="115" spans="2:49" x14ac:dyDescent="0.25">
      <c r="B115" s="15"/>
      <c r="C115" s="37"/>
      <c r="D115" s="37"/>
      <c r="E115" s="38"/>
      <c r="F115" s="38"/>
      <c r="G115" s="39"/>
      <c r="H115" s="39"/>
      <c r="I115" s="39"/>
      <c r="J115" s="38"/>
      <c r="K115" s="15"/>
      <c r="L115" s="38"/>
      <c r="M115" s="38"/>
      <c r="N115" s="38"/>
      <c r="O115" s="38"/>
      <c r="P115" s="38"/>
      <c r="Q115" s="15"/>
      <c r="R115" s="40"/>
      <c r="S115" s="38"/>
      <c r="T115" s="38"/>
      <c r="U115" s="38"/>
      <c r="V115" s="38"/>
      <c r="W115" s="38"/>
      <c r="X115" s="38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41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</row>
  </sheetData>
  <mergeCells count="14">
    <mergeCell ref="V3:X3"/>
    <mergeCell ref="AA3:AL3"/>
    <mergeCell ref="AM3:AM4"/>
    <mergeCell ref="AN3:AP3"/>
    <mergeCell ref="C2:Q2"/>
    <mergeCell ref="S2:X2"/>
    <mergeCell ref="AA2:AP2"/>
    <mergeCell ref="C3:D3"/>
    <mergeCell ref="E3:F3"/>
    <mergeCell ref="G3:H3"/>
    <mergeCell ref="I3:J3"/>
    <mergeCell ref="K3:L3"/>
    <mergeCell ref="O3:Q3"/>
    <mergeCell ref="S3:U3"/>
  </mergeCells>
  <conditionalFormatting sqref="AT5:AT37">
    <cfRule type="cellIs" dxfId="4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AU113"/>
  <sheetViews>
    <sheetView topLeftCell="C13" workbookViewId="0">
      <selection activeCell="M27" sqref="M27"/>
    </sheetView>
  </sheetViews>
  <sheetFormatPr defaultRowHeight="15" x14ac:dyDescent="0.25"/>
  <cols>
    <col min="2" max="2" width="12" customWidth="1"/>
    <col min="3" max="3" width="12.42578125" customWidth="1"/>
    <col min="4" max="4" width="12.140625" customWidth="1"/>
    <col min="6" max="6" width="12.28515625" customWidth="1"/>
    <col min="7" max="7" width="16.140625" customWidth="1"/>
    <col min="8" max="8" width="14.42578125" customWidth="1"/>
    <col min="10" max="10" width="13" customWidth="1"/>
    <col min="12" max="12" width="11.85546875" customWidth="1"/>
    <col min="14" max="14" width="12.85546875" customWidth="1"/>
    <col min="15" max="15" width="11.85546875" customWidth="1"/>
    <col min="16" max="16" width="12.28515625" customWidth="1"/>
    <col min="17" max="17" width="13.140625" customWidth="1"/>
    <col min="18" max="18" width="16.7109375" customWidth="1"/>
    <col min="19" max="19" width="13.85546875" customWidth="1"/>
    <col min="20" max="20" width="17.85546875" customWidth="1"/>
    <col min="22" max="22" width="10.5703125" customWidth="1"/>
    <col min="25" max="25" width="12.140625" customWidth="1"/>
    <col min="26" max="26" width="16" customWidth="1"/>
    <col min="27" max="27" width="13.7109375" customWidth="1"/>
    <col min="39" max="39" width="12" customWidth="1"/>
    <col min="40" max="40" width="10.85546875" customWidth="1"/>
    <col min="43" max="43" width="11.85546875" customWidth="1"/>
    <col min="44" max="44" width="12" customWidth="1"/>
    <col min="45" max="45" width="11.5703125" customWidth="1"/>
    <col min="46" max="46" width="14" customWidth="1"/>
  </cols>
  <sheetData>
    <row r="2" spans="2:47" ht="18.75" x14ac:dyDescent="0.3">
      <c r="B2" s="6"/>
      <c r="C2" s="81" t="s">
        <v>45</v>
      </c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11"/>
      <c r="S2" s="85" t="s">
        <v>46</v>
      </c>
      <c r="T2" s="85"/>
      <c r="U2" s="85"/>
      <c r="V2" s="85"/>
      <c r="W2" s="85"/>
      <c r="X2" s="85"/>
      <c r="Y2" s="2"/>
      <c r="Z2" s="3"/>
      <c r="AA2" s="94" t="s">
        <v>33</v>
      </c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10"/>
      <c r="AR2" s="2"/>
      <c r="AS2" s="2"/>
      <c r="AT2" s="2"/>
      <c r="AU2" s="2"/>
    </row>
    <row r="3" spans="2:47" x14ac:dyDescent="0.25">
      <c r="B3" s="12" t="s">
        <v>0</v>
      </c>
      <c r="C3" s="82" t="s">
        <v>5</v>
      </c>
      <c r="D3" s="82"/>
      <c r="E3" s="83" t="s">
        <v>12</v>
      </c>
      <c r="F3" s="83"/>
      <c r="G3" s="83" t="s">
        <v>6</v>
      </c>
      <c r="H3" s="83"/>
      <c r="I3" s="84" t="s">
        <v>7</v>
      </c>
      <c r="J3" s="84"/>
      <c r="K3" s="84" t="s">
        <v>8</v>
      </c>
      <c r="L3" s="84"/>
      <c r="M3" s="13"/>
      <c r="N3" s="13" t="s">
        <v>35</v>
      </c>
      <c r="O3" s="84" t="s">
        <v>15</v>
      </c>
      <c r="P3" s="84"/>
      <c r="Q3" s="84"/>
      <c r="R3" s="44"/>
      <c r="S3" s="86" t="s">
        <v>36</v>
      </c>
      <c r="T3" s="87"/>
      <c r="U3" s="88"/>
      <c r="V3" s="89" t="s">
        <v>47</v>
      </c>
      <c r="W3" s="90"/>
      <c r="X3" s="91"/>
      <c r="Y3" s="12" t="s">
        <v>14</v>
      </c>
      <c r="Z3" s="14"/>
      <c r="AA3" s="92" t="s">
        <v>13</v>
      </c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5" t="s">
        <v>34</v>
      </c>
      <c r="AN3" s="93" t="s">
        <v>29</v>
      </c>
      <c r="AO3" s="93"/>
      <c r="AP3" s="93"/>
      <c r="AQ3" s="48"/>
      <c r="AR3" s="12"/>
      <c r="AS3" s="15"/>
      <c r="AT3" s="15"/>
      <c r="AU3" s="15"/>
    </row>
    <row r="4" spans="2:47" ht="26.25" x14ac:dyDescent="0.25">
      <c r="B4" s="16"/>
      <c r="C4" s="17" t="s">
        <v>1</v>
      </c>
      <c r="D4" s="17" t="s">
        <v>2</v>
      </c>
      <c r="E4" s="18" t="s">
        <v>1</v>
      </c>
      <c r="F4" s="18" t="s">
        <v>2</v>
      </c>
      <c r="G4" s="19" t="s">
        <v>1</v>
      </c>
      <c r="H4" s="19" t="s">
        <v>2</v>
      </c>
      <c r="I4" s="19" t="s">
        <v>9</v>
      </c>
      <c r="J4" s="18" t="s">
        <v>10</v>
      </c>
      <c r="K4" s="16" t="s">
        <v>11</v>
      </c>
      <c r="L4" s="18" t="s">
        <v>10</v>
      </c>
      <c r="M4" s="18" t="s">
        <v>4</v>
      </c>
      <c r="N4" s="18"/>
      <c r="O4" s="18" t="s">
        <v>52</v>
      </c>
      <c r="P4" s="18" t="s">
        <v>40</v>
      </c>
      <c r="Q4" s="16" t="s">
        <v>28</v>
      </c>
      <c r="R4" s="44" t="s">
        <v>3</v>
      </c>
      <c r="S4" s="18" t="s">
        <v>1</v>
      </c>
      <c r="T4" s="18" t="s">
        <v>2</v>
      </c>
      <c r="U4" s="18" t="s">
        <v>60</v>
      </c>
      <c r="V4" s="18" t="s">
        <v>39</v>
      </c>
      <c r="W4" s="18" t="s">
        <v>38</v>
      </c>
      <c r="X4" s="18" t="s">
        <v>37</v>
      </c>
      <c r="Y4" s="16"/>
      <c r="Z4" s="20" t="s">
        <v>48</v>
      </c>
      <c r="AA4" s="16" t="s">
        <v>61</v>
      </c>
      <c r="AB4" s="16" t="s">
        <v>17</v>
      </c>
      <c r="AC4" s="16" t="s">
        <v>18</v>
      </c>
      <c r="AD4" s="16" t="s">
        <v>19</v>
      </c>
      <c r="AE4" s="16" t="s">
        <v>54</v>
      </c>
      <c r="AF4" s="16" t="s">
        <v>58</v>
      </c>
      <c r="AG4" s="16" t="s">
        <v>22</v>
      </c>
      <c r="AH4" s="16" t="s">
        <v>23</v>
      </c>
      <c r="AI4" s="16" t="s">
        <v>24</v>
      </c>
      <c r="AJ4" s="16" t="s">
        <v>25</v>
      </c>
      <c r="AK4" s="16" t="s">
        <v>64</v>
      </c>
      <c r="AL4" s="16" t="s">
        <v>41</v>
      </c>
      <c r="AM4" s="96"/>
      <c r="AN4" s="21" t="s">
        <v>30</v>
      </c>
      <c r="AO4" s="21" t="s">
        <v>31</v>
      </c>
      <c r="AP4" s="21" t="s">
        <v>32</v>
      </c>
      <c r="AQ4" s="49" t="s">
        <v>49</v>
      </c>
      <c r="AR4" s="22" t="s">
        <v>42</v>
      </c>
      <c r="AS4" s="23" t="s">
        <v>44</v>
      </c>
      <c r="AT4" s="24" t="s">
        <v>43</v>
      </c>
      <c r="AU4" s="15"/>
    </row>
    <row r="5" spans="2:47" x14ac:dyDescent="0.25">
      <c r="B5" s="25">
        <v>44927</v>
      </c>
      <c r="C5" s="46">
        <v>2049.1460000000002</v>
      </c>
      <c r="D5" s="46">
        <v>3499.18</v>
      </c>
      <c r="E5" s="47">
        <v>5360</v>
      </c>
      <c r="F5" s="47">
        <v>5579</v>
      </c>
      <c r="G5" s="13">
        <f t="shared" ref="G5:H35" si="0">C5*E5</f>
        <v>10983422.560000001</v>
      </c>
      <c r="H5" s="13">
        <f t="shared" si="0"/>
        <v>19521925.219999999</v>
      </c>
      <c r="I5" s="26">
        <v>11.5</v>
      </c>
      <c r="J5" s="13">
        <v>349000</v>
      </c>
      <c r="K5" s="27">
        <v>49.5</v>
      </c>
      <c r="L5" s="13">
        <v>451000</v>
      </c>
      <c r="M5" s="13">
        <v>0</v>
      </c>
      <c r="N5" s="13">
        <v>326800</v>
      </c>
      <c r="O5" s="13">
        <v>21000</v>
      </c>
      <c r="P5" s="13">
        <v>361436</v>
      </c>
      <c r="Q5" s="13">
        <v>0</v>
      </c>
      <c r="R5" s="45">
        <f>SUM(G5:H5)+J5+L5+SUM(M5:Q5)</f>
        <v>32014583.780000001</v>
      </c>
      <c r="S5" s="13">
        <v>1479865</v>
      </c>
      <c r="T5" s="13">
        <v>14145666</v>
      </c>
      <c r="U5" s="13"/>
      <c r="V5" s="13"/>
      <c r="W5" s="13"/>
      <c r="X5" s="13">
        <v>363976</v>
      </c>
      <c r="Y5" s="13">
        <v>2989480</v>
      </c>
      <c r="Z5" s="28">
        <f>R5-SUM(S5:Y5)</f>
        <v>13035596.780000001</v>
      </c>
      <c r="AA5" s="13"/>
      <c r="AB5" s="13"/>
      <c r="AC5" s="13"/>
      <c r="AD5" s="13">
        <v>0</v>
      </c>
      <c r="AE5" s="13"/>
      <c r="AF5" s="13"/>
      <c r="AG5" s="13">
        <v>0</v>
      </c>
      <c r="AH5" s="13"/>
      <c r="AI5" s="13"/>
      <c r="AJ5" s="13"/>
      <c r="AK5" s="13"/>
      <c r="AL5" s="13"/>
      <c r="AM5" s="43">
        <f t="shared" ref="AM5:AM20" si="1">SUM(AA5:AL5)</f>
        <v>0</v>
      </c>
      <c r="AN5" s="12">
        <v>0</v>
      </c>
      <c r="AO5" s="12"/>
      <c r="AP5" s="12"/>
      <c r="AQ5" s="12">
        <v>1963000</v>
      </c>
      <c r="AR5" s="29">
        <f>R5-SUM(S5:Y5)-AM5-SUM(AN5:AP5)-AQ5</f>
        <v>11072596.780000001</v>
      </c>
      <c r="AS5" s="15">
        <v>11073500</v>
      </c>
      <c r="AT5" s="30">
        <f t="shared" ref="AT5:AT35" si="2">AS5-AR5</f>
        <v>903.21999999880791</v>
      </c>
      <c r="AU5" s="15"/>
    </row>
    <row r="6" spans="2:47" x14ac:dyDescent="0.25">
      <c r="B6" s="25">
        <v>44928</v>
      </c>
      <c r="C6" s="46">
        <v>3338.9</v>
      </c>
      <c r="D6" s="46">
        <v>9166.09</v>
      </c>
      <c r="E6" s="47">
        <v>5360</v>
      </c>
      <c r="F6" s="47">
        <v>5579</v>
      </c>
      <c r="G6" s="13">
        <f t="shared" si="0"/>
        <v>17896504</v>
      </c>
      <c r="H6" s="13">
        <f t="shared" si="0"/>
        <v>51137616.109999999</v>
      </c>
      <c r="I6" s="31">
        <v>48.5</v>
      </c>
      <c r="J6" s="13">
        <v>1144500</v>
      </c>
      <c r="K6" s="27">
        <v>49</v>
      </c>
      <c r="L6" s="13">
        <v>450000</v>
      </c>
      <c r="M6" s="13">
        <v>30000</v>
      </c>
      <c r="N6" s="13">
        <v>0</v>
      </c>
      <c r="O6" s="13">
        <v>162500</v>
      </c>
      <c r="P6" s="13">
        <v>2202500</v>
      </c>
      <c r="Q6" s="13">
        <v>4000</v>
      </c>
      <c r="R6" s="45">
        <f t="shared" ref="R6:R35" si="3">SUM(G6:H6)+J6+L6+SUM(M6:Q6)</f>
        <v>73027620.109999999</v>
      </c>
      <c r="S6" s="13">
        <v>3559721</v>
      </c>
      <c r="T6" s="13">
        <v>48004533</v>
      </c>
      <c r="U6" s="13"/>
      <c r="V6" s="13"/>
      <c r="W6" s="13"/>
      <c r="X6" s="13">
        <v>116500</v>
      </c>
      <c r="Y6" s="32">
        <v>3599305</v>
      </c>
      <c r="Z6" s="28">
        <f>R6-SUM(S6:Y6)</f>
        <v>17747561.109999999</v>
      </c>
      <c r="AA6" s="33"/>
      <c r="AB6" s="34"/>
      <c r="AC6" s="13"/>
      <c r="AD6" s="13">
        <v>5000</v>
      </c>
      <c r="AE6" s="13"/>
      <c r="AF6" s="13"/>
      <c r="AG6" s="13">
        <v>0</v>
      </c>
      <c r="AH6" s="13"/>
      <c r="AI6" s="13"/>
      <c r="AJ6" s="13"/>
      <c r="AK6" s="13"/>
      <c r="AL6" s="13"/>
      <c r="AM6" s="43">
        <f t="shared" si="1"/>
        <v>5000</v>
      </c>
      <c r="AN6" s="12">
        <v>0</v>
      </c>
      <c r="AO6" s="12"/>
      <c r="AP6" s="12"/>
      <c r="AQ6" s="12">
        <v>2050170</v>
      </c>
      <c r="AR6" s="29">
        <f t="shared" ref="AR6:AR35" si="4">R6-SUM(S6:Y6)-AM6-SUM(AN6:AP6)-AQ6</f>
        <v>15692391.109999999</v>
      </c>
      <c r="AS6" s="15">
        <v>15702000</v>
      </c>
      <c r="AT6" s="30">
        <f t="shared" si="2"/>
        <v>9608.890000000596</v>
      </c>
      <c r="AU6" s="15"/>
    </row>
    <row r="7" spans="2:47" x14ac:dyDescent="0.25">
      <c r="B7" s="25">
        <v>44929</v>
      </c>
      <c r="C7" s="46">
        <v>2402.4899999999998</v>
      </c>
      <c r="D7" s="46">
        <v>1144.47</v>
      </c>
      <c r="E7" s="47">
        <v>5360</v>
      </c>
      <c r="F7" s="47">
        <v>5579</v>
      </c>
      <c r="G7" s="13">
        <f t="shared" si="0"/>
        <v>12877346.399999999</v>
      </c>
      <c r="H7" s="13">
        <f t="shared" si="0"/>
        <v>6384998.1299999999</v>
      </c>
      <c r="I7" s="26">
        <v>24.5</v>
      </c>
      <c r="J7" s="13">
        <v>523500</v>
      </c>
      <c r="K7" s="27">
        <v>33.5</v>
      </c>
      <c r="L7" s="13">
        <v>309000</v>
      </c>
      <c r="M7" s="13">
        <v>30000</v>
      </c>
      <c r="N7" s="13">
        <v>700000</v>
      </c>
      <c r="O7" s="13">
        <v>162500</v>
      </c>
      <c r="P7" s="13">
        <v>4535000</v>
      </c>
      <c r="Q7" s="13">
        <v>20000</v>
      </c>
      <c r="R7" s="45">
        <f t="shared" si="3"/>
        <v>25542344.529999997</v>
      </c>
      <c r="S7" s="13">
        <v>1309738</v>
      </c>
      <c r="T7" s="13">
        <v>4197330</v>
      </c>
      <c r="U7" s="13"/>
      <c r="V7" s="13"/>
      <c r="W7" s="13"/>
      <c r="X7" s="13">
        <v>28000</v>
      </c>
      <c r="Y7" s="13">
        <v>5930560</v>
      </c>
      <c r="Z7" s="28">
        <f>R7-SUM(S7:Y7)</f>
        <v>14076716.529999997</v>
      </c>
      <c r="AA7" s="13"/>
      <c r="AB7" s="13"/>
      <c r="AC7" s="13"/>
      <c r="AD7" s="13">
        <v>18000</v>
      </c>
      <c r="AE7" s="13"/>
      <c r="AF7" s="13"/>
      <c r="AG7" s="13">
        <v>0</v>
      </c>
      <c r="AH7" s="13"/>
      <c r="AI7" s="13"/>
      <c r="AJ7" s="13"/>
      <c r="AK7" s="13"/>
      <c r="AL7" s="13"/>
      <c r="AM7" s="43">
        <f t="shared" si="1"/>
        <v>18000</v>
      </c>
      <c r="AN7" s="55">
        <v>1237000</v>
      </c>
      <c r="AO7" s="12"/>
      <c r="AP7" s="12"/>
      <c r="AQ7" s="12">
        <v>1349330</v>
      </c>
      <c r="AR7" s="29">
        <f t="shared" si="4"/>
        <v>11472386.529999997</v>
      </c>
      <c r="AS7" s="15">
        <v>11472400</v>
      </c>
      <c r="AT7" s="30">
        <f t="shared" si="2"/>
        <v>13.470000002533197</v>
      </c>
      <c r="AU7" s="15"/>
    </row>
    <row r="8" spans="2:47" x14ac:dyDescent="0.25">
      <c r="B8" s="25">
        <v>44930</v>
      </c>
      <c r="C8" s="46">
        <v>2507.56</v>
      </c>
      <c r="D8" s="46">
        <v>5459.3</v>
      </c>
      <c r="E8" s="47">
        <v>5360</v>
      </c>
      <c r="F8" s="47">
        <v>5579</v>
      </c>
      <c r="G8" s="13">
        <f t="shared" si="0"/>
        <v>13440521.6</v>
      </c>
      <c r="H8" s="13">
        <f t="shared" si="0"/>
        <v>30457434.699999999</v>
      </c>
      <c r="I8" s="26">
        <v>210</v>
      </c>
      <c r="J8" s="13">
        <v>1439500</v>
      </c>
      <c r="K8" s="27">
        <v>66.5</v>
      </c>
      <c r="L8" s="13">
        <v>617000</v>
      </c>
      <c r="M8" s="13">
        <v>103000</v>
      </c>
      <c r="N8" s="13">
        <v>800000</v>
      </c>
      <c r="O8" s="13">
        <v>70000</v>
      </c>
      <c r="P8" s="13">
        <v>0</v>
      </c>
      <c r="Q8" s="13">
        <v>4000</v>
      </c>
      <c r="R8" s="45">
        <f t="shared" si="3"/>
        <v>46931456.299999997</v>
      </c>
      <c r="S8" s="13">
        <v>2028781</v>
      </c>
      <c r="T8" s="13">
        <v>25553250</v>
      </c>
      <c r="U8" s="13"/>
      <c r="V8" s="13"/>
      <c r="W8" s="13"/>
      <c r="X8" s="13">
        <v>0</v>
      </c>
      <c r="Y8" s="13">
        <v>4565007</v>
      </c>
      <c r="Z8" s="28">
        <f t="shared" ref="Z8:Z35" si="5">R8-SUM(S8:Y8)</f>
        <v>14784418.299999997</v>
      </c>
      <c r="AA8" s="13"/>
      <c r="AB8" s="13"/>
      <c r="AC8" s="13"/>
      <c r="AD8" s="13"/>
      <c r="AE8" s="13">
        <v>55790</v>
      </c>
      <c r="AF8" s="13"/>
      <c r="AG8" s="13">
        <v>3000</v>
      </c>
      <c r="AH8" s="13"/>
      <c r="AI8" s="13">
        <v>70000</v>
      </c>
      <c r="AJ8" s="13"/>
      <c r="AK8" s="13"/>
      <c r="AL8" s="13"/>
      <c r="AM8" s="43">
        <f t="shared" si="1"/>
        <v>128790</v>
      </c>
      <c r="AN8" s="12"/>
      <c r="AO8" s="12"/>
      <c r="AP8" s="12"/>
      <c r="AQ8" s="12">
        <v>2510490</v>
      </c>
      <c r="AR8" s="29">
        <f t="shared" si="4"/>
        <v>12145138.299999997</v>
      </c>
      <c r="AS8" s="15">
        <v>12145200</v>
      </c>
      <c r="AT8" s="30">
        <f t="shared" si="2"/>
        <v>61.700000002980232</v>
      </c>
      <c r="AU8" s="15"/>
    </row>
    <row r="9" spans="2:47" x14ac:dyDescent="0.25">
      <c r="B9" s="25">
        <v>44931</v>
      </c>
      <c r="C9" s="46">
        <v>2668.16</v>
      </c>
      <c r="D9" s="46">
        <v>3636.42</v>
      </c>
      <c r="E9" s="47">
        <v>5360</v>
      </c>
      <c r="F9" s="47">
        <v>5579</v>
      </c>
      <c r="G9" s="13">
        <f t="shared" si="0"/>
        <v>14301337.6</v>
      </c>
      <c r="H9" s="13">
        <f t="shared" si="0"/>
        <v>20287587.18</v>
      </c>
      <c r="I9" s="26">
        <v>135</v>
      </c>
      <c r="J9" s="13">
        <v>3022500</v>
      </c>
      <c r="K9" s="27">
        <v>91.5</v>
      </c>
      <c r="L9" s="13">
        <v>843000</v>
      </c>
      <c r="M9" s="13">
        <v>23000</v>
      </c>
      <c r="N9" s="13">
        <v>976800</v>
      </c>
      <c r="O9" s="13">
        <v>56000</v>
      </c>
      <c r="P9" s="13">
        <v>3564600</v>
      </c>
      <c r="Q9" s="13">
        <v>4000</v>
      </c>
      <c r="R9" s="45">
        <f t="shared" si="3"/>
        <v>43078824.780000001</v>
      </c>
      <c r="S9" s="13">
        <v>858633</v>
      </c>
      <c r="T9" s="13">
        <v>14680985</v>
      </c>
      <c r="U9" s="13"/>
      <c r="V9" s="13"/>
      <c r="W9" s="13"/>
      <c r="X9" s="13"/>
      <c r="Y9" s="13">
        <v>3209938</v>
      </c>
      <c r="Z9" s="28">
        <f t="shared" si="5"/>
        <v>24329268.780000001</v>
      </c>
      <c r="AA9" s="13"/>
      <c r="AB9" s="13"/>
      <c r="AC9" s="13"/>
      <c r="AD9" s="13">
        <v>9000</v>
      </c>
      <c r="AE9" s="13"/>
      <c r="AF9" s="13"/>
      <c r="AG9" s="13">
        <v>5000</v>
      </c>
      <c r="AH9" s="13"/>
      <c r="AI9" s="13"/>
      <c r="AJ9" s="13"/>
      <c r="AK9" s="13"/>
      <c r="AL9" s="13"/>
      <c r="AM9" s="43">
        <f t="shared" si="1"/>
        <v>14000</v>
      </c>
      <c r="AN9" s="12"/>
      <c r="AO9" s="12"/>
      <c r="AP9" s="12"/>
      <c r="AQ9" s="12">
        <v>978520</v>
      </c>
      <c r="AR9" s="29">
        <f t="shared" si="4"/>
        <v>23336748.780000001</v>
      </c>
      <c r="AS9" s="15">
        <v>23336800</v>
      </c>
      <c r="AT9" s="30">
        <f t="shared" si="2"/>
        <v>51.219999998807907</v>
      </c>
      <c r="AU9" s="15"/>
    </row>
    <row r="10" spans="2:47" x14ac:dyDescent="0.25">
      <c r="B10" s="25">
        <v>44932</v>
      </c>
      <c r="C10" s="46">
        <v>2390.67</v>
      </c>
      <c r="D10" s="46">
        <v>2827.84</v>
      </c>
      <c r="E10" s="47">
        <v>5360</v>
      </c>
      <c r="F10" s="47">
        <v>5579</v>
      </c>
      <c r="G10" s="13">
        <f t="shared" si="0"/>
        <v>12813991.200000001</v>
      </c>
      <c r="H10" s="13">
        <f t="shared" si="0"/>
        <v>15776519.360000001</v>
      </c>
      <c r="I10" s="26">
        <v>30.5</v>
      </c>
      <c r="J10" s="13">
        <v>673500</v>
      </c>
      <c r="K10" s="27">
        <v>63.5</v>
      </c>
      <c r="L10" s="13">
        <v>589000</v>
      </c>
      <c r="M10" s="13">
        <v>23000</v>
      </c>
      <c r="N10" s="13">
        <v>150000</v>
      </c>
      <c r="O10" s="13">
        <v>563500</v>
      </c>
      <c r="P10" s="13">
        <v>4765000</v>
      </c>
      <c r="Q10" s="31">
        <v>0</v>
      </c>
      <c r="R10" s="45">
        <f t="shared" si="3"/>
        <v>35354510.560000002</v>
      </c>
      <c r="S10" s="13">
        <v>4090032</v>
      </c>
      <c r="T10" s="13">
        <v>12758751</v>
      </c>
      <c r="U10" s="13"/>
      <c r="V10" s="13"/>
      <c r="W10" s="13"/>
      <c r="X10" s="13"/>
      <c r="Y10" s="31">
        <v>4101550</v>
      </c>
      <c r="Z10" s="28">
        <f t="shared" si="5"/>
        <v>14404177.560000002</v>
      </c>
      <c r="AA10" s="13"/>
      <c r="AB10" s="13"/>
      <c r="AC10" s="13"/>
      <c r="AD10" s="13"/>
      <c r="AE10" s="13"/>
      <c r="AF10" s="13"/>
      <c r="AG10" s="13">
        <v>3000</v>
      </c>
      <c r="AH10" s="13"/>
      <c r="AI10" s="13"/>
      <c r="AJ10" s="13"/>
      <c r="AK10" s="13"/>
      <c r="AL10" s="13"/>
      <c r="AM10" s="43">
        <f t="shared" si="1"/>
        <v>3000</v>
      </c>
      <c r="AN10" s="12"/>
      <c r="AO10" s="12"/>
      <c r="AP10" s="12"/>
      <c r="AQ10" s="12">
        <v>58700</v>
      </c>
      <c r="AR10" s="29">
        <f t="shared" si="4"/>
        <v>14342477.560000002</v>
      </c>
      <c r="AS10" s="15">
        <v>14340500</v>
      </c>
      <c r="AT10" s="30">
        <f t="shared" si="2"/>
        <v>-1977.5600000023842</v>
      </c>
      <c r="AU10" s="15"/>
    </row>
    <row r="11" spans="2:47" x14ac:dyDescent="0.25">
      <c r="B11" s="25">
        <v>45267</v>
      </c>
      <c r="C11" s="46">
        <v>2708.87</v>
      </c>
      <c r="D11" s="46">
        <v>377.14</v>
      </c>
      <c r="E11" s="47">
        <v>5360</v>
      </c>
      <c r="F11" s="47">
        <v>5579</v>
      </c>
      <c r="G11" s="13">
        <f t="shared" si="0"/>
        <v>14519543.199999999</v>
      </c>
      <c r="H11" s="13">
        <f t="shared" si="0"/>
        <v>2104064.06</v>
      </c>
      <c r="I11" s="26">
        <v>25</v>
      </c>
      <c r="J11" s="13">
        <v>517000</v>
      </c>
      <c r="K11" s="27">
        <v>24.5</v>
      </c>
      <c r="L11" s="13">
        <v>225000</v>
      </c>
      <c r="M11" s="13">
        <v>15000</v>
      </c>
      <c r="N11" s="13">
        <v>950000</v>
      </c>
      <c r="O11" s="13">
        <v>0</v>
      </c>
      <c r="P11" s="13">
        <v>6513238</v>
      </c>
      <c r="Q11" s="13">
        <v>0</v>
      </c>
      <c r="R11" s="45">
        <f t="shared" si="3"/>
        <v>24843845.259999998</v>
      </c>
      <c r="S11" s="13">
        <v>2484371</v>
      </c>
      <c r="T11" s="13">
        <v>1137101</v>
      </c>
      <c r="U11" s="13"/>
      <c r="V11" s="13"/>
      <c r="W11" s="13"/>
      <c r="X11" s="13"/>
      <c r="Y11" s="13">
        <v>2525110</v>
      </c>
      <c r="Z11" s="28">
        <f t="shared" si="5"/>
        <v>18697263.259999998</v>
      </c>
      <c r="AA11" s="12"/>
      <c r="AB11" s="12"/>
      <c r="AC11" s="12"/>
      <c r="AD11" s="12">
        <v>91000</v>
      </c>
      <c r="AE11" s="12"/>
      <c r="AF11" s="12"/>
      <c r="AG11" s="12">
        <v>6000</v>
      </c>
      <c r="AH11" s="12"/>
      <c r="AI11" s="12"/>
      <c r="AJ11" s="12"/>
      <c r="AK11" s="12"/>
      <c r="AL11" s="12"/>
      <c r="AM11" s="43">
        <f t="shared" si="1"/>
        <v>97000</v>
      </c>
      <c r="AN11" s="12"/>
      <c r="AO11" s="12"/>
      <c r="AP11" s="32"/>
      <c r="AQ11" s="32">
        <v>609310</v>
      </c>
      <c r="AR11" s="29">
        <f t="shared" si="4"/>
        <v>17990953.259999998</v>
      </c>
      <c r="AS11" s="15">
        <v>17991000</v>
      </c>
      <c r="AT11" s="30">
        <f t="shared" si="2"/>
        <v>46.740000002086163</v>
      </c>
      <c r="AU11" s="15"/>
    </row>
    <row r="12" spans="2:47" x14ac:dyDescent="0.25">
      <c r="B12" s="25">
        <v>45268</v>
      </c>
      <c r="C12" s="46">
        <v>1776.26</v>
      </c>
      <c r="D12" s="46">
        <v>1230.8800000000001</v>
      </c>
      <c r="E12" s="47">
        <v>5360</v>
      </c>
      <c r="F12" s="47">
        <v>5579</v>
      </c>
      <c r="G12" s="13">
        <f t="shared" si="0"/>
        <v>9520753.5999999996</v>
      </c>
      <c r="H12" s="13">
        <f t="shared" si="0"/>
        <v>6867079.5200000005</v>
      </c>
      <c r="I12" s="26">
        <v>84</v>
      </c>
      <c r="J12" s="13">
        <v>1970000</v>
      </c>
      <c r="K12" s="27">
        <v>24.5</v>
      </c>
      <c r="L12" s="13">
        <v>225000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45">
        <f t="shared" si="3"/>
        <v>18582833.120000001</v>
      </c>
      <c r="S12" s="13">
        <v>649705</v>
      </c>
      <c r="T12" s="13">
        <v>3342361</v>
      </c>
      <c r="U12" s="13"/>
      <c r="V12" s="13"/>
      <c r="W12" s="13"/>
      <c r="X12" s="13"/>
      <c r="Y12" s="13">
        <v>3594431</v>
      </c>
      <c r="Z12" s="28">
        <f t="shared" si="5"/>
        <v>10996336.120000001</v>
      </c>
      <c r="AA12" s="12"/>
      <c r="AB12" s="12"/>
      <c r="AC12" s="12"/>
      <c r="AD12" s="12">
        <v>27000</v>
      </c>
      <c r="AE12" s="12"/>
      <c r="AF12" s="12">
        <v>22000</v>
      </c>
      <c r="AG12" s="12"/>
      <c r="AH12" s="12"/>
      <c r="AI12" s="12"/>
      <c r="AJ12" s="12"/>
      <c r="AK12" s="12"/>
      <c r="AL12" s="12"/>
      <c r="AM12" s="43">
        <f t="shared" si="1"/>
        <v>49000</v>
      </c>
      <c r="AN12" s="12"/>
      <c r="AO12" s="12"/>
      <c r="AP12" s="32"/>
      <c r="AQ12" s="32">
        <v>1557000</v>
      </c>
      <c r="AR12" s="29">
        <f t="shared" si="4"/>
        <v>9390336.120000001</v>
      </c>
      <c r="AS12" s="15">
        <v>9390400</v>
      </c>
      <c r="AT12" s="30">
        <f t="shared" si="2"/>
        <v>63.879999998956919</v>
      </c>
      <c r="AU12" s="15"/>
    </row>
    <row r="13" spans="2:47" x14ac:dyDescent="0.25">
      <c r="B13" s="25">
        <v>45269</v>
      </c>
      <c r="C13" s="46">
        <v>1571.2</v>
      </c>
      <c r="D13" s="46">
        <v>11531.04</v>
      </c>
      <c r="E13" s="47">
        <v>5360</v>
      </c>
      <c r="F13" s="47">
        <v>5579</v>
      </c>
      <c r="G13" s="13">
        <f t="shared" si="0"/>
        <v>8421632</v>
      </c>
      <c r="H13" s="13">
        <f t="shared" si="0"/>
        <v>64331672.160000004</v>
      </c>
      <c r="I13" s="26">
        <v>166</v>
      </c>
      <c r="J13" s="13">
        <v>3133000</v>
      </c>
      <c r="K13" s="27">
        <v>59</v>
      </c>
      <c r="L13" s="13">
        <v>536000</v>
      </c>
      <c r="M13" s="13">
        <v>23000</v>
      </c>
      <c r="N13" s="13">
        <v>0</v>
      </c>
      <c r="O13" s="13">
        <v>433400</v>
      </c>
      <c r="P13" s="13">
        <v>778950</v>
      </c>
      <c r="Q13" s="13">
        <v>12000</v>
      </c>
      <c r="R13" s="45">
        <f t="shared" si="3"/>
        <v>77669654.159999996</v>
      </c>
      <c r="S13" s="13">
        <v>2931717</v>
      </c>
      <c r="T13" s="13">
        <v>59511488</v>
      </c>
      <c r="U13" s="13"/>
      <c r="V13" s="13">
        <v>1750000</v>
      </c>
      <c r="W13" s="13"/>
      <c r="X13" s="13"/>
      <c r="Y13" s="13">
        <v>3642580</v>
      </c>
      <c r="Z13" s="28">
        <f t="shared" si="5"/>
        <v>9833869.1599999964</v>
      </c>
      <c r="AA13" s="13"/>
      <c r="AB13" s="13"/>
      <c r="AC13" s="13"/>
      <c r="AD13" s="13"/>
      <c r="AE13" s="13">
        <v>125000</v>
      </c>
      <c r="AF13" s="13"/>
      <c r="AG13" s="13"/>
      <c r="AH13" s="13">
        <v>50000</v>
      </c>
      <c r="AI13" s="13">
        <v>37000</v>
      </c>
      <c r="AJ13" s="13"/>
      <c r="AK13" s="13"/>
      <c r="AL13" s="13"/>
      <c r="AM13" s="43">
        <f t="shared" si="1"/>
        <v>212000</v>
      </c>
      <c r="AN13" s="12"/>
      <c r="AO13" s="12"/>
      <c r="AP13" s="12"/>
      <c r="AQ13" s="12">
        <v>1728690</v>
      </c>
      <c r="AR13" s="29">
        <f t="shared" si="4"/>
        <v>7893179.1599999964</v>
      </c>
      <c r="AS13" s="15">
        <v>7893000</v>
      </c>
      <c r="AT13" s="30">
        <f t="shared" si="2"/>
        <v>-179.15999999642372</v>
      </c>
      <c r="AU13" s="15"/>
    </row>
    <row r="14" spans="2:47" x14ac:dyDescent="0.25">
      <c r="B14" s="25">
        <v>45270</v>
      </c>
      <c r="C14" s="46">
        <v>799.67</v>
      </c>
      <c r="D14" s="46">
        <v>1477.06</v>
      </c>
      <c r="E14" s="47">
        <v>5360</v>
      </c>
      <c r="F14" s="47">
        <v>5579</v>
      </c>
      <c r="G14" s="13">
        <f t="shared" si="0"/>
        <v>4286231.2</v>
      </c>
      <c r="H14" s="13">
        <f t="shared" si="0"/>
        <v>8240517.7399999993</v>
      </c>
      <c r="I14" s="26">
        <v>51.5</v>
      </c>
      <c r="J14" s="13">
        <v>979500</v>
      </c>
      <c r="K14" s="27">
        <v>18</v>
      </c>
      <c r="L14" s="13">
        <v>168000</v>
      </c>
      <c r="M14" s="13">
        <v>31000</v>
      </c>
      <c r="N14" s="13">
        <v>0</v>
      </c>
      <c r="O14" s="13">
        <v>0</v>
      </c>
      <c r="P14" s="13">
        <v>3485600</v>
      </c>
      <c r="Q14" s="13">
        <v>0</v>
      </c>
      <c r="R14" s="45">
        <f t="shared" si="3"/>
        <v>17190848.939999998</v>
      </c>
      <c r="S14" s="13">
        <v>1333206</v>
      </c>
      <c r="T14" s="13">
        <v>3591916</v>
      </c>
      <c r="U14" s="13"/>
      <c r="V14" s="13"/>
      <c r="W14" s="13"/>
      <c r="X14" s="13"/>
      <c r="Y14" s="13">
        <v>1730010</v>
      </c>
      <c r="Z14" s="28">
        <f t="shared" si="5"/>
        <v>10535716.939999998</v>
      </c>
      <c r="AA14" s="13">
        <v>29000</v>
      </c>
      <c r="AB14" s="13"/>
      <c r="AC14" s="13"/>
      <c r="AD14" s="13"/>
      <c r="AE14" s="13">
        <v>163000</v>
      </c>
      <c r="AF14" s="13"/>
      <c r="AG14" s="13">
        <v>3000</v>
      </c>
      <c r="AH14" s="13"/>
      <c r="AI14" s="13"/>
      <c r="AJ14" s="13"/>
      <c r="AK14" s="13"/>
      <c r="AL14" s="13"/>
      <c r="AM14" s="43">
        <f t="shared" si="1"/>
        <v>195000</v>
      </c>
      <c r="AN14" s="12"/>
      <c r="AO14" s="12"/>
      <c r="AP14" s="12"/>
      <c r="AQ14" s="12">
        <v>668530</v>
      </c>
      <c r="AR14" s="29">
        <f t="shared" si="4"/>
        <v>9672186.9399999976</v>
      </c>
      <c r="AS14" s="15">
        <v>9672200</v>
      </c>
      <c r="AT14" s="30">
        <f t="shared" si="2"/>
        <v>13.060000002384186</v>
      </c>
      <c r="AU14" s="15"/>
    </row>
    <row r="15" spans="2:47" x14ac:dyDescent="0.25">
      <c r="B15" s="25">
        <v>45271</v>
      </c>
      <c r="C15" s="46">
        <v>3192.9229999999998</v>
      </c>
      <c r="D15" s="46">
        <v>4636.7529999999997</v>
      </c>
      <c r="E15" s="47">
        <v>5200</v>
      </c>
      <c r="F15" s="47">
        <v>5409</v>
      </c>
      <c r="G15" s="13">
        <f t="shared" si="0"/>
        <v>16603199.6</v>
      </c>
      <c r="H15" s="13">
        <f t="shared" si="0"/>
        <v>25080196.976999998</v>
      </c>
      <c r="I15" s="26">
        <v>47</v>
      </c>
      <c r="J15" s="13">
        <v>1021000</v>
      </c>
      <c r="K15" s="27">
        <v>45.5</v>
      </c>
      <c r="L15" s="13">
        <v>365000</v>
      </c>
      <c r="M15" s="13">
        <v>16000</v>
      </c>
      <c r="N15" s="13">
        <v>0</v>
      </c>
      <c r="O15" s="13">
        <v>21000</v>
      </c>
      <c r="P15" s="13">
        <v>163000</v>
      </c>
      <c r="Q15" s="13">
        <v>12000</v>
      </c>
      <c r="R15" s="45">
        <f t="shared" si="3"/>
        <v>43281396.577</v>
      </c>
      <c r="S15" s="13">
        <v>1713632</v>
      </c>
      <c r="T15" s="13">
        <v>17093145</v>
      </c>
      <c r="U15" s="13"/>
      <c r="V15" s="13"/>
      <c r="W15" s="13"/>
      <c r="X15" s="13"/>
      <c r="Y15" s="13">
        <v>8046750</v>
      </c>
      <c r="Z15" s="28">
        <f t="shared" si="5"/>
        <v>16427869.577</v>
      </c>
      <c r="AA15" s="13">
        <v>1217853</v>
      </c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43">
        <f t="shared" si="1"/>
        <v>1217853</v>
      </c>
      <c r="AN15" s="12"/>
      <c r="AO15" s="12"/>
      <c r="AP15" s="12" t="s">
        <v>59</v>
      </c>
      <c r="AQ15" s="12">
        <v>2181260</v>
      </c>
      <c r="AR15" s="29">
        <f t="shared" si="4"/>
        <v>13028756.577</v>
      </c>
      <c r="AS15" s="15">
        <v>13029400</v>
      </c>
      <c r="AT15" s="30">
        <f t="shared" si="2"/>
        <v>643.42300000041723</v>
      </c>
      <c r="AU15" s="15"/>
    </row>
    <row r="16" spans="2:47" x14ac:dyDescent="0.25">
      <c r="B16" s="25">
        <v>45272</v>
      </c>
      <c r="C16" s="46">
        <v>2706.07</v>
      </c>
      <c r="D16" s="46">
        <v>3846.15</v>
      </c>
      <c r="E16" s="47">
        <v>5200</v>
      </c>
      <c r="F16" s="47">
        <v>5409</v>
      </c>
      <c r="G16" s="13">
        <f t="shared" si="0"/>
        <v>14071564</v>
      </c>
      <c r="H16" s="13">
        <f t="shared" si="0"/>
        <v>20803825.350000001</v>
      </c>
      <c r="I16" s="26">
        <v>69</v>
      </c>
      <c r="J16" s="51">
        <v>1504500</v>
      </c>
      <c r="K16" s="27">
        <v>78.5</v>
      </c>
      <c r="L16" s="13">
        <v>729000</v>
      </c>
      <c r="M16" s="13">
        <v>38000</v>
      </c>
      <c r="N16" s="13">
        <v>0</v>
      </c>
      <c r="O16" s="13">
        <v>0</v>
      </c>
      <c r="P16" s="13">
        <v>1174100</v>
      </c>
      <c r="Q16" s="13">
        <v>12000</v>
      </c>
      <c r="R16" s="45">
        <f t="shared" si="3"/>
        <v>38332989.350000001</v>
      </c>
      <c r="S16" s="13">
        <v>909160</v>
      </c>
      <c r="T16" s="13">
        <v>10732775</v>
      </c>
      <c r="U16" s="13"/>
      <c r="V16" s="13"/>
      <c r="W16" s="13"/>
      <c r="X16" s="13"/>
      <c r="Y16" s="13">
        <v>8777195</v>
      </c>
      <c r="Z16" s="28">
        <f t="shared" si="5"/>
        <v>17913859.350000001</v>
      </c>
      <c r="AA16" s="13"/>
      <c r="AB16" s="13"/>
      <c r="AC16" s="13"/>
      <c r="AD16" s="13">
        <v>12000</v>
      </c>
      <c r="AE16" s="13"/>
      <c r="AF16" s="13"/>
      <c r="AG16" s="13">
        <v>7000</v>
      </c>
      <c r="AH16" s="13"/>
      <c r="AI16" s="13">
        <v>39000</v>
      </c>
      <c r="AJ16" s="13"/>
      <c r="AK16" s="13">
        <v>400000</v>
      </c>
      <c r="AL16" s="13"/>
      <c r="AM16" s="43">
        <f t="shared" si="1"/>
        <v>458000</v>
      </c>
      <c r="AN16" s="15"/>
      <c r="AO16" s="35"/>
      <c r="AP16" s="32"/>
      <c r="AQ16" s="32">
        <v>2499732</v>
      </c>
      <c r="AR16" s="29">
        <f t="shared" si="4"/>
        <v>14956127.350000001</v>
      </c>
      <c r="AS16" s="15">
        <v>14955800</v>
      </c>
      <c r="AT16" s="30">
        <f t="shared" si="2"/>
        <v>-327.35000000149012</v>
      </c>
      <c r="AU16" s="15"/>
    </row>
    <row r="17" spans="2:47" x14ac:dyDescent="0.25">
      <c r="B17" s="25">
        <v>45273</v>
      </c>
      <c r="C17" s="46">
        <v>3950.83</v>
      </c>
      <c r="D17" s="46">
        <v>9034.39</v>
      </c>
      <c r="E17" s="47">
        <v>5200</v>
      </c>
      <c r="F17" s="47">
        <v>5409</v>
      </c>
      <c r="G17" s="13">
        <f t="shared" si="0"/>
        <v>20544316</v>
      </c>
      <c r="H17" s="13">
        <f t="shared" si="0"/>
        <v>48867015.509999998</v>
      </c>
      <c r="I17" s="26">
        <v>48</v>
      </c>
      <c r="J17" s="13">
        <v>968000</v>
      </c>
      <c r="K17" s="27">
        <v>51</v>
      </c>
      <c r="L17" s="13">
        <v>476000</v>
      </c>
      <c r="M17" s="13">
        <v>8000</v>
      </c>
      <c r="N17" s="13">
        <v>0</v>
      </c>
      <c r="O17" s="13">
        <v>290000</v>
      </c>
      <c r="P17" s="13">
        <v>3389180</v>
      </c>
      <c r="Q17" s="13">
        <v>8000</v>
      </c>
      <c r="R17" s="45">
        <f t="shared" si="3"/>
        <v>74550511.50999999</v>
      </c>
      <c r="S17" s="13">
        <v>2440726</v>
      </c>
      <c r="T17" s="13">
        <v>36433910</v>
      </c>
      <c r="U17" s="13"/>
      <c r="V17" s="13"/>
      <c r="W17" s="13"/>
      <c r="X17" s="13"/>
      <c r="Y17" s="13">
        <v>8060508</v>
      </c>
      <c r="Z17" s="28">
        <f t="shared" si="5"/>
        <v>27615367.50999999</v>
      </c>
      <c r="AA17" s="13"/>
      <c r="AB17" s="13"/>
      <c r="AC17" s="13"/>
      <c r="AD17" s="13"/>
      <c r="AE17" s="13">
        <v>52000</v>
      </c>
      <c r="AF17" s="13"/>
      <c r="AG17" s="13">
        <v>3000</v>
      </c>
      <c r="AH17" s="13"/>
      <c r="AI17" s="13"/>
      <c r="AJ17" s="13">
        <v>30000</v>
      </c>
      <c r="AK17" s="13"/>
      <c r="AL17" s="13"/>
      <c r="AM17" s="43">
        <f t="shared" si="1"/>
        <v>85000</v>
      </c>
      <c r="AN17" s="31"/>
      <c r="AO17" s="36"/>
      <c r="AP17" s="32"/>
      <c r="AQ17" s="32">
        <v>1759900</v>
      </c>
      <c r="AR17" s="29">
        <f t="shared" si="4"/>
        <v>25770467.50999999</v>
      </c>
      <c r="AS17" s="15">
        <v>25767700</v>
      </c>
      <c r="AT17" s="30">
        <f t="shared" si="2"/>
        <v>-2767.5099999904633</v>
      </c>
      <c r="AU17" s="15"/>
    </row>
    <row r="18" spans="2:47" x14ac:dyDescent="0.25">
      <c r="B18" s="25">
        <v>45274</v>
      </c>
      <c r="C18" s="46">
        <v>3308.3090000000002</v>
      </c>
      <c r="D18" s="46">
        <v>3450.42</v>
      </c>
      <c r="E18" s="47">
        <v>5200</v>
      </c>
      <c r="F18" s="47">
        <v>5409</v>
      </c>
      <c r="G18" s="13">
        <f t="shared" si="0"/>
        <v>17203206.800000001</v>
      </c>
      <c r="H18" s="13">
        <f t="shared" si="0"/>
        <v>18663321.780000001</v>
      </c>
      <c r="I18" s="26">
        <v>26.5</v>
      </c>
      <c r="J18" s="13">
        <v>541000</v>
      </c>
      <c r="K18" s="27">
        <v>36.5</v>
      </c>
      <c r="L18" s="13">
        <v>337000</v>
      </c>
      <c r="M18" s="13">
        <v>0</v>
      </c>
      <c r="N18" s="13">
        <v>0</v>
      </c>
      <c r="O18" s="13">
        <v>0</v>
      </c>
      <c r="P18" s="13">
        <v>1823000</v>
      </c>
      <c r="Q18" s="13">
        <v>0</v>
      </c>
      <c r="R18" s="45">
        <f t="shared" si="3"/>
        <v>38567528.579999998</v>
      </c>
      <c r="S18" s="13">
        <v>1476671</v>
      </c>
      <c r="T18" s="13">
        <v>10361568</v>
      </c>
      <c r="U18" s="13"/>
      <c r="V18" s="13"/>
      <c r="W18" s="13"/>
      <c r="X18" s="13"/>
      <c r="Y18" s="13">
        <v>5764200</v>
      </c>
      <c r="Z18" s="28">
        <f t="shared" si="5"/>
        <v>20965089.579999998</v>
      </c>
      <c r="AA18" s="13"/>
      <c r="AB18" s="13"/>
      <c r="AC18" s="13"/>
      <c r="AD18" s="13"/>
      <c r="AE18" s="13"/>
      <c r="AF18" s="13"/>
      <c r="AG18" s="13">
        <v>3000</v>
      </c>
      <c r="AH18" s="13"/>
      <c r="AI18" s="13">
        <v>2000</v>
      </c>
      <c r="AJ18" s="13"/>
      <c r="AK18" s="13"/>
      <c r="AL18" s="13"/>
      <c r="AM18" s="43">
        <f t="shared" si="1"/>
        <v>5000</v>
      </c>
      <c r="AN18" s="12"/>
      <c r="AO18" s="12"/>
      <c r="AP18" s="12"/>
      <c r="AQ18" s="12">
        <v>1785880</v>
      </c>
      <c r="AR18" s="29">
        <f t="shared" si="4"/>
        <v>19174209.579999998</v>
      </c>
      <c r="AS18" s="15">
        <v>19170000</v>
      </c>
      <c r="AT18" s="30">
        <f t="shared" si="2"/>
        <v>-4209.5799999982119</v>
      </c>
      <c r="AU18" s="15"/>
    </row>
    <row r="19" spans="2:47" x14ac:dyDescent="0.25">
      <c r="B19" s="25">
        <v>45275</v>
      </c>
      <c r="C19" s="46">
        <v>2589.2159999999999</v>
      </c>
      <c r="D19" s="46">
        <v>1598.79</v>
      </c>
      <c r="E19" s="47">
        <v>5200</v>
      </c>
      <c r="F19" s="47">
        <v>5409</v>
      </c>
      <c r="G19" s="13">
        <f t="shared" si="0"/>
        <v>13463923.199999999</v>
      </c>
      <c r="H19" s="13">
        <f t="shared" si="0"/>
        <v>8647855.1099999994</v>
      </c>
      <c r="I19" s="13">
        <v>23.5</v>
      </c>
      <c r="J19" s="13">
        <v>477000</v>
      </c>
      <c r="K19" s="27">
        <v>39.5</v>
      </c>
      <c r="L19" s="13">
        <v>365000</v>
      </c>
      <c r="M19" s="13">
        <v>45000</v>
      </c>
      <c r="N19" s="13">
        <v>0</v>
      </c>
      <c r="O19" s="13">
        <v>162500</v>
      </c>
      <c r="P19" s="13">
        <v>200000</v>
      </c>
      <c r="Q19" s="13">
        <v>0</v>
      </c>
      <c r="R19" s="45">
        <f t="shared" si="3"/>
        <v>23361278.309999999</v>
      </c>
      <c r="S19" s="13">
        <v>1370468</v>
      </c>
      <c r="T19" s="13">
        <v>4163851</v>
      </c>
      <c r="U19" s="13"/>
      <c r="V19" s="13"/>
      <c r="W19" s="13"/>
      <c r="X19" s="13"/>
      <c r="Y19" s="13">
        <v>2886810</v>
      </c>
      <c r="Z19" s="28">
        <f t="shared" si="5"/>
        <v>14940149.309999999</v>
      </c>
      <c r="AA19" s="12"/>
      <c r="AB19" s="12"/>
      <c r="AC19" s="12"/>
      <c r="AD19" s="12"/>
      <c r="AE19" s="12">
        <v>108180</v>
      </c>
      <c r="AF19" s="12"/>
      <c r="AG19" s="12"/>
      <c r="AH19" s="12"/>
      <c r="AI19" s="12"/>
      <c r="AJ19" s="12"/>
      <c r="AK19" s="12"/>
      <c r="AL19" s="12"/>
      <c r="AM19" s="43">
        <f t="shared" ref="AM19:AM35" si="6">SUM(AA19:AL19)</f>
        <v>108180</v>
      </c>
      <c r="AN19" s="12"/>
      <c r="AO19" s="12"/>
      <c r="AP19" s="12"/>
      <c r="AQ19" s="12">
        <v>1161510</v>
      </c>
      <c r="AR19" s="29">
        <f t="shared" si="4"/>
        <v>13670459.309999999</v>
      </c>
      <c r="AS19" s="15">
        <v>13670800</v>
      </c>
      <c r="AT19" s="30">
        <f t="shared" si="2"/>
        <v>340.6900000013411</v>
      </c>
      <c r="AU19" s="15"/>
    </row>
    <row r="20" spans="2:47" x14ac:dyDescent="0.25">
      <c r="B20" s="25">
        <v>45276</v>
      </c>
      <c r="C20" s="46">
        <v>2973.39</v>
      </c>
      <c r="D20" s="46">
        <v>3593.36</v>
      </c>
      <c r="E20" s="47">
        <v>5200</v>
      </c>
      <c r="F20" s="47">
        <v>5409</v>
      </c>
      <c r="G20" s="13">
        <f t="shared" si="0"/>
        <v>15461628</v>
      </c>
      <c r="H20" s="13">
        <f t="shared" si="0"/>
        <v>19436484.240000002</v>
      </c>
      <c r="I20" s="26">
        <v>44.5</v>
      </c>
      <c r="J20" s="13">
        <v>946500</v>
      </c>
      <c r="K20" s="27">
        <v>61</v>
      </c>
      <c r="L20" s="13">
        <v>562000</v>
      </c>
      <c r="M20" s="13">
        <v>45000</v>
      </c>
      <c r="N20" s="13">
        <v>0</v>
      </c>
      <c r="O20" s="13">
        <v>21000</v>
      </c>
      <c r="P20" s="13">
        <v>1570900</v>
      </c>
      <c r="Q20" s="13">
        <v>12000</v>
      </c>
      <c r="R20" s="45">
        <f t="shared" si="3"/>
        <v>38055512.240000002</v>
      </c>
      <c r="S20" s="13">
        <v>545125</v>
      </c>
      <c r="T20" s="13">
        <v>14278384</v>
      </c>
      <c r="U20" s="13"/>
      <c r="V20" s="13"/>
      <c r="W20" s="13"/>
      <c r="X20" s="13"/>
      <c r="Y20" s="13">
        <v>4075577</v>
      </c>
      <c r="Z20" s="28">
        <f t="shared" si="5"/>
        <v>19156426.240000002</v>
      </c>
      <c r="AA20" s="12"/>
      <c r="AB20" s="12"/>
      <c r="AC20" s="12"/>
      <c r="AD20" s="12"/>
      <c r="AE20" s="12"/>
      <c r="AF20" s="12"/>
      <c r="AG20" s="12">
        <v>4000</v>
      </c>
      <c r="AH20" s="12"/>
      <c r="AI20" s="12"/>
      <c r="AJ20" s="12"/>
      <c r="AK20" s="13"/>
      <c r="AL20" s="13"/>
      <c r="AM20" s="43">
        <f t="shared" si="1"/>
        <v>4000</v>
      </c>
      <c r="AN20" s="12"/>
      <c r="AO20" s="12"/>
      <c r="AP20" s="12"/>
      <c r="AQ20" s="12">
        <v>1119530</v>
      </c>
      <c r="AR20" s="29">
        <f t="shared" si="4"/>
        <v>18032896.240000002</v>
      </c>
      <c r="AS20" s="15">
        <v>18032800</v>
      </c>
      <c r="AT20" s="30">
        <f t="shared" si="2"/>
        <v>-96.240000002086163</v>
      </c>
      <c r="AU20" s="15"/>
    </row>
    <row r="21" spans="2:47" x14ac:dyDescent="0.25">
      <c r="B21" s="25">
        <v>45277</v>
      </c>
      <c r="C21" s="46">
        <v>2822.89</v>
      </c>
      <c r="D21" s="46">
        <v>1940.88</v>
      </c>
      <c r="E21" s="47">
        <v>5200</v>
      </c>
      <c r="F21" s="47">
        <v>5409</v>
      </c>
      <c r="G21" s="13">
        <f>C21*E21</f>
        <v>14679028</v>
      </c>
      <c r="H21" s="13">
        <f t="shared" si="0"/>
        <v>10498219.92</v>
      </c>
      <c r="I21" s="26">
        <v>102.5</v>
      </c>
      <c r="J21" s="13">
        <v>2239500</v>
      </c>
      <c r="K21" s="27">
        <v>54.5</v>
      </c>
      <c r="L21" s="13">
        <v>505000</v>
      </c>
      <c r="M21" s="13">
        <v>71000</v>
      </c>
      <c r="N21" s="13">
        <v>300000</v>
      </c>
      <c r="O21" s="13">
        <v>0</v>
      </c>
      <c r="P21" s="13">
        <v>517000</v>
      </c>
      <c r="Q21" s="13">
        <v>0</v>
      </c>
      <c r="R21" s="45">
        <f t="shared" si="3"/>
        <v>28809747.920000002</v>
      </c>
      <c r="S21" s="13">
        <v>1052973</v>
      </c>
      <c r="T21" s="13">
        <v>4036587</v>
      </c>
      <c r="U21" s="13"/>
      <c r="V21" s="13"/>
      <c r="W21" s="13"/>
      <c r="X21" s="13"/>
      <c r="Y21" s="13">
        <v>2515475</v>
      </c>
      <c r="Z21" s="28">
        <f t="shared" si="5"/>
        <v>21204712.920000002</v>
      </c>
      <c r="AA21" s="12">
        <v>10000</v>
      </c>
      <c r="AB21" s="12"/>
      <c r="AC21" s="12"/>
      <c r="AD21" s="12"/>
      <c r="AE21" s="12"/>
      <c r="AF21" s="12"/>
      <c r="AG21" s="13">
        <v>5000</v>
      </c>
      <c r="AH21" s="12"/>
      <c r="AI21" s="13"/>
      <c r="AJ21" s="12"/>
      <c r="AK21" s="12"/>
      <c r="AL21" s="12"/>
      <c r="AM21" s="43">
        <f t="shared" si="6"/>
        <v>15000</v>
      </c>
      <c r="AN21" s="12"/>
      <c r="AO21" s="12"/>
      <c r="AP21" s="12"/>
      <c r="AQ21" s="12">
        <v>997690</v>
      </c>
      <c r="AR21" s="29">
        <f t="shared" si="4"/>
        <v>20192022.920000002</v>
      </c>
      <c r="AS21" s="15">
        <v>20192300</v>
      </c>
      <c r="AT21" s="30">
        <f t="shared" si="2"/>
        <v>277.07999999821186</v>
      </c>
      <c r="AU21" s="15"/>
    </row>
    <row r="22" spans="2:47" x14ac:dyDescent="0.25">
      <c r="B22" s="25">
        <v>45278</v>
      </c>
      <c r="C22" s="46">
        <v>2805.44</v>
      </c>
      <c r="D22" s="46">
        <v>2576.2060000000001</v>
      </c>
      <c r="E22" s="47">
        <v>5200</v>
      </c>
      <c r="F22" s="47">
        <v>5409</v>
      </c>
      <c r="G22" s="13">
        <f t="shared" si="0"/>
        <v>14588288</v>
      </c>
      <c r="H22" s="13">
        <f t="shared" si="0"/>
        <v>13934698.254000001</v>
      </c>
      <c r="I22" s="26">
        <v>64</v>
      </c>
      <c r="J22" s="13">
        <v>1317000</v>
      </c>
      <c r="K22" s="12">
        <v>24</v>
      </c>
      <c r="L22" s="13">
        <v>224000</v>
      </c>
      <c r="M22" s="13">
        <v>136000</v>
      </c>
      <c r="N22" s="13">
        <v>1000000</v>
      </c>
      <c r="O22" s="13">
        <v>162500</v>
      </c>
      <c r="P22" s="13">
        <v>483500</v>
      </c>
      <c r="Q22" s="12">
        <v>12000</v>
      </c>
      <c r="R22" s="45">
        <f t="shared" si="3"/>
        <v>31857986.254000001</v>
      </c>
      <c r="S22" s="13">
        <v>1733020</v>
      </c>
      <c r="T22" s="13">
        <v>7061633</v>
      </c>
      <c r="U22" s="13"/>
      <c r="V22" s="13"/>
      <c r="W22" s="13"/>
      <c r="X22" s="13"/>
      <c r="Y22" s="12">
        <v>3777865</v>
      </c>
      <c r="Z22" s="28">
        <f t="shared" si="5"/>
        <v>19285468.254000001</v>
      </c>
      <c r="AA22" s="12"/>
      <c r="AB22" s="12"/>
      <c r="AC22" s="12"/>
      <c r="AD22" s="12"/>
      <c r="AE22" s="12"/>
      <c r="AF22" s="12"/>
      <c r="AG22" s="12">
        <v>2000</v>
      </c>
      <c r="AH22" s="12">
        <v>420000</v>
      </c>
      <c r="AI22" s="13"/>
      <c r="AJ22" s="12"/>
      <c r="AK22" s="12"/>
      <c r="AL22" s="12"/>
      <c r="AM22" s="43">
        <f t="shared" si="6"/>
        <v>422000</v>
      </c>
      <c r="AN22" s="12"/>
      <c r="AO22" s="12"/>
      <c r="AP22" s="12"/>
      <c r="AQ22" s="12">
        <v>1230111</v>
      </c>
      <c r="AR22" s="29">
        <f t="shared" si="4"/>
        <v>17633357.254000001</v>
      </c>
      <c r="AS22" s="15">
        <v>17633400</v>
      </c>
      <c r="AT22" s="30">
        <f t="shared" si="2"/>
        <v>42.745999999344349</v>
      </c>
      <c r="AU22" s="15"/>
    </row>
    <row r="23" spans="2:47" x14ac:dyDescent="0.25">
      <c r="B23" s="25">
        <v>45279</v>
      </c>
      <c r="C23" s="46"/>
      <c r="D23" s="46"/>
      <c r="E23" s="47"/>
      <c r="F23" s="47"/>
      <c r="G23" s="13">
        <f t="shared" si="0"/>
        <v>0</v>
      </c>
      <c r="H23" s="13">
        <f t="shared" si="0"/>
        <v>0</v>
      </c>
      <c r="I23" s="26"/>
      <c r="J23" s="13"/>
      <c r="K23" s="12"/>
      <c r="L23" s="13"/>
      <c r="M23" s="13"/>
      <c r="N23" s="13"/>
      <c r="O23" s="13"/>
      <c r="P23" s="13"/>
      <c r="Q23" s="12"/>
      <c r="R23" s="45">
        <f t="shared" si="3"/>
        <v>0</v>
      </c>
      <c r="S23" s="13"/>
      <c r="T23" s="13"/>
      <c r="U23" s="13"/>
      <c r="V23" s="13"/>
      <c r="W23" s="13"/>
      <c r="X23" s="13"/>
      <c r="Y23" s="12"/>
      <c r="Z23" s="28">
        <f t="shared" si="5"/>
        <v>0</v>
      </c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43">
        <f t="shared" si="6"/>
        <v>0</v>
      </c>
      <c r="AN23" s="12"/>
      <c r="AO23" s="12"/>
      <c r="AP23" s="12"/>
      <c r="AQ23" s="12"/>
      <c r="AR23" s="29">
        <f t="shared" si="4"/>
        <v>0</v>
      </c>
      <c r="AS23" s="15"/>
      <c r="AT23" s="30">
        <f t="shared" si="2"/>
        <v>0</v>
      </c>
      <c r="AU23" s="15"/>
    </row>
    <row r="24" spans="2:47" x14ac:dyDescent="0.25">
      <c r="B24" s="25">
        <v>45280</v>
      </c>
      <c r="C24" s="46"/>
      <c r="D24" s="46"/>
      <c r="E24" s="47"/>
      <c r="F24" s="47"/>
      <c r="G24" s="13">
        <f t="shared" si="0"/>
        <v>0</v>
      </c>
      <c r="H24" s="13">
        <f t="shared" si="0"/>
        <v>0</v>
      </c>
      <c r="I24" s="26"/>
      <c r="J24" s="13"/>
      <c r="K24" s="12"/>
      <c r="L24" s="13"/>
      <c r="M24" s="13"/>
      <c r="N24" s="13"/>
      <c r="O24" s="13"/>
      <c r="P24" s="13"/>
      <c r="Q24" s="12"/>
      <c r="R24" s="45">
        <f t="shared" si="3"/>
        <v>0</v>
      </c>
      <c r="S24" s="13"/>
      <c r="T24" s="13"/>
      <c r="U24" s="13"/>
      <c r="V24" s="13"/>
      <c r="W24" s="13"/>
      <c r="X24" s="13"/>
      <c r="Y24" s="12"/>
      <c r="Z24" s="28">
        <f t="shared" si="5"/>
        <v>0</v>
      </c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43">
        <f t="shared" si="6"/>
        <v>0</v>
      </c>
      <c r="AN24" s="12"/>
      <c r="AO24" s="12"/>
      <c r="AP24" s="12"/>
      <c r="AQ24" s="12"/>
      <c r="AR24" s="29">
        <f t="shared" si="4"/>
        <v>0</v>
      </c>
      <c r="AS24" s="15"/>
      <c r="AT24" s="30">
        <f t="shared" si="2"/>
        <v>0</v>
      </c>
      <c r="AU24" s="15"/>
    </row>
    <row r="25" spans="2:47" x14ac:dyDescent="0.25">
      <c r="B25" s="25">
        <v>45281</v>
      </c>
      <c r="C25" s="46"/>
      <c r="D25" s="46"/>
      <c r="E25" s="47"/>
      <c r="F25" s="47"/>
      <c r="G25" s="13">
        <f t="shared" si="0"/>
        <v>0</v>
      </c>
      <c r="H25" s="13">
        <f t="shared" si="0"/>
        <v>0</v>
      </c>
      <c r="I25" s="26"/>
      <c r="J25" s="13"/>
      <c r="K25" s="12"/>
      <c r="L25" s="13"/>
      <c r="M25" s="13"/>
      <c r="N25" s="13"/>
      <c r="O25" s="13"/>
      <c r="P25" s="13"/>
      <c r="Q25" s="12"/>
      <c r="R25" s="45">
        <f t="shared" si="3"/>
        <v>0</v>
      </c>
      <c r="S25" s="13"/>
      <c r="T25" s="13"/>
      <c r="U25" s="13"/>
      <c r="V25" s="13"/>
      <c r="W25" s="13"/>
      <c r="X25" s="13"/>
      <c r="Y25" s="12"/>
      <c r="Z25" s="28">
        <f t="shared" si="5"/>
        <v>0</v>
      </c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43">
        <f t="shared" si="6"/>
        <v>0</v>
      </c>
      <c r="AN25" s="12"/>
      <c r="AO25" s="12"/>
      <c r="AP25" s="12"/>
      <c r="AQ25" s="12"/>
      <c r="AR25" s="29">
        <f t="shared" si="4"/>
        <v>0</v>
      </c>
      <c r="AS25" s="15"/>
      <c r="AT25" s="30">
        <f t="shared" si="2"/>
        <v>0</v>
      </c>
      <c r="AU25" s="15"/>
    </row>
    <row r="26" spans="2:47" x14ac:dyDescent="0.25">
      <c r="B26" s="25">
        <v>45282</v>
      </c>
      <c r="C26" s="46"/>
      <c r="D26" s="46"/>
      <c r="E26" s="47"/>
      <c r="F26" s="47"/>
      <c r="G26" s="13">
        <f t="shared" si="0"/>
        <v>0</v>
      </c>
      <c r="H26" s="13">
        <f t="shared" si="0"/>
        <v>0</v>
      </c>
      <c r="I26" s="26"/>
      <c r="J26" s="13"/>
      <c r="K26" s="12"/>
      <c r="L26" s="13"/>
      <c r="M26" s="13"/>
      <c r="N26" s="13"/>
      <c r="O26" s="13"/>
      <c r="P26" s="13"/>
      <c r="Q26" s="12"/>
      <c r="R26" s="45">
        <f t="shared" si="3"/>
        <v>0</v>
      </c>
      <c r="S26" s="13"/>
      <c r="T26" s="13"/>
      <c r="U26" s="13"/>
      <c r="V26" s="13"/>
      <c r="W26" s="13"/>
      <c r="X26" s="13"/>
      <c r="Y26" s="12"/>
      <c r="Z26" s="28">
        <f t="shared" si="5"/>
        <v>0</v>
      </c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43">
        <f t="shared" ref="AM26" si="7">SUM(AA26:AL26)</f>
        <v>0</v>
      </c>
      <c r="AN26" s="12"/>
      <c r="AO26" s="12"/>
      <c r="AP26" s="12"/>
      <c r="AQ26" s="12"/>
      <c r="AR26" s="29">
        <f t="shared" ref="AR26" si="8">R26-SUM(S26:Y26)-AM26-SUM(AN26:AP26)-AQ26</f>
        <v>0</v>
      </c>
      <c r="AS26" s="15"/>
      <c r="AT26" s="30">
        <f t="shared" si="2"/>
        <v>0</v>
      </c>
      <c r="AU26" s="15"/>
    </row>
    <row r="27" spans="2:47" x14ac:dyDescent="0.25">
      <c r="B27" s="25">
        <v>45283</v>
      </c>
      <c r="C27" s="46"/>
      <c r="D27" s="46"/>
      <c r="E27" s="47"/>
      <c r="F27" s="47"/>
      <c r="G27" s="13">
        <f t="shared" si="0"/>
        <v>0</v>
      </c>
      <c r="H27" s="13">
        <f t="shared" si="0"/>
        <v>0</v>
      </c>
      <c r="I27" s="26"/>
      <c r="J27" s="13"/>
      <c r="K27" s="12"/>
      <c r="L27" s="13"/>
      <c r="M27" s="13"/>
      <c r="N27" s="13"/>
      <c r="O27" s="13"/>
      <c r="P27" s="13"/>
      <c r="Q27" s="12"/>
      <c r="R27" s="45">
        <f t="shared" ref="R27" si="9">SUM(G27:H27)+J27+L27+SUM(M27:Q27)</f>
        <v>0</v>
      </c>
      <c r="S27" s="13"/>
      <c r="T27" s="13"/>
      <c r="U27" s="13"/>
      <c r="V27" s="13"/>
      <c r="W27" s="13"/>
      <c r="X27" s="13"/>
      <c r="Y27" s="12"/>
      <c r="Z27" s="28">
        <f t="shared" ref="Z27" si="10">R27-SUM(S27:Y27)</f>
        <v>0</v>
      </c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43">
        <f t="shared" ref="AM27" si="11">SUM(AA27:AL27)</f>
        <v>0</v>
      </c>
      <c r="AN27" s="12"/>
      <c r="AO27" s="12"/>
      <c r="AP27" s="12"/>
      <c r="AQ27" s="12"/>
      <c r="AR27" s="29">
        <f t="shared" si="4"/>
        <v>0</v>
      </c>
      <c r="AS27" s="15"/>
      <c r="AT27" s="30">
        <f t="shared" si="2"/>
        <v>0</v>
      </c>
      <c r="AU27" s="15"/>
    </row>
    <row r="28" spans="2:47" x14ac:dyDescent="0.25">
      <c r="B28" s="25">
        <v>45284</v>
      </c>
      <c r="C28" s="46"/>
      <c r="D28" s="46"/>
      <c r="E28" s="47"/>
      <c r="F28" s="47"/>
      <c r="G28" s="13">
        <f t="shared" si="0"/>
        <v>0</v>
      </c>
      <c r="H28" s="13">
        <f t="shared" si="0"/>
        <v>0</v>
      </c>
      <c r="I28" s="26"/>
      <c r="J28" s="13"/>
      <c r="K28" s="12"/>
      <c r="L28" s="13"/>
      <c r="M28" s="13"/>
      <c r="N28" s="13"/>
      <c r="O28" s="13"/>
      <c r="P28" s="13"/>
      <c r="Q28" s="12"/>
      <c r="R28" s="45">
        <f t="shared" si="3"/>
        <v>0</v>
      </c>
      <c r="S28" s="13"/>
      <c r="T28" s="13"/>
      <c r="U28" s="13"/>
      <c r="V28" s="13"/>
      <c r="W28" s="13"/>
      <c r="X28" s="13"/>
      <c r="Y28" s="12"/>
      <c r="Z28" s="28">
        <f t="shared" si="5"/>
        <v>0</v>
      </c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43">
        <f t="shared" si="6"/>
        <v>0</v>
      </c>
      <c r="AN28" s="12"/>
      <c r="AO28" s="12"/>
      <c r="AP28" s="12"/>
      <c r="AQ28" s="12"/>
      <c r="AR28" s="29">
        <f t="shared" si="4"/>
        <v>0</v>
      </c>
      <c r="AS28" s="15"/>
      <c r="AT28" s="30">
        <f t="shared" si="2"/>
        <v>0</v>
      </c>
      <c r="AU28" s="15"/>
    </row>
    <row r="29" spans="2:47" x14ac:dyDescent="0.25">
      <c r="B29" s="25">
        <v>45285</v>
      </c>
      <c r="C29" s="46"/>
      <c r="D29" s="46"/>
      <c r="E29" s="47"/>
      <c r="F29" s="47"/>
      <c r="G29" s="13">
        <f t="shared" si="0"/>
        <v>0</v>
      </c>
      <c r="H29" s="13">
        <f t="shared" si="0"/>
        <v>0</v>
      </c>
      <c r="I29" s="26"/>
      <c r="J29" s="13"/>
      <c r="K29" s="12"/>
      <c r="L29" s="13"/>
      <c r="M29" s="13"/>
      <c r="N29" s="13"/>
      <c r="O29" s="13"/>
      <c r="P29" s="13"/>
      <c r="Q29" s="12"/>
      <c r="R29" s="45">
        <f t="shared" si="3"/>
        <v>0</v>
      </c>
      <c r="S29" s="13"/>
      <c r="T29" s="13"/>
      <c r="U29" s="13"/>
      <c r="V29" s="13"/>
      <c r="W29" s="13"/>
      <c r="X29" s="13"/>
      <c r="Y29" s="12"/>
      <c r="Z29" s="28">
        <f t="shared" si="5"/>
        <v>0</v>
      </c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43">
        <f t="shared" si="6"/>
        <v>0</v>
      </c>
      <c r="AN29" s="12"/>
      <c r="AO29" s="12"/>
      <c r="AP29" s="12"/>
      <c r="AQ29" s="12"/>
      <c r="AR29" s="29">
        <f t="shared" si="4"/>
        <v>0</v>
      </c>
      <c r="AS29" s="15"/>
      <c r="AT29" s="30">
        <f t="shared" si="2"/>
        <v>0</v>
      </c>
      <c r="AU29" s="15"/>
    </row>
    <row r="30" spans="2:47" x14ac:dyDescent="0.25">
      <c r="B30" s="25">
        <v>45286</v>
      </c>
      <c r="C30" s="46"/>
      <c r="D30" s="46"/>
      <c r="E30" s="47"/>
      <c r="F30" s="47"/>
      <c r="G30" s="13">
        <f t="shared" si="0"/>
        <v>0</v>
      </c>
      <c r="H30" s="13">
        <f t="shared" si="0"/>
        <v>0</v>
      </c>
      <c r="I30" s="26"/>
      <c r="J30" s="13"/>
      <c r="K30" s="12"/>
      <c r="L30" s="13"/>
      <c r="M30" s="13"/>
      <c r="N30" s="13"/>
      <c r="O30" s="13"/>
      <c r="P30" s="13"/>
      <c r="Q30" s="12"/>
      <c r="R30" s="45">
        <f t="shared" si="3"/>
        <v>0</v>
      </c>
      <c r="S30" s="13"/>
      <c r="T30" s="13"/>
      <c r="U30" s="13"/>
      <c r="V30" s="13"/>
      <c r="W30" s="13"/>
      <c r="X30" s="13"/>
      <c r="Y30" s="12"/>
      <c r="Z30" s="28">
        <f t="shared" si="5"/>
        <v>0</v>
      </c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43">
        <f t="shared" si="6"/>
        <v>0</v>
      </c>
      <c r="AN30" s="12"/>
      <c r="AO30" s="12"/>
      <c r="AP30" s="12"/>
      <c r="AQ30" s="12"/>
      <c r="AR30" s="29">
        <f t="shared" si="4"/>
        <v>0</v>
      </c>
      <c r="AS30" s="15"/>
      <c r="AT30" s="30">
        <f t="shared" si="2"/>
        <v>0</v>
      </c>
      <c r="AU30" s="15"/>
    </row>
    <row r="31" spans="2:47" x14ac:dyDescent="0.25">
      <c r="B31" s="25">
        <v>45287</v>
      </c>
      <c r="C31" s="46"/>
      <c r="D31" s="46"/>
      <c r="E31" s="47"/>
      <c r="F31" s="47"/>
      <c r="G31" s="13">
        <f t="shared" si="0"/>
        <v>0</v>
      </c>
      <c r="H31" s="13">
        <f t="shared" si="0"/>
        <v>0</v>
      </c>
      <c r="I31" s="26"/>
      <c r="J31" s="13"/>
      <c r="K31" s="12"/>
      <c r="L31" s="13"/>
      <c r="M31" s="13"/>
      <c r="N31" s="13"/>
      <c r="O31" s="13"/>
      <c r="P31" s="13"/>
      <c r="Q31" s="12"/>
      <c r="R31" s="45">
        <f t="shared" si="3"/>
        <v>0</v>
      </c>
      <c r="S31" s="13"/>
      <c r="T31" s="13"/>
      <c r="U31" s="13"/>
      <c r="V31" s="13"/>
      <c r="W31" s="13"/>
      <c r="X31" s="13"/>
      <c r="Y31" s="12"/>
      <c r="Z31" s="28">
        <f t="shared" si="5"/>
        <v>0</v>
      </c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43">
        <f t="shared" si="6"/>
        <v>0</v>
      </c>
      <c r="AN31" s="12"/>
      <c r="AO31" s="12"/>
      <c r="AP31" s="12"/>
      <c r="AQ31" s="12"/>
      <c r="AR31" s="29">
        <f t="shared" si="4"/>
        <v>0</v>
      </c>
      <c r="AS31" s="15"/>
      <c r="AT31" s="30">
        <f t="shared" si="2"/>
        <v>0</v>
      </c>
      <c r="AU31" s="15"/>
    </row>
    <row r="32" spans="2:47" x14ac:dyDescent="0.25">
      <c r="B32" s="25">
        <v>45288</v>
      </c>
      <c r="C32" s="46"/>
      <c r="D32" s="46"/>
      <c r="E32" s="47"/>
      <c r="F32" s="47"/>
      <c r="G32" s="13">
        <f t="shared" si="0"/>
        <v>0</v>
      </c>
      <c r="H32" s="13">
        <f t="shared" si="0"/>
        <v>0</v>
      </c>
      <c r="I32" s="26"/>
      <c r="J32" s="13"/>
      <c r="K32" s="12"/>
      <c r="L32" s="13"/>
      <c r="M32" s="13"/>
      <c r="N32" s="13"/>
      <c r="O32" s="13"/>
      <c r="P32" s="13"/>
      <c r="Q32" s="12"/>
      <c r="R32" s="45">
        <f t="shared" si="3"/>
        <v>0</v>
      </c>
      <c r="S32" s="13"/>
      <c r="T32" s="13"/>
      <c r="U32" s="13"/>
      <c r="V32" s="13"/>
      <c r="W32" s="13"/>
      <c r="X32" s="13"/>
      <c r="Y32" s="12"/>
      <c r="Z32" s="28">
        <f t="shared" si="5"/>
        <v>0</v>
      </c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43">
        <f t="shared" si="6"/>
        <v>0</v>
      </c>
      <c r="AN32" s="12"/>
      <c r="AO32" s="12"/>
      <c r="AP32" s="12"/>
      <c r="AQ32" s="12"/>
      <c r="AR32" s="29">
        <f t="shared" si="4"/>
        <v>0</v>
      </c>
      <c r="AS32" s="15"/>
      <c r="AT32" s="30">
        <f t="shared" si="2"/>
        <v>0</v>
      </c>
      <c r="AU32" s="15"/>
    </row>
    <row r="33" spans="2:47" x14ac:dyDescent="0.25">
      <c r="B33" s="25">
        <v>45289</v>
      </c>
      <c r="C33" s="46"/>
      <c r="D33" s="46"/>
      <c r="E33" s="47"/>
      <c r="F33" s="47"/>
      <c r="G33" s="13">
        <f t="shared" si="0"/>
        <v>0</v>
      </c>
      <c r="H33" s="13">
        <f t="shared" si="0"/>
        <v>0</v>
      </c>
      <c r="I33" s="26"/>
      <c r="J33" s="13"/>
      <c r="K33" s="12"/>
      <c r="L33" s="13"/>
      <c r="M33" s="13"/>
      <c r="N33" s="13"/>
      <c r="O33" s="13"/>
      <c r="P33" s="13"/>
      <c r="Q33" s="12"/>
      <c r="R33" s="45">
        <f t="shared" si="3"/>
        <v>0</v>
      </c>
      <c r="S33" s="13"/>
      <c r="T33" s="13"/>
      <c r="U33" s="13"/>
      <c r="V33" s="13"/>
      <c r="W33" s="13"/>
      <c r="X33" s="13"/>
      <c r="Y33" s="12"/>
      <c r="Z33" s="28">
        <f t="shared" si="5"/>
        <v>0</v>
      </c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43">
        <f t="shared" si="6"/>
        <v>0</v>
      </c>
      <c r="AN33" s="12"/>
      <c r="AO33" s="12"/>
      <c r="AP33" s="12"/>
      <c r="AQ33" s="12"/>
      <c r="AR33" s="29">
        <f t="shared" si="4"/>
        <v>0</v>
      </c>
      <c r="AS33" s="15"/>
      <c r="AT33" s="30">
        <f t="shared" si="2"/>
        <v>0</v>
      </c>
      <c r="AU33" s="15"/>
    </row>
    <row r="34" spans="2:47" x14ac:dyDescent="0.25">
      <c r="B34" s="25">
        <v>45290</v>
      </c>
      <c r="C34" s="46"/>
      <c r="D34" s="46"/>
      <c r="E34" s="47"/>
      <c r="F34" s="47"/>
      <c r="G34" s="13">
        <f t="shared" si="0"/>
        <v>0</v>
      </c>
      <c r="H34" s="13">
        <f t="shared" si="0"/>
        <v>0</v>
      </c>
      <c r="I34" s="26"/>
      <c r="J34" s="13"/>
      <c r="K34" s="12"/>
      <c r="L34" s="13"/>
      <c r="M34" s="13"/>
      <c r="N34" s="13"/>
      <c r="O34" s="13"/>
      <c r="P34" s="13"/>
      <c r="Q34" s="12"/>
      <c r="R34" s="45">
        <f t="shared" si="3"/>
        <v>0</v>
      </c>
      <c r="S34" s="13"/>
      <c r="T34" s="13"/>
      <c r="U34" s="13"/>
      <c r="V34" s="13"/>
      <c r="W34" s="13"/>
      <c r="X34" s="13"/>
      <c r="Y34" s="12"/>
      <c r="Z34" s="28">
        <f t="shared" si="5"/>
        <v>0</v>
      </c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43">
        <f t="shared" si="6"/>
        <v>0</v>
      </c>
      <c r="AN34" s="12"/>
      <c r="AO34" s="12"/>
      <c r="AP34" s="12"/>
      <c r="AQ34" s="12"/>
      <c r="AR34" s="29">
        <f t="shared" si="4"/>
        <v>0</v>
      </c>
      <c r="AS34" s="15"/>
      <c r="AT34" s="30">
        <f t="shared" si="2"/>
        <v>0</v>
      </c>
      <c r="AU34" s="15"/>
    </row>
    <row r="35" spans="2:47" x14ac:dyDescent="0.25">
      <c r="B35" s="25">
        <v>44957</v>
      </c>
      <c r="C35" s="46"/>
      <c r="D35" s="46"/>
      <c r="E35" s="47"/>
      <c r="F35" s="47"/>
      <c r="G35" s="13">
        <f t="shared" si="0"/>
        <v>0</v>
      </c>
      <c r="H35" s="13">
        <f t="shared" si="0"/>
        <v>0</v>
      </c>
      <c r="I35" s="26"/>
      <c r="J35" s="13"/>
      <c r="K35" s="12"/>
      <c r="L35" s="13"/>
      <c r="M35" s="13"/>
      <c r="N35" s="13"/>
      <c r="O35" s="13"/>
      <c r="P35" s="13"/>
      <c r="Q35" s="12"/>
      <c r="R35" s="45">
        <f t="shared" si="3"/>
        <v>0</v>
      </c>
      <c r="S35" s="13"/>
      <c r="T35" s="13"/>
      <c r="U35" s="13"/>
      <c r="V35" s="13"/>
      <c r="W35" s="13"/>
      <c r="X35" s="13"/>
      <c r="Y35" s="12"/>
      <c r="Z35" s="28">
        <f t="shared" si="5"/>
        <v>0</v>
      </c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43">
        <f t="shared" si="6"/>
        <v>0</v>
      </c>
      <c r="AN35" s="12"/>
      <c r="AO35" s="12"/>
      <c r="AP35" s="12"/>
      <c r="AQ35" s="12"/>
      <c r="AR35" s="29">
        <f t="shared" si="4"/>
        <v>0</v>
      </c>
      <c r="AS35" s="15"/>
      <c r="AT35" s="30">
        <f t="shared" si="2"/>
        <v>0</v>
      </c>
      <c r="AU35" s="15"/>
    </row>
    <row r="36" spans="2:47" x14ac:dyDescent="0.25">
      <c r="B36" s="15"/>
      <c r="C36" s="37"/>
      <c r="D36" s="37"/>
      <c r="E36" s="38"/>
      <c r="F36" s="38"/>
      <c r="G36" s="39"/>
      <c r="H36" s="39"/>
      <c r="I36" s="39"/>
      <c r="J36" s="13"/>
      <c r="K36" s="15"/>
      <c r="L36" s="38"/>
      <c r="M36" s="38"/>
      <c r="N36" s="38"/>
      <c r="O36" s="38"/>
      <c r="P36" s="38"/>
      <c r="Q36" s="15"/>
      <c r="R36" s="40"/>
      <c r="S36" s="38"/>
      <c r="T36" s="38"/>
      <c r="U36" s="38"/>
      <c r="V36" s="38"/>
      <c r="W36" s="38"/>
      <c r="X36" s="38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41">
        <f>SUM(AM5:AM35)</f>
        <v>3036823</v>
      </c>
      <c r="AN36" s="15"/>
      <c r="AO36" s="15"/>
      <c r="AP36" s="15"/>
      <c r="AQ36" s="15"/>
      <c r="AR36" s="15"/>
      <c r="AS36" s="15"/>
      <c r="AT36" s="30">
        <f>SUM(AT5:AT20)</f>
        <v>2188.8930000178516</v>
      </c>
      <c r="AU36" s="15"/>
    </row>
    <row r="37" spans="2:47" x14ac:dyDescent="0.25">
      <c r="B37" s="15"/>
      <c r="C37" s="37">
        <f>SUM(C5:C36)</f>
        <v>46561.993999999999</v>
      </c>
      <c r="D37" s="37">
        <f>SUM(D5:D36)</f>
        <v>71026.369000000006</v>
      </c>
      <c r="E37" s="38">
        <f>SUM(E5:E36)</f>
        <v>95200</v>
      </c>
      <c r="F37" s="38"/>
      <c r="G37" s="39">
        <f>SUM(G5:G36)</f>
        <v>245676436.96000001</v>
      </c>
      <c r="H37" s="39">
        <f>SUM(H5:H36)</f>
        <v>391041031.3210001</v>
      </c>
      <c r="I37" s="52"/>
      <c r="J37" s="54"/>
      <c r="K37" s="53"/>
      <c r="L37" s="38"/>
      <c r="M37" s="38"/>
      <c r="N37" s="38"/>
      <c r="O37" s="38"/>
      <c r="P37" s="38"/>
      <c r="Q37" s="15"/>
      <c r="R37" s="40"/>
      <c r="S37" s="38"/>
      <c r="T37" s="38"/>
      <c r="U37" s="38"/>
      <c r="V37" s="38"/>
      <c r="W37" s="38"/>
      <c r="X37" s="38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41"/>
      <c r="AN37" s="15"/>
      <c r="AO37" s="15"/>
      <c r="AP37" s="15"/>
      <c r="AQ37" s="15"/>
      <c r="AR37" s="15"/>
      <c r="AS37" s="15"/>
      <c r="AT37" s="15"/>
      <c r="AU37" s="15"/>
    </row>
    <row r="38" spans="2:47" x14ac:dyDescent="0.25">
      <c r="B38" s="15"/>
      <c r="C38" s="37"/>
      <c r="D38" s="37"/>
      <c r="E38" s="38"/>
      <c r="F38" s="38"/>
      <c r="G38" s="39"/>
      <c r="H38" s="39"/>
      <c r="I38" s="39"/>
      <c r="J38" s="38"/>
      <c r="K38" s="15"/>
      <c r="L38" s="38"/>
      <c r="M38" s="38"/>
      <c r="N38" s="38"/>
      <c r="O38" s="38"/>
      <c r="P38" s="38"/>
      <c r="Q38" s="15"/>
      <c r="R38" s="40"/>
      <c r="S38" s="38"/>
      <c r="T38" s="38"/>
      <c r="U38" s="38"/>
      <c r="V38" s="38"/>
      <c r="W38" s="38"/>
      <c r="X38" s="38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41"/>
      <c r="AN38" s="15"/>
      <c r="AO38" s="15"/>
      <c r="AP38" s="15"/>
      <c r="AQ38" s="15"/>
      <c r="AR38" s="15"/>
      <c r="AS38" s="15"/>
      <c r="AT38" s="15"/>
      <c r="AU38" s="15"/>
    </row>
    <row r="39" spans="2:47" x14ac:dyDescent="0.25">
      <c r="B39" s="15"/>
      <c r="C39" s="37"/>
      <c r="D39" s="37"/>
      <c r="E39" s="38"/>
      <c r="F39" s="38"/>
      <c r="G39" s="39"/>
      <c r="H39" s="39"/>
      <c r="I39" s="39"/>
      <c r="J39" s="38"/>
      <c r="K39" s="15"/>
      <c r="L39" s="38"/>
      <c r="M39" s="38"/>
      <c r="N39" s="38"/>
      <c r="O39" s="38"/>
      <c r="P39" s="38"/>
      <c r="Q39" s="15"/>
      <c r="R39" s="40"/>
      <c r="S39" s="38"/>
      <c r="T39" s="38"/>
      <c r="U39" s="38"/>
      <c r="V39" s="38"/>
      <c r="W39" s="38"/>
      <c r="X39" s="38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41"/>
      <c r="AN39" s="15"/>
      <c r="AO39" s="15"/>
      <c r="AP39" s="15"/>
      <c r="AQ39" s="15"/>
      <c r="AR39" s="15"/>
      <c r="AS39" s="15"/>
      <c r="AT39" s="15"/>
      <c r="AU39" s="15"/>
    </row>
    <row r="40" spans="2:47" x14ac:dyDescent="0.25">
      <c r="B40" s="15"/>
      <c r="C40" s="37"/>
      <c r="D40" s="37"/>
      <c r="E40" s="38"/>
      <c r="F40" s="38"/>
      <c r="G40" s="39"/>
      <c r="H40" s="39"/>
      <c r="I40" s="39"/>
      <c r="J40" s="38"/>
      <c r="K40" s="15"/>
      <c r="L40" s="38"/>
      <c r="M40" s="38"/>
      <c r="N40" s="38"/>
      <c r="O40" s="38"/>
      <c r="P40" s="38"/>
      <c r="Q40" s="15"/>
      <c r="R40" s="40"/>
      <c r="S40" s="38"/>
      <c r="T40" s="38"/>
      <c r="U40" s="38"/>
      <c r="V40" s="38"/>
      <c r="W40" s="38"/>
      <c r="X40" s="38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41"/>
      <c r="AN40" s="15"/>
      <c r="AO40" s="15"/>
      <c r="AP40" s="15"/>
      <c r="AQ40" s="15"/>
      <c r="AR40" s="15"/>
      <c r="AS40" s="15"/>
      <c r="AT40" s="15"/>
      <c r="AU40" s="15"/>
    </row>
    <row r="41" spans="2:47" x14ac:dyDescent="0.25">
      <c r="B41" s="15"/>
      <c r="C41" s="37"/>
      <c r="D41" s="37"/>
      <c r="E41" s="38"/>
      <c r="F41" s="38"/>
      <c r="G41" s="39"/>
      <c r="H41" s="39"/>
      <c r="I41" s="39"/>
      <c r="J41" s="38"/>
      <c r="K41" s="15"/>
      <c r="L41" s="38"/>
      <c r="M41" s="38"/>
      <c r="N41" s="38"/>
      <c r="O41" s="38"/>
      <c r="P41" s="38"/>
      <c r="Q41" s="15"/>
      <c r="R41" s="40"/>
      <c r="S41" s="38"/>
      <c r="T41" s="38"/>
      <c r="U41" s="38"/>
      <c r="V41" s="38"/>
      <c r="W41" s="38"/>
      <c r="X41" s="38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41"/>
      <c r="AN41" s="15"/>
      <c r="AO41" s="15"/>
      <c r="AP41" s="15"/>
      <c r="AQ41" s="15"/>
      <c r="AR41" s="15"/>
      <c r="AS41" s="15"/>
      <c r="AT41" s="15"/>
      <c r="AU41" s="15"/>
    </row>
    <row r="42" spans="2:47" x14ac:dyDescent="0.25">
      <c r="B42" s="15"/>
      <c r="C42" s="37"/>
      <c r="D42" s="37"/>
      <c r="E42" s="38"/>
      <c r="F42" s="38"/>
      <c r="G42" s="39"/>
      <c r="H42" s="39"/>
      <c r="I42" s="39"/>
      <c r="J42" s="38"/>
      <c r="K42" s="15"/>
      <c r="L42" s="38"/>
      <c r="M42" s="38"/>
      <c r="N42" s="38"/>
      <c r="O42" s="38"/>
      <c r="P42" s="38"/>
      <c r="Q42" s="15"/>
      <c r="R42" s="40"/>
      <c r="S42" s="38"/>
      <c r="T42" s="38"/>
      <c r="U42" s="38"/>
      <c r="V42" s="38"/>
      <c r="W42" s="38"/>
      <c r="X42" s="38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41"/>
      <c r="AN42" s="15"/>
      <c r="AO42" s="15"/>
      <c r="AP42" s="15"/>
      <c r="AQ42" s="15"/>
      <c r="AR42" s="15"/>
      <c r="AS42" s="15"/>
      <c r="AT42" s="15"/>
      <c r="AU42" s="15"/>
    </row>
    <row r="43" spans="2:47" x14ac:dyDescent="0.25">
      <c r="B43" s="15"/>
      <c r="C43" s="37"/>
      <c r="D43" s="37"/>
      <c r="E43" s="38"/>
      <c r="F43" s="38"/>
      <c r="G43" s="39"/>
      <c r="H43" s="39"/>
      <c r="I43" s="39"/>
      <c r="J43" s="38"/>
      <c r="K43" s="15"/>
      <c r="L43" s="38"/>
      <c r="M43" s="38"/>
      <c r="N43" s="38"/>
      <c r="O43" s="38"/>
      <c r="P43" s="38"/>
      <c r="Q43" s="15"/>
      <c r="R43" s="40"/>
      <c r="S43" s="38"/>
      <c r="T43" s="38"/>
      <c r="U43" s="38"/>
      <c r="V43" s="38"/>
      <c r="W43" s="38"/>
      <c r="X43" s="38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41"/>
      <c r="AN43" s="15"/>
      <c r="AO43" s="15"/>
      <c r="AP43" s="15"/>
      <c r="AQ43" s="15"/>
      <c r="AR43" s="15"/>
      <c r="AS43" s="15"/>
      <c r="AT43" s="15"/>
      <c r="AU43" s="15"/>
    </row>
    <row r="44" spans="2:47" x14ac:dyDescent="0.25">
      <c r="B44" s="15"/>
      <c r="C44" s="37"/>
      <c r="D44" s="37"/>
      <c r="E44" s="38"/>
      <c r="F44" s="38"/>
      <c r="G44" s="39"/>
      <c r="H44" s="39"/>
      <c r="I44" s="39"/>
      <c r="J44" s="38"/>
      <c r="K44" s="15"/>
      <c r="L44" s="38"/>
      <c r="M44" s="38"/>
      <c r="N44" s="38"/>
      <c r="O44" s="38"/>
      <c r="P44" s="38"/>
      <c r="Q44" s="15"/>
      <c r="R44" s="40"/>
      <c r="S44" s="38"/>
      <c r="T44" s="38"/>
      <c r="U44" s="38"/>
      <c r="V44" s="38"/>
      <c r="W44" s="38"/>
      <c r="X44" s="38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41"/>
      <c r="AN44" s="15"/>
      <c r="AO44" s="15"/>
      <c r="AP44" s="15"/>
      <c r="AQ44" s="15"/>
      <c r="AR44" s="15"/>
      <c r="AS44" s="15"/>
      <c r="AT44" s="15"/>
      <c r="AU44" s="15"/>
    </row>
    <row r="45" spans="2:47" x14ac:dyDescent="0.25">
      <c r="B45" s="15"/>
      <c r="C45" s="37"/>
      <c r="D45" s="37"/>
      <c r="E45" s="38"/>
      <c r="F45" s="38"/>
      <c r="G45" s="39"/>
      <c r="H45" s="39"/>
      <c r="I45" s="39"/>
      <c r="J45" s="38"/>
      <c r="K45" s="15"/>
      <c r="L45" s="38"/>
      <c r="M45" s="38"/>
      <c r="N45" s="38"/>
      <c r="O45" s="38"/>
      <c r="P45" s="38"/>
      <c r="Q45" s="15"/>
      <c r="R45" s="40"/>
      <c r="S45" s="38"/>
      <c r="T45" s="38"/>
      <c r="U45" s="38"/>
      <c r="V45" s="38"/>
      <c r="W45" s="38"/>
      <c r="X45" s="38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41"/>
      <c r="AN45" s="15"/>
      <c r="AO45" s="15"/>
      <c r="AP45" s="15"/>
      <c r="AQ45" s="15"/>
      <c r="AR45" s="15"/>
      <c r="AS45" s="15"/>
      <c r="AT45" s="15"/>
      <c r="AU45" s="15"/>
    </row>
    <row r="46" spans="2:47" x14ac:dyDescent="0.25">
      <c r="B46" s="15"/>
      <c r="C46" s="37"/>
      <c r="D46" s="37"/>
      <c r="E46" s="38"/>
      <c r="F46" s="38"/>
      <c r="G46" s="39"/>
      <c r="H46" s="39"/>
      <c r="I46" s="39"/>
      <c r="J46" s="38"/>
      <c r="K46" s="15"/>
      <c r="L46" s="38"/>
      <c r="M46" s="38"/>
      <c r="N46" s="38"/>
      <c r="O46" s="38"/>
      <c r="P46" s="38"/>
      <c r="Q46" s="15"/>
      <c r="R46" s="40"/>
      <c r="S46" s="38"/>
      <c r="T46" s="38"/>
      <c r="U46" s="38"/>
      <c r="V46" s="38"/>
      <c r="W46" s="38"/>
      <c r="X46" s="38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41"/>
      <c r="AN46" s="15"/>
      <c r="AO46" s="15"/>
      <c r="AP46" s="15"/>
      <c r="AQ46" s="15"/>
      <c r="AR46" s="15"/>
      <c r="AS46" s="15"/>
      <c r="AT46" s="15"/>
      <c r="AU46" s="15"/>
    </row>
    <row r="47" spans="2:47" x14ac:dyDescent="0.25">
      <c r="B47" s="15"/>
      <c r="C47" s="37"/>
      <c r="D47" s="37"/>
      <c r="E47" s="38"/>
      <c r="F47" s="38"/>
      <c r="G47" s="39"/>
      <c r="H47" s="39"/>
      <c r="I47" s="39"/>
      <c r="J47" s="38"/>
      <c r="K47" s="15"/>
      <c r="L47" s="38"/>
      <c r="M47" s="38"/>
      <c r="N47" s="38"/>
      <c r="O47" s="38"/>
      <c r="P47" s="38"/>
      <c r="Q47" s="15"/>
      <c r="R47" s="40"/>
      <c r="S47" s="38"/>
      <c r="T47" s="38"/>
      <c r="U47" s="38"/>
      <c r="V47" s="38"/>
      <c r="W47" s="38"/>
      <c r="X47" s="38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41"/>
      <c r="AN47" s="15"/>
      <c r="AO47" s="15"/>
      <c r="AP47" s="15"/>
      <c r="AQ47" s="15"/>
      <c r="AR47" s="15"/>
      <c r="AS47" s="15"/>
      <c r="AT47" s="15"/>
      <c r="AU47" s="15"/>
    </row>
    <row r="48" spans="2:47" x14ac:dyDescent="0.25">
      <c r="B48" s="15"/>
      <c r="C48" s="37"/>
      <c r="D48" s="37"/>
      <c r="E48" s="38"/>
      <c r="F48" s="38"/>
      <c r="G48" s="39"/>
      <c r="H48" s="39"/>
      <c r="I48" s="39"/>
      <c r="J48" s="38"/>
      <c r="K48" s="15"/>
      <c r="L48" s="38"/>
      <c r="M48" s="38"/>
      <c r="N48" s="38"/>
      <c r="O48" s="38"/>
      <c r="P48" s="38"/>
      <c r="Q48" s="15"/>
      <c r="R48" s="40"/>
      <c r="S48" s="38"/>
      <c r="T48" s="38"/>
      <c r="U48" s="38"/>
      <c r="V48" s="38"/>
      <c r="W48" s="38"/>
      <c r="X48" s="38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41"/>
      <c r="AN48" s="15"/>
      <c r="AO48" s="15"/>
      <c r="AP48" s="15"/>
      <c r="AQ48" s="15"/>
      <c r="AR48" s="15"/>
      <c r="AS48" s="15"/>
      <c r="AT48" s="15"/>
      <c r="AU48" s="15"/>
    </row>
    <row r="49" spans="2:47" x14ac:dyDescent="0.25">
      <c r="B49" s="15"/>
      <c r="C49" s="37"/>
      <c r="D49" s="37"/>
      <c r="E49" s="38"/>
      <c r="F49" s="38"/>
      <c r="G49" s="39"/>
      <c r="H49" s="39"/>
      <c r="I49" s="39"/>
      <c r="J49" s="38"/>
      <c r="K49" s="15"/>
      <c r="L49" s="38"/>
      <c r="M49" s="38"/>
      <c r="N49" s="38"/>
      <c r="O49" s="38"/>
      <c r="P49" s="38"/>
      <c r="Q49" s="15"/>
      <c r="R49" s="40"/>
      <c r="S49" s="38"/>
      <c r="T49" s="38"/>
      <c r="U49" s="38"/>
      <c r="V49" s="38"/>
      <c r="W49" s="38"/>
      <c r="X49" s="38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41"/>
      <c r="AN49" s="15"/>
      <c r="AO49" s="15"/>
      <c r="AP49" s="15"/>
      <c r="AQ49" s="15"/>
      <c r="AR49" s="15"/>
      <c r="AS49" s="15"/>
      <c r="AT49" s="15"/>
      <c r="AU49" s="15"/>
    </row>
    <row r="50" spans="2:47" x14ac:dyDescent="0.25">
      <c r="B50" s="15"/>
      <c r="C50" s="37"/>
      <c r="D50" s="37"/>
      <c r="E50" s="38"/>
      <c r="F50" s="38"/>
      <c r="G50" s="39"/>
      <c r="H50" s="39"/>
      <c r="I50" s="39"/>
      <c r="J50" s="38"/>
      <c r="K50" s="15"/>
      <c r="L50" s="38"/>
      <c r="M50" s="38"/>
      <c r="N50" s="38"/>
      <c r="O50" s="38"/>
      <c r="P50" s="38"/>
      <c r="Q50" s="15"/>
      <c r="R50" s="40"/>
      <c r="S50" s="38"/>
      <c r="T50" s="38"/>
      <c r="U50" s="38"/>
      <c r="V50" s="38"/>
      <c r="W50" s="38"/>
      <c r="X50" s="38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41"/>
      <c r="AN50" s="15"/>
      <c r="AO50" s="15"/>
      <c r="AP50" s="15"/>
      <c r="AQ50" s="15"/>
      <c r="AR50" s="15"/>
      <c r="AS50" s="15"/>
      <c r="AT50" s="15"/>
      <c r="AU50" s="15"/>
    </row>
    <row r="51" spans="2:47" x14ac:dyDescent="0.25">
      <c r="B51" s="15"/>
      <c r="C51" s="37"/>
      <c r="D51" s="37"/>
      <c r="E51" s="38"/>
      <c r="F51" s="38"/>
      <c r="G51" s="39"/>
      <c r="H51" s="39"/>
      <c r="I51" s="39"/>
      <c r="J51" s="38"/>
      <c r="K51" s="15"/>
      <c r="L51" s="38"/>
      <c r="M51" s="38"/>
      <c r="N51" s="38"/>
      <c r="O51" s="38"/>
      <c r="P51" s="38"/>
      <c r="Q51" s="15"/>
      <c r="R51" s="40"/>
      <c r="S51" s="38"/>
      <c r="T51" s="38"/>
      <c r="U51" s="38"/>
      <c r="V51" s="38"/>
      <c r="W51" s="38"/>
      <c r="X51" s="38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41"/>
      <c r="AN51" s="15"/>
      <c r="AO51" s="15"/>
      <c r="AP51" s="15"/>
      <c r="AQ51" s="15"/>
      <c r="AR51" s="15"/>
      <c r="AS51" s="15"/>
      <c r="AT51" s="15"/>
      <c r="AU51" s="15"/>
    </row>
    <row r="52" spans="2:47" x14ac:dyDescent="0.25">
      <c r="B52" s="15"/>
      <c r="C52" s="37"/>
      <c r="D52" s="37"/>
      <c r="E52" s="38"/>
      <c r="F52" s="38"/>
      <c r="G52" s="39"/>
      <c r="H52" s="39"/>
      <c r="I52" s="39"/>
      <c r="J52" s="38"/>
      <c r="K52" s="15"/>
      <c r="L52" s="38"/>
      <c r="M52" s="38"/>
      <c r="N52" s="38"/>
      <c r="O52" s="38"/>
      <c r="P52" s="38"/>
      <c r="Q52" s="15"/>
      <c r="R52" s="40"/>
      <c r="S52" s="38"/>
      <c r="T52" s="38"/>
      <c r="U52" s="38"/>
      <c r="V52" s="38"/>
      <c r="W52" s="38"/>
      <c r="X52" s="38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41"/>
      <c r="AN52" s="15"/>
      <c r="AO52" s="15"/>
      <c r="AP52" s="15"/>
      <c r="AQ52" s="15"/>
      <c r="AR52" s="15"/>
      <c r="AS52" s="15"/>
      <c r="AT52" s="15"/>
      <c r="AU52" s="15"/>
    </row>
    <row r="53" spans="2:47" x14ac:dyDescent="0.25">
      <c r="B53" s="15"/>
      <c r="C53" s="37"/>
      <c r="D53" s="37"/>
      <c r="E53" s="38"/>
      <c r="F53" s="38"/>
      <c r="G53" s="39"/>
      <c r="H53" s="39"/>
      <c r="I53" s="39"/>
      <c r="J53" s="38"/>
      <c r="K53" s="15"/>
      <c r="L53" s="38"/>
      <c r="M53" s="38"/>
      <c r="N53" s="38"/>
      <c r="O53" s="38"/>
      <c r="P53" s="38"/>
      <c r="Q53" s="15"/>
      <c r="R53" s="40"/>
      <c r="S53" s="38"/>
      <c r="T53" s="38"/>
      <c r="U53" s="38"/>
      <c r="V53" s="38"/>
      <c r="W53" s="38"/>
      <c r="X53" s="38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41"/>
      <c r="AN53" s="15"/>
      <c r="AO53" s="15"/>
      <c r="AP53" s="15"/>
      <c r="AQ53" s="15"/>
      <c r="AR53" s="15"/>
      <c r="AS53" s="15"/>
      <c r="AT53" s="15"/>
      <c r="AU53" s="15"/>
    </row>
    <row r="54" spans="2:47" x14ac:dyDescent="0.25">
      <c r="B54" s="15"/>
      <c r="C54" s="37"/>
      <c r="D54" s="37"/>
      <c r="E54" s="38"/>
      <c r="F54" s="38"/>
      <c r="G54" s="39"/>
      <c r="H54" s="39"/>
      <c r="I54" s="39"/>
      <c r="J54" s="38"/>
      <c r="K54" s="15"/>
      <c r="L54" s="38"/>
      <c r="M54" s="38"/>
      <c r="N54" s="38"/>
      <c r="O54" s="38"/>
      <c r="P54" s="38"/>
      <c r="Q54" s="15"/>
      <c r="R54" s="40"/>
      <c r="S54" s="38"/>
      <c r="T54" s="38"/>
      <c r="U54" s="38"/>
      <c r="V54" s="38"/>
      <c r="W54" s="38"/>
      <c r="X54" s="38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41"/>
      <c r="AN54" s="15"/>
      <c r="AO54" s="15"/>
      <c r="AP54" s="15"/>
      <c r="AQ54" s="15"/>
      <c r="AR54" s="15"/>
      <c r="AS54" s="15"/>
      <c r="AT54" s="15"/>
      <c r="AU54" s="15"/>
    </row>
    <row r="55" spans="2:47" x14ac:dyDescent="0.25">
      <c r="B55" s="15"/>
      <c r="C55" s="37"/>
      <c r="D55" s="37"/>
      <c r="E55" s="38"/>
      <c r="F55" s="38"/>
      <c r="G55" s="39"/>
      <c r="H55" s="39"/>
      <c r="I55" s="39"/>
      <c r="J55" s="38"/>
      <c r="K55" s="15"/>
      <c r="L55" s="38"/>
      <c r="M55" s="38"/>
      <c r="N55" s="38"/>
      <c r="O55" s="38"/>
      <c r="P55" s="38"/>
      <c r="Q55" s="15"/>
      <c r="R55" s="40"/>
      <c r="S55" s="38"/>
      <c r="T55" s="38"/>
      <c r="U55" s="38"/>
      <c r="V55" s="38"/>
      <c r="W55" s="38"/>
      <c r="X55" s="38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41"/>
      <c r="AN55" s="15"/>
      <c r="AO55" s="15"/>
      <c r="AP55" s="15"/>
      <c r="AQ55" s="15"/>
      <c r="AR55" s="15"/>
      <c r="AS55" s="15"/>
      <c r="AT55" s="15"/>
      <c r="AU55" s="15"/>
    </row>
    <row r="56" spans="2:47" x14ac:dyDescent="0.25">
      <c r="B56" s="15"/>
      <c r="C56" s="37"/>
      <c r="D56" s="37"/>
      <c r="E56" s="38"/>
      <c r="F56" s="38"/>
      <c r="G56" s="39"/>
      <c r="H56" s="39"/>
      <c r="I56" s="39"/>
      <c r="J56" s="38"/>
      <c r="K56" s="15"/>
      <c r="L56" s="38"/>
      <c r="M56" s="38"/>
      <c r="N56" s="38"/>
      <c r="O56" s="38"/>
      <c r="P56" s="38"/>
      <c r="Q56" s="15"/>
      <c r="R56" s="40"/>
      <c r="S56" s="38"/>
      <c r="T56" s="38"/>
      <c r="U56" s="38"/>
      <c r="V56" s="38"/>
      <c r="W56" s="38"/>
      <c r="X56" s="38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41"/>
      <c r="AN56" s="15"/>
      <c r="AO56" s="15"/>
      <c r="AP56" s="15"/>
      <c r="AQ56" s="15"/>
      <c r="AR56" s="15"/>
      <c r="AS56" s="15"/>
      <c r="AT56" s="15"/>
      <c r="AU56" s="15"/>
    </row>
    <row r="57" spans="2:47" x14ac:dyDescent="0.25">
      <c r="B57" s="15"/>
      <c r="C57" s="37"/>
      <c r="D57" s="37"/>
      <c r="E57" s="38"/>
      <c r="F57" s="38"/>
      <c r="G57" s="39"/>
      <c r="H57" s="39"/>
      <c r="I57" s="39"/>
      <c r="J57" s="38"/>
      <c r="K57" s="15"/>
      <c r="L57" s="38"/>
      <c r="M57" s="38"/>
      <c r="N57" s="38"/>
      <c r="O57" s="38"/>
      <c r="P57" s="38"/>
      <c r="Q57" s="15"/>
      <c r="R57" s="40"/>
      <c r="S57" s="38"/>
      <c r="T57" s="38"/>
      <c r="U57" s="38"/>
      <c r="V57" s="38"/>
      <c r="W57" s="38"/>
      <c r="X57" s="38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41"/>
      <c r="AN57" s="15"/>
      <c r="AO57" s="15"/>
      <c r="AP57" s="15"/>
      <c r="AQ57" s="15"/>
      <c r="AR57" s="15"/>
      <c r="AS57" s="15"/>
      <c r="AT57" s="15"/>
      <c r="AU57" s="15"/>
    </row>
    <row r="58" spans="2:47" x14ac:dyDescent="0.25">
      <c r="B58" s="15"/>
      <c r="C58" s="37"/>
      <c r="D58" s="37"/>
      <c r="E58" s="38"/>
      <c r="F58" s="38"/>
      <c r="G58" s="39"/>
      <c r="H58" s="39"/>
      <c r="I58" s="39"/>
      <c r="J58" s="38"/>
      <c r="K58" s="15"/>
      <c r="L58" s="38"/>
      <c r="M58" s="38"/>
      <c r="N58" s="38"/>
      <c r="O58" s="38"/>
      <c r="P58" s="38"/>
      <c r="Q58" s="15"/>
      <c r="R58" s="40"/>
      <c r="S58" s="38"/>
      <c r="T58" s="38"/>
      <c r="U58" s="38"/>
      <c r="V58" s="38"/>
      <c r="W58" s="38"/>
      <c r="X58" s="38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41"/>
      <c r="AN58" s="15"/>
      <c r="AO58" s="15"/>
      <c r="AP58" s="15"/>
      <c r="AQ58" s="15"/>
      <c r="AR58" s="15"/>
      <c r="AS58" s="15"/>
      <c r="AT58" s="15"/>
      <c r="AU58" s="15"/>
    </row>
    <row r="59" spans="2:47" x14ac:dyDescent="0.25">
      <c r="B59" s="15"/>
      <c r="C59" s="37"/>
      <c r="D59" s="37"/>
      <c r="E59" s="38"/>
      <c r="F59" s="38"/>
      <c r="G59" s="39"/>
      <c r="H59" s="39"/>
      <c r="I59" s="39"/>
      <c r="J59" s="38"/>
      <c r="K59" s="15"/>
      <c r="L59" s="38"/>
      <c r="M59" s="38"/>
      <c r="N59" s="38"/>
      <c r="O59" s="38"/>
      <c r="P59" s="38"/>
      <c r="Q59" s="15"/>
      <c r="R59" s="40"/>
      <c r="S59" s="38"/>
      <c r="T59" s="38"/>
      <c r="U59" s="38"/>
      <c r="V59" s="38"/>
      <c r="W59" s="38"/>
      <c r="X59" s="38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41"/>
      <c r="AN59" s="15"/>
      <c r="AO59" s="15"/>
      <c r="AP59" s="15"/>
      <c r="AQ59" s="15"/>
      <c r="AR59" s="15"/>
      <c r="AS59" s="15"/>
      <c r="AT59" s="15"/>
      <c r="AU59" s="15"/>
    </row>
    <row r="60" spans="2:47" x14ac:dyDescent="0.25">
      <c r="B60" s="15"/>
      <c r="C60" s="37"/>
      <c r="D60" s="37"/>
      <c r="E60" s="38"/>
      <c r="F60" s="38"/>
      <c r="G60" s="39"/>
      <c r="H60" s="39"/>
      <c r="I60" s="39"/>
      <c r="J60" s="38"/>
      <c r="K60" s="15"/>
      <c r="L60" s="38"/>
      <c r="M60" s="38"/>
      <c r="N60" s="38"/>
      <c r="O60" s="38"/>
      <c r="P60" s="38"/>
      <c r="Q60" s="15"/>
      <c r="R60" s="40"/>
      <c r="S60" s="38"/>
      <c r="T60" s="38"/>
      <c r="U60" s="38"/>
      <c r="V60" s="38"/>
      <c r="W60" s="38"/>
      <c r="X60" s="38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41"/>
      <c r="AN60" s="15"/>
      <c r="AO60" s="15"/>
      <c r="AP60" s="15"/>
      <c r="AQ60" s="15"/>
      <c r="AR60" s="15"/>
      <c r="AS60" s="15"/>
      <c r="AT60" s="15"/>
      <c r="AU60" s="15"/>
    </row>
    <row r="61" spans="2:47" x14ac:dyDescent="0.25">
      <c r="B61" s="15"/>
      <c r="C61" s="37"/>
      <c r="D61" s="37"/>
      <c r="E61" s="38"/>
      <c r="F61" s="38"/>
      <c r="G61" s="39"/>
      <c r="H61" s="39"/>
      <c r="I61" s="39"/>
      <c r="J61" s="38"/>
      <c r="K61" s="15"/>
      <c r="L61" s="38"/>
      <c r="M61" s="38"/>
      <c r="N61" s="38"/>
      <c r="O61" s="38"/>
      <c r="P61" s="38"/>
      <c r="Q61" s="15"/>
      <c r="R61" s="40"/>
      <c r="S61" s="38"/>
      <c r="T61" s="38"/>
      <c r="U61" s="38"/>
      <c r="V61" s="38"/>
      <c r="W61" s="38"/>
      <c r="X61" s="38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41"/>
      <c r="AN61" s="15"/>
      <c r="AO61" s="15"/>
      <c r="AP61" s="15"/>
      <c r="AQ61" s="15"/>
      <c r="AR61" s="15"/>
      <c r="AS61" s="15"/>
      <c r="AT61" s="15"/>
      <c r="AU61" s="15"/>
    </row>
    <row r="62" spans="2:47" x14ac:dyDescent="0.25">
      <c r="B62" s="15"/>
      <c r="C62" s="37"/>
      <c r="D62" s="37"/>
      <c r="E62" s="38"/>
      <c r="F62" s="38"/>
      <c r="G62" s="39"/>
      <c r="H62" s="39"/>
      <c r="I62" s="39"/>
      <c r="J62" s="38"/>
      <c r="K62" s="15"/>
      <c r="L62" s="38"/>
      <c r="M62" s="38"/>
      <c r="N62" s="38"/>
      <c r="O62" s="38"/>
      <c r="P62" s="38"/>
      <c r="Q62" s="15"/>
      <c r="R62" s="40"/>
      <c r="S62" s="38"/>
      <c r="T62" s="38"/>
      <c r="U62" s="38"/>
      <c r="V62" s="38"/>
      <c r="W62" s="38"/>
      <c r="X62" s="38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41"/>
      <c r="AN62" s="15"/>
      <c r="AO62" s="15"/>
      <c r="AP62" s="15"/>
      <c r="AQ62" s="15"/>
      <c r="AR62" s="15"/>
      <c r="AS62" s="15"/>
      <c r="AT62" s="15"/>
      <c r="AU62" s="15"/>
    </row>
    <row r="63" spans="2:47" x14ac:dyDescent="0.25">
      <c r="B63" s="15"/>
      <c r="C63" s="37"/>
      <c r="D63" s="37"/>
      <c r="E63" s="38"/>
      <c r="F63" s="38"/>
      <c r="G63" s="39"/>
      <c r="H63" s="39"/>
      <c r="I63" s="39"/>
      <c r="J63" s="38"/>
      <c r="K63" s="15"/>
      <c r="L63" s="38"/>
      <c r="M63" s="38"/>
      <c r="N63" s="38"/>
      <c r="O63" s="38"/>
      <c r="P63" s="38"/>
      <c r="Q63" s="15"/>
      <c r="R63" s="40"/>
      <c r="S63" s="38"/>
      <c r="T63" s="38"/>
      <c r="U63" s="38"/>
      <c r="V63" s="38"/>
      <c r="W63" s="38"/>
      <c r="X63" s="38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41"/>
      <c r="AN63" s="15"/>
      <c r="AO63" s="15"/>
      <c r="AP63" s="15"/>
      <c r="AQ63" s="15"/>
      <c r="AR63" s="15"/>
      <c r="AS63" s="15"/>
      <c r="AT63" s="15"/>
      <c r="AU63" s="15"/>
    </row>
    <row r="64" spans="2:47" x14ac:dyDescent="0.25">
      <c r="B64" s="15"/>
      <c r="C64" s="37"/>
      <c r="D64" s="37"/>
      <c r="E64" s="38"/>
      <c r="F64" s="38"/>
      <c r="G64" s="39"/>
      <c r="H64" s="39"/>
      <c r="I64" s="39"/>
      <c r="J64" s="38"/>
      <c r="K64" s="15"/>
      <c r="L64" s="38"/>
      <c r="M64" s="38"/>
      <c r="N64" s="38"/>
      <c r="O64" s="38"/>
      <c r="P64" s="38"/>
      <c r="Q64" s="15"/>
      <c r="R64" s="40"/>
      <c r="S64" s="38"/>
      <c r="T64" s="38"/>
      <c r="U64" s="38"/>
      <c r="V64" s="38"/>
      <c r="W64" s="38"/>
      <c r="X64" s="38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41"/>
      <c r="AN64" s="15"/>
      <c r="AO64" s="15"/>
      <c r="AP64" s="15"/>
      <c r="AQ64" s="15"/>
      <c r="AR64" s="15"/>
      <c r="AS64" s="15"/>
      <c r="AT64" s="15"/>
      <c r="AU64" s="15"/>
    </row>
    <row r="65" spans="2:47" x14ac:dyDescent="0.25">
      <c r="B65" s="15"/>
      <c r="C65" s="37"/>
      <c r="D65" s="37"/>
      <c r="E65" s="38"/>
      <c r="F65" s="38"/>
      <c r="G65" s="39"/>
      <c r="H65" s="39"/>
      <c r="I65" s="39"/>
      <c r="J65" s="38"/>
      <c r="K65" s="15"/>
      <c r="L65" s="38"/>
      <c r="M65" s="38"/>
      <c r="N65" s="38"/>
      <c r="O65" s="38"/>
      <c r="P65" s="38"/>
      <c r="Q65" s="15"/>
      <c r="R65" s="40"/>
      <c r="S65" s="38"/>
      <c r="T65" s="38"/>
      <c r="U65" s="38"/>
      <c r="V65" s="38"/>
      <c r="W65" s="38"/>
      <c r="X65" s="38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41"/>
      <c r="AN65" s="15"/>
      <c r="AO65" s="15"/>
      <c r="AP65" s="15"/>
      <c r="AQ65" s="15"/>
      <c r="AR65" s="15"/>
      <c r="AS65" s="15"/>
      <c r="AT65" s="15"/>
      <c r="AU65" s="15"/>
    </row>
    <row r="66" spans="2:47" x14ac:dyDescent="0.25">
      <c r="B66" s="15"/>
      <c r="C66" s="37"/>
      <c r="D66" s="37"/>
      <c r="E66" s="38"/>
      <c r="F66" s="38"/>
      <c r="G66" s="39"/>
      <c r="H66" s="39"/>
      <c r="I66" s="39"/>
      <c r="J66" s="38"/>
      <c r="K66" s="15"/>
      <c r="L66" s="38"/>
      <c r="M66" s="38"/>
      <c r="N66" s="38"/>
      <c r="O66" s="38"/>
      <c r="P66" s="38"/>
      <c r="Q66" s="15"/>
      <c r="R66" s="40"/>
      <c r="S66" s="38"/>
      <c r="T66" s="38"/>
      <c r="U66" s="38"/>
      <c r="V66" s="38"/>
      <c r="W66" s="38"/>
      <c r="X66" s="38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41"/>
      <c r="AN66" s="15"/>
      <c r="AO66" s="15"/>
      <c r="AP66" s="15"/>
      <c r="AQ66" s="15"/>
      <c r="AR66" s="15"/>
      <c r="AS66" s="15"/>
      <c r="AT66" s="15"/>
      <c r="AU66" s="15"/>
    </row>
    <row r="67" spans="2:47" x14ac:dyDescent="0.25">
      <c r="B67" s="15"/>
      <c r="C67" s="37"/>
      <c r="D67" s="37"/>
      <c r="E67" s="38"/>
      <c r="F67" s="38"/>
      <c r="G67" s="39"/>
      <c r="H67" s="39"/>
      <c r="I67" s="39"/>
      <c r="J67" s="38"/>
      <c r="K67" s="15"/>
      <c r="L67" s="38"/>
      <c r="M67" s="38"/>
      <c r="N67" s="38"/>
      <c r="O67" s="38"/>
      <c r="P67" s="38"/>
      <c r="Q67" s="15"/>
      <c r="R67" s="40"/>
      <c r="S67" s="38"/>
      <c r="T67" s="38"/>
      <c r="U67" s="38"/>
      <c r="V67" s="38"/>
      <c r="W67" s="38"/>
      <c r="X67" s="38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41"/>
      <c r="AN67" s="15"/>
      <c r="AO67" s="15"/>
      <c r="AP67" s="15"/>
      <c r="AQ67" s="15"/>
      <c r="AR67" s="15"/>
      <c r="AS67" s="15"/>
      <c r="AT67" s="15"/>
      <c r="AU67" s="15"/>
    </row>
    <row r="68" spans="2:47" x14ac:dyDescent="0.25">
      <c r="B68" s="15"/>
      <c r="C68" s="37"/>
      <c r="D68" s="37"/>
      <c r="E68" s="38"/>
      <c r="F68" s="38"/>
      <c r="G68" s="39"/>
      <c r="H68" s="39"/>
      <c r="I68" s="39"/>
      <c r="J68" s="38"/>
      <c r="K68" s="15"/>
      <c r="L68" s="38"/>
      <c r="M68" s="38"/>
      <c r="N68" s="38"/>
      <c r="O68" s="38"/>
      <c r="P68" s="38"/>
      <c r="Q68" s="15"/>
      <c r="R68" s="40"/>
      <c r="S68" s="38"/>
      <c r="T68" s="38"/>
      <c r="U68" s="38"/>
      <c r="V68" s="38"/>
      <c r="W68" s="38"/>
      <c r="X68" s="38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41"/>
      <c r="AN68" s="15"/>
      <c r="AO68" s="15"/>
      <c r="AP68" s="15"/>
      <c r="AQ68" s="15"/>
      <c r="AR68" s="15"/>
      <c r="AS68" s="15"/>
      <c r="AT68" s="15"/>
      <c r="AU68" s="15"/>
    </row>
    <row r="69" spans="2:47" x14ac:dyDescent="0.25">
      <c r="B69" s="15"/>
      <c r="C69" s="37"/>
      <c r="D69" s="37"/>
      <c r="E69" s="38"/>
      <c r="F69" s="38"/>
      <c r="G69" s="39"/>
      <c r="H69" s="39"/>
      <c r="I69" s="39"/>
      <c r="J69" s="38"/>
      <c r="K69" s="15"/>
      <c r="L69" s="38"/>
      <c r="M69" s="38"/>
      <c r="N69" s="38"/>
      <c r="O69" s="38"/>
      <c r="P69" s="38"/>
      <c r="Q69" s="15"/>
      <c r="R69" s="40"/>
      <c r="S69" s="38"/>
      <c r="T69" s="38"/>
      <c r="U69" s="38"/>
      <c r="V69" s="38"/>
      <c r="W69" s="38"/>
      <c r="X69" s="38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41"/>
      <c r="AN69" s="15"/>
      <c r="AO69" s="15"/>
      <c r="AP69" s="15"/>
      <c r="AQ69" s="15"/>
      <c r="AR69" s="15"/>
      <c r="AS69" s="15"/>
      <c r="AT69" s="15"/>
      <c r="AU69" s="15"/>
    </row>
    <row r="70" spans="2:47" x14ac:dyDescent="0.25">
      <c r="B70" s="15"/>
      <c r="C70" s="37"/>
      <c r="D70" s="37"/>
      <c r="E70" s="38"/>
      <c r="F70" s="38"/>
      <c r="G70" s="39"/>
      <c r="H70" s="39"/>
      <c r="I70" s="39"/>
      <c r="J70" s="38"/>
      <c r="K70" s="15"/>
      <c r="L70" s="38"/>
      <c r="M70" s="38"/>
      <c r="N70" s="38"/>
      <c r="O70" s="38"/>
      <c r="P70" s="38"/>
      <c r="Q70" s="15"/>
      <c r="R70" s="40"/>
      <c r="S70" s="38"/>
      <c r="T70" s="38"/>
      <c r="U70" s="38"/>
      <c r="V70" s="38"/>
      <c r="W70" s="38"/>
      <c r="X70" s="38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41"/>
      <c r="AN70" s="15"/>
      <c r="AO70" s="15"/>
      <c r="AP70" s="15"/>
      <c r="AQ70" s="15"/>
      <c r="AR70" s="15"/>
      <c r="AS70" s="15"/>
      <c r="AT70" s="15"/>
      <c r="AU70" s="15"/>
    </row>
    <row r="71" spans="2:47" x14ac:dyDescent="0.25">
      <c r="B71" s="15"/>
      <c r="C71" s="37"/>
      <c r="D71" s="37"/>
      <c r="E71" s="38"/>
      <c r="F71" s="38"/>
      <c r="G71" s="39"/>
      <c r="H71" s="39"/>
      <c r="I71" s="39"/>
      <c r="J71" s="38"/>
      <c r="K71" s="15"/>
      <c r="L71" s="38"/>
      <c r="M71" s="38"/>
      <c r="N71" s="38"/>
      <c r="O71" s="38"/>
      <c r="P71" s="38"/>
      <c r="Q71" s="15"/>
      <c r="R71" s="40"/>
      <c r="S71" s="38"/>
      <c r="T71" s="38"/>
      <c r="U71" s="38"/>
      <c r="V71" s="38"/>
      <c r="W71" s="38"/>
      <c r="X71" s="38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41"/>
      <c r="AN71" s="15"/>
      <c r="AO71" s="15"/>
      <c r="AP71" s="15"/>
      <c r="AQ71" s="15"/>
      <c r="AR71" s="15"/>
      <c r="AS71" s="15"/>
      <c r="AT71" s="15"/>
      <c r="AU71" s="15"/>
    </row>
    <row r="72" spans="2:47" x14ac:dyDescent="0.25">
      <c r="B72" s="15"/>
      <c r="C72" s="37"/>
      <c r="D72" s="37"/>
      <c r="E72" s="38"/>
      <c r="F72" s="38"/>
      <c r="G72" s="39"/>
      <c r="H72" s="39"/>
      <c r="I72" s="39"/>
      <c r="J72" s="38"/>
      <c r="K72" s="15"/>
      <c r="L72" s="38"/>
      <c r="M72" s="38"/>
      <c r="N72" s="38"/>
      <c r="O72" s="38"/>
      <c r="P72" s="38"/>
      <c r="Q72" s="15"/>
      <c r="R72" s="40"/>
      <c r="S72" s="38"/>
      <c r="T72" s="38"/>
      <c r="U72" s="38"/>
      <c r="V72" s="38"/>
      <c r="W72" s="38"/>
      <c r="X72" s="38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41"/>
      <c r="AN72" s="15"/>
      <c r="AO72" s="15"/>
      <c r="AP72" s="15"/>
      <c r="AQ72" s="15"/>
      <c r="AR72" s="15"/>
      <c r="AS72" s="15"/>
      <c r="AT72" s="15"/>
      <c r="AU72" s="15"/>
    </row>
    <row r="73" spans="2:47" x14ac:dyDescent="0.25">
      <c r="B73" s="15"/>
      <c r="C73" s="37"/>
      <c r="D73" s="37"/>
      <c r="E73" s="38"/>
      <c r="F73" s="38"/>
      <c r="G73" s="39"/>
      <c r="H73" s="39"/>
      <c r="I73" s="39"/>
      <c r="J73" s="38"/>
      <c r="K73" s="15"/>
      <c r="L73" s="38"/>
      <c r="M73" s="38"/>
      <c r="N73" s="38"/>
      <c r="O73" s="38"/>
      <c r="P73" s="38"/>
      <c r="Q73" s="15"/>
      <c r="R73" s="40"/>
      <c r="S73" s="38"/>
      <c r="T73" s="38"/>
      <c r="U73" s="38"/>
      <c r="V73" s="38"/>
      <c r="W73" s="38"/>
      <c r="X73" s="38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41"/>
      <c r="AN73" s="15"/>
      <c r="AO73" s="15"/>
      <c r="AP73" s="15"/>
      <c r="AQ73" s="15"/>
      <c r="AR73" s="15"/>
      <c r="AS73" s="15"/>
      <c r="AT73" s="15"/>
      <c r="AU73" s="15"/>
    </row>
    <row r="74" spans="2:47" x14ac:dyDescent="0.25">
      <c r="B74" s="15"/>
      <c r="C74" s="37"/>
      <c r="D74" s="37"/>
      <c r="E74" s="38"/>
      <c r="F74" s="38"/>
      <c r="G74" s="39"/>
      <c r="H74" s="39"/>
      <c r="I74" s="39"/>
      <c r="J74" s="38"/>
      <c r="K74" s="15"/>
      <c r="L74" s="38"/>
      <c r="M74" s="38"/>
      <c r="N74" s="38"/>
      <c r="O74" s="38"/>
      <c r="P74" s="38"/>
      <c r="Q74" s="15"/>
      <c r="R74" s="40"/>
      <c r="S74" s="38"/>
      <c r="T74" s="38"/>
      <c r="U74" s="38"/>
      <c r="V74" s="38"/>
      <c r="W74" s="38"/>
      <c r="X74" s="38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41"/>
      <c r="AN74" s="15"/>
      <c r="AO74" s="15"/>
      <c r="AP74" s="15"/>
      <c r="AQ74" s="15"/>
      <c r="AR74" s="15"/>
      <c r="AS74" s="15"/>
      <c r="AT74" s="15"/>
      <c r="AU74" s="15"/>
    </row>
    <row r="75" spans="2:47" x14ac:dyDescent="0.25">
      <c r="B75" s="15"/>
      <c r="C75" s="37"/>
      <c r="D75" s="37"/>
      <c r="E75" s="38"/>
      <c r="F75" s="38"/>
      <c r="G75" s="39"/>
      <c r="H75" s="39"/>
      <c r="I75" s="39"/>
      <c r="J75" s="38"/>
      <c r="K75" s="15"/>
      <c r="L75" s="38"/>
      <c r="M75" s="38"/>
      <c r="N75" s="38"/>
      <c r="O75" s="38"/>
      <c r="P75" s="38"/>
      <c r="Q75" s="15"/>
      <c r="R75" s="40"/>
      <c r="S75" s="38"/>
      <c r="T75" s="38"/>
      <c r="U75" s="38"/>
      <c r="V75" s="38"/>
      <c r="W75" s="38"/>
      <c r="X75" s="38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41"/>
      <c r="AN75" s="15"/>
      <c r="AO75" s="15"/>
      <c r="AP75" s="15"/>
      <c r="AQ75" s="15"/>
      <c r="AR75" s="15"/>
      <c r="AS75" s="15"/>
      <c r="AT75" s="15"/>
      <c r="AU75" s="15"/>
    </row>
    <row r="76" spans="2:47" x14ac:dyDescent="0.25">
      <c r="B76" s="15"/>
      <c r="C76" s="37"/>
      <c r="D76" s="37"/>
      <c r="E76" s="38"/>
      <c r="F76" s="38"/>
      <c r="G76" s="39"/>
      <c r="H76" s="39"/>
      <c r="I76" s="39"/>
      <c r="J76" s="38"/>
      <c r="K76" s="15"/>
      <c r="L76" s="38"/>
      <c r="M76" s="38"/>
      <c r="N76" s="38"/>
      <c r="O76" s="38"/>
      <c r="P76" s="38"/>
      <c r="Q76" s="15"/>
      <c r="R76" s="40"/>
      <c r="S76" s="38"/>
      <c r="T76" s="38"/>
      <c r="U76" s="38"/>
      <c r="V76" s="38"/>
      <c r="W76" s="38"/>
      <c r="X76" s="38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41"/>
      <c r="AN76" s="15"/>
      <c r="AO76" s="15"/>
      <c r="AP76" s="15"/>
      <c r="AQ76" s="15"/>
      <c r="AR76" s="15"/>
      <c r="AS76" s="15"/>
      <c r="AT76" s="15"/>
      <c r="AU76" s="15"/>
    </row>
    <row r="77" spans="2:47" x14ac:dyDescent="0.25">
      <c r="B77" s="15"/>
      <c r="C77" s="37"/>
      <c r="D77" s="37"/>
      <c r="E77" s="38"/>
      <c r="F77" s="38"/>
      <c r="G77" s="39"/>
      <c r="H77" s="39"/>
      <c r="I77" s="39"/>
      <c r="J77" s="38"/>
      <c r="K77" s="15"/>
      <c r="L77" s="38"/>
      <c r="M77" s="38"/>
      <c r="N77" s="38"/>
      <c r="O77" s="38"/>
      <c r="P77" s="38"/>
      <c r="Q77" s="15"/>
      <c r="R77" s="40"/>
      <c r="S77" s="38"/>
      <c r="T77" s="38"/>
      <c r="U77" s="38"/>
      <c r="V77" s="38"/>
      <c r="W77" s="38"/>
      <c r="X77" s="38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41"/>
      <c r="AN77" s="15"/>
      <c r="AO77" s="15"/>
      <c r="AP77" s="15"/>
      <c r="AQ77" s="15"/>
      <c r="AR77" s="15"/>
      <c r="AS77" s="15"/>
      <c r="AT77" s="15"/>
      <c r="AU77" s="15"/>
    </row>
    <row r="78" spans="2:47" x14ac:dyDescent="0.25">
      <c r="B78" s="15"/>
      <c r="C78" s="37"/>
      <c r="D78" s="37"/>
      <c r="E78" s="38"/>
      <c r="F78" s="38"/>
      <c r="G78" s="39"/>
      <c r="H78" s="39"/>
      <c r="I78" s="39"/>
      <c r="J78" s="38"/>
      <c r="K78" s="15"/>
      <c r="L78" s="38"/>
      <c r="M78" s="38"/>
      <c r="N78" s="38"/>
      <c r="O78" s="38"/>
      <c r="P78" s="38"/>
      <c r="Q78" s="15"/>
      <c r="R78" s="40"/>
      <c r="S78" s="38"/>
      <c r="T78" s="38"/>
      <c r="U78" s="38"/>
      <c r="V78" s="38"/>
      <c r="W78" s="38"/>
      <c r="X78" s="38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41"/>
      <c r="AN78" s="15"/>
      <c r="AO78" s="15"/>
      <c r="AP78" s="15"/>
      <c r="AQ78" s="15"/>
      <c r="AR78" s="15"/>
      <c r="AS78" s="15"/>
      <c r="AT78" s="15"/>
      <c r="AU78" s="15"/>
    </row>
    <row r="79" spans="2:47" x14ac:dyDescent="0.25">
      <c r="B79" s="15"/>
      <c r="C79" s="37"/>
      <c r="D79" s="37"/>
      <c r="E79" s="38"/>
      <c r="F79" s="38"/>
      <c r="G79" s="39"/>
      <c r="H79" s="39"/>
      <c r="I79" s="39"/>
      <c r="J79" s="38"/>
      <c r="K79" s="15"/>
      <c r="L79" s="38"/>
      <c r="M79" s="38"/>
      <c r="N79" s="38"/>
      <c r="O79" s="38"/>
      <c r="P79" s="38"/>
      <c r="Q79" s="15"/>
      <c r="R79" s="40"/>
      <c r="S79" s="38"/>
      <c r="T79" s="38"/>
      <c r="U79" s="38"/>
      <c r="V79" s="38"/>
      <c r="W79" s="38"/>
      <c r="X79" s="38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41"/>
      <c r="AN79" s="15"/>
      <c r="AO79" s="15"/>
      <c r="AP79" s="15"/>
      <c r="AQ79" s="15"/>
      <c r="AR79" s="15"/>
      <c r="AS79" s="15"/>
      <c r="AT79" s="15"/>
      <c r="AU79" s="15"/>
    </row>
    <row r="80" spans="2:47" x14ac:dyDescent="0.25">
      <c r="B80" s="15"/>
      <c r="C80" s="37"/>
      <c r="D80" s="37"/>
      <c r="E80" s="38"/>
      <c r="F80" s="38"/>
      <c r="G80" s="39"/>
      <c r="H80" s="39"/>
      <c r="I80" s="39"/>
      <c r="J80" s="38"/>
      <c r="K80" s="15"/>
      <c r="L80" s="38"/>
      <c r="M80" s="38"/>
      <c r="N80" s="38"/>
      <c r="O80" s="38"/>
      <c r="P80" s="38"/>
      <c r="Q80" s="15"/>
      <c r="R80" s="40"/>
      <c r="S80" s="38"/>
      <c r="T80" s="38"/>
      <c r="U80" s="38"/>
      <c r="V80" s="38"/>
      <c r="W80" s="38"/>
      <c r="X80" s="38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41"/>
      <c r="AN80" s="15"/>
      <c r="AO80" s="15"/>
      <c r="AP80" s="15"/>
      <c r="AQ80" s="15"/>
      <c r="AR80" s="15"/>
      <c r="AS80" s="15"/>
      <c r="AT80" s="15"/>
      <c r="AU80" s="15"/>
    </row>
    <row r="81" spans="2:47" x14ac:dyDescent="0.25">
      <c r="B81" s="15"/>
      <c r="C81" s="37"/>
      <c r="D81" s="37"/>
      <c r="E81" s="38"/>
      <c r="F81" s="38"/>
      <c r="G81" s="39"/>
      <c r="H81" s="39"/>
      <c r="I81" s="39"/>
      <c r="J81" s="38"/>
      <c r="K81" s="15"/>
      <c r="L81" s="38"/>
      <c r="M81" s="38"/>
      <c r="N81" s="38"/>
      <c r="O81" s="38"/>
      <c r="P81" s="38"/>
      <c r="Q81" s="15"/>
      <c r="R81" s="40"/>
      <c r="S81" s="38"/>
      <c r="T81" s="38"/>
      <c r="U81" s="38"/>
      <c r="V81" s="38"/>
      <c r="W81" s="38"/>
      <c r="X81" s="38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41"/>
      <c r="AN81" s="15"/>
      <c r="AO81" s="15"/>
      <c r="AP81" s="15"/>
      <c r="AQ81" s="15"/>
      <c r="AR81" s="15"/>
      <c r="AS81" s="15"/>
      <c r="AT81" s="15"/>
      <c r="AU81" s="15"/>
    </row>
    <row r="82" spans="2:47" x14ac:dyDescent="0.25">
      <c r="B82" s="15"/>
      <c r="C82" s="37"/>
      <c r="D82" s="37"/>
      <c r="E82" s="38"/>
      <c r="F82" s="38"/>
      <c r="G82" s="39"/>
      <c r="H82" s="39"/>
      <c r="I82" s="39"/>
      <c r="J82" s="38"/>
      <c r="K82" s="15"/>
      <c r="L82" s="38"/>
      <c r="M82" s="38"/>
      <c r="N82" s="38"/>
      <c r="O82" s="38"/>
      <c r="P82" s="38"/>
      <c r="Q82" s="15"/>
      <c r="R82" s="40"/>
      <c r="S82" s="38"/>
      <c r="T82" s="38"/>
      <c r="U82" s="38"/>
      <c r="V82" s="38"/>
      <c r="W82" s="38"/>
      <c r="X82" s="38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41"/>
      <c r="AN82" s="15"/>
      <c r="AO82" s="15"/>
      <c r="AP82" s="15"/>
      <c r="AQ82" s="15"/>
      <c r="AR82" s="15"/>
      <c r="AS82" s="15"/>
      <c r="AT82" s="15"/>
      <c r="AU82" s="15"/>
    </row>
    <row r="83" spans="2:47" x14ac:dyDescent="0.25">
      <c r="B83" s="15"/>
      <c r="C83" s="37"/>
      <c r="D83" s="37"/>
      <c r="E83" s="38"/>
      <c r="F83" s="38"/>
      <c r="G83" s="39"/>
      <c r="H83" s="39"/>
      <c r="I83" s="39"/>
      <c r="J83" s="38"/>
      <c r="K83" s="15"/>
      <c r="L83" s="38"/>
      <c r="M83" s="38"/>
      <c r="N83" s="38"/>
      <c r="O83" s="38"/>
      <c r="P83" s="38"/>
      <c r="Q83" s="15"/>
      <c r="R83" s="40"/>
      <c r="S83" s="38"/>
      <c r="T83" s="38"/>
      <c r="U83" s="38"/>
      <c r="V83" s="38"/>
      <c r="W83" s="38"/>
      <c r="X83" s="38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1"/>
      <c r="AN83" s="15"/>
      <c r="AO83" s="15"/>
      <c r="AP83" s="15"/>
      <c r="AQ83" s="15"/>
      <c r="AR83" s="15"/>
      <c r="AS83" s="15"/>
      <c r="AT83" s="15"/>
      <c r="AU83" s="15"/>
    </row>
    <row r="84" spans="2:47" x14ac:dyDescent="0.25">
      <c r="B84" s="15"/>
      <c r="C84" s="37"/>
      <c r="D84" s="37"/>
      <c r="E84" s="38"/>
      <c r="F84" s="38"/>
      <c r="G84" s="39"/>
      <c r="H84" s="39"/>
      <c r="I84" s="39"/>
      <c r="J84" s="38"/>
      <c r="K84" s="15"/>
      <c r="L84" s="38"/>
      <c r="M84" s="38"/>
      <c r="N84" s="38"/>
      <c r="O84" s="38"/>
      <c r="P84" s="38"/>
      <c r="Q84" s="15"/>
      <c r="R84" s="40"/>
      <c r="S84" s="38"/>
      <c r="T84" s="38"/>
      <c r="U84" s="38"/>
      <c r="V84" s="38"/>
      <c r="W84" s="38"/>
      <c r="X84" s="38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41"/>
      <c r="AN84" s="15"/>
      <c r="AO84" s="15"/>
      <c r="AP84" s="15"/>
      <c r="AQ84" s="15"/>
      <c r="AR84" s="15"/>
      <c r="AS84" s="15"/>
      <c r="AT84" s="15"/>
      <c r="AU84" s="15"/>
    </row>
    <row r="85" spans="2:47" x14ac:dyDescent="0.25">
      <c r="B85" s="15"/>
      <c r="C85" s="37"/>
      <c r="D85" s="37"/>
      <c r="E85" s="38"/>
      <c r="F85" s="38"/>
      <c r="G85" s="39"/>
      <c r="H85" s="39"/>
      <c r="I85" s="39"/>
      <c r="J85" s="38"/>
      <c r="K85" s="15"/>
      <c r="L85" s="38"/>
      <c r="M85" s="38"/>
      <c r="N85" s="38"/>
      <c r="O85" s="38"/>
      <c r="P85" s="38"/>
      <c r="Q85" s="15"/>
      <c r="R85" s="40"/>
      <c r="S85" s="38"/>
      <c r="T85" s="38"/>
      <c r="U85" s="38"/>
      <c r="V85" s="38"/>
      <c r="W85" s="38"/>
      <c r="X85" s="38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41"/>
      <c r="AN85" s="15"/>
      <c r="AO85" s="15"/>
      <c r="AP85" s="15"/>
      <c r="AQ85" s="15"/>
      <c r="AR85" s="15"/>
      <c r="AS85" s="15"/>
      <c r="AT85" s="15"/>
      <c r="AU85" s="15"/>
    </row>
    <row r="86" spans="2:47" x14ac:dyDescent="0.25">
      <c r="B86" s="15"/>
      <c r="C86" s="37"/>
      <c r="D86" s="37"/>
      <c r="E86" s="38"/>
      <c r="F86" s="38"/>
      <c r="G86" s="39"/>
      <c r="H86" s="39"/>
      <c r="I86" s="39"/>
      <c r="J86" s="38"/>
      <c r="K86" s="15"/>
      <c r="L86" s="38"/>
      <c r="M86" s="38"/>
      <c r="N86" s="38"/>
      <c r="O86" s="38"/>
      <c r="P86" s="38"/>
      <c r="Q86" s="15"/>
      <c r="R86" s="40"/>
      <c r="S86" s="38"/>
      <c r="T86" s="38"/>
      <c r="U86" s="38"/>
      <c r="V86" s="38"/>
      <c r="W86" s="38"/>
      <c r="X86" s="38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41"/>
      <c r="AN86" s="15"/>
      <c r="AO86" s="15"/>
      <c r="AP86" s="15"/>
      <c r="AQ86" s="15"/>
      <c r="AR86" s="15"/>
      <c r="AS86" s="15"/>
      <c r="AT86" s="15"/>
      <c r="AU86" s="15"/>
    </row>
    <row r="87" spans="2:47" x14ac:dyDescent="0.25">
      <c r="B87" s="15"/>
      <c r="C87" s="37"/>
      <c r="D87" s="37"/>
      <c r="E87" s="38"/>
      <c r="F87" s="38"/>
      <c r="G87" s="39"/>
      <c r="H87" s="39"/>
      <c r="I87" s="39"/>
      <c r="J87" s="38"/>
      <c r="K87" s="15"/>
      <c r="L87" s="38"/>
      <c r="M87" s="38"/>
      <c r="N87" s="38"/>
      <c r="O87" s="38"/>
      <c r="P87" s="38"/>
      <c r="Q87" s="15"/>
      <c r="R87" s="40"/>
      <c r="S87" s="38"/>
      <c r="T87" s="38"/>
      <c r="U87" s="38"/>
      <c r="V87" s="38"/>
      <c r="W87" s="38"/>
      <c r="X87" s="38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41"/>
      <c r="AN87" s="15"/>
      <c r="AO87" s="15"/>
      <c r="AP87" s="15"/>
      <c r="AQ87" s="15"/>
      <c r="AR87" s="15"/>
      <c r="AS87" s="15"/>
      <c r="AT87" s="15"/>
      <c r="AU87" s="15"/>
    </row>
    <row r="88" spans="2:47" x14ac:dyDescent="0.25">
      <c r="B88" s="15"/>
      <c r="C88" s="37"/>
      <c r="D88" s="37"/>
      <c r="E88" s="38"/>
      <c r="F88" s="38"/>
      <c r="G88" s="39"/>
      <c r="H88" s="39"/>
      <c r="I88" s="39"/>
      <c r="J88" s="38"/>
      <c r="K88" s="15"/>
      <c r="L88" s="38"/>
      <c r="M88" s="38"/>
      <c r="N88" s="38"/>
      <c r="O88" s="38"/>
      <c r="P88" s="38"/>
      <c r="Q88" s="15"/>
      <c r="R88" s="40"/>
      <c r="S88" s="38"/>
      <c r="T88" s="38"/>
      <c r="U88" s="38"/>
      <c r="V88" s="38"/>
      <c r="W88" s="38"/>
      <c r="X88" s="38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41"/>
      <c r="AN88" s="15"/>
      <c r="AO88" s="15"/>
      <c r="AP88" s="15"/>
      <c r="AQ88" s="15"/>
      <c r="AR88" s="15"/>
      <c r="AS88" s="15"/>
      <c r="AT88" s="15"/>
      <c r="AU88" s="15"/>
    </row>
    <row r="89" spans="2:47" x14ac:dyDescent="0.25">
      <c r="B89" s="15"/>
      <c r="C89" s="37"/>
      <c r="D89" s="37"/>
      <c r="E89" s="38"/>
      <c r="F89" s="38"/>
      <c r="G89" s="39"/>
      <c r="H89" s="39"/>
      <c r="I89" s="39"/>
      <c r="J89" s="38"/>
      <c r="K89" s="15"/>
      <c r="L89" s="38"/>
      <c r="M89" s="38"/>
      <c r="N89" s="38"/>
      <c r="O89" s="38"/>
      <c r="P89" s="38"/>
      <c r="Q89" s="15"/>
      <c r="R89" s="40"/>
      <c r="S89" s="38"/>
      <c r="T89" s="38"/>
      <c r="U89" s="38"/>
      <c r="V89" s="38"/>
      <c r="W89" s="38"/>
      <c r="X89" s="38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41"/>
      <c r="AN89" s="15"/>
      <c r="AO89" s="15"/>
      <c r="AP89" s="15"/>
      <c r="AQ89" s="15"/>
      <c r="AR89" s="15"/>
      <c r="AS89" s="15"/>
      <c r="AT89" s="15"/>
      <c r="AU89" s="15"/>
    </row>
    <row r="90" spans="2:47" x14ac:dyDescent="0.25">
      <c r="B90" s="15"/>
      <c r="C90" s="37"/>
      <c r="D90" s="37"/>
      <c r="E90" s="38"/>
      <c r="F90" s="38"/>
      <c r="G90" s="39"/>
      <c r="H90" s="39"/>
      <c r="I90" s="39"/>
      <c r="J90" s="38"/>
      <c r="K90" s="15"/>
      <c r="L90" s="38"/>
      <c r="M90" s="38"/>
      <c r="N90" s="38"/>
      <c r="O90" s="38"/>
      <c r="P90" s="38"/>
      <c r="Q90" s="15"/>
      <c r="R90" s="40"/>
      <c r="S90" s="38"/>
      <c r="T90" s="38"/>
      <c r="U90" s="38"/>
      <c r="V90" s="38"/>
      <c r="W90" s="38"/>
      <c r="X90" s="38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41"/>
      <c r="AN90" s="15"/>
      <c r="AO90" s="15"/>
      <c r="AP90" s="15"/>
      <c r="AQ90" s="15"/>
      <c r="AR90" s="15"/>
      <c r="AS90" s="15"/>
      <c r="AT90" s="15"/>
      <c r="AU90" s="15"/>
    </row>
    <row r="91" spans="2:47" x14ac:dyDescent="0.25">
      <c r="B91" s="15"/>
      <c r="C91" s="37"/>
      <c r="D91" s="37"/>
      <c r="E91" s="38"/>
      <c r="F91" s="38"/>
      <c r="G91" s="39"/>
      <c r="H91" s="39"/>
      <c r="I91" s="39"/>
      <c r="J91" s="38"/>
      <c r="K91" s="15"/>
      <c r="L91" s="38"/>
      <c r="M91" s="38"/>
      <c r="N91" s="38"/>
      <c r="O91" s="38"/>
      <c r="P91" s="38"/>
      <c r="Q91" s="15"/>
      <c r="R91" s="40"/>
      <c r="S91" s="38"/>
      <c r="T91" s="38"/>
      <c r="U91" s="38"/>
      <c r="V91" s="38"/>
      <c r="W91" s="38"/>
      <c r="X91" s="38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41"/>
      <c r="AN91" s="15"/>
      <c r="AO91" s="15"/>
      <c r="AP91" s="15"/>
      <c r="AQ91" s="15"/>
      <c r="AR91" s="15"/>
      <c r="AS91" s="15"/>
      <c r="AT91" s="15"/>
      <c r="AU91" s="15"/>
    </row>
    <row r="92" spans="2:47" x14ac:dyDescent="0.25">
      <c r="B92" s="15"/>
      <c r="C92" s="37"/>
      <c r="D92" s="37"/>
      <c r="E92" s="38"/>
      <c r="F92" s="38"/>
      <c r="G92" s="39"/>
      <c r="H92" s="39"/>
      <c r="I92" s="39"/>
      <c r="J92" s="38"/>
      <c r="K92" s="15"/>
      <c r="L92" s="38"/>
      <c r="M92" s="38"/>
      <c r="N92" s="38"/>
      <c r="O92" s="38"/>
      <c r="P92" s="38"/>
      <c r="Q92" s="15"/>
      <c r="R92" s="40"/>
      <c r="S92" s="38"/>
      <c r="T92" s="38"/>
      <c r="U92" s="38"/>
      <c r="V92" s="38"/>
      <c r="W92" s="38"/>
      <c r="X92" s="38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41"/>
      <c r="AN92" s="15"/>
      <c r="AO92" s="15"/>
      <c r="AP92" s="15"/>
      <c r="AQ92" s="15"/>
      <c r="AR92" s="15"/>
      <c r="AS92" s="15"/>
      <c r="AT92" s="15"/>
      <c r="AU92" s="15"/>
    </row>
    <row r="93" spans="2:47" x14ac:dyDescent="0.25">
      <c r="B93" s="15"/>
      <c r="C93" s="37"/>
      <c r="D93" s="37"/>
      <c r="E93" s="38"/>
      <c r="F93" s="38"/>
      <c r="G93" s="39"/>
      <c r="H93" s="39"/>
      <c r="I93" s="39"/>
      <c r="J93" s="38"/>
      <c r="K93" s="15"/>
      <c r="L93" s="38"/>
      <c r="M93" s="38"/>
      <c r="N93" s="38"/>
      <c r="O93" s="38"/>
      <c r="P93" s="38"/>
      <c r="Q93" s="15"/>
      <c r="R93" s="40"/>
      <c r="S93" s="38"/>
      <c r="T93" s="38"/>
      <c r="U93" s="38"/>
      <c r="V93" s="38"/>
      <c r="W93" s="38"/>
      <c r="X93" s="38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41"/>
      <c r="AN93" s="15"/>
      <c r="AO93" s="15"/>
      <c r="AP93" s="15"/>
      <c r="AQ93" s="15"/>
      <c r="AR93" s="15"/>
      <c r="AS93" s="15"/>
      <c r="AT93" s="15"/>
      <c r="AU93" s="15"/>
    </row>
    <row r="94" spans="2:47" x14ac:dyDescent="0.25">
      <c r="B94" s="15"/>
      <c r="C94" s="37"/>
      <c r="D94" s="37"/>
      <c r="E94" s="38"/>
      <c r="F94" s="38"/>
      <c r="G94" s="39"/>
      <c r="H94" s="39"/>
      <c r="I94" s="39"/>
      <c r="J94" s="38"/>
      <c r="K94" s="15"/>
      <c r="L94" s="38"/>
      <c r="M94" s="38"/>
      <c r="N94" s="38"/>
      <c r="O94" s="38"/>
      <c r="P94" s="38"/>
      <c r="Q94" s="15"/>
      <c r="R94" s="40"/>
      <c r="S94" s="38"/>
      <c r="T94" s="38"/>
      <c r="U94" s="38"/>
      <c r="V94" s="38"/>
      <c r="W94" s="38"/>
      <c r="X94" s="38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41"/>
      <c r="AN94" s="15"/>
      <c r="AO94" s="15"/>
      <c r="AP94" s="15"/>
      <c r="AQ94" s="15"/>
      <c r="AR94" s="15"/>
      <c r="AS94" s="15"/>
      <c r="AT94" s="15"/>
      <c r="AU94" s="15"/>
    </row>
    <row r="95" spans="2:47" x14ac:dyDescent="0.25">
      <c r="B95" s="15"/>
      <c r="C95" s="37"/>
      <c r="D95" s="37"/>
      <c r="E95" s="38"/>
      <c r="F95" s="38"/>
      <c r="G95" s="39"/>
      <c r="H95" s="39"/>
      <c r="I95" s="39"/>
      <c r="J95" s="38"/>
      <c r="K95" s="15"/>
      <c r="L95" s="38"/>
      <c r="M95" s="38"/>
      <c r="N95" s="38"/>
      <c r="O95" s="38"/>
      <c r="P95" s="38"/>
      <c r="Q95" s="15"/>
      <c r="R95" s="40"/>
      <c r="S95" s="38"/>
      <c r="T95" s="38"/>
      <c r="U95" s="38"/>
      <c r="V95" s="38"/>
      <c r="W95" s="38"/>
      <c r="X95" s="38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41"/>
      <c r="AN95" s="15"/>
      <c r="AO95" s="15"/>
      <c r="AP95" s="15"/>
      <c r="AQ95" s="15"/>
      <c r="AR95" s="15"/>
      <c r="AS95" s="15"/>
      <c r="AT95" s="15"/>
      <c r="AU95" s="15"/>
    </row>
    <row r="96" spans="2:47" x14ac:dyDescent="0.25">
      <c r="B96" s="15"/>
      <c r="C96" s="37"/>
      <c r="D96" s="37"/>
      <c r="E96" s="38"/>
      <c r="F96" s="38"/>
      <c r="G96" s="39"/>
      <c r="H96" s="39"/>
      <c r="I96" s="39"/>
      <c r="J96" s="38"/>
      <c r="K96" s="15"/>
      <c r="L96" s="38"/>
      <c r="M96" s="38"/>
      <c r="N96" s="38"/>
      <c r="O96" s="38"/>
      <c r="P96" s="38"/>
      <c r="Q96" s="15"/>
      <c r="R96" s="40"/>
      <c r="S96" s="38"/>
      <c r="T96" s="38"/>
      <c r="U96" s="38"/>
      <c r="V96" s="38"/>
      <c r="W96" s="38"/>
      <c r="X96" s="38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41"/>
      <c r="AN96" s="15"/>
      <c r="AO96" s="15"/>
      <c r="AP96" s="15"/>
      <c r="AQ96" s="15"/>
      <c r="AR96" s="15"/>
      <c r="AS96" s="15"/>
      <c r="AT96" s="15"/>
      <c r="AU96" s="15"/>
    </row>
    <row r="97" spans="2:47" x14ac:dyDescent="0.25">
      <c r="B97" s="15"/>
      <c r="C97" s="37"/>
      <c r="D97" s="37"/>
      <c r="E97" s="38"/>
      <c r="F97" s="38"/>
      <c r="G97" s="39"/>
      <c r="H97" s="39"/>
      <c r="I97" s="39"/>
      <c r="J97" s="38"/>
      <c r="K97" s="15"/>
      <c r="L97" s="38"/>
      <c r="M97" s="38"/>
      <c r="N97" s="38"/>
      <c r="O97" s="38"/>
      <c r="P97" s="38"/>
      <c r="Q97" s="15"/>
      <c r="R97" s="40"/>
      <c r="S97" s="38"/>
      <c r="T97" s="38"/>
      <c r="U97" s="38"/>
      <c r="V97" s="38"/>
      <c r="W97" s="38"/>
      <c r="X97" s="38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41"/>
      <c r="AN97" s="15"/>
      <c r="AO97" s="15"/>
      <c r="AP97" s="15"/>
      <c r="AQ97" s="15"/>
      <c r="AR97" s="15"/>
      <c r="AS97" s="15"/>
      <c r="AT97" s="15"/>
      <c r="AU97" s="15"/>
    </row>
    <row r="98" spans="2:47" x14ac:dyDescent="0.25">
      <c r="B98" s="15"/>
      <c r="C98" s="37"/>
      <c r="D98" s="37"/>
      <c r="E98" s="38"/>
      <c r="F98" s="38"/>
      <c r="G98" s="39"/>
      <c r="H98" s="39"/>
      <c r="I98" s="39"/>
      <c r="J98" s="38"/>
      <c r="K98" s="15"/>
      <c r="L98" s="38"/>
      <c r="M98" s="38"/>
      <c r="N98" s="38"/>
      <c r="O98" s="38"/>
      <c r="P98" s="38"/>
      <c r="Q98" s="15"/>
      <c r="R98" s="40"/>
      <c r="S98" s="38"/>
      <c r="T98" s="38"/>
      <c r="U98" s="38"/>
      <c r="V98" s="38"/>
      <c r="W98" s="38"/>
      <c r="X98" s="38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41"/>
      <c r="AN98" s="15"/>
      <c r="AO98" s="15"/>
      <c r="AP98" s="15"/>
      <c r="AQ98" s="15"/>
      <c r="AR98" s="15"/>
      <c r="AS98" s="15"/>
      <c r="AT98" s="15"/>
      <c r="AU98" s="15"/>
    </row>
    <row r="99" spans="2:47" x14ac:dyDescent="0.25">
      <c r="B99" s="15"/>
      <c r="C99" s="37"/>
      <c r="D99" s="37"/>
      <c r="E99" s="38"/>
      <c r="F99" s="38"/>
      <c r="G99" s="39"/>
      <c r="H99" s="39"/>
      <c r="I99" s="39"/>
      <c r="J99" s="38"/>
      <c r="K99" s="15"/>
      <c r="L99" s="38"/>
      <c r="M99" s="38"/>
      <c r="N99" s="38"/>
      <c r="O99" s="38"/>
      <c r="P99" s="38"/>
      <c r="Q99" s="15"/>
      <c r="R99" s="40"/>
      <c r="S99" s="38"/>
      <c r="T99" s="38"/>
      <c r="U99" s="38"/>
      <c r="V99" s="38"/>
      <c r="W99" s="38"/>
      <c r="X99" s="38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41"/>
      <c r="AN99" s="15"/>
      <c r="AO99" s="15"/>
      <c r="AP99" s="15"/>
      <c r="AQ99" s="15"/>
      <c r="AR99" s="15"/>
      <c r="AS99" s="15"/>
      <c r="AT99" s="15"/>
      <c r="AU99" s="15"/>
    </row>
    <row r="100" spans="2:47" x14ac:dyDescent="0.25">
      <c r="B100" s="15"/>
      <c r="C100" s="37"/>
      <c r="D100" s="37"/>
      <c r="E100" s="38"/>
      <c r="F100" s="38"/>
      <c r="G100" s="39"/>
      <c r="H100" s="39"/>
      <c r="I100" s="39"/>
      <c r="J100" s="38"/>
      <c r="K100" s="15"/>
      <c r="L100" s="38"/>
      <c r="M100" s="38"/>
      <c r="N100" s="38"/>
      <c r="O100" s="38"/>
      <c r="P100" s="38"/>
      <c r="Q100" s="15"/>
      <c r="R100" s="40"/>
      <c r="S100" s="38"/>
      <c r="T100" s="38"/>
      <c r="U100" s="38"/>
      <c r="V100" s="38"/>
      <c r="W100" s="38"/>
      <c r="X100" s="38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41"/>
      <c r="AN100" s="15"/>
      <c r="AO100" s="15"/>
      <c r="AP100" s="15"/>
      <c r="AQ100" s="15"/>
      <c r="AR100" s="15"/>
      <c r="AS100" s="15"/>
      <c r="AT100" s="15"/>
      <c r="AU100" s="15"/>
    </row>
    <row r="101" spans="2:47" x14ac:dyDescent="0.25">
      <c r="B101" s="15"/>
      <c r="C101" s="37"/>
      <c r="D101" s="37"/>
      <c r="E101" s="38"/>
      <c r="F101" s="38"/>
      <c r="G101" s="39"/>
      <c r="H101" s="39"/>
      <c r="I101" s="39"/>
      <c r="J101" s="38"/>
      <c r="K101" s="15"/>
      <c r="L101" s="38"/>
      <c r="M101" s="38"/>
      <c r="N101" s="38"/>
      <c r="O101" s="38"/>
      <c r="P101" s="38"/>
      <c r="Q101" s="15"/>
      <c r="R101" s="40"/>
      <c r="S101" s="38"/>
      <c r="T101" s="38"/>
      <c r="U101" s="38"/>
      <c r="V101" s="38"/>
      <c r="W101" s="38"/>
      <c r="X101" s="38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41"/>
      <c r="AN101" s="15"/>
      <c r="AO101" s="15"/>
      <c r="AP101" s="15"/>
      <c r="AQ101" s="15"/>
      <c r="AR101" s="15"/>
      <c r="AS101" s="15"/>
      <c r="AT101" s="15"/>
      <c r="AU101" s="15"/>
    </row>
    <row r="102" spans="2:47" x14ac:dyDescent="0.25">
      <c r="B102" s="15"/>
      <c r="C102" s="37"/>
      <c r="D102" s="37"/>
      <c r="E102" s="38"/>
      <c r="F102" s="38"/>
      <c r="G102" s="39"/>
      <c r="H102" s="39"/>
      <c r="I102" s="39"/>
      <c r="J102" s="38"/>
      <c r="K102" s="15"/>
      <c r="L102" s="38"/>
      <c r="M102" s="38"/>
      <c r="N102" s="38"/>
      <c r="O102" s="38"/>
      <c r="P102" s="38"/>
      <c r="Q102" s="15"/>
      <c r="R102" s="40"/>
      <c r="S102" s="38"/>
      <c r="T102" s="38"/>
      <c r="U102" s="38"/>
      <c r="V102" s="38"/>
      <c r="W102" s="38"/>
      <c r="X102" s="38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41"/>
      <c r="AN102" s="15"/>
      <c r="AO102" s="15"/>
      <c r="AP102" s="15"/>
      <c r="AQ102" s="15"/>
      <c r="AR102" s="15"/>
      <c r="AS102" s="15"/>
      <c r="AT102" s="15"/>
      <c r="AU102" s="15"/>
    </row>
    <row r="103" spans="2:47" x14ac:dyDescent="0.25">
      <c r="B103" s="15"/>
      <c r="C103" s="37"/>
      <c r="D103" s="37"/>
      <c r="E103" s="38"/>
      <c r="F103" s="38"/>
      <c r="G103" s="39"/>
      <c r="H103" s="39"/>
      <c r="I103" s="39"/>
      <c r="J103" s="38"/>
      <c r="K103" s="15"/>
      <c r="L103" s="38"/>
      <c r="M103" s="38"/>
      <c r="N103" s="38"/>
      <c r="O103" s="38"/>
      <c r="P103" s="38"/>
      <c r="Q103" s="15"/>
      <c r="R103" s="40"/>
      <c r="S103" s="38"/>
      <c r="T103" s="38"/>
      <c r="U103" s="38"/>
      <c r="V103" s="38"/>
      <c r="W103" s="38"/>
      <c r="X103" s="38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41"/>
      <c r="AN103" s="15"/>
      <c r="AO103" s="15"/>
      <c r="AP103" s="15"/>
      <c r="AQ103" s="15"/>
      <c r="AR103" s="15"/>
      <c r="AS103" s="15"/>
      <c r="AT103" s="15"/>
      <c r="AU103" s="15"/>
    </row>
    <row r="104" spans="2:47" x14ac:dyDescent="0.25">
      <c r="B104" s="15"/>
      <c r="C104" s="37"/>
      <c r="D104" s="37"/>
      <c r="E104" s="38"/>
      <c r="F104" s="38"/>
      <c r="G104" s="39"/>
      <c r="H104" s="39"/>
      <c r="I104" s="39"/>
      <c r="J104" s="38"/>
      <c r="K104" s="15"/>
      <c r="L104" s="38"/>
      <c r="M104" s="38"/>
      <c r="N104" s="38"/>
      <c r="O104" s="38"/>
      <c r="P104" s="38"/>
      <c r="Q104" s="15"/>
      <c r="R104" s="40"/>
      <c r="S104" s="38"/>
      <c r="T104" s="38"/>
      <c r="U104" s="38"/>
      <c r="V104" s="38"/>
      <c r="W104" s="38"/>
      <c r="X104" s="38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41"/>
      <c r="AN104" s="15"/>
      <c r="AO104" s="15"/>
      <c r="AP104" s="15"/>
      <c r="AQ104" s="15"/>
      <c r="AR104" s="15"/>
      <c r="AS104" s="15"/>
      <c r="AT104" s="15"/>
      <c r="AU104" s="15"/>
    </row>
    <row r="105" spans="2:47" x14ac:dyDescent="0.25">
      <c r="B105" s="15"/>
      <c r="C105" s="37"/>
      <c r="D105" s="37"/>
      <c r="E105" s="38"/>
      <c r="F105" s="38"/>
      <c r="G105" s="39"/>
      <c r="H105" s="39"/>
      <c r="I105" s="39"/>
      <c r="J105" s="38"/>
      <c r="K105" s="15"/>
      <c r="L105" s="38"/>
      <c r="M105" s="38"/>
      <c r="N105" s="38"/>
      <c r="O105" s="38"/>
      <c r="P105" s="38"/>
      <c r="Q105" s="15"/>
      <c r="R105" s="40"/>
      <c r="S105" s="38"/>
      <c r="T105" s="38"/>
      <c r="U105" s="38"/>
      <c r="V105" s="38"/>
      <c r="W105" s="38"/>
      <c r="X105" s="38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41"/>
      <c r="AN105" s="15"/>
      <c r="AO105" s="15"/>
      <c r="AP105" s="15"/>
      <c r="AQ105" s="15"/>
      <c r="AR105" s="15"/>
      <c r="AS105" s="15"/>
      <c r="AT105" s="15"/>
      <c r="AU105" s="15"/>
    </row>
    <row r="106" spans="2:47" x14ac:dyDescent="0.25">
      <c r="B106" s="15"/>
      <c r="C106" s="37"/>
      <c r="D106" s="37"/>
      <c r="E106" s="38"/>
      <c r="F106" s="38"/>
      <c r="G106" s="39"/>
      <c r="H106" s="39"/>
      <c r="I106" s="39"/>
      <c r="J106" s="38"/>
      <c r="K106" s="15"/>
      <c r="L106" s="38"/>
      <c r="M106" s="38"/>
      <c r="N106" s="38"/>
      <c r="O106" s="38"/>
      <c r="P106" s="38"/>
      <c r="Q106" s="15"/>
      <c r="R106" s="40"/>
      <c r="S106" s="38"/>
      <c r="T106" s="38"/>
      <c r="U106" s="38"/>
      <c r="V106" s="38"/>
      <c r="W106" s="38"/>
      <c r="X106" s="38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41"/>
      <c r="AN106" s="15"/>
      <c r="AO106" s="15"/>
      <c r="AP106" s="15"/>
      <c r="AQ106" s="15"/>
      <c r="AR106" s="15"/>
      <c r="AS106" s="15"/>
      <c r="AT106" s="15"/>
      <c r="AU106" s="15"/>
    </row>
    <row r="107" spans="2:47" x14ac:dyDescent="0.25">
      <c r="B107" s="15"/>
      <c r="C107" s="37"/>
      <c r="D107" s="37"/>
      <c r="E107" s="38"/>
      <c r="F107" s="38"/>
      <c r="G107" s="39"/>
      <c r="H107" s="39"/>
      <c r="I107" s="39"/>
      <c r="J107" s="38"/>
      <c r="K107" s="15"/>
      <c r="L107" s="38"/>
      <c r="M107" s="38"/>
      <c r="N107" s="38"/>
      <c r="O107" s="38"/>
      <c r="P107" s="38"/>
      <c r="Q107" s="15"/>
      <c r="R107" s="40"/>
      <c r="S107" s="38"/>
      <c r="T107" s="38"/>
      <c r="U107" s="38"/>
      <c r="V107" s="38"/>
      <c r="W107" s="38"/>
      <c r="X107" s="38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41"/>
      <c r="AN107" s="15"/>
      <c r="AO107" s="15"/>
      <c r="AP107" s="15"/>
      <c r="AQ107" s="15"/>
      <c r="AR107" s="15"/>
      <c r="AS107" s="15"/>
      <c r="AT107" s="15"/>
      <c r="AU107" s="15"/>
    </row>
    <row r="108" spans="2:47" x14ac:dyDescent="0.25">
      <c r="B108" s="15"/>
      <c r="C108" s="37"/>
      <c r="D108" s="37"/>
      <c r="E108" s="38"/>
      <c r="F108" s="38"/>
      <c r="G108" s="39"/>
      <c r="H108" s="39"/>
      <c r="I108" s="39"/>
      <c r="J108" s="38"/>
      <c r="K108" s="15"/>
      <c r="L108" s="38"/>
      <c r="M108" s="38"/>
      <c r="N108" s="38"/>
      <c r="O108" s="38"/>
      <c r="P108" s="38"/>
      <c r="Q108" s="15"/>
      <c r="R108" s="40"/>
      <c r="S108" s="38"/>
      <c r="T108" s="38"/>
      <c r="U108" s="38"/>
      <c r="V108" s="38"/>
      <c r="W108" s="38"/>
      <c r="X108" s="38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41"/>
      <c r="AN108" s="15"/>
      <c r="AO108" s="15"/>
      <c r="AP108" s="15"/>
      <c r="AQ108" s="15"/>
      <c r="AR108" s="15"/>
      <c r="AS108" s="15"/>
      <c r="AT108" s="15"/>
      <c r="AU108" s="15"/>
    </row>
    <row r="109" spans="2:47" x14ac:dyDescent="0.25">
      <c r="B109" s="15"/>
      <c r="C109" s="37"/>
      <c r="D109" s="37"/>
      <c r="E109" s="38"/>
      <c r="F109" s="38"/>
      <c r="G109" s="39"/>
      <c r="H109" s="39"/>
      <c r="I109" s="39"/>
      <c r="J109" s="38"/>
      <c r="K109" s="15"/>
      <c r="L109" s="38"/>
      <c r="M109" s="38"/>
      <c r="N109" s="38"/>
      <c r="O109" s="38"/>
      <c r="P109" s="38"/>
      <c r="Q109" s="15"/>
      <c r="R109" s="40"/>
      <c r="S109" s="38"/>
      <c r="T109" s="38"/>
      <c r="U109" s="38"/>
      <c r="V109" s="38"/>
      <c r="W109" s="38"/>
      <c r="X109" s="38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41"/>
      <c r="AN109" s="15"/>
      <c r="AO109" s="15"/>
      <c r="AP109" s="15"/>
      <c r="AQ109" s="15"/>
      <c r="AR109" s="15"/>
      <c r="AS109" s="15"/>
      <c r="AT109" s="15"/>
      <c r="AU109" s="15"/>
    </row>
    <row r="110" spans="2:47" x14ac:dyDescent="0.25">
      <c r="B110" s="15"/>
      <c r="C110" s="37"/>
      <c r="D110" s="37"/>
      <c r="E110" s="38"/>
      <c r="F110" s="38"/>
      <c r="G110" s="39"/>
      <c r="H110" s="39"/>
      <c r="I110" s="39"/>
      <c r="J110" s="38"/>
      <c r="K110" s="15"/>
      <c r="L110" s="38"/>
      <c r="M110" s="38"/>
      <c r="N110" s="38"/>
      <c r="O110" s="38"/>
      <c r="P110" s="38"/>
      <c r="Q110" s="15"/>
      <c r="R110" s="40"/>
      <c r="S110" s="38"/>
      <c r="T110" s="38"/>
      <c r="U110" s="38"/>
      <c r="V110" s="38"/>
      <c r="W110" s="38"/>
      <c r="X110" s="38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41"/>
      <c r="AN110" s="15"/>
      <c r="AO110" s="15"/>
      <c r="AP110" s="15"/>
      <c r="AQ110" s="15"/>
      <c r="AR110" s="15"/>
      <c r="AS110" s="15"/>
      <c r="AT110" s="15"/>
      <c r="AU110" s="15"/>
    </row>
    <row r="111" spans="2:47" x14ac:dyDescent="0.25">
      <c r="B111" s="15"/>
      <c r="C111" s="37"/>
      <c r="D111" s="37"/>
      <c r="E111" s="38"/>
      <c r="F111" s="38"/>
      <c r="G111" s="39"/>
      <c r="H111" s="39"/>
      <c r="I111" s="39"/>
      <c r="J111" s="38"/>
      <c r="K111" s="15"/>
      <c r="L111" s="38"/>
      <c r="M111" s="38"/>
      <c r="N111" s="38"/>
      <c r="O111" s="38"/>
      <c r="P111" s="38"/>
      <c r="Q111" s="15"/>
      <c r="R111" s="40"/>
      <c r="S111" s="38"/>
      <c r="T111" s="38"/>
      <c r="U111" s="38"/>
      <c r="V111" s="38"/>
      <c r="W111" s="38"/>
      <c r="X111" s="38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41"/>
      <c r="AN111" s="15"/>
      <c r="AO111" s="15"/>
      <c r="AP111" s="15"/>
      <c r="AQ111" s="15"/>
      <c r="AR111" s="15"/>
      <c r="AS111" s="15"/>
      <c r="AT111" s="15"/>
      <c r="AU111" s="15"/>
    </row>
    <row r="112" spans="2:47" x14ac:dyDescent="0.25">
      <c r="B112" s="15"/>
      <c r="C112" s="37"/>
      <c r="D112" s="37"/>
      <c r="E112" s="38"/>
      <c r="F112" s="38"/>
      <c r="G112" s="39"/>
      <c r="H112" s="39"/>
      <c r="I112" s="39"/>
      <c r="J112" s="38"/>
      <c r="K112" s="15"/>
      <c r="L112" s="38"/>
      <c r="M112" s="38"/>
      <c r="N112" s="38"/>
      <c r="O112" s="38"/>
      <c r="P112" s="38"/>
      <c r="Q112" s="15"/>
      <c r="R112" s="40"/>
      <c r="S112" s="38"/>
      <c r="T112" s="38"/>
      <c r="U112" s="38"/>
      <c r="V112" s="38"/>
      <c r="W112" s="38"/>
      <c r="X112" s="38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41"/>
      <c r="AN112" s="15"/>
      <c r="AO112" s="15"/>
      <c r="AP112" s="15"/>
      <c r="AQ112" s="15"/>
      <c r="AR112" s="15"/>
      <c r="AS112" s="15"/>
      <c r="AT112" s="15"/>
      <c r="AU112" s="15"/>
    </row>
    <row r="113" spans="2:47" x14ac:dyDescent="0.25">
      <c r="B113" s="15"/>
      <c r="C113" s="37"/>
      <c r="D113" s="37"/>
      <c r="E113" s="38"/>
      <c r="F113" s="38"/>
      <c r="G113" s="39"/>
      <c r="H113" s="39"/>
      <c r="I113" s="39"/>
      <c r="J113" s="38"/>
      <c r="K113" s="15"/>
      <c r="L113" s="38"/>
      <c r="M113" s="38"/>
      <c r="N113" s="38"/>
      <c r="O113" s="38"/>
      <c r="P113" s="38"/>
      <c r="Q113" s="15"/>
      <c r="R113" s="40"/>
      <c r="S113" s="38"/>
      <c r="T113" s="38"/>
      <c r="U113" s="38"/>
      <c r="V113" s="38"/>
      <c r="W113" s="38"/>
      <c r="X113" s="38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41"/>
      <c r="AN113" s="15"/>
      <c r="AO113" s="15"/>
      <c r="AP113" s="15"/>
      <c r="AQ113" s="15"/>
      <c r="AR113" s="15"/>
      <c r="AS113" s="15"/>
      <c r="AT113" s="15"/>
      <c r="AU113" s="15"/>
    </row>
  </sheetData>
  <mergeCells count="14">
    <mergeCell ref="V3:X3"/>
    <mergeCell ref="AA3:AL3"/>
    <mergeCell ref="AM3:AM4"/>
    <mergeCell ref="AN3:AP3"/>
    <mergeCell ref="C2:Q2"/>
    <mergeCell ref="S2:X2"/>
    <mergeCell ref="AA2:AP2"/>
    <mergeCell ref="C3:D3"/>
    <mergeCell ref="E3:F3"/>
    <mergeCell ref="G3:H3"/>
    <mergeCell ref="I3:J3"/>
    <mergeCell ref="K3:L3"/>
    <mergeCell ref="O3:Q3"/>
    <mergeCell ref="S3:U3"/>
  </mergeCells>
  <conditionalFormatting sqref="AT5:AT37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T113"/>
  <sheetViews>
    <sheetView topLeftCell="A22" workbookViewId="0">
      <selection activeCell="M27" sqref="M27"/>
    </sheetView>
  </sheetViews>
  <sheetFormatPr defaultRowHeight="15" x14ac:dyDescent="0.25"/>
  <cols>
    <col min="1" max="1" width="10.42578125" bestFit="1" customWidth="1"/>
    <col min="2" max="3" width="11" bestFit="1" customWidth="1"/>
    <col min="4" max="4" width="9.28515625" customWidth="1"/>
    <col min="5" max="5" width="6.5703125" bestFit="1" customWidth="1"/>
    <col min="6" max="7" width="14.5703125" bestFit="1" customWidth="1"/>
    <col min="8" max="8" width="11" customWidth="1"/>
    <col min="9" max="9" width="15.140625" customWidth="1"/>
    <col min="10" max="10" width="9.42578125" bestFit="1" customWidth="1"/>
    <col min="11" max="11" width="18" customWidth="1"/>
    <col min="12" max="12" width="16" customWidth="1"/>
    <col min="13" max="13" width="17.42578125" bestFit="1" customWidth="1"/>
    <col min="14" max="14" width="10" bestFit="1" customWidth="1"/>
    <col min="15" max="15" width="10.28515625" bestFit="1" customWidth="1"/>
    <col min="16" max="16" width="7.5703125" bestFit="1" customWidth="1"/>
    <col min="17" max="17" width="13.5703125" bestFit="1" customWidth="1"/>
    <col min="18" max="18" width="10" bestFit="1" customWidth="1"/>
    <col min="19" max="19" width="11" bestFit="1" customWidth="1"/>
    <col min="21" max="21" width="11.140625" bestFit="1" customWidth="1"/>
    <col min="22" max="22" width="10.42578125" bestFit="1" customWidth="1"/>
    <col min="23" max="23" width="8.5703125" bestFit="1" customWidth="1"/>
    <col min="24" max="24" width="12.42578125" bestFit="1" customWidth="1"/>
    <col min="25" max="25" width="13.5703125" bestFit="1" customWidth="1"/>
    <col min="26" max="26" width="20.28515625" bestFit="1" customWidth="1"/>
    <col min="38" max="38" width="10" bestFit="1" customWidth="1"/>
    <col min="42" max="42" width="13.7109375" customWidth="1"/>
    <col min="43" max="43" width="12.5703125" bestFit="1" customWidth="1"/>
    <col min="45" max="45" width="11.85546875" customWidth="1"/>
  </cols>
  <sheetData>
    <row r="2" spans="1:46" ht="18.75" x14ac:dyDescent="0.3">
      <c r="A2" s="6"/>
      <c r="B2" s="81" t="s">
        <v>45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11"/>
      <c r="R2" s="85" t="s">
        <v>46</v>
      </c>
      <c r="S2" s="85"/>
      <c r="T2" s="85"/>
      <c r="U2" s="85"/>
      <c r="V2" s="85"/>
      <c r="W2" s="85"/>
      <c r="X2" s="2"/>
      <c r="Y2" s="3"/>
      <c r="Z2" s="94" t="s">
        <v>33</v>
      </c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10"/>
      <c r="AQ2" s="2"/>
      <c r="AR2" s="2"/>
      <c r="AS2" s="2"/>
      <c r="AT2" s="2"/>
    </row>
    <row r="3" spans="1:46" x14ac:dyDescent="0.25">
      <c r="A3" s="12" t="s">
        <v>0</v>
      </c>
      <c r="B3" s="82" t="s">
        <v>5</v>
      </c>
      <c r="C3" s="82"/>
      <c r="D3" s="83" t="s">
        <v>12</v>
      </c>
      <c r="E3" s="83"/>
      <c r="F3" s="83" t="s">
        <v>6</v>
      </c>
      <c r="G3" s="83"/>
      <c r="H3" s="84" t="s">
        <v>7</v>
      </c>
      <c r="I3" s="84"/>
      <c r="J3" s="84" t="s">
        <v>8</v>
      </c>
      <c r="K3" s="84"/>
      <c r="L3" s="13"/>
      <c r="M3" s="13" t="s">
        <v>35</v>
      </c>
      <c r="N3" s="84" t="s">
        <v>15</v>
      </c>
      <c r="O3" s="84"/>
      <c r="P3" s="84"/>
      <c r="Q3" s="44"/>
      <c r="R3" s="86" t="s">
        <v>36</v>
      </c>
      <c r="S3" s="87"/>
      <c r="T3" s="88"/>
      <c r="U3" s="89" t="s">
        <v>47</v>
      </c>
      <c r="V3" s="90"/>
      <c r="W3" s="91"/>
      <c r="X3" s="12" t="s">
        <v>14</v>
      </c>
      <c r="Y3" s="14"/>
      <c r="Z3" s="92" t="s">
        <v>13</v>
      </c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5" t="s">
        <v>34</v>
      </c>
      <c r="AM3" s="93" t="s">
        <v>29</v>
      </c>
      <c r="AN3" s="93"/>
      <c r="AO3" s="93"/>
      <c r="AP3" s="48"/>
      <c r="AQ3" s="12"/>
      <c r="AR3" s="15"/>
      <c r="AS3" s="15"/>
      <c r="AT3" s="15"/>
    </row>
    <row r="4" spans="1:46" ht="39" x14ac:dyDescent="0.25">
      <c r="A4" s="16"/>
      <c r="B4" s="17" t="s">
        <v>1</v>
      </c>
      <c r="C4" s="17" t="s">
        <v>2</v>
      </c>
      <c r="D4" s="18" t="s">
        <v>1</v>
      </c>
      <c r="E4" s="18" t="s">
        <v>2</v>
      </c>
      <c r="F4" s="19" t="s">
        <v>1</v>
      </c>
      <c r="G4" s="19" t="s">
        <v>2</v>
      </c>
      <c r="H4" s="19" t="s">
        <v>9</v>
      </c>
      <c r="I4" s="18" t="s">
        <v>10</v>
      </c>
      <c r="J4" s="16" t="s">
        <v>11</v>
      </c>
      <c r="K4" s="18" t="s">
        <v>10</v>
      </c>
      <c r="L4" s="18" t="s">
        <v>4</v>
      </c>
      <c r="M4" s="18" t="s">
        <v>67</v>
      </c>
      <c r="N4" s="18" t="s">
        <v>52</v>
      </c>
      <c r="O4" s="18" t="s">
        <v>40</v>
      </c>
      <c r="P4" s="16" t="s">
        <v>28</v>
      </c>
      <c r="Q4" s="44" t="s">
        <v>3</v>
      </c>
      <c r="R4" s="18" t="s">
        <v>1</v>
      </c>
      <c r="S4" s="18" t="s">
        <v>2</v>
      </c>
      <c r="T4" s="18" t="s">
        <v>60</v>
      </c>
      <c r="U4" s="18" t="s">
        <v>39</v>
      </c>
      <c r="V4" s="18" t="s">
        <v>38</v>
      </c>
      <c r="W4" s="18" t="s">
        <v>37</v>
      </c>
      <c r="X4" s="16"/>
      <c r="Y4" s="20" t="s">
        <v>48</v>
      </c>
      <c r="Z4" s="16" t="s">
        <v>61</v>
      </c>
      <c r="AA4" s="16" t="s">
        <v>17</v>
      </c>
      <c r="AB4" s="16" t="s">
        <v>18</v>
      </c>
      <c r="AC4" s="16" t="s">
        <v>19</v>
      </c>
      <c r="AD4" s="16" t="s">
        <v>54</v>
      </c>
      <c r="AE4" s="16" t="s">
        <v>58</v>
      </c>
      <c r="AF4" s="16" t="s">
        <v>22</v>
      </c>
      <c r="AG4" s="16" t="s">
        <v>23</v>
      </c>
      <c r="AH4" s="16" t="s">
        <v>24</v>
      </c>
      <c r="AI4" s="16" t="s">
        <v>25</v>
      </c>
      <c r="AJ4" s="16" t="s">
        <v>64</v>
      </c>
      <c r="AK4" s="16" t="s">
        <v>41</v>
      </c>
      <c r="AL4" s="96"/>
      <c r="AM4" s="21" t="s">
        <v>30</v>
      </c>
      <c r="AN4" s="21" t="s">
        <v>31</v>
      </c>
      <c r="AO4" s="21" t="s">
        <v>32</v>
      </c>
      <c r="AP4" s="49" t="s">
        <v>49</v>
      </c>
      <c r="AQ4" s="22" t="s">
        <v>42</v>
      </c>
      <c r="AR4" s="23" t="s">
        <v>44</v>
      </c>
      <c r="AS4" s="24" t="s">
        <v>43</v>
      </c>
      <c r="AT4" s="15"/>
    </row>
    <row r="5" spans="1:46" x14ac:dyDescent="0.25">
      <c r="A5" s="25">
        <v>45078</v>
      </c>
      <c r="B5" s="46">
        <v>1779.82</v>
      </c>
      <c r="C5" s="46">
        <v>5721.94</v>
      </c>
      <c r="D5" s="47">
        <v>5090</v>
      </c>
      <c r="E5" s="47">
        <v>4999</v>
      </c>
      <c r="F5" s="13">
        <f t="shared" ref="F5:G35" si="0">B5*D5</f>
        <v>9059283.7999999989</v>
      </c>
      <c r="G5" s="13">
        <f t="shared" si="0"/>
        <v>28603978.059999999</v>
      </c>
      <c r="H5" s="26">
        <v>44.75</v>
      </c>
      <c r="I5" s="13">
        <v>978000</v>
      </c>
      <c r="J5" s="27">
        <v>43</v>
      </c>
      <c r="K5" s="13">
        <v>394000</v>
      </c>
      <c r="L5" s="13">
        <v>40000</v>
      </c>
      <c r="M5" s="13">
        <v>462400</v>
      </c>
      <c r="N5" s="13"/>
      <c r="O5" s="13"/>
      <c r="P5" s="13"/>
      <c r="Q5" s="45">
        <f>SUM(F5:G5)+I5+K5+SUM(L5:P5)</f>
        <v>39537661.859999999</v>
      </c>
      <c r="R5" s="13"/>
      <c r="S5" s="13"/>
      <c r="T5" s="13"/>
      <c r="U5" s="13"/>
      <c r="V5" s="13"/>
      <c r="W5" s="13"/>
      <c r="X5" s="13"/>
      <c r="Y5" s="28">
        <f>Q5-SUM(R5:X5)</f>
        <v>39537661.859999999</v>
      </c>
      <c r="Z5" s="13"/>
      <c r="AA5" s="13"/>
      <c r="AB5" s="13"/>
      <c r="AC5" s="13">
        <v>0</v>
      </c>
      <c r="AD5" s="13"/>
      <c r="AE5" s="13"/>
      <c r="AF5" s="13">
        <v>0</v>
      </c>
      <c r="AG5" s="13"/>
      <c r="AH5" s="13"/>
      <c r="AI5" s="13"/>
      <c r="AJ5" s="13"/>
      <c r="AK5" s="13"/>
      <c r="AL5" s="43">
        <f t="shared" ref="AL5:AL20" si="1">SUM(Z5:AK5)</f>
        <v>0</v>
      </c>
      <c r="AM5" s="12">
        <v>0</v>
      </c>
      <c r="AN5" s="12"/>
      <c r="AO5" s="12"/>
      <c r="AP5" s="12"/>
      <c r="AQ5" s="29">
        <f>Q5-SUM(R5:X5)-AL5-SUM(AM5:AO5)-AP5</f>
        <v>39537661.859999999</v>
      </c>
      <c r="AR5" s="15">
        <v>11073500</v>
      </c>
      <c r="AS5" s="30">
        <f t="shared" ref="AS5:AS35" si="2">AR5-AQ5</f>
        <v>-28464161.859999999</v>
      </c>
      <c r="AT5" s="15"/>
    </row>
    <row r="6" spans="1:46" x14ac:dyDescent="0.25">
      <c r="A6" s="25">
        <v>45079</v>
      </c>
      <c r="B6" s="46">
        <v>2299</v>
      </c>
      <c r="C6" s="46">
        <v>4938.07</v>
      </c>
      <c r="D6" s="47">
        <v>5090</v>
      </c>
      <c r="E6" s="47">
        <v>4999</v>
      </c>
      <c r="F6" s="13">
        <f t="shared" si="0"/>
        <v>11701910</v>
      </c>
      <c r="G6" s="13">
        <f t="shared" si="0"/>
        <v>24685411.93</v>
      </c>
      <c r="H6" s="31">
        <v>23</v>
      </c>
      <c r="I6" s="13">
        <v>497500</v>
      </c>
      <c r="J6" s="27">
        <v>42.5</v>
      </c>
      <c r="K6" s="13">
        <v>393000</v>
      </c>
      <c r="L6" s="13">
        <v>8000</v>
      </c>
      <c r="M6" s="13">
        <v>1062000</v>
      </c>
      <c r="N6" s="13"/>
      <c r="O6" s="13"/>
      <c r="P6" s="13"/>
      <c r="Q6" s="45">
        <f t="shared" ref="Q6:Q35" si="3">SUM(F6:G6)+I6+K6+SUM(L6:P6)</f>
        <v>38347821.93</v>
      </c>
      <c r="R6" s="13"/>
      <c r="S6" s="13"/>
      <c r="T6" s="13"/>
      <c r="U6" s="13"/>
      <c r="V6" s="13"/>
      <c r="W6" s="13"/>
      <c r="X6" s="32"/>
      <c r="Y6" s="28">
        <f>Q6-SUM(R6:X6)</f>
        <v>38347821.93</v>
      </c>
      <c r="Z6" s="33"/>
      <c r="AA6" s="34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43">
        <f t="shared" si="1"/>
        <v>0</v>
      </c>
      <c r="AM6" s="12">
        <v>0</v>
      </c>
      <c r="AN6" s="12"/>
      <c r="AO6" s="12"/>
      <c r="AP6" s="12"/>
      <c r="AQ6" s="29">
        <f t="shared" ref="AQ6:AQ35" si="4">Q6-SUM(R6:X6)-AL6-SUM(AM6:AO6)-AP6</f>
        <v>38347821.93</v>
      </c>
      <c r="AR6" s="15">
        <v>15702000</v>
      </c>
      <c r="AS6" s="30">
        <f t="shared" si="2"/>
        <v>-22645821.93</v>
      </c>
      <c r="AT6" s="15"/>
    </row>
    <row r="7" spans="1:46" x14ac:dyDescent="0.25">
      <c r="A7" s="25">
        <v>45080</v>
      </c>
      <c r="B7" s="46">
        <v>1932.53</v>
      </c>
      <c r="C7" s="46">
        <v>2158</v>
      </c>
      <c r="D7" s="47">
        <v>5090</v>
      </c>
      <c r="E7" s="47">
        <v>4999</v>
      </c>
      <c r="F7" s="13">
        <f t="shared" si="0"/>
        <v>9836577.6999999993</v>
      </c>
      <c r="G7" s="13">
        <f t="shared" si="0"/>
        <v>10787842</v>
      </c>
      <c r="H7" s="26">
        <v>32</v>
      </c>
      <c r="I7" s="13">
        <v>704500</v>
      </c>
      <c r="J7" s="27">
        <v>42.5</v>
      </c>
      <c r="K7" s="13">
        <v>393000</v>
      </c>
      <c r="L7" s="13">
        <v>30000</v>
      </c>
      <c r="M7" s="13">
        <v>642200</v>
      </c>
      <c r="N7" s="13"/>
      <c r="O7" s="13"/>
      <c r="P7" s="13"/>
      <c r="Q7" s="45">
        <f t="shared" si="3"/>
        <v>22394119.699999999</v>
      </c>
      <c r="R7" s="13"/>
      <c r="S7" s="13"/>
      <c r="T7" s="13"/>
      <c r="U7" s="13"/>
      <c r="V7" s="13"/>
      <c r="W7" s="13"/>
      <c r="X7" s="13"/>
      <c r="Y7" s="28">
        <f>Q7-SUM(R7:X7)</f>
        <v>22394119.699999999</v>
      </c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43">
        <f t="shared" si="1"/>
        <v>0</v>
      </c>
      <c r="AM7" s="55">
        <v>1237000</v>
      </c>
      <c r="AN7" s="12"/>
      <c r="AO7" s="12"/>
      <c r="AP7" s="12"/>
      <c r="AQ7" s="29">
        <f t="shared" si="4"/>
        <v>21157119.699999999</v>
      </c>
      <c r="AR7" s="15">
        <v>11472400</v>
      </c>
      <c r="AS7" s="30">
        <f t="shared" si="2"/>
        <v>-9684719.6999999993</v>
      </c>
      <c r="AT7" s="15"/>
    </row>
    <row r="8" spans="1:46" x14ac:dyDescent="0.25">
      <c r="A8" s="25">
        <v>45081</v>
      </c>
      <c r="B8" s="46">
        <v>2089.0700000000002</v>
      </c>
      <c r="C8" s="46">
        <v>619.04999999999995</v>
      </c>
      <c r="D8" s="47">
        <v>5090</v>
      </c>
      <c r="E8" s="47">
        <v>4999</v>
      </c>
      <c r="F8" s="13">
        <f t="shared" si="0"/>
        <v>10633366.300000001</v>
      </c>
      <c r="G8" s="13">
        <f t="shared" si="0"/>
        <v>3094630.9499999997</v>
      </c>
      <c r="H8" s="26">
        <v>55.5</v>
      </c>
      <c r="I8" s="13">
        <v>1239500</v>
      </c>
      <c r="J8" s="27">
        <v>37</v>
      </c>
      <c r="K8" s="13">
        <v>338000</v>
      </c>
      <c r="L8" s="13">
        <v>23000</v>
      </c>
      <c r="M8" s="13">
        <v>540500</v>
      </c>
      <c r="N8" s="13"/>
      <c r="O8" s="13"/>
      <c r="P8" s="13"/>
      <c r="Q8" s="45">
        <f t="shared" si="3"/>
        <v>15868997.25</v>
      </c>
      <c r="R8" s="13"/>
      <c r="S8" s="13"/>
      <c r="T8" s="13"/>
      <c r="U8" s="13"/>
      <c r="V8" s="13"/>
      <c r="W8" s="13"/>
      <c r="X8" s="13"/>
      <c r="Y8" s="28">
        <f t="shared" ref="Y8:Y35" si="5">Q8-SUM(R8:X8)</f>
        <v>15868997.25</v>
      </c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43">
        <f t="shared" si="1"/>
        <v>0</v>
      </c>
      <c r="AM8" s="12"/>
      <c r="AN8" s="12"/>
      <c r="AO8" s="12"/>
      <c r="AP8" s="12"/>
      <c r="AQ8" s="29">
        <f t="shared" si="4"/>
        <v>15868997.25</v>
      </c>
      <c r="AR8" s="15">
        <v>12145200</v>
      </c>
      <c r="AS8" s="30">
        <f t="shared" si="2"/>
        <v>-3723797.25</v>
      </c>
      <c r="AT8" s="15"/>
    </row>
    <row r="9" spans="1:46" x14ac:dyDescent="0.25">
      <c r="A9" s="25">
        <v>45082</v>
      </c>
      <c r="B9" s="46">
        <v>2269.69</v>
      </c>
      <c r="C9" s="46">
        <v>5534.41</v>
      </c>
      <c r="D9" s="47">
        <v>5090</v>
      </c>
      <c r="E9" s="47">
        <v>4999</v>
      </c>
      <c r="F9" s="13">
        <f t="shared" si="0"/>
        <v>11552722.1</v>
      </c>
      <c r="G9" s="13">
        <f t="shared" si="0"/>
        <v>27666515.59</v>
      </c>
      <c r="H9" s="26">
        <v>67.5</v>
      </c>
      <c r="I9" s="13">
        <v>1410500</v>
      </c>
      <c r="J9" s="27">
        <v>30.5</v>
      </c>
      <c r="K9" s="13">
        <v>281000</v>
      </c>
      <c r="L9" s="13">
        <v>31000</v>
      </c>
      <c r="M9" s="13">
        <v>331000</v>
      </c>
      <c r="N9" s="13"/>
      <c r="O9" s="13"/>
      <c r="P9" s="13"/>
      <c r="Q9" s="45">
        <f t="shared" si="3"/>
        <v>41272737.689999998</v>
      </c>
      <c r="R9" s="13"/>
      <c r="S9" s="13"/>
      <c r="T9" s="13"/>
      <c r="U9" s="13"/>
      <c r="V9" s="13"/>
      <c r="W9" s="13"/>
      <c r="X9" s="13"/>
      <c r="Y9" s="28">
        <f t="shared" si="5"/>
        <v>41272737.689999998</v>
      </c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43">
        <f t="shared" si="1"/>
        <v>0</v>
      </c>
      <c r="AM9" s="12"/>
      <c r="AN9" s="12"/>
      <c r="AO9" s="12"/>
      <c r="AP9" s="12"/>
      <c r="AQ9" s="29">
        <f t="shared" si="4"/>
        <v>41272737.689999998</v>
      </c>
      <c r="AR9" s="15">
        <v>23336800</v>
      </c>
      <c r="AS9" s="30">
        <f t="shared" si="2"/>
        <v>-17935937.689999998</v>
      </c>
      <c r="AT9" s="15"/>
    </row>
    <row r="10" spans="1:46" x14ac:dyDescent="0.25">
      <c r="A10" s="25">
        <v>45083</v>
      </c>
      <c r="B10" s="46">
        <v>1752.43</v>
      </c>
      <c r="C10" s="46">
        <v>5135.46</v>
      </c>
      <c r="D10" s="47">
        <v>5090</v>
      </c>
      <c r="E10" s="47">
        <v>4999</v>
      </c>
      <c r="F10" s="13">
        <f t="shared" si="0"/>
        <v>8919868.7000000011</v>
      </c>
      <c r="G10" s="13">
        <f t="shared" si="0"/>
        <v>25672164.539999999</v>
      </c>
      <c r="H10" s="26">
        <v>33</v>
      </c>
      <c r="I10" s="13">
        <v>683500</v>
      </c>
      <c r="J10" s="27">
        <v>12</v>
      </c>
      <c r="K10" s="13">
        <v>112000</v>
      </c>
      <c r="L10" s="13">
        <v>38000</v>
      </c>
      <c r="M10" s="13">
        <v>490000</v>
      </c>
      <c r="N10" s="13"/>
      <c r="O10" s="13"/>
      <c r="P10" s="31"/>
      <c r="Q10" s="45">
        <f t="shared" si="3"/>
        <v>35915533.240000002</v>
      </c>
      <c r="R10" s="13"/>
      <c r="S10" s="13"/>
      <c r="T10" s="13"/>
      <c r="U10" s="13"/>
      <c r="V10" s="13"/>
      <c r="W10" s="13"/>
      <c r="X10" s="31"/>
      <c r="Y10" s="28">
        <f t="shared" si="5"/>
        <v>35915533.240000002</v>
      </c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43">
        <f t="shared" si="1"/>
        <v>0</v>
      </c>
      <c r="AM10" s="12"/>
      <c r="AN10" s="12"/>
      <c r="AO10" s="12"/>
      <c r="AP10" s="12"/>
      <c r="AQ10" s="29">
        <f t="shared" si="4"/>
        <v>35915533.240000002</v>
      </c>
      <c r="AR10" s="15">
        <v>14340500</v>
      </c>
      <c r="AS10" s="30">
        <f t="shared" si="2"/>
        <v>-21575033.240000002</v>
      </c>
      <c r="AT10" s="15"/>
    </row>
    <row r="11" spans="1:46" x14ac:dyDescent="0.25">
      <c r="A11" s="25">
        <v>45084</v>
      </c>
      <c r="B11" s="46">
        <v>2007.82</v>
      </c>
      <c r="C11" s="46">
        <v>1578.17</v>
      </c>
      <c r="D11" s="47">
        <v>5090</v>
      </c>
      <c r="E11" s="47">
        <v>4999</v>
      </c>
      <c r="F11" s="13">
        <f t="shared" si="0"/>
        <v>10219803.799999999</v>
      </c>
      <c r="G11" s="13">
        <f t="shared" si="0"/>
        <v>7889271.8300000001</v>
      </c>
      <c r="H11" s="26">
        <v>22</v>
      </c>
      <c r="I11" s="13">
        <v>454500</v>
      </c>
      <c r="J11" s="27">
        <v>42</v>
      </c>
      <c r="K11" s="13">
        <v>392000</v>
      </c>
      <c r="L11" s="13">
        <v>15000</v>
      </c>
      <c r="M11" s="13">
        <v>377200</v>
      </c>
      <c r="N11" s="13"/>
      <c r="O11" s="13"/>
      <c r="P11" s="13"/>
      <c r="Q11" s="45">
        <f t="shared" si="3"/>
        <v>19347775.629999999</v>
      </c>
      <c r="R11" s="13"/>
      <c r="S11" s="13"/>
      <c r="T11" s="13"/>
      <c r="U11" s="13"/>
      <c r="V11" s="13"/>
      <c r="W11" s="13"/>
      <c r="X11" s="13"/>
      <c r="Y11" s="28">
        <f t="shared" si="5"/>
        <v>19347775.629999999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43">
        <f t="shared" si="1"/>
        <v>0</v>
      </c>
      <c r="AM11" s="12"/>
      <c r="AN11" s="12"/>
      <c r="AO11" s="32"/>
      <c r="AP11" s="32"/>
      <c r="AQ11" s="29">
        <f t="shared" si="4"/>
        <v>19347775.629999999</v>
      </c>
      <c r="AR11" s="15">
        <v>17991000</v>
      </c>
      <c r="AS11" s="30">
        <f t="shared" si="2"/>
        <v>-1356775.629999999</v>
      </c>
      <c r="AT11" s="15"/>
    </row>
    <row r="12" spans="1:46" x14ac:dyDescent="0.25">
      <c r="A12" s="25">
        <v>45085</v>
      </c>
      <c r="B12" s="46">
        <v>1694.85</v>
      </c>
      <c r="C12" s="46">
        <v>3761.74</v>
      </c>
      <c r="D12" s="47">
        <v>5090</v>
      </c>
      <c r="E12" s="47">
        <v>4999</v>
      </c>
      <c r="F12" s="13">
        <f t="shared" si="0"/>
        <v>8626786.5</v>
      </c>
      <c r="G12" s="13">
        <f t="shared" si="0"/>
        <v>18804938.259999998</v>
      </c>
      <c r="H12" s="26">
        <v>23.5</v>
      </c>
      <c r="I12" s="13">
        <v>456000</v>
      </c>
      <c r="J12" s="27">
        <v>45</v>
      </c>
      <c r="K12" s="13">
        <v>420000</v>
      </c>
      <c r="L12" s="13">
        <v>16000</v>
      </c>
      <c r="M12" s="13">
        <v>763600</v>
      </c>
      <c r="N12" s="13"/>
      <c r="O12" s="13"/>
      <c r="P12" s="13"/>
      <c r="Q12" s="45">
        <f t="shared" si="3"/>
        <v>29087324.759999998</v>
      </c>
      <c r="R12" s="13"/>
      <c r="S12" s="13"/>
      <c r="T12" s="13"/>
      <c r="U12" s="13"/>
      <c r="V12" s="13"/>
      <c r="W12" s="13"/>
      <c r="X12" s="13"/>
      <c r="Y12" s="28">
        <f t="shared" si="5"/>
        <v>29087324.759999998</v>
      </c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43">
        <f t="shared" si="1"/>
        <v>0</v>
      </c>
      <c r="AM12" s="12"/>
      <c r="AN12" s="12"/>
      <c r="AO12" s="32"/>
      <c r="AP12" s="32"/>
      <c r="AQ12" s="29">
        <f t="shared" si="4"/>
        <v>29087324.759999998</v>
      </c>
      <c r="AR12" s="15">
        <v>9390400</v>
      </c>
      <c r="AS12" s="30">
        <f t="shared" si="2"/>
        <v>-19696924.759999998</v>
      </c>
      <c r="AT12" s="15"/>
    </row>
    <row r="13" spans="1:46" x14ac:dyDescent="0.25">
      <c r="A13" s="25">
        <v>45086</v>
      </c>
      <c r="B13" s="46">
        <v>2601.3000000000002</v>
      </c>
      <c r="C13" s="46">
        <v>3885.18</v>
      </c>
      <c r="D13" s="47">
        <v>5090</v>
      </c>
      <c r="E13" s="47">
        <v>4999</v>
      </c>
      <c r="F13" s="13">
        <f t="shared" si="0"/>
        <v>13240617</v>
      </c>
      <c r="G13" s="13">
        <f t="shared" si="0"/>
        <v>19422014.82</v>
      </c>
      <c r="H13" s="26">
        <v>48</v>
      </c>
      <c r="I13" s="13">
        <v>991500</v>
      </c>
      <c r="J13" s="27">
        <v>97</v>
      </c>
      <c r="K13" s="13">
        <v>796000</v>
      </c>
      <c r="L13" s="13">
        <v>53000</v>
      </c>
      <c r="M13" s="13">
        <v>655000</v>
      </c>
      <c r="N13" s="13"/>
      <c r="O13" s="13"/>
      <c r="P13" s="13"/>
      <c r="Q13" s="45">
        <f t="shared" si="3"/>
        <v>35158131.82</v>
      </c>
      <c r="R13" s="13"/>
      <c r="S13" s="13"/>
      <c r="T13" s="13"/>
      <c r="U13" s="13"/>
      <c r="V13" s="13"/>
      <c r="W13" s="13"/>
      <c r="X13" s="13"/>
      <c r="Y13" s="28">
        <f t="shared" si="5"/>
        <v>35158131.82</v>
      </c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43">
        <f t="shared" si="1"/>
        <v>0</v>
      </c>
      <c r="AM13" s="12"/>
      <c r="AN13" s="12"/>
      <c r="AO13" s="12"/>
      <c r="AP13" s="12"/>
      <c r="AQ13" s="29">
        <f t="shared" si="4"/>
        <v>35158131.82</v>
      </c>
      <c r="AR13" s="15">
        <v>7893000</v>
      </c>
      <c r="AS13" s="30">
        <f t="shared" si="2"/>
        <v>-27265131.82</v>
      </c>
      <c r="AT13" s="15"/>
    </row>
    <row r="14" spans="1:46" x14ac:dyDescent="0.25">
      <c r="A14" s="25">
        <v>45087</v>
      </c>
      <c r="B14" s="46">
        <v>1873.26</v>
      </c>
      <c r="C14" s="46">
        <v>2562</v>
      </c>
      <c r="D14" s="47">
        <v>5090</v>
      </c>
      <c r="E14" s="47">
        <v>4999</v>
      </c>
      <c r="F14" s="13">
        <f t="shared" si="0"/>
        <v>9534893.4000000004</v>
      </c>
      <c r="G14" s="13">
        <f t="shared" si="0"/>
        <v>12807438</v>
      </c>
      <c r="H14" s="26">
        <v>37</v>
      </c>
      <c r="I14" s="13">
        <v>741000</v>
      </c>
      <c r="J14" s="27">
        <v>63.5</v>
      </c>
      <c r="K14" s="13">
        <v>589000</v>
      </c>
      <c r="L14" s="13">
        <v>38000</v>
      </c>
      <c r="M14" s="13">
        <v>586500</v>
      </c>
      <c r="N14" s="13"/>
      <c r="O14" s="13"/>
      <c r="P14" s="13"/>
      <c r="Q14" s="45">
        <f t="shared" si="3"/>
        <v>24296831.399999999</v>
      </c>
      <c r="R14" s="13"/>
      <c r="S14" s="13"/>
      <c r="T14" s="13"/>
      <c r="U14" s="13"/>
      <c r="V14" s="13"/>
      <c r="W14" s="13"/>
      <c r="X14" s="13"/>
      <c r="Y14" s="28">
        <f t="shared" si="5"/>
        <v>24296831.399999999</v>
      </c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43">
        <f t="shared" si="1"/>
        <v>0</v>
      </c>
      <c r="AM14" s="12"/>
      <c r="AN14" s="12"/>
      <c r="AO14" s="12"/>
      <c r="AP14" s="12"/>
      <c r="AQ14" s="29">
        <f t="shared" si="4"/>
        <v>24296831.399999999</v>
      </c>
      <c r="AR14" s="15">
        <v>9672200</v>
      </c>
      <c r="AS14" s="30">
        <f t="shared" si="2"/>
        <v>-14624631.399999999</v>
      </c>
      <c r="AT14" s="15"/>
    </row>
    <row r="15" spans="1:46" x14ac:dyDescent="0.25">
      <c r="A15" s="25">
        <v>45088</v>
      </c>
      <c r="B15" s="46">
        <v>1455.73</v>
      </c>
      <c r="C15" s="46">
        <v>1280.6099999999999</v>
      </c>
      <c r="D15" s="47">
        <v>5090</v>
      </c>
      <c r="E15" s="47">
        <v>4999</v>
      </c>
      <c r="F15" s="13">
        <f t="shared" si="0"/>
        <v>7409665.7000000002</v>
      </c>
      <c r="G15" s="13">
        <f t="shared" si="0"/>
        <v>6401769.3899999997</v>
      </c>
      <c r="H15" s="26">
        <v>8</v>
      </c>
      <c r="I15" s="13">
        <v>172000</v>
      </c>
      <c r="J15" s="27">
        <v>36.5</v>
      </c>
      <c r="K15" s="13">
        <v>337000</v>
      </c>
      <c r="L15" s="13">
        <v>0</v>
      </c>
      <c r="M15" s="13">
        <v>578000</v>
      </c>
      <c r="N15" s="13"/>
      <c r="O15" s="13"/>
      <c r="P15" s="13"/>
      <c r="Q15" s="45">
        <f t="shared" si="3"/>
        <v>14898435.09</v>
      </c>
      <c r="R15" s="13"/>
      <c r="S15" s="13"/>
      <c r="T15" s="13"/>
      <c r="U15" s="13"/>
      <c r="V15" s="13"/>
      <c r="W15" s="13"/>
      <c r="X15" s="13"/>
      <c r="Y15" s="28">
        <f t="shared" si="5"/>
        <v>14898435.09</v>
      </c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43">
        <f t="shared" si="1"/>
        <v>0</v>
      </c>
      <c r="AM15" s="12"/>
      <c r="AN15" s="12"/>
      <c r="AO15" s="12" t="s">
        <v>59</v>
      </c>
      <c r="AP15" s="12"/>
      <c r="AQ15" s="29">
        <f t="shared" si="4"/>
        <v>14898435.09</v>
      </c>
      <c r="AR15" s="15">
        <v>13029400</v>
      </c>
      <c r="AS15" s="30">
        <f t="shared" si="2"/>
        <v>-1869035.0899999999</v>
      </c>
      <c r="AT15" s="15"/>
    </row>
    <row r="16" spans="1:46" x14ac:dyDescent="0.25">
      <c r="A16" s="25">
        <v>45089</v>
      </c>
      <c r="B16" s="46">
        <v>1570.03</v>
      </c>
      <c r="C16" s="46">
        <v>4682.2700000000004</v>
      </c>
      <c r="D16" s="47">
        <v>5090</v>
      </c>
      <c r="E16" s="47">
        <v>4999</v>
      </c>
      <c r="F16" s="13">
        <f t="shared" si="0"/>
        <v>7991452.7000000002</v>
      </c>
      <c r="G16" s="13">
        <f t="shared" si="0"/>
        <v>23406667.73</v>
      </c>
      <c r="H16" s="26">
        <v>27.5</v>
      </c>
      <c r="I16" s="51">
        <v>561000</v>
      </c>
      <c r="J16" s="27">
        <v>21</v>
      </c>
      <c r="K16" s="13">
        <v>196000</v>
      </c>
      <c r="L16" s="13">
        <v>15000</v>
      </c>
      <c r="M16" s="13">
        <v>652000</v>
      </c>
      <c r="N16" s="13"/>
      <c r="O16" s="13"/>
      <c r="P16" s="13"/>
      <c r="Q16" s="45">
        <f t="shared" si="3"/>
        <v>32822120.43</v>
      </c>
      <c r="R16" s="13"/>
      <c r="S16" s="13"/>
      <c r="T16" s="13"/>
      <c r="U16" s="13"/>
      <c r="V16" s="13"/>
      <c r="W16" s="13"/>
      <c r="X16" s="13"/>
      <c r="Y16" s="28">
        <f t="shared" si="5"/>
        <v>32822120.43</v>
      </c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43">
        <f t="shared" si="1"/>
        <v>0</v>
      </c>
      <c r="AM16" s="15"/>
      <c r="AN16" s="35"/>
      <c r="AO16" s="32"/>
      <c r="AP16" s="32"/>
      <c r="AQ16" s="29">
        <f t="shared" si="4"/>
        <v>32822120.43</v>
      </c>
      <c r="AR16" s="15">
        <v>14955800</v>
      </c>
      <c r="AS16" s="30">
        <f t="shared" si="2"/>
        <v>-17866320.43</v>
      </c>
      <c r="AT16" s="15"/>
    </row>
    <row r="17" spans="1:46" x14ac:dyDescent="0.25">
      <c r="A17" s="25">
        <v>45090</v>
      </c>
      <c r="B17" s="46">
        <v>1807.17</v>
      </c>
      <c r="C17" s="46">
        <v>2585.21</v>
      </c>
      <c r="D17" s="47">
        <v>5090</v>
      </c>
      <c r="E17" s="47">
        <v>4999</v>
      </c>
      <c r="F17" s="13">
        <f t="shared" si="0"/>
        <v>9198495.3000000007</v>
      </c>
      <c r="G17" s="13">
        <f t="shared" si="0"/>
        <v>12923464.790000001</v>
      </c>
      <c r="H17" s="26">
        <v>22.5</v>
      </c>
      <c r="I17" s="13">
        <v>438500</v>
      </c>
      <c r="J17" s="27">
        <v>30.5</v>
      </c>
      <c r="K17" s="13">
        <v>281000</v>
      </c>
      <c r="L17" s="13">
        <v>38000</v>
      </c>
      <c r="M17" s="13">
        <v>733000</v>
      </c>
      <c r="N17" s="13"/>
      <c r="O17" s="13"/>
      <c r="P17" s="13"/>
      <c r="Q17" s="45">
        <f t="shared" si="3"/>
        <v>23612460.090000004</v>
      </c>
      <c r="R17" s="13"/>
      <c r="S17" s="13"/>
      <c r="T17" s="13"/>
      <c r="U17" s="13"/>
      <c r="V17" s="13"/>
      <c r="W17" s="13"/>
      <c r="X17" s="13"/>
      <c r="Y17" s="28">
        <f t="shared" si="5"/>
        <v>23612460.090000004</v>
      </c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43">
        <f t="shared" si="1"/>
        <v>0</v>
      </c>
      <c r="AM17" s="31"/>
      <c r="AN17" s="36"/>
      <c r="AO17" s="32"/>
      <c r="AP17" s="32"/>
      <c r="AQ17" s="29">
        <f t="shared" si="4"/>
        <v>23612460.090000004</v>
      </c>
      <c r="AR17" s="15">
        <v>25767700</v>
      </c>
      <c r="AS17" s="30">
        <f t="shared" si="2"/>
        <v>2155239.9099999964</v>
      </c>
      <c r="AT17" s="15"/>
    </row>
    <row r="18" spans="1:46" x14ac:dyDescent="0.25">
      <c r="A18" s="25">
        <v>45091</v>
      </c>
      <c r="B18" s="46">
        <v>1873.92</v>
      </c>
      <c r="C18" s="46">
        <v>5070.68</v>
      </c>
      <c r="D18" s="47">
        <v>5090</v>
      </c>
      <c r="E18" s="47">
        <v>4999</v>
      </c>
      <c r="F18" s="13">
        <f t="shared" si="0"/>
        <v>9538252.8000000007</v>
      </c>
      <c r="G18" s="13">
        <f t="shared" si="0"/>
        <v>25348329.32</v>
      </c>
      <c r="H18" s="26">
        <v>59.5</v>
      </c>
      <c r="I18" s="13">
        <v>1254500</v>
      </c>
      <c r="J18" s="27">
        <v>42.5</v>
      </c>
      <c r="K18" s="13">
        <v>393000</v>
      </c>
      <c r="L18" s="13">
        <v>16000</v>
      </c>
      <c r="M18" s="13">
        <v>642000</v>
      </c>
      <c r="N18" s="13"/>
      <c r="O18" s="13"/>
      <c r="P18" s="13"/>
      <c r="Q18" s="45">
        <f t="shared" si="3"/>
        <v>37192082.120000005</v>
      </c>
      <c r="R18" s="13"/>
      <c r="S18" s="13"/>
      <c r="T18" s="13"/>
      <c r="U18" s="13"/>
      <c r="V18" s="13"/>
      <c r="W18" s="13"/>
      <c r="X18" s="13"/>
      <c r="Y18" s="28">
        <f t="shared" si="5"/>
        <v>37192082.120000005</v>
      </c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43">
        <f t="shared" si="1"/>
        <v>0</v>
      </c>
      <c r="AM18" s="12"/>
      <c r="AN18" s="12"/>
      <c r="AO18" s="12"/>
      <c r="AP18" s="12"/>
      <c r="AQ18" s="29">
        <f t="shared" si="4"/>
        <v>37192082.120000005</v>
      </c>
      <c r="AR18" s="15">
        <v>19170000</v>
      </c>
      <c r="AS18" s="30">
        <f t="shared" si="2"/>
        <v>-18022082.120000005</v>
      </c>
      <c r="AT18" s="15"/>
    </row>
    <row r="19" spans="1:46" x14ac:dyDescent="0.25">
      <c r="A19" s="25">
        <v>45092</v>
      </c>
      <c r="B19" s="46">
        <v>1657.84</v>
      </c>
      <c r="C19" s="46">
        <v>3508.08</v>
      </c>
      <c r="D19" s="47">
        <v>5090</v>
      </c>
      <c r="E19" s="47">
        <v>4999</v>
      </c>
      <c r="F19" s="13">
        <f t="shared" si="0"/>
        <v>8438405.5999999996</v>
      </c>
      <c r="G19" s="13">
        <f t="shared" si="0"/>
        <v>17536891.919999998</v>
      </c>
      <c r="H19" s="13">
        <v>17</v>
      </c>
      <c r="I19" s="13">
        <v>336000</v>
      </c>
      <c r="J19" s="27">
        <v>54.5</v>
      </c>
      <c r="K19" s="13">
        <v>505000</v>
      </c>
      <c r="L19" s="13">
        <v>23000</v>
      </c>
      <c r="M19" s="13">
        <v>501000</v>
      </c>
      <c r="N19" s="13"/>
      <c r="O19" s="13"/>
      <c r="P19" s="13"/>
      <c r="Q19" s="45">
        <f t="shared" si="3"/>
        <v>27340297.519999996</v>
      </c>
      <c r="R19" s="13"/>
      <c r="S19" s="13"/>
      <c r="T19" s="13"/>
      <c r="U19" s="13"/>
      <c r="V19" s="13"/>
      <c r="W19" s="13"/>
      <c r="X19" s="13"/>
      <c r="Y19" s="28">
        <f t="shared" si="5"/>
        <v>27340297.519999996</v>
      </c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43">
        <f t="shared" ref="AL19:AL35" si="6">SUM(Z19:AK19)</f>
        <v>0</v>
      </c>
      <c r="AM19" s="12"/>
      <c r="AN19" s="12"/>
      <c r="AO19" s="12"/>
      <c r="AP19" s="12"/>
      <c r="AQ19" s="29">
        <f t="shared" si="4"/>
        <v>27340297.519999996</v>
      </c>
      <c r="AR19" s="15">
        <v>13670800</v>
      </c>
      <c r="AS19" s="30">
        <f t="shared" si="2"/>
        <v>-13669497.519999996</v>
      </c>
      <c r="AT19" s="15"/>
    </row>
    <row r="20" spans="1:46" x14ac:dyDescent="0.25">
      <c r="A20" s="25">
        <v>45093</v>
      </c>
      <c r="B20" s="46">
        <v>2173.0300000000002</v>
      </c>
      <c r="C20" s="46">
        <v>2512.69</v>
      </c>
      <c r="D20" s="47">
        <v>5090</v>
      </c>
      <c r="E20" s="47">
        <v>4999</v>
      </c>
      <c r="F20" s="13">
        <f t="shared" si="0"/>
        <v>11060722.700000001</v>
      </c>
      <c r="G20" s="13">
        <f t="shared" si="0"/>
        <v>12560937.310000001</v>
      </c>
      <c r="H20" s="26">
        <v>24</v>
      </c>
      <c r="I20" s="13">
        <v>498000</v>
      </c>
      <c r="J20" s="27">
        <v>30.5</v>
      </c>
      <c r="K20" s="13">
        <v>281000</v>
      </c>
      <c r="L20" s="13">
        <v>8000</v>
      </c>
      <c r="M20" s="13">
        <v>502000</v>
      </c>
      <c r="N20" s="13"/>
      <c r="O20" s="13"/>
      <c r="P20" s="13"/>
      <c r="Q20" s="45">
        <f t="shared" si="3"/>
        <v>24910660.010000002</v>
      </c>
      <c r="R20" s="13"/>
      <c r="S20" s="13"/>
      <c r="T20" s="13"/>
      <c r="U20" s="13"/>
      <c r="V20" s="13"/>
      <c r="W20" s="13"/>
      <c r="X20" s="13"/>
      <c r="Y20" s="28">
        <f t="shared" si="5"/>
        <v>24910660.010000002</v>
      </c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3"/>
      <c r="AK20" s="13"/>
      <c r="AL20" s="43">
        <f t="shared" si="1"/>
        <v>0</v>
      </c>
      <c r="AM20" s="12"/>
      <c r="AN20" s="12"/>
      <c r="AO20" s="12"/>
      <c r="AP20" s="12"/>
      <c r="AQ20" s="29">
        <f t="shared" si="4"/>
        <v>24910660.010000002</v>
      </c>
      <c r="AR20" s="15">
        <v>18032800</v>
      </c>
      <c r="AS20" s="30">
        <f t="shared" si="2"/>
        <v>-6877860.0100000016</v>
      </c>
      <c r="AT20" s="15"/>
    </row>
    <row r="21" spans="1:46" x14ac:dyDescent="0.25">
      <c r="A21" s="25">
        <v>45094</v>
      </c>
      <c r="B21" s="46">
        <v>2313.0100000000002</v>
      </c>
      <c r="C21" s="46">
        <v>2057</v>
      </c>
      <c r="D21" s="47">
        <v>5090</v>
      </c>
      <c r="E21" s="47">
        <v>4999</v>
      </c>
      <c r="F21" s="13">
        <f>B21*D21</f>
        <v>11773220.9</v>
      </c>
      <c r="G21" s="13">
        <f t="shared" si="0"/>
        <v>10282943</v>
      </c>
      <c r="H21" s="26">
        <v>22.5</v>
      </c>
      <c r="I21" s="13">
        <v>463000</v>
      </c>
      <c r="J21" s="27">
        <v>27</v>
      </c>
      <c r="K21" s="13">
        <v>252000</v>
      </c>
      <c r="L21" s="13">
        <v>15000</v>
      </c>
      <c r="M21" s="13">
        <v>760000</v>
      </c>
      <c r="N21" s="13"/>
      <c r="O21" s="13"/>
      <c r="P21" s="13"/>
      <c r="Q21" s="45">
        <f t="shared" si="3"/>
        <v>23546163.899999999</v>
      </c>
      <c r="R21" s="13"/>
      <c r="S21" s="13"/>
      <c r="T21" s="13"/>
      <c r="U21" s="13"/>
      <c r="V21" s="13"/>
      <c r="W21" s="13"/>
      <c r="X21" s="13"/>
      <c r="Y21" s="28">
        <f t="shared" si="5"/>
        <v>23546163.899999999</v>
      </c>
      <c r="Z21" s="12"/>
      <c r="AA21" s="12"/>
      <c r="AB21" s="12"/>
      <c r="AC21" s="12"/>
      <c r="AD21" s="12"/>
      <c r="AE21" s="12"/>
      <c r="AF21" s="13"/>
      <c r="AG21" s="12"/>
      <c r="AH21" s="13"/>
      <c r="AI21" s="12"/>
      <c r="AJ21" s="12"/>
      <c r="AK21" s="12"/>
      <c r="AL21" s="43">
        <f t="shared" si="6"/>
        <v>0</v>
      </c>
      <c r="AM21" s="12"/>
      <c r="AN21" s="12"/>
      <c r="AO21" s="12"/>
      <c r="AP21" s="12"/>
      <c r="AQ21" s="29">
        <f t="shared" si="4"/>
        <v>23546163.899999999</v>
      </c>
      <c r="AR21" s="15">
        <v>20192300</v>
      </c>
      <c r="AS21" s="30">
        <f t="shared" si="2"/>
        <v>-3353863.8999999985</v>
      </c>
      <c r="AT21" s="15"/>
    </row>
    <row r="22" spans="1:46" x14ac:dyDescent="0.25">
      <c r="A22" s="25">
        <v>45095</v>
      </c>
      <c r="B22" s="46">
        <v>1675.39</v>
      </c>
      <c r="C22" s="46">
        <v>2840.7</v>
      </c>
      <c r="D22" s="47">
        <v>5090</v>
      </c>
      <c r="E22" s="47">
        <v>4999</v>
      </c>
      <c r="F22" s="13">
        <f t="shared" si="0"/>
        <v>8527735.0999999996</v>
      </c>
      <c r="G22" s="13">
        <f t="shared" si="0"/>
        <v>14200659.299999999</v>
      </c>
      <c r="H22" s="26">
        <v>26.5</v>
      </c>
      <c r="I22" s="13">
        <v>579000</v>
      </c>
      <c r="J22" s="12">
        <v>63</v>
      </c>
      <c r="K22" s="13">
        <v>644000</v>
      </c>
      <c r="L22" s="13">
        <v>8000</v>
      </c>
      <c r="M22" s="13">
        <v>781500</v>
      </c>
      <c r="N22" s="13"/>
      <c r="O22" s="13"/>
      <c r="P22" s="12"/>
      <c r="Q22" s="45">
        <f t="shared" si="3"/>
        <v>24740894.399999999</v>
      </c>
      <c r="R22" s="13"/>
      <c r="S22" s="13"/>
      <c r="T22" s="13"/>
      <c r="U22" s="13"/>
      <c r="V22" s="13"/>
      <c r="W22" s="13"/>
      <c r="X22" s="12"/>
      <c r="Y22" s="28">
        <f t="shared" si="5"/>
        <v>24740894.399999999</v>
      </c>
      <c r="Z22" s="12"/>
      <c r="AA22" s="12"/>
      <c r="AB22" s="12"/>
      <c r="AC22" s="12"/>
      <c r="AD22" s="12"/>
      <c r="AE22" s="12"/>
      <c r="AF22" s="12"/>
      <c r="AG22" s="12"/>
      <c r="AH22" s="13"/>
      <c r="AI22" s="12"/>
      <c r="AJ22" s="12"/>
      <c r="AK22" s="12"/>
      <c r="AL22" s="43">
        <f t="shared" si="6"/>
        <v>0</v>
      </c>
      <c r="AM22" s="12"/>
      <c r="AN22" s="12"/>
      <c r="AO22" s="12"/>
      <c r="AP22" s="12"/>
      <c r="AQ22" s="29">
        <f t="shared" si="4"/>
        <v>24740894.399999999</v>
      </c>
      <c r="AR22" s="15">
        <v>17633400</v>
      </c>
      <c r="AS22" s="30">
        <f t="shared" si="2"/>
        <v>-7107494.3999999985</v>
      </c>
      <c r="AT22" s="15"/>
    </row>
    <row r="23" spans="1:46" x14ac:dyDescent="0.25">
      <c r="A23" s="25">
        <v>45096</v>
      </c>
      <c r="B23" s="46">
        <v>1790.96</v>
      </c>
      <c r="C23" s="46">
        <v>2334.81</v>
      </c>
      <c r="D23" s="47">
        <v>5090</v>
      </c>
      <c r="E23" s="47">
        <v>4999</v>
      </c>
      <c r="F23" s="13">
        <f t="shared" si="0"/>
        <v>9115986.4000000004</v>
      </c>
      <c r="G23" s="13">
        <f t="shared" si="0"/>
        <v>11671715.189999999</v>
      </c>
      <c r="H23" s="26">
        <v>36</v>
      </c>
      <c r="I23" s="13">
        <v>770500</v>
      </c>
      <c r="J23" s="12">
        <v>42.5</v>
      </c>
      <c r="K23" s="13">
        <v>393000</v>
      </c>
      <c r="L23" s="13">
        <v>0</v>
      </c>
      <c r="M23" s="13">
        <v>639500</v>
      </c>
      <c r="N23" s="13"/>
      <c r="O23" s="13"/>
      <c r="P23" s="12"/>
      <c r="Q23" s="45">
        <f t="shared" si="3"/>
        <v>22590701.59</v>
      </c>
      <c r="R23" s="13"/>
      <c r="S23" s="13"/>
      <c r="T23" s="13"/>
      <c r="U23" s="13"/>
      <c r="V23" s="13"/>
      <c r="W23" s="13"/>
      <c r="X23" s="12"/>
      <c r="Y23" s="28">
        <f t="shared" si="5"/>
        <v>22590701.59</v>
      </c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43">
        <f t="shared" si="6"/>
        <v>0</v>
      </c>
      <c r="AM23" s="12"/>
      <c r="AN23" s="12"/>
      <c r="AO23" s="12"/>
      <c r="AP23" s="12"/>
      <c r="AQ23" s="29">
        <f t="shared" si="4"/>
        <v>22590701.59</v>
      </c>
      <c r="AR23" s="15"/>
      <c r="AS23" s="30">
        <f t="shared" si="2"/>
        <v>-22590701.59</v>
      </c>
      <c r="AT23" s="15"/>
    </row>
    <row r="24" spans="1:46" x14ac:dyDescent="0.25">
      <c r="A24" s="25">
        <v>45097</v>
      </c>
      <c r="B24" s="46">
        <v>1948.19</v>
      </c>
      <c r="C24" s="46">
        <v>2558.1999999999998</v>
      </c>
      <c r="D24" s="47">
        <v>5090</v>
      </c>
      <c r="E24" s="47">
        <v>4999</v>
      </c>
      <c r="F24" s="13">
        <f t="shared" si="0"/>
        <v>9916287.0999999996</v>
      </c>
      <c r="G24" s="13">
        <f t="shared" si="0"/>
        <v>12788441.799999999</v>
      </c>
      <c r="H24" s="26">
        <v>55.5</v>
      </c>
      <c r="I24" s="13">
        <v>1150500</v>
      </c>
      <c r="J24" s="12">
        <v>92.5</v>
      </c>
      <c r="K24" s="13">
        <v>845000</v>
      </c>
      <c r="L24" s="13">
        <v>16000</v>
      </c>
      <c r="M24" s="13">
        <v>619000</v>
      </c>
      <c r="N24" s="13"/>
      <c r="O24" s="13"/>
      <c r="P24" s="12"/>
      <c r="Q24" s="45">
        <f t="shared" si="3"/>
        <v>25335228.899999999</v>
      </c>
      <c r="R24" s="13"/>
      <c r="S24" s="13"/>
      <c r="T24" s="13"/>
      <c r="U24" s="13"/>
      <c r="V24" s="13"/>
      <c r="W24" s="13"/>
      <c r="X24" s="12"/>
      <c r="Y24" s="28">
        <f t="shared" si="5"/>
        <v>25335228.899999999</v>
      </c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43">
        <f t="shared" si="6"/>
        <v>0</v>
      </c>
      <c r="AM24" s="12"/>
      <c r="AN24" s="12"/>
      <c r="AO24" s="12"/>
      <c r="AP24" s="12"/>
      <c r="AQ24" s="29">
        <f t="shared" si="4"/>
        <v>25335228.899999999</v>
      </c>
      <c r="AR24" s="15"/>
      <c r="AS24" s="30">
        <f t="shared" si="2"/>
        <v>-25335228.899999999</v>
      </c>
      <c r="AT24" s="15"/>
    </row>
    <row r="25" spans="1:46" x14ac:dyDescent="0.25">
      <c r="A25" s="25">
        <v>45098</v>
      </c>
      <c r="B25" s="46">
        <v>1594.6</v>
      </c>
      <c r="C25" s="46">
        <v>2890.89</v>
      </c>
      <c r="D25" s="47">
        <v>5090</v>
      </c>
      <c r="E25" s="47">
        <v>4999</v>
      </c>
      <c r="F25" s="13">
        <f t="shared" si="0"/>
        <v>8116514</v>
      </c>
      <c r="G25" s="13">
        <f t="shared" si="0"/>
        <v>14451559.109999999</v>
      </c>
      <c r="H25" s="26">
        <v>25</v>
      </c>
      <c r="I25" s="13">
        <v>550000</v>
      </c>
      <c r="J25" s="12">
        <v>33</v>
      </c>
      <c r="K25" s="13">
        <v>308000</v>
      </c>
      <c r="L25" s="13">
        <v>15000</v>
      </c>
      <c r="M25" s="13">
        <v>656000</v>
      </c>
      <c r="N25" s="13"/>
      <c r="O25" s="13"/>
      <c r="P25" s="12"/>
      <c r="Q25" s="45">
        <f t="shared" si="3"/>
        <v>24097073.109999999</v>
      </c>
      <c r="R25" s="13"/>
      <c r="S25" s="13"/>
      <c r="T25" s="13"/>
      <c r="U25" s="13"/>
      <c r="V25" s="13"/>
      <c r="W25" s="13"/>
      <c r="X25" s="12"/>
      <c r="Y25" s="28">
        <f t="shared" si="5"/>
        <v>24097073.109999999</v>
      </c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43">
        <f t="shared" si="6"/>
        <v>0</v>
      </c>
      <c r="AM25" s="12"/>
      <c r="AN25" s="12"/>
      <c r="AO25" s="12"/>
      <c r="AP25" s="12"/>
      <c r="AQ25" s="29">
        <f t="shared" si="4"/>
        <v>24097073.109999999</v>
      </c>
      <c r="AR25" s="15"/>
      <c r="AS25" s="30">
        <f t="shared" si="2"/>
        <v>-24097073.109999999</v>
      </c>
      <c r="AT25" s="15"/>
    </row>
    <row r="26" spans="1:46" x14ac:dyDescent="0.25">
      <c r="A26" s="25">
        <v>45099</v>
      </c>
      <c r="B26" s="46">
        <v>1450.59</v>
      </c>
      <c r="C26" s="46">
        <v>521</v>
      </c>
      <c r="D26" s="47">
        <v>5090</v>
      </c>
      <c r="E26" s="47">
        <v>4999</v>
      </c>
      <c r="F26" s="13">
        <f t="shared" si="0"/>
        <v>7383503.0999999996</v>
      </c>
      <c r="G26" s="13">
        <f t="shared" si="0"/>
        <v>2604479</v>
      </c>
      <c r="H26" s="26">
        <v>21.5</v>
      </c>
      <c r="I26" s="13">
        <v>428000</v>
      </c>
      <c r="J26" s="12">
        <v>36.5</v>
      </c>
      <c r="K26" s="13">
        <v>337000</v>
      </c>
      <c r="L26" s="13">
        <v>0</v>
      </c>
      <c r="M26" s="13">
        <v>658000</v>
      </c>
      <c r="N26" s="13"/>
      <c r="O26" s="13"/>
      <c r="P26" s="12"/>
      <c r="Q26" s="45">
        <f t="shared" si="3"/>
        <v>11410982.1</v>
      </c>
      <c r="R26" s="13"/>
      <c r="S26" s="13"/>
      <c r="T26" s="13"/>
      <c r="U26" s="13"/>
      <c r="V26" s="13"/>
      <c r="W26" s="13"/>
      <c r="X26" s="12"/>
      <c r="Y26" s="28">
        <f t="shared" si="5"/>
        <v>11410982.1</v>
      </c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43">
        <f t="shared" ref="AL26" si="7">SUM(Z26:AK26)</f>
        <v>0</v>
      </c>
      <c r="AM26" s="12"/>
      <c r="AN26" s="12"/>
      <c r="AO26" s="12"/>
      <c r="AP26" s="12"/>
      <c r="AQ26" s="29">
        <f t="shared" ref="AQ26" si="8">Q26-SUM(R26:X26)-AL26-SUM(AM26:AO26)-AP26</f>
        <v>11410982.1</v>
      </c>
      <c r="AR26" s="15"/>
      <c r="AS26" s="30">
        <f t="shared" si="2"/>
        <v>-11410982.1</v>
      </c>
      <c r="AT26" s="15"/>
    </row>
    <row r="27" spans="1:46" x14ac:dyDescent="0.25">
      <c r="A27" s="25">
        <v>45100</v>
      </c>
      <c r="B27" s="46">
        <v>46</v>
      </c>
      <c r="C27" s="46">
        <v>0</v>
      </c>
      <c r="D27" s="47">
        <v>5090</v>
      </c>
      <c r="E27" s="47">
        <v>4999</v>
      </c>
      <c r="F27" s="13">
        <f t="shared" si="0"/>
        <v>234140</v>
      </c>
      <c r="G27" s="13">
        <f t="shared" si="0"/>
        <v>0</v>
      </c>
      <c r="H27" s="26">
        <v>44</v>
      </c>
      <c r="I27" s="13">
        <v>966000</v>
      </c>
      <c r="J27" s="12">
        <v>33.5</v>
      </c>
      <c r="K27" s="13">
        <v>309000</v>
      </c>
      <c r="L27" s="13">
        <v>23000</v>
      </c>
      <c r="M27" s="13">
        <v>491500</v>
      </c>
      <c r="N27" s="13"/>
      <c r="O27" s="13"/>
      <c r="P27" s="12"/>
      <c r="Q27" s="45">
        <f t="shared" ref="Q27" si="9">SUM(F27:G27)+I27+K27+SUM(L27:P27)</f>
        <v>2023640</v>
      </c>
      <c r="R27" s="13"/>
      <c r="S27" s="13"/>
      <c r="T27" s="13"/>
      <c r="U27" s="13"/>
      <c r="V27" s="13"/>
      <c r="W27" s="13"/>
      <c r="X27" s="12"/>
      <c r="Y27" s="28">
        <f t="shared" ref="Y27" si="10">Q27-SUM(R27:X27)</f>
        <v>2023640</v>
      </c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43">
        <f t="shared" ref="AL27" si="11">SUM(Z27:AK27)</f>
        <v>0</v>
      </c>
      <c r="AM27" s="12"/>
      <c r="AN27" s="12"/>
      <c r="AO27" s="12"/>
      <c r="AP27" s="12"/>
      <c r="AQ27" s="29">
        <f t="shared" si="4"/>
        <v>2023640</v>
      </c>
      <c r="AR27" s="15"/>
      <c r="AS27" s="30">
        <f t="shared" si="2"/>
        <v>-2023640</v>
      </c>
      <c r="AT27" s="15"/>
    </row>
    <row r="28" spans="1:46" x14ac:dyDescent="0.25">
      <c r="A28" s="25">
        <v>45101</v>
      </c>
      <c r="B28" s="46">
        <v>2093.9</v>
      </c>
      <c r="C28" s="46">
        <v>1202.04</v>
      </c>
      <c r="D28" s="47">
        <v>5090</v>
      </c>
      <c r="E28" s="47">
        <v>4999</v>
      </c>
      <c r="F28" s="13">
        <f t="shared" si="0"/>
        <v>10657951</v>
      </c>
      <c r="G28" s="13">
        <f t="shared" si="0"/>
        <v>6008997.96</v>
      </c>
      <c r="H28" s="26">
        <v>80.5</v>
      </c>
      <c r="I28" s="13">
        <v>1974500</v>
      </c>
      <c r="J28" s="12">
        <v>18</v>
      </c>
      <c r="K28" s="13">
        <v>168000</v>
      </c>
      <c r="L28" s="13">
        <v>15000</v>
      </c>
      <c r="M28" s="13">
        <v>553200</v>
      </c>
      <c r="N28" s="13"/>
      <c r="O28" s="13"/>
      <c r="P28" s="12"/>
      <c r="Q28" s="45">
        <f t="shared" si="3"/>
        <v>19377648.960000001</v>
      </c>
      <c r="R28" s="13"/>
      <c r="S28" s="13"/>
      <c r="T28" s="13"/>
      <c r="U28" s="13"/>
      <c r="V28" s="13"/>
      <c r="W28" s="13"/>
      <c r="X28" s="12"/>
      <c r="Y28" s="28">
        <f t="shared" si="5"/>
        <v>19377648.960000001</v>
      </c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43">
        <f t="shared" si="6"/>
        <v>0</v>
      </c>
      <c r="AM28" s="12"/>
      <c r="AN28" s="12"/>
      <c r="AO28" s="12"/>
      <c r="AP28" s="12"/>
      <c r="AQ28" s="29">
        <f t="shared" si="4"/>
        <v>19377648.960000001</v>
      </c>
      <c r="AR28" s="15"/>
      <c r="AS28" s="30">
        <f t="shared" si="2"/>
        <v>-19377648.960000001</v>
      </c>
      <c r="AT28" s="15"/>
    </row>
    <row r="29" spans="1:46" x14ac:dyDescent="0.25">
      <c r="A29" s="25">
        <v>45102</v>
      </c>
      <c r="B29" s="46">
        <v>1648.11</v>
      </c>
      <c r="C29" s="46">
        <v>2205.6</v>
      </c>
      <c r="D29" s="47">
        <v>5090</v>
      </c>
      <c r="E29" s="47">
        <v>4999</v>
      </c>
      <c r="F29" s="13">
        <f t="shared" si="0"/>
        <v>8388879.9000000004</v>
      </c>
      <c r="G29" s="13">
        <f t="shared" si="0"/>
        <v>11025794.4</v>
      </c>
      <c r="H29" s="26">
        <v>35</v>
      </c>
      <c r="I29" s="13">
        <v>809000</v>
      </c>
      <c r="J29" s="12">
        <v>46</v>
      </c>
      <c r="K29" s="13">
        <v>422000</v>
      </c>
      <c r="L29" s="13">
        <v>0</v>
      </c>
      <c r="M29" s="13">
        <v>617500</v>
      </c>
      <c r="N29" s="13"/>
      <c r="O29" s="13"/>
      <c r="P29" s="12"/>
      <c r="Q29" s="45">
        <f t="shared" si="3"/>
        <v>21263174.300000001</v>
      </c>
      <c r="R29" s="13"/>
      <c r="S29" s="13"/>
      <c r="T29" s="13"/>
      <c r="U29" s="13"/>
      <c r="V29" s="13"/>
      <c r="W29" s="13"/>
      <c r="X29" s="12"/>
      <c r="Y29" s="28">
        <f t="shared" si="5"/>
        <v>21263174.300000001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43">
        <f t="shared" si="6"/>
        <v>0</v>
      </c>
      <c r="AM29" s="12"/>
      <c r="AN29" s="12"/>
      <c r="AO29" s="12"/>
      <c r="AP29" s="12"/>
      <c r="AQ29" s="29">
        <f t="shared" si="4"/>
        <v>21263174.300000001</v>
      </c>
      <c r="AR29" s="15"/>
      <c r="AS29" s="30">
        <f t="shared" si="2"/>
        <v>-21263174.300000001</v>
      </c>
      <c r="AT29" s="15"/>
    </row>
    <row r="30" spans="1:46" x14ac:dyDescent="0.25">
      <c r="A30" s="25">
        <v>45103</v>
      </c>
      <c r="B30" s="46">
        <v>1683.16</v>
      </c>
      <c r="C30" s="46">
        <v>2683.86</v>
      </c>
      <c r="D30" s="47">
        <v>5090</v>
      </c>
      <c r="E30" s="47">
        <v>4999</v>
      </c>
      <c r="F30" s="13">
        <f t="shared" si="0"/>
        <v>8567284.4000000004</v>
      </c>
      <c r="G30" s="13">
        <f t="shared" si="0"/>
        <v>13416616.140000001</v>
      </c>
      <c r="H30" s="26">
        <v>66</v>
      </c>
      <c r="I30" s="13">
        <v>1367500</v>
      </c>
      <c r="J30" s="12">
        <v>30.5</v>
      </c>
      <c r="K30" s="13">
        <v>280000</v>
      </c>
      <c r="L30" s="13">
        <v>76000</v>
      </c>
      <c r="M30" s="13">
        <v>624000</v>
      </c>
      <c r="N30" s="13"/>
      <c r="O30" s="13"/>
      <c r="P30" s="12"/>
      <c r="Q30" s="45">
        <f t="shared" si="3"/>
        <v>24331400.539999999</v>
      </c>
      <c r="R30" s="13"/>
      <c r="S30" s="13"/>
      <c r="T30" s="13"/>
      <c r="U30" s="13"/>
      <c r="V30" s="13"/>
      <c r="W30" s="13"/>
      <c r="X30" s="12"/>
      <c r="Y30" s="28">
        <f t="shared" si="5"/>
        <v>24331400.539999999</v>
      </c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43">
        <f t="shared" si="6"/>
        <v>0</v>
      </c>
      <c r="AM30" s="12"/>
      <c r="AN30" s="12"/>
      <c r="AO30" s="12"/>
      <c r="AP30" s="12"/>
      <c r="AQ30" s="29">
        <f t="shared" si="4"/>
        <v>24331400.539999999</v>
      </c>
      <c r="AR30" s="15"/>
      <c r="AS30" s="30">
        <f t="shared" si="2"/>
        <v>-24331400.539999999</v>
      </c>
      <c r="AT30" s="15"/>
    </row>
    <row r="31" spans="1:46" x14ac:dyDescent="0.25">
      <c r="A31" s="25">
        <v>45104</v>
      </c>
      <c r="B31" s="46">
        <v>1811</v>
      </c>
      <c r="C31" s="46">
        <v>4044.09</v>
      </c>
      <c r="D31" s="47">
        <v>5090</v>
      </c>
      <c r="E31" s="47">
        <v>4999</v>
      </c>
      <c r="F31" s="13">
        <f t="shared" si="0"/>
        <v>9217990</v>
      </c>
      <c r="G31" s="13">
        <f t="shared" si="0"/>
        <v>20216405.91</v>
      </c>
      <c r="H31" s="26">
        <v>64.5</v>
      </c>
      <c r="I31" s="13">
        <v>1363000</v>
      </c>
      <c r="J31" s="12">
        <v>30.5</v>
      </c>
      <c r="K31" s="13">
        <v>281000</v>
      </c>
      <c r="L31" s="13">
        <v>88000</v>
      </c>
      <c r="M31" s="13">
        <v>571000</v>
      </c>
      <c r="N31" s="13"/>
      <c r="O31" s="13"/>
      <c r="P31" s="12"/>
      <c r="Q31" s="45">
        <f t="shared" si="3"/>
        <v>31737395.91</v>
      </c>
      <c r="R31" s="13"/>
      <c r="S31" s="13"/>
      <c r="T31" s="13"/>
      <c r="U31" s="13"/>
      <c r="V31" s="13"/>
      <c r="W31" s="13"/>
      <c r="X31" s="12"/>
      <c r="Y31" s="28">
        <f t="shared" si="5"/>
        <v>31737395.91</v>
      </c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43">
        <f t="shared" si="6"/>
        <v>0</v>
      </c>
      <c r="AM31" s="12"/>
      <c r="AN31" s="12"/>
      <c r="AO31" s="12"/>
      <c r="AP31" s="12"/>
      <c r="AQ31" s="29">
        <f t="shared" si="4"/>
        <v>31737395.91</v>
      </c>
      <c r="AR31" s="15"/>
      <c r="AS31" s="30">
        <f t="shared" si="2"/>
        <v>-31737395.91</v>
      </c>
      <c r="AT31" s="15"/>
    </row>
    <row r="32" spans="1:46" x14ac:dyDescent="0.25">
      <c r="A32" s="25">
        <v>45105</v>
      </c>
      <c r="B32" s="46">
        <v>1886.65</v>
      </c>
      <c r="C32" s="46">
        <v>1726.5239999999999</v>
      </c>
      <c r="D32" s="47">
        <v>5090</v>
      </c>
      <c r="E32" s="47">
        <v>4999</v>
      </c>
      <c r="F32" s="13">
        <f t="shared" si="0"/>
        <v>9603048.5</v>
      </c>
      <c r="G32" s="13">
        <f t="shared" si="0"/>
        <v>8630893.4759999998</v>
      </c>
      <c r="H32" s="26">
        <v>48</v>
      </c>
      <c r="I32" s="13">
        <v>840500</v>
      </c>
      <c r="J32" s="12">
        <v>36.5</v>
      </c>
      <c r="K32" s="13">
        <v>337000</v>
      </c>
      <c r="L32" s="13">
        <v>0</v>
      </c>
      <c r="M32" s="13">
        <v>732500</v>
      </c>
      <c r="N32" s="13"/>
      <c r="O32" s="13"/>
      <c r="P32" s="12"/>
      <c r="Q32" s="45">
        <f t="shared" si="3"/>
        <v>20143941.976</v>
      </c>
      <c r="R32" s="13"/>
      <c r="S32" s="13"/>
      <c r="T32" s="13"/>
      <c r="U32" s="13"/>
      <c r="V32" s="13"/>
      <c r="W32" s="13"/>
      <c r="X32" s="12"/>
      <c r="Y32" s="28">
        <f t="shared" si="5"/>
        <v>20143941.976</v>
      </c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43">
        <f t="shared" si="6"/>
        <v>0</v>
      </c>
      <c r="AM32" s="12"/>
      <c r="AN32" s="12"/>
      <c r="AO32" s="12"/>
      <c r="AP32" s="12"/>
      <c r="AQ32" s="29">
        <f t="shared" si="4"/>
        <v>20143941.976</v>
      </c>
      <c r="AR32" s="15"/>
      <c r="AS32" s="30">
        <f t="shared" si="2"/>
        <v>-20143941.976</v>
      </c>
      <c r="AT32" s="15"/>
    </row>
    <row r="33" spans="1:46" x14ac:dyDescent="0.25">
      <c r="A33" s="25">
        <v>45106</v>
      </c>
      <c r="B33" s="46">
        <v>1944.5139999999999</v>
      </c>
      <c r="C33" s="46">
        <v>5008.1139999999996</v>
      </c>
      <c r="D33" s="47">
        <v>5090</v>
      </c>
      <c r="E33" s="47">
        <v>4999</v>
      </c>
      <c r="F33" s="13">
        <f t="shared" si="0"/>
        <v>9897576.2599999998</v>
      </c>
      <c r="G33" s="13">
        <f t="shared" si="0"/>
        <v>25035561.885999996</v>
      </c>
      <c r="H33" s="26">
        <v>128</v>
      </c>
      <c r="I33" s="13">
        <v>2948500</v>
      </c>
      <c r="J33" s="12">
        <v>25</v>
      </c>
      <c r="K33" s="13">
        <v>226000</v>
      </c>
      <c r="L33" s="13">
        <v>0</v>
      </c>
      <c r="M33" s="13">
        <v>800500</v>
      </c>
      <c r="N33" s="13"/>
      <c r="O33" s="13"/>
      <c r="P33" s="12"/>
      <c r="Q33" s="45">
        <f t="shared" si="3"/>
        <v>38908138.145999998</v>
      </c>
      <c r="R33" s="13"/>
      <c r="S33" s="13"/>
      <c r="T33" s="13"/>
      <c r="U33" s="13"/>
      <c r="V33" s="13"/>
      <c r="W33" s="13"/>
      <c r="X33" s="12"/>
      <c r="Y33" s="28">
        <f t="shared" si="5"/>
        <v>38908138.145999998</v>
      </c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43">
        <f t="shared" si="6"/>
        <v>0</v>
      </c>
      <c r="AM33" s="12"/>
      <c r="AN33" s="12"/>
      <c r="AO33" s="12"/>
      <c r="AP33" s="12"/>
      <c r="AQ33" s="29">
        <f t="shared" si="4"/>
        <v>38908138.145999998</v>
      </c>
      <c r="AR33" s="15"/>
      <c r="AS33" s="30">
        <f t="shared" si="2"/>
        <v>-38908138.145999998</v>
      </c>
      <c r="AT33" s="15"/>
    </row>
    <row r="34" spans="1:46" x14ac:dyDescent="0.25">
      <c r="A34" s="25">
        <v>45107</v>
      </c>
      <c r="B34" s="46">
        <v>2579.34</v>
      </c>
      <c r="C34" s="46">
        <v>2532.79</v>
      </c>
      <c r="D34" s="47">
        <v>5090</v>
      </c>
      <c r="E34" s="47">
        <v>4999</v>
      </c>
      <c r="F34" s="13">
        <f t="shared" si="0"/>
        <v>13128840.600000001</v>
      </c>
      <c r="G34" s="13">
        <f t="shared" si="0"/>
        <v>12661417.209999999</v>
      </c>
      <c r="H34" s="26">
        <v>25</v>
      </c>
      <c r="I34" s="13">
        <v>505500</v>
      </c>
      <c r="J34" s="12">
        <v>68</v>
      </c>
      <c r="K34" s="13">
        <v>580000</v>
      </c>
      <c r="L34" s="13">
        <v>15000</v>
      </c>
      <c r="M34" s="13">
        <v>981500</v>
      </c>
      <c r="N34" s="13"/>
      <c r="O34" s="13"/>
      <c r="P34" s="12"/>
      <c r="Q34" s="45">
        <f t="shared" si="3"/>
        <v>27872257.810000002</v>
      </c>
      <c r="R34" s="13"/>
      <c r="S34" s="13"/>
      <c r="T34" s="13"/>
      <c r="U34" s="13"/>
      <c r="V34" s="13"/>
      <c r="W34" s="13"/>
      <c r="X34" s="12"/>
      <c r="Y34" s="28">
        <f t="shared" si="5"/>
        <v>27872257.810000002</v>
      </c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43">
        <f t="shared" si="6"/>
        <v>0</v>
      </c>
      <c r="AM34" s="12"/>
      <c r="AN34" s="12"/>
      <c r="AO34" s="12"/>
      <c r="AP34" s="12"/>
      <c r="AQ34" s="29">
        <f t="shared" si="4"/>
        <v>27872257.810000002</v>
      </c>
      <c r="AR34" s="15"/>
      <c r="AS34" s="30">
        <f t="shared" si="2"/>
        <v>-27872257.810000002</v>
      </c>
      <c r="AT34" s="15"/>
    </row>
    <row r="35" spans="1:46" x14ac:dyDescent="0.25">
      <c r="A35" s="25" t="s">
        <v>66</v>
      </c>
      <c r="B35" s="46"/>
      <c r="C35" s="46"/>
      <c r="D35" s="47"/>
      <c r="E35" s="47"/>
      <c r="F35" s="13">
        <f t="shared" si="0"/>
        <v>0</v>
      </c>
      <c r="G35" s="13">
        <f t="shared" si="0"/>
        <v>0</v>
      </c>
      <c r="H35" s="26"/>
      <c r="I35" s="13"/>
      <c r="J35" s="12"/>
      <c r="K35" s="13"/>
      <c r="L35" s="13"/>
      <c r="M35" s="13"/>
      <c r="N35" s="13"/>
      <c r="O35" s="13"/>
      <c r="P35" s="12"/>
      <c r="Q35" s="45">
        <f t="shared" si="3"/>
        <v>0</v>
      </c>
      <c r="R35" s="13"/>
      <c r="S35" s="13"/>
      <c r="T35" s="13"/>
      <c r="U35" s="13"/>
      <c r="V35" s="13"/>
      <c r="W35" s="13"/>
      <c r="X35" s="12"/>
      <c r="Y35" s="28">
        <f t="shared" si="5"/>
        <v>0</v>
      </c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43">
        <f t="shared" si="6"/>
        <v>0</v>
      </c>
      <c r="AM35" s="12"/>
      <c r="AN35" s="12"/>
      <c r="AO35" s="12"/>
      <c r="AP35" s="12"/>
      <c r="AQ35" s="29">
        <f t="shared" si="4"/>
        <v>0</v>
      </c>
      <c r="AR35" s="15"/>
      <c r="AS35" s="30">
        <f t="shared" si="2"/>
        <v>0</v>
      </c>
      <c r="AT35" s="15"/>
    </row>
    <row r="36" spans="1:46" x14ac:dyDescent="0.25">
      <c r="A36" s="15"/>
      <c r="B36" s="37"/>
      <c r="C36" s="37"/>
      <c r="D36" s="38"/>
      <c r="E36" s="38"/>
      <c r="F36" s="39"/>
      <c r="G36" s="39"/>
      <c r="H36" s="39"/>
      <c r="I36" s="13"/>
      <c r="J36" s="15"/>
      <c r="K36" s="38"/>
      <c r="L36" s="38"/>
      <c r="M36" s="38"/>
      <c r="N36" s="38"/>
      <c r="O36" s="38"/>
      <c r="P36" s="15"/>
      <c r="Q36" s="40"/>
      <c r="R36" s="38"/>
      <c r="S36" s="38"/>
      <c r="T36" s="38"/>
      <c r="U36" s="38"/>
      <c r="V36" s="38"/>
      <c r="W36" s="38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41">
        <f>SUM(AL5:AL35)</f>
        <v>0</v>
      </c>
      <c r="AM36" s="15"/>
      <c r="AN36" s="15"/>
      <c r="AO36" s="15"/>
      <c r="AP36" s="15"/>
      <c r="AQ36" s="15"/>
      <c r="AR36" s="15"/>
      <c r="AS36" s="30">
        <f>SUM(AS5:AS20)</f>
        <v>-223122490.53999996</v>
      </c>
      <c r="AT36" s="15"/>
    </row>
    <row r="37" spans="1:46" x14ac:dyDescent="0.25">
      <c r="A37" s="15"/>
      <c r="B37" s="37">
        <f>SUM(B5:B36)</f>
        <v>55302.903999999995</v>
      </c>
      <c r="C37" s="37">
        <f>SUM(C5:C36)</f>
        <v>88139.177999999985</v>
      </c>
      <c r="D37" s="38">
        <f>SUM(D5:D36)</f>
        <v>152700</v>
      </c>
      <c r="E37" s="38"/>
      <c r="F37" s="39">
        <f>SUM(F5:F36)</f>
        <v>281491781.36000001</v>
      </c>
      <c r="G37" s="39">
        <f>SUM(G5:G36)</f>
        <v>440607750.82199991</v>
      </c>
      <c r="H37" s="39">
        <f t="shared" ref="H37:J37" si="12">SUM(H5:H36)</f>
        <v>1222.75</v>
      </c>
      <c r="I37" s="39">
        <f t="shared" si="12"/>
        <v>26132000</v>
      </c>
      <c r="J37" s="39">
        <f t="shared" si="12"/>
        <v>1253</v>
      </c>
      <c r="K37" s="39">
        <f>SUM(K5:K36)</f>
        <v>11483000</v>
      </c>
      <c r="L37" s="39">
        <f>SUM(L5:L36)</f>
        <v>663000</v>
      </c>
      <c r="M37" s="39">
        <f>SUM(M5:M36)</f>
        <v>19004100</v>
      </c>
      <c r="N37" s="38"/>
      <c r="O37" s="38"/>
      <c r="P37" s="15"/>
      <c r="Q37" s="40"/>
      <c r="R37" s="38"/>
      <c r="S37" s="38"/>
      <c r="T37" s="38"/>
      <c r="U37" s="38"/>
      <c r="V37" s="38"/>
      <c r="W37" s="38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41"/>
      <c r="AM37" s="15"/>
      <c r="AN37" s="15"/>
      <c r="AO37" s="15"/>
      <c r="AP37" s="15"/>
      <c r="AQ37" s="15"/>
      <c r="AR37" s="15"/>
      <c r="AS37" s="15"/>
      <c r="AT37" s="15"/>
    </row>
    <row r="38" spans="1:46" x14ac:dyDescent="0.25">
      <c r="A38" s="15"/>
      <c r="B38" s="37"/>
      <c r="C38" s="37"/>
      <c r="D38" s="38"/>
      <c r="E38" s="38"/>
      <c r="F38" s="39"/>
      <c r="G38" s="39"/>
      <c r="H38" s="39"/>
      <c r="I38" s="38"/>
      <c r="J38" s="15"/>
      <c r="K38" s="38"/>
      <c r="L38" s="38"/>
      <c r="M38" s="38"/>
      <c r="N38" s="38"/>
      <c r="O38" s="38"/>
      <c r="P38" s="15"/>
      <c r="Q38" s="40"/>
      <c r="R38" s="38"/>
      <c r="S38" s="38"/>
      <c r="T38" s="38"/>
      <c r="U38" s="38"/>
      <c r="V38" s="38"/>
      <c r="W38" s="38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41"/>
      <c r="AM38" s="15"/>
      <c r="AN38" s="15"/>
      <c r="AO38" s="15"/>
      <c r="AP38" s="15"/>
      <c r="AQ38" s="15"/>
      <c r="AR38" s="15"/>
      <c r="AS38" s="15"/>
      <c r="AT38" s="15"/>
    </row>
    <row r="39" spans="1:46" x14ac:dyDescent="0.25">
      <c r="A39" s="15"/>
      <c r="B39" s="37"/>
      <c r="C39" s="37"/>
      <c r="D39" s="38"/>
      <c r="E39" s="38"/>
      <c r="F39" s="39"/>
      <c r="G39" s="39"/>
      <c r="H39" s="39"/>
      <c r="I39" s="38"/>
      <c r="J39" s="15"/>
      <c r="K39" s="38"/>
      <c r="L39" s="38"/>
      <c r="M39" s="38"/>
      <c r="N39" s="38"/>
      <c r="O39" s="38"/>
      <c r="P39" s="15"/>
      <c r="Q39" s="40"/>
      <c r="R39" s="38"/>
      <c r="S39" s="38"/>
      <c r="T39" s="38"/>
      <c r="U39" s="38"/>
      <c r="V39" s="38"/>
      <c r="W39" s="38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41"/>
      <c r="AM39" s="15"/>
      <c r="AN39" s="15"/>
      <c r="AO39" s="15"/>
      <c r="AP39" s="15"/>
      <c r="AQ39" s="15"/>
      <c r="AR39" s="15"/>
      <c r="AS39" s="15"/>
      <c r="AT39" s="15"/>
    </row>
    <row r="40" spans="1:46" x14ac:dyDescent="0.25">
      <c r="A40" s="15"/>
      <c r="B40" s="37"/>
      <c r="C40" s="37"/>
      <c r="D40" s="38"/>
      <c r="E40" s="38"/>
      <c r="F40" s="39"/>
      <c r="G40" s="39"/>
      <c r="H40" s="39"/>
      <c r="I40" s="38"/>
      <c r="J40" s="15"/>
      <c r="K40" s="38"/>
      <c r="L40" s="38"/>
      <c r="M40" s="38"/>
      <c r="N40" s="38"/>
      <c r="O40" s="38"/>
      <c r="P40" s="15"/>
      <c r="Q40" s="40"/>
      <c r="R40" s="38"/>
      <c r="S40" s="38"/>
      <c r="T40" s="38"/>
      <c r="U40" s="38"/>
      <c r="V40" s="38"/>
      <c r="W40" s="38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41"/>
      <c r="AM40" s="15"/>
      <c r="AN40" s="15"/>
      <c r="AO40" s="15"/>
      <c r="AP40" s="15"/>
      <c r="AQ40" s="15"/>
      <c r="AR40" s="15"/>
      <c r="AS40" s="15"/>
      <c r="AT40" s="15"/>
    </row>
    <row r="41" spans="1:46" x14ac:dyDescent="0.25">
      <c r="A41" s="15"/>
      <c r="B41" s="37"/>
      <c r="C41" s="37"/>
      <c r="D41" s="38"/>
      <c r="E41" s="38"/>
      <c r="F41" s="39"/>
      <c r="G41" s="39"/>
      <c r="H41" s="39"/>
      <c r="I41" s="38"/>
      <c r="J41" s="15"/>
      <c r="K41" s="38"/>
      <c r="L41" s="38"/>
      <c r="M41" s="38"/>
      <c r="N41" s="38"/>
      <c r="O41" s="38"/>
      <c r="P41" s="15"/>
      <c r="Q41" s="40"/>
      <c r="R41" s="38"/>
      <c r="S41" s="38"/>
      <c r="T41" s="38"/>
      <c r="U41" s="38"/>
      <c r="V41" s="38"/>
      <c r="W41" s="38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41"/>
      <c r="AM41" s="15"/>
      <c r="AN41" s="15"/>
      <c r="AO41" s="15"/>
      <c r="AP41" s="15"/>
      <c r="AQ41" s="15"/>
      <c r="AR41" s="15"/>
      <c r="AS41" s="15"/>
      <c r="AT41" s="15"/>
    </row>
    <row r="42" spans="1:46" x14ac:dyDescent="0.25">
      <c r="A42" s="15"/>
      <c r="B42" s="37"/>
      <c r="C42" s="37"/>
      <c r="D42" s="38"/>
      <c r="E42" s="38"/>
      <c r="F42" s="39"/>
      <c r="G42" s="39"/>
      <c r="H42" s="39"/>
      <c r="I42" s="38"/>
      <c r="J42" s="15"/>
      <c r="K42" s="38"/>
      <c r="L42" s="38"/>
      <c r="M42" s="38"/>
      <c r="N42" s="38"/>
      <c r="O42" s="38"/>
      <c r="P42" s="15"/>
      <c r="Q42" s="40"/>
      <c r="R42" s="38"/>
      <c r="S42" s="38"/>
      <c r="T42" s="38"/>
      <c r="U42" s="38"/>
      <c r="V42" s="38"/>
      <c r="W42" s="38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41"/>
      <c r="AM42" s="15"/>
      <c r="AN42" s="15"/>
      <c r="AO42" s="15"/>
      <c r="AP42" s="15"/>
      <c r="AQ42" s="15"/>
      <c r="AR42" s="15"/>
      <c r="AS42" s="15"/>
      <c r="AT42" s="15"/>
    </row>
    <row r="43" spans="1:46" x14ac:dyDescent="0.25">
      <c r="A43" s="15"/>
      <c r="B43" s="37"/>
      <c r="C43" s="37"/>
      <c r="D43" s="38"/>
      <c r="E43" s="38"/>
      <c r="F43" s="39"/>
      <c r="G43" s="39"/>
      <c r="H43" s="39"/>
      <c r="I43" s="38"/>
      <c r="J43" s="15"/>
      <c r="K43" s="38"/>
      <c r="L43" s="38"/>
      <c r="M43" s="38"/>
      <c r="N43" s="38"/>
      <c r="O43" s="38"/>
      <c r="P43" s="15"/>
      <c r="Q43" s="40"/>
      <c r="R43" s="38"/>
      <c r="S43" s="38"/>
      <c r="T43" s="38"/>
      <c r="U43" s="38"/>
      <c r="V43" s="38"/>
      <c r="W43" s="38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41"/>
      <c r="AM43" s="15"/>
      <c r="AN43" s="15"/>
      <c r="AO43" s="15"/>
      <c r="AP43" s="15"/>
      <c r="AQ43" s="15"/>
      <c r="AR43" s="15"/>
      <c r="AS43" s="15"/>
      <c r="AT43" s="15"/>
    </row>
    <row r="44" spans="1:46" x14ac:dyDescent="0.25">
      <c r="A44" s="15"/>
      <c r="B44" s="37"/>
      <c r="C44" s="37"/>
      <c r="D44" s="38"/>
      <c r="E44" s="38"/>
      <c r="F44" s="39"/>
      <c r="G44" s="39"/>
      <c r="H44" s="39"/>
      <c r="I44" s="38"/>
      <c r="J44" s="15"/>
      <c r="K44" s="38"/>
      <c r="L44" s="38"/>
      <c r="M44" s="38"/>
      <c r="N44" s="38"/>
      <c r="O44" s="38"/>
      <c r="P44" s="15"/>
      <c r="Q44" s="40"/>
      <c r="R44" s="38"/>
      <c r="S44" s="38"/>
      <c r="T44" s="38"/>
      <c r="U44" s="38"/>
      <c r="V44" s="38"/>
      <c r="W44" s="38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41"/>
      <c r="AM44" s="15"/>
      <c r="AN44" s="15"/>
      <c r="AO44" s="15"/>
      <c r="AP44" s="15"/>
      <c r="AQ44" s="15"/>
      <c r="AR44" s="15"/>
      <c r="AS44" s="15"/>
      <c r="AT44" s="15"/>
    </row>
    <row r="45" spans="1:46" x14ac:dyDescent="0.25">
      <c r="A45" s="15"/>
      <c r="B45" s="37"/>
      <c r="C45" s="37"/>
      <c r="D45" s="38"/>
      <c r="E45" s="38"/>
      <c r="F45" s="39"/>
      <c r="G45" s="39"/>
      <c r="H45" s="39"/>
      <c r="I45" s="38"/>
      <c r="J45" s="15"/>
      <c r="K45" s="38"/>
      <c r="L45" s="38"/>
      <c r="M45" s="38"/>
      <c r="N45" s="38"/>
      <c r="O45" s="38"/>
      <c r="P45" s="15"/>
      <c r="Q45" s="40"/>
      <c r="R45" s="38"/>
      <c r="S45" s="38"/>
      <c r="T45" s="38"/>
      <c r="U45" s="38"/>
      <c r="V45" s="38"/>
      <c r="W45" s="38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41"/>
      <c r="AM45" s="15"/>
      <c r="AN45" s="15"/>
      <c r="AO45" s="15"/>
      <c r="AP45" s="15"/>
      <c r="AQ45" s="15"/>
      <c r="AR45" s="15"/>
      <c r="AS45" s="15"/>
      <c r="AT45" s="15"/>
    </row>
    <row r="46" spans="1:46" x14ac:dyDescent="0.25">
      <c r="A46" s="15"/>
      <c r="B46" s="37"/>
      <c r="C46" s="37"/>
      <c r="D46" s="38"/>
      <c r="E46" s="38"/>
      <c r="F46" s="39"/>
      <c r="G46" s="39"/>
      <c r="H46" s="39"/>
      <c r="I46" s="38"/>
      <c r="J46" s="15"/>
      <c r="K46" s="38"/>
      <c r="L46" s="38"/>
      <c r="M46" s="38"/>
      <c r="N46" s="38"/>
      <c r="O46" s="38"/>
      <c r="P46" s="15"/>
      <c r="Q46" s="40"/>
      <c r="R46" s="38"/>
      <c r="S46" s="38"/>
      <c r="T46" s="38"/>
      <c r="U46" s="38"/>
      <c r="V46" s="38"/>
      <c r="W46" s="38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41"/>
      <c r="AM46" s="15"/>
      <c r="AN46" s="15"/>
      <c r="AO46" s="15"/>
      <c r="AP46" s="15"/>
      <c r="AQ46" s="15"/>
      <c r="AR46" s="15"/>
      <c r="AS46" s="15"/>
      <c r="AT46" s="15"/>
    </row>
    <row r="47" spans="1:46" x14ac:dyDescent="0.25">
      <c r="A47" s="15"/>
      <c r="B47" s="37"/>
      <c r="C47" s="37"/>
      <c r="D47" s="38"/>
      <c r="E47" s="38"/>
      <c r="F47" s="39"/>
      <c r="G47" s="39"/>
      <c r="H47" s="39"/>
      <c r="I47" s="38"/>
      <c r="J47" s="15"/>
      <c r="K47" s="38"/>
      <c r="L47" s="38"/>
      <c r="M47" s="38"/>
      <c r="N47" s="38"/>
      <c r="O47" s="38"/>
      <c r="P47" s="15"/>
      <c r="Q47" s="40"/>
      <c r="R47" s="38"/>
      <c r="S47" s="38"/>
      <c r="T47" s="38"/>
      <c r="U47" s="38"/>
      <c r="V47" s="38"/>
      <c r="W47" s="38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41"/>
      <c r="AM47" s="15"/>
      <c r="AN47" s="15"/>
      <c r="AO47" s="15"/>
      <c r="AP47" s="15"/>
      <c r="AQ47" s="15"/>
      <c r="AR47" s="15"/>
      <c r="AS47" s="15"/>
      <c r="AT47" s="15"/>
    </row>
    <row r="48" spans="1:46" x14ac:dyDescent="0.25">
      <c r="A48" s="15"/>
      <c r="B48" s="37"/>
      <c r="C48" s="37"/>
      <c r="D48" s="38"/>
      <c r="E48" s="38"/>
      <c r="F48" s="39"/>
      <c r="G48" s="39"/>
      <c r="H48" s="39"/>
      <c r="I48" s="38"/>
      <c r="J48" s="15"/>
      <c r="K48" s="38"/>
      <c r="L48" s="38"/>
      <c r="M48" s="38"/>
      <c r="N48" s="38"/>
      <c r="O48" s="38"/>
      <c r="P48" s="15"/>
      <c r="Q48" s="40"/>
      <c r="R48" s="38"/>
      <c r="S48" s="38"/>
      <c r="T48" s="38"/>
      <c r="U48" s="38"/>
      <c r="V48" s="38"/>
      <c r="W48" s="38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41"/>
      <c r="AM48" s="15"/>
      <c r="AN48" s="15"/>
      <c r="AO48" s="15"/>
      <c r="AP48" s="15"/>
      <c r="AQ48" s="15"/>
      <c r="AR48" s="15"/>
      <c r="AS48" s="15"/>
      <c r="AT48" s="15"/>
    </row>
    <row r="49" spans="1:46" x14ac:dyDescent="0.25">
      <c r="A49" s="15"/>
      <c r="B49" s="37"/>
      <c r="C49" s="37"/>
      <c r="D49" s="38"/>
      <c r="E49" s="38"/>
      <c r="F49" s="39"/>
      <c r="G49" s="39"/>
      <c r="H49" s="39"/>
      <c r="I49" s="38"/>
      <c r="J49" s="15"/>
      <c r="K49" s="38"/>
      <c r="L49" s="38"/>
      <c r="M49" s="38"/>
      <c r="N49" s="38"/>
      <c r="O49" s="38"/>
      <c r="P49" s="15"/>
      <c r="Q49" s="40"/>
      <c r="R49" s="38"/>
      <c r="S49" s="38"/>
      <c r="T49" s="38"/>
      <c r="U49" s="38"/>
      <c r="V49" s="38"/>
      <c r="W49" s="38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41"/>
      <c r="AM49" s="15"/>
      <c r="AN49" s="15"/>
      <c r="AO49" s="15"/>
      <c r="AP49" s="15"/>
      <c r="AQ49" s="15"/>
      <c r="AR49" s="15"/>
      <c r="AS49" s="15"/>
      <c r="AT49" s="15"/>
    </row>
    <row r="50" spans="1:46" x14ac:dyDescent="0.25">
      <c r="A50" s="15"/>
      <c r="B50" s="37"/>
      <c r="C50" s="37"/>
      <c r="D50" s="38"/>
      <c r="E50" s="38"/>
      <c r="F50" s="39"/>
      <c r="G50" s="39"/>
      <c r="H50" s="39"/>
      <c r="I50" s="38"/>
      <c r="J50" s="15"/>
      <c r="K50" s="38"/>
      <c r="L50" s="38"/>
      <c r="M50" s="38"/>
      <c r="N50" s="38"/>
      <c r="O50" s="38"/>
      <c r="P50" s="15"/>
      <c r="Q50" s="40"/>
      <c r="R50" s="38"/>
      <c r="S50" s="38"/>
      <c r="T50" s="38"/>
      <c r="U50" s="38"/>
      <c r="V50" s="38"/>
      <c r="W50" s="38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41"/>
      <c r="AM50" s="15"/>
      <c r="AN50" s="15"/>
      <c r="AO50" s="15"/>
      <c r="AP50" s="15"/>
      <c r="AQ50" s="15"/>
      <c r="AR50" s="15"/>
      <c r="AS50" s="15"/>
      <c r="AT50" s="15"/>
    </row>
    <row r="51" spans="1:46" x14ac:dyDescent="0.25">
      <c r="A51" s="15"/>
      <c r="B51" s="37"/>
      <c r="C51" s="37"/>
      <c r="D51" s="38"/>
      <c r="E51" s="38"/>
      <c r="F51" s="39"/>
      <c r="G51" s="39"/>
      <c r="H51" s="39"/>
      <c r="I51" s="38"/>
      <c r="J51" s="15"/>
      <c r="K51" s="38"/>
      <c r="L51" s="38"/>
      <c r="M51" s="38"/>
      <c r="N51" s="38"/>
      <c r="O51" s="38"/>
      <c r="P51" s="15"/>
      <c r="Q51" s="40"/>
      <c r="R51" s="38"/>
      <c r="S51" s="38"/>
      <c r="T51" s="38"/>
      <c r="U51" s="38"/>
      <c r="V51" s="38"/>
      <c r="W51" s="38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41"/>
      <c r="AM51" s="15"/>
      <c r="AN51" s="15"/>
      <c r="AO51" s="15"/>
      <c r="AP51" s="15"/>
      <c r="AQ51" s="15"/>
      <c r="AR51" s="15"/>
      <c r="AS51" s="15"/>
      <c r="AT51" s="15"/>
    </row>
    <row r="52" spans="1:46" x14ac:dyDescent="0.25">
      <c r="A52" s="15"/>
      <c r="B52" s="37"/>
      <c r="C52" s="37"/>
      <c r="D52" s="38"/>
      <c r="E52" s="38"/>
      <c r="F52" s="39"/>
      <c r="G52" s="39"/>
      <c r="H52" s="39"/>
      <c r="I52" s="38"/>
      <c r="J52" s="15"/>
      <c r="K52" s="38"/>
      <c r="L52" s="38"/>
      <c r="M52" s="38"/>
      <c r="N52" s="38"/>
      <c r="O52" s="38"/>
      <c r="P52" s="15"/>
      <c r="Q52" s="40"/>
      <c r="R52" s="38"/>
      <c r="S52" s="38"/>
      <c r="T52" s="38"/>
      <c r="U52" s="38"/>
      <c r="V52" s="38"/>
      <c r="W52" s="38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41"/>
      <c r="AM52" s="15"/>
      <c r="AN52" s="15"/>
      <c r="AO52" s="15"/>
      <c r="AP52" s="15"/>
      <c r="AQ52" s="15"/>
      <c r="AR52" s="15"/>
      <c r="AS52" s="15"/>
      <c r="AT52" s="15"/>
    </row>
    <row r="53" spans="1:46" x14ac:dyDescent="0.25">
      <c r="A53" s="15"/>
      <c r="B53" s="37"/>
      <c r="C53" s="37"/>
      <c r="D53" s="38"/>
      <c r="E53" s="38"/>
      <c r="F53" s="39"/>
      <c r="G53" s="39"/>
      <c r="H53" s="39"/>
      <c r="I53" s="38"/>
      <c r="J53" s="15"/>
      <c r="K53" s="38"/>
      <c r="L53" s="38"/>
      <c r="M53" s="38"/>
      <c r="N53" s="38"/>
      <c r="O53" s="38"/>
      <c r="P53" s="15"/>
      <c r="Q53" s="40"/>
      <c r="R53" s="38"/>
      <c r="S53" s="38"/>
      <c r="T53" s="38"/>
      <c r="U53" s="38"/>
      <c r="V53" s="38"/>
      <c r="W53" s="38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41"/>
      <c r="AM53" s="15"/>
      <c r="AN53" s="15"/>
      <c r="AO53" s="15"/>
      <c r="AP53" s="15"/>
      <c r="AQ53" s="15"/>
      <c r="AR53" s="15"/>
      <c r="AS53" s="15"/>
      <c r="AT53" s="15"/>
    </row>
    <row r="54" spans="1:46" x14ac:dyDescent="0.25">
      <c r="A54" s="15"/>
      <c r="B54" s="37"/>
      <c r="C54" s="37"/>
      <c r="D54" s="38"/>
      <c r="E54" s="38"/>
      <c r="F54" s="39"/>
      <c r="G54" s="39"/>
      <c r="H54" s="39"/>
      <c r="I54" s="38"/>
      <c r="J54" s="15"/>
      <c r="K54" s="38"/>
      <c r="L54" s="38"/>
      <c r="M54" s="38"/>
      <c r="N54" s="38"/>
      <c r="O54" s="38"/>
      <c r="P54" s="15"/>
      <c r="Q54" s="40"/>
      <c r="R54" s="38"/>
      <c r="S54" s="38"/>
      <c r="T54" s="38"/>
      <c r="U54" s="38"/>
      <c r="V54" s="38"/>
      <c r="W54" s="38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41"/>
      <c r="AM54" s="15"/>
      <c r="AN54" s="15"/>
      <c r="AO54" s="15"/>
      <c r="AP54" s="15"/>
      <c r="AQ54" s="15"/>
      <c r="AR54" s="15"/>
      <c r="AS54" s="15"/>
      <c r="AT54" s="15"/>
    </row>
    <row r="55" spans="1:46" x14ac:dyDescent="0.25">
      <c r="A55" s="15"/>
      <c r="B55" s="37"/>
      <c r="C55" s="37"/>
      <c r="D55" s="38"/>
      <c r="E55" s="38"/>
      <c r="F55" s="39"/>
      <c r="G55" s="39"/>
      <c r="H55" s="39"/>
      <c r="I55" s="38"/>
      <c r="J55" s="15"/>
      <c r="K55" s="38"/>
      <c r="L55" s="38"/>
      <c r="M55" s="38"/>
      <c r="N55" s="38"/>
      <c r="O55" s="38"/>
      <c r="P55" s="15"/>
      <c r="Q55" s="40"/>
      <c r="R55" s="38"/>
      <c r="S55" s="38"/>
      <c r="T55" s="38"/>
      <c r="U55" s="38"/>
      <c r="V55" s="38"/>
      <c r="W55" s="38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41"/>
      <c r="AM55" s="15"/>
      <c r="AN55" s="15"/>
      <c r="AO55" s="15"/>
      <c r="AP55" s="15"/>
      <c r="AQ55" s="15"/>
      <c r="AR55" s="15"/>
      <c r="AS55" s="15"/>
      <c r="AT55" s="15"/>
    </row>
    <row r="56" spans="1:46" x14ac:dyDescent="0.25">
      <c r="A56" s="15"/>
      <c r="B56" s="37"/>
      <c r="C56" s="37"/>
      <c r="D56" s="38"/>
      <c r="E56" s="38"/>
      <c r="F56" s="39"/>
      <c r="G56" s="39"/>
      <c r="H56" s="39"/>
      <c r="I56" s="38"/>
      <c r="J56" s="15"/>
      <c r="K56" s="38"/>
      <c r="L56" s="38"/>
      <c r="M56" s="38"/>
      <c r="N56" s="38"/>
      <c r="O56" s="38"/>
      <c r="P56" s="15"/>
      <c r="Q56" s="40"/>
      <c r="R56" s="38"/>
      <c r="S56" s="38"/>
      <c r="T56" s="38"/>
      <c r="U56" s="38"/>
      <c r="V56" s="38"/>
      <c r="W56" s="38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41"/>
      <c r="AM56" s="15"/>
      <c r="AN56" s="15"/>
      <c r="AO56" s="15"/>
      <c r="AP56" s="15"/>
      <c r="AQ56" s="15"/>
      <c r="AR56" s="15"/>
      <c r="AS56" s="15"/>
      <c r="AT56" s="15"/>
    </row>
    <row r="57" spans="1:46" x14ac:dyDescent="0.25">
      <c r="A57" s="15"/>
      <c r="B57" s="37"/>
      <c r="C57" s="37"/>
      <c r="D57" s="38"/>
      <c r="E57" s="38"/>
      <c r="F57" s="39"/>
      <c r="G57" s="39"/>
      <c r="H57" s="39"/>
      <c r="I57" s="38"/>
      <c r="J57" s="15"/>
      <c r="K57" s="38"/>
      <c r="L57" s="38"/>
      <c r="M57" s="38"/>
      <c r="N57" s="38"/>
      <c r="O57" s="38"/>
      <c r="P57" s="15"/>
      <c r="Q57" s="40"/>
      <c r="R57" s="38"/>
      <c r="S57" s="38"/>
      <c r="T57" s="38"/>
      <c r="U57" s="38"/>
      <c r="V57" s="38"/>
      <c r="W57" s="38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41"/>
      <c r="AM57" s="15"/>
      <c r="AN57" s="15"/>
      <c r="AO57" s="15"/>
      <c r="AP57" s="15"/>
      <c r="AQ57" s="15"/>
      <c r="AR57" s="15"/>
      <c r="AS57" s="15"/>
      <c r="AT57" s="15"/>
    </row>
    <row r="58" spans="1:46" x14ac:dyDescent="0.25">
      <c r="A58" s="15"/>
      <c r="B58" s="37"/>
      <c r="C58" s="37"/>
      <c r="D58" s="38"/>
      <c r="E58" s="38"/>
      <c r="F58" s="39"/>
      <c r="G58" s="39"/>
      <c r="H58" s="39"/>
      <c r="I58" s="38"/>
      <c r="J58" s="15"/>
      <c r="K58" s="38"/>
      <c r="L58" s="38"/>
      <c r="M58" s="38"/>
      <c r="N58" s="38"/>
      <c r="O58" s="38"/>
      <c r="P58" s="15"/>
      <c r="Q58" s="40"/>
      <c r="R58" s="38"/>
      <c r="S58" s="38"/>
      <c r="T58" s="38"/>
      <c r="U58" s="38"/>
      <c r="V58" s="38"/>
      <c r="W58" s="38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41"/>
      <c r="AM58" s="15"/>
      <c r="AN58" s="15"/>
      <c r="AO58" s="15"/>
      <c r="AP58" s="15"/>
      <c r="AQ58" s="15"/>
      <c r="AR58" s="15"/>
      <c r="AS58" s="15"/>
      <c r="AT58" s="15"/>
    </row>
    <row r="59" spans="1:46" x14ac:dyDescent="0.25">
      <c r="A59" s="15"/>
      <c r="B59" s="37"/>
      <c r="C59" s="37"/>
      <c r="D59" s="38"/>
      <c r="E59" s="38"/>
      <c r="F59" s="39"/>
      <c r="G59" s="39"/>
      <c r="H59" s="39"/>
      <c r="I59" s="38"/>
      <c r="J59" s="15"/>
      <c r="K59" s="38"/>
      <c r="L59" s="38"/>
      <c r="M59" s="38"/>
      <c r="N59" s="38"/>
      <c r="O59" s="38"/>
      <c r="P59" s="15"/>
      <c r="Q59" s="40"/>
      <c r="R59" s="38"/>
      <c r="S59" s="38"/>
      <c r="T59" s="38"/>
      <c r="U59" s="38"/>
      <c r="V59" s="38"/>
      <c r="W59" s="38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41"/>
      <c r="AM59" s="15"/>
      <c r="AN59" s="15"/>
      <c r="AO59" s="15"/>
      <c r="AP59" s="15"/>
      <c r="AQ59" s="15"/>
      <c r="AR59" s="15"/>
      <c r="AS59" s="15"/>
      <c r="AT59" s="15"/>
    </row>
    <row r="60" spans="1:46" x14ac:dyDescent="0.25">
      <c r="A60" s="15"/>
      <c r="B60" s="37"/>
      <c r="C60" s="37"/>
      <c r="D60" s="38"/>
      <c r="E60" s="38"/>
      <c r="F60" s="39"/>
      <c r="G60" s="39"/>
      <c r="H60" s="39"/>
      <c r="I60" s="38"/>
      <c r="J60" s="15"/>
      <c r="K60" s="38"/>
      <c r="L60" s="38"/>
      <c r="M60" s="38"/>
      <c r="N60" s="38"/>
      <c r="O60" s="38"/>
      <c r="P60" s="15"/>
      <c r="Q60" s="40"/>
      <c r="R60" s="38"/>
      <c r="S60" s="38"/>
      <c r="T60" s="38"/>
      <c r="U60" s="38"/>
      <c r="V60" s="38"/>
      <c r="W60" s="38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41"/>
      <c r="AM60" s="15"/>
      <c r="AN60" s="15"/>
      <c r="AO60" s="15"/>
      <c r="AP60" s="15"/>
      <c r="AQ60" s="15"/>
      <c r="AR60" s="15"/>
      <c r="AS60" s="15"/>
      <c r="AT60" s="15"/>
    </row>
    <row r="61" spans="1:46" x14ac:dyDescent="0.25">
      <c r="A61" s="15"/>
      <c r="B61" s="37"/>
      <c r="C61" s="37"/>
      <c r="D61" s="38"/>
      <c r="E61" s="38"/>
      <c r="F61" s="39"/>
      <c r="G61" s="39"/>
      <c r="H61" s="39"/>
      <c r="I61" s="38"/>
      <c r="J61" s="15"/>
      <c r="K61" s="38"/>
      <c r="L61" s="38"/>
      <c r="M61" s="38"/>
      <c r="N61" s="38"/>
      <c r="O61" s="38"/>
      <c r="P61" s="15"/>
      <c r="Q61" s="40"/>
      <c r="R61" s="38"/>
      <c r="S61" s="38"/>
      <c r="T61" s="38"/>
      <c r="U61" s="38"/>
      <c r="V61" s="38"/>
      <c r="W61" s="38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41"/>
      <c r="AM61" s="15"/>
      <c r="AN61" s="15"/>
      <c r="AO61" s="15"/>
      <c r="AP61" s="15"/>
      <c r="AQ61" s="15"/>
      <c r="AR61" s="15"/>
      <c r="AS61" s="15"/>
      <c r="AT61" s="15"/>
    </row>
    <row r="62" spans="1:46" x14ac:dyDescent="0.25">
      <c r="A62" s="15"/>
      <c r="B62" s="37"/>
      <c r="C62" s="37"/>
      <c r="D62" s="38"/>
      <c r="E62" s="38"/>
      <c r="F62" s="39"/>
      <c r="G62" s="39"/>
      <c r="H62" s="39"/>
      <c r="I62" s="38"/>
      <c r="J62" s="15"/>
      <c r="K62" s="38"/>
      <c r="L62" s="38"/>
      <c r="M62" s="38"/>
      <c r="N62" s="38"/>
      <c r="O62" s="38"/>
      <c r="P62" s="15"/>
      <c r="Q62" s="40"/>
      <c r="R62" s="38"/>
      <c r="S62" s="38"/>
      <c r="T62" s="38"/>
      <c r="U62" s="38"/>
      <c r="V62" s="38"/>
      <c r="W62" s="38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41"/>
      <c r="AM62" s="15"/>
      <c r="AN62" s="15"/>
      <c r="AO62" s="15"/>
      <c r="AP62" s="15"/>
      <c r="AQ62" s="15"/>
      <c r="AR62" s="15"/>
      <c r="AS62" s="15"/>
      <c r="AT62" s="15"/>
    </row>
    <row r="63" spans="1:46" x14ac:dyDescent="0.25">
      <c r="A63" s="15"/>
      <c r="B63" s="37"/>
      <c r="C63" s="37"/>
      <c r="D63" s="38"/>
      <c r="E63" s="38"/>
      <c r="F63" s="39"/>
      <c r="G63" s="39"/>
      <c r="H63" s="39"/>
      <c r="I63" s="38"/>
      <c r="J63" s="15"/>
      <c r="K63" s="38"/>
      <c r="L63" s="38"/>
      <c r="M63" s="38"/>
      <c r="N63" s="38"/>
      <c r="O63" s="38"/>
      <c r="P63" s="15"/>
      <c r="Q63" s="40"/>
      <c r="R63" s="38"/>
      <c r="S63" s="38"/>
      <c r="T63" s="38"/>
      <c r="U63" s="38"/>
      <c r="V63" s="38"/>
      <c r="W63" s="38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41"/>
      <c r="AM63" s="15"/>
      <c r="AN63" s="15"/>
      <c r="AO63" s="15"/>
      <c r="AP63" s="15"/>
      <c r="AQ63" s="15"/>
      <c r="AR63" s="15"/>
      <c r="AS63" s="15"/>
      <c r="AT63" s="15"/>
    </row>
    <row r="64" spans="1:46" x14ac:dyDescent="0.25">
      <c r="A64" s="15"/>
      <c r="B64" s="37"/>
      <c r="C64" s="37"/>
      <c r="D64" s="38"/>
      <c r="E64" s="38"/>
      <c r="F64" s="39"/>
      <c r="G64" s="39"/>
      <c r="H64" s="39"/>
      <c r="I64" s="38"/>
      <c r="J64" s="15"/>
      <c r="K64" s="38"/>
      <c r="L64" s="38"/>
      <c r="M64" s="38"/>
      <c r="N64" s="38"/>
      <c r="O64" s="38"/>
      <c r="P64" s="15"/>
      <c r="Q64" s="40"/>
      <c r="R64" s="38"/>
      <c r="S64" s="38"/>
      <c r="T64" s="38"/>
      <c r="U64" s="38"/>
      <c r="V64" s="38"/>
      <c r="W64" s="38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41"/>
      <c r="AM64" s="15"/>
      <c r="AN64" s="15"/>
      <c r="AO64" s="15"/>
      <c r="AP64" s="15"/>
      <c r="AQ64" s="15"/>
      <c r="AR64" s="15"/>
      <c r="AS64" s="15"/>
      <c r="AT64" s="15"/>
    </row>
    <row r="65" spans="1:46" x14ac:dyDescent="0.25">
      <c r="A65" s="15"/>
      <c r="B65" s="37"/>
      <c r="C65" s="37"/>
      <c r="D65" s="38"/>
      <c r="E65" s="38"/>
      <c r="F65" s="39"/>
      <c r="G65" s="39"/>
      <c r="H65" s="39"/>
      <c r="I65" s="38"/>
      <c r="J65" s="15"/>
      <c r="K65" s="38"/>
      <c r="L65" s="38"/>
      <c r="M65" s="38"/>
      <c r="N65" s="38"/>
      <c r="O65" s="38"/>
      <c r="P65" s="15"/>
      <c r="Q65" s="40"/>
      <c r="R65" s="38"/>
      <c r="S65" s="38"/>
      <c r="T65" s="38"/>
      <c r="U65" s="38"/>
      <c r="V65" s="38"/>
      <c r="W65" s="38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41"/>
      <c r="AM65" s="15"/>
      <c r="AN65" s="15"/>
      <c r="AO65" s="15"/>
      <c r="AP65" s="15"/>
      <c r="AQ65" s="15"/>
      <c r="AR65" s="15"/>
      <c r="AS65" s="15"/>
      <c r="AT65" s="15"/>
    </row>
    <row r="66" spans="1:46" x14ac:dyDescent="0.25">
      <c r="A66" s="15"/>
      <c r="B66" s="37"/>
      <c r="C66" s="37"/>
      <c r="D66" s="38"/>
      <c r="E66" s="38"/>
      <c r="F66" s="39"/>
      <c r="G66" s="39"/>
      <c r="H66" s="39"/>
      <c r="I66" s="38"/>
      <c r="J66" s="15"/>
      <c r="K66" s="38"/>
      <c r="L66" s="38"/>
      <c r="M66" s="38"/>
      <c r="N66" s="38"/>
      <c r="O66" s="38"/>
      <c r="P66" s="15"/>
      <c r="Q66" s="40"/>
      <c r="R66" s="38"/>
      <c r="S66" s="38"/>
      <c r="T66" s="38"/>
      <c r="U66" s="38"/>
      <c r="V66" s="38"/>
      <c r="W66" s="38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41"/>
      <c r="AM66" s="15"/>
      <c r="AN66" s="15"/>
      <c r="AO66" s="15"/>
      <c r="AP66" s="15"/>
      <c r="AQ66" s="15"/>
      <c r="AR66" s="15"/>
      <c r="AS66" s="15"/>
      <c r="AT66" s="15"/>
    </row>
    <row r="67" spans="1:46" x14ac:dyDescent="0.25">
      <c r="A67" s="15"/>
      <c r="B67" s="37"/>
      <c r="C67" s="37"/>
      <c r="D67" s="38"/>
      <c r="E67" s="38"/>
      <c r="F67" s="39"/>
      <c r="G67" s="39"/>
      <c r="H67" s="39"/>
      <c r="I67" s="38"/>
      <c r="J67" s="15"/>
      <c r="K67" s="38"/>
      <c r="L67" s="38"/>
      <c r="M67" s="38"/>
      <c r="N67" s="38"/>
      <c r="O67" s="38"/>
      <c r="P67" s="15"/>
      <c r="Q67" s="40"/>
      <c r="R67" s="38"/>
      <c r="S67" s="38"/>
      <c r="T67" s="38"/>
      <c r="U67" s="38"/>
      <c r="V67" s="38"/>
      <c r="W67" s="38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41"/>
      <c r="AM67" s="15"/>
      <c r="AN67" s="15"/>
      <c r="AO67" s="15"/>
      <c r="AP67" s="15"/>
      <c r="AQ67" s="15"/>
      <c r="AR67" s="15"/>
      <c r="AS67" s="15"/>
      <c r="AT67" s="15"/>
    </row>
    <row r="68" spans="1:46" x14ac:dyDescent="0.25">
      <c r="A68" s="15"/>
      <c r="B68" s="37"/>
      <c r="C68" s="37"/>
      <c r="D68" s="38"/>
      <c r="E68" s="38"/>
      <c r="F68" s="39"/>
      <c r="G68" s="39"/>
      <c r="H68" s="39"/>
      <c r="I68" s="38"/>
      <c r="J68" s="15"/>
      <c r="K68" s="38"/>
      <c r="L68" s="38"/>
      <c r="M68" s="38"/>
      <c r="N68" s="38"/>
      <c r="O68" s="38"/>
      <c r="P68" s="15"/>
      <c r="Q68" s="40"/>
      <c r="R68" s="38"/>
      <c r="S68" s="38"/>
      <c r="T68" s="38"/>
      <c r="U68" s="38"/>
      <c r="V68" s="38"/>
      <c r="W68" s="38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41"/>
      <c r="AM68" s="15"/>
      <c r="AN68" s="15"/>
      <c r="AO68" s="15"/>
      <c r="AP68" s="15"/>
      <c r="AQ68" s="15"/>
      <c r="AR68" s="15"/>
      <c r="AS68" s="15"/>
      <c r="AT68" s="15"/>
    </row>
    <row r="69" spans="1:46" x14ac:dyDescent="0.25">
      <c r="A69" s="15"/>
      <c r="B69" s="37"/>
      <c r="C69" s="37"/>
      <c r="D69" s="38"/>
      <c r="E69" s="38"/>
      <c r="F69" s="39"/>
      <c r="G69" s="39"/>
      <c r="H69" s="39"/>
      <c r="I69" s="38"/>
      <c r="J69" s="15"/>
      <c r="K69" s="38"/>
      <c r="L69" s="38"/>
      <c r="M69" s="38"/>
      <c r="N69" s="38"/>
      <c r="O69" s="38"/>
      <c r="P69" s="15"/>
      <c r="Q69" s="40"/>
      <c r="R69" s="38"/>
      <c r="S69" s="38"/>
      <c r="T69" s="38"/>
      <c r="U69" s="38"/>
      <c r="V69" s="38"/>
      <c r="W69" s="38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41"/>
      <c r="AM69" s="15"/>
      <c r="AN69" s="15"/>
      <c r="AO69" s="15"/>
      <c r="AP69" s="15"/>
      <c r="AQ69" s="15"/>
      <c r="AR69" s="15"/>
      <c r="AS69" s="15"/>
      <c r="AT69" s="15"/>
    </row>
    <row r="70" spans="1:46" x14ac:dyDescent="0.25">
      <c r="A70" s="15"/>
      <c r="B70" s="37"/>
      <c r="C70" s="37"/>
      <c r="D70" s="38"/>
      <c r="E70" s="38"/>
      <c r="F70" s="39"/>
      <c r="G70" s="39"/>
      <c r="H70" s="39"/>
      <c r="I70" s="38"/>
      <c r="J70" s="15"/>
      <c r="K70" s="38"/>
      <c r="L70" s="38"/>
      <c r="M70" s="38"/>
      <c r="N70" s="38"/>
      <c r="O70" s="38"/>
      <c r="P70" s="15"/>
      <c r="Q70" s="40"/>
      <c r="R70" s="38"/>
      <c r="S70" s="38"/>
      <c r="T70" s="38"/>
      <c r="U70" s="38"/>
      <c r="V70" s="38"/>
      <c r="W70" s="38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41"/>
      <c r="AM70" s="15"/>
      <c r="AN70" s="15"/>
      <c r="AO70" s="15"/>
      <c r="AP70" s="15"/>
      <c r="AQ70" s="15"/>
      <c r="AR70" s="15"/>
      <c r="AS70" s="15"/>
      <c r="AT70" s="15"/>
    </row>
    <row r="71" spans="1:46" x14ac:dyDescent="0.25">
      <c r="A71" s="15"/>
      <c r="B71" s="37"/>
      <c r="C71" s="37"/>
      <c r="D71" s="38"/>
      <c r="E71" s="38"/>
      <c r="F71" s="39"/>
      <c r="G71" s="39"/>
      <c r="H71" s="39"/>
      <c r="I71" s="38"/>
      <c r="J71" s="15"/>
      <c r="K71" s="38"/>
      <c r="L71" s="38"/>
      <c r="M71" s="38"/>
      <c r="N71" s="38"/>
      <c r="O71" s="38"/>
      <c r="P71" s="15"/>
      <c r="Q71" s="40"/>
      <c r="R71" s="38"/>
      <c r="S71" s="38"/>
      <c r="T71" s="38"/>
      <c r="U71" s="38"/>
      <c r="V71" s="38"/>
      <c r="W71" s="38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41"/>
      <c r="AM71" s="15"/>
      <c r="AN71" s="15"/>
      <c r="AO71" s="15"/>
      <c r="AP71" s="15"/>
      <c r="AQ71" s="15"/>
      <c r="AR71" s="15"/>
      <c r="AS71" s="15"/>
      <c r="AT71" s="15"/>
    </row>
    <row r="72" spans="1:46" x14ac:dyDescent="0.25">
      <c r="A72" s="15"/>
      <c r="B72" s="37"/>
      <c r="C72" s="37"/>
      <c r="D72" s="38"/>
      <c r="E72" s="38"/>
      <c r="F72" s="39"/>
      <c r="G72" s="39"/>
      <c r="H72" s="39"/>
      <c r="I72" s="38"/>
      <c r="J72" s="15"/>
      <c r="K72" s="38"/>
      <c r="L72" s="38"/>
      <c r="M72" s="38"/>
      <c r="N72" s="38"/>
      <c r="O72" s="38"/>
      <c r="P72" s="15"/>
      <c r="Q72" s="40"/>
      <c r="R72" s="38"/>
      <c r="S72" s="38"/>
      <c r="T72" s="38"/>
      <c r="U72" s="38"/>
      <c r="V72" s="38"/>
      <c r="W72" s="38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41"/>
      <c r="AM72" s="15"/>
      <c r="AN72" s="15"/>
      <c r="AO72" s="15"/>
      <c r="AP72" s="15"/>
      <c r="AQ72" s="15"/>
      <c r="AR72" s="15"/>
      <c r="AS72" s="15"/>
      <c r="AT72" s="15"/>
    </row>
    <row r="73" spans="1:46" x14ac:dyDescent="0.25">
      <c r="A73" s="15"/>
      <c r="B73" s="37"/>
      <c r="C73" s="37"/>
      <c r="D73" s="38"/>
      <c r="E73" s="38"/>
      <c r="F73" s="39"/>
      <c r="G73" s="39"/>
      <c r="H73" s="39"/>
      <c r="I73" s="38"/>
      <c r="J73" s="15"/>
      <c r="K73" s="38"/>
      <c r="L73" s="38"/>
      <c r="M73" s="38"/>
      <c r="N73" s="38"/>
      <c r="O73" s="38"/>
      <c r="P73" s="15"/>
      <c r="Q73" s="40"/>
      <c r="R73" s="38"/>
      <c r="S73" s="38"/>
      <c r="T73" s="38"/>
      <c r="U73" s="38"/>
      <c r="V73" s="38"/>
      <c r="W73" s="38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41"/>
      <c r="AM73" s="15"/>
      <c r="AN73" s="15"/>
      <c r="AO73" s="15"/>
      <c r="AP73" s="15"/>
      <c r="AQ73" s="15"/>
      <c r="AR73" s="15"/>
      <c r="AS73" s="15"/>
      <c r="AT73" s="15"/>
    </row>
    <row r="74" spans="1:46" x14ac:dyDescent="0.25">
      <c r="A74" s="15"/>
      <c r="B74" s="37"/>
      <c r="C74" s="37"/>
      <c r="D74" s="38"/>
      <c r="E74" s="38"/>
      <c r="F74" s="39"/>
      <c r="G74" s="39"/>
      <c r="H74" s="39"/>
      <c r="I74" s="38"/>
      <c r="J74" s="15"/>
      <c r="K74" s="38"/>
      <c r="L74" s="38"/>
      <c r="M74" s="38"/>
      <c r="N74" s="38"/>
      <c r="O74" s="38"/>
      <c r="P74" s="15"/>
      <c r="Q74" s="40"/>
      <c r="R74" s="38"/>
      <c r="S74" s="38"/>
      <c r="T74" s="38"/>
      <c r="U74" s="38"/>
      <c r="V74" s="38"/>
      <c r="W74" s="38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41"/>
      <c r="AM74" s="15"/>
      <c r="AN74" s="15"/>
      <c r="AO74" s="15"/>
      <c r="AP74" s="15"/>
      <c r="AQ74" s="15"/>
      <c r="AR74" s="15"/>
      <c r="AS74" s="15"/>
      <c r="AT74" s="15"/>
    </row>
    <row r="75" spans="1:46" x14ac:dyDescent="0.25">
      <c r="A75" s="15"/>
      <c r="B75" s="37"/>
      <c r="C75" s="37"/>
      <c r="D75" s="38"/>
      <c r="E75" s="38"/>
      <c r="F75" s="39"/>
      <c r="G75" s="39"/>
      <c r="H75" s="39"/>
      <c r="I75" s="38"/>
      <c r="J75" s="15"/>
      <c r="K75" s="38"/>
      <c r="L75" s="38"/>
      <c r="M75" s="38"/>
      <c r="N75" s="38"/>
      <c r="O75" s="38"/>
      <c r="P75" s="15"/>
      <c r="Q75" s="40"/>
      <c r="R75" s="38"/>
      <c r="S75" s="38"/>
      <c r="T75" s="38"/>
      <c r="U75" s="38"/>
      <c r="V75" s="38"/>
      <c r="W75" s="38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41"/>
      <c r="AM75" s="15"/>
      <c r="AN75" s="15"/>
      <c r="AO75" s="15"/>
      <c r="AP75" s="15"/>
      <c r="AQ75" s="15"/>
      <c r="AR75" s="15"/>
      <c r="AS75" s="15"/>
      <c r="AT75" s="15"/>
    </row>
    <row r="76" spans="1:46" x14ac:dyDescent="0.25">
      <c r="A76" s="15"/>
      <c r="B76" s="37"/>
      <c r="C76" s="37"/>
      <c r="D76" s="38"/>
      <c r="E76" s="38"/>
      <c r="F76" s="39"/>
      <c r="G76" s="39"/>
      <c r="H76" s="39"/>
      <c r="I76" s="38"/>
      <c r="J76" s="15"/>
      <c r="K76" s="38"/>
      <c r="L76" s="38"/>
      <c r="M76" s="38"/>
      <c r="N76" s="38"/>
      <c r="O76" s="38"/>
      <c r="P76" s="15"/>
      <c r="Q76" s="40"/>
      <c r="R76" s="38"/>
      <c r="S76" s="38"/>
      <c r="T76" s="38"/>
      <c r="U76" s="38"/>
      <c r="V76" s="38"/>
      <c r="W76" s="38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41"/>
      <c r="AM76" s="15"/>
      <c r="AN76" s="15"/>
      <c r="AO76" s="15"/>
      <c r="AP76" s="15"/>
      <c r="AQ76" s="15"/>
      <c r="AR76" s="15"/>
      <c r="AS76" s="15"/>
      <c r="AT76" s="15"/>
    </row>
    <row r="77" spans="1:46" x14ac:dyDescent="0.25">
      <c r="A77" s="15"/>
      <c r="B77" s="37"/>
      <c r="C77" s="37"/>
      <c r="D77" s="38"/>
      <c r="E77" s="38"/>
      <c r="F77" s="39"/>
      <c r="G77" s="39"/>
      <c r="H77" s="39"/>
      <c r="I77" s="38"/>
      <c r="J77" s="15"/>
      <c r="K77" s="38"/>
      <c r="L77" s="38"/>
      <c r="M77" s="38"/>
      <c r="N77" s="38"/>
      <c r="O77" s="38"/>
      <c r="P77" s="15"/>
      <c r="Q77" s="40"/>
      <c r="R77" s="38"/>
      <c r="S77" s="38"/>
      <c r="T77" s="38"/>
      <c r="U77" s="38"/>
      <c r="V77" s="38"/>
      <c r="W77" s="38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41"/>
      <c r="AM77" s="15"/>
      <c r="AN77" s="15"/>
      <c r="AO77" s="15"/>
      <c r="AP77" s="15"/>
      <c r="AQ77" s="15"/>
      <c r="AR77" s="15"/>
      <c r="AS77" s="15"/>
      <c r="AT77" s="15"/>
    </row>
    <row r="78" spans="1:46" x14ac:dyDescent="0.25">
      <c r="A78" s="15"/>
      <c r="B78" s="37"/>
      <c r="C78" s="37"/>
      <c r="D78" s="38"/>
      <c r="E78" s="38"/>
      <c r="F78" s="39"/>
      <c r="G78" s="39"/>
      <c r="H78" s="39"/>
      <c r="I78" s="38"/>
      <c r="J78" s="15"/>
      <c r="K78" s="38"/>
      <c r="L78" s="38"/>
      <c r="M78" s="38"/>
      <c r="N78" s="38"/>
      <c r="O78" s="38"/>
      <c r="P78" s="15"/>
      <c r="Q78" s="40"/>
      <c r="R78" s="38"/>
      <c r="S78" s="38"/>
      <c r="T78" s="38"/>
      <c r="U78" s="38"/>
      <c r="V78" s="38"/>
      <c r="W78" s="38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41"/>
      <c r="AM78" s="15"/>
      <c r="AN78" s="15"/>
      <c r="AO78" s="15"/>
      <c r="AP78" s="15"/>
      <c r="AQ78" s="15"/>
      <c r="AR78" s="15"/>
      <c r="AS78" s="15"/>
      <c r="AT78" s="15"/>
    </row>
    <row r="79" spans="1:46" x14ac:dyDescent="0.25">
      <c r="A79" s="15"/>
      <c r="B79" s="37"/>
      <c r="C79" s="37"/>
      <c r="D79" s="38"/>
      <c r="E79" s="38"/>
      <c r="F79" s="39"/>
      <c r="G79" s="39"/>
      <c r="H79" s="39"/>
      <c r="I79" s="38"/>
      <c r="J79" s="15"/>
      <c r="K79" s="38"/>
      <c r="L79" s="38"/>
      <c r="M79" s="38"/>
      <c r="N79" s="38"/>
      <c r="O79" s="38"/>
      <c r="P79" s="15"/>
      <c r="Q79" s="40"/>
      <c r="R79" s="38"/>
      <c r="S79" s="38"/>
      <c r="T79" s="38"/>
      <c r="U79" s="38"/>
      <c r="V79" s="38"/>
      <c r="W79" s="38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41"/>
      <c r="AM79" s="15"/>
      <c r="AN79" s="15"/>
      <c r="AO79" s="15"/>
      <c r="AP79" s="15"/>
      <c r="AQ79" s="15"/>
      <c r="AR79" s="15"/>
      <c r="AS79" s="15"/>
      <c r="AT79" s="15"/>
    </row>
    <row r="80" spans="1:46" x14ac:dyDescent="0.25">
      <c r="A80" s="15"/>
      <c r="B80" s="37"/>
      <c r="C80" s="37"/>
      <c r="D80" s="38"/>
      <c r="E80" s="38"/>
      <c r="F80" s="39"/>
      <c r="G80" s="39"/>
      <c r="H80" s="39"/>
      <c r="I80" s="38"/>
      <c r="J80" s="15"/>
      <c r="K80" s="38"/>
      <c r="L80" s="38"/>
      <c r="M80" s="38"/>
      <c r="N80" s="38"/>
      <c r="O80" s="38"/>
      <c r="P80" s="15"/>
      <c r="Q80" s="40"/>
      <c r="R80" s="38"/>
      <c r="S80" s="38"/>
      <c r="T80" s="38"/>
      <c r="U80" s="38"/>
      <c r="V80" s="38"/>
      <c r="W80" s="38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41"/>
      <c r="AM80" s="15"/>
      <c r="AN80" s="15"/>
      <c r="AO80" s="15"/>
      <c r="AP80" s="15"/>
      <c r="AQ80" s="15"/>
      <c r="AR80" s="15"/>
      <c r="AS80" s="15"/>
      <c r="AT80" s="15"/>
    </row>
    <row r="81" spans="1:46" x14ac:dyDescent="0.25">
      <c r="A81" s="15"/>
      <c r="B81" s="37"/>
      <c r="C81" s="37"/>
      <c r="D81" s="38"/>
      <c r="E81" s="38"/>
      <c r="F81" s="39"/>
      <c r="G81" s="39"/>
      <c r="H81" s="39"/>
      <c r="I81" s="38"/>
      <c r="J81" s="15"/>
      <c r="K81" s="38"/>
      <c r="L81" s="38"/>
      <c r="M81" s="38"/>
      <c r="N81" s="38"/>
      <c r="O81" s="38"/>
      <c r="P81" s="15"/>
      <c r="Q81" s="40"/>
      <c r="R81" s="38"/>
      <c r="S81" s="38"/>
      <c r="T81" s="38"/>
      <c r="U81" s="38"/>
      <c r="V81" s="38"/>
      <c r="W81" s="38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41"/>
      <c r="AM81" s="15"/>
      <c r="AN81" s="15"/>
      <c r="AO81" s="15"/>
      <c r="AP81" s="15"/>
      <c r="AQ81" s="15"/>
      <c r="AR81" s="15"/>
      <c r="AS81" s="15"/>
      <c r="AT81" s="15"/>
    </row>
    <row r="82" spans="1:46" x14ac:dyDescent="0.25">
      <c r="A82" s="15"/>
      <c r="B82" s="37"/>
      <c r="C82" s="37"/>
      <c r="D82" s="38"/>
      <c r="E82" s="38"/>
      <c r="F82" s="39"/>
      <c r="G82" s="39"/>
      <c r="H82" s="39"/>
      <c r="I82" s="38"/>
      <c r="J82" s="15"/>
      <c r="K82" s="38"/>
      <c r="L82" s="38"/>
      <c r="M82" s="38"/>
      <c r="N82" s="38"/>
      <c r="O82" s="38"/>
      <c r="P82" s="15"/>
      <c r="Q82" s="40"/>
      <c r="R82" s="38"/>
      <c r="S82" s="38"/>
      <c r="T82" s="38"/>
      <c r="U82" s="38"/>
      <c r="V82" s="38"/>
      <c r="W82" s="38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41"/>
      <c r="AM82" s="15"/>
      <c r="AN82" s="15"/>
      <c r="AO82" s="15"/>
      <c r="AP82" s="15"/>
      <c r="AQ82" s="15"/>
      <c r="AR82" s="15"/>
      <c r="AS82" s="15"/>
      <c r="AT82" s="15"/>
    </row>
    <row r="83" spans="1:46" x14ac:dyDescent="0.25">
      <c r="A83" s="15"/>
      <c r="B83" s="37"/>
      <c r="C83" s="37"/>
      <c r="D83" s="38"/>
      <c r="E83" s="38"/>
      <c r="F83" s="39"/>
      <c r="G83" s="39"/>
      <c r="H83" s="39"/>
      <c r="I83" s="38"/>
      <c r="J83" s="15"/>
      <c r="K83" s="38"/>
      <c r="L83" s="38"/>
      <c r="M83" s="38"/>
      <c r="N83" s="38"/>
      <c r="O83" s="38"/>
      <c r="P83" s="15"/>
      <c r="Q83" s="40"/>
      <c r="R83" s="38"/>
      <c r="S83" s="38"/>
      <c r="T83" s="38"/>
      <c r="U83" s="38"/>
      <c r="V83" s="38"/>
      <c r="W83" s="38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41"/>
      <c r="AM83" s="15"/>
      <c r="AN83" s="15"/>
      <c r="AO83" s="15"/>
      <c r="AP83" s="15"/>
      <c r="AQ83" s="15"/>
      <c r="AR83" s="15"/>
      <c r="AS83" s="15"/>
      <c r="AT83" s="15"/>
    </row>
    <row r="84" spans="1:46" x14ac:dyDescent="0.25">
      <c r="A84" s="15"/>
      <c r="B84" s="37"/>
      <c r="C84" s="37"/>
      <c r="D84" s="38"/>
      <c r="E84" s="38"/>
      <c r="F84" s="39"/>
      <c r="G84" s="39"/>
      <c r="H84" s="39"/>
      <c r="I84" s="38"/>
      <c r="J84" s="15"/>
      <c r="K84" s="38"/>
      <c r="L84" s="38"/>
      <c r="M84" s="38"/>
      <c r="N84" s="38"/>
      <c r="O84" s="38"/>
      <c r="P84" s="15"/>
      <c r="Q84" s="40"/>
      <c r="R84" s="38"/>
      <c r="S84" s="38"/>
      <c r="T84" s="38"/>
      <c r="U84" s="38"/>
      <c r="V84" s="38"/>
      <c r="W84" s="38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41"/>
      <c r="AM84" s="15"/>
      <c r="AN84" s="15"/>
      <c r="AO84" s="15"/>
      <c r="AP84" s="15"/>
      <c r="AQ84" s="15"/>
      <c r="AR84" s="15"/>
      <c r="AS84" s="15"/>
      <c r="AT84" s="15"/>
    </row>
    <row r="85" spans="1:46" x14ac:dyDescent="0.25">
      <c r="A85" s="15"/>
      <c r="B85" s="37"/>
      <c r="C85" s="37"/>
      <c r="D85" s="38"/>
      <c r="E85" s="38"/>
      <c r="F85" s="39"/>
      <c r="G85" s="39"/>
      <c r="H85" s="39"/>
      <c r="I85" s="38"/>
      <c r="J85" s="15"/>
      <c r="K85" s="38"/>
      <c r="L85" s="38"/>
      <c r="M85" s="38"/>
      <c r="N85" s="38"/>
      <c r="O85" s="38"/>
      <c r="P85" s="15"/>
      <c r="Q85" s="40"/>
      <c r="R85" s="38"/>
      <c r="S85" s="38"/>
      <c r="T85" s="38"/>
      <c r="U85" s="38"/>
      <c r="V85" s="38"/>
      <c r="W85" s="38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41"/>
      <c r="AM85" s="15"/>
      <c r="AN85" s="15"/>
      <c r="AO85" s="15"/>
      <c r="AP85" s="15"/>
      <c r="AQ85" s="15"/>
      <c r="AR85" s="15"/>
      <c r="AS85" s="15"/>
      <c r="AT85" s="15"/>
    </row>
    <row r="86" spans="1:46" x14ac:dyDescent="0.25">
      <c r="A86" s="15"/>
      <c r="B86" s="37"/>
      <c r="C86" s="37"/>
      <c r="D86" s="38"/>
      <c r="E86" s="38"/>
      <c r="F86" s="39"/>
      <c r="G86" s="39"/>
      <c r="H86" s="39"/>
      <c r="I86" s="38"/>
      <c r="J86" s="15"/>
      <c r="K86" s="38"/>
      <c r="L86" s="38"/>
      <c r="M86" s="38"/>
      <c r="N86" s="38"/>
      <c r="O86" s="38"/>
      <c r="P86" s="15"/>
      <c r="Q86" s="40"/>
      <c r="R86" s="38"/>
      <c r="S86" s="38"/>
      <c r="T86" s="38"/>
      <c r="U86" s="38"/>
      <c r="V86" s="38"/>
      <c r="W86" s="38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41"/>
      <c r="AM86" s="15"/>
      <c r="AN86" s="15"/>
      <c r="AO86" s="15"/>
      <c r="AP86" s="15"/>
      <c r="AQ86" s="15"/>
      <c r="AR86" s="15"/>
      <c r="AS86" s="15"/>
      <c r="AT86" s="15"/>
    </row>
    <row r="87" spans="1:46" x14ac:dyDescent="0.25">
      <c r="A87" s="15"/>
      <c r="B87" s="37"/>
      <c r="C87" s="37"/>
      <c r="D87" s="38"/>
      <c r="E87" s="38"/>
      <c r="F87" s="39"/>
      <c r="G87" s="39"/>
      <c r="H87" s="39"/>
      <c r="I87" s="38"/>
      <c r="J87" s="15"/>
      <c r="K87" s="38"/>
      <c r="L87" s="38"/>
      <c r="M87" s="38"/>
      <c r="N87" s="38"/>
      <c r="O87" s="38"/>
      <c r="P87" s="15"/>
      <c r="Q87" s="40"/>
      <c r="R87" s="38"/>
      <c r="S87" s="38"/>
      <c r="T87" s="38"/>
      <c r="U87" s="38"/>
      <c r="V87" s="38"/>
      <c r="W87" s="38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41"/>
      <c r="AM87" s="15"/>
      <c r="AN87" s="15"/>
      <c r="AO87" s="15"/>
      <c r="AP87" s="15"/>
      <c r="AQ87" s="15"/>
      <c r="AR87" s="15"/>
      <c r="AS87" s="15"/>
      <c r="AT87" s="15"/>
    </row>
    <row r="88" spans="1:46" x14ac:dyDescent="0.25">
      <c r="A88" s="15"/>
      <c r="B88" s="37"/>
      <c r="C88" s="37"/>
      <c r="D88" s="38"/>
      <c r="E88" s="38"/>
      <c r="F88" s="39"/>
      <c r="G88" s="39"/>
      <c r="H88" s="39"/>
      <c r="I88" s="38"/>
      <c r="J88" s="15"/>
      <c r="K88" s="38"/>
      <c r="L88" s="38"/>
      <c r="M88" s="38"/>
      <c r="N88" s="38"/>
      <c r="O88" s="38"/>
      <c r="P88" s="15"/>
      <c r="Q88" s="40"/>
      <c r="R88" s="38"/>
      <c r="S88" s="38"/>
      <c r="T88" s="38"/>
      <c r="U88" s="38"/>
      <c r="V88" s="38"/>
      <c r="W88" s="38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41"/>
      <c r="AM88" s="15"/>
      <c r="AN88" s="15"/>
      <c r="AO88" s="15"/>
      <c r="AP88" s="15"/>
      <c r="AQ88" s="15"/>
      <c r="AR88" s="15"/>
      <c r="AS88" s="15"/>
      <c r="AT88" s="15"/>
    </row>
    <row r="89" spans="1:46" x14ac:dyDescent="0.25">
      <c r="A89" s="15"/>
      <c r="B89" s="37"/>
      <c r="C89" s="37"/>
      <c r="D89" s="38"/>
      <c r="E89" s="38"/>
      <c r="F89" s="39"/>
      <c r="G89" s="39"/>
      <c r="H89" s="39"/>
      <c r="I89" s="38"/>
      <c r="J89" s="15"/>
      <c r="K89" s="38"/>
      <c r="L89" s="38"/>
      <c r="M89" s="38"/>
      <c r="N89" s="38"/>
      <c r="O89" s="38"/>
      <c r="P89" s="15"/>
      <c r="Q89" s="40"/>
      <c r="R89" s="38"/>
      <c r="S89" s="38"/>
      <c r="T89" s="38"/>
      <c r="U89" s="38"/>
      <c r="V89" s="38"/>
      <c r="W89" s="38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41"/>
      <c r="AM89" s="15"/>
      <c r="AN89" s="15"/>
      <c r="AO89" s="15"/>
      <c r="AP89" s="15"/>
      <c r="AQ89" s="15"/>
      <c r="AR89" s="15"/>
      <c r="AS89" s="15"/>
      <c r="AT89" s="15"/>
    </row>
    <row r="90" spans="1:46" x14ac:dyDescent="0.25">
      <c r="A90" s="15"/>
      <c r="B90" s="37"/>
      <c r="C90" s="37"/>
      <c r="D90" s="38"/>
      <c r="E90" s="38"/>
      <c r="F90" s="39"/>
      <c r="G90" s="39"/>
      <c r="H90" s="39"/>
      <c r="I90" s="38"/>
      <c r="J90" s="15"/>
      <c r="K90" s="38"/>
      <c r="L90" s="38"/>
      <c r="M90" s="38"/>
      <c r="N90" s="38"/>
      <c r="O90" s="38"/>
      <c r="P90" s="15"/>
      <c r="Q90" s="40"/>
      <c r="R90" s="38"/>
      <c r="S90" s="38"/>
      <c r="T90" s="38"/>
      <c r="U90" s="38"/>
      <c r="V90" s="38"/>
      <c r="W90" s="38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41"/>
      <c r="AM90" s="15"/>
      <c r="AN90" s="15"/>
      <c r="AO90" s="15"/>
      <c r="AP90" s="15"/>
      <c r="AQ90" s="15"/>
      <c r="AR90" s="15"/>
      <c r="AS90" s="15"/>
      <c r="AT90" s="15"/>
    </row>
    <row r="91" spans="1:46" x14ac:dyDescent="0.25">
      <c r="A91" s="15"/>
      <c r="B91" s="37"/>
      <c r="C91" s="37"/>
      <c r="D91" s="38"/>
      <c r="E91" s="38"/>
      <c r="F91" s="39"/>
      <c r="G91" s="39"/>
      <c r="H91" s="39"/>
      <c r="I91" s="38"/>
      <c r="J91" s="15"/>
      <c r="K91" s="38"/>
      <c r="L91" s="38"/>
      <c r="M91" s="38"/>
      <c r="N91" s="38"/>
      <c r="O91" s="38"/>
      <c r="P91" s="15"/>
      <c r="Q91" s="40"/>
      <c r="R91" s="38"/>
      <c r="S91" s="38"/>
      <c r="T91" s="38"/>
      <c r="U91" s="38"/>
      <c r="V91" s="38"/>
      <c r="W91" s="38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41"/>
      <c r="AM91" s="15"/>
      <c r="AN91" s="15"/>
      <c r="AO91" s="15"/>
      <c r="AP91" s="15"/>
      <c r="AQ91" s="15"/>
      <c r="AR91" s="15"/>
      <c r="AS91" s="15"/>
      <c r="AT91" s="15"/>
    </row>
    <row r="92" spans="1:46" x14ac:dyDescent="0.25">
      <c r="A92" s="15"/>
      <c r="B92" s="37"/>
      <c r="C92" s="37"/>
      <c r="D92" s="38"/>
      <c r="E92" s="38"/>
      <c r="F92" s="39"/>
      <c r="G92" s="39"/>
      <c r="H92" s="39"/>
      <c r="I92" s="38"/>
      <c r="J92" s="15"/>
      <c r="K92" s="38"/>
      <c r="L92" s="38"/>
      <c r="M92" s="38"/>
      <c r="N92" s="38"/>
      <c r="O92" s="38"/>
      <c r="P92" s="15"/>
      <c r="Q92" s="40"/>
      <c r="R92" s="38"/>
      <c r="S92" s="38"/>
      <c r="T92" s="38"/>
      <c r="U92" s="38"/>
      <c r="V92" s="38"/>
      <c r="W92" s="38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41"/>
      <c r="AM92" s="15"/>
      <c r="AN92" s="15"/>
      <c r="AO92" s="15"/>
      <c r="AP92" s="15"/>
      <c r="AQ92" s="15"/>
      <c r="AR92" s="15"/>
      <c r="AS92" s="15"/>
      <c r="AT92" s="15"/>
    </row>
    <row r="93" spans="1:46" x14ac:dyDescent="0.25">
      <c r="A93" s="15"/>
      <c r="B93" s="37"/>
      <c r="C93" s="37"/>
      <c r="D93" s="38"/>
      <c r="E93" s="38"/>
      <c r="F93" s="39"/>
      <c r="G93" s="39"/>
      <c r="H93" s="39"/>
      <c r="I93" s="38"/>
      <c r="J93" s="15"/>
      <c r="K93" s="38"/>
      <c r="L93" s="38"/>
      <c r="M93" s="38"/>
      <c r="N93" s="38"/>
      <c r="O93" s="38"/>
      <c r="P93" s="15"/>
      <c r="Q93" s="40"/>
      <c r="R93" s="38"/>
      <c r="S93" s="38"/>
      <c r="T93" s="38"/>
      <c r="U93" s="38"/>
      <c r="V93" s="38"/>
      <c r="W93" s="38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41"/>
      <c r="AM93" s="15"/>
      <c r="AN93" s="15"/>
      <c r="AO93" s="15"/>
      <c r="AP93" s="15"/>
      <c r="AQ93" s="15"/>
      <c r="AR93" s="15"/>
      <c r="AS93" s="15"/>
      <c r="AT93" s="15"/>
    </row>
    <row r="94" spans="1:46" x14ac:dyDescent="0.25">
      <c r="A94" s="15"/>
      <c r="B94" s="37"/>
      <c r="C94" s="37"/>
      <c r="D94" s="38"/>
      <c r="E94" s="38"/>
      <c r="F94" s="39"/>
      <c r="G94" s="39"/>
      <c r="H94" s="39"/>
      <c r="I94" s="38"/>
      <c r="J94" s="15"/>
      <c r="K94" s="38"/>
      <c r="L94" s="38"/>
      <c r="M94" s="38"/>
      <c r="N94" s="38"/>
      <c r="O94" s="38"/>
      <c r="P94" s="15"/>
      <c r="Q94" s="40"/>
      <c r="R94" s="38"/>
      <c r="S94" s="38"/>
      <c r="T94" s="38"/>
      <c r="U94" s="38"/>
      <c r="V94" s="38"/>
      <c r="W94" s="38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41"/>
      <c r="AM94" s="15"/>
      <c r="AN94" s="15"/>
      <c r="AO94" s="15"/>
      <c r="AP94" s="15"/>
      <c r="AQ94" s="15"/>
      <c r="AR94" s="15"/>
      <c r="AS94" s="15"/>
      <c r="AT94" s="15"/>
    </row>
    <row r="95" spans="1:46" x14ac:dyDescent="0.25">
      <c r="A95" s="15"/>
      <c r="B95" s="37"/>
      <c r="C95" s="37"/>
      <c r="D95" s="38"/>
      <c r="E95" s="38"/>
      <c r="F95" s="39"/>
      <c r="G95" s="39"/>
      <c r="H95" s="39"/>
      <c r="I95" s="38"/>
      <c r="J95" s="15"/>
      <c r="K95" s="38"/>
      <c r="L95" s="38"/>
      <c r="M95" s="38"/>
      <c r="N95" s="38"/>
      <c r="O95" s="38"/>
      <c r="P95" s="15"/>
      <c r="Q95" s="40"/>
      <c r="R95" s="38"/>
      <c r="S95" s="38"/>
      <c r="T95" s="38"/>
      <c r="U95" s="38"/>
      <c r="V95" s="38"/>
      <c r="W95" s="38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41"/>
      <c r="AM95" s="15"/>
      <c r="AN95" s="15"/>
      <c r="AO95" s="15"/>
      <c r="AP95" s="15"/>
      <c r="AQ95" s="15"/>
      <c r="AR95" s="15"/>
      <c r="AS95" s="15"/>
      <c r="AT95" s="15"/>
    </row>
    <row r="96" spans="1:46" x14ac:dyDescent="0.25">
      <c r="A96" s="15"/>
      <c r="B96" s="37"/>
      <c r="C96" s="37"/>
      <c r="D96" s="38"/>
      <c r="E96" s="38"/>
      <c r="F96" s="39"/>
      <c r="G96" s="39"/>
      <c r="H96" s="39"/>
      <c r="I96" s="38"/>
      <c r="J96" s="15"/>
      <c r="K96" s="38"/>
      <c r="L96" s="38"/>
      <c r="M96" s="38"/>
      <c r="N96" s="38"/>
      <c r="O96" s="38"/>
      <c r="P96" s="15"/>
      <c r="Q96" s="40"/>
      <c r="R96" s="38"/>
      <c r="S96" s="38"/>
      <c r="T96" s="38"/>
      <c r="U96" s="38"/>
      <c r="V96" s="38"/>
      <c r="W96" s="38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41"/>
      <c r="AM96" s="15"/>
      <c r="AN96" s="15"/>
      <c r="AO96" s="15"/>
      <c r="AP96" s="15"/>
      <c r="AQ96" s="15"/>
      <c r="AR96" s="15"/>
      <c r="AS96" s="15"/>
      <c r="AT96" s="15"/>
    </row>
    <row r="97" spans="1:46" x14ac:dyDescent="0.25">
      <c r="A97" s="15"/>
      <c r="B97" s="37"/>
      <c r="C97" s="37"/>
      <c r="D97" s="38"/>
      <c r="E97" s="38"/>
      <c r="F97" s="39"/>
      <c r="G97" s="39"/>
      <c r="H97" s="39"/>
      <c r="I97" s="38"/>
      <c r="J97" s="15"/>
      <c r="K97" s="38"/>
      <c r="L97" s="38"/>
      <c r="M97" s="38"/>
      <c r="N97" s="38"/>
      <c r="O97" s="38"/>
      <c r="P97" s="15"/>
      <c r="Q97" s="40"/>
      <c r="R97" s="38"/>
      <c r="S97" s="38"/>
      <c r="T97" s="38"/>
      <c r="U97" s="38"/>
      <c r="V97" s="38"/>
      <c r="W97" s="38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41"/>
      <c r="AM97" s="15"/>
      <c r="AN97" s="15"/>
      <c r="AO97" s="15"/>
      <c r="AP97" s="15"/>
      <c r="AQ97" s="15"/>
      <c r="AR97" s="15"/>
      <c r="AS97" s="15"/>
      <c r="AT97" s="15"/>
    </row>
    <row r="98" spans="1:46" x14ac:dyDescent="0.25">
      <c r="A98" s="15"/>
      <c r="B98" s="37"/>
      <c r="C98" s="37"/>
      <c r="D98" s="38"/>
      <c r="E98" s="38"/>
      <c r="F98" s="39"/>
      <c r="G98" s="39"/>
      <c r="H98" s="39"/>
      <c r="I98" s="38"/>
      <c r="J98" s="15"/>
      <c r="K98" s="38"/>
      <c r="L98" s="38"/>
      <c r="M98" s="38"/>
      <c r="N98" s="38"/>
      <c r="O98" s="38"/>
      <c r="P98" s="15"/>
      <c r="Q98" s="40"/>
      <c r="R98" s="38"/>
      <c r="S98" s="38"/>
      <c r="T98" s="38"/>
      <c r="U98" s="38"/>
      <c r="V98" s="38"/>
      <c r="W98" s="38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41"/>
      <c r="AM98" s="15"/>
      <c r="AN98" s="15"/>
      <c r="AO98" s="15"/>
      <c r="AP98" s="15"/>
      <c r="AQ98" s="15"/>
      <c r="AR98" s="15"/>
      <c r="AS98" s="15"/>
      <c r="AT98" s="15"/>
    </row>
    <row r="99" spans="1:46" x14ac:dyDescent="0.25">
      <c r="A99" s="15"/>
      <c r="B99" s="37"/>
      <c r="C99" s="37"/>
      <c r="D99" s="38"/>
      <c r="E99" s="38"/>
      <c r="F99" s="39"/>
      <c r="G99" s="39"/>
      <c r="H99" s="39"/>
      <c r="I99" s="38"/>
      <c r="J99" s="15"/>
      <c r="K99" s="38"/>
      <c r="L99" s="38"/>
      <c r="M99" s="38"/>
      <c r="N99" s="38"/>
      <c r="O99" s="38"/>
      <c r="P99" s="15"/>
      <c r="Q99" s="40"/>
      <c r="R99" s="38"/>
      <c r="S99" s="38"/>
      <c r="T99" s="38"/>
      <c r="U99" s="38"/>
      <c r="V99" s="38"/>
      <c r="W99" s="38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41"/>
      <c r="AM99" s="15"/>
      <c r="AN99" s="15"/>
      <c r="AO99" s="15"/>
      <c r="AP99" s="15"/>
      <c r="AQ99" s="15"/>
      <c r="AR99" s="15"/>
      <c r="AS99" s="15"/>
      <c r="AT99" s="15"/>
    </row>
    <row r="100" spans="1:46" x14ac:dyDescent="0.25">
      <c r="A100" s="15"/>
      <c r="B100" s="37"/>
      <c r="C100" s="37"/>
      <c r="D100" s="38"/>
      <c r="E100" s="38"/>
      <c r="F100" s="39"/>
      <c r="G100" s="39"/>
      <c r="H100" s="39"/>
      <c r="I100" s="38"/>
      <c r="J100" s="15"/>
      <c r="K100" s="38"/>
      <c r="L100" s="38"/>
      <c r="M100" s="38"/>
      <c r="N100" s="38"/>
      <c r="O100" s="38"/>
      <c r="P100" s="15"/>
      <c r="Q100" s="40"/>
      <c r="R100" s="38"/>
      <c r="S100" s="38"/>
      <c r="T100" s="38"/>
      <c r="U100" s="38"/>
      <c r="V100" s="38"/>
      <c r="W100" s="38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41"/>
      <c r="AM100" s="15"/>
      <c r="AN100" s="15"/>
      <c r="AO100" s="15"/>
      <c r="AP100" s="15"/>
      <c r="AQ100" s="15"/>
      <c r="AR100" s="15"/>
      <c r="AS100" s="15"/>
      <c r="AT100" s="15"/>
    </row>
    <row r="101" spans="1:46" x14ac:dyDescent="0.25">
      <c r="A101" s="15"/>
      <c r="B101" s="37"/>
      <c r="C101" s="37"/>
      <c r="D101" s="38"/>
      <c r="E101" s="38"/>
      <c r="F101" s="39"/>
      <c r="G101" s="39"/>
      <c r="H101" s="39"/>
      <c r="I101" s="38"/>
      <c r="J101" s="15"/>
      <c r="K101" s="38"/>
      <c r="L101" s="38"/>
      <c r="M101" s="38"/>
      <c r="N101" s="38"/>
      <c r="O101" s="38"/>
      <c r="P101" s="15"/>
      <c r="Q101" s="40"/>
      <c r="R101" s="38"/>
      <c r="S101" s="38"/>
      <c r="T101" s="38"/>
      <c r="U101" s="38"/>
      <c r="V101" s="38"/>
      <c r="W101" s="38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41"/>
      <c r="AM101" s="15"/>
      <c r="AN101" s="15"/>
      <c r="AO101" s="15"/>
      <c r="AP101" s="15"/>
      <c r="AQ101" s="15"/>
      <c r="AR101" s="15"/>
      <c r="AS101" s="15"/>
      <c r="AT101" s="15"/>
    </row>
    <row r="102" spans="1:46" x14ac:dyDescent="0.25">
      <c r="A102" s="15"/>
      <c r="B102" s="37"/>
      <c r="C102" s="37"/>
      <c r="D102" s="38"/>
      <c r="E102" s="38"/>
      <c r="F102" s="39"/>
      <c r="G102" s="39"/>
      <c r="H102" s="39"/>
      <c r="I102" s="38"/>
      <c r="J102" s="15"/>
      <c r="K102" s="38"/>
      <c r="L102" s="38"/>
      <c r="M102" s="38"/>
      <c r="N102" s="38"/>
      <c r="O102" s="38"/>
      <c r="P102" s="15"/>
      <c r="Q102" s="40"/>
      <c r="R102" s="38"/>
      <c r="S102" s="38"/>
      <c r="T102" s="38"/>
      <c r="U102" s="38"/>
      <c r="V102" s="38"/>
      <c r="W102" s="38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41"/>
      <c r="AM102" s="15"/>
      <c r="AN102" s="15"/>
      <c r="AO102" s="15"/>
      <c r="AP102" s="15"/>
      <c r="AQ102" s="15"/>
      <c r="AR102" s="15"/>
      <c r="AS102" s="15"/>
      <c r="AT102" s="15"/>
    </row>
    <row r="103" spans="1:46" x14ac:dyDescent="0.25">
      <c r="A103" s="15"/>
      <c r="B103" s="37"/>
      <c r="C103" s="37"/>
      <c r="D103" s="38"/>
      <c r="E103" s="38"/>
      <c r="F103" s="39"/>
      <c r="G103" s="39"/>
      <c r="H103" s="39"/>
      <c r="I103" s="38"/>
      <c r="J103" s="15"/>
      <c r="K103" s="38"/>
      <c r="L103" s="38"/>
      <c r="M103" s="38"/>
      <c r="N103" s="38"/>
      <c r="O103" s="38"/>
      <c r="P103" s="15"/>
      <c r="Q103" s="40"/>
      <c r="R103" s="38"/>
      <c r="S103" s="38"/>
      <c r="T103" s="38"/>
      <c r="U103" s="38"/>
      <c r="V103" s="38"/>
      <c r="W103" s="38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41"/>
      <c r="AM103" s="15"/>
      <c r="AN103" s="15"/>
      <c r="AO103" s="15"/>
      <c r="AP103" s="15"/>
      <c r="AQ103" s="15"/>
      <c r="AR103" s="15"/>
      <c r="AS103" s="15"/>
      <c r="AT103" s="15"/>
    </row>
    <row r="104" spans="1:46" x14ac:dyDescent="0.25">
      <c r="A104" s="15"/>
      <c r="B104" s="37"/>
      <c r="C104" s="37"/>
      <c r="D104" s="38"/>
      <c r="E104" s="38"/>
      <c r="F104" s="39"/>
      <c r="G104" s="39"/>
      <c r="H104" s="39"/>
      <c r="I104" s="38"/>
      <c r="J104" s="15"/>
      <c r="K104" s="38"/>
      <c r="L104" s="38"/>
      <c r="M104" s="38"/>
      <c r="N104" s="38"/>
      <c r="O104" s="38"/>
      <c r="P104" s="15"/>
      <c r="Q104" s="40"/>
      <c r="R104" s="38"/>
      <c r="S104" s="38"/>
      <c r="T104" s="38"/>
      <c r="U104" s="38"/>
      <c r="V104" s="38"/>
      <c r="W104" s="38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41"/>
      <c r="AM104" s="15"/>
      <c r="AN104" s="15"/>
      <c r="AO104" s="15"/>
      <c r="AP104" s="15"/>
      <c r="AQ104" s="15"/>
      <c r="AR104" s="15"/>
      <c r="AS104" s="15"/>
      <c r="AT104" s="15"/>
    </row>
    <row r="105" spans="1:46" x14ac:dyDescent="0.25">
      <c r="A105" s="15"/>
      <c r="B105" s="37"/>
      <c r="C105" s="37"/>
      <c r="D105" s="38"/>
      <c r="E105" s="38"/>
      <c r="F105" s="39"/>
      <c r="G105" s="39"/>
      <c r="H105" s="39"/>
      <c r="I105" s="38"/>
      <c r="J105" s="15"/>
      <c r="K105" s="38"/>
      <c r="L105" s="38"/>
      <c r="M105" s="38"/>
      <c r="N105" s="38"/>
      <c r="O105" s="38"/>
      <c r="P105" s="15"/>
      <c r="Q105" s="40"/>
      <c r="R105" s="38"/>
      <c r="S105" s="38"/>
      <c r="T105" s="38"/>
      <c r="U105" s="38"/>
      <c r="V105" s="38"/>
      <c r="W105" s="38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41"/>
      <c r="AM105" s="15"/>
      <c r="AN105" s="15"/>
      <c r="AO105" s="15"/>
      <c r="AP105" s="15"/>
      <c r="AQ105" s="15"/>
      <c r="AR105" s="15"/>
      <c r="AS105" s="15"/>
      <c r="AT105" s="15"/>
    </row>
    <row r="106" spans="1:46" x14ac:dyDescent="0.25">
      <c r="A106" s="15"/>
      <c r="B106" s="37"/>
      <c r="C106" s="37"/>
      <c r="D106" s="38"/>
      <c r="E106" s="38"/>
      <c r="F106" s="39"/>
      <c r="G106" s="39"/>
      <c r="H106" s="39"/>
      <c r="I106" s="38"/>
      <c r="J106" s="15"/>
      <c r="K106" s="38"/>
      <c r="L106" s="38"/>
      <c r="M106" s="38"/>
      <c r="N106" s="38"/>
      <c r="O106" s="38"/>
      <c r="P106" s="15"/>
      <c r="Q106" s="40"/>
      <c r="R106" s="38"/>
      <c r="S106" s="38"/>
      <c r="T106" s="38"/>
      <c r="U106" s="38"/>
      <c r="V106" s="38"/>
      <c r="W106" s="38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41"/>
      <c r="AM106" s="15"/>
      <c r="AN106" s="15"/>
      <c r="AO106" s="15"/>
      <c r="AP106" s="15"/>
      <c r="AQ106" s="15"/>
      <c r="AR106" s="15"/>
      <c r="AS106" s="15"/>
      <c r="AT106" s="15"/>
    </row>
    <row r="107" spans="1:46" x14ac:dyDescent="0.25">
      <c r="A107" s="15"/>
      <c r="B107" s="37"/>
      <c r="C107" s="37"/>
      <c r="D107" s="38"/>
      <c r="E107" s="38"/>
      <c r="F107" s="39"/>
      <c r="G107" s="39"/>
      <c r="H107" s="39"/>
      <c r="I107" s="38"/>
      <c r="J107" s="15"/>
      <c r="K107" s="38"/>
      <c r="L107" s="38"/>
      <c r="M107" s="38"/>
      <c r="N107" s="38"/>
      <c r="O107" s="38"/>
      <c r="P107" s="15"/>
      <c r="Q107" s="40"/>
      <c r="R107" s="38"/>
      <c r="S107" s="38"/>
      <c r="T107" s="38"/>
      <c r="U107" s="38"/>
      <c r="V107" s="38"/>
      <c r="W107" s="38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41"/>
      <c r="AM107" s="15"/>
      <c r="AN107" s="15"/>
      <c r="AO107" s="15"/>
      <c r="AP107" s="15"/>
      <c r="AQ107" s="15"/>
      <c r="AR107" s="15"/>
      <c r="AS107" s="15"/>
      <c r="AT107" s="15"/>
    </row>
    <row r="108" spans="1:46" x14ac:dyDescent="0.25">
      <c r="A108" s="15"/>
      <c r="B108" s="37"/>
      <c r="C108" s="37"/>
      <c r="D108" s="38"/>
      <c r="E108" s="38"/>
      <c r="F108" s="39"/>
      <c r="G108" s="39"/>
      <c r="H108" s="39"/>
      <c r="I108" s="38"/>
      <c r="J108" s="15"/>
      <c r="K108" s="38"/>
      <c r="L108" s="38"/>
      <c r="M108" s="38"/>
      <c r="N108" s="38"/>
      <c r="O108" s="38"/>
      <c r="P108" s="15"/>
      <c r="Q108" s="40"/>
      <c r="R108" s="38"/>
      <c r="S108" s="38"/>
      <c r="T108" s="38"/>
      <c r="U108" s="38"/>
      <c r="V108" s="38"/>
      <c r="W108" s="38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41"/>
      <c r="AM108" s="15"/>
      <c r="AN108" s="15"/>
      <c r="AO108" s="15"/>
      <c r="AP108" s="15"/>
      <c r="AQ108" s="15"/>
      <c r="AR108" s="15"/>
      <c r="AS108" s="15"/>
      <c r="AT108" s="15"/>
    </row>
    <row r="109" spans="1:46" x14ac:dyDescent="0.25">
      <c r="A109" s="15"/>
      <c r="B109" s="37"/>
      <c r="C109" s="37"/>
      <c r="D109" s="38"/>
      <c r="E109" s="38"/>
      <c r="F109" s="39"/>
      <c r="G109" s="39"/>
      <c r="H109" s="39"/>
      <c r="I109" s="38"/>
      <c r="J109" s="15"/>
      <c r="K109" s="38"/>
      <c r="L109" s="38"/>
      <c r="M109" s="38"/>
      <c r="N109" s="38"/>
      <c r="O109" s="38"/>
      <c r="P109" s="15"/>
      <c r="Q109" s="40"/>
      <c r="R109" s="38"/>
      <c r="S109" s="38"/>
      <c r="T109" s="38"/>
      <c r="U109" s="38"/>
      <c r="V109" s="38"/>
      <c r="W109" s="38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41"/>
      <c r="AM109" s="15"/>
      <c r="AN109" s="15"/>
      <c r="AO109" s="15"/>
      <c r="AP109" s="15"/>
      <c r="AQ109" s="15"/>
      <c r="AR109" s="15"/>
      <c r="AS109" s="15"/>
      <c r="AT109" s="15"/>
    </row>
    <row r="110" spans="1:46" x14ac:dyDescent="0.25">
      <c r="A110" s="15"/>
      <c r="B110" s="37"/>
      <c r="C110" s="37"/>
      <c r="D110" s="38"/>
      <c r="E110" s="38"/>
      <c r="F110" s="39"/>
      <c r="G110" s="39"/>
      <c r="H110" s="39"/>
      <c r="I110" s="38"/>
      <c r="J110" s="15"/>
      <c r="K110" s="38"/>
      <c r="L110" s="38"/>
      <c r="M110" s="38"/>
      <c r="N110" s="38"/>
      <c r="O110" s="38"/>
      <c r="P110" s="15"/>
      <c r="Q110" s="40"/>
      <c r="R110" s="38"/>
      <c r="S110" s="38"/>
      <c r="T110" s="38"/>
      <c r="U110" s="38"/>
      <c r="V110" s="38"/>
      <c r="W110" s="38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41"/>
      <c r="AM110" s="15"/>
      <c r="AN110" s="15"/>
      <c r="AO110" s="15"/>
      <c r="AP110" s="15"/>
      <c r="AQ110" s="15"/>
      <c r="AR110" s="15"/>
      <c r="AS110" s="15"/>
      <c r="AT110" s="15"/>
    </row>
    <row r="111" spans="1:46" x14ac:dyDescent="0.25">
      <c r="A111" s="15"/>
      <c r="B111" s="37"/>
      <c r="C111" s="37"/>
      <c r="D111" s="38"/>
      <c r="E111" s="38"/>
      <c r="F111" s="39"/>
      <c r="G111" s="39"/>
      <c r="H111" s="39"/>
      <c r="I111" s="38"/>
      <c r="J111" s="15"/>
      <c r="K111" s="38"/>
      <c r="L111" s="38"/>
      <c r="M111" s="38"/>
      <c r="N111" s="38"/>
      <c r="O111" s="38"/>
      <c r="P111" s="15"/>
      <c r="Q111" s="40"/>
      <c r="R111" s="38"/>
      <c r="S111" s="38"/>
      <c r="T111" s="38"/>
      <c r="U111" s="38"/>
      <c r="V111" s="38"/>
      <c r="W111" s="38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41"/>
      <c r="AM111" s="15"/>
      <c r="AN111" s="15"/>
      <c r="AO111" s="15"/>
      <c r="AP111" s="15"/>
      <c r="AQ111" s="15"/>
      <c r="AR111" s="15"/>
      <c r="AS111" s="15"/>
      <c r="AT111" s="15"/>
    </row>
    <row r="112" spans="1:46" x14ac:dyDescent="0.25">
      <c r="A112" s="15"/>
      <c r="B112" s="37"/>
      <c r="C112" s="37"/>
      <c r="D112" s="38"/>
      <c r="E112" s="38"/>
      <c r="F112" s="39"/>
      <c r="G112" s="39"/>
      <c r="H112" s="39"/>
      <c r="I112" s="38"/>
      <c r="J112" s="15"/>
      <c r="K112" s="38"/>
      <c r="L112" s="38"/>
      <c r="M112" s="38"/>
      <c r="N112" s="38"/>
      <c r="O112" s="38"/>
      <c r="P112" s="15"/>
      <c r="Q112" s="40"/>
      <c r="R112" s="38"/>
      <c r="S112" s="38"/>
      <c r="T112" s="38"/>
      <c r="U112" s="38"/>
      <c r="V112" s="38"/>
      <c r="W112" s="38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41"/>
      <c r="AM112" s="15"/>
      <c r="AN112" s="15"/>
      <c r="AO112" s="15"/>
      <c r="AP112" s="15"/>
      <c r="AQ112" s="15"/>
      <c r="AR112" s="15"/>
      <c r="AS112" s="15"/>
      <c r="AT112" s="15"/>
    </row>
    <row r="113" spans="1:46" x14ac:dyDescent="0.25">
      <c r="A113" s="15"/>
      <c r="B113" s="37"/>
      <c r="C113" s="37"/>
      <c r="D113" s="38"/>
      <c r="E113" s="38"/>
      <c r="F113" s="39"/>
      <c r="G113" s="39"/>
      <c r="H113" s="39"/>
      <c r="I113" s="38"/>
      <c r="J113" s="15"/>
      <c r="K113" s="38"/>
      <c r="L113" s="38"/>
      <c r="M113" s="38"/>
      <c r="N113" s="38"/>
      <c r="O113" s="38"/>
      <c r="P113" s="15"/>
      <c r="Q113" s="40"/>
      <c r="R113" s="38"/>
      <c r="S113" s="38"/>
      <c r="T113" s="38"/>
      <c r="U113" s="38"/>
      <c r="V113" s="38"/>
      <c r="W113" s="38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41"/>
      <c r="AM113" s="15"/>
      <c r="AN113" s="15"/>
      <c r="AO113" s="15"/>
      <c r="AP113" s="15"/>
      <c r="AQ113" s="15"/>
      <c r="AR113" s="15"/>
      <c r="AS113" s="15"/>
      <c r="AT113" s="15"/>
    </row>
  </sheetData>
  <mergeCells count="14">
    <mergeCell ref="R2:W2"/>
    <mergeCell ref="Z2:AO2"/>
    <mergeCell ref="R3:T3"/>
    <mergeCell ref="U3:W3"/>
    <mergeCell ref="Z3:AK3"/>
    <mergeCell ref="AL3:AL4"/>
    <mergeCell ref="AM3:AO3"/>
    <mergeCell ref="B2:P2"/>
    <mergeCell ref="B3:C3"/>
    <mergeCell ref="D3:E3"/>
    <mergeCell ref="F3:G3"/>
    <mergeCell ref="H3:I3"/>
    <mergeCell ref="J3:K3"/>
    <mergeCell ref="N3:P3"/>
  </mergeCells>
  <conditionalFormatting sqref="AS5:AS37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T66"/>
  <sheetViews>
    <sheetView topLeftCell="A4" workbookViewId="0">
      <selection activeCell="M27" sqref="M27"/>
    </sheetView>
  </sheetViews>
  <sheetFormatPr defaultRowHeight="15" x14ac:dyDescent="0.25"/>
  <cols>
    <col min="2" max="2" width="11" bestFit="1" customWidth="1"/>
    <col min="3" max="3" width="12.42578125" customWidth="1"/>
    <col min="6" max="7" width="14.5703125" bestFit="1" customWidth="1"/>
    <col min="9" max="9" width="13.28515625" customWidth="1"/>
    <col min="10" max="10" width="9.42578125" bestFit="1" customWidth="1"/>
    <col min="11" max="11" width="15.28515625" customWidth="1"/>
    <col min="12" max="12" width="12.42578125" bestFit="1" customWidth="1"/>
    <col min="13" max="13" width="13.7109375" customWidth="1"/>
    <col min="17" max="17" width="14.140625" customWidth="1"/>
    <col min="25" max="25" width="14.140625" customWidth="1"/>
    <col min="43" max="43" width="11.7109375" customWidth="1"/>
    <col min="45" max="45" width="12.7109375" customWidth="1"/>
  </cols>
  <sheetData>
    <row r="1" spans="1:46" ht="18.75" x14ac:dyDescent="0.3">
      <c r="A1" s="6"/>
      <c r="B1" s="81" t="s">
        <v>45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11"/>
      <c r="R1" s="85" t="s">
        <v>46</v>
      </c>
      <c r="S1" s="85"/>
      <c r="T1" s="85"/>
      <c r="U1" s="85"/>
      <c r="V1" s="85"/>
      <c r="W1" s="85"/>
      <c r="X1" s="2"/>
      <c r="Y1" s="3"/>
      <c r="Z1" s="94" t="s">
        <v>33</v>
      </c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10"/>
      <c r="AQ1" s="2"/>
      <c r="AR1" s="2"/>
      <c r="AS1" s="2"/>
      <c r="AT1" s="2"/>
    </row>
    <row r="2" spans="1:46" x14ac:dyDescent="0.25">
      <c r="A2" s="12" t="s">
        <v>0</v>
      </c>
      <c r="B2" s="82" t="s">
        <v>5</v>
      </c>
      <c r="C2" s="82"/>
      <c r="D2" s="83" t="s">
        <v>12</v>
      </c>
      <c r="E2" s="83"/>
      <c r="F2" s="83" t="s">
        <v>6</v>
      </c>
      <c r="G2" s="83"/>
      <c r="H2" s="84" t="s">
        <v>7</v>
      </c>
      <c r="I2" s="84"/>
      <c r="J2" s="84" t="s">
        <v>8</v>
      </c>
      <c r="K2" s="84"/>
      <c r="L2" s="13"/>
      <c r="M2" s="13" t="s">
        <v>35</v>
      </c>
      <c r="N2" s="84" t="s">
        <v>15</v>
      </c>
      <c r="O2" s="84"/>
      <c r="P2" s="84"/>
      <c r="Q2" s="44"/>
      <c r="R2" s="86" t="s">
        <v>36</v>
      </c>
      <c r="S2" s="87"/>
      <c r="T2" s="88"/>
      <c r="U2" s="89" t="s">
        <v>47</v>
      </c>
      <c r="V2" s="90"/>
      <c r="W2" s="91"/>
      <c r="X2" s="12" t="s">
        <v>14</v>
      </c>
      <c r="Y2" s="14"/>
      <c r="Z2" s="92" t="s">
        <v>13</v>
      </c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5" t="s">
        <v>34</v>
      </c>
      <c r="AM2" s="93" t="s">
        <v>29</v>
      </c>
      <c r="AN2" s="93"/>
      <c r="AO2" s="93"/>
      <c r="AP2" s="48"/>
      <c r="AQ2" s="12"/>
      <c r="AR2" s="15"/>
      <c r="AS2" s="15"/>
      <c r="AT2" s="15"/>
    </row>
    <row r="3" spans="1:46" ht="39" x14ac:dyDescent="0.25">
      <c r="A3" s="16"/>
      <c r="B3" s="17" t="s">
        <v>1</v>
      </c>
      <c r="C3" s="17" t="s">
        <v>2</v>
      </c>
      <c r="D3" s="18" t="s">
        <v>1</v>
      </c>
      <c r="E3" s="18" t="s">
        <v>2</v>
      </c>
      <c r="F3" s="19" t="s">
        <v>1</v>
      </c>
      <c r="G3" s="19" t="s">
        <v>2</v>
      </c>
      <c r="H3" s="19" t="s">
        <v>9</v>
      </c>
      <c r="I3" s="18" t="s">
        <v>10</v>
      </c>
      <c r="J3" s="16" t="s">
        <v>11</v>
      </c>
      <c r="K3" s="18" t="s">
        <v>10</v>
      </c>
      <c r="L3" s="18" t="s">
        <v>4</v>
      </c>
      <c r="M3" s="18" t="s">
        <v>67</v>
      </c>
      <c r="N3" s="18" t="s">
        <v>52</v>
      </c>
      <c r="O3" s="18" t="s">
        <v>40</v>
      </c>
      <c r="P3" s="16" t="s">
        <v>28</v>
      </c>
      <c r="Q3" s="44" t="s">
        <v>3</v>
      </c>
      <c r="R3" s="18" t="s">
        <v>1</v>
      </c>
      <c r="S3" s="18" t="s">
        <v>2</v>
      </c>
      <c r="T3" s="18" t="s">
        <v>60</v>
      </c>
      <c r="U3" s="18" t="s">
        <v>39</v>
      </c>
      <c r="V3" s="18" t="s">
        <v>38</v>
      </c>
      <c r="W3" s="18" t="s">
        <v>37</v>
      </c>
      <c r="X3" s="16"/>
      <c r="Y3" s="20" t="s">
        <v>48</v>
      </c>
      <c r="Z3" s="16" t="s">
        <v>61</v>
      </c>
      <c r="AA3" s="16" t="s">
        <v>17</v>
      </c>
      <c r="AB3" s="16" t="s">
        <v>18</v>
      </c>
      <c r="AC3" s="16" t="s">
        <v>19</v>
      </c>
      <c r="AD3" s="16" t="s">
        <v>54</v>
      </c>
      <c r="AE3" s="16" t="s">
        <v>58</v>
      </c>
      <c r="AF3" s="16" t="s">
        <v>22</v>
      </c>
      <c r="AG3" s="16" t="s">
        <v>23</v>
      </c>
      <c r="AH3" s="16" t="s">
        <v>24</v>
      </c>
      <c r="AI3" s="16" t="s">
        <v>25</v>
      </c>
      <c r="AJ3" s="16" t="s">
        <v>64</v>
      </c>
      <c r="AK3" s="16" t="s">
        <v>41</v>
      </c>
      <c r="AL3" s="96"/>
      <c r="AM3" s="21" t="s">
        <v>30</v>
      </c>
      <c r="AN3" s="21" t="s">
        <v>31</v>
      </c>
      <c r="AO3" s="21" t="s">
        <v>32</v>
      </c>
      <c r="AP3" s="49" t="s">
        <v>49</v>
      </c>
      <c r="AQ3" s="22" t="s">
        <v>42</v>
      </c>
      <c r="AR3" s="23" t="s">
        <v>44</v>
      </c>
      <c r="AS3" s="24" t="s">
        <v>43</v>
      </c>
      <c r="AT3" s="15"/>
    </row>
    <row r="4" spans="1:46" x14ac:dyDescent="0.25">
      <c r="A4" s="25">
        <v>45108</v>
      </c>
      <c r="B4" s="46">
        <v>1838.8</v>
      </c>
      <c r="C4" s="46">
        <v>6768.03</v>
      </c>
      <c r="D4" s="47">
        <v>5090</v>
      </c>
      <c r="E4" s="47">
        <v>4999</v>
      </c>
      <c r="F4" s="13">
        <f t="shared" ref="F4:G34" si="0">B4*D4</f>
        <v>9359492</v>
      </c>
      <c r="G4" s="13">
        <f t="shared" si="0"/>
        <v>33833381.969999999</v>
      </c>
      <c r="H4" s="26">
        <v>29.5</v>
      </c>
      <c r="I4" s="13">
        <v>578000</v>
      </c>
      <c r="J4" s="27">
        <v>48</v>
      </c>
      <c r="K4" s="13">
        <v>448000</v>
      </c>
      <c r="L4" s="13">
        <v>0</v>
      </c>
      <c r="M4" s="13">
        <v>720000</v>
      </c>
      <c r="N4" s="13"/>
      <c r="O4" s="13"/>
      <c r="P4" s="13"/>
      <c r="Q4" s="45">
        <f>SUM(F4:G4)+I4+K4+SUM(L4:P4)</f>
        <v>44938873.969999999</v>
      </c>
      <c r="R4" s="13"/>
      <c r="S4" s="13"/>
      <c r="T4" s="13"/>
      <c r="U4" s="13"/>
      <c r="V4" s="13"/>
      <c r="W4" s="13"/>
      <c r="X4" s="13"/>
      <c r="Y4" s="28">
        <f>Q4-SUM(R4:X4)</f>
        <v>44938873.969999999</v>
      </c>
      <c r="Z4" s="13"/>
      <c r="AA4" s="13"/>
      <c r="AB4" s="13"/>
      <c r="AC4" s="13">
        <v>0</v>
      </c>
      <c r="AD4" s="13"/>
      <c r="AE4" s="13"/>
      <c r="AF4" s="13">
        <v>0</v>
      </c>
      <c r="AG4" s="13"/>
      <c r="AH4" s="13"/>
      <c r="AI4" s="13"/>
      <c r="AJ4" s="13"/>
      <c r="AK4" s="13"/>
      <c r="AL4" s="43">
        <f t="shared" ref="AL4:AL19" si="1">SUM(Z4:AK4)</f>
        <v>0</v>
      </c>
      <c r="AM4" s="12">
        <v>0</v>
      </c>
      <c r="AN4" s="12"/>
      <c r="AO4" s="12"/>
      <c r="AP4" s="12"/>
      <c r="AQ4" s="29">
        <f>Q4-SUM(R4:X4)-AL4-SUM(AM4:AO4)-AP4</f>
        <v>44938873.969999999</v>
      </c>
      <c r="AR4" s="15">
        <v>11073500</v>
      </c>
      <c r="AS4" s="30">
        <f t="shared" ref="AS4:AS34" si="2">AR4-AQ4</f>
        <v>-33865373.969999999</v>
      </c>
      <c r="AT4" s="15"/>
    </row>
    <row r="5" spans="1:46" x14ac:dyDescent="0.25">
      <c r="A5" s="25">
        <v>45109</v>
      </c>
      <c r="B5" s="46">
        <v>2339.2800000000002</v>
      </c>
      <c r="C5" s="46">
        <v>2243</v>
      </c>
      <c r="D5" s="47">
        <v>5090</v>
      </c>
      <c r="E5" s="47">
        <v>4999</v>
      </c>
      <c r="F5" s="13">
        <f t="shared" si="0"/>
        <v>11906935.200000001</v>
      </c>
      <c r="G5" s="13">
        <f t="shared" si="0"/>
        <v>11212757</v>
      </c>
      <c r="H5" s="31">
        <v>77.5</v>
      </c>
      <c r="I5" s="13">
        <v>1725000</v>
      </c>
      <c r="J5" s="27">
        <v>42</v>
      </c>
      <c r="K5" s="13">
        <v>392000</v>
      </c>
      <c r="L5" s="13">
        <v>0</v>
      </c>
      <c r="M5" s="13">
        <v>894500</v>
      </c>
      <c r="N5" s="13"/>
      <c r="O5" s="13"/>
      <c r="P5" s="13"/>
      <c r="Q5" s="45">
        <f t="shared" ref="Q5:Q34" si="3">SUM(F5:G5)+I5+K5+SUM(L5:P5)</f>
        <v>26131192.200000003</v>
      </c>
      <c r="R5" s="13"/>
      <c r="S5" s="13"/>
      <c r="T5" s="13"/>
      <c r="U5" s="13"/>
      <c r="V5" s="13"/>
      <c r="W5" s="13"/>
      <c r="X5" s="32"/>
      <c r="Y5" s="28">
        <f>Q5-SUM(R5:X5)</f>
        <v>26131192.200000003</v>
      </c>
      <c r="Z5" s="33"/>
      <c r="AA5" s="34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43">
        <f t="shared" si="1"/>
        <v>0</v>
      </c>
      <c r="AM5" s="12">
        <v>0</v>
      </c>
      <c r="AN5" s="12"/>
      <c r="AO5" s="12"/>
      <c r="AP5" s="12"/>
      <c r="AQ5" s="29">
        <f t="shared" ref="AQ5:AQ34" si="4">Q5-SUM(R5:X5)-AL5-SUM(AM5:AO5)-AP5</f>
        <v>26131192.200000003</v>
      </c>
      <c r="AR5" s="15">
        <v>15702000</v>
      </c>
      <c r="AS5" s="30">
        <f t="shared" si="2"/>
        <v>-10429192.200000003</v>
      </c>
      <c r="AT5" s="15"/>
    </row>
    <row r="6" spans="1:46" x14ac:dyDescent="0.25">
      <c r="A6" s="25">
        <v>45110</v>
      </c>
      <c r="B6" s="46">
        <v>2354.98</v>
      </c>
      <c r="C6" s="46">
        <v>8130.57</v>
      </c>
      <c r="D6" s="47">
        <v>5090</v>
      </c>
      <c r="E6" s="47">
        <v>4999</v>
      </c>
      <c r="F6" s="13">
        <f t="shared" si="0"/>
        <v>11986848.199999999</v>
      </c>
      <c r="G6" s="13">
        <f t="shared" si="0"/>
        <v>40644719.43</v>
      </c>
      <c r="H6" s="26">
        <v>32</v>
      </c>
      <c r="I6" s="13">
        <v>688000</v>
      </c>
      <c r="J6" s="27">
        <v>46</v>
      </c>
      <c r="K6" s="13">
        <v>394000</v>
      </c>
      <c r="L6" s="13">
        <v>130000</v>
      </c>
      <c r="M6" s="13">
        <v>684100</v>
      </c>
      <c r="N6" s="13"/>
      <c r="O6" s="13"/>
      <c r="P6" s="13"/>
      <c r="Q6" s="45">
        <f t="shared" si="3"/>
        <v>54527667.629999995</v>
      </c>
      <c r="R6" s="13"/>
      <c r="S6" s="13"/>
      <c r="T6" s="13"/>
      <c r="U6" s="13"/>
      <c r="V6" s="13"/>
      <c r="W6" s="13"/>
      <c r="X6" s="13"/>
      <c r="Y6" s="28">
        <f>Q6-SUM(R6:X6)</f>
        <v>54527667.629999995</v>
      </c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43">
        <f t="shared" si="1"/>
        <v>0</v>
      </c>
      <c r="AM6" s="55">
        <v>1237000</v>
      </c>
      <c r="AN6" s="12"/>
      <c r="AO6" s="12"/>
      <c r="AP6" s="12"/>
      <c r="AQ6" s="29">
        <f t="shared" si="4"/>
        <v>53290667.629999995</v>
      </c>
      <c r="AR6" s="15">
        <v>11472400</v>
      </c>
      <c r="AS6" s="30">
        <f t="shared" si="2"/>
        <v>-41818267.629999995</v>
      </c>
      <c r="AT6" s="15"/>
    </row>
    <row r="7" spans="1:46" x14ac:dyDescent="0.25">
      <c r="A7" s="25">
        <v>45111</v>
      </c>
      <c r="B7" s="46">
        <v>2358.35</v>
      </c>
      <c r="C7" s="46">
        <v>2877.02</v>
      </c>
      <c r="D7" s="47">
        <v>5090</v>
      </c>
      <c r="E7" s="47">
        <v>4999</v>
      </c>
      <c r="F7" s="13">
        <f t="shared" si="0"/>
        <v>12004001.5</v>
      </c>
      <c r="G7" s="13">
        <f t="shared" si="0"/>
        <v>14382222.98</v>
      </c>
      <c r="H7" s="26">
        <v>61</v>
      </c>
      <c r="I7" s="13">
        <v>1243000</v>
      </c>
      <c r="J7" s="27">
        <v>43</v>
      </c>
      <c r="K7" s="13">
        <v>394000</v>
      </c>
      <c r="L7" s="13">
        <v>70000</v>
      </c>
      <c r="M7" s="13">
        <v>522000</v>
      </c>
      <c r="N7" s="13"/>
      <c r="O7" s="13"/>
      <c r="P7" s="13"/>
      <c r="Q7" s="45">
        <f t="shared" si="3"/>
        <v>28615224.48</v>
      </c>
      <c r="R7" s="13"/>
      <c r="S7" s="13"/>
      <c r="T7" s="13"/>
      <c r="U7" s="13"/>
      <c r="V7" s="13"/>
      <c r="W7" s="13"/>
      <c r="X7" s="13"/>
      <c r="Y7" s="28">
        <f t="shared" ref="Y7:Y34" si="5">Q7-SUM(R7:X7)</f>
        <v>28615224.48</v>
      </c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43">
        <f t="shared" si="1"/>
        <v>0</v>
      </c>
      <c r="AM7" s="12"/>
      <c r="AN7" s="12"/>
      <c r="AO7" s="12"/>
      <c r="AP7" s="12"/>
      <c r="AQ7" s="29">
        <f t="shared" si="4"/>
        <v>28615224.48</v>
      </c>
      <c r="AR7" s="15">
        <v>12145200</v>
      </c>
      <c r="AS7" s="30">
        <f t="shared" si="2"/>
        <v>-16470024.48</v>
      </c>
      <c r="AT7" s="15"/>
    </row>
    <row r="8" spans="1:46" x14ac:dyDescent="0.25">
      <c r="A8" s="25">
        <v>45112</v>
      </c>
      <c r="B8" s="46">
        <v>2287.5700000000002</v>
      </c>
      <c r="C8" s="46">
        <v>7406.15</v>
      </c>
      <c r="D8" s="47">
        <v>5090</v>
      </c>
      <c r="E8" s="47">
        <v>4999</v>
      </c>
      <c r="F8" s="13">
        <f t="shared" si="0"/>
        <v>11643731.300000001</v>
      </c>
      <c r="G8" s="13">
        <f t="shared" si="0"/>
        <v>37023343.850000001</v>
      </c>
      <c r="H8" s="26">
        <v>60</v>
      </c>
      <c r="I8" s="13">
        <v>1314500</v>
      </c>
      <c r="J8" s="27">
        <v>54.5</v>
      </c>
      <c r="K8" s="13">
        <v>505000</v>
      </c>
      <c r="L8" s="13">
        <v>40000</v>
      </c>
      <c r="M8" s="13">
        <v>837000</v>
      </c>
      <c r="N8" s="13"/>
      <c r="O8" s="13"/>
      <c r="P8" s="13"/>
      <c r="Q8" s="45">
        <f t="shared" si="3"/>
        <v>51363575.150000006</v>
      </c>
      <c r="R8" s="13"/>
      <c r="S8" s="13"/>
      <c r="T8" s="13"/>
      <c r="U8" s="13"/>
      <c r="V8" s="13"/>
      <c r="W8" s="13"/>
      <c r="X8" s="13"/>
      <c r="Y8" s="28">
        <f t="shared" si="5"/>
        <v>51363575.150000006</v>
      </c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43">
        <f t="shared" si="1"/>
        <v>0</v>
      </c>
      <c r="AM8" s="12"/>
      <c r="AN8" s="12"/>
      <c r="AO8" s="12"/>
      <c r="AP8" s="12"/>
      <c r="AQ8" s="29">
        <f t="shared" si="4"/>
        <v>51363575.150000006</v>
      </c>
      <c r="AR8" s="15">
        <v>23336800</v>
      </c>
      <c r="AS8" s="30">
        <f t="shared" si="2"/>
        <v>-28026775.150000006</v>
      </c>
      <c r="AT8" s="15"/>
    </row>
    <row r="9" spans="1:46" x14ac:dyDescent="0.25">
      <c r="A9" s="25">
        <v>45113</v>
      </c>
      <c r="B9" s="46">
        <v>2191.0100000000002</v>
      </c>
      <c r="C9" s="46">
        <v>1302.0899999999999</v>
      </c>
      <c r="D9" s="47">
        <v>5090</v>
      </c>
      <c r="E9" s="47">
        <v>4999</v>
      </c>
      <c r="F9" s="13">
        <f t="shared" si="0"/>
        <v>11152240.9</v>
      </c>
      <c r="G9" s="13">
        <f t="shared" si="0"/>
        <v>6509147.9099999992</v>
      </c>
      <c r="H9" s="26">
        <v>311</v>
      </c>
      <c r="I9" s="13">
        <v>6756500</v>
      </c>
      <c r="J9" s="27">
        <v>21</v>
      </c>
      <c r="K9" s="13">
        <v>196000</v>
      </c>
      <c r="L9" s="13">
        <v>0</v>
      </c>
      <c r="M9" s="13">
        <v>518000</v>
      </c>
      <c r="N9" s="13"/>
      <c r="O9" s="13"/>
      <c r="P9" s="31"/>
      <c r="Q9" s="45">
        <f t="shared" si="3"/>
        <v>25131888.809999999</v>
      </c>
      <c r="R9" s="13"/>
      <c r="S9" s="13"/>
      <c r="T9" s="13"/>
      <c r="U9" s="13"/>
      <c r="V9" s="13"/>
      <c r="W9" s="13"/>
      <c r="X9" s="31"/>
      <c r="Y9" s="28">
        <f t="shared" si="5"/>
        <v>25131888.809999999</v>
      </c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43">
        <f t="shared" si="1"/>
        <v>0</v>
      </c>
      <c r="AM9" s="12"/>
      <c r="AN9" s="12"/>
      <c r="AO9" s="12"/>
      <c r="AP9" s="12"/>
      <c r="AQ9" s="29">
        <f t="shared" si="4"/>
        <v>25131888.809999999</v>
      </c>
      <c r="AR9" s="15">
        <v>14340500</v>
      </c>
      <c r="AS9" s="30">
        <f t="shared" si="2"/>
        <v>-10791388.809999999</v>
      </c>
      <c r="AT9" s="15"/>
    </row>
    <row r="10" spans="1:46" x14ac:dyDescent="0.25">
      <c r="A10" s="25">
        <v>45114</v>
      </c>
      <c r="B10" s="46">
        <v>2118.08</v>
      </c>
      <c r="C10" s="46">
        <v>0</v>
      </c>
      <c r="D10" s="47">
        <v>5090</v>
      </c>
      <c r="E10" s="47">
        <v>4999</v>
      </c>
      <c r="F10" s="13">
        <f t="shared" si="0"/>
        <v>10781027.199999999</v>
      </c>
      <c r="G10" s="13">
        <f t="shared" si="0"/>
        <v>0</v>
      </c>
      <c r="H10" s="26">
        <v>37</v>
      </c>
      <c r="I10" s="13">
        <v>911000</v>
      </c>
      <c r="J10" s="27">
        <v>33.5</v>
      </c>
      <c r="K10" s="13">
        <v>309000</v>
      </c>
      <c r="L10" s="13">
        <v>0</v>
      </c>
      <c r="M10" s="13">
        <v>928000</v>
      </c>
      <c r="N10" s="13"/>
      <c r="O10" s="13"/>
      <c r="P10" s="13"/>
      <c r="Q10" s="45">
        <f t="shared" si="3"/>
        <v>12929027.199999999</v>
      </c>
      <c r="R10" s="13"/>
      <c r="S10" s="13"/>
      <c r="T10" s="13"/>
      <c r="U10" s="13"/>
      <c r="V10" s="13"/>
      <c r="W10" s="13"/>
      <c r="X10" s="13"/>
      <c r="Y10" s="28">
        <f t="shared" si="5"/>
        <v>12929027.199999999</v>
      </c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43">
        <f t="shared" si="1"/>
        <v>0</v>
      </c>
      <c r="AM10" s="12"/>
      <c r="AN10" s="12"/>
      <c r="AO10" s="32"/>
      <c r="AP10" s="32"/>
      <c r="AQ10" s="29">
        <f t="shared" si="4"/>
        <v>12929027.199999999</v>
      </c>
      <c r="AR10" s="15">
        <v>17991000</v>
      </c>
      <c r="AS10" s="30">
        <f t="shared" si="2"/>
        <v>5061972.8000000007</v>
      </c>
      <c r="AT10" s="15"/>
    </row>
    <row r="11" spans="1:46" x14ac:dyDescent="0.25">
      <c r="A11" s="25">
        <v>45115</v>
      </c>
      <c r="B11" s="46">
        <v>1980.09</v>
      </c>
      <c r="C11" s="46">
        <v>7916.81</v>
      </c>
      <c r="D11" s="47">
        <v>5090</v>
      </c>
      <c r="E11" s="47">
        <v>4999</v>
      </c>
      <c r="F11" s="13">
        <f t="shared" si="0"/>
        <v>10078658.1</v>
      </c>
      <c r="G11" s="13">
        <f t="shared" si="0"/>
        <v>39576133.190000005</v>
      </c>
      <c r="H11" s="26">
        <v>39</v>
      </c>
      <c r="I11" s="13">
        <v>791500</v>
      </c>
      <c r="J11" s="27">
        <v>54.5</v>
      </c>
      <c r="K11" s="13">
        <v>505000</v>
      </c>
      <c r="L11" s="13">
        <v>40000</v>
      </c>
      <c r="M11" s="13">
        <v>590000</v>
      </c>
      <c r="N11" s="13"/>
      <c r="O11" s="13"/>
      <c r="P11" s="13"/>
      <c r="Q11" s="45">
        <f t="shared" si="3"/>
        <v>51581291.290000007</v>
      </c>
      <c r="R11" s="13"/>
      <c r="S11" s="13"/>
      <c r="T11" s="13"/>
      <c r="U11" s="13"/>
      <c r="V11" s="13"/>
      <c r="W11" s="13"/>
      <c r="X11" s="13"/>
      <c r="Y11" s="28">
        <f t="shared" si="5"/>
        <v>51581291.290000007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43">
        <f t="shared" si="1"/>
        <v>0</v>
      </c>
      <c r="AM11" s="12"/>
      <c r="AN11" s="12"/>
      <c r="AO11" s="32"/>
      <c r="AP11" s="32"/>
      <c r="AQ11" s="29">
        <f t="shared" si="4"/>
        <v>51581291.290000007</v>
      </c>
      <c r="AR11" s="15">
        <v>9390400</v>
      </c>
      <c r="AS11" s="30">
        <f t="shared" si="2"/>
        <v>-42190891.290000007</v>
      </c>
      <c r="AT11" s="15"/>
    </row>
    <row r="12" spans="1:46" x14ac:dyDescent="0.25">
      <c r="A12" s="25">
        <v>45116</v>
      </c>
      <c r="B12" s="46">
        <v>1676.14</v>
      </c>
      <c r="C12" s="46">
        <v>3181.05</v>
      </c>
      <c r="D12" s="47">
        <v>5090</v>
      </c>
      <c r="E12" s="47">
        <v>4999</v>
      </c>
      <c r="F12" s="13">
        <f t="shared" si="0"/>
        <v>8531552.5999999996</v>
      </c>
      <c r="G12" s="13">
        <f t="shared" si="0"/>
        <v>15902068.950000001</v>
      </c>
      <c r="H12" s="26">
        <v>11</v>
      </c>
      <c r="I12" s="13">
        <v>218000</v>
      </c>
      <c r="J12" s="27">
        <v>61</v>
      </c>
      <c r="K12" s="13">
        <v>450000</v>
      </c>
      <c r="L12" s="13">
        <v>0</v>
      </c>
      <c r="M12" s="13">
        <v>494000</v>
      </c>
      <c r="N12" s="13"/>
      <c r="O12" s="13"/>
      <c r="P12" s="13"/>
      <c r="Q12" s="45">
        <f t="shared" si="3"/>
        <v>25595621.550000001</v>
      </c>
      <c r="R12" s="13"/>
      <c r="S12" s="13"/>
      <c r="T12" s="13"/>
      <c r="U12" s="13"/>
      <c r="V12" s="13"/>
      <c r="W12" s="13"/>
      <c r="X12" s="13"/>
      <c r="Y12" s="28">
        <f t="shared" si="5"/>
        <v>25595621.550000001</v>
      </c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43">
        <f t="shared" si="1"/>
        <v>0</v>
      </c>
      <c r="AM12" s="12"/>
      <c r="AN12" s="12"/>
      <c r="AO12" s="12"/>
      <c r="AP12" s="12"/>
      <c r="AQ12" s="29">
        <f t="shared" si="4"/>
        <v>25595621.550000001</v>
      </c>
      <c r="AR12" s="15">
        <v>7893000</v>
      </c>
      <c r="AS12" s="30">
        <f t="shared" si="2"/>
        <v>-17702621.550000001</v>
      </c>
      <c r="AT12" s="15"/>
    </row>
    <row r="13" spans="1:46" x14ac:dyDescent="0.25">
      <c r="A13" s="25">
        <v>45117</v>
      </c>
      <c r="B13" s="46">
        <v>1933.86</v>
      </c>
      <c r="C13" s="46">
        <v>6334.03</v>
      </c>
      <c r="D13" s="47">
        <v>5090</v>
      </c>
      <c r="E13" s="47">
        <v>4999</v>
      </c>
      <c r="F13" s="13">
        <f t="shared" si="0"/>
        <v>9843347.4000000004</v>
      </c>
      <c r="G13" s="13">
        <f t="shared" si="0"/>
        <v>31663815.969999999</v>
      </c>
      <c r="H13" s="26">
        <v>48</v>
      </c>
      <c r="I13" s="13">
        <v>941000</v>
      </c>
      <c r="J13" s="27">
        <v>12</v>
      </c>
      <c r="K13" s="13">
        <v>112000</v>
      </c>
      <c r="L13" s="13">
        <v>0</v>
      </c>
      <c r="M13" s="13">
        <v>808000</v>
      </c>
      <c r="N13" s="13"/>
      <c r="O13" s="13"/>
      <c r="P13" s="13"/>
      <c r="Q13" s="45">
        <f t="shared" si="3"/>
        <v>43368163.369999997</v>
      </c>
      <c r="R13" s="13"/>
      <c r="S13" s="13"/>
      <c r="T13" s="13"/>
      <c r="U13" s="13"/>
      <c r="V13" s="13"/>
      <c r="W13" s="13"/>
      <c r="X13" s="13"/>
      <c r="Y13" s="28">
        <f t="shared" si="5"/>
        <v>43368163.369999997</v>
      </c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43">
        <f t="shared" si="1"/>
        <v>0</v>
      </c>
      <c r="AM13" s="12"/>
      <c r="AN13" s="12"/>
      <c r="AO13" s="12"/>
      <c r="AP13" s="12"/>
      <c r="AQ13" s="29">
        <f t="shared" si="4"/>
        <v>43368163.369999997</v>
      </c>
      <c r="AR13" s="15">
        <v>9672200</v>
      </c>
      <c r="AS13" s="30">
        <f t="shared" si="2"/>
        <v>-33695963.369999997</v>
      </c>
      <c r="AT13" s="15"/>
    </row>
    <row r="14" spans="1:46" x14ac:dyDescent="0.25">
      <c r="A14" s="25">
        <v>45118</v>
      </c>
      <c r="B14" s="46">
        <v>1884.69</v>
      </c>
      <c r="C14" s="46">
        <v>6129.32</v>
      </c>
      <c r="D14" s="47">
        <v>5090</v>
      </c>
      <c r="E14" s="47">
        <v>4999</v>
      </c>
      <c r="F14" s="13">
        <f t="shared" si="0"/>
        <v>9593072.0999999996</v>
      </c>
      <c r="G14" s="13">
        <f t="shared" si="0"/>
        <v>30640470.68</v>
      </c>
      <c r="H14" s="26">
        <v>42.5</v>
      </c>
      <c r="I14" s="13">
        <v>867000</v>
      </c>
      <c r="J14" s="27">
        <v>27.5</v>
      </c>
      <c r="K14" s="13">
        <v>253000</v>
      </c>
      <c r="L14" s="13">
        <v>8000</v>
      </c>
      <c r="M14" s="13">
        <v>1001000</v>
      </c>
      <c r="N14" s="13"/>
      <c r="O14" s="13"/>
      <c r="P14" s="13"/>
      <c r="Q14" s="45">
        <f t="shared" si="3"/>
        <v>42362542.780000001</v>
      </c>
      <c r="R14" s="13"/>
      <c r="S14" s="13"/>
      <c r="T14" s="13"/>
      <c r="U14" s="13"/>
      <c r="V14" s="13"/>
      <c r="W14" s="13"/>
      <c r="X14" s="13"/>
      <c r="Y14" s="28">
        <f t="shared" si="5"/>
        <v>42362542.780000001</v>
      </c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43">
        <f t="shared" si="1"/>
        <v>0</v>
      </c>
      <c r="AM14" s="12"/>
      <c r="AN14" s="12"/>
      <c r="AO14" s="12" t="s">
        <v>59</v>
      </c>
      <c r="AP14" s="12"/>
      <c r="AQ14" s="29">
        <f t="shared" si="4"/>
        <v>42362542.780000001</v>
      </c>
      <c r="AR14" s="15">
        <v>13029400</v>
      </c>
      <c r="AS14" s="30">
        <f t="shared" si="2"/>
        <v>-29333142.780000001</v>
      </c>
      <c r="AT14" s="15"/>
    </row>
    <row r="15" spans="1:46" x14ac:dyDescent="0.25">
      <c r="A15" s="25">
        <v>45119</v>
      </c>
      <c r="B15" s="46">
        <v>1923.31</v>
      </c>
      <c r="C15" s="46">
        <v>2788.04</v>
      </c>
      <c r="D15" s="47">
        <v>5090</v>
      </c>
      <c r="E15" s="47">
        <v>4999</v>
      </c>
      <c r="F15" s="13">
        <f t="shared" si="0"/>
        <v>9789647.9000000004</v>
      </c>
      <c r="G15" s="13">
        <f t="shared" si="0"/>
        <v>13937411.959999999</v>
      </c>
      <c r="H15" s="26">
        <v>38.5</v>
      </c>
      <c r="I15" s="51">
        <v>794500</v>
      </c>
      <c r="J15" s="27">
        <v>33.5</v>
      </c>
      <c r="K15" s="13">
        <v>309000</v>
      </c>
      <c r="L15" s="13">
        <v>80000</v>
      </c>
      <c r="M15" s="13">
        <v>531000</v>
      </c>
      <c r="N15" s="13"/>
      <c r="O15" s="13"/>
      <c r="P15" s="13"/>
      <c r="Q15" s="45">
        <f t="shared" si="3"/>
        <v>25441559.859999999</v>
      </c>
      <c r="R15" s="13"/>
      <c r="S15" s="13"/>
      <c r="T15" s="13"/>
      <c r="U15" s="13"/>
      <c r="V15" s="13"/>
      <c r="W15" s="13"/>
      <c r="X15" s="13"/>
      <c r="Y15" s="28">
        <f t="shared" si="5"/>
        <v>25441559.859999999</v>
      </c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43">
        <f t="shared" si="1"/>
        <v>0</v>
      </c>
      <c r="AM15" s="15"/>
      <c r="AN15" s="35"/>
      <c r="AO15" s="32"/>
      <c r="AP15" s="32"/>
      <c r="AQ15" s="29">
        <f t="shared" si="4"/>
        <v>25441559.859999999</v>
      </c>
      <c r="AR15" s="15">
        <v>14955800</v>
      </c>
      <c r="AS15" s="30">
        <f t="shared" si="2"/>
        <v>-10485759.859999999</v>
      </c>
      <c r="AT15" s="15"/>
    </row>
    <row r="16" spans="1:46" x14ac:dyDescent="0.25">
      <c r="A16" s="25">
        <v>45120</v>
      </c>
      <c r="B16" s="46">
        <v>1953.7</v>
      </c>
      <c r="C16" s="46">
        <v>3905.35</v>
      </c>
      <c r="D16" s="47">
        <v>5090</v>
      </c>
      <c r="E16" s="47">
        <v>4999</v>
      </c>
      <c r="F16" s="13">
        <f t="shared" si="0"/>
        <v>9944333</v>
      </c>
      <c r="G16" s="13">
        <f t="shared" si="0"/>
        <v>19522844.649999999</v>
      </c>
      <c r="H16" s="26">
        <v>34</v>
      </c>
      <c r="I16" s="13">
        <v>782000</v>
      </c>
      <c r="J16" s="27">
        <v>24.5</v>
      </c>
      <c r="K16" s="13">
        <v>281000</v>
      </c>
      <c r="L16" s="13">
        <v>24000</v>
      </c>
      <c r="M16" s="13">
        <v>658500</v>
      </c>
      <c r="N16" s="13"/>
      <c r="O16" s="13"/>
      <c r="P16" s="13"/>
      <c r="Q16" s="45">
        <f t="shared" si="3"/>
        <v>31212677.649999999</v>
      </c>
      <c r="R16" s="13"/>
      <c r="S16" s="13"/>
      <c r="T16" s="13"/>
      <c r="U16" s="13"/>
      <c r="V16" s="13"/>
      <c r="W16" s="13"/>
      <c r="X16" s="13"/>
      <c r="Y16" s="28">
        <f t="shared" si="5"/>
        <v>31212677.649999999</v>
      </c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43">
        <f t="shared" si="1"/>
        <v>0</v>
      </c>
      <c r="AM16" s="31"/>
      <c r="AN16" s="36"/>
      <c r="AO16" s="32"/>
      <c r="AP16" s="32"/>
      <c r="AQ16" s="29">
        <f t="shared" si="4"/>
        <v>31212677.649999999</v>
      </c>
      <c r="AR16" s="15">
        <v>25767700</v>
      </c>
      <c r="AS16" s="30">
        <f t="shared" si="2"/>
        <v>-5444977.6499999985</v>
      </c>
      <c r="AT16" s="15"/>
    </row>
    <row r="17" spans="1:46" x14ac:dyDescent="0.25">
      <c r="A17" s="25">
        <v>45121</v>
      </c>
      <c r="B17" s="46">
        <v>2165.86</v>
      </c>
      <c r="C17" s="46">
        <v>2738.67</v>
      </c>
      <c r="D17" s="47">
        <v>5090</v>
      </c>
      <c r="E17" s="47">
        <v>4999</v>
      </c>
      <c r="F17" s="13">
        <f t="shared" si="0"/>
        <v>11024227.4</v>
      </c>
      <c r="G17" s="13">
        <f t="shared" si="0"/>
        <v>13690611.33</v>
      </c>
      <c r="H17" s="26">
        <v>34</v>
      </c>
      <c r="I17" s="13">
        <v>700500</v>
      </c>
      <c r="J17" s="27">
        <v>60.5</v>
      </c>
      <c r="K17" s="13">
        <v>561000</v>
      </c>
      <c r="L17" s="13">
        <v>16000</v>
      </c>
      <c r="M17" s="13">
        <v>762000</v>
      </c>
      <c r="N17" s="13"/>
      <c r="O17" s="13"/>
      <c r="P17" s="13"/>
      <c r="Q17" s="45">
        <f t="shared" si="3"/>
        <v>26754338.73</v>
      </c>
      <c r="R17" s="13"/>
      <c r="S17" s="13"/>
      <c r="T17" s="13"/>
      <c r="U17" s="13"/>
      <c r="V17" s="13"/>
      <c r="W17" s="13"/>
      <c r="X17" s="13"/>
      <c r="Y17" s="28">
        <f t="shared" si="5"/>
        <v>26754338.73</v>
      </c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43">
        <f t="shared" si="1"/>
        <v>0</v>
      </c>
      <c r="AM17" s="12"/>
      <c r="AN17" s="12"/>
      <c r="AO17" s="12"/>
      <c r="AP17" s="12"/>
      <c r="AQ17" s="29">
        <f t="shared" si="4"/>
        <v>26754338.73</v>
      </c>
      <c r="AR17" s="15">
        <v>19170000</v>
      </c>
      <c r="AS17" s="30">
        <f t="shared" si="2"/>
        <v>-7584338.7300000004</v>
      </c>
      <c r="AT17" s="15"/>
    </row>
    <row r="18" spans="1:46" x14ac:dyDescent="0.25">
      <c r="A18" s="25">
        <v>45122</v>
      </c>
      <c r="B18" s="46">
        <v>2180</v>
      </c>
      <c r="C18" s="46">
        <v>1989.52</v>
      </c>
      <c r="D18" s="47">
        <v>5090</v>
      </c>
      <c r="E18" s="47">
        <v>4999</v>
      </c>
      <c r="F18" s="13">
        <f t="shared" si="0"/>
        <v>11096200</v>
      </c>
      <c r="G18" s="13">
        <f t="shared" si="0"/>
        <v>9945610.4800000004</v>
      </c>
      <c r="H18" s="13">
        <v>42.5</v>
      </c>
      <c r="I18" s="13">
        <v>887500</v>
      </c>
      <c r="J18" s="27">
        <v>71</v>
      </c>
      <c r="K18" s="13">
        <v>648000</v>
      </c>
      <c r="L18" s="13">
        <v>38000</v>
      </c>
      <c r="M18" s="13">
        <v>1946500</v>
      </c>
      <c r="N18" s="13"/>
      <c r="O18" s="13"/>
      <c r="P18" s="13"/>
      <c r="Q18" s="45">
        <f t="shared" si="3"/>
        <v>24561810.48</v>
      </c>
      <c r="R18" s="13"/>
      <c r="S18" s="13"/>
      <c r="T18" s="13"/>
      <c r="U18" s="13"/>
      <c r="V18" s="13"/>
      <c r="W18" s="13"/>
      <c r="X18" s="13"/>
      <c r="Y18" s="28">
        <f t="shared" si="5"/>
        <v>24561810.48</v>
      </c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43">
        <f t="shared" ref="AL18:AL34" si="6">SUM(Z18:AK18)</f>
        <v>0</v>
      </c>
      <c r="AM18" s="12"/>
      <c r="AN18" s="12"/>
      <c r="AO18" s="12"/>
      <c r="AP18" s="12"/>
      <c r="AQ18" s="29">
        <f t="shared" si="4"/>
        <v>24561810.48</v>
      </c>
      <c r="AR18" s="15">
        <v>13670800</v>
      </c>
      <c r="AS18" s="30">
        <f t="shared" si="2"/>
        <v>-10891010.48</v>
      </c>
      <c r="AT18" s="15"/>
    </row>
    <row r="19" spans="1:46" x14ac:dyDescent="0.25">
      <c r="A19" s="25">
        <v>45123</v>
      </c>
      <c r="B19" s="46">
        <v>1703.01</v>
      </c>
      <c r="C19" s="46">
        <v>1574.29</v>
      </c>
      <c r="D19" s="47">
        <v>5090</v>
      </c>
      <c r="E19" s="47">
        <v>4999</v>
      </c>
      <c r="F19" s="13">
        <f t="shared" si="0"/>
        <v>8668320.9000000004</v>
      </c>
      <c r="G19" s="13">
        <f t="shared" si="0"/>
        <v>7869875.71</v>
      </c>
      <c r="H19" s="26">
        <v>14</v>
      </c>
      <c r="I19" s="13">
        <v>282000</v>
      </c>
      <c r="J19" s="27">
        <v>24.5</v>
      </c>
      <c r="K19" s="13">
        <v>225000</v>
      </c>
      <c r="L19" s="13">
        <v>23000</v>
      </c>
      <c r="M19" s="13">
        <v>744000</v>
      </c>
      <c r="N19" s="13"/>
      <c r="O19" s="13"/>
      <c r="P19" s="13"/>
      <c r="Q19" s="45">
        <f t="shared" si="3"/>
        <v>17812196.609999999</v>
      </c>
      <c r="R19" s="13"/>
      <c r="S19" s="13"/>
      <c r="T19" s="13"/>
      <c r="U19" s="13"/>
      <c r="V19" s="13"/>
      <c r="W19" s="13"/>
      <c r="X19" s="13"/>
      <c r="Y19" s="28">
        <f t="shared" si="5"/>
        <v>17812196.609999999</v>
      </c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3"/>
      <c r="AK19" s="13"/>
      <c r="AL19" s="43">
        <f t="shared" si="1"/>
        <v>0</v>
      </c>
      <c r="AM19" s="12"/>
      <c r="AN19" s="12"/>
      <c r="AO19" s="12"/>
      <c r="AP19" s="12"/>
      <c r="AQ19" s="29">
        <f t="shared" si="4"/>
        <v>17812196.609999999</v>
      </c>
      <c r="AR19" s="15">
        <v>18032800</v>
      </c>
      <c r="AS19" s="30">
        <f t="shared" si="2"/>
        <v>220603.3900000006</v>
      </c>
      <c r="AT19" s="15"/>
    </row>
    <row r="20" spans="1:46" x14ac:dyDescent="0.25">
      <c r="A20" s="25">
        <v>45124</v>
      </c>
      <c r="B20" s="46">
        <v>1851.62</v>
      </c>
      <c r="C20" s="46">
        <v>4779.12</v>
      </c>
      <c r="D20" s="47">
        <v>5090</v>
      </c>
      <c r="E20" s="47">
        <v>4999</v>
      </c>
      <c r="F20" s="13">
        <f>B20*D20</f>
        <v>9424745.7999999989</v>
      </c>
      <c r="G20" s="13">
        <f t="shared" si="0"/>
        <v>23890820.879999999</v>
      </c>
      <c r="H20" s="26">
        <v>65</v>
      </c>
      <c r="I20" s="13">
        <v>1295000</v>
      </c>
      <c r="J20" s="27">
        <v>9</v>
      </c>
      <c r="K20" s="13">
        <v>84000</v>
      </c>
      <c r="L20" s="13">
        <v>69000</v>
      </c>
      <c r="M20" s="13">
        <v>627500</v>
      </c>
      <c r="N20" s="13"/>
      <c r="O20" s="13"/>
      <c r="P20" s="13"/>
      <c r="Q20" s="45">
        <f t="shared" si="3"/>
        <v>35391066.68</v>
      </c>
      <c r="R20" s="13"/>
      <c r="S20" s="13"/>
      <c r="T20" s="13"/>
      <c r="U20" s="13"/>
      <c r="V20" s="13"/>
      <c r="W20" s="13"/>
      <c r="X20" s="13"/>
      <c r="Y20" s="28">
        <f t="shared" si="5"/>
        <v>35391066.68</v>
      </c>
      <c r="Z20" s="12"/>
      <c r="AA20" s="12"/>
      <c r="AB20" s="12"/>
      <c r="AC20" s="12"/>
      <c r="AD20" s="12"/>
      <c r="AE20" s="12"/>
      <c r="AF20" s="13"/>
      <c r="AG20" s="12"/>
      <c r="AH20" s="13"/>
      <c r="AI20" s="12"/>
      <c r="AJ20" s="12"/>
      <c r="AK20" s="12"/>
      <c r="AL20" s="43">
        <f t="shared" si="6"/>
        <v>0</v>
      </c>
      <c r="AM20" s="12"/>
      <c r="AN20" s="12"/>
      <c r="AO20" s="12"/>
      <c r="AP20" s="12"/>
      <c r="AQ20" s="29">
        <f t="shared" si="4"/>
        <v>35391066.68</v>
      </c>
      <c r="AR20" s="15">
        <v>20192300</v>
      </c>
      <c r="AS20" s="30">
        <f t="shared" si="2"/>
        <v>-15198766.68</v>
      </c>
      <c r="AT20" s="15"/>
    </row>
    <row r="21" spans="1:46" x14ac:dyDescent="0.25">
      <c r="A21" s="25">
        <v>45125</v>
      </c>
      <c r="B21" s="46">
        <v>1627.4</v>
      </c>
      <c r="C21" s="46">
        <v>3522</v>
      </c>
      <c r="D21" s="47">
        <v>5090</v>
      </c>
      <c r="E21" s="47">
        <v>4999</v>
      </c>
      <c r="F21" s="13">
        <f t="shared" si="0"/>
        <v>8283466</v>
      </c>
      <c r="G21" s="13">
        <f t="shared" si="0"/>
        <v>17606478</v>
      </c>
      <c r="H21" s="26">
        <v>44</v>
      </c>
      <c r="I21" s="13">
        <v>995000</v>
      </c>
      <c r="J21" s="12">
        <v>24</v>
      </c>
      <c r="K21" s="13">
        <v>224000</v>
      </c>
      <c r="L21" s="13">
        <v>71000</v>
      </c>
      <c r="M21" s="13">
        <v>546000</v>
      </c>
      <c r="N21" s="13"/>
      <c r="O21" s="13"/>
      <c r="P21" s="12"/>
      <c r="Q21" s="45">
        <f t="shared" si="3"/>
        <v>27725944</v>
      </c>
      <c r="R21" s="13"/>
      <c r="S21" s="13"/>
      <c r="T21" s="13"/>
      <c r="U21" s="13"/>
      <c r="V21" s="13"/>
      <c r="W21" s="13"/>
      <c r="X21" s="12"/>
      <c r="Y21" s="28">
        <f t="shared" si="5"/>
        <v>27725944</v>
      </c>
      <c r="Z21" s="12"/>
      <c r="AA21" s="12"/>
      <c r="AB21" s="12"/>
      <c r="AC21" s="12"/>
      <c r="AD21" s="12"/>
      <c r="AE21" s="12"/>
      <c r="AF21" s="12"/>
      <c r="AG21" s="12"/>
      <c r="AH21" s="13"/>
      <c r="AI21" s="12"/>
      <c r="AJ21" s="12"/>
      <c r="AK21" s="12"/>
      <c r="AL21" s="43">
        <f t="shared" si="6"/>
        <v>0</v>
      </c>
      <c r="AM21" s="12"/>
      <c r="AN21" s="12"/>
      <c r="AO21" s="12"/>
      <c r="AP21" s="12"/>
      <c r="AQ21" s="29">
        <f t="shared" si="4"/>
        <v>27725944</v>
      </c>
      <c r="AR21" s="15">
        <v>17633400</v>
      </c>
      <c r="AS21" s="30">
        <f t="shared" si="2"/>
        <v>-10092544</v>
      </c>
      <c r="AT21" s="15"/>
    </row>
    <row r="22" spans="1:46" x14ac:dyDescent="0.25">
      <c r="A22" s="25">
        <v>45126</v>
      </c>
      <c r="B22" s="46">
        <v>1620.96</v>
      </c>
      <c r="C22" s="46">
        <v>3182.21</v>
      </c>
      <c r="D22" s="47">
        <v>5090</v>
      </c>
      <c r="E22" s="47">
        <v>4999</v>
      </c>
      <c r="F22" s="13">
        <f t="shared" si="0"/>
        <v>8250686.4000000004</v>
      </c>
      <c r="G22" s="13">
        <f t="shared" si="0"/>
        <v>15907867.790000001</v>
      </c>
      <c r="H22" s="26">
        <v>33</v>
      </c>
      <c r="I22" s="13">
        <v>680000</v>
      </c>
      <c r="J22" s="12">
        <v>3</v>
      </c>
      <c r="K22" s="13">
        <v>28000</v>
      </c>
      <c r="L22" s="13">
        <v>23000</v>
      </c>
      <c r="M22" s="13">
        <v>455500</v>
      </c>
      <c r="N22" s="13"/>
      <c r="O22" s="13"/>
      <c r="P22" s="12"/>
      <c r="Q22" s="45">
        <f t="shared" si="3"/>
        <v>25345054.190000001</v>
      </c>
      <c r="R22" s="13"/>
      <c r="S22" s="13"/>
      <c r="T22" s="13"/>
      <c r="U22" s="13"/>
      <c r="V22" s="13"/>
      <c r="W22" s="13"/>
      <c r="X22" s="12"/>
      <c r="Y22" s="28">
        <f t="shared" si="5"/>
        <v>25345054.190000001</v>
      </c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43">
        <f t="shared" si="6"/>
        <v>0</v>
      </c>
      <c r="AM22" s="12"/>
      <c r="AN22" s="12"/>
      <c r="AO22" s="12"/>
      <c r="AP22" s="12"/>
      <c r="AQ22" s="29">
        <f t="shared" si="4"/>
        <v>25345054.190000001</v>
      </c>
      <c r="AR22" s="15"/>
      <c r="AS22" s="30">
        <f t="shared" si="2"/>
        <v>-25345054.190000001</v>
      </c>
      <c r="AT22" s="15"/>
    </row>
    <row r="23" spans="1:46" x14ac:dyDescent="0.25">
      <c r="A23" s="25">
        <v>45127</v>
      </c>
      <c r="B23" s="46">
        <v>1693</v>
      </c>
      <c r="C23" s="46">
        <v>1490.48</v>
      </c>
      <c r="D23" s="47">
        <v>5090</v>
      </c>
      <c r="E23" s="47">
        <v>4999</v>
      </c>
      <c r="F23" s="13">
        <f t="shared" si="0"/>
        <v>8617370</v>
      </c>
      <c r="G23" s="13">
        <f t="shared" si="0"/>
        <v>7450909.5200000005</v>
      </c>
      <c r="H23" s="26">
        <v>72</v>
      </c>
      <c r="I23" s="13">
        <v>1586000</v>
      </c>
      <c r="J23" s="12">
        <v>48</v>
      </c>
      <c r="K23" s="13">
        <v>420000</v>
      </c>
      <c r="L23" s="13">
        <v>15000</v>
      </c>
      <c r="M23" s="13">
        <v>487000</v>
      </c>
      <c r="N23" s="13"/>
      <c r="O23" s="13"/>
      <c r="P23" s="12"/>
      <c r="Q23" s="45">
        <f t="shared" si="3"/>
        <v>18576279.52</v>
      </c>
      <c r="R23" s="13"/>
      <c r="S23" s="13"/>
      <c r="T23" s="13"/>
      <c r="U23" s="13"/>
      <c r="V23" s="13"/>
      <c r="W23" s="13"/>
      <c r="X23" s="12"/>
      <c r="Y23" s="28">
        <f t="shared" si="5"/>
        <v>18576279.52</v>
      </c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43">
        <f t="shared" si="6"/>
        <v>0</v>
      </c>
      <c r="AM23" s="12"/>
      <c r="AN23" s="12"/>
      <c r="AO23" s="12"/>
      <c r="AP23" s="12"/>
      <c r="AQ23" s="29">
        <f t="shared" si="4"/>
        <v>18576279.52</v>
      </c>
      <c r="AR23" s="15"/>
      <c r="AS23" s="30">
        <f t="shared" si="2"/>
        <v>-18576279.52</v>
      </c>
      <c r="AT23" s="15"/>
    </row>
    <row r="24" spans="1:46" x14ac:dyDescent="0.25">
      <c r="A24" s="25">
        <v>45128</v>
      </c>
      <c r="B24" s="46">
        <v>2158.77</v>
      </c>
      <c r="C24" s="46">
        <v>4702.8599999999997</v>
      </c>
      <c r="D24" s="47">
        <v>5090</v>
      </c>
      <c r="E24" s="47">
        <v>4999</v>
      </c>
      <c r="F24" s="13">
        <f t="shared" si="0"/>
        <v>10988139.300000001</v>
      </c>
      <c r="G24" s="13">
        <f t="shared" si="0"/>
        <v>23509597.139999997</v>
      </c>
      <c r="H24" s="26">
        <v>25.5</v>
      </c>
      <c r="I24" s="13">
        <v>497000</v>
      </c>
      <c r="J24" s="12">
        <v>36.5</v>
      </c>
      <c r="K24" s="13">
        <v>337000</v>
      </c>
      <c r="L24" s="13">
        <v>46000</v>
      </c>
      <c r="M24" s="13">
        <v>836500</v>
      </c>
      <c r="N24" s="13"/>
      <c r="O24" s="13"/>
      <c r="P24" s="12"/>
      <c r="Q24" s="45">
        <f t="shared" si="3"/>
        <v>36214236.439999998</v>
      </c>
      <c r="R24" s="13"/>
      <c r="S24" s="13"/>
      <c r="T24" s="13"/>
      <c r="U24" s="13"/>
      <c r="V24" s="13"/>
      <c r="W24" s="13"/>
      <c r="X24" s="12"/>
      <c r="Y24" s="28">
        <f t="shared" si="5"/>
        <v>36214236.439999998</v>
      </c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43">
        <f t="shared" si="6"/>
        <v>0</v>
      </c>
      <c r="AM24" s="12"/>
      <c r="AN24" s="12"/>
      <c r="AO24" s="12"/>
      <c r="AP24" s="12"/>
      <c r="AQ24" s="29">
        <f t="shared" si="4"/>
        <v>36214236.439999998</v>
      </c>
      <c r="AR24" s="15"/>
      <c r="AS24" s="30">
        <f t="shared" si="2"/>
        <v>-36214236.439999998</v>
      </c>
      <c r="AT24" s="15"/>
    </row>
    <row r="25" spans="1:46" x14ac:dyDescent="0.25">
      <c r="A25" s="25">
        <v>45129</v>
      </c>
      <c r="B25" s="46">
        <v>2158.8200000000002</v>
      </c>
      <c r="C25" s="46">
        <v>4348.32</v>
      </c>
      <c r="D25" s="47">
        <v>5090</v>
      </c>
      <c r="E25" s="47">
        <v>4999</v>
      </c>
      <c r="F25" s="13">
        <f t="shared" si="0"/>
        <v>10988393.800000001</v>
      </c>
      <c r="G25" s="13">
        <f t="shared" si="0"/>
        <v>21737251.68</v>
      </c>
      <c r="H25" s="26">
        <v>21</v>
      </c>
      <c r="I25" s="13">
        <v>403000</v>
      </c>
      <c r="J25" s="12">
        <v>24</v>
      </c>
      <c r="K25" s="13">
        <v>224000</v>
      </c>
      <c r="L25" s="13">
        <v>16000</v>
      </c>
      <c r="M25" s="13">
        <v>963300</v>
      </c>
      <c r="N25" s="13"/>
      <c r="O25" s="13"/>
      <c r="P25" s="12"/>
      <c r="Q25" s="45">
        <f t="shared" si="3"/>
        <v>34331945.480000004</v>
      </c>
      <c r="R25" s="13"/>
      <c r="S25" s="13"/>
      <c r="T25" s="13"/>
      <c r="U25" s="13"/>
      <c r="V25" s="13"/>
      <c r="W25" s="13"/>
      <c r="X25" s="12"/>
      <c r="Y25" s="28">
        <f t="shared" si="5"/>
        <v>34331945.480000004</v>
      </c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43">
        <f t="shared" ref="AL25" si="7">SUM(Z25:AK25)</f>
        <v>0</v>
      </c>
      <c r="AM25" s="12"/>
      <c r="AN25" s="12"/>
      <c r="AO25" s="12"/>
      <c r="AP25" s="12"/>
      <c r="AQ25" s="29">
        <f t="shared" ref="AQ25" si="8">Q25-SUM(R25:X25)-AL25-SUM(AM25:AO25)-AP25</f>
        <v>34331945.480000004</v>
      </c>
      <c r="AR25" s="15"/>
      <c r="AS25" s="30">
        <f t="shared" si="2"/>
        <v>-34331945.480000004</v>
      </c>
      <c r="AT25" s="15"/>
    </row>
    <row r="26" spans="1:46" x14ac:dyDescent="0.25">
      <c r="A26" s="25">
        <v>45130</v>
      </c>
      <c r="B26" s="46">
        <v>1396.82</v>
      </c>
      <c r="C26" s="46">
        <v>1656.05</v>
      </c>
      <c r="D26" s="47">
        <v>5090</v>
      </c>
      <c r="E26" s="47">
        <v>4999</v>
      </c>
      <c r="F26" s="13">
        <f t="shared" si="0"/>
        <v>7109813.7999999998</v>
      </c>
      <c r="G26" s="13">
        <f t="shared" si="0"/>
        <v>8278593.9500000002</v>
      </c>
      <c r="H26" s="26">
        <v>30</v>
      </c>
      <c r="I26" s="13">
        <v>613000</v>
      </c>
      <c r="J26" s="12">
        <v>42</v>
      </c>
      <c r="K26" s="13">
        <v>392000</v>
      </c>
      <c r="L26" s="13">
        <v>111000</v>
      </c>
      <c r="M26" s="13">
        <v>812000</v>
      </c>
      <c r="N26" s="13"/>
      <c r="O26" s="13"/>
      <c r="P26" s="12"/>
      <c r="Q26" s="45">
        <f t="shared" ref="Q26" si="9">SUM(F26:G26)+I26+K26+SUM(L26:P26)</f>
        <v>17316407.75</v>
      </c>
      <c r="R26" s="13"/>
      <c r="S26" s="13"/>
      <c r="T26" s="13"/>
      <c r="U26" s="13"/>
      <c r="V26" s="13"/>
      <c r="W26" s="13"/>
      <c r="X26" s="12"/>
      <c r="Y26" s="28">
        <f t="shared" ref="Y26" si="10">Q26-SUM(R26:X26)</f>
        <v>17316407.75</v>
      </c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43">
        <f t="shared" ref="AL26" si="11">SUM(Z26:AK26)</f>
        <v>0</v>
      </c>
      <c r="AM26" s="12"/>
      <c r="AN26" s="12"/>
      <c r="AO26" s="12"/>
      <c r="AP26" s="12"/>
      <c r="AQ26" s="29">
        <f t="shared" si="4"/>
        <v>17316407.75</v>
      </c>
      <c r="AR26" s="15"/>
      <c r="AS26" s="30">
        <f t="shared" si="2"/>
        <v>-17316407.75</v>
      </c>
      <c r="AT26" s="15"/>
    </row>
    <row r="27" spans="1:46" x14ac:dyDescent="0.25">
      <c r="A27" s="25">
        <v>45131</v>
      </c>
      <c r="B27" s="46">
        <v>1834.86</v>
      </c>
      <c r="C27" s="46">
        <v>3209.18</v>
      </c>
      <c r="D27" s="47">
        <v>5090</v>
      </c>
      <c r="E27" s="47">
        <v>4999</v>
      </c>
      <c r="F27" s="13">
        <f t="shared" si="0"/>
        <v>9339437.4000000004</v>
      </c>
      <c r="G27" s="13">
        <f t="shared" si="0"/>
        <v>16042690.819999998</v>
      </c>
      <c r="H27" s="26">
        <v>155</v>
      </c>
      <c r="I27" s="13">
        <v>3386500</v>
      </c>
      <c r="J27" s="12">
        <v>25</v>
      </c>
      <c r="K27" s="13">
        <v>226000</v>
      </c>
      <c r="L27" s="13">
        <v>8000</v>
      </c>
      <c r="M27" s="13">
        <v>719400</v>
      </c>
      <c r="N27" s="13"/>
      <c r="O27" s="13"/>
      <c r="P27" s="12"/>
      <c r="Q27" s="45">
        <f t="shared" si="3"/>
        <v>29722028.219999999</v>
      </c>
      <c r="R27" s="13"/>
      <c r="S27" s="13"/>
      <c r="T27" s="13"/>
      <c r="U27" s="13"/>
      <c r="V27" s="13"/>
      <c r="W27" s="13"/>
      <c r="X27" s="12"/>
      <c r="Y27" s="28">
        <f t="shared" si="5"/>
        <v>29722028.219999999</v>
      </c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43">
        <f t="shared" si="6"/>
        <v>0</v>
      </c>
      <c r="AM27" s="12"/>
      <c r="AN27" s="12"/>
      <c r="AO27" s="12"/>
      <c r="AP27" s="12"/>
      <c r="AQ27" s="29">
        <f t="shared" si="4"/>
        <v>29722028.219999999</v>
      </c>
      <c r="AR27" s="15"/>
      <c r="AS27" s="30">
        <f t="shared" si="2"/>
        <v>-29722028.219999999</v>
      </c>
      <c r="AT27" s="15"/>
    </row>
    <row r="28" spans="1:46" x14ac:dyDescent="0.25">
      <c r="A28" s="25">
        <v>45132</v>
      </c>
      <c r="B28" s="46">
        <v>1629.06</v>
      </c>
      <c r="C28" s="46">
        <v>2246.02</v>
      </c>
      <c r="D28" s="47">
        <v>5090</v>
      </c>
      <c r="E28" s="47">
        <v>4999</v>
      </c>
      <c r="F28" s="13">
        <f t="shared" si="0"/>
        <v>8291915.3999999994</v>
      </c>
      <c r="G28" s="13">
        <f t="shared" si="0"/>
        <v>11227853.98</v>
      </c>
      <c r="H28" s="26">
        <v>75.5</v>
      </c>
      <c r="I28" s="13">
        <v>1587500</v>
      </c>
      <c r="J28" s="12">
        <v>30</v>
      </c>
      <c r="K28" s="13">
        <v>280000</v>
      </c>
      <c r="L28" s="13">
        <v>45000</v>
      </c>
      <c r="M28" s="13">
        <v>652300</v>
      </c>
      <c r="N28" s="13"/>
      <c r="O28" s="13"/>
      <c r="P28" s="12"/>
      <c r="Q28" s="45">
        <f t="shared" si="3"/>
        <v>22084569.379999999</v>
      </c>
      <c r="R28" s="13"/>
      <c r="S28" s="13"/>
      <c r="T28" s="13"/>
      <c r="U28" s="13"/>
      <c r="V28" s="13"/>
      <c r="W28" s="13"/>
      <c r="X28" s="12"/>
      <c r="Y28" s="28">
        <f t="shared" si="5"/>
        <v>22084569.379999999</v>
      </c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43">
        <f t="shared" si="6"/>
        <v>0</v>
      </c>
      <c r="AM28" s="12"/>
      <c r="AN28" s="12"/>
      <c r="AO28" s="12"/>
      <c r="AP28" s="12"/>
      <c r="AQ28" s="29">
        <f t="shared" si="4"/>
        <v>22084569.379999999</v>
      </c>
      <c r="AR28" s="15"/>
      <c r="AS28" s="30">
        <f t="shared" si="2"/>
        <v>-22084569.379999999</v>
      </c>
      <c r="AT28" s="15"/>
    </row>
    <row r="29" spans="1:46" x14ac:dyDescent="0.25">
      <c r="A29" s="25">
        <v>45133</v>
      </c>
      <c r="B29" s="46">
        <v>1554.56</v>
      </c>
      <c r="C29" s="46">
        <v>3726.12</v>
      </c>
      <c r="D29" s="47">
        <v>5090</v>
      </c>
      <c r="E29" s="47">
        <v>4999</v>
      </c>
      <c r="F29" s="13">
        <f t="shared" si="0"/>
        <v>7912710.3999999994</v>
      </c>
      <c r="G29" s="13">
        <f t="shared" si="0"/>
        <v>18626873.879999999</v>
      </c>
      <c r="H29" s="26">
        <v>40</v>
      </c>
      <c r="I29" s="13">
        <v>883500</v>
      </c>
      <c r="J29" s="12">
        <v>30.5</v>
      </c>
      <c r="K29" s="13">
        <v>281000</v>
      </c>
      <c r="L29" s="13">
        <v>100000</v>
      </c>
      <c r="M29" s="13">
        <v>444000</v>
      </c>
      <c r="N29" s="13"/>
      <c r="O29" s="13"/>
      <c r="P29" s="12"/>
      <c r="Q29" s="45">
        <f t="shared" si="3"/>
        <v>28248084.279999997</v>
      </c>
      <c r="R29" s="13"/>
      <c r="S29" s="13"/>
      <c r="T29" s="13"/>
      <c r="U29" s="13"/>
      <c r="V29" s="13"/>
      <c r="W29" s="13"/>
      <c r="X29" s="12"/>
      <c r="Y29" s="28">
        <f t="shared" si="5"/>
        <v>28248084.279999997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43">
        <f t="shared" si="6"/>
        <v>0</v>
      </c>
      <c r="AM29" s="12"/>
      <c r="AN29" s="12"/>
      <c r="AO29" s="12"/>
      <c r="AP29" s="12"/>
      <c r="AQ29" s="29">
        <f t="shared" si="4"/>
        <v>28248084.279999997</v>
      </c>
      <c r="AR29" s="15"/>
      <c r="AS29" s="30">
        <f t="shared" si="2"/>
        <v>-28248084.279999997</v>
      </c>
      <c r="AT29" s="15"/>
    </row>
    <row r="30" spans="1:46" x14ac:dyDescent="0.25">
      <c r="A30" s="25">
        <v>45134</v>
      </c>
      <c r="B30" s="46">
        <v>1866.49</v>
      </c>
      <c r="C30" s="46">
        <v>2365.39</v>
      </c>
      <c r="D30" s="47">
        <v>5090</v>
      </c>
      <c r="E30" s="47">
        <v>4999</v>
      </c>
      <c r="F30" s="13">
        <f t="shared" si="0"/>
        <v>9500434.0999999996</v>
      </c>
      <c r="G30" s="13">
        <f t="shared" si="0"/>
        <v>11824584.609999999</v>
      </c>
      <c r="H30" s="26">
        <v>30</v>
      </c>
      <c r="I30" s="13">
        <v>661500</v>
      </c>
      <c r="J30" s="12">
        <v>24</v>
      </c>
      <c r="K30" s="13">
        <v>224000</v>
      </c>
      <c r="L30" s="13">
        <v>15000</v>
      </c>
      <c r="M30" s="13">
        <v>1050000</v>
      </c>
      <c r="N30" s="13"/>
      <c r="O30" s="13"/>
      <c r="P30" s="12"/>
      <c r="Q30" s="45">
        <f t="shared" si="3"/>
        <v>23275518.710000001</v>
      </c>
      <c r="R30" s="13"/>
      <c r="S30" s="13"/>
      <c r="T30" s="13"/>
      <c r="U30" s="13"/>
      <c r="V30" s="13"/>
      <c r="W30" s="13"/>
      <c r="X30" s="12"/>
      <c r="Y30" s="28">
        <f t="shared" si="5"/>
        <v>23275518.710000001</v>
      </c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43">
        <f t="shared" si="6"/>
        <v>0</v>
      </c>
      <c r="AM30" s="12"/>
      <c r="AN30" s="12"/>
      <c r="AO30" s="12"/>
      <c r="AP30" s="12"/>
      <c r="AQ30" s="29">
        <f t="shared" si="4"/>
        <v>23275518.710000001</v>
      </c>
      <c r="AR30" s="15"/>
      <c r="AS30" s="30">
        <f t="shared" si="2"/>
        <v>-23275518.710000001</v>
      </c>
      <c r="AT30" s="15"/>
    </row>
    <row r="31" spans="1:46" x14ac:dyDescent="0.25">
      <c r="A31" s="25">
        <v>45135</v>
      </c>
      <c r="B31" s="46">
        <v>2145.59</v>
      </c>
      <c r="C31" s="46">
        <v>4020.87</v>
      </c>
      <c r="D31" s="47">
        <v>5090</v>
      </c>
      <c r="E31" s="47">
        <v>4999</v>
      </c>
      <c r="F31" s="13">
        <f t="shared" si="0"/>
        <v>10921053.100000001</v>
      </c>
      <c r="G31" s="13">
        <f t="shared" si="0"/>
        <v>20100329.129999999</v>
      </c>
      <c r="H31" s="26">
        <v>31.5</v>
      </c>
      <c r="I31" s="13">
        <v>630000</v>
      </c>
      <c r="J31" s="12">
        <v>27.5</v>
      </c>
      <c r="K31" s="13">
        <v>253000</v>
      </c>
      <c r="L31" s="13">
        <v>38000</v>
      </c>
      <c r="M31" s="13">
        <v>758600</v>
      </c>
      <c r="N31" s="13"/>
      <c r="O31" s="13"/>
      <c r="P31" s="12"/>
      <c r="Q31" s="45">
        <f t="shared" si="3"/>
        <v>32700982.23</v>
      </c>
      <c r="R31" s="13"/>
      <c r="S31" s="13"/>
      <c r="T31" s="13"/>
      <c r="U31" s="13"/>
      <c r="V31" s="13"/>
      <c r="W31" s="13"/>
      <c r="X31" s="12"/>
      <c r="Y31" s="28">
        <f t="shared" si="5"/>
        <v>32700982.23</v>
      </c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43">
        <f t="shared" si="6"/>
        <v>0</v>
      </c>
      <c r="AM31" s="12"/>
      <c r="AN31" s="12"/>
      <c r="AO31" s="12"/>
      <c r="AP31" s="12"/>
      <c r="AQ31" s="29">
        <f t="shared" si="4"/>
        <v>32700982.23</v>
      </c>
      <c r="AR31" s="15"/>
      <c r="AS31" s="30">
        <f t="shared" si="2"/>
        <v>-32700982.23</v>
      </c>
      <c r="AT31" s="15"/>
    </row>
    <row r="32" spans="1:46" x14ac:dyDescent="0.25">
      <c r="A32" s="25">
        <v>45136</v>
      </c>
      <c r="B32" s="46">
        <v>2507.6799999999998</v>
      </c>
      <c r="C32" s="46">
        <v>3945.31</v>
      </c>
      <c r="D32" s="47">
        <v>5090</v>
      </c>
      <c r="E32" s="47">
        <v>4999</v>
      </c>
      <c r="F32" s="13">
        <f t="shared" si="0"/>
        <v>12764091.199999999</v>
      </c>
      <c r="G32" s="13">
        <f t="shared" si="0"/>
        <v>19722604.690000001</v>
      </c>
      <c r="H32" s="26">
        <v>73.5</v>
      </c>
      <c r="I32" s="13">
        <v>1561000</v>
      </c>
      <c r="J32" s="12">
        <v>40</v>
      </c>
      <c r="K32" s="13">
        <v>366000</v>
      </c>
      <c r="L32" s="13">
        <v>31000</v>
      </c>
      <c r="M32" s="13">
        <v>1571000</v>
      </c>
      <c r="N32" s="13"/>
      <c r="O32" s="13"/>
      <c r="P32" s="12"/>
      <c r="Q32" s="45">
        <f t="shared" si="3"/>
        <v>36015695.890000001</v>
      </c>
      <c r="R32" s="13"/>
      <c r="S32" s="13"/>
      <c r="T32" s="13"/>
      <c r="U32" s="13"/>
      <c r="V32" s="13"/>
      <c r="W32" s="13"/>
      <c r="X32" s="12"/>
      <c r="Y32" s="28">
        <f t="shared" si="5"/>
        <v>36015695.890000001</v>
      </c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43">
        <f t="shared" si="6"/>
        <v>0</v>
      </c>
      <c r="AM32" s="12"/>
      <c r="AN32" s="12"/>
      <c r="AO32" s="12"/>
      <c r="AP32" s="12"/>
      <c r="AQ32" s="29">
        <f t="shared" si="4"/>
        <v>36015695.890000001</v>
      </c>
      <c r="AR32" s="15"/>
      <c r="AS32" s="30">
        <f t="shared" si="2"/>
        <v>-36015695.890000001</v>
      </c>
      <c r="AT32" s="15"/>
    </row>
    <row r="33" spans="1:46" x14ac:dyDescent="0.25">
      <c r="A33" s="25">
        <v>45137</v>
      </c>
      <c r="B33" s="46">
        <v>1981.76</v>
      </c>
      <c r="C33" s="46">
        <v>4824.3599999999997</v>
      </c>
      <c r="D33" s="47">
        <v>5090</v>
      </c>
      <c r="E33" s="47">
        <v>4999</v>
      </c>
      <c r="F33" s="13">
        <f t="shared" si="0"/>
        <v>10087158.4</v>
      </c>
      <c r="G33" s="13">
        <f t="shared" si="0"/>
        <v>24116975.639999997</v>
      </c>
      <c r="H33" s="26">
        <v>10.5</v>
      </c>
      <c r="I33" s="13">
        <v>212000</v>
      </c>
      <c r="J33" s="12">
        <v>33.5</v>
      </c>
      <c r="K33" s="13">
        <v>309000</v>
      </c>
      <c r="L33" s="13">
        <v>31000</v>
      </c>
      <c r="M33" s="13">
        <v>751200</v>
      </c>
      <c r="N33" s="13"/>
      <c r="O33" s="13"/>
      <c r="P33" s="12"/>
      <c r="Q33" s="45">
        <f t="shared" si="3"/>
        <v>35507334.039999999</v>
      </c>
      <c r="R33" s="13"/>
      <c r="S33" s="13"/>
      <c r="T33" s="13"/>
      <c r="U33" s="13"/>
      <c r="V33" s="13"/>
      <c r="W33" s="13"/>
      <c r="X33" s="12"/>
      <c r="Y33" s="28">
        <f t="shared" si="5"/>
        <v>35507334.039999999</v>
      </c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43">
        <f t="shared" si="6"/>
        <v>0</v>
      </c>
      <c r="AM33" s="12"/>
      <c r="AN33" s="12"/>
      <c r="AO33" s="12"/>
      <c r="AP33" s="12"/>
      <c r="AQ33" s="29">
        <f t="shared" si="4"/>
        <v>35507334.039999999</v>
      </c>
      <c r="AR33" s="15"/>
      <c r="AS33" s="30">
        <f t="shared" si="2"/>
        <v>-35507334.039999999</v>
      </c>
      <c r="AT33" s="15"/>
    </row>
    <row r="34" spans="1:46" x14ac:dyDescent="0.25">
      <c r="A34" s="25">
        <v>45138</v>
      </c>
      <c r="B34" s="46">
        <v>1600</v>
      </c>
      <c r="C34" s="46">
        <v>4484.87</v>
      </c>
      <c r="D34" s="47"/>
      <c r="E34" s="47"/>
      <c r="F34" s="13">
        <f t="shared" si="0"/>
        <v>0</v>
      </c>
      <c r="G34" s="13">
        <f t="shared" si="0"/>
        <v>0</v>
      </c>
      <c r="H34" s="26">
        <v>46</v>
      </c>
      <c r="I34" s="13">
        <v>905500</v>
      </c>
      <c r="J34" s="12">
        <v>21</v>
      </c>
      <c r="K34" s="13">
        <v>392000</v>
      </c>
      <c r="L34" s="13">
        <v>68000</v>
      </c>
      <c r="M34" s="13">
        <v>711000</v>
      </c>
      <c r="N34" s="13"/>
      <c r="O34" s="13"/>
      <c r="P34" s="12"/>
      <c r="Q34" s="45">
        <f t="shared" si="3"/>
        <v>2076500</v>
      </c>
      <c r="R34" s="13"/>
      <c r="S34" s="13"/>
      <c r="T34" s="13"/>
      <c r="U34" s="13"/>
      <c r="V34" s="13"/>
      <c r="W34" s="13"/>
      <c r="X34" s="12"/>
      <c r="Y34" s="28">
        <f t="shared" si="5"/>
        <v>2076500</v>
      </c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43">
        <f t="shared" si="6"/>
        <v>0</v>
      </c>
      <c r="AM34" s="12"/>
      <c r="AN34" s="12"/>
      <c r="AO34" s="12"/>
      <c r="AP34" s="12"/>
      <c r="AQ34" s="29">
        <f t="shared" si="4"/>
        <v>2076500</v>
      </c>
      <c r="AR34" s="15"/>
      <c r="AS34" s="30">
        <f t="shared" si="2"/>
        <v>-2076500</v>
      </c>
      <c r="AT34" s="15"/>
    </row>
    <row r="35" spans="1:46" x14ac:dyDescent="0.25">
      <c r="A35" s="15"/>
      <c r="B35" s="37"/>
      <c r="C35" s="37"/>
      <c r="D35" s="38"/>
      <c r="E35" s="38"/>
      <c r="F35" s="39"/>
      <c r="G35" s="39"/>
      <c r="H35" s="39"/>
      <c r="I35" s="13"/>
      <c r="J35" s="15"/>
      <c r="K35" s="38"/>
      <c r="L35" s="38"/>
      <c r="M35" s="38"/>
      <c r="N35" s="38"/>
      <c r="O35" s="38"/>
      <c r="P35" s="15"/>
      <c r="Q35" s="40"/>
      <c r="R35" s="38"/>
      <c r="S35" s="38"/>
      <c r="T35" s="38"/>
      <c r="U35" s="38"/>
      <c r="V35" s="38"/>
      <c r="W35" s="38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41">
        <f>SUM(AL4:AL34)</f>
        <v>0</v>
      </c>
      <c r="AM35" s="15"/>
      <c r="AN35" s="15"/>
      <c r="AO35" s="15"/>
      <c r="AP35" s="15"/>
      <c r="AQ35" s="15"/>
      <c r="AR35" s="15"/>
      <c r="AS35" s="30">
        <f>SUM(AS4:AS19)</f>
        <v>-293447151.76000005</v>
      </c>
      <c r="AT35" s="15"/>
    </row>
    <row r="36" spans="1:46" x14ac:dyDescent="0.25">
      <c r="A36" s="15"/>
      <c r="B36" s="37">
        <f>SUM(B4:B35)</f>
        <v>60516.119999999995</v>
      </c>
      <c r="C36" s="37">
        <f>SUM(C4:C35)</f>
        <v>117787.09999999998</v>
      </c>
      <c r="D36" s="38">
        <f>SUM(D4:D35)</f>
        <v>152700</v>
      </c>
      <c r="E36" s="38"/>
      <c r="F36" s="39">
        <f>SUM(F4:F35)</f>
        <v>299883050.80000007</v>
      </c>
      <c r="G36" s="39">
        <f>SUM(G4:G35)</f>
        <v>566397847.76999998</v>
      </c>
      <c r="H36" s="39">
        <f t="shared" ref="H36:J36" si="12">SUM(H4:H35)</f>
        <v>1664</v>
      </c>
      <c r="I36" s="39">
        <f t="shared" si="12"/>
        <v>35376500</v>
      </c>
      <c r="J36" s="39">
        <f t="shared" si="12"/>
        <v>1075</v>
      </c>
      <c r="K36" s="39">
        <f>SUM(K4:K35)</f>
        <v>10022000</v>
      </c>
      <c r="L36" s="39">
        <f>SUM(L4:L35)</f>
        <v>1156000</v>
      </c>
      <c r="M36" s="39">
        <f>SUM(M4:M35)</f>
        <v>24023900</v>
      </c>
      <c r="N36" s="38"/>
      <c r="O36" s="38"/>
      <c r="P36" s="15"/>
      <c r="Q36" s="40"/>
      <c r="R36" s="38"/>
      <c r="S36" s="38"/>
      <c r="T36" s="38"/>
      <c r="U36" s="38"/>
      <c r="V36" s="38"/>
      <c r="W36" s="38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41"/>
      <c r="AM36" s="15"/>
      <c r="AN36" s="15"/>
      <c r="AO36" s="15"/>
      <c r="AP36" s="15"/>
      <c r="AQ36" s="15"/>
      <c r="AR36" s="15"/>
      <c r="AS36" s="15"/>
      <c r="AT36" s="15"/>
    </row>
    <row r="37" spans="1:46" x14ac:dyDescent="0.25">
      <c r="A37" s="15"/>
      <c r="B37" s="37"/>
      <c r="C37" s="37"/>
      <c r="D37" s="38"/>
      <c r="E37" s="38"/>
      <c r="F37" s="39"/>
      <c r="G37" s="39"/>
      <c r="H37" s="39"/>
      <c r="I37" s="38"/>
      <c r="J37" s="15"/>
      <c r="K37" s="38"/>
      <c r="L37" s="38"/>
      <c r="M37" s="38"/>
      <c r="N37" s="38"/>
      <c r="O37" s="38"/>
      <c r="P37" s="15"/>
      <c r="Q37" s="40"/>
      <c r="R37" s="38"/>
      <c r="S37" s="38"/>
      <c r="T37" s="38"/>
      <c r="U37" s="38"/>
      <c r="V37" s="38"/>
      <c r="W37" s="38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41"/>
      <c r="AM37" s="15"/>
      <c r="AN37" s="15"/>
      <c r="AO37" s="15"/>
      <c r="AP37" s="15"/>
      <c r="AQ37" s="15"/>
      <c r="AR37" s="15"/>
      <c r="AS37" s="15"/>
      <c r="AT37" s="15"/>
    </row>
    <row r="38" spans="1:46" x14ac:dyDescent="0.25">
      <c r="A38" s="15"/>
      <c r="B38" s="37"/>
      <c r="C38" s="37"/>
      <c r="D38" s="38"/>
      <c r="E38" s="38"/>
      <c r="F38" s="39"/>
      <c r="G38" s="39"/>
      <c r="H38" s="39"/>
      <c r="I38" s="38"/>
      <c r="J38" s="15"/>
      <c r="K38" s="38"/>
      <c r="L38" s="38"/>
      <c r="M38" s="38"/>
      <c r="N38" s="38"/>
      <c r="O38" s="38"/>
      <c r="P38" s="15"/>
      <c r="Q38" s="40"/>
      <c r="R38" s="38"/>
      <c r="S38" s="38"/>
      <c r="T38" s="38"/>
      <c r="U38" s="38"/>
      <c r="V38" s="38"/>
      <c r="W38" s="38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41"/>
      <c r="AM38" s="15"/>
      <c r="AN38" s="15"/>
      <c r="AO38" s="15"/>
      <c r="AP38" s="15"/>
      <c r="AQ38" s="15"/>
      <c r="AR38" s="15"/>
      <c r="AS38" s="15"/>
      <c r="AT38" s="15"/>
    </row>
    <row r="39" spans="1:46" x14ac:dyDescent="0.25">
      <c r="A39" s="15"/>
      <c r="B39" s="37"/>
      <c r="C39" s="37"/>
      <c r="D39" s="38"/>
      <c r="E39" s="38"/>
      <c r="F39" s="39"/>
      <c r="G39" s="39"/>
      <c r="H39" s="39"/>
      <c r="I39" s="38"/>
      <c r="J39" s="15"/>
      <c r="K39" s="38"/>
      <c r="L39" s="38"/>
      <c r="M39" s="38"/>
      <c r="N39" s="38"/>
      <c r="O39" s="38"/>
      <c r="P39" s="15"/>
      <c r="Q39" s="40"/>
      <c r="R39" s="38"/>
      <c r="S39" s="38"/>
      <c r="T39" s="38"/>
      <c r="U39" s="38"/>
      <c r="V39" s="38"/>
      <c r="W39" s="38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41"/>
      <c r="AM39" s="15"/>
      <c r="AN39" s="15"/>
      <c r="AO39" s="15"/>
      <c r="AP39" s="15"/>
      <c r="AQ39" s="15"/>
      <c r="AR39" s="15"/>
      <c r="AS39" s="15"/>
      <c r="AT39" s="15"/>
    </row>
    <row r="40" spans="1:46" x14ac:dyDescent="0.25">
      <c r="A40" s="15"/>
      <c r="B40" s="37"/>
      <c r="C40" s="37"/>
      <c r="D40" s="38"/>
      <c r="E40" s="38"/>
      <c r="F40" s="39"/>
      <c r="G40" s="39"/>
      <c r="H40" s="39"/>
      <c r="I40" s="38"/>
      <c r="J40" s="15"/>
      <c r="K40" s="38"/>
      <c r="L40" s="38"/>
      <c r="M40" s="38"/>
      <c r="N40" s="38"/>
      <c r="O40" s="38"/>
      <c r="P40" s="15"/>
      <c r="Q40" s="40"/>
      <c r="R40" s="38"/>
      <c r="S40" s="38"/>
      <c r="T40" s="38"/>
      <c r="U40" s="38"/>
      <c r="V40" s="38"/>
      <c r="W40" s="38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41"/>
      <c r="AM40" s="15"/>
      <c r="AN40" s="15"/>
      <c r="AO40" s="15"/>
      <c r="AP40" s="15"/>
      <c r="AQ40" s="15"/>
      <c r="AR40" s="15"/>
      <c r="AS40" s="15"/>
      <c r="AT40" s="15"/>
    </row>
    <row r="41" spans="1:46" x14ac:dyDescent="0.25">
      <c r="A41" s="15"/>
      <c r="B41" s="37"/>
      <c r="C41" s="37"/>
      <c r="D41" s="38"/>
      <c r="E41" s="38"/>
      <c r="F41" s="39"/>
      <c r="G41" s="39"/>
      <c r="H41" s="39"/>
      <c r="I41" s="38"/>
      <c r="J41" s="15"/>
      <c r="K41" s="38"/>
      <c r="L41" s="38"/>
      <c r="M41" s="38"/>
      <c r="N41" s="38"/>
      <c r="O41" s="38"/>
      <c r="P41" s="15"/>
      <c r="Q41" s="40"/>
      <c r="R41" s="38"/>
      <c r="S41" s="38"/>
      <c r="T41" s="38"/>
      <c r="U41" s="38"/>
      <c r="V41" s="38"/>
      <c r="W41" s="38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41"/>
      <c r="AM41" s="15"/>
      <c r="AN41" s="15"/>
      <c r="AO41" s="15"/>
      <c r="AP41" s="15"/>
      <c r="AQ41" s="15"/>
      <c r="AR41" s="15"/>
      <c r="AS41" s="15"/>
      <c r="AT41" s="15"/>
    </row>
    <row r="42" spans="1:46" x14ac:dyDescent="0.25">
      <c r="A42" s="15"/>
      <c r="B42" s="37"/>
      <c r="C42" s="37"/>
      <c r="D42" s="38"/>
      <c r="E42" s="38"/>
      <c r="F42" s="39"/>
      <c r="G42" s="39"/>
      <c r="H42" s="39"/>
      <c r="I42" s="38"/>
      <c r="J42" s="15"/>
      <c r="K42" s="38"/>
      <c r="L42" s="38"/>
      <c r="M42" s="38"/>
      <c r="N42" s="38"/>
      <c r="O42" s="38"/>
      <c r="P42" s="15"/>
      <c r="Q42" s="40"/>
      <c r="R42" s="38"/>
      <c r="S42" s="38"/>
      <c r="T42" s="38"/>
      <c r="U42" s="38"/>
      <c r="V42" s="38"/>
      <c r="W42" s="38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41"/>
      <c r="AM42" s="15"/>
      <c r="AN42" s="15"/>
      <c r="AO42" s="15"/>
      <c r="AP42" s="15"/>
      <c r="AQ42" s="15"/>
      <c r="AR42" s="15"/>
      <c r="AS42" s="15"/>
      <c r="AT42" s="15"/>
    </row>
    <row r="43" spans="1:46" x14ac:dyDescent="0.25">
      <c r="A43" s="15"/>
      <c r="B43" s="37"/>
      <c r="C43" s="37"/>
      <c r="D43" s="38"/>
      <c r="E43" s="38"/>
      <c r="F43" s="39"/>
      <c r="G43" s="39"/>
      <c r="H43" s="39"/>
      <c r="I43" s="38"/>
      <c r="J43" s="15"/>
      <c r="K43" s="38"/>
      <c r="L43" s="38"/>
      <c r="M43" s="38"/>
      <c r="N43" s="38"/>
      <c r="O43" s="38"/>
      <c r="P43" s="15"/>
      <c r="Q43" s="40"/>
      <c r="R43" s="38"/>
      <c r="S43" s="38"/>
      <c r="T43" s="38"/>
      <c r="U43" s="38"/>
      <c r="V43" s="38"/>
      <c r="W43" s="38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41"/>
      <c r="AM43" s="15"/>
      <c r="AN43" s="15"/>
      <c r="AO43" s="15"/>
      <c r="AP43" s="15"/>
      <c r="AQ43" s="15"/>
      <c r="AR43" s="15"/>
      <c r="AS43" s="15"/>
      <c r="AT43" s="15"/>
    </row>
    <row r="44" spans="1:46" x14ac:dyDescent="0.25">
      <c r="A44" s="15"/>
      <c r="B44" s="37"/>
      <c r="C44" s="37"/>
      <c r="D44" s="38"/>
      <c r="E44" s="38"/>
      <c r="F44" s="39"/>
      <c r="G44" s="39"/>
      <c r="H44" s="39"/>
      <c r="I44" s="38"/>
      <c r="J44" s="15"/>
      <c r="K44" s="38"/>
      <c r="L44" s="38"/>
      <c r="M44" s="38"/>
      <c r="N44" s="38"/>
      <c r="O44" s="38"/>
      <c r="P44" s="15"/>
      <c r="Q44" s="40"/>
      <c r="R44" s="38"/>
      <c r="S44" s="38"/>
      <c r="T44" s="38"/>
      <c r="U44" s="38"/>
      <c r="V44" s="38"/>
      <c r="W44" s="38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41"/>
      <c r="AM44" s="15"/>
      <c r="AN44" s="15"/>
      <c r="AO44" s="15"/>
      <c r="AP44" s="15"/>
      <c r="AQ44" s="15"/>
      <c r="AR44" s="15"/>
      <c r="AS44" s="15"/>
      <c r="AT44" s="15"/>
    </row>
    <row r="45" spans="1:46" x14ac:dyDescent="0.25">
      <c r="A45" s="15"/>
      <c r="B45" s="37"/>
      <c r="C45" s="37"/>
      <c r="D45" s="38"/>
      <c r="E45" s="38"/>
      <c r="F45" s="39"/>
      <c r="G45" s="39"/>
      <c r="H45" s="39"/>
      <c r="I45" s="38"/>
      <c r="J45" s="15"/>
      <c r="K45" s="38"/>
      <c r="L45" s="38"/>
      <c r="M45" s="38"/>
      <c r="N45" s="38"/>
      <c r="O45" s="38"/>
      <c r="P45" s="15"/>
      <c r="Q45" s="40"/>
      <c r="R45" s="38"/>
      <c r="S45" s="38"/>
      <c r="T45" s="38"/>
      <c r="U45" s="38"/>
      <c r="V45" s="38"/>
      <c r="W45" s="38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41"/>
      <c r="AM45" s="15"/>
      <c r="AN45" s="15"/>
      <c r="AO45" s="15"/>
      <c r="AP45" s="15"/>
      <c r="AQ45" s="15"/>
      <c r="AR45" s="15"/>
      <c r="AS45" s="15"/>
      <c r="AT45" s="15"/>
    </row>
    <row r="46" spans="1:46" x14ac:dyDescent="0.25">
      <c r="A46" s="15"/>
      <c r="B46" s="37"/>
      <c r="C46" s="37"/>
      <c r="D46" s="38"/>
      <c r="E46" s="38"/>
      <c r="F46" s="39"/>
      <c r="G46" s="39"/>
      <c r="H46" s="39"/>
      <c r="I46" s="38"/>
      <c r="J46" s="15"/>
      <c r="K46" s="38"/>
      <c r="L46" s="38"/>
      <c r="M46" s="38"/>
      <c r="N46" s="38"/>
      <c r="O46" s="38"/>
      <c r="P46" s="15"/>
      <c r="Q46" s="40"/>
      <c r="R46" s="38"/>
      <c r="S46" s="38"/>
      <c r="T46" s="38"/>
      <c r="U46" s="38"/>
      <c r="V46" s="38"/>
      <c r="W46" s="38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41"/>
      <c r="AM46" s="15"/>
      <c r="AN46" s="15"/>
      <c r="AO46" s="15"/>
      <c r="AP46" s="15"/>
      <c r="AQ46" s="15"/>
      <c r="AR46" s="15"/>
      <c r="AS46" s="15"/>
      <c r="AT46" s="15"/>
    </row>
    <row r="47" spans="1:46" x14ac:dyDescent="0.25">
      <c r="A47" s="15"/>
      <c r="B47" s="37"/>
      <c r="C47" s="37"/>
      <c r="D47" s="38"/>
      <c r="E47" s="38"/>
      <c r="F47" s="39"/>
      <c r="G47" s="39"/>
      <c r="H47" s="39"/>
      <c r="I47" s="38"/>
      <c r="J47" s="15"/>
      <c r="K47" s="38"/>
      <c r="L47" s="38"/>
      <c r="M47" s="38"/>
      <c r="N47" s="38"/>
      <c r="O47" s="38"/>
      <c r="P47" s="15"/>
      <c r="Q47" s="40"/>
      <c r="R47" s="38"/>
      <c r="S47" s="38"/>
      <c r="T47" s="38"/>
      <c r="U47" s="38"/>
      <c r="V47" s="38"/>
      <c r="W47" s="38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41"/>
      <c r="AM47" s="15"/>
      <c r="AN47" s="15"/>
      <c r="AO47" s="15"/>
      <c r="AP47" s="15"/>
      <c r="AQ47" s="15"/>
      <c r="AR47" s="15"/>
      <c r="AS47" s="15"/>
      <c r="AT47" s="15"/>
    </row>
    <row r="48" spans="1:46" x14ac:dyDescent="0.25">
      <c r="A48" s="15"/>
      <c r="B48" s="37"/>
      <c r="C48" s="37"/>
      <c r="D48" s="38"/>
      <c r="E48" s="38"/>
      <c r="F48" s="39"/>
      <c r="G48" s="39"/>
      <c r="H48" s="39"/>
      <c r="I48" s="38"/>
      <c r="J48" s="15"/>
      <c r="K48" s="38"/>
      <c r="L48" s="38"/>
      <c r="M48" s="38"/>
      <c r="N48" s="38"/>
      <c r="O48" s="38"/>
      <c r="P48" s="15"/>
      <c r="Q48" s="40"/>
      <c r="R48" s="38"/>
      <c r="S48" s="38"/>
      <c r="T48" s="38"/>
      <c r="U48" s="38"/>
      <c r="V48" s="38"/>
      <c r="W48" s="38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41"/>
      <c r="AM48" s="15"/>
      <c r="AN48" s="15"/>
      <c r="AO48" s="15"/>
      <c r="AP48" s="15"/>
      <c r="AQ48" s="15"/>
      <c r="AR48" s="15"/>
      <c r="AS48" s="15"/>
      <c r="AT48" s="15"/>
    </row>
    <row r="49" spans="1:46" x14ac:dyDescent="0.25">
      <c r="A49" s="15"/>
      <c r="B49" s="37"/>
      <c r="C49" s="37"/>
      <c r="D49" s="38"/>
      <c r="E49" s="38"/>
      <c r="F49" s="39"/>
      <c r="G49" s="39"/>
      <c r="H49" s="39"/>
      <c r="I49" s="38"/>
      <c r="J49" s="15"/>
      <c r="K49" s="38"/>
      <c r="L49" s="38"/>
      <c r="M49" s="38"/>
      <c r="N49" s="38"/>
      <c r="O49" s="38"/>
      <c r="P49" s="15"/>
      <c r="Q49" s="40"/>
      <c r="R49" s="38"/>
      <c r="S49" s="38"/>
      <c r="T49" s="38"/>
      <c r="U49" s="38"/>
      <c r="V49" s="38"/>
      <c r="W49" s="38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41"/>
      <c r="AM49" s="15"/>
      <c r="AN49" s="15"/>
      <c r="AO49" s="15"/>
      <c r="AP49" s="15"/>
      <c r="AQ49" s="15"/>
      <c r="AR49" s="15"/>
      <c r="AS49" s="15"/>
      <c r="AT49" s="15"/>
    </row>
    <row r="50" spans="1:46" x14ac:dyDescent="0.25">
      <c r="A50" s="15"/>
      <c r="B50" s="37"/>
      <c r="C50" s="37"/>
      <c r="D50" s="38"/>
      <c r="E50" s="38"/>
      <c r="F50" s="39"/>
      <c r="G50" s="39"/>
      <c r="H50" s="39"/>
      <c r="I50" s="38"/>
      <c r="J50" s="15"/>
      <c r="K50" s="38"/>
      <c r="L50" s="38"/>
      <c r="M50" s="38"/>
      <c r="N50" s="38"/>
      <c r="O50" s="38"/>
      <c r="P50" s="15"/>
      <c r="Q50" s="40"/>
      <c r="R50" s="38"/>
      <c r="S50" s="38"/>
      <c r="T50" s="38"/>
      <c r="U50" s="38"/>
      <c r="V50" s="38"/>
      <c r="W50" s="38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41"/>
      <c r="AM50" s="15"/>
      <c r="AN50" s="15"/>
      <c r="AO50" s="15"/>
      <c r="AP50" s="15"/>
      <c r="AQ50" s="15"/>
      <c r="AR50" s="15"/>
      <c r="AS50" s="15"/>
      <c r="AT50" s="15"/>
    </row>
    <row r="51" spans="1:46" x14ac:dyDescent="0.25">
      <c r="A51" s="15"/>
      <c r="B51" s="37"/>
      <c r="C51" s="37"/>
      <c r="D51" s="38"/>
      <c r="E51" s="38"/>
      <c r="F51" s="39"/>
      <c r="G51" s="39"/>
      <c r="H51" s="39"/>
      <c r="I51" s="38"/>
      <c r="J51" s="15"/>
      <c r="K51" s="38"/>
      <c r="L51" s="38"/>
      <c r="M51" s="38"/>
      <c r="N51" s="38"/>
      <c r="O51" s="38"/>
      <c r="P51" s="15"/>
      <c r="Q51" s="40"/>
      <c r="R51" s="38"/>
      <c r="S51" s="38"/>
      <c r="T51" s="38"/>
      <c r="U51" s="38"/>
      <c r="V51" s="38"/>
      <c r="W51" s="38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41"/>
      <c r="AM51" s="15"/>
      <c r="AN51" s="15"/>
      <c r="AO51" s="15"/>
      <c r="AP51" s="15"/>
      <c r="AQ51" s="15"/>
      <c r="AR51" s="15"/>
      <c r="AS51" s="15"/>
      <c r="AT51" s="15"/>
    </row>
    <row r="52" spans="1:46" x14ac:dyDescent="0.25">
      <c r="A52" s="15"/>
      <c r="B52" s="37"/>
      <c r="C52" s="37"/>
      <c r="D52" s="38"/>
      <c r="E52" s="38"/>
      <c r="F52" s="39"/>
      <c r="G52" s="39"/>
      <c r="H52" s="39"/>
      <c r="I52" s="38"/>
      <c r="J52" s="15"/>
      <c r="K52" s="38"/>
      <c r="L52" s="38"/>
      <c r="M52" s="38"/>
      <c r="N52" s="38"/>
      <c r="O52" s="38"/>
      <c r="P52" s="15"/>
      <c r="Q52" s="40"/>
      <c r="R52" s="38"/>
      <c r="S52" s="38"/>
      <c r="T52" s="38"/>
      <c r="U52" s="38"/>
      <c r="V52" s="38"/>
      <c r="W52" s="38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41"/>
      <c r="AM52" s="15"/>
      <c r="AN52" s="15"/>
      <c r="AO52" s="15"/>
      <c r="AP52" s="15"/>
      <c r="AQ52" s="15"/>
      <c r="AR52" s="15"/>
      <c r="AS52" s="15"/>
      <c r="AT52" s="15"/>
    </row>
    <row r="53" spans="1:46" x14ac:dyDescent="0.25">
      <c r="A53" s="15"/>
      <c r="B53" s="37"/>
      <c r="C53" s="37"/>
      <c r="D53" s="38"/>
      <c r="E53" s="38"/>
      <c r="F53" s="39"/>
      <c r="G53" s="39"/>
      <c r="H53" s="39"/>
      <c r="I53" s="38"/>
      <c r="J53" s="15"/>
      <c r="K53" s="38"/>
      <c r="L53" s="38"/>
      <c r="M53" s="38"/>
      <c r="N53" s="38"/>
      <c r="O53" s="38"/>
      <c r="P53" s="15"/>
      <c r="Q53" s="40"/>
      <c r="R53" s="38"/>
      <c r="S53" s="38"/>
      <c r="T53" s="38"/>
      <c r="U53" s="38"/>
      <c r="V53" s="38"/>
      <c r="W53" s="38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41"/>
      <c r="AM53" s="15"/>
      <c r="AN53" s="15"/>
      <c r="AO53" s="15"/>
      <c r="AP53" s="15"/>
      <c r="AQ53" s="15"/>
      <c r="AR53" s="15"/>
      <c r="AS53" s="15"/>
      <c r="AT53" s="15"/>
    </row>
    <row r="54" spans="1:46" x14ac:dyDescent="0.25">
      <c r="A54" s="15"/>
      <c r="B54" s="37"/>
      <c r="C54" s="37"/>
      <c r="D54" s="38"/>
      <c r="E54" s="38"/>
      <c r="F54" s="39"/>
      <c r="G54" s="39"/>
      <c r="H54" s="39"/>
      <c r="I54" s="38"/>
      <c r="J54" s="15"/>
      <c r="K54" s="38"/>
      <c r="L54" s="38"/>
      <c r="M54" s="38"/>
      <c r="N54" s="38"/>
      <c r="O54" s="38"/>
      <c r="P54" s="15"/>
      <c r="Q54" s="40"/>
      <c r="R54" s="38"/>
      <c r="S54" s="38"/>
      <c r="T54" s="38"/>
      <c r="U54" s="38"/>
      <c r="V54" s="38"/>
      <c r="W54" s="38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41"/>
      <c r="AM54" s="15"/>
      <c r="AN54" s="15"/>
      <c r="AO54" s="15"/>
      <c r="AP54" s="15"/>
      <c r="AQ54" s="15"/>
      <c r="AR54" s="15"/>
      <c r="AS54" s="15"/>
      <c r="AT54" s="15"/>
    </row>
    <row r="55" spans="1:46" x14ac:dyDescent="0.25">
      <c r="A55" s="15"/>
      <c r="B55" s="37"/>
      <c r="C55" s="37"/>
      <c r="D55" s="38"/>
      <c r="E55" s="38"/>
      <c r="F55" s="39"/>
      <c r="G55" s="39"/>
      <c r="H55" s="39"/>
      <c r="I55" s="38"/>
      <c r="J55" s="15"/>
      <c r="K55" s="38"/>
      <c r="L55" s="38"/>
      <c r="M55" s="38"/>
      <c r="N55" s="38"/>
      <c r="O55" s="38"/>
      <c r="P55" s="15"/>
      <c r="Q55" s="40"/>
      <c r="R55" s="38"/>
      <c r="S55" s="38"/>
      <c r="T55" s="38"/>
      <c r="U55" s="38"/>
      <c r="V55" s="38"/>
      <c r="W55" s="38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41"/>
      <c r="AM55" s="15"/>
      <c r="AN55" s="15"/>
      <c r="AO55" s="15"/>
      <c r="AP55" s="15"/>
      <c r="AQ55" s="15"/>
      <c r="AR55" s="15"/>
      <c r="AS55" s="15"/>
      <c r="AT55" s="15"/>
    </row>
    <row r="56" spans="1:46" x14ac:dyDescent="0.25">
      <c r="A56" s="15"/>
      <c r="B56" s="37"/>
      <c r="C56" s="37"/>
      <c r="D56" s="38"/>
      <c r="E56" s="38"/>
      <c r="F56" s="39"/>
      <c r="G56" s="39"/>
      <c r="H56" s="39"/>
      <c r="I56" s="38"/>
      <c r="J56" s="15"/>
      <c r="K56" s="38"/>
      <c r="L56" s="38"/>
      <c r="M56" s="38"/>
      <c r="N56" s="38"/>
      <c r="O56" s="38"/>
      <c r="P56" s="15"/>
      <c r="Q56" s="40"/>
      <c r="R56" s="38"/>
      <c r="S56" s="38"/>
      <c r="T56" s="38"/>
      <c r="U56" s="38"/>
      <c r="V56" s="38"/>
      <c r="W56" s="38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41"/>
      <c r="AM56" s="15"/>
      <c r="AN56" s="15"/>
      <c r="AO56" s="15"/>
      <c r="AP56" s="15"/>
      <c r="AQ56" s="15"/>
      <c r="AR56" s="15"/>
      <c r="AS56" s="15"/>
      <c r="AT56" s="15"/>
    </row>
    <row r="57" spans="1:46" x14ac:dyDescent="0.25">
      <c r="A57" s="15"/>
      <c r="B57" s="37"/>
      <c r="C57" s="37"/>
      <c r="D57" s="38"/>
      <c r="E57" s="38"/>
      <c r="F57" s="39"/>
      <c r="G57" s="39"/>
      <c r="H57" s="39"/>
      <c r="I57" s="38"/>
      <c r="J57" s="15"/>
      <c r="K57" s="38"/>
      <c r="L57" s="38"/>
      <c r="M57" s="38"/>
      <c r="N57" s="38"/>
      <c r="O57" s="38"/>
      <c r="P57" s="15"/>
      <c r="Q57" s="40"/>
      <c r="R57" s="38"/>
      <c r="S57" s="38"/>
      <c r="T57" s="38"/>
      <c r="U57" s="38"/>
      <c r="V57" s="38"/>
      <c r="W57" s="38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41"/>
      <c r="AM57" s="15"/>
      <c r="AN57" s="15"/>
      <c r="AO57" s="15"/>
      <c r="AP57" s="15"/>
      <c r="AQ57" s="15"/>
      <c r="AR57" s="15"/>
      <c r="AS57" s="15"/>
      <c r="AT57" s="15"/>
    </row>
    <row r="58" spans="1:46" x14ac:dyDescent="0.25">
      <c r="A58" s="15"/>
      <c r="B58" s="37"/>
      <c r="C58" s="37"/>
      <c r="D58" s="38"/>
      <c r="E58" s="38"/>
      <c r="F58" s="39"/>
      <c r="G58" s="39"/>
      <c r="H58" s="39"/>
      <c r="I58" s="38"/>
      <c r="J58" s="15"/>
      <c r="K58" s="38"/>
      <c r="L58" s="38"/>
      <c r="M58" s="38"/>
      <c r="N58" s="38"/>
      <c r="O58" s="38"/>
      <c r="P58" s="15"/>
      <c r="Q58" s="40"/>
      <c r="R58" s="38"/>
      <c r="S58" s="38"/>
      <c r="T58" s="38"/>
      <c r="U58" s="38"/>
      <c r="V58" s="38"/>
      <c r="W58" s="38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41"/>
      <c r="AM58" s="15"/>
      <c r="AN58" s="15"/>
      <c r="AO58" s="15"/>
      <c r="AP58" s="15"/>
      <c r="AQ58" s="15"/>
      <c r="AR58" s="15"/>
      <c r="AS58" s="15"/>
      <c r="AT58" s="15"/>
    </row>
    <row r="59" spans="1:46" x14ac:dyDescent="0.25">
      <c r="A59" s="15"/>
      <c r="B59" s="37"/>
      <c r="C59" s="37"/>
      <c r="D59" s="38"/>
      <c r="E59" s="38"/>
      <c r="F59" s="39"/>
      <c r="G59" s="39"/>
      <c r="H59" s="39"/>
      <c r="I59" s="38"/>
      <c r="J59" s="15"/>
      <c r="K59" s="38"/>
      <c r="L59" s="38"/>
      <c r="M59" s="38"/>
      <c r="N59" s="38"/>
      <c r="O59" s="38"/>
      <c r="P59" s="15"/>
      <c r="Q59" s="40"/>
      <c r="R59" s="38"/>
      <c r="S59" s="38"/>
      <c r="T59" s="38"/>
      <c r="U59" s="38"/>
      <c r="V59" s="38"/>
      <c r="W59" s="38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41"/>
      <c r="AM59" s="15"/>
      <c r="AN59" s="15"/>
      <c r="AO59" s="15"/>
      <c r="AP59" s="15"/>
      <c r="AQ59" s="15"/>
      <c r="AR59" s="15"/>
      <c r="AS59" s="15"/>
      <c r="AT59" s="15"/>
    </row>
    <row r="60" spans="1:46" x14ac:dyDescent="0.25">
      <c r="A60" s="15"/>
      <c r="B60" s="37"/>
      <c r="C60" s="37"/>
      <c r="D60" s="38"/>
      <c r="E60" s="38"/>
      <c r="F60" s="39"/>
      <c r="G60" s="39"/>
      <c r="H60" s="39"/>
      <c r="I60" s="38"/>
      <c r="J60" s="15"/>
      <c r="K60" s="38"/>
      <c r="L60" s="38"/>
      <c r="M60" s="38"/>
      <c r="N60" s="38"/>
      <c r="O60" s="38"/>
      <c r="P60" s="15"/>
      <c r="Q60" s="40"/>
      <c r="R60" s="38"/>
      <c r="S60" s="38"/>
      <c r="T60" s="38"/>
      <c r="U60" s="38"/>
      <c r="V60" s="38"/>
      <c r="W60" s="38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41"/>
      <c r="AM60" s="15"/>
      <c r="AN60" s="15"/>
      <c r="AO60" s="15"/>
      <c r="AP60" s="15"/>
      <c r="AQ60" s="15"/>
      <c r="AR60" s="15"/>
      <c r="AS60" s="15"/>
      <c r="AT60" s="15"/>
    </row>
    <row r="61" spans="1:46" x14ac:dyDescent="0.25">
      <c r="A61" s="15"/>
      <c r="B61" s="37"/>
      <c r="C61" s="37"/>
      <c r="D61" s="38"/>
      <c r="E61" s="38"/>
      <c r="F61" s="39"/>
      <c r="G61" s="39"/>
      <c r="H61" s="39"/>
      <c r="I61" s="38"/>
      <c r="J61" s="15"/>
      <c r="K61" s="38"/>
      <c r="L61" s="38"/>
      <c r="M61" s="38"/>
      <c r="N61" s="38"/>
      <c r="O61" s="38"/>
      <c r="P61" s="15"/>
      <c r="Q61" s="40"/>
      <c r="R61" s="38"/>
      <c r="S61" s="38"/>
      <c r="T61" s="38"/>
      <c r="U61" s="38"/>
      <c r="V61" s="38"/>
      <c r="W61" s="38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41"/>
      <c r="AM61" s="15"/>
      <c r="AN61" s="15"/>
      <c r="AO61" s="15"/>
      <c r="AP61" s="15"/>
      <c r="AQ61" s="15"/>
      <c r="AR61" s="15"/>
      <c r="AS61" s="15"/>
      <c r="AT61" s="15"/>
    </row>
    <row r="62" spans="1:46" x14ac:dyDescent="0.25">
      <c r="A62" s="15"/>
      <c r="B62" s="37"/>
      <c r="C62" s="37"/>
      <c r="D62" s="38"/>
      <c r="E62" s="38"/>
      <c r="F62" s="39"/>
      <c r="G62" s="39"/>
      <c r="H62" s="39"/>
      <c r="I62" s="38"/>
      <c r="J62" s="15"/>
      <c r="K62" s="38"/>
      <c r="L62" s="38"/>
      <c r="M62" s="38"/>
      <c r="N62" s="38"/>
      <c r="O62" s="38"/>
      <c r="P62" s="15"/>
      <c r="Q62" s="40"/>
      <c r="R62" s="38"/>
      <c r="S62" s="38"/>
      <c r="T62" s="38"/>
      <c r="U62" s="38"/>
      <c r="V62" s="38"/>
      <c r="W62" s="38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41"/>
      <c r="AM62" s="15"/>
      <c r="AN62" s="15"/>
      <c r="AO62" s="15"/>
      <c r="AP62" s="15"/>
      <c r="AQ62" s="15"/>
      <c r="AR62" s="15"/>
      <c r="AS62" s="15"/>
      <c r="AT62" s="15"/>
    </row>
    <row r="63" spans="1:46" x14ac:dyDescent="0.25">
      <c r="A63" s="15"/>
      <c r="B63" s="37"/>
      <c r="C63" s="37"/>
      <c r="D63" s="38"/>
      <c r="E63" s="38"/>
      <c r="F63" s="39"/>
      <c r="G63" s="39"/>
      <c r="H63" s="39"/>
      <c r="I63" s="38"/>
      <c r="J63" s="15"/>
      <c r="K63" s="38"/>
      <c r="L63" s="38"/>
      <c r="M63" s="38"/>
      <c r="N63" s="38"/>
      <c r="O63" s="38"/>
      <c r="P63" s="15"/>
      <c r="Q63" s="40"/>
      <c r="R63" s="38"/>
      <c r="S63" s="38"/>
      <c r="T63" s="38"/>
      <c r="U63" s="38"/>
      <c r="V63" s="38"/>
      <c r="W63" s="38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41"/>
      <c r="AM63" s="15"/>
      <c r="AN63" s="15"/>
      <c r="AO63" s="15"/>
      <c r="AP63" s="15"/>
      <c r="AQ63" s="15"/>
      <c r="AR63" s="15"/>
      <c r="AS63" s="15"/>
      <c r="AT63" s="15"/>
    </row>
    <row r="64" spans="1:46" x14ac:dyDescent="0.25">
      <c r="A64" s="15"/>
      <c r="B64" s="37"/>
      <c r="C64" s="37"/>
      <c r="D64" s="38"/>
      <c r="E64" s="38"/>
      <c r="F64" s="39"/>
      <c r="G64" s="39"/>
      <c r="H64" s="39"/>
      <c r="I64" s="38"/>
      <c r="J64" s="15"/>
      <c r="K64" s="38"/>
      <c r="L64" s="38"/>
      <c r="M64" s="38"/>
      <c r="N64" s="38"/>
      <c r="O64" s="38"/>
      <c r="P64" s="15"/>
      <c r="Q64" s="40"/>
      <c r="R64" s="38"/>
      <c r="S64" s="38"/>
      <c r="T64" s="38"/>
      <c r="U64" s="38"/>
      <c r="V64" s="38"/>
      <c r="W64" s="38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41"/>
      <c r="AM64" s="15"/>
      <c r="AN64" s="15"/>
      <c r="AO64" s="15"/>
      <c r="AP64" s="15"/>
      <c r="AQ64" s="15"/>
      <c r="AR64" s="15"/>
      <c r="AS64" s="15"/>
      <c r="AT64" s="15"/>
    </row>
    <row r="65" spans="1:46" x14ac:dyDescent="0.25">
      <c r="A65" s="15"/>
      <c r="B65" s="37"/>
      <c r="C65" s="37"/>
      <c r="D65" s="38"/>
      <c r="E65" s="38"/>
      <c r="F65" s="39"/>
      <c r="G65" s="39"/>
      <c r="H65" s="39"/>
      <c r="I65" s="38"/>
      <c r="J65" s="15"/>
      <c r="K65" s="38"/>
      <c r="L65" s="38"/>
      <c r="M65" s="38"/>
      <c r="N65" s="38"/>
      <c r="O65" s="38"/>
      <c r="P65" s="15"/>
      <c r="Q65" s="40"/>
      <c r="R65" s="38"/>
      <c r="S65" s="38"/>
      <c r="T65" s="38"/>
      <c r="U65" s="38"/>
      <c r="V65" s="38"/>
      <c r="W65" s="38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41"/>
      <c r="AM65" s="15"/>
      <c r="AN65" s="15"/>
      <c r="AO65" s="15"/>
      <c r="AP65" s="15"/>
      <c r="AQ65" s="15"/>
      <c r="AR65" s="15"/>
      <c r="AS65" s="15"/>
      <c r="AT65" s="15"/>
    </row>
    <row r="66" spans="1:46" x14ac:dyDescent="0.25">
      <c r="A66" s="15"/>
      <c r="B66" s="37"/>
      <c r="C66" s="37"/>
      <c r="D66" s="38"/>
      <c r="E66" s="38"/>
      <c r="F66" s="39"/>
      <c r="G66" s="39"/>
      <c r="H66" s="39"/>
      <c r="I66" s="38"/>
      <c r="J66" s="15"/>
      <c r="K66" s="38"/>
      <c r="L66" s="38"/>
      <c r="M66" s="38"/>
      <c r="N66" s="38"/>
      <c r="O66" s="38"/>
      <c r="P66" s="15"/>
      <c r="Q66" s="40"/>
      <c r="R66" s="38"/>
      <c r="S66" s="38"/>
      <c r="T66" s="38"/>
      <c r="U66" s="38"/>
      <c r="V66" s="38"/>
      <c r="W66" s="38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41"/>
      <c r="AM66" s="15"/>
      <c r="AN66" s="15"/>
      <c r="AO66" s="15"/>
      <c r="AP66" s="15"/>
      <c r="AQ66" s="15"/>
      <c r="AR66" s="15"/>
      <c r="AS66" s="15"/>
      <c r="AT66" s="15"/>
    </row>
  </sheetData>
  <mergeCells count="14">
    <mergeCell ref="U2:W2"/>
    <mergeCell ref="Z2:AK2"/>
    <mergeCell ref="AL2:AL3"/>
    <mergeCell ref="AM2:AO2"/>
    <mergeCell ref="B1:P1"/>
    <mergeCell ref="R1:W1"/>
    <mergeCell ref="Z1:AO1"/>
    <mergeCell ref="B2:C2"/>
    <mergeCell ref="D2:E2"/>
    <mergeCell ref="F2:G2"/>
    <mergeCell ref="H2:I2"/>
    <mergeCell ref="J2:K2"/>
    <mergeCell ref="N2:P2"/>
    <mergeCell ref="R2:T2"/>
  </mergeCells>
  <conditionalFormatting sqref="AS4:AS36"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S39"/>
  <sheetViews>
    <sheetView topLeftCell="A22" workbookViewId="0">
      <selection activeCell="M27" sqref="M27"/>
    </sheetView>
  </sheetViews>
  <sheetFormatPr defaultRowHeight="15" x14ac:dyDescent="0.25"/>
  <cols>
    <col min="1" max="1" width="9.42578125" bestFit="1" customWidth="1"/>
    <col min="2" max="2" width="11.85546875" customWidth="1"/>
    <col min="3" max="3" width="12" customWidth="1"/>
    <col min="6" max="7" width="14.5703125" bestFit="1" customWidth="1"/>
    <col min="9" max="9" width="13.5703125" bestFit="1" customWidth="1"/>
    <col min="10" max="10" width="10" customWidth="1"/>
    <col min="11" max="11" width="13.5703125" customWidth="1"/>
    <col min="12" max="12" width="13" customWidth="1"/>
    <col min="13" max="13" width="11.5703125" customWidth="1"/>
    <col min="14" max="14" width="4.85546875" customWidth="1"/>
    <col min="15" max="15" width="3.7109375" customWidth="1"/>
    <col min="16" max="16" width="3.5703125" customWidth="1"/>
    <col min="17" max="17" width="13.5703125" bestFit="1" customWidth="1"/>
  </cols>
  <sheetData>
    <row r="1" spans="1:45" ht="18.75" x14ac:dyDescent="0.3">
      <c r="A1" s="6"/>
      <c r="B1" s="81" t="s">
        <v>45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11"/>
      <c r="R1" s="85" t="s">
        <v>46</v>
      </c>
      <c r="S1" s="85"/>
      <c r="T1" s="85"/>
      <c r="U1" s="85"/>
      <c r="V1" s="85"/>
      <c r="W1" s="85"/>
      <c r="X1" s="2"/>
      <c r="Y1" s="3"/>
      <c r="Z1" s="94" t="s">
        <v>33</v>
      </c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10"/>
      <c r="AQ1" s="2"/>
      <c r="AR1" s="2"/>
      <c r="AS1" s="2"/>
    </row>
    <row r="2" spans="1:45" x14ac:dyDescent="0.25">
      <c r="A2" s="12" t="s">
        <v>0</v>
      </c>
      <c r="B2" s="82" t="s">
        <v>5</v>
      </c>
      <c r="C2" s="82"/>
      <c r="D2" s="83" t="s">
        <v>12</v>
      </c>
      <c r="E2" s="83"/>
      <c r="F2" s="83" t="s">
        <v>6</v>
      </c>
      <c r="G2" s="83"/>
      <c r="H2" s="84" t="s">
        <v>7</v>
      </c>
      <c r="I2" s="84"/>
      <c r="J2" s="84" t="s">
        <v>8</v>
      </c>
      <c r="K2" s="84"/>
      <c r="L2" s="13"/>
      <c r="M2" s="13" t="s">
        <v>35</v>
      </c>
      <c r="N2" s="84" t="s">
        <v>15</v>
      </c>
      <c r="O2" s="84"/>
      <c r="P2" s="84"/>
      <c r="Q2" s="44"/>
      <c r="R2" s="86" t="s">
        <v>36</v>
      </c>
      <c r="S2" s="87"/>
      <c r="T2" s="88"/>
      <c r="U2" s="89" t="s">
        <v>47</v>
      </c>
      <c r="V2" s="90"/>
      <c r="W2" s="91"/>
      <c r="X2" s="12" t="s">
        <v>14</v>
      </c>
      <c r="Y2" s="14"/>
      <c r="Z2" s="92" t="s">
        <v>13</v>
      </c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5" t="s">
        <v>34</v>
      </c>
      <c r="AM2" s="93" t="s">
        <v>29</v>
      </c>
      <c r="AN2" s="93"/>
      <c r="AO2" s="93"/>
      <c r="AP2" s="48"/>
      <c r="AQ2" s="12"/>
      <c r="AR2" s="15"/>
      <c r="AS2" s="15"/>
    </row>
    <row r="3" spans="1:45" ht="39" x14ac:dyDescent="0.25">
      <c r="A3" s="16"/>
      <c r="B3" s="17" t="s">
        <v>1</v>
      </c>
      <c r="C3" s="17" t="s">
        <v>2</v>
      </c>
      <c r="D3" s="18" t="s">
        <v>1</v>
      </c>
      <c r="E3" s="18" t="s">
        <v>2</v>
      </c>
      <c r="F3" s="19" t="s">
        <v>1</v>
      </c>
      <c r="G3" s="19" t="s">
        <v>2</v>
      </c>
      <c r="H3" s="19" t="s">
        <v>9</v>
      </c>
      <c r="I3" s="18" t="s">
        <v>10</v>
      </c>
      <c r="J3" s="16" t="s">
        <v>11</v>
      </c>
      <c r="K3" s="18" t="s">
        <v>10</v>
      </c>
      <c r="L3" s="18" t="s">
        <v>4</v>
      </c>
      <c r="M3" s="18" t="s">
        <v>67</v>
      </c>
      <c r="N3" s="18" t="s">
        <v>52</v>
      </c>
      <c r="O3" s="18" t="s">
        <v>40</v>
      </c>
      <c r="P3" s="16" t="s">
        <v>28</v>
      </c>
      <c r="Q3" s="44" t="s">
        <v>3</v>
      </c>
      <c r="R3" s="18" t="s">
        <v>1</v>
      </c>
      <c r="S3" s="18" t="s">
        <v>2</v>
      </c>
      <c r="T3" s="18" t="s">
        <v>60</v>
      </c>
      <c r="U3" s="18" t="s">
        <v>39</v>
      </c>
      <c r="V3" s="18" t="s">
        <v>38</v>
      </c>
      <c r="W3" s="18" t="s">
        <v>37</v>
      </c>
      <c r="X3" s="16"/>
      <c r="Y3" s="20" t="s">
        <v>48</v>
      </c>
      <c r="Z3" s="16" t="s">
        <v>61</v>
      </c>
      <c r="AA3" s="16" t="s">
        <v>17</v>
      </c>
      <c r="AB3" s="16" t="s">
        <v>18</v>
      </c>
      <c r="AC3" s="16" t="s">
        <v>19</v>
      </c>
      <c r="AD3" s="16" t="s">
        <v>54</v>
      </c>
      <c r="AE3" s="16" t="s">
        <v>58</v>
      </c>
      <c r="AF3" s="16" t="s">
        <v>22</v>
      </c>
      <c r="AG3" s="16" t="s">
        <v>23</v>
      </c>
      <c r="AH3" s="16" t="s">
        <v>24</v>
      </c>
      <c r="AI3" s="16" t="s">
        <v>25</v>
      </c>
      <c r="AJ3" s="16" t="s">
        <v>64</v>
      </c>
      <c r="AK3" s="16" t="s">
        <v>41</v>
      </c>
      <c r="AL3" s="96"/>
      <c r="AM3" s="21" t="s">
        <v>30</v>
      </c>
      <c r="AN3" s="21" t="s">
        <v>31</v>
      </c>
      <c r="AO3" s="21" t="s">
        <v>32</v>
      </c>
      <c r="AP3" s="49" t="s">
        <v>49</v>
      </c>
      <c r="AQ3" s="22" t="s">
        <v>42</v>
      </c>
      <c r="AR3" s="23" t="s">
        <v>44</v>
      </c>
      <c r="AS3" s="24" t="s">
        <v>43</v>
      </c>
    </row>
    <row r="4" spans="1:45" x14ac:dyDescent="0.25">
      <c r="A4" s="25">
        <v>45139</v>
      </c>
      <c r="B4" s="46">
        <v>1911.37</v>
      </c>
      <c r="C4" s="46">
        <v>5951.36</v>
      </c>
      <c r="D4" s="47">
        <v>5090</v>
      </c>
      <c r="E4" s="47">
        <v>4999</v>
      </c>
      <c r="F4" s="13">
        <f t="shared" ref="F4:G34" si="0">B4*D4</f>
        <v>9728873.2999999989</v>
      </c>
      <c r="G4" s="13">
        <f t="shared" si="0"/>
        <v>29750848.639999997</v>
      </c>
      <c r="H4" s="26">
        <v>85.5</v>
      </c>
      <c r="I4" s="13">
        <v>1759000</v>
      </c>
      <c r="J4" s="27">
        <v>48</v>
      </c>
      <c r="K4" s="13">
        <v>448000</v>
      </c>
      <c r="L4" s="13">
        <v>8000</v>
      </c>
      <c r="M4" s="13">
        <v>439000</v>
      </c>
      <c r="N4" s="13"/>
      <c r="O4" s="13"/>
      <c r="P4" s="13"/>
      <c r="Q4" s="45">
        <f>SUM(F4:G4)+I4+K4+SUM(L4:P4)</f>
        <v>42133721.939999998</v>
      </c>
      <c r="R4" s="13"/>
      <c r="S4" s="13"/>
      <c r="T4" s="13"/>
      <c r="U4" s="13"/>
      <c r="V4" s="13"/>
      <c r="W4" s="13"/>
      <c r="X4" s="13"/>
      <c r="Y4" s="28">
        <f>Q4-SUM(R4:X4)</f>
        <v>42133721.939999998</v>
      </c>
      <c r="Z4" s="13"/>
      <c r="AA4" s="13"/>
      <c r="AB4" s="13"/>
      <c r="AC4" s="13">
        <v>0</v>
      </c>
      <c r="AD4" s="13"/>
      <c r="AE4" s="13"/>
      <c r="AF4" s="13">
        <v>0</v>
      </c>
      <c r="AG4" s="13"/>
      <c r="AH4" s="13"/>
      <c r="AI4" s="13"/>
      <c r="AJ4" s="13"/>
      <c r="AK4" s="13"/>
      <c r="AL4" s="43">
        <f t="shared" ref="AL4:AL19" si="1">SUM(Z4:AK4)</f>
        <v>0</v>
      </c>
      <c r="AM4" s="12">
        <v>0</v>
      </c>
      <c r="AN4" s="12"/>
      <c r="AO4" s="12"/>
      <c r="AP4" s="12"/>
      <c r="AQ4" s="29">
        <f>Q4-SUM(R4:X4)-AL4-SUM(AM4:AO4)-AP4</f>
        <v>42133721.939999998</v>
      </c>
      <c r="AR4" s="15">
        <v>11073500</v>
      </c>
      <c r="AS4" s="30">
        <f t="shared" ref="AS4:AS34" si="2">AR4-AQ4</f>
        <v>-31060221.939999998</v>
      </c>
    </row>
    <row r="5" spans="1:45" x14ac:dyDescent="0.25">
      <c r="A5" s="25">
        <v>45140</v>
      </c>
      <c r="B5" s="46">
        <v>2052.52</v>
      </c>
      <c r="C5" s="46">
        <v>3849.6</v>
      </c>
      <c r="D5" s="47">
        <v>5090</v>
      </c>
      <c r="E5" s="47">
        <v>4999</v>
      </c>
      <c r="F5" s="13">
        <f t="shared" si="0"/>
        <v>10447326.800000001</v>
      </c>
      <c r="G5" s="13">
        <f t="shared" si="0"/>
        <v>19244150.399999999</v>
      </c>
      <c r="H5" s="31">
        <v>53.5</v>
      </c>
      <c r="I5" s="13">
        <v>1122000</v>
      </c>
      <c r="J5" s="27">
        <v>15</v>
      </c>
      <c r="K5" s="13">
        <v>140000</v>
      </c>
      <c r="L5" s="13">
        <v>45000</v>
      </c>
      <c r="M5" s="13">
        <v>504000</v>
      </c>
      <c r="N5" s="13"/>
      <c r="O5" s="13"/>
      <c r="P5" s="13"/>
      <c r="Q5" s="45">
        <f t="shared" ref="Q5:Q34" si="3">SUM(F5:G5)+I5+K5+SUM(L5:P5)</f>
        <v>31502477.199999999</v>
      </c>
      <c r="R5" s="13"/>
      <c r="S5" s="13"/>
      <c r="T5" s="13"/>
      <c r="U5" s="13"/>
      <c r="V5" s="13"/>
      <c r="W5" s="13"/>
      <c r="X5" s="32"/>
      <c r="Y5" s="28">
        <f>Q5-SUM(R5:X5)</f>
        <v>31502477.199999999</v>
      </c>
      <c r="Z5" s="33"/>
      <c r="AA5" s="34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43">
        <f t="shared" si="1"/>
        <v>0</v>
      </c>
      <c r="AM5" s="12">
        <v>0</v>
      </c>
      <c r="AN5" s="12"/>
      <c r="AO5" s="12"/>
      <c r="AP5" s="12"/>
      <c r="AQ5" s="29">
        <f t="shared" ref="AQ5:AQ34" si="4">Q5-SUM(R5:X5)-AL5-SUM(AM5:AO5)-AP5</f>
        <v>31502477.199999999</v>
      </c>
      <c r="AR5" s="15">
        <v>15702000</v>
      </c>
      <c r="AS5" s="30">
        <f t="shared" si="2"/>
        <v>-15800477.199999999</v>
      </c>
    </row>
    <row r="6" spans="1:45" x14ac:dyDescent="0.25">
      <c r="A6" s="25">
        <v>45141</v>
      </c>
      <c r="B6" s="46">
        <v>1644.13</v>
      </c>
      <c r="C6" s="46">
        <v>4287.26</v>
      </c>
      <c r="D6" s="47">
        <v>5090</v>
      </c>
      <c r="E6" s="47">
        <v>4999</v>
      </c>
      <c r="F6" s="13">
        <f t="shared" si="0"/>
        <v>8368621.7000000002</v>
      </c>
      <c r="G6" s="13">
        <f t="shared" si="0"/>
        <v>21432012.740000002</v>
      </c>
      <c r="H6" s="26">
        <v>77</v>
      </c>
      <c r="I6" s="13">
        <v>1600000</v>
      </c>
      <c r="J6" s="27">
        <v>21</v>
      </c>
      <c r="K6" s="13">
        <v>196000</v>
      </c>
      <c r="L6" s="13">
        <v>60000</v>
      </c>
      <c r="M6" s="13">
        <v>560000</v>
      </c>
      <c r="N6" s="13"/>
      <c r="O6" s="13"/>
      <c r="P6" s="13"/>
      <c r="Q6" s="45">
        <f t="shared" si="3"/>
        <v>32216634.440000001</v>
      </c>
      <c r="R6" s="13"/>
      <c r="S6" s="13"/>
      <c r="T6" s="13"/>
      <c r="U6" s="13"/>
      <c r="V6" s="13"/>
      <c r="W6" s="13"/>
      <c r="X6" s="13"/>
      <c r="Y6" s="28">
        <f>Q6-SUM(R6:X6)</f>
        <v>32216634.440000001</v>
      </c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43">
        <f t="shared" si="1"/>
        <v>0</v>
      </c>
      <c r="AM6" s="55">
        <v>1237000</v>
      </c>
      <c r="AN6" s="12"/>
      <c r="AO6" s="12"/>
      <c r="AP6" s="12"/>
      <c r="AQ6" s="29">
        <f t="shared" si="4"/>
        <v>30979634.440000001</v>
      </c>
      <c r="AR6" s="15">
        <v>11472400</v>
      </c>
      <c r="AS6" s="30">
        <f t="shared" si="2"/>
        <v>-19507234.440000001</v>
      </c>
    </row>
    <row r="7" spans="1:45" x14ac:dyDescent="0.25">
      <c r="A7" s="25">
        <v>45142</v>
      </c>
      <c r="B7" s="46">
        <v>2214.21</v>
      </c>
      <c r="C7" s="46">
        <v>5731.08</v>
      </c>
      <c r="D7" s="47">
        <v>5090</v>
      </c>
      <c r="E7" s="47">
        <v>4999</v>
      </c>
      <c r="F7" s="13">
        <f t="shared" si="0"/>
        <v>11270328.9</v>
      </c>
      <c r="G7" s="13">
        <f t="shared" si="0"/>
        <v>28649668.919999998</v>
      </c>
      <c r="H7" s="26">
        <v>94.5</v>
      </c>
      <c r="I7" s="13">
        <v>1867500</v>
      </c>
      <c r="J7" s="27">
        <v>63</v>
      </c>
      <c r="K7" s="13">
        <v>588000</v>
      </c>
      <c r="L7" s="13">
        <v>15000</v>
      </c>
      <c r="M7" s="13">
        <v>1025500</v>
      </c>
      <c r="N7" s="13"/>
      <c r="O7" s="13"/>
      <c r="P7" s="13"/>
      <c r="Q7" s="45">
        <f t="shared" si="3"/>
        <v>43415997.82</v>
      </c>
      <c r="R7" s="13"/>
      <c r="S7" s="13"/>
      <c r="T7" s="13"/>
      <c r="U7" s="13"/>
      <c r="V7" s="13"/>
      <c r="W7" s="13"/>
      <c r="X7" s="13"/>
      <c r="Y7" s="28">
        <f t="shared" ref="Y7:Y34" si="5">Q7-SUM(R7:X7)</f>
        <v>43415997.82</v>
      </c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43">
        <f t="shared" si="1"/>
        <v>0</v>
      </c>
      <c r="AM7" s="12"/>
      <c r="AN7" s="12"/>
      <c r="AO7" s="12"/>
      <c r="AP7" s="12"/>
      <c r="AQ7" s="29">
        <f t="shared" si="4"/>
        <v>43415997.82</v>
      </c>
      <c r="AR7" s="15">
        <v>12145200</v>
      </c>
      <c r="AS7" s="30">
        <f t="shared" si="2"/>
        <v>-31270797.82</v>
      </c>
    </row>
    <row r="8" spans="1:45" x14ac:dyDescent="0.25">
      <c r="A8" s="25">
        <v>45143</v>
      </c>
      <c r="B8" s="46">
        <v>2125.92</v>
      </c>
      <c r="C8" s="46">
        <v>3657.1129999999998</v>
      </c>
      <c r="D8" s="47">
        <v>5090</v>
      </c>
      <c r="E8" s="47">
        <v>4999</v>
      </c>
      <c r="F8" s="13">
        <f t="shared" si="0"/>
        <v>10820932.800000001</v>
      </c>
      <c r="G8" s="13">
        <f t="shared" si="0"/>
        <v>18281907.886999998</v>
      </c>
      <c r="H8" s="26">
        <v>62</v>
      </c>
      <c r="I8" s="13">
        <v>1217000</v>
      </c>
      <c r="J8" s="27">
        <v>24.5</v>
      </c>
      <c r="K8" s="13">
        <v>225000</v>
      </c>
      <c r="L8" s="13">
        <v>60000</v>
      </c>
      <c r="M8" s="13">
        <v>1201500</v>
      </c>
      <c r="N8" s="13"/>
      <c r="O8" s="13"/>
      <c r="P8" s="13"/>
      <c r="Q8" s="45">
        <f t="shared" si="3"/>
        <v>31806340.686999999</v>
      </c>
      <c r="R8" s="13"/>
      <c r="S8" s="13"/>
      <c r="T8" s="13"/>
      <c r="U8" s="13"/>
      <c r="V8" s="13"/>
      <c r="W8" s="13"/>
      <c r="X8" s="13"/>
      <c r="Y8" s="28">
        <f t="shared" si="5"/>
        <v>31806340.686999999</v>
      </c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43">
        <f t="shared" si="1"/>
        <v>0</v>
      </c>
      <c r="AM8" s="12"/>
      <c r="AN8" s="12"/>
      <c r="AO8" s="12"/>
      <c r="AP8" s="12"/>
      <c r="AQ8" s="29">
        <f t="shared" si="4"/>
        <v>31806340.686999999</v>
      </c>
      <c r="AR8" s="15">
        <v>23336800</v>
      </c>
      <c r="AS8" s="30">
        <f t="shared" si="2"/>
        <v>-8469540.686999999</v>
      </c>
    </row>
    <row r="9" spans="1:45" x14ac:dyDescent="0.25">
      <c r="A9" s="25">
        <v>45144</v>
      </c>
      <c r="B9" s="46">
        <v>2031.43</v>
      </c>
      <c r="C9" s="46">
        <v>2092.52</v>
      </c>
      <c r="D9" s="47">
        <v>5090</v>
      </c>
      <c r="E9" s="47">
        <v>4999</v>
      </c>
      <c r="F9" s="13">
        <f t="shared" si="0"/>
        <v>10339978.700000001</v>
      </c>
      <c r="G9" s="13">
        <f t="shared" si="0"/>
        <v>10460507.48</v>
      </c>
      <c r="H9" s="26">
        <v>34</v>
      </c>
      <c r="I9" s="13">
        <v>739500</v>
      </c>
      <c r="J9" s="27">
        <v>76</v>
      </c>
      <c r="K9" s="13">
        <v>702000</v>
      </c>
      <c r="L9" s="13">
        <v>60000</v>
      </c>
      <c r="M9" s="13">
        <v>864000</v>
      </c>
      <c r="N9" s="13"/>
      <c r="O9" s="13"/>
      <c r="P9" s="31"/>
      <c r="Q9" s="45">
        <f t="shared" si="3"/>
        <v>23165986.18</v>
      </c>
      <c r="R9" s="13"/>
      <c r="S9" s="13"/>
      <c r="T9" s="13"/>
      <c r="U9" s="13"/>
      <c r="V9" s="13"/>
      <c r="W9" s="13"/>
      <c r="X9" s="31"/>
      <c r="Y9" s="28">
        <f t="shared" si="5"/>
        <v>23165986.18</v>
      </c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43">
        <f t="shared" si="1"/>
        <v>0</v>
      </c>
      <c r="AM9" s="12"/>
      <c r="AN9" s="12"/>
      <c r="AO9" s="12"/>
      <c r="AP9" s="12"/>
      <c r="AQ9" s="29">
        <f t="shared" si="4"/>
        <v>23165986.18</v>
      </c>
      <c r="AR9" s="15">
        <v>14340500</v>
      </c>
      <c r="AS9" s="30">
        <f t="shared" si="2"/>
        <v>-8825486.1799999997</v>
      </c>
    </row>
    <row r="10" spans="1:45" x14ac:dyDescent="0.25">
      <c r="A10" s="25">
        <v>45145</v>
      </c>
      <c r="B10" s="46">
        <v>2121.85</v>
      </c>
      <c r="C10" s="46">
        <v>3422.85</v>
      </c>
      <c r="D10" s="47">
        <v>5090</v>
      </c>
      <c r="E10" s="47">
        <v>4999</v>
      </c>
      <c r="F10" s="13">
        <f t="shared" si="0"/>
        <v>10800216.5</v>
      </c>
      <c r="G10" s="13">
        <f t="shared" si="0"/>
        <v>17110827.149999999</v>
      </c>
      <c r="H10" s="26">
        <v>118</v>
      </c>
      <c r="I10" s="13">
        <v>2410500</v>
      </c>
      <c r="J10" s="27">
        <v>48.5</v>
      </c>
      <c r="K10" s="13">
        <v>449000</v>
      </c>
      <c r="L10" s="13">
        <v>90000</v>
      </c>
      <c r="M10" s="13">
        <v>710500</v>
      </c>
      <c r="N10" s="13"/>
      <c r="O10" s="13"/>
      <c r="P10" s="13"/>
      <c r="Q10" s="45">
        <f t="shared" si="3"/>
        <v>31571043.649999999</v>
      </c>
      <c r="R10" s="13"/>
      <c r="S10" s="13"/>
      <c r="T10" s="13"/>
      <c r="U10" s="13"/>
      <c r="V10" s="13"/>
      <c r="W10" s="13"/>
      <c r="X10" s="13"/>
      <c r="Y10" s="28">
        <f t="shared" si="5"/>
        <v>31571043.649999999</v>
      </c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43">
        <f t="shared" si="1"/>
        <v>0</v>
      </c>
      <c r="AM10" s="12"/>
      <c r="AN10" s="12"/>
      <c r="AO10" s="32"/>
      <c r="AP10" s="32"/>
      <c r="AQ10" s="29">
        <f t="shared" si="4"/>
        <v>31571043.649999999</v>
      </c>
      <c r="AR10" s="15">
        <v>17991000</v>
      </c>
      <c r="AS10" s="30">
        <f t="shared" si="2"/>
        <v>-13580043.649999999</v>
      </c>
    </row>
    <row r="11" spans="1:45" x14ac:dyDescent="0.25">
      <c r="A11" s="25">
        <v>45146</v>
      </c>
      <c r="B11" s="46">
        <v>1668.48</v>
      </c>
      <c r="C11" s="46">
        <v>2063</v>
      </c>
      <c r="D11" s="47">
        <v>5090</v>
      </c>
      <c r="E11" s="47">
        <v>4999</v>
      </c>
      <c r="F11" s="13">
        <f t="shared" si="0"/>
        <v>8492563.1999999993</v>
      </c>
      <c r="G11" s="13">
        <f t="shared" si="0"/>
        <v>10312937</v>
      </c>
      <c r="H11" s="26">
        <v>28</v>
      </c>
      <c r="I11" s="13">
        <v>595500</v>
      </c>
      <c r="J11" s="27">
        <v>108.5</v>
      </c>
      <c r="K11" s="13">
        <v>947000</v>
      </c>
      <c r="L11" s="13">
        <v>15000</v>
      </c>
      <c r="M11" s="13">
        <v>415000</v>
      </c>
      <c r="N11" s="13"/>
      <c r="O11" s="13"/>
      <c r="P11" s="13"/>
      <c r="Q11" s="45">
        <f t="shared" si="3"/>
        <v>20778000.199999999</v>
      </c>
      <c r="R11" s="13"/>
      <c r="S11" s="13"/>
      <c r="T11" s="13"/>
      <c r="U11" s="13"/>
      <c r="V11" s="13"/>
      <c r="W11" s="13"/>
      <c r="X11" s="13"/>
      <c r="Y11" s="28">
        <f t="shared" si="5"/>
        <v>20778000.199999999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43">
        <f t="shared" si="1"/>
        <v>0</v>
      </c>
      <c r="AM11" s="12"/>
      <c r="AN11" s="12"/>
      <c r="AO11" s="32"/>
      <c r="AP11" s="32"/>
      <c r="AQ11" s="29">
        <f t="shared" si="4"/>
        <v>20778000.199999999</v>
      </c>
      <c r="AR11" s="15">
        <v>9390400</v>
      </c>
      <c r="AS11" s="30">
        <f t="shared" si="2"/>
        <v>-11387600.199999999</v>
      </c>
    </row>
    <row r="12" spans="1:45" x14ac:dyDescent="0.25">
      <c r="A12" s="25">
        <v>45147</v>
      </c>
      <c r="B12" s="46">
        <v>2130.34</v>
      </c>
      <c r="C12" s="46">
        <v>5582.48</v>
      </c>
      <c r="D12" s="47">
        <v>5090</v>
      </c>
      <c r="E12" s="47">
        <v>4999</v>
      </c>
      <c r="F12" s="13">
        <f t="shared" si="0"/>
        <v>10843430.600000001</v>
      </c>
      <c r="G12" s="13">
        <f t="shared" si="0"/>
        <v>27906817.52</v>
      </c>
      <c r="H12" s="26">
        <v>97</v>
      </c>
      <c r="I12" s="13">
        <v>2191500</v>
      </c>
      <c r="J12" s="27">
        <v>72.5</v>
      </c>
      <c r="K12" s="13">
        <v>673000</v>
      </c>
      <c r="L12" s="13">
        <v>68000</v>
      </c>
      <c r="M12" s="13">
        <v>364000</v>
      </c>
      <c r="N12" s="13"/>
      <c r="O12" s="13"/>
      <c r="P12" s="13"/>
      <c r="Q12" s="45">
        <f t="shared" si="3"/>
        <v>42046748.120000005</v>
      </c>
      <c r="R12" s="13"/>
      <c r="S12" s="13"/>
      <c r="T12" s="13"/>
      <c r="U12" s="13"/>
      <c r="V12" s="13"/>
      <c r="W12" s="13"/>
      <c r="X12" s="13"/>
      <c r="Y12" s="28">
        <f t="shared" si="5"/>
        <v>42046748.120000005</v>
      </c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43">
        <f t="shared" si="1"/>
        <v>0</v>
      </c>
      <c r="AM12" s="12"/>
      <c r="AN12" s="12"/>
      <c r="AO12" s="12"/>
      <c r="AP12" s="12"/>
      <c r="AQ12" s="29">
        <f t="shared" si="4"/>
        <v>42046748.120000005</v>
      </c>
      <c r="AR12" s="15">
        <v>7893000</v>
      </c>
      <c r="AS12" s="30">
        <f t="shared" si="2"/>
        <v>-34153748.120000005</v>
      </c>
    </row>
    <row r="13" spans="1:45" x14ac:dyDescent="0.25">
      <c r="A13" s="25">
        <v>45148</v>
      </c>
      <c r="B13" s="46">
        <v>1996.76</v>
      </c>
      <c r="C13" s="46">
        <v>3529.13</v>
      </c>
      <c r="D13" s="47">
        <v>5090</v>
      </c>
      <c r="E13" s="47">
        <v>4999</v>
      </c>
      <c r="F13" s="13">
        <f t="shared" si="0"/>
        <v>10163508.4</v>
      </c>
      <c r="G13" s="13">
        <f t="shared" si="0"/>
        <v>17642120.870000001</v>
      </c>
      <c r="H13" s="26">
        <v>93</v>
      </c>
      <c r="I13" s="13">
        <v>1946000</v>
      </c>
      <c r="J13" s="27">
        <v>59.5</v>
      </c>
      <c r="K13" s="13">
        <v>497000</v>
      </c>
      <c r="L13" s="13">
        <v>105000</v>
      </c>
      <c r="M13" s="13">
        <v>940000</v>
      </c>
      <c r="N13" s="13"/>
      <c r="O13" s="13"/>
      <c r="P13" s="13"/>
      <c r="Q13" s="45">
        <f t="shared" si="3"/>
        <v>31293629.270000003</v>
      </c>
      <c r="R13" s="13"/>
      <c r="S13" s="13"/>
      <c r="T13" s="13"/>
      <c r="U13" s="13"/>
      <c r="V13" s="13"/>
      <c r="W13" s="13"/>
      <c r="X13" s="13"/>
      <c r="Y13" s="28">
        <f t="shared" si="5"/>
        <v>31293629.270000003</v>
      </c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43">
        <f t="shared" si="1"/>
        <v>0</v>
      </c>
      <c r="AM13" s="12"/>
      <c r="AN13" s="12"/>
      <c r="AO13" s="12"/>
      <c r="AP13" s="12"/>
      <c r="AQ13" s="29">
        <f t="shared" si="4"/>
        <v>31293629.270000003</v>
      </c>
      <c r="AR13" s="15">
        <v>9672200</v>
      </c>
      <c r="AS13" s="30">
        <f t="shared" si="2"/>
        <v>-21621429.270000003</v>
      </c>
    </row>
    <row r="14" spans="1:45" x14ac:dyDescent="0.25">
      <c r="A14" s="25">
        <v>45149</v>
      </c>
      <c r="B14" s="46">
        <v>2294.0300000000002</v>
      </c>
      <c r="C14" s="46">
        <v>4438.75</v>
      </c>
      <c r="D14" s="47">
        <v>5090</v>
      </c>
      <c r="E14" s="47">
        <v>4999</v>
      </c>
      <c r="F14" s="13">
        <f t="shared" si="0"/>
        <v>11676612.700000001</v>
      </c>
      <c r="G14" s="13">
        <f t="shared" si="0"/>
        <v>22189311.25</v>
      </c>
      <c r="H14" s="26">
        <v>120.5</v>
      </c>
      <c r="I14" s="13">
        <v>2527000</v>
      </c>
      <c r="J14" s="27">
        <v>118.5</v>
      </c>
      <c r="K14" s="13">
        <v>1033000</v>
      </c>
      <c r="L14" s="13">
        <v>179000</v>
      </c>
      <c r="M14" s="13">
        <v>963000</v>
      </c>
      <c r="N14" s="13"/>
      <c r="O14" s="13"/>
      <c r="P14" s="13"/>
      <c r="Q14" s="45">
        <f t="shared" si="3"/>
        <v>38567923.950000003</v>
      </c>
      <c r="R14" s="13"/>
      <c r="S14" s="13"/>
      <c r="T14" s="13"/>
      <c r="U14" s="13"/>
      <c r="V14" s="13"/>
      <c r="W14" s="13"/>
      <c r="X14" s="13"/>
      <c r="Y14" s="28">
        <f t="shared" si="5"/>
        <v>38567923.950000003</v>
      </c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43">
        <f t="shared" si="1"/>
        <v>0</v>
      </c>
      <c r="AM14" s="12"/>
      <c r="AN14" s="12"/>
      <c r="AO14" s="12" t="s">
        <v>59</v>
      </c>
      <c r="AP14" s="12"/>
      <c r="AQ14" s="29">
        <f t="shared" si="4"/>
        <v>38567923.950000003</v>
      </c>
      <c r="AR14" s="15">
        <v>13029400</v>
      </c>
      <c r="AS14" s="30">
        <f t="shared" si="2"/>
        <v>-25538523.950000003</v>
      </c>
    </row>
    <row r="15" spans="1:45" x14ac:dyDescent="0.25">
      <c r="A15" s="25">
        <v>45150</v>
      </c>
      <c r="B15" s="46">
        <v>2557.04</v>
      </c>
      <c r="C15" s="46">
        <v>3415.02</v>
      </c>
      <c r="D15" s="47">
        <v>5090</v>
      </c>
      <c r="E15" s="47">
        <v>4999</v>
      </c>
      <c r="F15" s="13">
        <f t="shared" si="0"/>
        <v>13015333.6</v>
      </c>
      <c r="G15" s="13">
        <f t="shared" si="0"/>
        <v>17071684.98</v>
      </c>
      <c r="H15" s="26">
        <v>75</v>
      </c>
      <c r="I15" s="51">
        <v>1465000</v>
      </c>
      <c r="J15" s="27">
        <v>43</v>
      </c>
      <c r="K15" s="13">
        <v>394000</v>
      </c>
      <c r="L15" s="13">
        <v>60000</v>
      </c>
      <c r="M15" s="13">
        <v>1064000</v>
      </c>
      <c r="N15" s="13"/>
      <c r="O15" s="13"/>
      <c r="P15" s="13"/>
      <c r="Q15" s="45">
        <f t="shared" si="3"/>
        <v>33070018.579999998</v>
      </c>
      <c r="R15" s="13"/>
      <c r="S15" s="13"/>
      <c r="T15" s="13"/>
      <c r="U15" s="13"/>
      <c r="V15" s="13"/>
      <c r="W15" s="13"/>
      <c r="X15" s="13"/>
      <c r="Y15" s="28">
        <f t="shared" si="5"/>
        <v>33070018.579999998</v>
      </c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43">
        <f t="shared" si="1"/>
        <v>0</v>
      </c>
      <c r="AM15" s="15"/>
      <c r="AN15" s="35"/>
      <c r="AO15" s="32"/>
      <c r="AP15" s="32"/>
      <c r="AQ15" s="29">
        <f t="shared" si="4"/>
        <v>33070018.579999998</v>
      </c>
      <c r="AR15" s="15">
        <v>14955800</v>
      </c>
      <c r="AS15" s="30">
        <f t="shared" si="2"/>
        <v>-18114218.579999998</v>
      </c>
    </row>
    <row r="16" spans="1:45" x14ac:dyDescent="0.25">
      <c r="A16" s="25">
        <v>45151</v>
      </c>
      <c r="B16" s="46">
        <v>2118.5700000000002</v>
      </c>
      <c r="C16" s="46">
        <v>2076.2399999999998</v>
      </c>
      <c r="D16" s="47">
        <v>5090</v>
      </c>
      <c r="E16" s="47">
        <v>4999</v>
      </c>
      <c r="F16" s="13">
        <f t="shared" si="0"/>
        <v>10783521.300000001</v>
      </c>
      <c r="G16" s="13">
        <f t="shared" si="0"/>
        <v>10379123.76</v>
      </c>
      <c r="H16" s="26">
        <v>44.5</v>
      </c>
      <c r="I16" s="13">
        <v>927500</v>
      </c>
      <c r="J16" s="27">
        <v>55.5</v>
      </c>
      <c r="K16" s="13">
        <v>506000</v>
      </c>
      <c r="L16" s="13">
        <v>70000</v>
      </c>
      <c r="M16" s="13">
        <v>841000</v>
      </c>
      <c r="N16" s="13"/>
      <c r="O16" s="13"/>
      <c r="P16" s="13"/>
      <c r="Q16" s="45">
        <f t="shared" si="3"/>
        <v>23507145.060000002</v>
      </c>
      <c r="R16" s="13"/>
      <c r="S16" s="13"/>
      <c r="T16" s="13"/>
      <c r="U16" s="13"/>
      <c r="V16" s="13"/>
      <c r="W16" s="13"/>
      <c r="X16" s="13"/>
      <c r="Y16" s="28">
        <f t="shared" si="5"/>
        <v>23507145.060000002</v>
      </c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43">
        <f t="shared" si="1"/>
        <v>0</v>
      </c>
      <c r="AM16" s="31"/>
      <c r="AN16" s="36"/>
      <c r="AO16" s="32"/>
      <c r="AP16" s="32"/>
      <c r="AQ16" s="29">
        <f t="shared" si="4"/>
        <v>23507145.060000002</v>
      </c>
      <c r="AR16" s="15">
        <v>25767700</v>
      </c>
      <c r="AS16" s="30">
        <f t="shared" si="2"/>
        <v>2260554.9399999976</v>
      </c>
    </row>
    <row r="17" spans="1:45" x14ac:dyDescent="0.25">
      <c r="A17" s="25">
        <v>45152</v>
      </c>
      <c r="B17" s="46">
        <v>2279.1</v>
      </c>
      <c r="C17" s="46">
        <v>5550.59</v>
      </c>
      <c r="D17" s="47">
        <v>5090</v>
      </c>
      <c r="E17" s="47">
        <v>4999</v>
      </c>
      <c r="F17" s="13">
        <f t="shared" si="0"/>
        <v>11600619</v>
      </c>
      <c r="G17" s="13">
        <f t="shared" si="0"/>
        <v>27747399.41</v>
      </c>
      <c r="H17" s="26">
        <v>92</v>
      </c>
      <c r="I17" s="13">
        <v>2047000</v>
      </c>
      <c r="J17" s="27">
        <v>39.5</v>
      </c>
      <c r="K17" s="13">
        <v>365000</v>
      </c>
      <c r="L17" s="13">
        <v>55000</v>
      </c>
      <c r="M17" s="13">
        <v>733400</v>
      </c>
      <c r="N17" s="13"/>
      <c r="O17" s="13"/>
      <c r="P17" s="13"/>
      <c r="Q17" s="45">
        <f t="shared" si="3"/>
        <v>42548418.409999996</v>
      </c>
      <c r="R17" s="13"/>
      <c r="S17" s="13"/>
      <c r="T17" s="13"/>
      <c r="U17" s="13"/>
      <c r="V17" s="13"/>
      <c r="W17" s="13"/>
      <c r="X17" s="13"/>
      <c r="Y17" s="28">
        <f t="shared" si="5"/>
        <v>42548418.409999996</v>
      </c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43">
        <f t="shared" si="1"/>
        <v>0</v>
      </c>
      <c r="AM17" s="12"/>
      <c r="AN17" s="12"/>
      <c r="AO17" s="12"/>
      <c r="AP17" s="12"/>
      <c r="AQ17" s="29">
        <f t="shared" si="4"/>
        <v>42548418.409999996</v>
      </c>
      <c r="AR17" s="15">
        <v>19170000</v>
      </c>
      <c r="AS17" s="30">
        <f t="shared" si="2"/>
        <v>-23378418.409999996</v>
      </c>
    </row>
    <row r="18" spans="1:45" x14ac:dyDescent="0.25">
      <c r="A18" s="25">
        <v>45153</v>
      </c>
      <c r="B18" s="46">
        <v>1993.64</v>
      </c>
      <c r="C18" s="46">
        <v>3808.18</v>
      </c>
      <c r="D18" s="47">
        <v>5090</v>
      </c>
      <c r="E18" s="47">
        <v>4999</v>
      </c>
      <c r="F18" s="13">
        <f t="shared" si="0"/>
        <v>10147627.6</v>
      </c>
      <c r="G18" s="13">
        <f t="shared" si="0"/>
        <v>19037091.82</v>
      </c>
      <c r="H18" s="13">
        <v>141.5</v>
      </c>
      <c r="I18" s="13">
        <v>3035500</v>
      </c>
      <c r="J18" s="27">
        <v>24.5</v>
      </c>
      <c r="K18" s="13">
        <v>225000</v>
      </c>
      <c r="L18" s="13">
        <v>0</v>
      </c>
      <c r="M18" s="13">
        <v>626000</v>
      </c>
      <c r="N18" s="13"/>
      <c r="O18" s="13"/>
      <c r="P18" s="13"/>
      <c r="Q18" s="45">
        <f t="shared" si="3"/>
        <v>33071219.420000002</v>
      </c>
      <c r="R18" s="13"/>
      <c r="S18" s="13"/>
      <c r="T18" s="13"/>
      <c r="U18" s="13"/>
      <c r="V18" s="13"/>
      <c r="W18" s="13"/>
      <c r="X18" s="13"/>
      <c r="Y18" s="28">
        <f t="shared" si="5"/>
        <v>33071219.420000002</v>
      </c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43">
        <f t="shared" ref="AL18:AL34" si="6">SUM(Z18:AK18)</f>
        <v>0</v>
      </c>
      <c r="AM18" s="12"/>
      <c r="AN18" s="12"/>
      <c r="AO18" s="12"/>
      <c r="AP18" s="12"/>
      <c r="AQ18" s="29">
        <f t="shared" si="4"/>
        <v>33071219.420000002</v>
      </c>
      <c r="AR18" s="15">
        <v>13670800</v>
      </c>
      <c r="AS18" s="30">
        <f t="shared" si="2"/>
        <v>-19400419.420000002</v>
      </c>
    </row>
    <row r="19" spans="1:45" x14ac:dyDescent="0.25">
      <c r="A19" s="25">
        <v>45154</v>
      </c>
      <c r="B19" s="46">
        <v>1952.74</v>
      </c>
      <c r="C19" s="46">
        <v>7173.34</v>
      </c>
      <c r="D19" s="47">
        <v>5090</v>
      </c>
      <c r="E19" s="47">
        <v>4999</v>
      </c>
      <c r="F19" s="13">
        <f t="shared" si="0"/>
        <v>9939446.5999999996</v>
      </c>
      <c r="G19" s="13">
        <f t="shared" si="0"/>
        <v>35859526.660000004</v>
      </c>
      <c r="H19" s="26">
        <v>60</v>
      </c>
      <c r="I19" s="13">
        <v>1269000</v>
      </c>
      <c r="J19" s="27">
        <v>18.5</v>
      </c>
      <c r="K19" s="13">
        <v>169000</v>
      </c>
      <c r="L19" s="13">
        <v>15000</v>
      </c>
      <c r="M19" s="13">
        <v>608000</v>
      </c>
      <c r="N19" s="13"/>
      <c r="O19" s="13"/>
      <c r="P19" s="13"/>
      <c r="Q19" s="45">
        <f t="shared" si="3"/>
        <v>47859973.260000005</v>
      </c>
      <c r="R19" s="13"/>
      <c r="S19" s="13"/>
      <c r="T19" s="13"/>
      <c r="U19" s="13"/>
      <c r="V19" s="13"/>
      <c r="W19" s="13"/>
      <c r="X19" s="13"/>
      <c r="Y19" s="28">
        <f t="shared" si="5"/>
        <v>47859973.260000005</v>
      </c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3"/>
      <c r="AK19" s="13"/>
      <c r="AL19" s="43">
        <f t="shared" si="1"/>
        <v>0</v>
      </c>
      <c r="AM19" s="12"/>
      <c r="AN19" s="12"/>
      <c r="AO19" s="12"/>
      <c r="AP19" s="12"/>
      <c r="AQ19" s="29">
        <f t="shared" si="4"/>
        <v>47859973.260000005</v>
      </c>
      <c r="AR19" s="15">
        <v>18032800</v>
      </c>
      <c r="AS19" s="30">
        <f t="shared" si="2"/>
        <v>-29827173.260000005</v>
      </c>
    </row>
    <row r="20" spans="1:45" x14ac:dyDescent="0.25">
      <c r="A20" s="25">
        <v>45155</v>
      </c>
      <c r="B20" s="46">
        <v>2066.14</v>
      </c>
      <c r="C20" s="46">
        <v>2865.45</v>
      </c>
      <c r="D20" s="47">
        <v>5090</v>
      </c>
      <c r="E20" s="47">
        <v>4999</v>
      </c>
      <c r="F20" s="13">
        <f>B20*D20</f>
        <v>10516652.6</v>
      </c>
      <c r="G20" s="13">
        <f t="shared" si="0"/>
        <v>14324384.549999999</v>
      </c>
      <c r="H20" s="26">
        <v>42.5</v>
      </c>
      <c r="I20" s="13">
        <v>859000</v>
      </c>
      <c r="J20" s="27">
        <v>27.5</v>
      </c>
      <c r="K20" s="13">
        <v>253000</v>
      </c>
      <c r="L20" s="13">
        <v>0</v>
      </c>
      <c r="M20" s="13">
        <v>677000</v>
      </c>
      <c r="N20" s="13"/>
      <c r="O20" s="13"/>
      <c r="P20" s="13"/>
      <c r="Q20" s="45">
        <f t="shared" si="3"/>
        <v>26630037.149999999</v>
      </c>
      <c r="R20" s="13"/>
      <c r="S20" s="13"/>
      <c r="T20" s="13"/>
      <c r="U20" s="13"/>
      <c r="V20" s="13"/>
      <c r="W20" s="13"/>
      <c r="X20" s="13"/>
      <c r="Y20" s="28">
        <f t="shared" si="5"/>
        <v>26630037.149999999</v>
      </c>
      <c r="Z20" s="12"/>
      <c r="AA20" s="12"/>
      <c r="AB20" s="12"/>
      <c r="AC20" s="12"/>
      <c r="AD20" s="12"/>
      <c r="AE20" s="12"/>
      <c r="AF20" s="13"/>
      <c r="AG20" s="12"/>
      <c r="AH20" s="13"/>
      <c r="AI20" s="12"/>
      <c r="AJ20" s="12"/>
      <c r="AK20" s="12"/>
      <c r="AL20" s="43">
        <f t="shared" si="6"/>
        <v>0</v>
      </c>
      <c r="AM20" s="12"/>
      <c r="AN20" s="12"/>
      <c r="AO20" s="12"/>
      <c r="AP20" s="12"/>
      <c r="AQ20" s="29">
        <f t="shared" si="4"/>
        <v>26630037.149999999</v>
      </c>
      <c r="AR20" s="15">
        <v>20192300</v>
      </c>
      <c r="AS20" s="30">
        <f t="shared" si="2"/>
        <v>-6437737.1499999985</v>
      </c>
    </row>
    <row r="21" spans="1:45" x14ac:dyDescent="0.25">
      <c r="A21" s="25">
        <v>45156</v>
      </c>
      <c r="B21" s="46">
        <v>2760.2</v>
      </c>
      <c r="C21" s="46">
        <v>3530.06</v>
      </c>
      <c r="D21" s="47">
        <v>5090</v>
      </c>
      <c r="E21" s="47">
        <v>4999</v>
      </c>
      <c r="F21" s="13">
        <f t="shared" si="0"/>
        <v>14049418</v>
      </c>
      <c r="G21" s="13">
        <f t="shared" si="0"/>
        <v>17646769.940000001</v>
      </c>
      <c r="H21" s="26">
        <v>55</v>
      </c>
      <c r="I21" s="13">
        <v>1120000</v>
      </c>
      <c r="J21" s="12">
        <v>30.5</v>
      </c>
      <c r="K21" s="13">
        <v>281000</v>
      </c>
      <c r="L21" s="13">
        <v>61000</v>
      </c>
      <c r="M21" s="13">
        <v>811000</v>
      </c>
      <c r="N21" s="13"/>
      <c r="O21" s="13"/>
      <c r="P21" s="12"/>
      <c r="Q21" s="45">
        <f t="shared" si="3"/>
        <v>33969187.939999998</v>
      </c>
      <c r="R21" s="13"/>
      <c r="S21" s="13"/>
      <c r="T21" s="13"/>
      <c r="U21" s="13"/>
      <c r="V21" s="13"/>
      <c r="W21" s="13"/>
      <c r="X21" s="12"/>
      <c r="Y21" s="28">
        <f t="shared" si="5"/>
        <v>33969187.939999998</v>
      </c>
      <c r="Z21" s="12"/>
      <c r="AA21" s="12"/>
      <c r="AB21" s="12"/>
      <c r="AC21" s="12"/>
      <c r="AD21" s="12"/>
      <c r="AE21" s="12"/>
      <c r="AF21" s="12"/>
      <c r="AG21" s="12"/>
      <c r="AH21" s="13"/>
      <c r="AI21" s="12"/>
      <c r="AJ21" s="12"/>
      <c r="AK21" s="12"/>
      <c r="AL21" s="43">
        <f t="shared" si="6"/>
        <v>0</v>
      </c>
      <c r="AM21" s="12"/>
      <c r="AN21" s="12"/>
      <c r="AO21" s="12"/>
      <c r="AP21" s="12"/>
      <c r="AQ21" s="29">
        <f t="shared" si="4"/>
        <v>33969187.939999998</v>
      </c>
      <c r="AR21" s="15">
        <v>17633400</v>
      </c>
      <c r="AS21" s="30">
        <f t="shared" si="2"/>
        <v>-16335787.939999998</v>
      </c>
    </row>
    <row r="22" spans="1:45" x14ac:dyDescent="0.25">
      <c r="A22" s="25">
        <v>45157</v>
      </c>
      <c r="B22" s="46">
        <v>2748.18</v>
      </c>
      <c r="C22" s="46">
        <v>3652.95</v>
      </c>
      <c r="D22" s="47">
        <v>5090</v>
      </c>
      <c r="E22" s="47">
        <v>4999</v>
      </c>
      <c r="F22" s="13">
        <f t="shared" si="0"/>
        <v>13988236.199999999</v>
      </c>
      <c r="G22" s="13">
        <f t="shared" si="0"/>
        <v>18261097.050000001</v>
      </c>
      <c r="H22" s="26">
        <v>37.5</v>
      </c>
      <c r="I22" s="13">
        <v>979500</v>
      </c>
      <c r="J22" s="12">
        <v>18</v>
      </c>
      <c r="K22" s="13">
        <v>168000</v>
      </c>
      <c r="L22" s="13">
        <v>53000</v>
      </c>
      <c r="M22" s="13">
        <v>899800</v>
      </c>
      <c r="N22" s="13"/>
      <c r="O22" s="13"/>
      <c r="P22" s="12"/>
      <c r="Q22" s="45">
        <f t="shared" si="3"/>
        <v>34349633.25</v>
      </c>
      <c r="R22" s="13"/>
      <c r="S22" s="13"/>
      <c r="T22" s="13"/>
      <c r="U22" s="13"/>
      <c r="V22" s="13"/>
      <c r="W22" s="13"/>
      <c r="X22" s="12"/>
      <c r="Y22" s="28">
        <f t="shared" si="5"/>
        <v>34349633.25</v>
      </c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43">
        <f t="shared" si="6"/>
        <v>0</v>
      </c>
      <c r="AM22" s="12"/>
      <c r="AN22" s="12"/>
      <c r="AO22" s="12"/>
      <c r="AP22" s="12"/>
      <c r="AQ22" s="29">
        <f t="shared" si="4"/>
        <v>34349633.25</v>
      </c>
      <c r="AR22" s="15"/>
      <c r="AS22" s="30">
        <f t="shared" si="2"/>
        <v>-34349633.25</v>
      </c>
    </row>
    <row r="23" spans="1:45" x14ac:dyDescent="0.25">
      <c r="A23" s="25">
        <v>45158</v>
      </c>
      <c r="B23" s="46">
        <v>1999</v>
      </c>
      <c r="C23" s="46">
        <v>2033.04</v>
      </c>
      <c r="D23" s="47">
        <v>5090</v>
      </c>
      <c r="E23" s="47">
        <v>4999</v>
      </c>
      <c r="F23" s="13">
        <f t="shared" si="0"/>
        <v>10174910</v>
      </c>
      <c r="G23" s="13">
        <f t="shared" si="0"/>
        <v>10163166.959999999</v>
      </c>
      <c r="H23" s="26">
        <v>37</v>
      </c>
      <c r="I23" s="13">
        <v>807500</v>
      </c>
      <c r="J23" s="12">
        <v>24</v>
      </c>
      <c r="K23" s="13">
        <v>224000</v>
      </c>
      <c r="L23" s="13">
        <v>23000</v>
      </c>
      <c r="M23" s="13">
        <v>884500</v>
      </c>
      <c r="N23" s="13"/>
      <c r="O23" s="13"/>
      <c r="P23" s="12"/>
      <c r="Q23" s="45">
        <f t="shared" si="3"/>
        <v>22277076.960000001</v>
      </c>
      <c r="R23" s="13"/>
      <c r="S23" s="13"/>
      <c r="T23" s="13"/>
      <c r="U23" s="13"/>
      <c r="V23" s="13"/>
      <c r="W23" s="13"/>
      <c r="X23" s="12"/>
      <c r="Y23" s="28">
        <f t="shared" si="5"/>
        <v>22277076.960000001</v>
      </c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43">
        <f t="shared" si="6"/>
        <v>0</v>
      </c>
      <c r="AM23" s="12"/>
      <c r="AN23" s="12"/>
      <c r="AO23" s="12"/>
      <c r="AP23" s="12"/>
      <c r="AQ23" s="29">
        <f t="shared" si="4"/>
        <v>22277076.960000001</v>
      </c>
      <c r="AR23" s="15"/>
      <c r="AS23" s="30">
        <f t="shared" si="2"/>
        <v>-22277076.960000001</v>
      </c>
    </row>
    <row r="24" spans="1:45" x14ac:dyDescent="0.25">
      <c r="A24" s="25">
        <v>45159</v>
      </c>
      <c r="B24" s="46">
        <v>2418.8000000000002</v>
      </c>
      <c r="C24" s="46">
        <v>3120.9</v>
      </c>
      <c r="D24" s="47">
        <v>5090</v>
      </c>
      <c r="E24" s="47">
        <v>4999</v>
      </c>
      <c r="F24" s="13">
        <f t="shared" si="0"/>
        <v>12311692</v>
      </c>
      <c r="G24" s="13">
        <f t="shared" si="0"/>
        <v>15601379.1</v>
      </c>
      <c r="H24" s="26">
        <v>71.5</v>
      </c>
      <c r="I24" s="13">
        <v>1454000</v>
      </c>
      <c r="J24" s="12">
        <v>9</v>
      </c>
      <c r="K24" s="13">
        <v>84000</v>
      </c>
      <c r="L24" s="13">
        <v>84000</v>
      </c>
      <c r="M24" s="13">
        <v>1020500</v>
      </c>
      <c r="N24" s="13"/>
      <c r="O24" s="13"/>
      <c r="P24" s="12"/>
      <c r="Q24" s="45">
        <f t="shared" si="3"/>
        <v>30555571.100000001</v>
      </c>
      <c r="R24" s="13"/>
      <c r="S24" s="13"/>
      <c r="T24" s="13"/>
      <c r="U24" s="13"/>
      <c r="V24" s="13"/>
      <c r="W24" s="13"/>
      <c r="X24" s="12"/>
      <c r="Y24" s="28">
        <f t="shared" si="5"/>
        <v>30555571.100000001</v>
      </c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43">
        <f t="shared" si="6"/>
        <v>0</v>
      </c>
      <c r="AM24" s="12"/>
      <c r="AN24" s="12"/>
      <c r="AO24" s="12"/>
      <c r="AP24" s="12"/>
      <c r="AQ24" s="29">
        <f t="shared" si="4"/>
        <v>30555571.100000001</v>
      </c>
      <c r="AR24" s="15"/>
      <c r="AS24" s="30">
        <f t="shared" si="2"/>
        <v>-30555571.100000001</v>
      </c>
    </row>
    <row r="25" spans="1:45" x14ac:dyDescent="0.25">
      <c r="A25" s="25">
        <v>45160</v>
      </c>
      <c r="B25" s="46">
        <v>2536.41</v>
      </c>
      <c r="C25" s="46">
        <v>3847.48</v>
      </c>
      <c r="D25" s="47">
        <v>5090</v>
      </c>
      <c r="E25" s="47">
        <v>4999</v>
      </c>
      <c r="F25" s="13">
        <f t="shared" si="0"/>
        <v>12910326.899999999</v>
      </c>
      <c r="G25" s="13">
        <f t="shared" si="0"/>
        <v>19233552.52</v>
      </c>
      <c r="H25" s="26">
        <v>236.5</v>
      </c>
      <c r="I25" s="13">
        <v>4338500</v>
      </c>
      <c r="J25" s="12">
        <v>43.5</v>
      </c>
      <c r="K25" s="13">
        <v>395000</v>
      </c>
      <c r="L25" s="13">
        <v>69000</v>
      </c>
      <c r="M25" s="13">
        <v>724500</v>
      </c>
      <c r="N25" s="13"/>
      <c r="O25" s="13"/>
      <c r="P25" s="12"/>
      <c r="Q25" s="45">
        <f t="shared" si="3"/>
        <v>37670879.420000002</v>
      </c>
      <c r="R25" s="13"/>
      <c r="S25" s="13"/>
      <c r="T25" s="13"/>
      <c r="U25" s="13"/>
      <c r="V25" s="13"/>
      <c r="W25" s="13"/>
      <c r="X25" s="12"/>
      <c r="Y25" s="28">
        <f t="shared" si="5"/>
        <v>37670879.420000002</v>
      </c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43">
        <f t="shared" ref="AL25" si="7">SUM(Z25:AK25)</f>
        <v>0</v>
      </c>
      <c r="AM25" s="12"/>
      <c r="AN25" s="12"/>
      <c r="AO25" s="12"/>
      <c r="AP25" s="12"/>
      <c r="AQ25" s="29">
        <f t="shared" ref="AQ25" si="8">Q25-SUM(R25:X25)-AL25-SUM(AM25:AO25)-AP25</f>
        <v>37670879.420000002</v>
      </c>
      <c r="AR25" s="15"/>
      <c r="AS25" s="30">
        <f t="shared" si="2"/>
        <v>-37670879.420000002</v>
      </c>
    </row>
    <row r="26" spans="1:45" x14ac:dyDescent="0.25">
      <c r="A26" s="25">
        <v>45161</v>
      </c>
      <c r="B26" s="46">
        <v>2386.52</v>
      </c>
      <c r="C26" s="46">
        <v>4080.58</v>
      </c>
      <c r="D26" s="47">
        <v>5090</v>
      </c>
      <c r="E26" s="47">
        <v>4999</v>
      </c>
      <c r="F26" s="13">
        <f t="shared" si="0"/>
        <v>12147386.800000001</v>
      </c>
      <c r="G26" s="13">
        <f t="shared" si="0"/>
        <v>20398819.419999998</v>
      </c>
      <c r="H26" s="26">
        <v>48.5</v>
      </c>
      <c r="I26" s="13">
        <v>988000</v>
      </c>
      <c r="J26" s="12">
        <v>105</v>
      </c>
      <c r="K26" s="13">
        <v>862000</v>
      </c>
      <c r="L26" s="13">
        <v>113000</v>
      </c>
      <c r="M26" s="13">
        <v>981000</v>
      </c>
      <c r="N26" s="13"/>
      <c r="O26" s="13"/>
      <c r="P26" s="12"/>
      <c r="Q26" s="45">
        <f t="shared" ref="Q26" si="9">SUM(F26:G26)+I26+K26+SUM(L26:P26)</f>
        <v>35490206.219999999</v>
      </c>
      <c r="R26" s="13"/>
      <c r="S26" s="13"/>
      <c r="T26" s="13"/>
      <c r="U26" s="13"/>
      <c r="V26" s="13"/>
      <c r="W26" s="13"/>
      <c r="X26" s="12"/>
      <c r="Y26" s="28">
        <f t="shared" ref="Y26" si="10">Q26-SUM(R26:X26)</f>
        <v>35490206.219999999</v>
      </c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43">
        <f t="shared" ref="AL26" si="11">SUM(Z26:AK26)</f>
        <v>0</v>
      </c>
      <c r="AM26" s="12"/>
      <c r="AN26" s="12"/>
      <c r="AO26" s="12"/>
      <c r="AP26" s="12"/>
      <c r="AQ26" s="29">
        <f t="shared" si="4"/>
        <v>35490206.219999999</v>
      </c>
      <c r="AR26" s="15"/>
      <c r="AS26" s="30">
        <f t="shared" si="2"/>
        <v>-35490206.219999999</v>
      </c>
    </row>
    <row r="27" spans="1:45" x14ac:dyDescent="0.25">
      <c r="A27" s="25">
        <v>45162</v>
      </c>
      <c r="B27" s="46">
        <v>3003.74</v>
      </c>
      <c r="C27" s="46">
        <v>3257.85</v>
      </c>
      <c r="D27" s="47">
        <v>5090</v>
      </c>
      <c r="E27" s="47">
        <v>4999</v>
      </c>
      <c r="F27" s="13">
        <v>15403593</v>
      </c>
      <c r="G27" s="13">
        <f t="shared" si="0"/>
        <v>16285992.15</v>
      </c>
      <c r="H27" s="26">
        <v>107.5</v>
      </c>
      <c r="I27" s="13">
        <v>2294000</v>
      </c>
      <c r="J27" s="12">
        <v>75.5</v>
      </c>
      <c r="K27" s="13">
        <v>701000</v>
      </c>
      <c r="L27" s="13">
        <v>16000</v>
      </c>
      <c r="M27" s="13">
        <v>957500</v>
      </c>
      <c r="N27" s="13"/>
      <c r="O27" s="13"/>
      <c r="P27" s="12"/>
      <c r="Q27" s="45">
        <f t="shared" si="3"/>
        <v>35658085.149999999</v>
      </c>
      <c r="R27" s="13"/>
      <c r="S27" s="13"/>
      <c r="T27" s="13"/>
      <c r="U27" s="13"/>
      <c r="V27" s="13"/>
      <c r="W27" s="13"/>
      <c r="X27" s="12"/>
      <c r="Y27" s="28">
        <f t="shared" si="5"/>
        <v>35658085.149999999</v>
      </c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43">
        <f t="shared" si="6"/>
        <v>0</v>
      </c>
      <c r="AM27" s="12"/>
      <c r="AN27" s="12"/>
      <c r="AO27" s="12"/>
      <c r="AP27" s="12"/>
      <c r="AQ27" s="29">
        <f t="shared" si="4"/>
        <v>35658085.149999999</v>
      </c>
      <c r="AR27" s="15"/>
      <c r="AS27" s="30">
        <f t="shared" si="2"/>
        <v>-35658085.149999999</v>
      </c>
    </row>
    <row r="28" spans="1:45" x14ac:dyDescent="0.25">
      <c r="A28" s="25">
        <v>45163</v>
      </c>
      <c r="B28" s="46">
        <v>2817.62</v>
      </c>
      <c r="C28" s="46">
        <v>5721.07</v>
      </c>
      <c r="D28" s="47">
        <v>5199</v>
      </c>
      <c r="E28" s="47">
        <v>4999</v>
      </c>
      <c r="F28" s="13">
        <f t="shared" si="0"/>
        <v>14648806.379999999</v>
      </c>
      <c r="G28" s="13">
        <f t="shared" si="0"/>
        <v>28599628.93</v>
      </c>
      <c r="H28" s="26">
        <v>99</v>
      </c>
      <c r="I28" s="13">
        <v>1910000</v>
      </c>
      <c r="J28" s="12">
        <v>42.5</v>
      </c>
      <c r="K28" s="13">
        <v>393000</v>
      </c>
      <c r="L28" s="13">
        <v>16000</v>
      </c>
      <c r="M28" s="13">
        <v>1452500</v>
      </c>
      <c r="N28" s="13"/>
      <c r="O28" s="13"/>
      <c r="P28" s="12"/>
      <c r="Q28" s="45">
        <f t="shared" si="3"/>
        <v>47019935.310000002</v>
      </c>
      <c r="R28" s="13"/>
      <c r="S28" s="13"/>
      <c r="T28" s="13"/>
      <c r="U28" s="13"/>
      <c r="V28" s="13"/>
      <c r="W28" s="13"/>
      <c r="X28" s="12"/>
      <c r="Y28" s="28">
        <f t="shared" si="5"/>
        <v>47019935.310000002</v>
      </c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43">
        <f t="shared" si="6"/>
        <v>0</v>
      </c>
      <c r="AM28" s="12"/>
      <c r="AN28" s="12"/>
      <c r="AO28" s="12"/>
      <c r="AP28" s="12"/>
      <c r="AQ28" s="29">
        <f t="shared" si="4"/>
        <v>47019935.310000002</v>
      </c>
      <c r="AR28" s="15"/>
      <c r="AS28" s="30">
        <f t="shared" si="2"/>
        <v>-47019935.310000002</v>
      </c>
    </row>
    <row r="29" spans="1:45" x14ac:dyDescent="0.25">
      <c r="A29" s="25">
        <v>45164</v>
      </c>
      <c r="B29" s="46">
        <v>2805.6</v>
      </c>
      <c r="C29" s="46">
        <v>2117.62</v>
      </c>
      <c r="D29" s="47">
        <v>5199</v>
      </c>
      <c r="E29" s="47">
        <v>4999</v>
      </c>
      <c r="F29" s="13">
        <f t="shared" si="0"/>
        <v>14586314.4</v>
      </c>
      <c r="G29" s="13">
        <f t="shared" si="0"/>
        <v>10585982.379999999</v>
      </c>
      <c r="H29" s="26">
        <v>66.5</v>
      </c>
      <c r="I29" s="13">
        <v>1429000</v>
      </c>
      <c r="J29" s="12">
        <v>79.5</v>
      </c>
      <c r="K29" s="13">
        <v>731000</v>
      </c>
      <c r="L29" s="13">
        <v>38000</v>
      </c>
      <c r="M29" s="13">
        <v>1277500</v>
      </c>
      <c r="N29" s="13"/>
      <c r="O29" s="13"/>
      <c r="P29" s="12"/>
      <c r="Q29" s="45">
        <f t="shared" si="3"/>
        <v>28647796.780000001</v>
      </c>
      <c r="R29" s="13"/>
      <c r="S29" s="13"/>
      <c r="T29" s="13"/>
      <c r="U29" s="13"/>
      <c r="V29" s="13"/>
      <c r="W29" s="13"/>
      <c r="X29" s="12"/>
      <c r="Y29" s="28">
        <f t="shared" si="5"/>
        <v>28647796.780000001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43">
        <f t="shared" si="6"/>
        <v>0</v>
      </c>
      <c r="AM29" s="12"/>
      <c r="AN29" s="12"/>
      <c r="AO29" s="12"/>
      <c r="AP29" s="12"/>
      <c r="AQ29" s="29">
        <f t="shared" si="4"/>
        <v>28647796.780000001</v>
      </c>
      <c r="AR29" s="15"/>
      <c r="AS29" s="30">
        <f t="shared" si="2"/>
        <v>-28647796.780000001</v>
      </c>
    </row>
    <row r="30" spans="1:45" x14ac:dyDescent="0.25">
      <c r="A30" s="25">
        <v>45165</v>
      </c>
      <c r="B30" s="46">
        <v>2432.1999999999998</v>
      </c>
      <c r="C30" s="46">
        <v>1907.06</v>
      </c>
      <c r="D30" s="47">
        <v>5199</v>
      </c>
      <c r="E30" s="47">
        <v>4999</v>
      </c>
      <c r="F30" s="13">
        <f t="shared" si="0"/>
        <v>12645007.799999999</v>
      </c>
      <c r="G30" s="13">
        <f t="shared" si="0"/>
        <v>9533392.9399999995</v>
      </c>
      <c r="H30" s="26">
        <v>101</v>
      </c>
      <c r="I30" s="13">
        <v>2055500</v>
      </c>
      <c r="J30" s="12">
        <v>82.5</v>
      </c>
      <c r="K30" s="13">
        <v>759000</v>
      </c>
      <c r="L30" s="13">
        <v>84000</v>
      </c>
      <c r="M30" s="13">
        <v>964200</v>
      </c>
      <c r="N30" s="13"/>
      <c r="O30" s="13"/>
      <c r="P30" s="12"/>
      <c r="Q30" s="45">
        <f t="shared" si="3"/>
        <v>26041100.739999998</v>
      </c>
      <c r="R30" s="13"/>
      <c r="S30" s="13"/>
      <c r="T30" s="13"/>
      <c r="U30" s="13"/>
      <c r="V30" s="13"/>
      <c r="W30" s="13"/>
      <c r="X30" s="12"/>
      <c r="Y30" s="28">
        <f t="shared" si="5"/>
        <v>26041100.739999998</v>
      </c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43">
        <f t="shared" si="6"/>
        <v>0</v>
      </c>
      <c r="AM30" s="12"/>
      <c r="AN30" s="12"/>
      <c r="AO30" s="12"/>
      <c r="AP30" s="12"/>
      <c r="AQ30" s="29">
        <f t="shared" si="4"/>
        <v>26041100.739999998</v>
      </c>
      <c r="AR30" s="15"/>
      <c r="AS30" s="30">
        <f t="shared" si="2"/>
        <v>-26041100.739999998</v>
      </c>
    </row>
    <row r="31" spans="1:45" x14ac:dyDescent="0.25">
      <c r="A31" s="25">
        <v>45166</v>
      </c>
      <c r="B31" s="46">
        <v>2775.15</v>
      </c>
      <c r="C31" s="46">
        <v>7182.02</v>
      </c>
      <c r="D31" s="47">
        <v>5199</v>
      </c>
      <c r="E31" s="47">
        <v>4999</v>
      </c>
      <c r="F31" s="13">
        <f t="shared" si="0"/>
        <v>14428004.85</v>
      </c>
      <c r="G31" s="13">
        <f t="shared" si="0"/>
        <v>35902917.980000004</v>
      </c>
      <c r="H31" s="26">
        <v>94</v>
      </c>
      <c r="I31" s="13">
        <v>1948500</v>
      </c>
      <c r="J31" s="12">
        <v>57.5</v>
      </c>
      <c r="K31" s="13">
        <v>533000</v>
      </c>
      <c r="L31" s="13">
        <v>47000</v>
      </c>
      <c r="M31" s="13">
        <v>614000</v>
      </c>
      <c r="N31" s="13"/>
      <c r="O31" s="13"/>
      <c r="P31" s="12"/>
      <c r="Q31" s="45">
        <f t="shared" si="3"/>
        <v>53473422.830000006</v>
      </c>
      <c r="R31" s="13"/>
      <c r="S31" s="13"/>
      <c r="T31" s="13"/>
      <c r="U31" s="13"/>
      <c r="V31" s="13"/>
      <c r="W31" s="13"/>
      <c r="X31" s="12"/>
      <c r="Y31" s="28">
        <f t="shared" si="5"/>
        <v>53473422.830000006</v>
      </c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43">
        <f t="shared" si="6"/>
        <v>0</v>
      </c>
      <c r="AM31" s="12"/>
      <c r="AN31" s="12"/>
      <c r="AO31" s="12"/>
      <c r="AP31" s="12"/>
      <c r="AQ31" s="29">
        <f t="shared" si="4"/>
        <v>53473422.830000006</v>
      </c>
      <c r="AR31" s="15"/>
      <c r="AS31" s="30">
        <f t="shared" si="2"/>
        <v>-53473422.830000006</v>
      </c>
    </row>
    <row r="32" spans="1:45" x14ac:dyDescent="0.25">
      <c r="A32" s="25">
        <v>45167</v>
      </c>
      <c r="B32" s="46">
        <v>2422</v>
      </c>
      <c r="C32" s="46">
        <v>5273.21</v>
      </c>
      <c r="D32" s="47">
        <v>5199</v>
      </c>
      <c r="E32" s="47">
        <v>4999</v>
      </c>
      <c r="F32" s="13">
        <v>14751615</v>
      </c>
      <c r="G32" s="13">
        <f t="shared" si="0"/>
        <v>26360776.789999999</v>
      </c>
      <c r="H32" s="26">
        <v>68.5</v>
      </c>
      <c r="I32" s="13">
        <v>1392500</v>
      </c>
      <c r="J32" s="12">
        <v>30</v>
      </c>
      <c r="K32" s="13">
        <v>280000</v>
      </c>
      <c r="L32" s="13">
        <v>45000</v>
      </c>
      <c r="M32" s="13">
        <v>808000</v>
      </c>
      <c r="N32" s="13"/>
      <c r="O32" s="13"/>
      <c r="P32" s="12"/>
      <c r="Q32" s="45">
        <f t="shared" si="3"/>
        <v>43637891.789999999</v>
      </c>
      <c r="R32" s="13"/>
      <c r="S32" s="13"/>
      <c r="T32" s="13"/>
      <c r="U32" s="13"/>
      <c r="V32" s="13"/>
      <c r="W32" s="13"/>
      <c r="X32" s="12"/>
      <c r="Y32" s="28">
        <f t="shared" si="5"/>
        <v>43637891.789999999</v>
      </c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43">
        <f t="shared" si="6"/>
        <v>0</v>
      </c>
      <c r="AM32" s="12"/>
      <c r="AN32" s="12"/>
      <c r="AO32" s="12"/>
      <c r="AP32" s="12"/>
      <c r="AQ32" s="29">
        <f t="shared" si="4"/>
        <v>43637891.789999999</v>
      </c>
      <c r="AR32" s="15"/>
      <c r="AS32" s="30">
        <f t="shared" si="2"/>
        <v>-43637891.789999999</v>
      </c>
    </row>
    <row r="33" spans="1:45" x14ac:dyDescent="0.25">
      <c r="A33" s="25">
        <v>45168</v>
      </c>
      <c r="B33" s="46">
        <v>2141.77</v>
      </c>
      <c r="C33" s="46">
        <v>2749.03</v>
      </c>
      <c r="D33" s="47">
        <v>5350</v>
      </c>
      <c r="E33" s="47">
        <v>4999</v>
      </c>
      <c r="F33" s="13">
        <f t="shared" si="0"/>
        <v>11458469.5</v>
      </c>
      <c r="G33" s="13">
        <f t="shared" si="0"/>
        <v>13742400.970000001</v>
      </c>
      <c r="H33" s="26">
        <v>79</v>
      </c>
      <c r="I33" s="13">
        <v>1601500</v>
      </c>
      <c r="J33" s="12">
        <v>43</v>
      </c>
      <c r="K33" s="13">
        <v>394000</v>
      </c>
      <c r="L33" s="13">
        <v>118000</v>
      </c>
      <c r="M33" s="13">
        <v>1105000</v>
      </c>
      <c r="N33" s="13"/>
      <c r="O33" s="13"/>
      <c r="P33" s="12"/>
      <c r="Q33" s="45">
        <f t="shared" si="3"/>
        <v>28419370.469999999</v>
      </c>
      <c r="R33" s="13"/>
      <c r="S33" s="13"/>
      <c r="T33" s="13"/>
      <c r="U33" s="13"/>
      <c r="V33" s="13"/>
      <c r="W33" s="13"/>
      <c r="X33" s="12"/>
      <c r="Y33" s="28">
        <f t="shared" si="5"/>
        <v>28419370.469999999</v>
      </c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43">
        <f t="shared" si="6"/>
        <v>0</v>
      </c>
      <c r="AM33" s="12"/>
      <c r="AN33" s="12"/>
      <c r="AO33" s="12"/>
      <c r="AP33" s="12"/>
      <c r="AQ33" s="29">
        <f t="shared" si="4"/>
        <v>28419370.469999999</v>
      </c>
      <c r="AR33" s="15"/>
      <c r="AS33" s="30">
        <f t="shared" si="2"/>
        <v>-28419370.469999999</v>
      </c>
    </row>
    <row r="34" spans="1:45" x14ac:dyDescent="0.25">
      <c r="A34" s="25">
        <v>45169</v>
      </c>
      <c r="B34" s="46">
        <v>2359.1</v>
      </c>
      <c r="C34" s="46">
        <v>2789.48</v>
      </c>
      <c r="D34" s="47">
        <v>5350</v>
      </c>
      <c r="E34" s="47">
        <v>4999</v>
      </c>
      <c r="F34" s="13">
        <f t="shared" si="0"/>
        <v>12621185</v>
      </c>
      <c r="G34" s="13">
        <f t="shared" si="0"/>
        <v>13944610.52</v>
      </c>
      <c r="H34" s="26">
        <v>63.5</v>
      </c>
      <c r="I34" s="13">
        <v>1332000</v>
      </c>
      <c r="J34" s="12">
        <v>94.5</v>
      </c>
      <c r="K34" s="13">
        <v>871000</v>
      </c>
      <c r="L34" s="13">
        <v>31000</v>
      </c>
      <c r="M34" s="13">
        <v>969000</v>
      </c>
      <c r="N34" s="13"/>
      <c r="O34" s="13"/>
      <c r="P34" s="12"/>
      <c r="Q34" s="45">
        <f t="shared" si="3"/>
        <v>29768795.52</v>
      </c>
      <c r="R34" s="13"/>
      <c r="S34" s="13"/>
      <c r="T34" s="13"/>
      <c r="U34" s="13"/>
      <c r="V34" s="13"/>
      <c r="W34" s="13"/>
      <c r="X34" s="12"/>
      <c r="Y34" s="28">
        <f t="shared" si="5"/>
        <v>29768795.52</v>
      </c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43">
        <f t="shared" si="6"/>
        <v>0</v>
      </c>
      <c r="AM34" s="12"/>
      <c r="AN34" s="12"/>
      <c r="AO34" s="12"/>
      <c r="AP34" s="12"/>
      <c r="AQ34" s="29">
        <f t="shared" si="4"/>
        <v>29768795.52</v>
      </c>
      <c r="AR34" s="15"/>
      <c r="AS34" s="30">
        <f t="shared" si="2"/>
        <v>-29768795.52</v>
      </c>
    </row>
    <row r="35" spans="1:45" x14ac:dyDescent="0.25">
      <c r="A35" s="15"/>
      <c r="B35" s="37"/>
      <c r="C35" s="37"/>
      <c r="D35" s="38"/>
      <c r="E35" s="38"/>
      <c r="F35" s="39"/>
      <c r="G35" s="39"/>
      <c r="H35" s="39"/>
      <c r="I35" s="13"/>
      <c r="J35" s="15"/>
      <c r="K35" s="38"/>
      <c r="L35" s="38"/>
      <c r="M35" s="13"/>
      <c r="N35" s="38"/>
      <c r="O35" s="38"/>
      <c r="P35" s="15"/>
      <c r="Q35" s="40"/>
      <c r="R35" s="38"/>
      <c r="S35" s="38"/>
      <c r="T35" s="38"/>
      <c r="U35" s="38"/>
      <c r="V35" s="38"/>
      <c r="W35" s="38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41">
        <f>SUM(AL4:AL34)</f>
        <v>0</v>
      </c>
      <c r="AM35" s="15"/>
      <c r="AN35" s="15"/>
      <c r="AO35" s="15"/>
      <c r="AP35" s="15"/>
      <c r="AQ35" s="15"/>
      <c r="AR35" s="15"/>
      <c r="AS35" s="30">
        <f>SUM(AS4:AS19)</f>
        <v>-309674778.18699998</v>
      </c>
    </row>
    <row r="36" spans="1:45" x14ac:dyDescent="0.25">
      <c r="A36" s="15"/>
      <c r="B36" s="37">
        <f>SUM(B4:B35)</f>
        <v>70764.560000000012</v>
      </c>
      <c r="C36" s="37">
        <f>SUM(C4:C35)</f>
        <v>120756.31299999998</v>
      </c>
      <c r="D36" s="38">
        <f>SUM(D4:D35)</f>
        <v>158855</v>
      </c>
      <c r="E36" s="38"/>
      <c r="F36" s="39">
        <f>SUM(F4:F35)</f>
        <v>365080560.13</v>
      </c>
      <c r="G36" s="39">
        <f>SUM(G4:G35)</f>
        <v>603660808.68700004</v>
      </c>
      <c r="H36" s="39">
        <f t="shared" ref="H36:J36" si="12">SUM(H4:H35)</f>
        <v>2483.5</v>
      </c>
      <c r="I36" s="39">
        <f t="shared" si="12"/>
        <v>51229000</v>
      </c>
      <c r="J36" s="39">
        <f t="shared" si="12"/>
        <v>1598.5</v>
      </c>
      <c r="K36" s="39">
        <f>SUM(K4:K35)</f>
        <v>14486000</v>
      </c>
      <c r="L36" s="39">
        <f>SUM(L4:L35)</f>
        <v>1703000</v>
      </c>
      <c r="M36" s="38">
        <f>SUM(M4:M35)</f>
        <v>26004900</v>
      </c>
      <c r="N36" s="38"/>
      <c r="O36" s="38"/>
      <c r="P36" s="15"/>
      <c r="Q36" s="40"/>
      <c r="R36" s="38"/>
      <c r="S36" s="38"/>
      <c r="T36" s="38"/>
      <c r="U36" s="38"/>
      <c r="V36" s="38"/>
      <c r="W36" s="38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41"/>
      <c r="AM36" s="15"/>
      <c r="AN36" s="15"/>
      <c r="AO36" s="15"/>
      <c r="AP36" s="15"/>
      <c r="AQ36" s="15"/>
      <c r="AR36" s="15"/>
      <c r="AS36" s="15"/>
    </row>
    <row r="37" spans="1:45" x14ac:dyDescent="0.25">
      <c r="A37" s="15"/>
      <c r="B37" s="37"/>
      <c r="C37" s="37"/>
      <c r="D37" s="38"/>
      <c r="E37" s="38"/>
      <c r="F37" s="39"/>
      <c r="G37" s="39"/>
      <c r="H37" s="39"/>
      <c r="I37" s="38"/>
      <c r="J37" s="15"/>
      <c r="K37" s="38"/>
      <c r="L37" s="38"/>
      <c r="M37" s="39"/>
      <c r="N37" s="38"/>
      <c r="O37" s="38"/>
      <c r="P37" s="15"/>
      <c r="Q37" s="40"/>
      <c r="R37" s="38"/>
      <c r="S37" s="38"/>
      <c r="T37" s="38"/>
      <c r="U37" s="38"/>
      <c r="V37" s="38"/>
      <c r="W37" s="38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41"/>
      <c r="AM37" s="15"/>
      <c r="AN37" s="15"/>
      <c r="AO37" s="15"/>
      <c r="AP37" s="15"/>
      <c r="AQ37" s="15"/>
      <c r="AR37" s="15"/>
      <c r="AS37" s="15"/>
    </row>
    <row r="38" spans="1:45" x14ac:dyDescent="0.25">
      <c r="A38" s="15"/>
      <c r="B38" s="37"/>
      <c r="C38" s="37"/>
      <c r="D38" s="38"/>
      <c r="E38" s="38"/>
      <c r="F38" s="39"/>
      <c r="G38" s="39"/>
      <c r="H38" s="39"/>
      <c r="I38" s="38"/>
      <c r="J38" s="15"/>
      <c r="K38" s="38"/>
      <c r="L38" s="38"/>
      <c r="M38" s="38"/>
      <c r="N38" s="38"/>
      <c r="O38" s="38"/>
      <c r="P38" s="15"/>
      <c r="Q38" s="40"/>
      <c r="R38" s="38"/>
      <c r="S38" s="38"/>
      <c r="T38" s="38"/>
      <c r="U38" s="38"/>
      <c r="V38" s="38"/>
      <c r="W38" s="38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41"/>
      <c r="AM38" s="15"/>
      <c r="AN38" s="15"/>
      <c r="AO38" s="15"/>
      <c r="AP38" s="15"/>
      <c r="AQ38" s="15"/>
      <c r="AR38" s="15"/>
      <c r="AS38" s="15"/>
    </row>
    <row r="39" spans="1:45" x14ac:dyDescent="0.25">
      <c r="M39" s="38"/>
    </row>
  </sheetData>
  <mergeCells count="14">
    <mergeCell ref="U2:W2"/>
    <mergeCell ref="Z2:AK2"/>
    <mergeCell ref="AL2:AL3"/>
    <mergeCell ref="AM2:AO2"/>
    <mergeCell ref="B1:P1"/>
    <mergeCell ref="R1:W1"/>
    <mergeCell ref="Z1:AO1"/>
    <mergeCell ref="B2:C2"/>
    <mergeCell ref="D2:E2"/>
    <mergeCell ref="F2:G2"/>
    <mergeCell ref="H2:I2"/>
    <mergeCell ref="J2:K2"/>
    <mergeCell ref="N2:P2"/>
    <mergeCell ref="R2:T2"/>
  </mergeCells>
  <conditionalFormatting sqref="AS4:AS36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39"/>
  <sheetViews>
    <sheetView topLeftCell="A22" workbookViewId="0">
      <selection activeCell="M27" sqref="M27"/>
    </sheetView>
  </sheetViews>
  <sheetFormatPr defaultRowHeight="15" x14ac:dyDescent="0.25"/>
  <cols>
    <col min="1" max="1" width="9.42578125" bestFit="1" customWidth="1"/>
    <col min="2" max="2" width="11.5703125" customWidth="1"/>
    <col min="3" max="3" width="12.42578125" customWidth="1"/>
    <col min="4" max="4" width="10" customWidth="1"/>
    <col min="5" max="5" width="9.42578125" customWidth="1"/>
    <col min="6" max="6" width="14.7109375" customWidth="1"/>
    <col min="7" max="7" width="14.42578125" customWidth="1"/>
    <col min="8" max="8" width="11.7109375" customWidth="1"/>
    <col min="9" max="9" width="13.85546875" customWidth="1"/>
    <col min="10" max="10" width="11.5703125" customWidth="1"/>
    <col min="11" max="11" width="14" customWidth="1"/>
    <col min="12" max="12" width="12.85546875" customWidth="1"/>
    <col min="13" max="13" width="12.28515625" customWidth="1"/>
    <col min="14" max="14" width="10.85546875" customWidth="1"/>
    <col min="17" max="17" width="15.140625" customWidth="1"/>
  </cols>
  <sheetData>
    <row r="1" spans="1:23" ht="18.75" x14ac:dyDescent="0.3">
      <c r="A1" s="6"/>
      <c r="B1" s="81" t="s">
        <v>45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11"/>
      <c r="R1" s="85" t="s">
        <v>46</v>
      </c>
      <c r="S1" s="85"/>
      <c r="T1" s="85"/>
      <c r="U1" s="85"/>
      <c r="V1" s="85"/>
      <c r="W1" s="85"/>
    </row>
    <row r="2" spans="1:23" x14ac:dyDescent="0.25">
      <c r="A2" s="12" t="s">
        <v>0</v>
      </c>
      <c r="B2" s="82" t="s">
        <v>5</v>
      </c>
      <c r="C2" s="82"/>
      <c r="D2" s="83" t="s">
        <v>12</v>
      </c>
      <c r="E2" s="83"/>
      <c r="F2" s="83" t="s">
        <v>6</v>
      </c>
      <c r="G2" s="83"/>
      <c r="H2" s="84" t="s">
        <v>7</v>
      </c>
      <c r="I2" s="84"/>
      <c r="J2" s="84" t="s">
        <v>8</v>
      </c>
      <c r="K2" s="84"/>
      <c r="L2" s="13"/>
      <c r="M2" s="13" t="s">
        <v>35</v>
      </c>
      <c r="N2" s="84" t="s">
        <v>15</v>
      </c>
      <c r="O2" s="84"/>
      <c r="P2" s="84"/>
      <c r="Q2" s="44"/>
      <c r="R2" s="86" t="s">
        <v>36</v>
      </c>
      <c r="S2" s="87"/>
      <c r="T2" s="88"/>
      <c r="U2" s="89" t="s">
        <v>47</v>
      </c>
      <c r="V2" s="90"/>
      <c r="W2" s="91"/>
    </row>
    <row r="3" spans="1:23" x14ac:dyDescent="0.25">
      <c r="A3" s="16"/>
      <c r="B3" s="17" t="s">
        <v>1</v>
      </c>
      <c r="C3" s="17" t="s">
        <v>2</v>
      </c>
      <c r="D3" s="18" t="s">
        <v>1</v>
      </c>
      <c r="E3" s="18" t="s">
        <v>2</v>
      </c>
      <c r="F3" s="19" t="s">
        <v>1</v>
      </c>
      <c r="G3" s="19" t="s">
        <v>2</v>
      </c>
      <c r="H3" s="19" t="s">
        <v>9</v>
      </c>
      <c r="I3" s="18" t="s">
        <v>10</v>
      </c>
      <c r="J3" s="16" t="s">
        <v>11</v>
      </c>
      <c r="K3" s="18" t="s">
        <v>10</v>
      </c>
      <c r="L3" s="18" t="s">
        <v>4</v>
      </c>
      <c r="M3" s="18" t="s">
        <v>67</v>
      </c>
      <c r="N3" s="18" t="s">
        <v>52</v>
      </c>
      <c r="O3" s="18" t="s">
        <v>40</v>
      </c>
      <c r="P3" s="16" t="s">
        <v>28</v>
      </c>
      <c r="Q3" s="44" t="s">
        <v>3</v>
      </c>
      <c r="R3" s="18" t="s">
        <v>1</v>
      </c>
      <c r="S3" s="18" t="s">
        <v>2</v>
      </c>
      <c r="T3" s="18" t="s">
        <v>60</v>
      </c>
      <c r="U3" s="18" t="s">
        <v>39</v>
      </c>
      <c r="V3" s="18" t="s">
        <v>38</v>
      </c>
      <c r="W3" s="18" t="s">
        <v>37</v>
      </c>
    </row>
    <row r="4" spans="1:23" x14ac:dyDescent="0.25">
      <c r="A4" s="25">
        <v>45170</v>
      </c>
      <c r="B4" s="46">
        <v>2698.57</v>
      </c>
      <c r="C4" s="46">
        <v>5438.77</v>
      </c>
      <c r="D4" s="47">
        <v>5450</v>
      </c>
      <c r="E4" s="47">
        <v>4999</v>
      </c>
      <c r="F4" s="13">
        <f t="shared" ref="F4:G34" si="0">B4*D4</f>
        <v>14707206.5</v>
      </c>
      <c r="G4" s="13">
        <f t="shared" si="0"/>
        <v>27188411.23</v>
      </c>
      <c r="H4" s="26">
        <v>41.5</v>
      </c>
      <c r="I4" s="13">
        <v>837500</v>
      </c>
      <c r="J4" s="27">
        <v>55</v>
      </c>
      <c r="K4" s="13">
        <v>506000</v>
      </c>
      <c r="L4" s="13">
        <v>30000</v>
      </c>
      <c r="M4" s="13">
        <v>529000</v>
      </c>
      <c r="N4" s="13">
        <v>0</v>
      </c>
      <c r="O4" s="13"/>
      <c r="P4" s="13"/>
      <c r="Q4" s="45">
        <f>SUM(F4:G4)+I4+K4+SUM(L4:P4)</f>
        <v>43798117.730000004</v>
      </c>
      <c r="R4" s="13"/>
      <c r="S4" s="13"/>
      <c r="T4" s="13"/>
      <c r="U4" s="13"/>
      <c r="V4" s="13"/>
      <c r="W4" s="13"/>
    </row>
    <row r="5" spans="1:23" x14ac:dyDescent="0.25">
      <c r="A5" s="25">
        <v>45171</v>
      </c>
      <c r="B5" s="46">
        <v>1816.37</v>
      </c>
      <c r="C5" s="46">
        <v>4917.03</v>
      </c>
      <c r="D5" s="47">
        <v>5450</v>
      </c>
      <c r="E5" s="47">
        <v>4999</v>
      </c>
      <c r="F5" s="13">
        <f t="shared" si="0"/>
        <v>9899216.5</v>
      </c>
      <c r="G5" s="13">
        <f t="shared" si="0"/>
        <v>24580232.969999999</v>
      </c>
      <c r="H5" s="31">
        <v>111</v>
      </c>
      <c r="I5" s="13">
        <v>2337000</v>
      </c>
      <c r="J5" s="27">
        <v>18</v>
      </c>
      <c r="K5" s="13">
        <v>168000</v>
      </c>
      <c r="L5" s="13">
        <v>0</v>
      </c>
      <c r="M5" s="13">
        <v>1291500</v>
      </c>
      <c r="N5" s="13"/>
      <c r="O5" s="13"/>
      <c r="P5" s="13"/>
      <c r="Q5" s="45">
        <f t="shared" ref="Q5:Q34" si="1">SUM(F5:G5)+I5+K5+SUM(L5:P5)</f>
        <v>38275949.469999999</v>
      </c>
      <c r="R5" s="13"/>
      <c r="S5" s="13"/>
      <c r="T5" s="13"/>
      <c r="U5" s="13"/>
      <c r="V5" s="13"/>
      <c r="W5" s="13"/>
    </row>
    <row r="6" spans="1:23" x14ac:dyDescent="0.25">
      <c r="A6" s="25">
        <v>45172</v>
      </c>
      <c r="B6" s="46">
        <v>0</v>
      </c>
      <c r="C6" s="46">
        <v>1942.27</v>
      </c>
      <c r="D6" s="47">
        <v>5450</v>
      </c>
      <c r="E6" s="47">
        <v>4999</v>
      </c>
      <c r="F6" s="13">
        <f t="shared" si="0"/>
        <v>0</v>
      </c>
      <c r="G6" s="13">
        <f t="shared" si="0"/>
        <v>9709407.7300000004</v>
      </c>
      <c r="H6" s="26">
        <v>71.5</v>
      </c>
      <c r="I6" s="13">
        <v>1419000</v>
      </c>
      <c r="J6" s="27">
        <v>33</v>
      </c>
      <c r="K6" s="13">
        <v>308000</v>
      </c>
      <c r="L6" s="13">
        <v>70000</v>
      </c>
      <c r="M6" s="13">
        <v>724700</v>
      </c>
      <c r="N6" s="13"/>
      <c r="O6" s="13"/>
      <c r="P6" s="13"/>
      <c r="Q6" s="45">
        <f t="shared" si="1"/>
        <v>12231107.73</v>
      </c>
      <c r="R6" s="13"/>
      <c r="S6" s="13"/>
      <c r="T6" s="13"/>
      <c r="U6" s="13"/>
      <c r="V6" s="13"/>
      <c r="W6" s="13"/>
    </row>
    <row r="7" spans="1:23" x14ac:dyDescent="0.25">
      <c r="A7" s="25">
        <v>45173</v>
      </c>
      <c r="B7" s="46"/>
      <c r="C7" s="46">
        <v>6523.25</v>
      </c>
      <c r="D7" s="47">
        <v>5550</v>
      </c>
      <c r="E7" s="47">
        <v>4999</v>
      </c>
      <c r="F7" s="13">
        <f t="shared" si="0"/>
        <v>0</v>
      </c>
      <c r="G7" s="13">
        <f t="shared" si="0"/>
        <v>32609726.75</v>
      </c>
      <c r="H7" s="26">
        <v>76</v>
      </c>
      <c r="I7" s="13">
        <v>1525500</v>
      </c>
      <c r="J7" s="27">
        <v>80.5</v>
      </c>
      <c r="K7" s="13">
        <v>733000</v>
      </c>
      <c r="L7" s="13">
        <v>88000</v>
      </c>
      <c r="M7" s="13">
        <v>609000</v>
      </c>
      <c r="N7" s="13">
        <v>80000</v>
      </c>
      <c r="O7" s="13"/>
      <c r="P7" s="13"/>
      <c r="Q7" s="45">
        <f t="shared" si="1"/>
        <v>35645226.75</v>
      </c>
      <c r="R7" s="13"/>
      <c r="S7" s="13"/>
      <c r="T7" s="13"/>
      <c r="U7" s="13"/>
      <c r="V7" s="13"/>
      <c r="W7" s="13"/>
    </row>
    <row r="8" spans="1:23" x14ac:dyDescent="0.25">
      <c r="A8" s="25">
        <v>45174</v>
      </c>
      <c r="B8" s="46">
        <v>0</v>
      </c>
      <c r="C8" s="46">
        <v>6969.22</v>
      </c>
      <c r="D8" s="47">
        <v>5550</v>
      </c>
      <c r="E8" s="47">
        <v>4999</v>
      </c>
      <c r="F8" s="13">
        <f t="shared" si="0"/>
        <v>0</v>
      </c>
      <c r="G8" s="13">
        <f t="shared" si="0"/>
        <v>34839130.780000001</v>
      </c>
      <c r="H8" s="26">
        <v>90.5</v>
      </c>
      <c r="I8" s="13">
        <v>1963000</v>
      </c>
      <c r="J8" s="27">
        <v>18</v>
      </c>
      <c r="K8" s="13">
        <v>168000</v>
      </c>
      <c r="L8" s="13">
        <v>15000</v>
      </c>
      <c r="M8" s="13">
        <v>764000</v>
      </c>
      <c r="N8" s="13">
        <v>80000</v>
      </c>
      <c r="O8" s="13"/>
      <c r="P8" s="13"/>
      <c r="Q8" s="45">
        <f t="shared" si="1"/>
        <v>37829130.780000001</v>
      </c>
      <c r="R8" s="13"/>
      <c r="S8" s="13"/>
      <c r="T8" s="13"/>
      <c r="U8" s="13"/>
      <c r="V8" s="13"/>
      <c r="W8" s="13"/>
    </row>
    <row r="9" spans="1:23" x14ac:dyDescent="0.25">
      <c r="A9" s="25">
        <v>45175</v>
      </c>
      <c r="B9" s="46">
        <v>731.48</v>
      </c>
      <c r="C9" s="46">
        <v>4816.933</v>
      </c>
      <c r="D9" s="47">
        <v>5550</v>
      </c>
      <c r="E9" s="47">
        <v>4999</v>
      </c>
      <c r="F9" s="13">
        <f t="shared" si="0"/>
        <v>4059714</v>
      </c>
      <c r="G9" s="13">
        <f t="shared" si="0"/>
        <v>24079848.067000002</v>
      </c>
      <c r="H9" s="26">
        <v>90.5</v>
      </c>
      <c r="I9" s="13">
        <v>2000500</v>
      </c>
      <c r="J9" s="27">
        <v>49</v>
      </c>
      <c r="K9" s="13">
        <v>450000</v>
      </c>
      <c r="L9" s="13">
        <v>0</v>
      </c>
      <c r="M9" s="13">
        <v>611000</v>
      </c>
      <c r="N9" s="13">
        <v>80000</v>
      </c>
      <c r="O9" s="13"/>
      <c r="P9" s="31"/>
      <c r="Q9" s="45">
        <f t="shared" si="1"/>
        <v>31281062.067000002</v>
      </c>
      <c r="R9" s="13"/>
      <c r="S9" s="13"/>
      <c r="T9" s="13"/>
      <c r="U9" s="13"/>
      <c r="V9" s="13"/>
      <c r="W9" s="13"/>
    </row>
    <row r="10" spans="1:23" x14ac:dyDescent="0.25">
      <c r="A10" s="25">
        <v>45176</v>
      </c>
      <c r="B10" s="46">
        <v>1967.72</v>
      </c>
      <c r="C10" s="46">
        <v>6537.9</v>
      </c>
      <c r="D10" s="47">
        <v>5550</v>
      </c>
      <c r="E10" s="47">
        <v>5130</v>
      </c>
      <c r="F10" s="13">
        <f t="shared" si="0"/>
        <v>10920846</v>
      </c>
      <c r="G10" s="13">
        <f t="shared" si="0"/>
        <v>33539426.999999996</v>
      </c>
      <c r="H10" s="26">
        <v>172</v>
      </c>
      <c r="I10" s="13">
        <v>3570500</v>
      </c>
      <c r="J10" s="27">
        <v>89.5</v>
      </c>
      <c r="K10" s="13">
        <v>777000</v>
      </c>
      <c r="L10" s="13">
        <v>128000</v>
      </c>
      <c r="M10" s="13">
        <v>511000</v>
      </c>
      <c r="N10" s="13">
        <v>0</v>
      </c>
      <c r="O10" s="13"/>
      <c r="P10" s="13"/>
      <c r="Q10" s="45">
        <f t="shared" si="1"/>
        <v>49446773</v>
      </c>
      <c r="R10" s="13"/>
      <c r="S10" s="13"/>
      <c r="T10" s="13"/>
      <c r="U10" s="13"/>
      <c r="V10" s="13"/>
      <c r="W10" s="13"/>
    </row>
    <row r="11" spans="1:23" x14ac:dyDescent="0.25">
      <c r="A11" s="25">
        <v>45177</v>
      </c>
      <c r="B11" s="46">
        <v>2480.75</v>
      </c>
      <c r="C11" s="46">
        <v>2823.44</v>
      </c>
      <c r="D11" s="47">
        <v>5550</v>
      </c>
      <c r="E11" s="47">
        <v>5130</v>
      </c>
      <c r="F11" s="13">
        <f t="shared" si="0"/>
        <v>13768162.5</v>
      </c>
      <c r="G11" s="13">
        <f t="shared" si="0"/>
        <v>14484247.200000001</v>
      </c>
      <c r="H11" s="26">
        <v>56</v>
      </c>
      <c r="I11" s="13">
        <v>1202000</v>
      </c>
      <c r="J11" s="27">
        <v>12</v>
      </c>
      <c r="K11" s="13">
        <v>112000</v>
      </c>
      <c r="L11" s="13">
        <v>92000</v>
      </c>
      <c r="M11" s="13">
        <v>832000</v>
      </c>
      <c r="N11" s="13">
        <v>0</v>
      </c>
      <c r="O11" s="13"/>
      <c r="P11" s="13"/>
      <c r="Q11" s="45">
        <f t="shared" si="1"/>
        <v>30490409.700000003</v>
      </c>
      <c r="R11" s="13"/>
      <c r="S11" s="13"/>
      <c r="T11" s="13"/>
      <c r="U11" s="13"/>
      <c r="V11" s="13"/>
      <c r="W11" s="13"/>
    </row>
    <row r="12" spans="1:23" x14ac:dyDescent="0.25">
      <c r="A12" s="25">
        <v>45178</v>
      </c>
      <c r="B12" s="46">
        <v>2146.7399999999998</v>
      </c>
      <c r="C12" s="46">
        <v>3114.33</v>
      </c>
      <c r="D12" s="47">
        <v>5550</v>
      </c>
      <c r="E12" s="47">
        <v>5130</v>
      </c>
      <c r="F12" s="13">
        <f t="shared" si="0"/>
        <v>11914406.999999998</v>
      </c>
      <c r="G12" s="13">
        <f t="shared" si="0"/>
        <v>15976512.9</v>
      </c>
      <c r="H12" s="26">
        <v>57.5</v>
      </c>
      <c r="I12" s="13">
        <v>1101000</v>
      </c>
      <c r="J12" s="27">
        <v>0</v>
      </c>
      <c r="K12" s="13">
        <v>0</v>
      </c>
      <c r="L12" s="13">
        <v>16000</v>
      </c>
      <c r="M12" s="13">
        <v>941000</v>
      </c>
      <c r="N12" s="13">
        <v>0</v>
      </c>
      <c r="O12" s="13"/>
      <c r="P12" s="13"/>
      <c r="Q12" s="45">
        <f t="shared" si="1"/>
        <v>29948919.899999999</v>
      </c>
      <c r="R12" s="13"/>
      <c r="S12" s="13"/>
      <c r="T12" s="13"/>
      <c r="U12" s="13"/>
      <c r="V12" s="13"/>
      <c r="W12" s="13"/>
    </row>
    <row r="13" spans="1:23" x14ac:dyDescent="0.25">
      <c r="A13" s="25">
        <v>45179</v>
      </c>
      <c r="B13" s="46">
        <v>1977.09</v>
      </c>
      <c r="C13" s="46">
        <v>3150.08</v>
      </c>
      <c r="D13" s="47">
        <v>5550</v>
      </c>
      <c r="E13" s="47">
        <v>5130</v>
      </c>
      <c r="F13" s="13">
        <f t="shared" si="0"/>
        <v>10972849.5</v>
      </c>
      <c r="G13" s="13">
        <f t="shared" si="0"/>
        <v>16159910.4</v>
      </c>
      <c r="H13" s="26">
        <v>115.5</v>
      </c>
      <c r="I13" s="13">
        <v>2336000</v>
      </c>
      <c r="J13" s="27">
        <v>54.5</v>
      </c>
      <c r="K13" s="13">
        <v>505000</v>
      </c>
      <c r="L13" s="13">
        <v>146000</v>
      </c>
      <c r="M13" s="13">
        <v>942500</v>
      </c>
      <c r="N13" s="13"/>
      <c r="O13" s="13"/>
      <c r="P13" s="13"/>
      <c r="Q13" s="45">
        <f t="shared" si="1"/>
        <v>31062259.899999999</v>
      </c>
      <c r="R13" s="13"/>
      <c r="S13" s="13"/>
      <c r="T13" s="13"/>
      <c r="U13" s="13"/>
      <c r="V13" s="13"/>
      <c r="W13" s="13"/>
    </row>
    <row r="14" spans="1:23" x14ac:dyDescent="0.25">
      <c r="A14" s="25">
        <v>45180</v>
      </c>
      <c r="B14" s="46">
        <v>2097.19</v>
      </c>
      <c r="C14" s="46">
        <v>164.03</v>
      </c>
      <c r="D14" s="47">
        <v>5550</v>
      </c>
      <c r="E14" s="47">
        <v>5130</v>
      </c>
      <c r="F14" s="13">
        <f t="shared" si="0"/>
        <v>11639404.5</v>
      </c>
      <c r="G14" s="13">
        <f t="shared" si="0"/>
        <v>841473.9</v>
      </c>
      <c r="H14" s="26">
        <v>90.5</v>
      </c>
      <c r="I14" s="13">
        <v>1830000</v>
      </c>
      <c r="J14" s="27">
        <v>45.5</v>
      </c>
      <c r="K14" s="13">
        <v>421000</v>
      </c>
      <c r="L14" s="13">
        <v>107000</v>
      </c>
      <c r="M14" s="13">
        <v>701000</v>
      </c>
      <c r="N14" s="13"/>
      <c r="O14" s="13"/>
      <c r="P14" s="13"/>
      <c r="Q14" s="45">
        <f t="shared" si="1"/>
        <v>15539878.4</v>
      </c>
      <c r="R14" s="13"/>
      <c r="S14" s="13"/>
      <c r="T14" s="13"/>
      <c r="U14" s="13"/>
      <c r="V14" s="13"/>
      <c r="W14" s="13"/>
    </row>
    <row r="15" spans="1:23" x14ac:dyDescent="0.25">
      <c r="A15" s="25">
        <v>45181</v>
      </c>
      <c r="B15" s="46">
        <v>1836.38</v>
      </c>
      <c r="C15" s="46">
        <v>0</v>
      </c>
      <c r="D15" s="47">
        <v>5550</v>
      </c>
      <c r="E15" s="47">
        <v>5130</v>
      </c>
      <c r="F15" s="13">
        <f t="shared" si="0"/>
        <v>10191909</v>
      </c>
      <c r="G15" s="13">
        <f t="shared" si="0"/>
        <v>0</v>
      </c>
      <c r="H15" s="26">
        <v>53</v>
      </c>
      <c r="I15" s="51">
        <v>1059000</v>
      </c>
      <c r="J15" s="27">
        <v>30.5</v>
      </c>
      <c r="K15" s="13">
        <v>253000</v>
      </c>
      <c r="L15" s="13">
        <v>15000</v>
      </c>
      <c r="M15" s="13">
        <v>514000</v>
      </c>
      <c r="N15" s="13">
        <v>80000</v>
      </c>
      <c r="O15" s="13"/>
      <c r="P15" s="13"/>
      <c r="Q15" s="45">
        <f t="shared" si="1"/>
        <v>12112909</v>
      </c>
      <c r="R15" s="13"/>
      <c r="S15" s="13"/>
      <c r="T15" s="13"/>
      <c r="U15" s="13"/>
      <c r="V15" s="13"/>
      <c r="W15" s="13"/>
    </row>
    <row r="16" spans="1:23" x14ac:dyDescent="0.25">
      <c r="A16" s="25">
        <v>45182</v>
      </c>
      <c r="B16" s="46">
        <v>1909.12</v>
      </c>
      <c r="C16" s="46">
        <v>0</v>
      </c>
      <c r="D16" s="47">
        <v>5550</v>
      </c>
      <c r="E16" s="47">
        <v>5130</v>
      </c>
      <c r="F16" s="13">
        <f t="shared" si="0"/>
        <v>10595616</v>
      </c>
      <c r="G16" s="13">
        <f t="shared" si="0"/>
        <v>0</v>
      </c>
      <c r="H16" s="26">
        <v>155</v>
      </c>
      <c r="I16" s="13">
        <v>3307500</v>
      </c>
      <c r="J16" s="27">
        <v>54.5</v>
      </c>
      <c r="K16" s="13">
        <v>505000</v>
      </c>
      <c r="L16" s="13">
        <v>80000</v>
      </c>
      <c r="M16" s="13">
        <v>648500</v>
      </c>
      <c r="N16" s="13"/>
      <c r="O16" s="13"/>
      <c r="P16" s="13"/>
      <c r="Q16" s="45">
        <f t="shared" si="1"/>
        <v>15136616</v>
      </c>
      <c r="R16" s="13"/>
      <c r="S16" s="13"/>
      <c r="T16" s="13"/>
      <c r="U16" s="13"/>
      <c r="V16" s="13"/>
      <c r="W16" s="13"/>
    </row>
    <row r="17" spans="1:23" x14ac:dyDescent="0.25">
      <c r="A17" s="25">
        <v>45183</v>
      </c>
      <c r="B17" s="46">
        <v>2070.71</v>
      </c>
      <c r="C17" s="46">
        <v>0</v>
      </c>
      <c r="D17" s="47">
        <v>5550</v>
      </c>
      <c r="E17" s="47">
        <v>5130</v>
      </c>
      <c r="F17" s="13">
        <f t="shared" si="0"/>
        <v>11492440.5</v>
      </c>
      <c r="G17" s="13">
        <f t="shared" si="0"/>
        <v>0</v>
      </c>
      <c r="H17" s="26">
        <v>56</v>
      </c>
      <c r="I17" s="13">
        <v>1239500</v>
      </c>
      <c r="J17" s="27">
        <v>79</v>
      </c>
      <c r="K17" s="13">
        <v>730000</v>
      </c>
      <c r="L17" s="13">
        <v>31000</v>
      </c>
      <c r="M17" s="13">
        <v>637500</v>
      </c>
      <c r="N17" s="13"/>
      <c r="O17" s="13"/>
      <c r="P17" s="13"/>
      <c r="Q17" s="45">
        <f t="shared" si="1"/>
        <v>14130440.5</v>
      </c>
      <c r="R17" s="13"/>
      <c r="S17" s="13"/>
      <c r="T17" s="13"/>
      <c r="U17" s="13"/>
      <c r="V17" s="13"/>
      <c r="W17" s="13"/>
    </row>
    <row r="18" spans="1:23" x14ac:dyDescent="0.25">
      <c r="A18" s="25">
        <v>45184</v>
      </c>
      <c r="B18" s="46">
        <v>2469.88</v>
      </c>
      <c r="C18" s="46">
        <v>3685.66</v>
      </c>
      <c r="D18" s="47">
        <v>5550</v>
      </c>
      <c r="E18" s="47">
        <v>5130</v>
      </c>
      <c r="F18" s="13">
        <f t="shared" si="0"/>
        <v>13707834</v>
      </c>
      <c r="G18" s="13">
        <f t="shared" si="0"/>
        <v>18907435.800000001</v>
      </c>
      <c r="H18" s="13">
        <v>42.5</v>
      </c>
      <c r="I18" s="13">
        <v>903500</v>
      </c>
      <c r="J18" s="27">
        <v>60.5</v>
      </c>
      <c r="K18" s="13">
        <v>561000</v>
      </c>
      <c r="L18" s="13">
        <v>134000</v>
      </c>
      <c r="M18" s="13">
        <v>824700</v>
      </c>
      <c r="N18" s="13"/>
      <c r="O18" s="13"/>
      <c r="P18" s="13"/>
      <c r="Q18" s="45">
        <f t="shared" si="1"/>
        <v>35038469.799999997</v>
      </c>
      <c r="R18" s="13"/>
      <c r="S18" s="13"/>
      <c r="T18" s="13"/>
      <c r="U18" s="13"/>
      <c r="V18" s="13"/>
      <c r="W18" s="13"/>
    </row>
    <row r="19" spans="1:23" x14ac:dyDescent="0.25">
      <c r="A19" s="25">
        <v>45185</v>
      </c>
      <c r="B19" s="46">
        <v>2543.5500000000002</v>
      </c>
      <c r="C19" s="46">
        <v>3043.53</v>
      </c>
      <c r="D19" s="47">
        <v>5550</v>
      </c>
      <c r="E19" s="47">
        <v>5130</v>
      </c>
      <c r="F19" s="13">
        <f t="shared" si="0"/>
        <v>14116702.500000002</v>
      </c>
      <c r="G19" s="13">
        <f t="shared" si="0"/>
        <v>15613308.9</v>
      </c>
      <c r="H19" s="26">
        <v>72.5</v>
      </c>
      <c r="I19" s="13">
        <v>1417500</v>
      </c>
      <c r="J19" s="27">
        <v>18.5</v>
      </c>
      <c r="K19" s="13">
        <v>169000</v>
      </c>
      <c r="L19" s="13">
        <v>91000</v>
      </c>
      <c r="M19" s="13">
        <v>1033000</v>
      </c>
      <c r="N19" s="13"/>
      <c r="O19" s="13"/>
      <c r="P19" s="13"/>
      <c r="Q19" s="45">
        <f t="shared" si="1"/>
        <v>32440511.400000002</v>
      </c>
      <c r="R19" s="13"/>
      <c r="S19" s="13"/>
      <c r="T19" s="13"/>
      <c r="U19" s="13"/>
      <c r="V19" s="13"/>
      <c r="W19" s="13"/>
    </row>
    <row r="20" spans="1:23" x14ac:dyDescent="0.25">
      <c r="A20" s="25">
        <v>45186</v>
      </c>
      <c r="B20" s="46">
        <v>2116.4</v>
      </c>
      <c r="C20" s="46">
        <v>1563.9</v>
      </c>
      <c r="D20" s="47">
        <v>5550</v>
      </c>
      <c r="E20" s="47">
        <v>5130</v>
      </c>
      <c r="F20" s="13">
        <f>B20*D20</f>
        <v>11746020</v>
      </c>
      <c r="G20" s="13">
        <f t="shared" si="0"/>
        <v>8022807.0000000009</v>
      </c>
      <c r="H20" s="26">
        <v>32.5</v>
      </c>
      <c r="I20" s="13">
        <v>679000</v>
      </c>
      <c r="J20" s="27">
        <v>147.5</v>
      </c>
      <c r="K20" s="13">
        <v>1249000</v>
      </c>
      <c r="L20" s="13">
        <v>8000</v>
      </c>
      <c r="M20" s="13">
        <v>922900</v>
      </c>
      <c r="N20" s="13">
        <v>501500</v>
      </c>
      <c r="O20" s="13"/>
      <c r="P20" s="13"/>
      <c r="Q20" s="45">
        <f t="shared" si="1"/>
        <v>23129227</v>
      </c>
      <c r="R20" s="13"/>
      <c r="S20" s="13"/>
      <c r="T20" s="13"/>
      <c r="U20" s="13"/>
      <c r="V20" s="13"/>
      <c r="W20" s="13"/>
    </row>
    <row r="21" spans="1:23" x14ac:dyDescent="0.25">
      <c r="A21" s="25">
        <v>45187</v>
      </c>
      <c r="B21" s="46">
        <v>2110.35</v>
      </c>
      <c r="C21" s="46">
        <v>6790.02</v>
      </c>
      <c r="D21" s="47">
        <v>5550</v>
      </c>
      <c r="E21" s="47">
        <v>5130</v>
      </c>
      <c r="F21" s="13">
        <f t="shared" si="0"/>
        <v>11712442.5</v>
      </c>
      <c r="G21" s="13">
        <f t="shared" si="0"/>
        <v>34832802.600000001</v>
      </c>
      <c r="H21" s="26">
        <v>38</v>
      </c>
      <c r="I21" s="13">
        <v>792000</v>
      </c>
      <c r="J21" s="12">
        <v>24</v>
      </c>
      <c r="K21" s="13">
        <v>224000</v>
      </c>
      <c r="L21" s="13">
        <v>16000</v>
      </c>
      <c r="M21" s="13">
        <v>689500</v>
      </c>
      <c r="N21" s="13">
        <v>80000</v>
      </c>
      <c r="O21" s="13"/>
      <c r="P21" s="12"/>
      <c r="Q21" s="45">
        <f t="shared" si="1"/>
        <v>48346745.100000001</v>
      </c>
      <c r="R21" s="13"/>
      <c r="S21" s="13"/>
      <c r="T21" s="13"/>
      <c r="U21" s="13"/>
      <c r="V21" s="13"/>
      <c r="W21" s="13"/>
    </row>
    <row r="22" spans="1:23" x14ac:dyDescent="0.25">
      <c r="A22" s="25">
        <v>45188</v>
      </c>
      <c r="B22" s="46">
        <v>2177</v>
      </c>
      <c r="C22" s="46">
        <v>5078.74</v>
      </c>
      <c r="D22" s="47">
        <v>5550</v>
      </c>
      <c r="E22" s="47">
        <v>5130</v>
      </c>
      <c r="F22" s="13">
        <f t="shared" si="0"/>
        <v>12082350</v>
      </c>
      <c r="G22" s="13">
        <f t="shared" si="0"/>
        <v>26053936.199999999</v>
      </c>
      <c r="H22" s="26">
        <v>57</v>
      </c>
      <c r="I22" s="13">
        <v>1208000</v>
      </c>
      <c r="J22" s="12">
        <v>42.5</v>
      </c>
      <c r="K22" s="13">
        <v>393000</v>
      </c>
      <c r="L22" s="13">
        <v>91000</v>
      </c>
      <c r="M22" s="13">
        <v>516500</v>
      </c>
      <c r="N22" s="13"/>
      <c r="O22" s="13"/>
      <c r="P22" s="12"/>
      <c r="Q22" s="45">
        <f t="shared" si="1"/>
        <v>40344786.200000003</v>
      </c>
      <c r="R22" s="13"/>
      <c r="S22" s="13"/>
      <c r="T22" s="13"/>
      <c r="U22" s="13"/>
      <c r="V22" s="13"/>
      <c r="W22" s="13"/>
    </row>
    <row r="23" spans="1:23" x14ac:dyDescent="0.25">
      <c r="A23" s="25">
        <v>45189</v>
      </c>
      <c r="B23" s="46">
        <v>2117</v>
      </c>
      <c r="C23" s="46">
        <v>3752.13</v>
      </c>
      <c r="D23" s="47">
        <v>5550</v>
      </c>
      <c r="E23" s="47">
        <v>5130</v>
      </c>
      <c r="F23" s="13">
        <f t="shared" si="0"/>
        <v>11749350</v>
      </c>
      <c r="G23" s="13">
        <f t="shared" si="0"/>
        <v>19248426.900000002</v>
      </c>
      <c r="H23" s="26">
        <v>236</v>
      </c>
      <c r="I23" s="13">
        <v>4464500</v>
      </c>
      <c r="J23" s="12">
        <v>49.5</v>
      </c>
      <c r="K23" s="13">
        <v>451000</v>
      </c>
      <c r="L23" s="13">
        <v>81000</v>
      </c>
      <c r="M23" s="13">
        <v>673000</v>
      </c>
      <c r="N23" s="13"/>
      <c r="O23" s="13"/>
      <c r="P23" s="12"/>
      <c r="Q23" s="45">
        <f t="shared" si="1"/>
        <v>36667276.900000006</v>
      </c>
      <c r="R23" s="13"/>
      <c r="S23" s="13"/>
      <c r="T23" s="13"/>
      <c r="U23" s="13"/>
      <c r="V23" s="13"/>
      <c r="W23" s="13"/>
    </row>
    <row r="24" spans="1:23" x14ac:dyDescent="0.25">
      <c r="A24" s="25">
        <v>45190</v>
      </c>
      <c r="B24" s="46">
        <v>2209.7399999999998</v>
      </c>
      <c r="C24" s="46">
        <v>4513.62</v>
      </c>
      <c r="D24" s="47">
        <v>5550</v>
      </c>
      <c r="E24" s="47">
        <v>5130</v>
      </c>
      <c r="F24" s="13">
        <f t="shared" si="0"/>
        <v>12264056.999999998</v>
      </c>
      <c r="G24" s="13">
        <f t="shared" si="0"/>
        <v>23154870.599999998</v>
      </c>
      <c r="H24" s="26">
        <v>65</v>
      </c>
      <c r="I24" s="13">
        <v>1379000</v>
      </c>
      <c r="J24" s="12">
        <v>30.5</v>
      </c>
      <c r="K24" s="13">
        <v>281000</v>
      </c>
      <c r="L24" s="13">
        <v>30000</v>
      </c>
      <c r="M24" s="13">
        <v>800500</v>
      </c>
      <c r="N24" s="13"/>
      <c r="O24" s="13"/>
      <c r="P24" s="12"/>
      <c r="Q24" s="45">
        <f t="shared" si="1"/>
        <v>37909427.599999994</v>
      </c>
      <c r="R24" s="13"/>
      <c r="S24" s="13"/>
      <c r="T24" s="13"/>
      <c r="U24" s="13"/>
      <c r="V24" s="13"/>
      <c r="W24" s="13"/>
    </row>
    <row r="25" spans="1:23" x14ac:dyDescent="0.25">
      <c r="A25" s="25">
        <v>45191</v>
      </c>
      <c r="B25" s="46">
        <v>2529.81</v>
      </c>
      <c r="C25" s="46">
        <v>2417</v>
      </c>
      <c r="D25" s="47">
        <v>5550</v>
      </c>
      <c r="E25" s="47">
        <v>5130</v>
      </c>
      <c r="F25" s="13">
        <f t="shared" si="0"/>
        <v>14040445.5</v>
      </c>
      <c r="G25" s="13">
        <f t="shared" si="0"/>
        <v>12399210</v>
      </c>
      <c r="H25" s="26">
        <v>73</v>
      </c>
      <c r="I25" s="13">
        <v>1479500</v>
      </c>
      <c r="J25" s="12">
        <v>82.5</v>
      </c>
      <c r="K25" s="13">
        <v>759000</v>
      </c>
      <c r="L25" s="13">
        <v>94000</v>
      </c>
      <c r="M25" s="13">
        <v>614000</v>
      </c>
      <c r="N25" s="13"/>
      <c r="O25" s="13"/>
      <c r="P25" s="12"/>
      <c r="Q25" s="45">
        <f t="shared" si="1"/>
        <v>29386155.5</v>
      </c>
      <c r="R25" s="13"/>
      <c r="S25" s="13"/>
      <c r="T25" s="13"/>
      <c r="U25" s="13"/>
      <c r="V25" s="13"/>
      <c r="W25" s="13"/>
    </row>
    <row r="26" spans="1:23" x14ac:dyDescent="0.25">
      <c r="A26" s="25">
        <v>45192</v>
      </c>
      <c r="B26" s="46">
        <v>2247.89</v>
      </c>
      <c r="C26" s="46">
        <v>10271.41</v>
      </c>
      <c r="D26" s="47">
        <v>5610</v>
      </c>
      <c r="E26" s="47">
        <v>5320</v>
      </c>
      <c r="F26" s="13">
        <f t="shared" si="0"/>
        <v>12610662.899999999</v>
      </c>
      <c r="G26" s="13">
        <f t="shared" si="0"/>
        <v>54643901.199999996</v>
      </c>
      <c r="H26" s="26">
        <v>81.25</v>
      </c>
      <c r="I26" s="13">
        <v>1683500</v>
      </c>
      <c r="J26" s="12">
        <v>79</v>
      </c>
      <c r="K26" s="13">
        <v>730000</v>
      </c>
      <c r="L26" s="13">
        <v>72000</v>
      </c>
      <c r="M26" s="13">
        <v>671000</v>
      </c>
      <c r="N26" s="13">
        <v>367100</v>
      </c>
      <c r="O26" s="13"/>
      <c r="P26" s="12"/>
      <c r="Q26" s="45">
        <f t="shared" ref="Q26" si="2">SUM(F26:G26)+I26+K26+SUM(L26:P26)</f>
        <v>70778164.099999994</v>
      </c>
      <c r="R26" s="13"/>
      <c r="S26" s="13"/>
      <c r="T26" s="13"/>
      <c r="U26" s="13"/>
      <c r="V26" s="13"/>
      <c r="W26" s="13"/>
    </row>
    <row r="27" spans="1:23" x14ac:dyDescent="0.25">
      <c r="A27" s="25">
        <v>45193</v>
      </c>
      <c r="B27" s="46">
        <v>1963.66</v>
      </c>
      <c r="C27" s="46">
        <v>2136.1660000000002</v>
      </c>
      <c r="D27" s="47">
        <v>5610</v>
      </c>
      <c r="E27" s="47">
        <v>5320</v>
      </c>
      <c r="F27" s="13">
        <v>15403593</v>
      </c>
      <c r="G27" s="13">
        <f t="shared" si="0"/>
        <v>11364403.120000001</v>
      </c>
      <c r="H27" s="26">
        <v>77.75</v>
      </c>
      <c r="I27" s="13">
        <v>1607500</v>
      </c>
      <c r="J27" s="12">
        <v>40</v>
      </c>
      <c r="K27" s="13">
        <v>366000</v>
      </c>
      <c r="L27" s="13">
        <v>38000</v>
      </c>
      <c r="M27" s="13">
        <v>628000</v>
      </c>
      <c r="N27" s="13"/>
      <c r="O27" s="13"/>
      <c r="P27" s="12"/>
      <c r="Q27" s="45">
        <f t="shared" si="1"/>
        <v>29407496.120000001</v>
      </c>
      <c r="R27" s="13"/>
      <c r="S27" s="13"/>
      <c r="T27" s="13"/>
      <c r="U27" s="13"/>
      <c r="V27" s="13"/>
      <c r="W27" s="13"/>
    </row>
    <row r="28" spans="1:23" x14ac:dyDescent="0.25">
      <c r="A28" s="25">
        <v>45194</v>
      </c>
      <c r="B28" s="46">
        <v>2061.73</v>
      </c>
      <c r="C28" s="46">
        <v>4311.13</v>
      </c>
      <c r="D28" s="47">
        <v>5610</v>
      </c>
      <c r="E28" s="47">
        <v>5320</v>
      </c>
      <c r="F28" s="13">
        <f t="shared" si="0"/>
        <v>11566305.300000001</v>
      </c>
      <c r="G28" s="13">
        <f t="shared" si="0"/>
        <v>22935211.600000001</v>
      </c>
      <c r="H28" s="26">
        <v>105</v>
      </c>
      <c r="I28" s="13">
        <v>2148500</v>
      </c>
      <c r="J28" s="12">
        <v>33</v>
      </c>
      <c r="K28" s="13">
        <v>308000</v>
      </c>
      <c r="L28" s="13">
        <v>8000</v>
      </c>
      <c r="M28" s="13">
        <v>569200</v>
      </c>
      <c r="N28" s="13">
        <v>255000</v>
      </c>
      <c r="O28" s="13"/>
      <c r="P28" s="12"/>
      <c r="Q28" s="45">
        <f t="shared" si="1"/>
        <v>37790216.900000006</v>
      </c>
      <c r="R28" s="13"/>
      <c r="S28" s="13"/>
      <c r="T28" s="13"/>
      <c r="U28" s="13"/>
      <c r="V28" s="13"/>
      <c r="W28" s="13"/>
    </row>
    <row r="29" spans="1:23" x14ac:dyDescent="0.25">
      <c r="A29" s="25">
        <v>45195</v>
      </c>
      <c r="B29" s="46">
        <v>1703.47</v>
      </c>
      <c r="C29" s="46">
        <v>515.04999999999995</v>
      </c>
      <c r="D29" s="47">
        <v>5610</v>
      </c>
      <c r="E29" s="47">
        <v>5320</v>
      </c>
      <c r="F29" s="13">
        <f t="shared" si="0"/>
        <v>9556466.6999999993</v>
      </c>
      <c r="G29" s="13">
        <f t="shared" si="0"/>
        <v>2740065.9999999995</v>
      </c>
      <c r="H29" s="26">
        <v>81</v>
      </c>
      <c r="I29" s="13">
        <v>1797500</v>
      </c>
      <c r="J29" s="12">
        <v>39</v>
      </c>
      <c r="K29" s="13">
        <v>364000</v>
      </c>
      <c r="L29" s="13">
        <v>15000</v>
      </c>
      <c r="M29" s="13">
        <v>475000</v>
      </c>
      <c r="N29" s="13">
        <v>127500</v>
      </c>
      <c r="O29" s="13"/>
      <c r="P29" s="12"/>
      <c r="Q29" s="45">
        <f t="shared" si="1"/>
        <v>15075532.699999999</v>
      </c>
      <c r="R29" s="13"/>
      <c r="S29" s="13"/>
      <c r="T29" s="13"/>
      <c r="U29" s="13"/>
      <c r="V29" s="13"/>
      <c r="W29" s="13"/>
    </row>
    <row r="30" spans="1:23" x14ac:dyDescent="0.25">
      <c r="A30" s="25">
        <v>45196</v>
      </c>
      <c r="B30" s="46">
        <v>2081.4299999999998</v>
      </c>
      <c r="C30" s="46">
        <v>3.04</v>
      </c>
      <c r="D30" s="47">
        <v>5610</v>
      </c>
      <c r="E30" s="47">
        <v>5320</v>
      </c>
      <c r="F30" s="13">
        <f t="shared" si="0"/>
        <v>11676822.299999999</v>
      </c>
      <c r="G30" s="13">
        <f t="shared" si="0"/>
        <v>16172.800000000001</v>
      </c>
      <c r="H30" s="26">
        <v>92.5</v>
      </c>
      <c r="I30" s="13">
        <v>1819000</v>
      </c>
      <c r="J30" s="12">
        <v>92.5</v>
      </c>
      <c r="K30" s="13">
        <v>805000</v>
      </c>
      <c r="L30" s="13">
        <v>8000</v>
      </c>
      <c r="M30" s="13">
        <v>633000</v>
      </c>
      <c r="N30" s="13">
        <v>0</v>
      </c>
      <c r="O30" s="13"/>
      <c r="P30" s="12"/>
      <c r="Q30" s="45">
        <f t="shared" si="1"/>
        <v>14957995.1</v>
      </c>
      <c r="R30" s="13"/>
      <c r="S30" s="13"/>
      <c r="T30" s="13"/>
      <c r="U30" s="13"/>
      <c r="V30" s="13"/>
      <c r="W30" s="13"/>
    </row>
    <row r="31" spans="1:23" x14ac:dyDescent="0.25">
      <c r="A31" s="25">
        <v>45197</v>
      </c>
      <c r="B31" s="46">
        <v>2107</v>
      </c>
      <c r="C31" s="46">
        <v>5756.19</v>
      </c>
      <c r="D31" s="47">
        <v>5610</v>
      </c>
      <c r="E31" s="47">
        <v>5320</v>
      </c>
      <c r="F31" s="13">
        <f t="shared" si="0"/>
        <v>11820270</v>
      </c>
      <c r="G31" s="13">
        <f t="shared" si="0"/>
        <v>30622930.799999997</v>
      </c>
      <c r="H31" s="26">
        <v>32.75</v>
      </c>
      <c r="I31" s="13">
        <v>686000</v>
      </c>
      <c r="J31" s="12">
        <v>64</v>
      </c>
      <c r="K31" s="13">
        <v>590000</v>
      </c>
      <c r="L31" s="13">
        <v>39000</v>
      </c>
      <c r="M31" s="13">
        <v>593000</v>
      </c>
      <c r="N31" s="13">
        <v>510000</v>
      </c>
      <c r="O31" s="13"/>
      <c r="P31" s="12"/>
      <c r="Q31" s="45">
        <f t="shared" si="1"/>
        <v>44861200.799999997</v>
      </c>
      <c r="R31" s="13"/>
      <c r="S31" s="13"/>
      <c r="T31" s="13"/>
      <c r="U31" s="13"/>
      <c r="V31" s="13"/>
      <c r="W31" s="13"/>
    </row>
    <row r="32" spans="1:23" x14ac:dyDescent="0.25">
      <c r="A32" s="25">
        <v>45198</v>
      </c>
      <c r="B32" s="46">
        <v>2310.0500000000002</v>
      </c>
      <c r="C32" s="46">
        <v>6784.41</v>
      </c>
      <c r="D32" s="47">
        <v>5610</v>
      </c>
      <c r="E32" s="47">
        <v>5320</v>
      </c>
      <c r="F32" s="13">
        <v>14751615</v>
      </c>
      <c r="G32" s="13">
        <f t="shared" si="0"/>
        <v>36093061.199999996</v>
      </c>
      <c r="H32" s="26">
        <v>51.25</v>
      </c>
      <c r="I32" s="13">
        <v>1031000</v>
      </c>
      <c r="J32" s="12">
        <v>66.5</v>
      </c>
      <c r="K32" s="13">
        <v>617000</v>
      </c>
      <c r="L32" s="13">
        <v>84000</v>
      </c>
      <c r="M32" s="13">
        <v>801000</v>
      </c>
      <c r="N32" s="13">
        <v>127500</v>
      </c>
      <c r="O32" s="13"/>
      <c r="P32" s="12"/>
      <c r="Q32" s="45">
        <f t="shared" si="1"/>
        <v>53505176.199999996</v>
      </c>
      <c r="R32" s="13"/>
      <c r="S32" s="13"/>
      <c r="T32" s="13"/>
      <c r="U32" s="13"/>
      <c r="V32" s="13"/>
      <c r="W32" s="13"/>
    </row>
    <row r="33" spans="1:23" x14ac:dyDescent="0.25">
      <c r="A33" s="25">
        <v>45199</v>
      </c>
      <c r="B33" s="46">
        <v>2191.65</v>
      </c>
      <c r="C33" s="46">
        <v>1682</v>
      </c>
      <c r="D33" s="47">
        <v>5610</v>
      </c>
      <c r="E33" s="47">
        <v>5320</v>
      </c>
      <c r="F33" s="13">
        <f t="shared" si="0"/>
        <v>12295156.5</v>
      </c>
      <c r="G33" s="13">
        <f t="shared" si="0"/>
        <v>8948240</v>
      </c>
      <c r="H33" s="26">
        <v>100.25</v>
      </c>
      <c r="I33" s="13">
        <v>2121000</v>
      </c>
      <c r="J33" s="12">
        <v>33</v>
      </c>
      <c r="K33" s="13">
        <v>308000</v>
      </c>
      <c r="L33" s="13">
        <v>165000</v>
      </c>
      <c r="M33" s="13">
        <v>610500</v>
      </c>
      <c r="N33" s="13">
        <v>0</v>
      </c>
      <c r="O33" s="13"/>
      <c r="P33" s="12"/>
      <c r="Q33" s="45">
        <f t="shared" si="1"/>
        <v>24447896.5</v>
      </c>
      <c r="R33" s="13"/>
      <c r="S33" s="13"/>
      <c r="T33" s="13"/>
      <c r="U33" s="13"/>
      <c r="V33" s="13"/>
      <c r="W33" s="13"/>
    </row>
    <row r="34" spans="1:23" x14ac:dyDescent="0.25">
      <c r="A34" s="25" t="s">
        <v>68</v>
      </c>
      <c r="B34" s="46"/>
      <c r="C34" s="46"/>
      <c r="D34" s="47"/>
      <c r="E34" s="47"/>
      <c r="F34" s="13">
        <f t="shared" si="0"/>
        <v>0</v>
      </c>
      <c r="G34" s="13">
        <f t="shared" si="0"/>
        <v>0</v>
      </c>
      <c r="H34" s="26"/>
      <c r="I34" s="13"/>
      <c r="J34" s="12"/>
      <c r="K34" s="13"/>
      <c r="L34" s="13"/>
      <c r="M34" s="13"/>
      <c r="N34" s="13"/>
      <c r="O34" s="13"/>
      <c r="P34" s="12"/>
      <c r="Q34" s="45">
        <f t="shared" si="1"/>
        <v>0</v>
      </c>
      <c r="R34" s="13"/>
      <c r="S34" s="13"/>
      <c r="T34" s="13"/>
      <c r="U34" s="13"/>
      <c r="V34" s="13"/>
      <c r="W34" s="13"/>
    </row>
    <row r="35" spans="1:23" x14ac:dyDescent="0.25">
      <c r="A35" s="15"/>
      <c r="B35" s="37"/>
      <c r="C35" s="37"/>
      <c r="D35" s="38"/>
      <c r="E35" s="38"/>
      <c r="F35" s="39"/>
      <c r="G35" s="39"/>
      <c r="H35" s="39"/>
      <c r="I35" s="13"/>
      <c r="J35" s="15"/>
      <c r="K35" s="38"/>
      <c r="L35" s="38"/>
      <c r="M35" s="13"/>
      <c r="N35" s="38"/>
      <c r="O35" s="38"/>
      <c r="P35" s="15"/>
      <c r="Q35" s="40"/>
      <c r="R35" s="38"/>
      <c r="S35" s="38"/>
      <c r="T35" s="38"/>
      <c r="U35" s="38"/>
      <c r="V35" s="38"/>
      <c r="W35" s="38"/>
    </row>
    <row r="36" spans="1:23" x14ac:dyDescent="0.25">
      <c r="A36" s="15"/>
      <c r="B36" s="37">
        <f>SUM(B4:B35)</f>
        <v>56672.73000000001</v>
      </c>
      <c r="C36" s="37">
        <f>SUM(C4:C35)</f>
        <v>108701.24900000001</v>
      </c>
      <c r="D36" s="38">
        <f>SUM(D4:D35)</f>
        <v>166680</v>
      </c>
      <c r="E36" s="38"/>
      <c r="F36" s="39">
        <f>SUM(F4:F35)</f>
        <v>321261865.20000005</v>
      </c>
      <c r="G36" s="39">
        <f>SUM(G4:G35)</f>
        <v>559605113.64700007</v>
      </c>
      <c r="H36" s="39">
        <f t="shared" ref="H36:J36" si="3">SUM(H4:H35)</f>
        <v>2474.75</v>
      </c>
      <c r="I36" s="39">
        <f t="shared" si="3"/>
        <v>50945000</v>
      </c>
      <c r="J36" s="39">
        <f t="shared" si="3"/>
        <v>1521.5</v>
      </c>
      <c r="K36" s="39">
        <f>SUM(K4:K35)</f>
        <v>13811000</v>
      </c>
      <c r="L36" s="39">
        <f>SUM(L4:L35)</f>
        <v>1792000</v>
      </c>
      <c r="M36" s="38">
        <f>SUM(M4:M35)</f>
        <v>21311500</v>
      </c>
      <c r="N36" s="38">
        <f>SUM(N5:N35)</f>
        <v>2288600</v>
      </c>
      <c r="O36" s="38"/>
      <c r="P36" s="15"/>
      <c r="Q36" s="40"/>
      <c r="R36" s="38"/>
      <c r="S36" s="38"/>
      <c r="T36" s="38"/>
      <c r="U36" s="38"/>
      <c r="V36" s="38"/>
      <c r="W36" s="38"/>
    </row>
    <row r="37" spans="1:23" x14ac:dyDescent="0.25">
      <c r="A37" s="15"/>
      <c r="B37" s="37"/>
      <c r="C37" s="37"/>
      <c r="D37" s="38"/>
      <c r="E37" s="38"/>
      <c r="F37" s="39"/>
      <c r="G37" s="39"/>
      <c r="H37" s="39"/>
      <c r="I37" s="38"/>
      <c r="J37" s="15"/>
      <c r="K37" s="38"/>
      <c r="L37" s="38"/>
      <c r="M37" s="39"/>
      <c r="N37" s="38"/>
      <c r="O37" s="38"/>
      <c r="P37" s="15"/>
      <c r="Q37" s="40"/>
      <c r="R37" s="38"/>
      <c r="S37" s="38"/>
      <c r="T37" s="38"/>
      <c r="U37" s="38"/>
      <c r="V37" s="38"/>
      <c r="W37" s="38"/>
    </row>
    <row r="38" spans="1:23" x14ac:dyDescent="0.25">
      <c r="A38" s="15"/>
      <c r="B38" s="37"/>
      <c r="C38" s="37"/>
      <c r="D38" s="38"/>
      <c r="E38" s="38"/>
      <c r="F38" s="39"/>
      <c r="G38" s="39"/>
      <c r="H38" s="39"/>
      <c r="I38" s="38"/>
      <c r="J38" s="15"/>
      <c r="K38" s="38"/>
      <c r="L38" s="38"/>
      <c r="M38" s="38"/>
      <c r="N38" s="38"/>
      <c r="O38" s="38"/>
      <c r="P38" s="15"/>
      <c r="Q38" s="40"/>
      <c r="R38" s="38"/>
      <c r="S38" s="38"/>
      <c r="T38" s="38"/>
      <c r="U38" s="38"/>
      <c r="V38" s="38"/>
      <c r="W38" s="38"/>
    </row>
    <row r="39" spans="1:23" x14ac:dyDescent="0.25">
      <c r="M39" s="38"/>
    </row>
  </sheetData>
  <mergeCells count="10">
    <mergeCell ref="B1:P1"/>
    <mergeCell ref="R1:W1"/>
    <mergeCell ref="B2:C2"/>
    <mergeCell ref="D2:E2"/>
    <mergeCell ref="F2:G2"/>
    <mergeCell ref="H2:I2"/>
    <mergeCell ref="J2:K2"/>
    <mergeCell ref="N2:P2"/>
    <mergeCell ref="R2:T2"/>
    <mergeCell ref="U2:W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39"/>
  <sheetViews>
    <sheetView workbookViewId="0">
      <selection activeCell="M27" sqref="M27"/>
    </sheetView>
  </sheetViews>
  <sheetFormatPr defaultRowHeight="15" x14ac:dyDescent="0.25"/>
  <cols>
    <col min="1" max="1" width="10.42578125" bestFit="1" customWidth="1"/>
    <col min="2" max="2" width="11.5703125" customWidth="1"/>
    <col min="3" max="3" width="12.42578125" customWidth="1"/>
    <col min="4" max="4" width="10" customWidth="1"/>
    <col min="5" max="5" width="9.42578125" customWidth="1"/>
    <col min="6" max="6" width="14.7109375" customWidth="1"/>
    <col min="7" max="7" width="14.42578125" customWidth="1"/>
    <col min="8" max="8" width="11.7109375" customWidth="1"/>
    <col min="9" max="9" width="13.85546875" customWidth="1"/>
    <col min="10" max="10" width="11.5703125" customWidth="1"/>
    <col min="11" max="11" width="14" customWidth="1"/>
    <col min="12" max="12" width="12.85546875" customWidth="1"/>
    <col min="13" max="13" width="12.28515625" customWidth="1"/>
    <col min="14" max="14" width="10.85546875" customWidth="1"/>
    <col min="17" max="17" width="15.140625" customWidth="1"/>
  </cols>
  <sheetData>
    <row r="1" spans="1:23" ht="18.75" x14ac:dyDescent="0.3">
      <c r="A1" s="6"/>
      <c r="B1" s="81" t="s">
        <v>45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11"/>
      <c r="R1" s="85" t="s">
        <v>46</v>
      </c>
      <c r="S1" s="85"/>
      <c r="T1" s="85"/>
      <c r="U1" s="85"/>
      <c r="V1" s="85"/>
      <c r="W1" s="85"/>
    </row>
    <row r="2" spans="1:23" x14ac:dyDescent="0.25">
      <c r="A2" s="12" t="s">
        <v>0</v>
      </c>
      <c r="B2" s="82" t="s">
        <v>5</v>
      </c>
      <c r="C2" s="82"/>
      <c r="D2" s="83" t="s">
        <v>12</v>
      </c>
      <c r="E2" s="83"/>
      <c r="F2" s="83" t="s">
        <v>6</v>
      </c>
      <c r="G2" s="83"/>
      <c r="H2" s="84" t="s">
        <v>7</v>
      </c>
      <c r="I2" s="84"/>
      <c r="J2" s="84" t="s">
        <v>8</v>
      </c>
      <c r="K2" s="84"/>
      <c r="L2" s="13"/>
      <c r="M2" s="13"/>
      <c r="N2" s="84" t="s">
        <v>15</v>
      </c>
      <c r="O2" s="84"/>
      <c r="P2" s="84"/>
      <c r="Q2" s="44"/>
      <c r="R2" s="86" t="s">
        <v>36</v>
      </c>
      <c r="S2" s="87"/>
      <c r="T2" s="88"/>
      <c r="U2" s="89" t="s">
        <v>47</v>
      </c>
      <c r="V2" s="90"/>
      <c r="W2" s="91"/>
    </row>
    <row r="3" spans="1:23" x14ac:dyDescent="0.25">
      <c r="A3" s="16"/>
      <c r="B3" s="17" t="s">
        <v>1</v>
      </c>
      <c r="C3" s="17" t="s">
        <v>2</v>
      </c>
      <c r="D3" s="18" t="s">
        <v>1</v>
      </c>
      <c r="E3" s="18" t="s">
        <v>2</v>
      </c>
      <c r="F3" s="19" t="s">
        <v>1</v>
      </c>
      <c r="G3" s="19" t="s">
        <v>2</v>
      </c>
      <c r="H3" s="19" t="s">
        <v>9</v>
      </c>
      <c r="I3" s="18" t="s">
        <v>10</v>
      </c>
      <c r="J3" s="16" t="s">
        <v>11</v>
      </c>
      <c r="K3" s="18" t="s">
        <v>10</v>
      </c>
      <c r="L3" s="18" t="s">
        <v>4</v>
      </c>
      <c r="M3" s="18" t="s">
        <v>67</v>
      </c>
      <c r="N3" s="18" t="s">
        <v>52</v>
      </c>
      <c r="O3" s="18" t="s">
        <v>40</v>
      </c>
      <c r="P3" s="16" t="s">
        <v>28</v>
      </c>
      <c r="Q3" s="44" t="s">
        <v>3</v>
      </c>
      <c r="R3" s="18" t="s">
        <v>1</v>
      </c>
      <c r="S3" s="18" t="s">
        <v>2</v>
      </c>
      <c r="T3" s="18" t="s">
        <v>60</v>
      </c>
      <c r="U3" s="18" t="s">
        <v>39</v>
      </c>
      <c r="V3" s="18" t="s">
        <v>38</v>
      </c>
      <c r="W3" s="18" t="s">
        <v>37</v>
      </c>
    </row>
    <row r="4" spans="1:23" x14ac:dyDescent="0.25">
      <c r="A4" s="25">
        <v>45200</v>
      </c>
      <c r="B4" s="46">
        <v>1235.72</v>
      </c>
      <c r="C4" s="46">
        <v>4864.8900000000003</v>
      </c>
      <c r="D4" s="47">
        <v>5610</v>
      </c>
      <c r="E4" s="47">
        <v>4999</v>
      </c>
      <c r="F4" s="13">
        <f t="shared" ref="F4:G34" si="0">B4*D4</f>
        <v>6932389.2000000002</v>
      </c>
      <c r="G4" s="13">
        <f t="shared" si="0"/>
        <v>24319585.110000003</v>
      </c>
      <c r="H4" s="26">
        <v>45</v>
      </c>
      <c r="I4" s="13">
        <v>1005000</v>
      </c>
      <c r="J4" s="27">
        <v>36.5</v>
      </c>
      <c r="K4" s="13">
        <v>337000</v>
      </c>
      <c r="L4" s="13">
        <v>83000</v>
      </c>
      <c r="M4" s="13">
        <v>320000</v>
      </c>
      <c r="N4" s="13">
        <v>0</v>
      </c>
      <c r="O4" s="13"/>
      <c r="P4" s="13"/>
      <c r="Q4" s="45">
        <f>SUM(F4:G4)+I4+K4+SUM(L4:P4)</f>
        <v>32996974.310000002</v>
      </c>
      <c r="R4" s="13"/>
      <c r="S4" s="13"/>
      <c r="T4" s="13"/>
      <c r="U4" s="13"/>
      <c r="V4" s="13"/>
      <c r="W4" s="13"/>
    </row>
    <row r="5" spans="1:23" x14ac:dyDescent="0.25">
      <c r="A5" s="25">
        <v>45201</v>
      </c>
      <c r="B5" s="46">
        <v>2002.92</v>
      </c>
      <c r="C5" s="46">
        <v>3955.48</v>
      </c>
      <c r="D5" s="47">
        <v>5610</v>
      </c>
      <c r="E5" s="47">
        <v>4999</v>
      </c>
      <c r="F5" s="13">
        <f t="shared" si="0"/>
        <v>11236381.200000001</v>
      </c>
      <c r="G5" s="13">
        <f t="shared" si="0"/>
        <v>19773444.52</v>
      </c>
      <c r="H5" s="31">
        <v>43.25</v>
      </c>
      <c r="I5" s="13">
        <v>870500</v>
      </c>
      <c r="J5" s="27">
        <v>79</v>
      </c>
      <c r="K5" s="13">
        <v>745500</v>
      </c>
      <c r="L5" s="13">
        <v>278000</v>
      </c>
      <c r="M5" s="13">
        <v>670000</v>
      </c>
      <c r="N5" s="13">
        <v>398000</v>
      </c>
      <c r="O5" s="13"/>
      <c r="P5" s="13"/>
      <c r="Q5" s="45">
        <f t="shared" ref="Q5:Q34" si="1">SUM(F5:G5)+I5+K5+SUM(L5:P5)</f>
        <v>33971825.719999999</v>
      </c>
      <c r="R5" s="13"/>
      <c r="S5" s="13"/>
      <c r="T5" s="13"/>
      <c r="U5" s="13"/>
      <c r="V5" s="13"/>
      <c r="W5" s="13"/>
    </row>
    <row r="6" spans="1:23" x14ac:dyDescent="0.25">
      <c r="A6" s="25">
        <v>45202</v>
      </c>
      <c r="B6" s="46">
        <v>1641.39</v>
      </c>
      <c r="C6" s="46">
        <v>9612.3799999999992</v>
      </c>
      <c r="D6" s="47">
        <v>5610</v>
      </c>
      <c r="E6" s="47">
        <v>4999</v>
      </c>
      <c r="F6" s="13">
        <f t="shared" si="0"/>
        <v>9208197.9000000004</v>
      </c>
      <c r="G6" s="13">
        <f t="shared" si="0"/>
        <v>48052287.619999997</v>
      </c>
      <c r="H6" s="26">
        <v>56.75</v>
      </c>
      <c r="I6" s="13">
        <v>1178500</v>
      </c>
      <c r="J6" s="27">
        <v>27.5</v>
      </c>
      <c r="K6" s="13">
        <v>253000</v>
      </c>
      <c r="L6" s="13">
        <v>188000</v>
      </c>
      <c r="M6" s="13">
        <v>497500</v>
      </c>
      <c r="N6" s="13">
        <v>127500</v>
      </c>
      <c r="O6" s="13"/>
      <c r="P6" s="13"/>
      <c r="Q6" s="45">
        <f t="shared" si="1"/>
        <v>59504985.519999996</v>
      </c>
      <c r="R6" s="13"/>
      <c r="S6" s="13"/>
      <c r="T6" s="13"/>
      <c r="U6" s="13"/>
      <c r="V6" s="13"/>
      <c r="W6" s="13"/>
    </row>
    <row r="7" spans="1:23" x14ac:dyDescent="0.25">
      <c r="A7" s="25">
        <v>45203</v>
      </c>
      <c r="B7" s="46">
        <v>1836.73</v>
      </c>
      <c r="C7" s="46">
        <v>6511.11</v>
      </c>
      <c r="D7" s="47">
        <v>5610</v>
      </c>
      <c r="E7" s="47">
        <v>5320</v>
      </c>
      <c r="F7" s="13">
        <f t="shared" si="0"/>
        <v>10304055.300000001</v>
      </c>
      <c r="G7" s="13">
        <f t="shared" si="0"/>
        <v>34639105.199999996</v>
      </c>
      <c r="H7" s="26">
        <v>54.5</v>
      </c>
      <c r="I7" s="13">
        <v>1151000</v>
      </c>
      <c r="J7" s="27">
        <v>24</v>
      </c>
      <c r="K7" s="13">
        <v>224000</v>
      </c>
      <c r="L7" s="13">
        <v>46000</v>
      </c>
      <c r="M7" s="13">
        <v>565000</v>
      </c>
      <c r="N7" s="13"/>
      <c r="O7" s="13"/>
      <c r="P7" s="13"/>
      <c r="Q7" s="45">
        <f t="shared" si="1"/>
        <v>46929160.5</v>
      </c>
      <c r="R7" s="13"/>
      <c r="S7" s="13"/>
      <c r="T7" s="13"/>
      <c r="U7" s="13"/>
      <c r="V7" s="13"/>
      <c r="W7" s="13"/>
    </row>
    <row r="8" spans="1:23" x14ac:dyDescent="0.25">
      <c r="A8" s="25">
        <v>45204</v>
      </c>
      <c r="B8" s="46">
        <v>1383</v>
      </c>
      <c r="C8" s="46">
        <v>1144.04</v>
      </c>
      <c r="D8" s="47">
        <v>5610</v>
      </c>
      <c r="E8" s="47">
        <v>5320</v>
      </c>
      <c r="F8" s="13">
        <f t="shared" si="0"/>
        <v>7758630</v>
      </c>
      <c r="G8" s="13">
        <f t="shared" si="0"/>
        <v>6086292.7999999998</v>
      </c>
      <c r="H8" s="26">
        <v>46</v>
      </c>
      <c r="I8" s="13">
        <v>990000</v>
      </c>
      <c r="J8" s="27">
        <v>12</v>
      </c>
      <c r="K8" s="13">
        <v>112000</v>
      </c>
      <c r="L8" s="13">
        <v>45000</v>
      </c>
      <c r="M8" s="13">
        <v>510500</v>
      </c>
      <c r="N8" s="13">
        <v>80000</v>
      </c>
      <c r="O8" s="13"/>
      <c r="P8" s="13"/>
      <c r="Q8" s="45">
        <f t="shared" si="1"/>
        <v>15582422.800000001</v>
      </c>
      <c r="R8" s="13"/>
      <c r="S8" s="13"/>
      <c r="T8" s="13"/>
      <c r="U8" s="13"/>
      <c r="V8" s="13"/>
      <c r="W8" s="13"/>
    </row>
    <row r="9" spans="1:23" x14ac:dyDescent="0.25">
      <c r="A9" s="25">
        <v>45205</v>
      </c>
      <c r="B9" s="46">
        <v>1882.67</v>
      </c>
      <c r="C9" s="46">
        <v>1865.64</v>
      </c>
      <c r="D9" s="47">
        <v>5610</v>
      </c>
      <c r="E9" s="47">
        <v>5320</v>
      </c>
      <c r="F9" s="13">
        <f t="shared" si="0"/>
        <v>10561778.700000001</v>
      </c>
      <c r="G9" s="13">
        <f t="shared" si="0"/>
        <v>9925204.8000000007</v>
      </c>
      <c r="H9" s="26">
        <v>46.5</v>
      </c>
      <c r="I9" s="13">
        <v>903000</v>
      </c>
      <c r="J9" s="27">
        <v>30</v>
      </c>
      <c r="K9" s="13">
        <v>280000</v>
      </c>
      <c r="L9" s="13">
        <v>63000</v>
      </c>
      <c r="M9" s="13">
        <v>1040000</v>
      </c>
      <c r="N9" s="13">
        <v>127500</v>
      </c>
      <c r="O9" s="13"/>
      <c r="P9" s="31"/>
      <c r="Q9" s="45">
        <f t="shared" si="1"/>
        <v>22900483.5</v>
      </c>
      <c r="R9" s="13"/>
      <c r="S9" s="13"/>
      <c r="T9" s="13"/>
      <c r="U9" s="13"/>
      <c r="V9" s="13"/>
      <c r="W9" s="13"/>
    </row>
    <row r="10" spans="1:23" x14ac:dyDescent="0.25">
      <c r="A10" s="25">
        <v>45206</v>
      </c>
      <c r="B10" s="46">
        <v>2604.36</v>
      </c>
      <c r="C10" s="46">
        <v>3544.3440000000001</v>
      </c>
      <c r="D10" s="47">
        <v>5610</v>
      </c>
      <c r="E10" s="47">
        <v>5320</v>
      </c>
      <c r="F10" s="13">
        <f t="shared" si="0"/>
        <v>14610459.600000001</v>
      </c>
      <c r="G10" s="13">
        <f t="shared" si="0"/>
        <v>18855910.080000002</v>
      </c>
      <c r="H10" s="26">
        <v>65.25</v>
      </c>
      <c r="I10" s="13">
        <v>1424500</v>
      </c>
      <c r="J10" s="27">
        <v>55</v>
      </c>
      <c r="K10" s="13">
        <v>506000</v>
      </c>
      <c r="L10" s="13">
        <v>16000</v>
      </c>
      <c r="M10" s="13">
        <v>1254000</v>
      </c>
      <c r="N10" s="13">
        <v>479000</v>
      </c>
      <c r="O10" s="13"/>
      <c r="P10" s="13"/>
      <c r="Q10" s="45">
        <f t="shared" si="1"/>
        <v>37145869.680000007</v>
      </c>
      <c r="R10" s="13"/>
      <c r="S10" s="13"/>
      <c r="T10" s="13"/>
      <c r="U10" s="13"/>
      <c r="V10" s="13"/>
      <c r="W10" s="13"/>
    </row>
    <row r="11" spans="1:23" x14ac:dyDescent="0.25">
      <c r="A11" s="25">
        <v>45207</v>
      </c>
      <c r="B11" s="46">
        <v>1715.95</v>
      </c>
      <c r="C11" s="46">
        <v>2147.7600000000002</v>
      </c>
      <c r="D11" s="47">
        <v>5610</v>
      </c>
      <c r="E11" s="47">
        <v>5320</v>
      </c>
      <c r="F11" s="13">
        <f t="shared" si="0"/>
        <v>9626479.5</v>
      </c>
      <c r="G11" s="13">
        <f t="shared" si="0"/>
        <v>11426083.200000001</v>
      </c>
      <c r="H11" s="26">
        <v>38.25</v>
      </c>
      <c r="I11" s="13">
        <v>740500</v>
      </c>
      <c r="J11" s="27">
        <v>45.5</v>
      </c>
      <c r="K11" s="13">
        <v>337000</v>
      </c>
      <c r="L11" s="13">
        <v>85000</v>
      </c>
      <c r="M11" s="13">
        <v>580500</v>
      </c>
      <c r="N11" s="13"/>
      <c r="O11" s="13"/>
      <c r="P11" s="13"/>
      <c r="Q11" s="45">
        <f t="shared" si="1"/>
        <v>22795562.700000003</v>
      </c>
      <c r="R11" s="13"/>
      <c r="S11" s="13"/>
      <c r="T11" s="13"/>
      <c r="U11" s="13"/>
      <c r="V11" s="13"/>
      <c r="W11" s="13"/>
    </row>
    <row r="12" spans="1:23" x14ac:dyDescent="0.25">
      <c r="A12" s="25">
        <v>45208</v>
      </c>
      <c r="B12" s="46">
        <v>1829.37</v>
      </c>
      <c r="C12" s="46">
        <v>3155</v>
      </c>
      <c r="D12" s="47">
        <v>5610</v>
      </c>
      <c r="E12" s="47">
        <v>5320</v>
      </c>
      <c r="F12" s="13">
        <f t="shared" si="0"/>
        <v>10262765.699999999</v>
      </c>
      <c r="G12" s="13">
        <f t="shared" si="0"/>
        <v>16784600</v>
      </c>
      <c r="H12" s="26">
        <v>38</v>
      </c>
      <c r="I12" s="13">
        <v>811000</v>
      </c>
      <c r="J12" s="27">
        <v>61</v>
      </c>
      <c r="K12" s="13">
        <v>562000</v>
      </c>
      <c r="L12" s="13">
        <v>55000</v>
      </c>
      <c r="M12" s="13">
        <v>652000</v>
      </c>
      <c r="N12" s="13">
        <v>127500</v>
      </c>
      <c r="O12" s="13"/>
      <c r="P12" s="13"/>
      <c r="Q12" s="45">
        <f t="shared" si="1"/>
        <v>29254865.699999999</v>
      </c>
      <c r="R12" s="13"/>
      <c r="S12" s="13"/>
      <c r="T12" s="13"/>
      <c r="U12" s="13"/>
      <c r="V12" s="13"/>
      <c r="W12" s="13"/>
    </row>
    <row r="13" spans="1:23" x14ac:dyDescent="0.25">
      <c r="A13" s="25">
        <v>45209</v>
      </c>
      <c r="B13" s="46">
        <v>1887.66</v>
      </c>
      <c r="C13" s="46">
        <v>5059.6400000000003</v>
      </c>
      <c r="D13" s="47">
        <v>5610</v>
      </c>
      <c r="E13" s="47">
        <v>5320</v>
      </c>
      <c r="F13" s="13">
        <f t="shared" si="0"/>
        <v>10589772.6</v>
      </c>
      <c r="G13" s="13">
        <f t="shared" si="0"/>
        <v>26917284.800000001</v>
      </c>
      <c r="H13" s="26">
        <v>93</v>
      </c>
      <c r="I13" s="13">
        <v>1954500</v>
      </c>
      <c r="J13" s="27">
        <v>51.5</v>
      </c>
      <c r="K13" s="13">
        <v>477000</v>
      </c>
      <c r="L13" s="13">
        <v>24000</v>
      </c>
      <c r="M13" s="13">
        <v>670500</v>
      </c>
      <c r="N13" s="13">
        <v>80000</v>
      </c>
      <c r="O13" s="13"/>
      <c r="P13" s="13"/>
      <c r="Q13" s="45">
        <f t="shared" si="1"/>
        <v>40713057.399999999</v>
      </c>
      <c r="R13" s="13"/>
      <c r="S13" s="13"/>
      <c r="T13" s="13"/>
      <c r="U13" s="13"/>
      <c r="V13" s="13"/>
      <c r="W13" s="13"/>
    </row>
    <row r="14" spans="1:23" x14ac:dyDescent="0.25">
      <c r="A14" s="25">
        <v>45210</v>
      </c>
      <c r="B14" s="46">
        <v>1022.37</v>
      </c>
      <c r="C14" s="46">
        <v>3391.09</v>
      </c>
      <c r="D14" s="47">
        <v>5610</v>
      </c>
      <c r="E14" s="47">
        <v>5320</v>
      </c>
      <c r="F14" s="13">
        <f t="shared" si="0"/>
        <v>5735495.7000000002</v>
      </c>
      <c r="G14" s="13">
        <f t="shared" si="0"/>
        <v>18040598.800000001</v>
      </c>
      <c r="H14" s="26">
        <v>49.5</v>
      </c>
      <c r="I14" s="13">
        <v>1047000</v>
      </c>
      <c r="J14" s="27">
        <v>33</v>
      </c>
      <c r="K14" s="13">
        <v>309000</v>
      </c>
      <c r="L14" s="13">
        <v>78000</v>
      </c>
      <c r="M14" s="13">
        <v>442000</v>
      </c>
      <c r="N14" s="13">
        <v>80000</v>
      </c>
      <c r="O14" s="13"/>
      <c r="P14" s="13"/>
      <c r="Q14" s="45">
        <f t="shared" si="1"/>
        <v>25732094.5</v>
      </c>
      <c r="R14" s="13"/>
      <c r="S14" s="13"/>
      <c r="T14" s="13"/>
      <c r="U14" s="13"/>
      <c r="V14" s="13"/>
      <c r="W14" s="13"/>
    </row>
    <row r="15" spans="1:23" x14ac:dyDescent="0.25">
      <c r="A15" s="25">
        <v>45211</v>
      </c>
      <c r="B15" s="46">
        <v>1551.08</v>
      </c>
      <c r="C15" s="46">
        <v>2899</v>
      </c>
      <c r="D15" s="47">
        <v>5610</v>
      </c>
      <c r="E15" s="47">
        <v>5320</v>
      </c>
      <c r="F15" s="13">
        <f t="shared" si="0"/>
        <v>8701558.7999999989</v>
      </c>
      <c r="G15" s="13">
        <f t="shared" si="0"/>
        <v>15422680</v>
      </c>
      <c r="H15" s="26">
        <v>49.5</v>
      </c>
      <c r="I15" s="51">
        <v>1013000</v>
      </c>
      <c r="J15" s="27">
        <v>39</v>
      </c>
      <c r="K15" s="13">
        <v>364000</v>
      </c>
      <c r="L15" s="13">
        <v>61000</v>
      </c>
      <c r="M15" s="13">
        <v>581000</v>
      </c>
      <c r="N15" s="13"/>
      <c r="O15" s="13"/>
      <c r="P15" s="13"/>
      <c r="Q15" s="45">
        <f t="shared" si="1"/>
        <v>26143238.799999997</v>
      </c>
      <c r="R15" s="13"/>
      <c r="S15" s="13"/>
      <c r="T15" s="13"/>
      <c r="U15" s="13"/>
      <c r="V15" s="13"/>
      <c r="W15" s="13"/>
    </row>
    <row r="16" spans="1:23" x14ac:dyDescent="0.25">
      <c r="A16" s="25">
        <v>45212</v>
      </c>
      <c r="B16" s="46">
        <v>2023.02</v>
      </c>
      <c r="C16" s="46">
        <v>1442.18</v>
      </c>
      <c r="D16" s="47">
        <v>5610</v>
      </c>
      <c r="E16" s="47">
        <v>5320</v>
      </c>
      <c r="F16" s="13">
        <f t="shared" si="0"/>
        <v>11349142.199999999</v>
      </c>
      <c r="G16" s="13">
        <f t="shared" si="0"/>
        <v>7672397.6000000006</v>
      </c>
      <c r="H16" s="26">
        <v>64.5</v>
      </c>
      <c r="I16" s="13">
        <v>1394500</v>
      </c>
      <c r="J16" s="27">
        <v>24</v>
      </c>
      <c r="K16" s="13">
        <v>224000</v>
      </c>
      <c r="L16" s="13">
        <v>0</v>
      </c>
      <c r="M16" s="13">
        <v>565500</v>
      </c>
      <c r="N16" s="13"/>
      <c r="O16" s="13"/>
      <c r="P16" s="13"/>
      <c r="Q16" s="45">
        <f t="shared" si="1"/>
        <v>21205539.800000001</v>
      </c>
      <c r="R16" s="13"/>
      <c r="S16" s="13"/>
      <c r="T16" s="13"/>
      <c r="U16" s="13"/>
      <c r="V16" s="13"/>
      <c r="W16" s="13"/>
    </row>
    <row r="17" spans="1:23" x14ac:dyDescent="0.25">
      <c r="A17" s="25">
        <v>45213</v>
      </c>
      <c r="B17" s="46">
        <v>1909.818</v>
      </c>
      <c r="C17" s="46">
        <v>2961.04</v>
      </c>
      <c r="D17" s="47">
        <v>5610</v>
      </c>
      <c r="E17" s="47">
        <v>5320</v>
      </c>
      <c r="F17" s="13">
        <f t="shared" si="0"/>
        <v>10714078.98</v>
      </c>
      <c r="G17" s="13">
        <f t="shared" si="0"/>
        <v>15752732.799999999</v>
      </c>
      <c r="H17" s="26">
        <v>68.25</v>
      </c>
      <c r="I17" s="13">
        <v>1583500</v>
      </c>
      <c r="J17" s="27">
        <v>68.5</v>
      </c>
      <c r="K17" s="13">
        <v>581000</v>
      </c>
      <c r="L17" s="13">
        <v>85000</v>
      </c>
      <c r="M17" s="13">
        <v>911000</v>
      </c>
      <c r="N17" s="13"/>
      <c r="O17" s="13"/>
      <c r="P17" s="13"/>
      <c r="Q17" s="45">
        <f t="shared" si="1"/>
        <v>29627311.780000001</v>
      </c>
      <c r="R17" s="13"/>
      <c r="S17" s="13"/>
      <c r="T17" s="13"/>
      <c r="U17" s="13"/>
      <c r="V17" s="13"/>
      <c r="W17" s="13"/>
    </row>
    <row r="18" spans="1:23" x14ac:dyDescent="0.25">
      <c r="A18" s="25">
        <v>45214</v>
      </c>
      <c r="B18" s="46">
        <v>1273.6600000000001</v>
      </c>
      <c r="C18" s="46">
        <v>3485.89</v>
      </c>
      <c r="D18" s="47">
        <v>5610</v>
      </c>
      <c r="E18" s="47">
        <v>5320</v>
      </c>
      <c r="F18" s="13">
        <f t="shared" si="0"/>
        <v>7145232.6000000006</v>
      </c>
      <c r="G18" s="13">
        <f t="shared" si="0"/>
        <v>18544934.800000001</v>
      </c>
      <c r="H18" s="13">
        <v>105.5</v>
      </c>
      <c r="I18" s="13">
        <v>2342500</v>
      </c>
      <c r="J18" s="27">
        <v>33.5</v>
      </c>
      <c r="K18" s="13">
        <v>309000</v>
      </c>
      <c r="L18" s="13">
        <v>93000</v>
      </c>
      <c r="M18" s="13">
        <v>539000</v>
      </c>
      <c r="N18" s="13">
        <v>80000</v>
      </c>
      <c r="O18" s="13"/>
      <c r="P18" s="13"/>
      <c r="Q18" s="45">
        <f t="shared" si="1"/>
        <v>29053667.400000002</v>
      </c>
      <c r="R18" s="13"/>
      <c r="S18" s="13"/>
      <c r="T18" s="13"/>
      <c r="U18" s="13"/>
      <c r="V18" s="13"/>
      <c r="W18" s="13"/>
    </row>
    <row r="19" spans="1:23" x14ac:dyDescent="0.25">
      <c r="A19" s="25">
        <v>45215</v>
      </c>
      <c r="B19" s="46">
        <v>1806.73</v>
      </c>
      <c r="C19" s="46">
        <v>2828.09</v>
      </c>
      <c r="D19" s="47">
        <v>5610</v>
      </c>
      <c r="E19" s="47">
        <v>5320</v>
      </c>
      <c r="F19" s="13">
        <f t="shared" si="0"/>
        <v>10135755.300000001</v>
      </c>
      <c r="G19" s="13">
        <f t="shared" si="0"/>
        <v>15045438.800000001</v>
      </c>
      <c r="H19" s="26">
        <v>151.75</v>
      </c>
      <c r="I19" s="13">
        <v>2915000</v>
      </c>
      <c r="J19" s="27">
        <v>101</v>
      </c>
      <c r="K19" s="13">
        <v>928000</v>
      </c>
      <c r="L19" s="13">
        <v>73000</v>
      </c>
      <c r="M19" s="13">
        <v>455000</v>
      </c>
      <c r="N19" s="13">
        <v>451500</v>
      </c>
      <c r="O19" s="13"/>
      <c r="P19" s="13"/>
      <c r="Q19" s="45">
        <f t="shared" si="1"/>
        <v>30003694.100000001</v>
      </c>
      <c r="R19" s="13"/>
      <c r="S19" s="13"/>
      <c r="T19" s="13"/>
      <c r="U19" s="13"/>
      <c r="V19" s="13"/>
      <c r="W19" s="13"/>
    </row>
    <row r="20" spans="1:23" x14ac:dyDescent="0.25">
      <c r="A20" s="25">
        <v>45216</v>
      </c>
      <c r="B20" s="46">
        <v>1821.6</v>
      </c>
      <c r="C20" s="46">
        <v>5956.2</v>
      </c>
      <c r="D20" s="47">
        <v>5610</v>
      </c>
      <c r="E20" s="47">
        <v>5320</v>
      </c>
      <c r="F20" s="13">
        <f>B20*D20</f>
        <v>10219176</v>
      </c>
      <c r="G20" s="13">
        <f t="shared" si="0"/>
        <v>31686984</v>
      </c>
      <c r="H20" s="26">
        <v>52.25</v>
      </c>
      <c r="I20" s="13">
        <v>1223000</v>
      </c>
      <c r="J20" s="27">
        <v>18</v>
      </c>
      <c r="K20" s="13">
        <v>168000</v>
      </c>
      <c r="L20" s="13">
        <v>0</v>
      </c>
      <c r="M20" s="13">
        <v>552000</v>
      </c>
      <c r="N20" s="13">
        <v>0</v>
      </c>
      <c r="O20" s="13"/>
      <c r="P20" s="13"/>
      <c r="Q20" s="45">
        <f t="shared" si="1"/>
        <v>43849160</v>
      </c>
      <c r="R20" s="13"/>
      <c r="S20" s="13"/>
      <c r="T20" s="13"/>
      <c r="U20" s="13"/>
      <c r="V20" s="13"/>
      <c r="W20" s="13"/>
    </row>
    <row r="21" spans="1:23" x14ac:dyDescent="0.25">
      <c r="A21" s="25">
        <v>45217</v>
      </c>
      <c r="B21" s="46">
        <v>1819.91</v>
      </c>
      <c r="C21" s="46">
        <v>2900.64</v>
      </c>
      <c r="D21" s="47">
        <v>5610</v>
      </c>
      <c r="E21" s="47">
        <v>5320</v>
      </c>
      <c r="F21" s="13">
        <f t="shared" si="0"/>
        <v>10209695.1</v>
      </c>
      <c r="G21" s="13">
        <f t="shared" si="0"/>
        <v>15431404.799999999</v>
      </c>
      <c r="H21" s="26">
        <v>83</v>
      </c>
      <c r="I21" s="13">
        <v>1789500</v>
      </c>
      <c r="J21" s="12">
        <v>58.5</v>
      </c>
      <c r="K21" s="13">
        <v>535000</v>
      </c>
      <c r="L21" s="13">
        <v>173000</v>
      </c>
      <c r="M21" s="13">
        <v>544500</v>
      </c>
      <c r="N21" s="13">
        <v>126000</v>
      </c>
      <c r="O21" s="13"/>
      <c r="P21" s="12"/>
      <c r="Q21" s="45">
        <f t="shared" si="1"/>
        <v>28809099.899999999</v>
      </c>
      <c r="R21" s="13"/>
      <c r="S21" s="13"/>
      <c r="T21" s="13"/>
      <c r="U21" s="13"/>
      <c r="V21" s="13"/>
      <c r="W21" s="13"/>
    </row>
    <row r="22" spans="1:23" x14ac:dyDescent="0.25">
      <c r="A22" s="25">
        <v>45218</v>
      </c>
      <c r="B22" s="46">
        <v>1816.92</v>
      </c>
      <c r="C22" s="46">
        <v>4104.32</v>
      </c>
      <c r="D22" s="47">
        <v>5610</v>
      </c>
      <c r="E22" s="47">
        <v>5320</v>
      </c>
      <c r="F22" s="13">
        <f t="shared" si="0"/>
        <v>10192921.200000001</v>
      </c>
      <c r="G22" s="13">
        <f t="shared" si="0"/>
        <v>21834982.399999999</v>
      </c>
      <c r="H22" s="26">
        <v>17.5</v>
      </c>
      <c r="I22" s="13">
        <v>373500</v>
      </c>
      <c r="J22" s="12">
        <v>43</v>
      </c>
      <c r="K22" s="13">
        <v>394000</v>
      </c>
      <c r="L22" s="13">
        <v>0</v>
      </c>
      <c r="M22" s="13">
        <v>457000</v>
      </c>
      <c r="N22" s="13">
        <v>0</v>
      </c>
      <c r="O22" s="13"/>
      <c r="P22" s="12"/>
      <c r="Q22" s="45">
        <f t="shared" si="1"/>
        <v>33252403.600000001</v>
      </c>
      <c r="R22" s="13"/>
      <c r="S22" s="13"/>
      <c r="T22" s="13"/>
      <c r="U22" s="13"/>
      <c r="V22" s="13"/>
      <c r="W22" s="13"/>
    </row>
    <row r="23" spans="1:23" x14ac:dyDescent="0.25">
      <c r="A23" s="25">
        <v>45219</v>
      </c>
      <c r="B23" s="46">
        <v>2030.84</v>
      </c>
      <c r="C23" s="46">
        <v>2761.26</v>
      </c>
      <c r="D23" s="47">
        <v>5610</v>
      </c>
      <c r="E23" s="47">
        <v>5320</v>
      </c>
      <c r="F23" s="13">
        <f t="shared" si="0"/>
        <v>11393012.4</v>
      </c>
      <c r="G23" s="13">
        <f t="shared" si="0"/>
        <v>14689903.200000001</v>
      </c>
      <c r="H23" s="26">
        <v>48.25</v>
      </c>
      <c r="I23" s="13">
        <v>959500</v>
      </c>
      <c r="J23" s="12">
        <v>48</v>
      </c>
      <c r="K23" s="13">
        <v>448000</v>
      </c>
      <c r="L23" s="13">
        <v>62000</v>
      </c>
      <c r="M23" s="13">
        <v>726000</v>
      </c>
      <c r="N23" s="13">
        <v>218000</v>
      </c>
      <c r="O23" s="13"/>
      <c r="P23" s="12"/>
      <c r="Q23" s="45">
        <f t="shared" si="1"/>
        <v>28496415.600000001</v>
      </c>
      <c r="R23" s="13"/>
      <c r="S23" s="13"/>
      <c r="T23" s="13"/>
      <c r="U23" s="13"/>
      <c r="V23" s="13"/>
      <c r="W23" s="13"/>
    </row>
    <row r="24" spans="1:23" x14ac:dyDescent="0.25">
      <c r="A24" s="25">
        <v>45220</v>
      </c>
      <c r="B24" s="46">
        <v>1814.18</v>
      </c>
      <c r="C24" s="46">
        <v>1900.26</v>
      </c>
      <c r="D24" s="47">
        <v>5610</v>
      </c>
      <c r="E24" s="47">
        <v>5320</v>
      </c>
      <c r="F24" s="13">
        <f t="shared" si="0"/>
        <v>10177549.800000001</v>
      </c>
      <c r="G24" s="13">
        <f t="shared" si="0"/>
        <v>10109383.199999999</v>
      </c>
      <c r="H24" s="26">
        <v>78.150000000000006</v>
      </c>
      <c r="I24" s="13">
        <v>1467000</v>
      </c>
      <c r="J24" s="12">
        <v>40</v>
      </c>
      <c r="K24" s="13">
        <v>366000</v>
      </c>
      <c r="L24" s="13">
        <v>47000</v>
      </c>
      <c r="M24" s="13">
        <v>581000</v>
      </c>
      <c r="N24" s="13"/>
      <c r="O24" s="13"/>
      <c r="P24" s="12"/>
      <c r="Q24" s="45">
        <f t="shared" si="1"/>
        <v>22747933</v>
      </c>
      <c r="R24" s="13"/>
      <c r="S24" s="13"/>
      <c r="T24" s="13"/>
      <c r="U24" s="13"/>
      <c r="V24" s="13"/>
      <c r="W24" s="13"/>
    </row>
    <row r="25" spans="1:23" x14ac:dyDescent="0.25">
      <c r="A25" s="25">
        <v>45221</v>
      </c>
      <c r="B25" s="46">
        <v>1581.47</v>
      </c>
      <c r="C25" s="46">
        <v>3126.83</v>
      </c>
      <c r="D25" s="47">
        <v>5610</v>
      </c>
      <c r="E25" s="47">
        <v>5320</v>
      </c>
      <c r="F25" s="13">
        <f t="shared" si="0"/>
        <v>8872046.6999999993</v>
      </c>
      <c r="G25" s="13">
        <f t="shared" si="0"/>
        <v>16634735.6</v>
      </c>
      <c r="H25" s="26">
        <v>104</v>
      </c>
      <c r="I25" s="13">
        <v>2298000</v>
      </c>
      <c r="J25" s="12">
        <v>60.5</v>
      </c>
      <c r="K25" s="13">
        <v>647000</v>
      </c>
      <c r="L25" s="13">
        <v>168000</v>
      </c>
      <c r="M25" s="13">
        <v>745500</v>
      </c>
      <c r="N25" s="13">
        <v>160000</v>
      </c>
      <c r="O25" s="13"/>
      <c r="P25" s="12"/>
      <c r="Q25" s="45">
        <f t="shared" si="1"/>
        <v>29525282.299999997</v>
      </c>
      <c r="R25" s="13"/>
      <c r="S25" s="13"/>
      <c r="T25" s="13"/>
      <c r="U25" s="13"/>
      <c r="V25" s="13"/>
      <c r="W25" s="13"/>
    </row>
    <row r="26" spans="1:23" x14ac:dyDescent="0.25">
      <c r="A26" s="25">
        <v>45222</v>
      </c>
      <c r="B26" s="46">
        <v>1580.77</v>
      </c>
      <c r="C26" s="46">
        <v>4092.73</v>
      </c>
      <c r="D26" s="47">
        <v>5610</v>
      </c>
      <c r="E26" s="47">
        <v>5320</v>
      </c>
      <c r="F26" s="13">
        <f t="shared" si="0"/>
        <v>8868119.6999999993</v>
      </c>
      <c r="G26" s="13">
        <f t="shared" si="0"/>
        <v>21773323.600000001</v>
      </c>
      <c r="H26" s="26">
        <v>89.5</v>
      </c>
      <c r="I26" s="13">
        <v>1760500</v>
      </c>
      <c r="J26" s="12">
        <v>36</v>
      </c>
      <c r="K26" s="13">
        <v>336000</v>
      </c>
      <c r="L26" s="13">
        <v>106000</v>
      </c>
      <c r="M26" s="13">
        <v>573000</v>
      </c>
      <c r="N26" s="13">
        <v>109000</v>
      </c>
      <c r="O26" s="13"/>
      <c r="P26" s="12"/>
      <c r="Q26" s="45">
        <f t="shared" ref="Q26" si="2">SUM(F26:G26)+I26+K26+SUM(L26:P26)</f>
        <v>33525943.300000001</v>
      </c>
      <c r="R26" s="13"/>
      <c r="S26" s="13"/>
      <c r="T26" s="13"/>
      <c r="U26" s="13"/>
      <c r="V26" s="13"/>
      <c r="W26" s="13"/>
    </row>
    <row r="27" spans="1:23" x14ac:dyDescent="0.25">
      <c r="A27" s="25">
        <v>45223</v>
      </c>
      <c r="B27" s="46">
        <v>182.4</v>
      </c>
      <c r="C27" s="46">
        <v>2927</v>
      </c>
      <c r="D27" s="47">
        <v>5610</v>
      </c>
      <c r="E27" s="47">
        <v>5320</v>
      </c>
      <c r="F27" s="13">
        <v>0</v>
      </c>
      <c r="G27" s="13">
        <f t="shared" si="0"/>
        <v>15571640</v>
      </c>
      <c r="H27" s="26">
        <v>62.75</v>
      </c>
      <c r="I27" s="13">
        <v>1368500</v>
      </c>
      <c r="J27" s="12">
        <v>67.5</v>
      </c>
      <c r="K27" s="13">
        <v>619000</v>
      </c>
      <c r="L27" s="13">
        <v>166000</v>
      </c>
      <c r="M27" s="13">
        <v>441000</v>
      </c>
      <c r="N27" s="13">
        <v>0</v>
      </c>
      <c r="O27" s="13"/>
      <c r="P27" s="12"/>
      <c r="Q27" s="45">
        <f t="shared" si="1"/>
        <v>18166140</v>
      </c>
      <c r="R27" s="13"/>
      <c r="S27" s="13"/>
      <c r="T27" s="13"/>
      <c r="U27" s="13"/>
      <c r="V27" s="13"/>
      <c r="W27" s="13"/>
    </row>
    <row r="28" spans="1:23" x14ac:dyDescent="0.25">
      <c r="A28" s="25">
        <v>45224</v>
      </c>
      <c r="B28" s="46">
        <v>0</v>
      </c>
      <c r="C28" s="46">
        <v>2005.38</v>
      </c>
      <c r="D28" s="47">
        <v>5610</v>
      </c>
      <c r="E28" s="47">
        <v>5320</v>
      </c>
      <c r="F28" s="13">
        <f t="shared" si="0"/>
        <v>0</v>
      </c>
      <c r="G28" s="13">
        <f t="shared" si="0"/>
        <v>10668621.600000001</v>
      </c>
      <c r="H28" s="26">
        <v>63</v>
      </c>
      <c r="I28" s="13">
        <v>1546500</v>
      </c>
      <c r="J28" s="12">
        <v>36.5</v>
      </c>
      <c r="K28" s="13">
        <v>365000</v>
      </c>
      <c r="L28" s="13">
        <v>31000</v>
      </c>
      <c r="M28" s="13">
        <v>429000</v>
      </c>
      <c r="N28" s="13">
        <v>0</v>
      </c>
      <c r="O28" s="13"/>
      <c r="P28" s="12"/>
      <c r="Q28" s="45">
        <f t="shared" si="1"/>
        <v>13040121.600000001</v>
      </c>
      <c r="R28" s="13"/>
      <c r="S28" s="13"/>
      <c r="T28" s="13"/>
      <c r="U28" s="13"/>
      <c r="V28" s="13"/>
      <c r="W28" s="13"/>
    </row>
    <row r="29" spans="1:23" x14ac:dyDescent="0.25">
      <c r="A29" s="25">
        <v>45225</v>
      </c>
      <c r="B29" s="46">
        <v>645.22</v>
      </c>
      <c r="C29" s="46">
        <v>5595.54</v>
      </c>
      <c r="D29" s="47">
        <v>5610</v>
      </c>
      <c r="E29" s="47">
        <v>5320</v>
      </c>
      <c r="F29" s="13">
        <f t="shared" si="0"/>
        <v>3619684.2</v>
      </c>
      <c r="G29" s="13">
        <f t="shared" si="0"/>
        <v>29768272.800000001</v>
      </c>
      <c r="H29" s="26">
        <v>59.5</v>
      </c>
      <c r="I29" s="13">
        <v>1345000</v>
      </c>
      <c r="J29" s="12">
        <v>74</v>
      </c>
      <c r="K29" s="13">
        <v>676000</v>
      </c>
      <c r="L29" s="13">
        <v>8000</v>
      </c>
      <c r="M29" s="13">
        <v>509500</v>
      </c>
      <c r="N29" s="13">
        <v>0</v>
      </c>
      <c r="O29" s="13"/>
      <c r="P29" s="12"/>
      <c r="Q29" s="45">
        <f t="shared" si="1"/>
        <v>35926457</v>
      </c>
      <c r="R29" s="13"/>
      <c r="S29" s="13"/>
      <c r="T29" s="13"/>
      <c r="U29" s="13"/>
      <c r="V29" s="13"/>
      <c r="W29" s="13"/>
    </row>
    <row r="30" spans="1:23" x14ac:dyDescent="0.25">
      <c r="A30" s="25">
        <v>45226</v>
      </c>
      <c r="B30" s="46">
        <v>2141.4699999999998</v>
      </c>
      <c r="C30" s="46">
        <v>2134.3200000000002</v>
      </c>
      <c r="D30" s="47">
        <v>5610</v>
      </c>
      <c r="E30" s="47">
        <v>5320</v>
      </c>
      <c r="F30" s="13">
        <f t="shared" si="0"/>
        <v>12013646.699999999</v>
      </c>
      <c r="G30" s="13">
        <f t="shared" si="0"/>
        <v>11354582.4</v>
      </c>
      <c r="H30" s="26">
        <v>56</v>
      </c>
      <c r="I30" s="13">
        <v>1140500</v>
      </c>
      <c r="J30" s="12">
        <v>42.5</v>
      </c>
      <c r="K30" s="13">
        <v>196000</v>
      </c>
      <c r="L30" s="13">
        <v>71000</v>
      </c>
      <c r="M30" s="13">
        <v>726600</v>
      </c>
      <c r="N30" s="13">
        <v>109000</v>
      </c>
      <c r="O30" s="13"/>
      <c r="P30" s="12"/>
      <c r="Q30" s="45">
        <f t="shared" si="1"/>
        <v>25611329.100000001</v>
      </c>
      <c r="R30" s="13"/>
      <c r="S30" s="13"/>
      <c r="T30" s="13"/>
      <c r="U30" s="13"/>
      <c r="V30" s="13"/>
      <c r="W30" s="13"/>
    </row>
    <row r="31" spans="1:23" x14ac:dyDescent="0.25">
      <c r="A31" s="25">
        <v>45227</v>
      </c>
      <c r="B31" s="46">
        <v>2159</v>
      </c>
      <c r="C31" s="46">
        <v>3696.85</v>
      </c>
      <c r="D31" s="47">
        <v>5610</v>
      </c>
      <c r="E31" s="47">
        <v>5320</v>
      </c>
      <c r="F31" s="13">
        <f t="shared" si="0"/>
        <v>12111990</v>
      </c>
      <c r="G31" s="13">
        <f t="shared" si="0"/>
        <v>19667242</v>
      </c>
      <c r="H31" s="26">
        <v>43.25</v>
      </c>
      <c r="I31" s="13">
        <v>851000</v>
      </c>
      <c r="J31" s="12">
        <v>63.5</v>
      </c>
      <c r="K31" s="13">
        <v>589000</v>
      </c>
      <c r="L31" s="13">
        <v>8000</v>
      </c>
      <c r="M31" s="13">
        <v>1000400</v>
      </c>
      <c r="N31" s="13">
        <v>109000</v>
      </c>
      <c r="O31" s="13"/>
      <c r="P31" s="12"/>
      <c r="Q31" s="45">
        <f t="shared" si="1"/>
        <v>34336632</v>
      </c>
      <c r="R31" s="13"/>
      <c r="S31" s="13"/>
      <c r="T31" s="13"/>
      <c r="U31" s="13"/>
      <c r="V31" s="13"/>
      <c r="W31" s="13"/>
    </row>
    <row r="32" spans="1:23" ht="15.75" customHeight="1" x14ac:dyDescent="0.25">
      <c r="A32" s="25">
        <v>45228</v>
      </c>
      <c r="B32" s="46">
        <v>1534.72</v>
      </c>
      <c r="C32" s="46">
        <v>2123.8200000000002</v>
      </c>
      <c r="D32" s="47">
        <v>5610</v>
      </c>
      <c r="E32" s="47">
        <v>5320</v>
      </c>
      <c r="F32" s="13">
        <v>0</v>
      </c>
      <c r="G32" s="13">
        <f t="shared" si="0"/>
        <v>11298722.4</v>
      </c>
      <c r="H32" s="26">
        <v>54.25</v>
      </c>
      <c r="I32" s="13">
        <v>1273500</v>
      </c>
      <c r="J32" s="12">
        <v>39</v>
      </c>
      <c r="K32" s="13">
        <v>364000</v>
      </c>
      <c r="L32" s="13">
        <v>163000</v>
      </c>
      <c r="M32" s="13">
        <v>1228500</v>
      </c>
      <c r="N32" s="13">
        <v>218000</v>
      </c>
      <c r="O32" s="13"/>
      <c r="P32" s="12"/>
      <c r="Q32" s="45">
        <f t="shared" si="1"/>
        <v>14545722.4</v>
      </c>
      <c r="R32" s="13"/>
      <c r="S32" s="13"/>
      <c r="T32" s="13"/>
      <c r="U32" s="13"/>
      <c r="V32" s="13"/>
      <c r="W32" s="13"/>
    </row>
    <row r="33" spans="1:23" x14ac:dyDescent="0.25">
      <c r="A33" s="25">
        <v>45229</v>
      </c>
      <c r="B33" s="46">
        <v>1782.34</v>
      </c>
      <c r="C33" s="46">
        <v>4593.4399999999996</v>
      </c>
      <c r="D33" s="47">
        <v>5740</v>
      </c>
      <c r="E33" s="47">
        <v>5320</v>
      </c>
      <c r="F33" s="13">
        <f t="shared" si="0"/>
        <v>10230631.6</v>
      </c>
      <c r="G33" s="13">
        <f t="shared" si="0"/>
        <v>24437100.799999997</v>
      </c>
      <c r="H33" s="26">
        <v>64.25</v>
      </c>
      <c r="I33" s="13">
        <v>1234000</v>
      </c>
      <c r="J33" s="12">
        <v>36</v>
      </c>
      <c r="K33" s="13">
        <v>336000</v>
      </c>
      <c r="L33" s="13">
        <v>106000</v>
      </c>
      <c r="M33" s="13">
        <v>662000</v>
      </c>
      <c r="N33" s="13">
        <v>109000</v>
      </c>
      <c r="O33" s="13"/>
      <c r="P33" s="12"/>
      <c r="Q33" s="45">
        <f t="shared" si="1"/>
        <v>37114732.399999999</v>
      </c>
      <c r="R33" s="13"/>
      <c r="S33" s="13"/>
      <c r="T33" s="13"/>
      <c r="U33" s="13"/>
      <c r="V33" s="13"/>
      <c r="W33" s="13"/>
    </row>
    <row r="34" spans="1:23" x14ac:dyDescent="0.25">
      <c r="A34" s="25">
        <v>45230</v>
      </c>
      <c r="B34" s="46">
        <v>1691.34</v>
      </c>
      <c r="C34" s="46">
        <v>3654.47</v>
      </c>
      <c r="D34" s="47">
        <v>5740</v>
      </c>
      <c r="E34" s="47">
        <v>5320</v>
      </c>
      <c r="F34" s="13">
        <f t="shared" si="0"/>
        <v>9708291.5999999996</v>
      </c>
      <c r="G34" s="13">
        <f t="shared" si="0"/>
        <v>19441780.399999999</v>
      </c>
      <c r="H34" s="26">
        <v>28</v>
      </c>
      <c r="I34" s="13">
        <v>520000</v>
      </c>
      <c r="J34" s="12">
        <v>48.5</v>
      </c>
      <c r="K34" s="13">
        <v>449000</v>
      </c>
      <c r="L34" s="13">
        <v>16000</v>
      </c>
      <c r="M34" s="13">
        <v>493500</v>
      </c>
      <c r="N34" s="13">
        <v>575000</v>
      </c>
      <c r="O34" s="13"/>
      <c r="P34" s="12"/>
      <c r="Q34" s="45">
        <f t="shared" si="1"/>
        <v>31203572</v>
      </c>
      <c r="R34" s="13"/>
      <c r="S34" s="13"/>
      <c r="T34" s="13"/>
      <c r="U34" s="13"/>
      <c r="V34" s="13"/>
      <c r="W34" s="13"/>
    </row>
    <row r="35" spans="1:23" x14ac:dyDescent="0.25">
      <c r="A35" s="15"/>
      <c r="B35" s="37"/>
      <c r="C35" s="37"/>
      <c r="D35" s="38"/>
      <c r="E35" s="38"/>
      <c r="F35" s="39"/>
      <c r="G35" s="39"/>
      <c r="H35" s="39"/>
      <c r="I35" s="13"/>
      <c r="J35" s="15"/>
      <c r="K35" s="38"/>
      <c r="L35" s="38"/>
      <c r="M35" s="13"/>
      <c r="N35" s="38"/>
      <c r="O35" s="38"/>
      <c r="P35" s="15"/>
      <c r="Q35" s="40"/>
      <c r="R35" s="38"/>
      <c r="S35" s="38"/>
      <c r="T35" s="38"/>
      <c r="U35" s="38"/>
      <c r="V35" s="38"/>
      <c r="W35" s="38"/>
    </row>
    <row r="36" spans="1:23" x14ac:dyDescent="0.25">
      <c r="A36" s="15"/>
      <c r="B36" s="37">
        <f>SUM(B4:B35)</f>
        <v>50208.62799999999</v>
      </c>
      <c r="C36" s="37">
        <f>SUM(C4:C35)</f>
        <v>110440.63400000001</v>
      </c>
      <c r="D36" s="38">
        <f>SUM(D4:D35)</f>
        <v>174170</v>
      </c>
      <c r="E36" s="38"/>
      <c r="F36" s="39">
        <f>SUM(F4:F35)</f>
        <v>272488938.27999997</v>
      </c>
      <c r="G36" s="39">
        <f>SUM(G4:G35)</f>
        <v>581627260.13</v>
      </c>
      <c r="H36" s="39">
        <f t="shared" ref="H36:J36" si="3">SUM(H4:H35)</f>
        <v>1919.15</v>
      </c>
      <c r="I36" s="39">
        <f t="shared" si="3"/>
        <v>40474000</v>
      </c>
      <c r="J36" s="39">
        <f t="shared" si="3"/>
        <v>1432.5</v>
      </c>
      <c r="K36" s="39">
        <f>SUM(K4:K35)</f>
        <v>13036500</v>
      </c>
      <c r="L36" s="39">
        <f>SUM(L4:L35)</f>
        <v>2398000</v>
      </c>
      <c r="M36" s="38">
        <f>SUM(M4:M35)</f>
        <v>19923000</v>
      </c>
      <c r="N36" s="38">
        <f>SUM(N5:N35)</f>
        <v>3764000</v>
      </c>
      <c r="O36" s="38"/>
      <c r="P36" s="15"/>
      <c r="Q36" s="40"/>
      <c r="R36" s="38"/>
      <c r="S36" s="38"/>
      <c r="T36" s="38"/>
      <c r="U36" s="38"/>
      <c r="V36" s="38"/>
      <c r="W36" s="38"/>
    </row>
    <row r="37" spans="1:23" x14ac:dyDescent="0.25">
      <c r="A37" s="15"/>
      <c r="B37" s="37"/>
      <c r="C37" s="37"/>
      <c r="D37" s="38"/>
      <c r="E37" s="38"/>
      <c r="F37" s="39"/>
      <c r="G37" s="39"/>
      <c r="H37" s="39"/>
      <c r="I37" s="38"/>
      <c r="J37" s="15"/>
      <c r="K37" s="38"/>
      <c r="L37" s="38"/>
      <c r="M37" s="39"/>
      <c r="N37" s="38"/>
      <c r="O37" s="38"/>
      <c r="P37" s="15"/>
      <c r="Q37" s="40"/>
      <c r="R37" s="38"/>
      <c r="S37" s="38"/>
      <c r="T37" s="38"/>
      <c r="U37" s="38"/>
      <c r="V37" s="38"/>
      <c r="W37" s="38"/>
    </row>
    <row r="38" spans="1:23" x14ac:dyDescent="0.25">
      <c r="A38" s="15"/>
      <c r="B38" s="37"/>
      <c r="C38" s="37"/>
      <c r="D38" s="38"/>
      <c r="E38" s="38"/>
      <c r="F38" s="39"/>
      <c r="G38" s="39"/>
      <c r="H38" s="39"/>
      <c r="I38" s="38"/>
      <c r="J38" s="15"/>
      <c r="K38" s="38"/>
      <c r="L38" s="38"/>
      <c r="M38" s="38"/>
      <c r="N38" s="38"/>
      <c r="O38" s="38"/>
      <c r="P38" s="15"/>
      <c r="Q38" s="40"/>
      <c r="R38" s="38"/>
      <c r="S38" s="38"/>
      <c r="T38" s="38"/>
      <c r="U38" s="38"/>
      <c r="V38" s="38"/>
      <c r="W38" s="38"/>
    </row>
    <row r="39" spans="1:23" x14ac:dyDescent="0.25">
      <c r="M39" s="38"/>
    </row>
  </sheetData>
  <mergeCells count="10">
    <mergeCell ref="B1:P1"/>
    <mergeCell ref="R1:W1"/>
    <mergeCell ref="B2:C2"/>
    <mergeCell ref="D2:E2"/>
    <mergeCell ref="F2:G2"/>
    <mergeCell ref="H2:I2"/>
    <mergeCell ref="J2:K2"/>
    <mergeCell ref="N2:P2"/>
    <mergeCell ref="R2:T2"/>
    <mergeCell ref="U2:W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6"/>
  <sheetViews>
    <sheetView topLeftCell="A22" workbookViewId="0">
      <selection activeCell="M27" sqref="M27"/>
    </sheetView>
  </sheetViews>
  <sheetFormatPr defaultRowHeight="15" x14ac:dyDescent="0.25"/>
  <cols>
    <col min="1" max="1" width="12.140625" customWidth="1"/>
    <col min="2" max="2" width="10.85546875" customWidth="1"/>
    <col min="3" max="3" width="11.85546875" customWidth="1"/>
    <col min="5" max="5" width="12.28515625" customWidth="1"/>
    <col min="6" max="6" width="14.5703125" bestFit="1" customWidth="1"/>
    <col min="7" max="7" width="10.5703125" customWidth="1"/>
    <col min="8" max="8" width="10.42578125" customWidth="1"/>
    <col min="9" max="9" width="14.28515625" customWidth="1"/>
    <col min="11" max="11" width="14.28515625" customWidth="1"/>
    <col min="12" max="12" width="12" customWidth="1"/>
    <col min="13" max="13" width="12.5703125" customWidth="1"/>
    <col min="14" max="14" width="12.42578125" customWidth="1"/>
  </cols>
  <sheetData>
    <row r="1" spans="1:16" ht="18.75" x14ac:dyDescent="0.3">
      <c r="A1" s="6"/>
      <c r="B1" s="81" t="s">
        <v>45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1:16" x14ac:dyDescent="0.25">
      <c r="A2" s="12" t="s">
        <v>0</v>
      </c>
      <c r="B2" s="82" t="s">
        <v>5</v>
      </c>
      <c r="C2" s="82"/>
      <c r="D2" s="83" t="s">
        <v>12</v>
      </c>
      <c r="E2" s="83"/>
      <c r="F2" s="83" t="s">
        <v>6</v>
      </c>
      <c r="G2" s="83"/>
      <c r="H2" s="84" t="s">
        <v>7</v>
      </c>
      <c r="I2" s="84"/>
      <c r="J2" s="84" t="s">
        <v>8</v>
      </c>
      <c r="K2" s="84"/>
      <c r="L2" s="13"/>
      <c r="M2" s="13"/>
      <c r="N2" s="84" t="s">
        <v>15</v>
      </c>
      <c r="O2" s="84"/>
      <c r="P2" s="84"/>
    </row>
    <row r="3" spans="1:16" x14ac:dyDescent="0.25">
      <c r="A3" s="16"/>
      <c r="B3" s="17" t="s">
        <v>1</v>
      </c>
      <c r="C3" s="17" t="s">
        <v>2</v>
      </c>
      <c r="D3" s="18" t="s">
        <v>1</v>
      </c>
      <c r="E3" s="18" t="s">
        <v>2</v>
      </c>
      <c r="F3" s="19" t="s">
        <v>1</v>
      </c>
      <c r="G3" s="19" t="s">
        <v>2</v>
      </c>
      <c r="H3" s="19" t="s">
        <v>9</v>
      </c>
      <c r="I3" s="18" t="s">
        <v>10</v>
      </c>
      <c r="J3" s="16" t="s">
        <v>11</v>
      </c>
      <c r="K3" s="18" t="s">
        <v>10</v>
      </c>
      <c r="L3" s="18" t="s">
        <v>4</v>
      </c>
      <c r="M3" s="18" t="s">
        <v>67</v>
      </c>
      <c r="N3" s="18" t="s">
        <v>52</v>
      </c>
      <c r="O3" s="18" t="s">
        <v>40</v>
      </c>
      <c r="P3" s="16" t="s">
        <v>28</v>
      </c>
    </row>
    <row r="4" spans="1:16" x14ac:dyDescent="0.25">
      <c r="A4" s="25">
        <v>45231</v>
      </c>
      <c r="B4" s="46">
        <v>621.15</v>
      </c>
      <c r="C4" s="46">
        <v>5155</v>
      </c>
      <c r="D4" s="47">
        <v>5740</v>
      </c>
      <c r="E4" s="47">
        <v>5320</v>
      </c>
      <c r="F4" s="13"/>
      <c r="G4" s="13"/>
      <c r="H4" s="26">
        <v>57.25</v>
      </c>
      <c r="I4" s="13">
        <v>1027000</v>
      </c>
      <c r="J4" s="27">
        <v>37</v>
      </c>
      <c r="K4" s="13">
        <v>338000</v>
      </c>
      <c r="L4" s="13">
        <v>8000</v>
      </c>
      <c r="M4" s="13">
        <v>559500</v>
      </c>
      <c r="N4" s="13">
        <v>17000</v>
      </c>
      <c r="O4" s="13"/>
      <c r="P4" s="13"/>
    </row>
    <row r="5" spans="1:16" x14ac:dyDescent="0.25">
      <c r="A5" s="25">
        <v>45232</v>
      </c>
      <c r="B5" s="46">
        <v>755.16</v>
      </c>
      <c r="C5" s="46">
        <v>1386.75</v>
      </c>
      <c r="D5" s="47">
        <v>5740</v>
      </c>
      <c r="E5" s="47">
        <v>5320</v>
      </c>
      <c r="F5" s="13"/>
      <c r="G5" s="13"/>
      <c r="H5" s="31">
        <v>68.5</v>
      </c>
      <c r="I5" s="13">
        <v>1570500</v>
      </c>
      <c r="J5" s="27">
        <v>18</v>
      </c>
      <c r="K5" s="13">
        <v>168000</v>
      </c>
      <c r="L5" s="13">
        <v>8000</v>
      </c>
      <c r="M5" s="13">
        <v>468000</v>
      </c>
      <c r="N5" s="13">
        <v>0</v>
      </c>
      <c r="O5" s="13"/>
      <c r="P5" s="13"/>
    </row>
    <row r="6" spans="1:16" x14ac:dyDescent="0.25">
      <c r="A6" s="25">
        <v>45233</v>
      </c>
      <c r="B6" s="46">
        <v>829.99</v>
      </c>
      <c r="C6" s="46">
        <v>2393.39</v>
      </c>
      <c r="D6" s="47">
        <v>5740</v>
      </c>
      <c r="E6" s="47">
        <v>530</v>
      </c>
      <c r="F6" s="13"/>
      <c r="G6" s="13"/>
      <c r="H6" s="26">
        <v>54.25</v>
      </c>
      <c r="I6" s="13">
        <v>1084500</v>
      </c>
      <c r="J6" s="27">
        <v>64.5</v>
      </c>
      <c r="K6" s="13">
        <v>591000</v>
      </c>
      <c r="L6" s="13">
        <v>35000</v>
      </c>
      <c r="M6" s="13">
        <v>691000</v>
      </c>
      <c r="N6" s="13">
        <v>109000</v>
      </c>
      <c r="O6" s="13"/>
      <c r="P6" s="13"/>
    </row>
    <row r="7" spans="1:16" x14ac:dyDescent="0.25">
      <c r="A7" s="25">
        <v>45234</v>
      </c>
      <c r="B7" s="46">
        <v>1818.25</v>
      </c>
      <c r="C7" s="46">
        <v>1783.6</v>
      </c>
      <c r="D7" s="47">
        <v>5780</v>
      </c>
      <c r="E7" s="47">
        <v>5320</v>
      </c>
      <c r="F7" s="13"/>
      <c r="G7" s="13"/>
      <c r="H7" s="26">
        <v>47</v>
      </c>
      <c r="I7" s="13">
        <v>934500</v>
      </c>
      <c r="J7" s="27">
        <v>30.5</v>
      </c>
      <c r="K7" s="13">
        <v>281000</v>
      </c>
      <c r="L7" s="13">
        <v>60000</v>
      </c>
      <c r="M7" s="13">
        <v>748000</v>
      </c>
      <c r="N7" s="13">
        <v>126000</v>
      </c>
      <c r="O7" s="13"/>
      <c r="P7" s="13"/>
    </row>
    <row r="8" spans="1:16" x14ac:dyDescent="0.25">
      <c r="A8" s="25">
        <v>45235</v>
      </c>
      <c r="B8" s="46">
        <v>1280</v>
      </c>
      <c r="C8" s="46">
        <v>4909.99</v>
      </c>
      <c r="D8" s="47">
        <v>5780</v>
      </c>
      <c r="E8" s="47">
        <v>5320</v>
      </c>
      <c r="F8" s="13"/>
      <c r="G8" s="13"/>
      <c r="H8" s="26">
        <v>24.25</v>
      </c>
      <c r="I8" s="13">
        <v>478000</v>
      </c>
      <c r="J8" s="27">
        <v>99</v>
      </c>
      <c r="K8" s="13">
        <v>902000</v>
      </c>
      <c r="L8" s="13">
        <v>0</v>
      </c>
      <c r="M8" s="13">
        <v>982500</v>
      </c>
      <c r="N8" s="13">
        <v>143000</v>
      </c>
      <c r="O8" s="13"/>
      <c r="P8" s="13"/>
    </row>
    <row r="9" spans="1:16" x14ac:dyDescent="0.25">
      <c r="A9" s="25">
        <v>45236</v>
      </c>
      <c r="B9" s="46">
        <v>1398.65</v>
      </c>
      <c r="C9" s="46">
        <v>1862.31</v>
      </c>
      <c r="D9" s="47">
        <v>5780</v>
      </c>
      <c r="E9" s="47">
        <v>5320</v>
      </c>
      <c r="F9" s="13"/>
      <c r="G9" s="13"/>
      <c r="H9" s="26">
        <v>61.5</v>
      </c>
      <c r="I9" s="13">
        <v>1369500</v>
      </c>
      <c r="J9" s="27">
        <v>55</v>
      </c>
      <c r="K9" s="13">
        <v>787000</v>
      </c>
      <c r="L9" s="13">
        <v>30000</v>
      </c>
      <c r="M9" s="13">
        <v>466000</v>
      </c>
      <c r="N9" s="13">
        <v>670500</v>
      </c>
      <c r="O9" s="13"/>
      <c r="P9" s="31"/>
    </row>
    <row r="10" spans="1:16" x14ac:dyDescent="0.25">
      <c r="A10" s="25">
        <v>45237</v>
      </c>
      <c r="B10" s="46">
        <v>1392.86</v>
      </c>
      <c r="C10" s="46">
        <v>3765.39</v>
      </c>
      <c r="D10" s="47">
        <v>5780</v>
      </c>
      <c r="E10" s="47">
        <v>5320</v>
      </c>
      <c r="F10" s="13"/>
      <c r="G10" s="13"/>
      <c r="H10" s="26">
        <v>45.75</v>
      </c>
      <c r="I10" s="13">
        <v>924500</v>
      </c>
      <c r="J10" s="27">
        <v>45</v>
      </c>
      <c r="K10" s="13">
        <v>420000</v>
      </c>
      <c r="L10" s="13">
        <v>23000</v>
      </c>
      <c r="M10" s="13">
        <v>381000</v>
      </c>
      <c r="N10" s="13">
        <v>218000</v>
      </c>
      <c r="O10" s="13"/>
      <c r="P10" s="13"/>
    </row>
    <row r="11" spans="1:16" x14ac:dyDescent="0.25">
      <c r="A11" s="25">
        <v>45238</v>
      </c>
      <c r="B11" s="46">
        <v>1447.08</v>
      </c>
      <c r="C11" s="46">
        <v>2512.84</v>
      </c>
      <c r="D11" s="47">
        <v>5780</v>
      </c>
      <c r="E11" s="47">
        <v>5320</v>
      </c>
      <c r="F11" s="13"/>
      <c r="G11" s="13"/>
      <c r="H11" s="26">
        <v>40.75</v>
      </c>
      <c r="I11" s="13">
        <v>838500</v>
      </c>
      <c r="J11" s="27">
        <v>24.5</v>
      </c>
      <c r="K11" s="13">
        <v>225000</v>
      </c>
      <c r="L11" s="13">
        <v>45000</v>
      </c>
      <c r="M11" s="13">
        <v>555300</v>
      </c>
      <c r="N11" s="13">
        <v>109000</v>
      </c>
      <c r="O11" s="13"/>
      <c r="P11" s="13"/>
    </row>
    <row r="12" spans="1:16" x14ac:dyDescent="0.25">
      <c r="A12" s="25">
        <v>45239</v>
      </c>
      <c r="B12" s="46">
        <v>1474</v>
      </c>
      <c r="C12" s="46">
        <v>4112.3500000000004</v>
      </c>
      <c r="D12" s="47">
        <v>5780</v>
      </c>
      <c r="E12" s="47">
        <v>5320</v>
      </c>
      <c r="F12" s="13"/>
      <c r="G12" s="13"/>
      <c r="H12" s="26">
        <v>32.25</v>
      </c>
      <c r="I12" s="13">
        <v>741500</v>
      </c>
      <c r="J12" s="27">
        <v>49</v>
      </c>
      <c r="K12" s="13">
        <v>450000</v>
      </c>
      <c r="L12" s="13">
        <v>30000</v>
      </c>
      <c r="M12" s="13">
        <v>603000</v>
      </c>
      <c r="N12" s="13">
        <v>22000</v>
      </c>
      <c r="O12" s="13"/>
      <c r="P12" s="13"/>
    </row>
    <row r="13" spans="1:16" x14ac:dyDescent="0.25">
      <c r="A13" s="25">
        <v>45240</v>
      </c>
      <c r="B13" s="46">
        <v>2407.5700000000002</v>
      </c>
      <c r="C13" s="46">
        <v>5585.4</v>
      </c>
      <c r="D13" s="47">
        <v>5780</v>
      </c>
      <c r="E13" s="47">
        <v>5320</v>
      </c>
      <c r="F13" s="13"/>
      <c r="G13" s="13"/>
      <c r="H13" s="26">
        <v>26.75</v>
      </c>
      <c r="I13" s="13">
        <v>522500</v>
      </c>
      <c r="J13" s="27">
        <v>124.5</v>
      </c>
      <c r="K13" s="13">
        <v>1049000</v>
      </c>
      <c r="L13" s="13">
        <v>55000</v>
      </c>
      <c r="M13" s="13">
        <v>575300</v>
      </c>
      <c r="N13" s="13">
        <v>218000</v>
      </c>
      <c r="O13" s="13"/>
      <c r="P13" s="13"/>
    </row>
    <row r="14" spans="1:16" x14ac:dyDescent="0.25">
      <c r="A14" s="25">
        <v>45241</v>
      </c>
      <c r="B14" s="46">
        <v>1653.98</v>
      </c>
      <c r="C14" s="46">
        <v>2799.23</v>
      </c>
      <c r="D14" s="47">
        <v>5780</v>
      </c>
      <c r="E14" s="47">
        <v>5320</v>
      </c>
      <c r="F14" s="13"/>
      <c r="G14" s="13"/>
      <c r="H14" s="26">
        <v>101.5</v>
      </c>
      <c r="I14" s="13">
        <v>2230000</v>
      </c>
      <c r="J14" s="27">
        <v>33</v>
      </c>
      <c r="K14" s="13">
        <v>308000</v>
      </c>
      <c r="L14" s="13">
        <v>0</v>
      </c>
      <c r="M14" s="13">
        <v>545000</v>
      </c>
      <c r="N14" s="13">
        <v>276000</v>
      </c>
      <c r="O14" s="13"/>
      <c r="P14" s="13"/>
    </row>
    <row r="15" spans="1:16" x14ac:dyDescent="0.25">
      <c r="A15" s="25">
        <v>45242</v>
      </c>
      <c r="B15" s="46">
        <v>1512.66</v>
      </c>
      <c r="C15" s="46">
        <v>1790.82</v>
      </c>
      <c r="D15" s="47">
        <v>5780</v>
      </c>
      <c r="E15" s="47">
        <v>5320</v>
      </c>
      <c r="F15" s="13"/>
      <c r="G15" s="13"/>
      <c r="H15" s="26">
        <v>23</v>
      </c>
      <c r="I15" s="51">
        <v>463500</v>
      </c>
      <c r="J15" s="27">
        <v>24.5</v>
      </c>
      <c r="K15" s="13">
        <v>225000</v>
      </c>
      <c r="L15" s="13">
        <v>15000</v>
      </c>
      <c r="M15" s="13">
        <v>667000</v>
      </c>
      <c r="N15" s="13"/>
      <c r="O15" s="13"/>
      <c r="P15" s="13"/>
    </row>
    <row r="16" spans="1:16" x14ac:dyDescent="0.25">
      <c r="A16" s="25">
        <v>45243</v>
      </c>
      <c r="B16" s="46">
        <v>1956.31</v>
      </c>
      <c r="C16" s="46">
        <v>7011.62</v>
      </c>
      <c r="D16" s="47">
        <v>5740</v>
      </c>
      <c r="E16" s="47">
        <v>5299</v>
      </c>
      <c r="F16" s="13"/>
      <c r="G16" s="13"/>
      <c r="H16" s="26">
        <v>17</v>
      </c>
      <c r="I16" s="13">
        <v>348500</v>
      </c>
      <c r="J16" s="27">
        <v>42.5</v>
      </c>
      <c r="K16" s="13">
        <v>393000</v>
      </c>
      <c r="L16" s="13"/>
      <c r="M16" s="13">
        <v>357000</v>
      </c>
      <c r="N16" s="13"/>
      <c r="O16" s="13"/>
      <c r="P16" s="13"/>
    </row>
    <row r="17" spans="1:16" x14ac:dyDescent="0.25">
      <c r="A17" s="25">
        <v>45244</v>
      </c>
      <c r="B17" s="46">
        <v>1311.45</v>
      </c>
      <c r="C17" s="46">
        <v>1726.37</v>
      </c>
      <c r="D17" s="47">
        <v>5740</v>
      </c>
      <c r="E17" s="47">
        <v>5299</v>
      </c>
      <c r="F17" s="13"/>
      <c r="G17" s="13"/>
      <c r="H17" s="26">
        <v>11.25</v>
      </c>
      <c r="I17" s="13">
        <v>219000</v>
      </c>
      <c r="J17" s="27">
        <v>45.5</v>
      </c>
      <c r="K17" s="13">
        <v>589000</v>
      </c>
      <c r="L17" s="13"/>
      <c r="M17" s="13">
        <v>383800</v>
      </c>
      <c r="N17" s="13"/>
      <c r="O17" s="13"/>
      <c r="P17" s="13"/>
    </row>
    <row r="18" spans="1:16" x14ac:dyDescent="0.25">
      <c r="A18" s="25">
        <v>45245</v>
      </c>
      <c r="B18" s="46">
        <v>1696.77</v>
      </c>
      <c r="C18" s="46">
        <v>2175.7399999999998</v>
      </c>
      <c r="D18" s="47">
        <v>5740</v>
      </c>
      <c r="E18" s="47">
        <v>5299</v>
      </c>
      <c r="F18" s="13"/>
      <c r="G18" s="13"/>
      <c r="H18" s="13">
        <v>12.5</v>
      </c>
      <c r="I18" s="13">
        <v>254500</v>
      </c>
      <c r="J18" s="27">
        <v>43</v>
      </c>
      <c r="K18" s="13">
        <v>394000</v>
      </c>
      <c r="L18" s="13"/>
      <c r="M18" s="13">
        <v>484000</v>
      </c>
      <c r="N18" s="13"/>
      <c r="O18" s="13"/>
      <c r="P18" s="13"/>
    </row>
    <row r="19" spans="1:16" x14ac:dyDescent="0.25">
      <c r="A19" s="25">
        <v>45246</v>
      </c>
      <c r="B19" s="46">
        <v>2137.9499999999998</v>
      </c>
      <c r="C19" s="46">
        <v>4032.9</v>
      </c>
      <c r="D19" s="47">
        <v>5740</v>
      </c>
      <c r="E19" s="47">
        <v>5299</v>
      </c>
      <c r="F19" s="13"/>
      <c r="G19" s="13"/>
      <c r="H19" s="26">
        <v>19.75</v>
      </c>
      <c r="I19" s="13">
        <v>443500</v>
      </c>
      <c r="J19" s="27">
        <v>3</v>
      </c>
      <c r="K19" s="13">
        <v>28000</v>
      </c>
      <c r="L19" s="13">
        <v>15000</v>
      </c>
      <c r="M19" s="13">
        <v>601400</v>
      </c>
      <c r="N19" s="13"/>
      <c r="O19" s="13"/>
      <c r="P19" s="13"/>
    </row>
    <row r="20" spans="1:16" x14ac:dyDescent="0.25">
      <c r="A20" s="25">
        <v>45247</v>
      </c>
      <c r="B20" s="46">
        <v>1708.77</v>
      </c>
      <c r="C20" s="46">
        <v>3713.33</v>
      </c>
      <c r="D20" s="47">
        <v>5740</v>
      </c>
      <c r="E20" s="47">
        <v>5299</v>
      </c>
      <c r="F20" s="13"/>
      <c r="G20" s="13"/>
      <c r="H20" s="26">
        <v>35.25</v>
      </c>
      <c r="I20" s="13">
        <v>729000</v>
      </c>
      <c r="J20" s="27">
        <v>55</v>
      </c>
      <c r="K20" s="13">
        <v>440000</v>
      </c>
      <c r="L20" s="13">
        <v>30000</v>
      </c>
      <c r="M20" s="13">
        <v>796000</v>
      </c>
      <c r="N20" s="13">
        <v>264000</v>
      </c>
      <c r="O20" s="13"/>
      <c r="P20" s="13"/>
    </row>
    <row r="21" spans="1:16" x14ac:dyDescent="0.25">
      <c r="A21" s="25">
        <v>45248</v>
      </c>
      <c r="B21" s="46">
        <v>1824</v>
      </c>
      <c r="C21" s="46">
        <v>3077.48</v>
      </c>
      <c r="D21" s="47">
        <v>5740</v>
      </c>
      <c r="E21" s="47">
        <v>5299</v>
      </c>
      <c r="F21" s="13"/>
      <c r="G21" s="13"/>
      <c r="H21" s="26">
        <v>49</v>
      </c>
      <c r="I21" s="13">
        <v>1093000</v>
      </c>
      <c r="J21" s="12">
        <v>36.5</v>
      </c>
      <c r="K21" s="13">
        <v>337000</v>
      </c>
      <c r="L21" s="13"/>
      <c r="M21" s="13">
        <v>726000</v>
      </c>
      <c r="N21" s="13">
        <v>92000</v>
      </c>
      <c r="O21" s="13"/>
      <c r="P21" s="12"/>
    </row>
    <row r="22" spans="1:16" x14ac:dyDescent="0.25">
      <c r="A22" s="25">
        <v>45249</v>
      </c>
      <c r="B22" s="46">
        <v>1456.84</v>
      </c>
      <c r="C22" s="46">
        <v>1247.4100000000001</v>
      </c>
      <c r="D22" s="47">
        <v>5740</v>
      </c>
      <c r="E22" s="47">
        <v>5299</v>
      </c>
      <c r="F22" s="13"/>
      <c r="G22" s="13"/>
      <c r="H22" s="26">
        <v>31.25</v>
      </c>
      <c r="I22" s="13">
        <v>618000</v>
      </c>
      <c r="J22" s="12">
        <v>30</v>
      </c>
      <c r="K22" s="13">
        <v>280000</v>
      </c>
      <c r="L22" s="13">
        <v>45000</v>
      </c>
      <c r="M22" s="13">
        <v>537800</v>
      </c>
      <c r="N22" s="13"/>
      <c r="O22" s="13"/>
      <c r="P22" s="12"/>
    </row>
    <row r="23" spans="1:16" x14ac:dyDescent="0.25">
      <c r="A23" s="25">
        <v>45250</v>
      </c>
      <c r="B23" s="46">
        <v>1838.61</v>
      </c>
      <c r="C23" s="46">
        <v>4118.7700000000004</v>
      </c>
      <c r="D23" s="47">
        <v>5740</v>
      </c>
      <c r="E23" s="47">
        <v>5299</v>
      </c>
      <c r="F23" s="13"/>
      <c r="G23" s="13"/>
      <c r="H23" s="26">
        <v>18.25</v>
      </c>
      <c r="I23" s="13">
        <v>424000</v>
      </c>
      <c r="J23" s="12">
        <v>36</v>
      </c>
      <c r="K23" s="13">
        <v>336000</v>
      </c>
      <c r="L23" s="13"/>
      <c r="M23" s="13">
        <v>422000</v>
      </c>
      <c r="N23" s="13">
        <v>80000</v>
      </c>
      <c r="O23" s="13"/>
      <c r="P23" s="12"/>
    </row>
    <row r="24" spans="1:16" x14ac:dyDescent="0.25">
      <c r="A24" s="25">
        <v>45251</v>
      </c>
      <c r="B24" s="46">
        <v>1347.98</v>
      </c>
      <c r="C24" s="46">
        <v>2959.25</v>
      </c>
      <c r="D24" s="47">
        <v>5740</v>
      </c>
      <c r="E24" s="47">
        <v>5299</v>
      </c>
      <c r="F24" s="13"/>
      <c r="G24" s="13"/>
      <c r="H24" s="26">
        <v>48</v>
      </c>
      <c r="I24" s="13">
        <v>989000</v>
      </c>
      <c r="J24" s="12">
        <v>36.5</v>
      </c>
      <c r="K24" s="13">
        <v>337000</v>
      </c>
      <c r="L24" s="13">
        <v>30000</v>
      </c>
      <c r="M24" s="13">
        <v>546000</v>
      </c>
      <c r="N24" s="13"/>
      <c r="O24" s="13"/>
      <c r="P24" s="12"/>
    </row>
    <row r="25" spans="1:16" x14ac:dyDescent="0.25">
      <c r="A25" s="25">
        <v>45252</v>
      </c>
      <c r="B25" s="46">
        <v>1324.59</v>
      </c>
      <c r="C25" s="46">
        <v>1535.49</v>
      </c>
      <c r="D25" s="47">
        <v>5740</v>
      </c>
      <c r="E25" s="47">
        <v>5299</v>
      </c>
      <c r="F25" s="13"/>
      <c r="G25" s="13"/>
      <c r="H25" s="26">
        <v>19.25</v>
      </c>
      <c r="I25" s="13">
        <v>369500</v>
      </c>
      <c r="J25" s="12">
        <v>12</v>
      </c>
      <c r="K25" s="13">
        <v>112000</v>
      </c>
      <c r="L25" s="13"/>
      <c r="M25" s="13">
        <v>500000</v>
      </c>
      <c r="N25" s="13"/>
      <c r="O25" s="13"/>
      <c r="P25" s="12"/>
    </row>
    <row r="26" spans="1:16" x14ac:dyDescent="0.25">
      <c r="A26" s="25">
        <v>45253</v>
      </c>
      <c r="B26" s="46">
        <v>1478.13</v>
      </c>
      <c r="C26" s="46">
        <v>3102.73</v>
      </c>
      <c r="D26" s="47">
        <v>5740</v>
      </c>
      <c r="E26" s="47">
        <v>5299</v>
      </c>
      <c r="F26" s="13"/>
      <c r="G26" s="13"/>
      <c r="H26" s="26">
        <v>60.25</v>
      </c>
      <c r="I26" s="13">
        <v>1247000</v>
      </c>
      <c r="J26" s="12">
        <v>64</v>
      </c>
      <c r="K26" s="13">
        <v>590000</v>
      </c>
      <c r="L26" s="13">
        <v>45000</v>
      </c>
      <c r="M26" s="13">
        <v>348300</v>
      </c>
      <c r="N26" s="13">
        <v>116000</v>
      </c>
      <c r="O26" s="13"/>
      <c r="P26" s="12"/>
    </row>
    <row r="27" spans="1:16" x14ac:dyDescent="0.25">
      <c r="A27" s="25">
        <v>45254</v>
      </c>
      <c r="B27" s="46">
        <v>1657.99</v>
      </c>
      <c r="C27" s="46">
        <v>1703.21</v>
      </c>
      <c r="D27" s="47">
        <v>5740</v>
      </c>
      <c r="E27" s="47">
        <v>5299</v>
      </c>
      <c r="F27" s="13"/>
      <c r="G27" s="13"/>
      <c r="H27" s="26">
        <v>39.5</v>
      </c>
      <c r="I27" s="13">
        <v>849000</v>
      </c>
      <c r="J27" s="12">
        <v>93.5</v>
      </c>
      <c r="K27" s="13">
        <v>807000</v>
      </c>
      <c r="L27" s="13"/>
      <c r="M27" s="13">
        <v>735000</v>
      </c>
      <c r="N27" s="13"/>
      <c r="O27" s="13"/>
      <c r="P27" s="12"/>
    </row>
    <row r="28" spans="1:16" x14ac:dyDescent="0.25">
      <c r="A28" s="25">
        <v>45255</v>
      </c>
      <c r="B28" s="46">
        <v>1906.66</v>
      </c>
      <c r="C28" s="46">
        <v>2159.1</v>
      </c>
      <c r="D28" s="47">
        <v>5740</v>
      </c>
      <c r="E28" s="47">
        <v>5299</v>
      </c>
      <c r="F28" s="13"/>
      <c r="G28" s="13"/>
      <c r="H28" s="26">
        <v>19.25</v>
      </c>
      <c r="I28" s="13">
        <v>378000</v>
      </c>
      <c r="J28" s="12">
        <v>30</v>
      </c>
      <c r="K28" s="13">
        <v>280000</v>
      </c>
      <c r="L28" s="13">
        <v>30000</v>
      </c>
      <c r="M28" s="13">
        <v>788100</v>
      </c>
      <c r="N28" s="13">
        <v>160000</v>
      </c>
      <c r="O28" s="13"/>
      <c r="P28" s="12"/>
    </row>
    <row r="29" spans="1:16" x14ac:dyDescent="0.25">
      <c r="A29" s="25">
        <v>45256</v>
      </c>
      <c r="B29" s="46">
        <v>1523</v>
      </c>
      <c r="C29" s="46">
        <v>3227.55</v>
      </c>
      <c r="D29" s="47">
        <v>5690</v>
      </c>
      <c r="E29" s="47">
        <v>5299</v>
      </c>
      <c r="F29" s="13"/>
      <c r="G29" s="13"/>
      <c r="H29" s="26">
        <v>29</v>
      </c>
      <c r="I29" s="13">
        <v>572000</v>
      </c>
      <c r="J29" s="12">
        <v>67.5</v>
      </c>
      <c r="K29" s="13">
        <v>619000</v>
      </c>
      <c r="L29" s="13">
        <v>15000</v>
      </c>
      <c r="M29" s="13">
        <v>540300</v>
      </c>
      <c r="N29" s="13">
        <v>359000</v>
      </c>
      <c r="O29" s="13"/>
      <c r="P29" s="12"/>
    </row>
    <row r="30" spans="1:16" x14ac:dyDescent="0.25">
      <c r="A30" s="25">
        <v>45257</v>
      </c>
      <c r="B30" s="46">
        <v>1509.34</v>
      </c>
      <c r="C30" s="46">
        <v>2875.85</v>
      </c>
      <c r="D30" s="47">
        <v>5690</v>
      </c>
      <c r="E30" s="47">
        <v>5299</v>
      </c>
      <c r="F30" s="13"/>
      <c r="G30" s="13"/>
      <c r="H30" s="26">
        <v>49.5</v>
      </c>
      <c r="I30" s="13">
        <v>1016500</v>
      </c>
      <c r="J30" s="12">
        <v>94.5</v>
      </c>
      <c r="K30" s="13">
        <v>769000</v>
      </c>
      <c r="L30" s="13">
        <v>20000</v>
      </c>
      <c r="M30" s="13">
        <v>442000</v>
      </c>
      <c r="N30" s="13">
        <v>0</v>
      </c>
      <c r="O30" s="13"/>
      <c r="P30" s="12"/>
    </row>
    <row r="31" spans="1:16" x14ac:dyDescent="0.25">
      <c r="A31" s="25">
        <v>45258</v>
      </c>
      <c r="B31" s="46">
        <v>2011.48</v>
      </c>
      <c r="C31" s="46">
        <v>6405.06</v>
      </c>
      <c r="D31" s="47">
        <v>5690</v>
      </c>
      <c r="E31" s="47">
        <v>5299</v>
      </c>
      <c r="F31" s="13"/>
      <c r="G31" s="13"/>
      <c r="H31" s="26">
        <v>31.5</v>
      </c>
      <c r="I31" s="13">
        <v>631000</v>
      </c>
      <c r="J31" s="12">
        <v>42.5</v>
      </c>
      <c r="K31" s="13">
        <v>393000</v>
      </c>
      <c r="L31" s="13">
        <v>0</v>
      </c>
      <c r="M31" s="13">
        <v>569500</v>
      </c>
      <c r="N31" s="13">
        <v>0</v>
      </c>
      <c r="O31" s="13"/>
      <c r="P31" s="12"/>
    </row>
    <row r="32" spans="1:16" x14ac:dyDescent="0.25">
      <c r="A32" s="25">
        <v>45259</v>
      </c>
      <c r="B32" s="46">
        <v>1994.04</v>
      </c>
      <c r="C32" s="46">
        <v>2711.58</v>
      </c>
      <c r="D32" s="47">
        <v>5690</v>
      </c>
      <c r="E32" s="47">
        <v>5299</v>
      </c>
      <c r="F32" s="13"/>
      <c r="G32" s="13"/>
      <c r="H32" s="26">
        <v>48.5</v>
      </c>
      <c r="I32" s="13">
        <v>1014000</v>
      </c>
      <c r="J32" s="12">
        <v>54</v>
      </c>
      <c r="K32" s="13">
        <v>504000</v>
      </c>
      <c r="L32" s="13">
        <v>15000</v>
      </c>
      <c r="M32" s="13">
        <v>606000</v>
      </c>
      <c r="N32" s="13">
        <v>80000</v>
      </c>
      <c r="O32" s="13"/>
      <c r="P32" s="12"/>
    </row>
    <row r="33" spans="1:16" x14ac:dyDescent="0.25">
      <c r="A33" s="25">
        <v>45260</v>
      </c>
      <c r="B33" s="46">
        <v>1960.38</v>
      </c>
      <c r="C33" s="46">
        <v>3569.37</v>
      </c>
      <c r="D33" s="47">
        <v>5690</v>
      </c>
      <c r="E33" s="47">
        <v>5299</v>
      </c>
      <c r="F33" s="13"/>
      <c r="G33" s="13"/>
      <c r="H33" s="26">
        <v>23.5</v>
      </c>
      <c r="I33" s="13">
        <v>468500</v>
      </c>
      <c r="J33" s="12">
        <v>58</v>
      </c>
      <c r="K33" s="13">
        <v>534000</v>
      </c>
      <c r="L33" s="13">
        <v>0</v>
      </c>
      <c r="M33" s="13">
        <v>498000</v>
      </c>
      <c r="N33" s="13">
        <v>286500</v>
      </c>
      <c r="O33" s="13"/>
      <c r="P33" s="12"/>
    </row>
    <row r="34" spans="1:16" x14ac:dyDescent="0.25">
      <c r="A34" s="25" t="s">
        <v>69</v>
      </c>
      <c r="B34" s="46"/>
      <c r="C34" s="46"/>
      <c r="D34" s="47"/>
      <c r="E34" s="47"/>
      <c r="F34" s="13"/>
      <c r="G34" s="13"/>
      <c r="H34" s="26"/>
      <c r="I34" s="13"/>
      <c r="J34" s="12"/>
      <c r="K34" s="13"/>
      <c r="L34" s="13"/>
      <c r="M34" s="13"/>
      <c r="N34" s="13"/>
      <c r="O34" s="13"/>
      <c r="P34" s="12"/>
    </row>
    <row r="35" spans="1:16" x14ac:dyDescent="0.25">
      <c r="A35" s="15"/>
      <c r="B35" s="37"/>
      <c r="C35" s="37"/>
      <c r="D35" s="38"/>
      <c r="E35" s="38"/>
      <c r="F35" s="39"/>
      <c r="G35" s="39"/>
      <c r="H35" s="39"/>
      <c r="I35" s="13"/>
      <c r="J35" s="15"/>
      <c r="K35" s="38"/>
      <c r="L35" s="38"/>
      <c r="M35" s="13"/>
      <c r="N35" s="38"/>
      <c r="O35" s="38"/>
      <c r="P35" s="15"/>
    </row>
    <row r="36" spans="1:16" x14ac:dyDescent="0.25">
      <c r="A36" s="15"/>
      <c r="B36" s="37">
        <f>SUM(B4:B35)</f>
        <v>47235.64</v>
      </c>
      <c r="C36" s="37">
        <f>SUM(C4:C35)</f>
        <v>95409.880000000034</v>
      </c>
      <c r="D36" s="38">
        <f>SUM(D4:D35)</f>
        <v>172310</v>
      </c>
      <c r="E36" s="38"/>
      <c r="F36" s="39">
        <f>SUM(F4:F35)</f>
        <v>0</v>
      </c>
      <c r="G36" s="39">
        <f>SUM(G4:G35)</f>
        <v>0</v>
      </c>
      <c r="H36" s="39">
        <f t="shared" ref="H36:J36" si="0">SUM(H4:H35)</f>
        <v>1145.25</v>
      </c>
      <c r="I36" s="39">
        <f t="shared" si="0"/>
        <v>23848500</v>
      </c>
      <c r="J36" s="39">
        <f t="shared" si="0"/>
        <v>1448.5</v>
      </c>
      <c r="K36" s="39">
        <f>SUM(K4:K35)</f>
        <v>13486000</v>
      </c>
      <c r="L36" s="39">
        <f>SUM(L4:L35)</f>
        <v>554000</v>
      </c>
      <c r="M36" s="38">
        <f>SUM(M4:M35)</f>
        <v>17122800</v>
      </c>
      <c r="N36" s="38">
        <f>SUM(N5:N35)</f>
        <v>3329000</v>
      </c>
      <c r="O36" s="38"/>
      <c r="P36" s="15"/>
    </row>
  </sheetData>
  <mergeCells count="7">
    <mergeCell ref="B1:P1"/>
    <mergeCell ref="B2:C2"/>
    <mergeCell ref="D2:E2"/>
    <mergeCell ref="F2:G2"/>
    <mergeCell ref="H2:I2"/>
    <mergeCell ref="J2:K2"/>
    <mergeCell ref="N2:P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6"/>
  <sheetViews>
    <sheetView topLeftCell="C19" workbookViewId="0">
      <selection activeCell="B4" sqref="B4:C34"/>
    </sheetView>
  </sheetViews>
  <sheetFormatPr defaultRowHeight="15" x14ac:dyDescent="0.25"/>
  <cols>
    <col min="1" max="1" width="11.85546875" customWidth="1"/>
    <col min="2" max="2" width="14.140625" customWidth="1"/>
    <col min="3" max="3" width="13.28515625" customWidth="1"/>
    <col min="4" max="4" width="13.42578125" customWidth="1"/>
    <col min="5" max="5" width="12.7109375" customWidth="1"/>
    <col min="6" max="6" width="17.85546875" customWidth="1"/>
    <col min="7" max="7" width="15.5703125" customWidth="1"/>
    <col min="8" max="8" width="11" bestFit="1" customWidth="1"/>
    <col min="9" max="9" width="13.140625" customWidth="1"/>
    <col min="10" max="10" width="10.7109375" customWidth="1"/>
    <col min="11" max="11" width="15.140625" customWidth="1"/>
    <col min="12" max="12" width="12.28515625" customWidth="1"/>
    <col min="13" max="13" width="17.42578125" bestFit="1" customWidth="1"/>
    <col min="14" max="14" width="10" bestFit="1" customWidth="1"/>
    <col min="15" max="15" width="12.28515625" customWidth="1"/>
    <col min="16" max="16" width="8.140625" customWidth="1"/>
  </cols>
  <sheetData>
    <row r="1" spans="1:16" ht="18.75" x14ac:dyDescent="0.3">
      <c r="A1" s="6"/>
      <c r="B1" s="81" t="s">
        <v>45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1:16" x14ac:dyDescent="0.25">
      <c r="A2" s="12" t="s">
        <v>0</v>
      </c>
      <c r="B2" s="82" t="s">
        <v>5</v>
      </c>
      <c r="C2" s="82"/>
      <c r="D2" s="83" t="s">
        <v>12</v>
      </c>
      <c r="E2" s="83"/>
      <c r="F2" s="83" t="s">
        <v>6</v>
      </c>
      <c r="G2" s="83"/>
      <c r="H2" s="84" t="s">
        <v>7</v>
      </c>
      <c r="I2" s="84"/>
      <c r="J2" s="84" t="s">
        <v>8</v>
      </c>
      <c r="K2" s="84"/>
      <c r="L2" s="13"/>
      <c r="M2" s="13" t="s">
        <v>35</v>
      </c>
      <c r="N2" s="84" t="s">
        <v>15</v>
      </c>
      <c r="O2" s="84"/>
      <c r="P2" s="84"/>
    </row>
    <row r="3" spans="1:16" x14ac:dyDescent="0.25">
      <c r="A3" s="16"/>
      <c r="B3" s="17" t="s">
        <v>1</v>
      </c>
      <c r="C3" s="17" t="s">
        <v>2</v>
      </c>
      <c r="D3" s="18" t="s">
        <v>1</v>
      </c>
      <c r="E3" s="18" t="s">
        <v>2</v>
      </c>
      <c r="F3" s="19" t="s">
        <v>1</v>
      </c>
      <c r="G3" s="19" t="s">
        <v>2</v>
      </c>
      <c r="H3" s="19" t="s">
        <v>9</v>
      </c>
      <c r="I3" s="18" t="s">
        <v>10</v>
      </c>
      <c r="J3" s="16" t="s">
        <v>11</v>
      </c>
      <c r="K3" s="18" t="s">
        <v>10</v>
      </c>
      <c r="L3" s="18" t="s">
        <v>4</v>
      </c>
      <c r="M3" s="18" t="s">
        <v>67</v>
      </c>
      <c r="N3" s="18" t="s">
        <v>52</v>
      </c>
      <c r="O3" s="18" t="s">
        <v>40</v>
      </c>
      <c r="P3" s="16" t="s">
        <v>28</v>
      </c>
    </row>
    <row r="4" spans="1:16" x14ac:dyDescent="0.25">
      <c r="A4" s="25">
        <v>45261</v>
      </c>
      <c r="B4" s="46">
        <v>1796.16</v>
      </c>
      <c r="C4" s="46">
        <v>3807.8</v>
      </c>
      <c r="D4" s="47">
        <v>5690</v>
      </c>
      <c r="E4" s="47">
        <v>5299</v>
      </c>
      <c r="F4" s="13">
        <f t="shared" ref="F4:G33" si="0">B4*D4</f>
        <v>10220150.4</v>
      </c>
      <c r="G4" s="13">
        <f t="shared" si="0"/>
        <v>20177532.199999999</v>
      </c>
      <c r="H4" s="26">
        <v>48.25</v>
      </c>
      <c r="I4" s="13">
        <v>948000</v>
      </c>
      <c r="J4" s="27">
        <v>21</v>
      </c>
      <c r="K4" s="13">
        <v>196000</v>
      </c>
      <c r="L4" s="13">
        <v>30000</v>
      </c>
      <c r="M4" s="13">
        <v>849500</v>
      </c>
      <c r="N4" s="13">
        <v>0</v>
      </c>
      <c r="O4" s="13"/>
      <c r="P4" s="13"/>
    </row>
    <row r="5" spans="1:16" x14ac:dyDescent="0.25">
      <c r="A5" s="25">
        <v>45262</v>
      </c>
      <c r="B5" s="46">
        <v>1944</v>
      </c>
      <c r="C5" s="46">
        <v>2758.53</v>
      </c>
      <c r="D5" s="47">
        <v>5690</v>
      </c>
      <c r="E5" s="47">
        <v>5299</v>
      </c>
      <c r="F5" s="13">
        <f t="shared" si="0"/>
        <v>11061360</v>
      </c>
      <c r="G5" s="13">
        <f t="shared" si="0"/>
        <v>14617450.470000001</v>
      </c>
      <c r="H5" s="31">
        <v>174</v>
      </c>
      <c r="I5" s="13">
        <v>3810500</v>
      </c>
      <c r="J5" s="27">
        <v>30</v>
      </c>
      <c r="K5" s="13">
        <v>280000</v>
      </c>
      <c r="L5" s="13">
        <v>15000</v>
      </c>
      <c r="M5" s="13">
        <v>839500</v>
      </c>
      <c r="N5" s="13">
        <v>160000</v>
      </c>
      <c r="O5" s="13"/>
      <c r="P5" s="13"/>
    </row>
    <row r="6" spans="1:16" x14ac:dyDescent="0.25">
      <c r="A6" s="25">
        <v>45263</v>
      </c>
      <c r="B6" s="46">
        <v>1538.73</v>
      </c>
      <c r="C6" s="46">
        <v>927</v>
      </c>
      <c r="D6" s="47">
        <v>5690</v>
      </c>
      <c r="E6" s="47">
        <v>5299</v>
      </c>
      <c r="F6" s="13">
        <f t="shared" si="0"/>
        <v>8755373.6999999993</v>
      </c>
      <c r="G6" s="13">
        <f t="shared" si="0"/>
        <v>4912173</v>
      </c>
      <c r="H6" s="26">
        <v>40</v>
      </c>
      <c r="I6" s="13">
        <v>864500</v>
      </c>
      <c r="J6" s="27">
        <v>15.5</v>
      </c>
      <c r="K6" s="13">
        <v>141000</v>
      </c>
      <c r="L6" s="13">
        <v>20000</v>
      </c>
      <c r="M6" s="13">
        <v>564000</v>
      </c>
      <c r="N6" s="13">
        <v>0</v>
      </c>
      <c r="O6" s="13"/>
      <c r="P6" s="13"/>
    </row>
    <row r="7" spans="1:16" x14ac:dyDescent="0.25">
      <c r="A7" s="25">
        <v>45264</v>
      </c>
      <c r="B7" s="46">
        <v>1857.19</v>
      </c>
      <c r="C7" s="46">
        <v>6006.42</v>
      </c>
      <c r="D7" s="47">
        <v>5690</v>
      </c>
      <c r="E7" s="47">
        <v>5299</v>
      </c>
      <c r="F7" s="13">
        <f t="shared" si="0"/>
        <v>10567411.1</v>
      </c>
      <c r="G7" s="13">
        <f t="shared" si="0"/>
        <v>31828019.580000002</v>
      </c>
      <c r="H7" s="26">
        <v>58.75</v>
      </c>
      <c r="I7" s="13">
        <v>1138000</v>
      </c>
      <c r="J7" s="27">
        <v>30</v>
      </c>
      <c r="K7" s="13">
        <v>280000</v>
      </c>
      <c r="L7" s="13">
        <v>8000</v>
      </c>
      <c r="M7" s="13">
        <v>683800</v>
      </c>
      <c r="N7" s="13"/>
      <c r="O7" s="13"/>
      <c r="P7" s="13"/>
    </row>
    <row r="8" spans="1:16" x14ac:dyDescent="0.25">
      <c r="A8" s="25">
        <v>45265</v>
      </c>
      <c r="B8" s="46">
        <v>1576.68</v>
      </c>
      <c r="C8" s="46">
        <v>3818.37</v>
      </c>
      <c r="D8" s="47">
        <v>5690</v>
      </c>
      <c r="E8" s="47">
        <v>5299</v>
      </c>
      <c r="F8" s="13">
        <f t="shared" si="0"/>
        <v>8971309.2000000011</v>
      </c>
      <c r="G8" s="13">
        <f t="shared" si="0"/>
        <v>20233542.629999999</v>
      </c>
      <c r="H8" s="26">
        <v>66</v>
      </c>
      <c r="I8" s="13">
        <v>1369500</v>
      </c>
      <c r="J8" s="27">
        <v>27.5</v>
      </c>
      <c r="K8" s="13">
        <v>253000</v>
      </c>
      <c r="L8" s="13">
        <v>140000</v>
      </c>
      <c r="M8" s="13">
        <v>484000</v>
      </c>
      <c r="N8" s="13"/>
      <c r="O8" s="13"/>
      <c r="P8" s="13"/>
    </row>
    <row r="9" spans="1:16" x14ac:dyDescent="0.25">
      <c r="A9" s="25">
        <v>45266</v>
      </c>
      <c r="B9" s="46">
        <v>1729.48</v>
      </c>
      <c r="C9" s="46">
        <v>1838.68</v>
      </c>
      <c r="D9" s="47">
        <v>5690</v>
      </c>
      <c r="E9" s="47">
        <v>5299</v>
      </c>
      <c r="F9" s="13">
        <f t="shared" si="0"/>
        <v>9840741.1999999993</v>
      </c>
      <c r="G9" s="13">
        <f t="shared" si="0"/>
        <v>9743165.3200000003</v>
      </c>
      <c r="H9" s="26">
        <v>167</v>
      </c>
      <c r="I9" s="13">
        <v>3582000</v>
      </c>
      <c r="J9" s="27">
        <v>74</v>
      </c>
      <c r="K9" s="13">
        <v>676000</v>
      </c>
      <c r="L9" s="13">
        <v>0</v>
      </c>
      <c r="M9" s="13">
        <v>387000</v>
      </c>
      <c r="N9" s="13"/>
      <c r="O9" s="13"/>
      <c r="P9" s="31"/>
    </row>
    <row r="10" spans="1:16" x14ac:dyDescent="0.25">
      <c r="A10" s="25">
        <v>45267</v>
      </c>
      <c r="B10" s="46">
        <v>1853.48</v>
      </c>
      <c r="C10" s="46">
        <v>3277.38</v>
      </c>
      <c r="D10" s="47">
        <v>5690</v>
      </c>
      <c r="E10" s="47">
        <v>5299</v>
      </c>
      <c r="F10" s="13">
        <f t="shared" si="0"/>
        <v>10546301.199999999</v>
      </c>
      <c r="G10" s="13">
        <f t="shared" si="0"/>
        <v>17366836.620000001</v>
      </c>
      <c r="H10" s="26">
        <v>19.25</v>
      </c>
      <c r="I10" s="13">
        <v>390500</v>
      </c>
      <c r="J10" s="27">
        <v>78.5</v>
      </c>
      <c r="K10" s="13">
        <v>729000</v>
      </c>
      <c r="L10" s="13">
        <v>68000</v>
      </c>
      <c r="M10" s="13">
        <v>767000</v>
      </c>
      <c r="N10" s="13">
        <v>80000</v>
      </c>
      <c r="O10" s="13"/>
      <c r="P10" s="13"/>
    </row>
    <row r="11" spans="1:16" x14ac:dyDescent="0.25">
      <c r="A11" s="25">
        <v>45268</v>
      </c>
      <c r="B11" s="46">
        <v>30</v>
      </c>
      <c r="C11" s="46">
        <v>1591.51</v>
      </c>
      <c r="D11" s="47">
        <v>5690</v>
      </c>
      <c r="E11" s="47">
        <v>5299</v>
      </c>
      <c r="F11" s="13">
        <f t="shared" si="0"/>
        <v>170700</v>
      </c>
      <c r="G11" s="13">
        <f t="shared" si="0"/>
        <v>8433411.4900000002</v>
      </c>
      <c r="H11" s="26">
        <v>35</v>
      </c>
      <c r="I11" s="13">
        <v>704500</v>
      </c>
      <c r="J11" s="27">
        <v>49</v>
      </c>
      <c r="K11" s="13">
        <v>450000</v>
      </c>
      <c r="L11" s="13">
        <v>61000</v>
      </c>
      <c r="M11" s="13">
        <v>819500</v>
      </c>
      <c r="N11" s="13">
        <v>80000</v>
      </c>
      <c r="O11" s="13"/>
      <c r="P11" s="13"/>
    </row>
    <row r="12" spans="1:16" x14ac:dyDescent="0.25">
      <c r="A12" s="25">
        <v>45269</v>
      </c>
      <c r="B12" s="46">
        <v>2039.33</v>
      </c>
      <c r="C12" s="46">
        <v>2214</v>
      </c>
      <c r="D12" s="47">
        <v>5690</v>
      </c>
      <c r="E12" s="47">
        <v>5299</v>
      </c>
      <c r="F12" s="13">
        <f t="shared" si="0"/>
        <v>11603787.699999999</v>
      </c>
      <c r="G12" s="13">
        <f t="shared" si="0"/>
        <v>11731986</v>
      </c>
      <c r="H12" s="26">
        <v>17.75</v>
      </c>
      <c r="I12" s="13">
        <v>381000</v>
      </c>
      <c r="J12" s="27">
        <v>63.5</v>
      </c>
      <c r="K12" s="13">
        <v>589000</v>
      </c>
      <c r="L12" s="13">
        <v>16000</v>
      </c>
      <c r="M12" s="13">
        <v>835000</v>
      </c>
      <c r="N12" s="13">
        <v>160000</v>
      </c>
      <c r="O12" s="13"/>
      <c r="P12" s="13"/>
    </row>
    <row r="13" spans="1:16" x14ac:dyDescent="0.25">
      <c r="A13" s="25">
        <v>45270</v>
      </c>
      <c r="B13" s="46">
        <v>1500.56</v>
      </c>
      <c r="C13" s="46">
        <v>1164.19</v>
      </c>
      <c r="D13" s="47">
        <v>5690</v>
      </c>
      <c r="E13" s="47">
        <v>5299</v>
      </c>
      <c r="F13" s="13">
        <f t="shared" si="0"/>
        <v>8538186.4000000004</v>
      </c>
      <c r="G13" s="13">
        <f t="shared" si="0"/>
        <v>6169042.8100000005</v>
      </c>
      <c r="H13" s="26">
        <v>22</v>
      </c>
      <c r="I13" s="13">
        <v>413000</v>
      </c>
      <c r="J13" s="27">
        <v>27</v>
      </c>
      <c r="K13" s="13">
        <v>252000</v>
      </c>
      <c r="L13" s="13">
        <v>31000</v>
      </c>
      <c r="M13" s="13">
        <v>515000</v>
      </c>
      <c r="N13" s="13">
        <v>80000</v>
      </c>
      <c r="O13" s="13"/>
      <c r="P13" s="13"/>
    </row>
    <row r="14" spans="1:16" x14ac:dyDescent="0.25">
      <c r="A14" s="25">
        <v>45271</v>
      </c>
      <c r="B14" s="46">
        <v>1910.37</v>
      </c>
      <c r="C14" s="46">
        <v>2130.37</v>
      </c>
      <c r="D14" s="47">
        <v>5690</v>
      </c>
      <c r="E14" s="47">
        <v>5299</v>
      </c>
      <c r="F14" s="13">
        <f t="shared" si="0"/>
        <v>10870005.299999999</v>
      </c>
      <c r="G14" s="13">
        <f t="shared" si="0"/>
        <v>11288830.629999999</v>
      </c>
      <c r="H14" s="26">
        <v>47.25</v>
      </c>
      <c r="I14" s="13">
        <v>1023500</v>
      </c>
      <c r="J14" s="27">
        <v>79</v>
      </c>
      <c r="K14" s="13">
        <v>750000</v>
      </c>
      <c r="L14" s="13">
        <v>46000</v>
      </c>
      <c r="M14" s="13">
        <v>692000</v>
      </c>
      <c r="N14" s="13">
        <v>80000</v>
      </c>
      <c r="O14" s="13"/>
      <c r="P14" s="13"/>
    </row>
    <row r="15" spans="1:16" x14ac:dyDescent="0.25">
      <c r="A15" s="25">
        <v>45272</v>
      </c>
      <c r="B15" s="46">
        <v>1478.45</v>
      </c>
      <c r="C15" s="46">
        <v>5936.46</v>
      </c>
      <c r="D15" s="47">
        <v>5690</v>
      </c>
      <c r="E15" s="47">
        <v>5299</v>
      </c>
      <c r="F15" s="13">
        <f t="shared" si="0"/>
        <v>8412380.5</v>
      </c>
      <c r="G15" s="13">
        <f t="shared" si="0"/>
        <v>31457301.539999999</v>
      </c>
      <c r="H15" s="26">
        <v>38</v>
      </c>
      <c r="I15" s="51">
        <v>732000</v>
      </c>
      <c r="J15" s="27">
        <v>58</v>
      </c>
      <c r="K15" s="13">
        <v>534000</v>
      </c>
      <c r="L15" s="13">
        <v>55000</v>
      </c>
      <c r="M15" s="13">
        <v>559900</v>
      </c>
      <c r="N15" s="13">
        <v>218000</v>
      </c>
      <c r="O15" s="13"/>
      <c r="P15" s="13"/>
    </row>
    <row r="16" spans="1:16" x14ac:dyDescent="0.25">
      <c r="A16" s="25">
        <v>45273</v>
      </c>
      <c r="B16" s="46">
        <v>1697.77</v>
      </c>
      <c r="C16" s="46">
        <v>4631.97</v>
      </c>
      <c r="D16" s="47">
        <v>5690</v>
      </c>
      <c r="E16" s="47">
        <v>5299</v>
      </c>
      <c r="F16" s="13">
        <f t="shared" si="0"/>
        <v>9660311.3000000007</v>
      </c>
      <c r="G16" s="13">
        <f t="shared" si="0"/>
        <v>24544809.030000001</v>
      </c>
      <c r="H16" s="26">
        <v>51.25</v>
      </c>
      <c r="I16" s="13">
        <v>1092000</v>
      </c>
      <c r="J16" s="27">
        <v>30</v>
      </c>
      <c r="K16" s="13">
        <v>280000</v>
      </c>
      <c r="L16" s="13">
        <v>76000</v>
      </c>
      <c r="M16" s="13">
        <v>592500</v>
      </c>
      <c r="N16" s="13">
        <v>218000</v>
      </c>
      <c r="O16" s="13"/>
      <c r="P16" s="13"/>
    </row>
    <row r="17" spans="1:16" x14ac:dyDescent="0.25">
      <c r="A17" s="25">
        <v>45274</v>
      </c>
      <c r="B17" s="46">
        <v>1547</v>
      </c>
      <c r="C17" s="46">
        <v>4393.0200000000004</v>
      </c>
      <c r="D17" s="47">
        <v>5690</v>
      </c>
      <c r="E17" s="47">
        <v>5299</v>
      </c>
      <c r="F17" s="13">
        <f t="shared" si="0"/>
        <v>8802430</v>
      </c>
      <c r="G17" s="13">
        <f t="shared" si="0"/>
        <v>23278612.980000004</v>
      </c>
      <c r="H17" s="26">
        <v>90.5</v>
      </c>
      <c r="I17" s="13">
        <v>1964000</v>
      </c>
      <c r="J17" s="27">
        <v>67.5</v>
      </c>
      <c r="K17" s="13">
        <v>732000</v>
      </c>
      <c r="L17" s="13">
        <v>38000</v>
      </c>
      <c r="M17" s="13">
        <v>514100</v>
      </c>
      <c r="N17" s="13"/>
      <c r="O17" s="13"/>
      <c r="P17" s="13"/>
    </row>
    <row r="18" spans="1:16" x14ac:dyDescent="0.25">
      <c r="A18" s="25">
        <v>45275</v>
      </c>
      <c r="B18" s="46">
        <v>1829.07</v>
      </c>
      <c r="C18" s="46">
        <v>2446.7199999999998</v>
      </c>
      <c r="D18" s="47">
        <v>5690</v>
      </c>
      <c r="E18" s="47">
        <v>5299</v>
      </c>
      <c r="F18" s="13">
        <f t="shared" si="0"/>
        <v>10407408.299999999</v>
      </c>
      <c r="G18" s="13">
        <f t="shared" si="0"/>
        <v>12965169.279999999</v>
      </c>
      <c r="H18" s="13">
        <v>32</v>
      </c>
      <c r="I18" s="13">
        <v>644000</v>
      </c>
      <c r="J18" s="27">
        <v>73</v>
      </c>
      <c r="K18" s="13">
        <v>764000</v>
      </c>
      <c r="L18" s="13">
        <v>53000</v>
      </c>
      <c r="M18" s="13">
        <v>827000</v>
      </c>
      <c r="N18" s="13">
        <v>218000</v>
      </c>
      <c r="O18" s="13"/>
      <c r="P18" s="13"/>
    </row>
    <row r="19" spans="1:16" x14ac:dyDescent="0.25">
      <c r="A19" s="25">
        <v>45276</v>
      </c>
      <c r="B19" s="46">
        <v>1899.91</v>
      </c>
      <c r="C19" s="46">
        <v>2932.02</v>
      </c>
      <c r="D19" s="47">
        <v>5690</v>
      </c>
      <c r="E19" s="47">
        <v>5299</v>
      </c>
      <c r="F19" s="13">
        <f t="shared" si="0"/>
        <v>10810487.9</v>
      </c>
      <c r="G19" s="13">
        <f t="shared" si="0"/>
        <v>15536773.98</v>
      </c>
      <c r="H19" s="26">
        <v>64</v>
      </c>
      <c r="I19" s="13">
        <v>1367500</v>
      </c>
      <c r="J19" s="27">
        <v>18.5</v>
      </c>
      <c r="K19" s="13">
        <v>169000</v>
      </c>
      <c r="L19" s="13">
        <v>8000</v>
      </c>
      <c r="M19" s="13">
        <v>849000</v>
      </c>
      <c r="N19" s="13">
        <v>109000</v>
      </c>
      <c r="O19" s="13"/>
      <c r="P19" s="13"/>
    </row>
    <row r="20" spans="1:16" x14ac:dyDescent="0.25">
      <c r="A20" s="25">
        <v>45277</v>
      </c>
      <c r="B20" s="46">
        <v>1577.5</v>
      </c>
      <c r="C20" s="46">
        <v>1437.36</v>
      </c>
      <c r="D20" s="47">
        <v>5690</v>
      </c>
      <c r="E20" s="47">
        <v>5299</v>
      </c>
      <c r="F20" s="13">
        <f>B20*D20</f>
        <v>8975975</v>
      </c>
      <c r="G20" s="13">
        <f t="shared" si="0"/>
        <v>7616570.6399999997</v>
      </c>
      <c r="H20" s="26">
        <v>67.75</v>
      </c>
      <c r="I20" s="13">
        <v>1482000</v>
      </c>
      <c r="J20" s="27">
        <v>60</v>
      </c>
      <c r="K20" s="13">
        <v>560000</v>
      </c>
      <c r="L20" s="13">
        <v>79000</v>
      </c>
      <c r="M20" s="13">
        <v>869000</v>
      </c>
      <c r="N20" s="13">
        <v>158000</v>
      </c>
      <c r="O20" s="13"/>
      <c r="P20" s="13"/>
    </row>
    <row r="21" spans="1:16" x14ac:dyDescent="0.25">
      <c r="A21" s="25">
        <v>45278</v>
      </c>
      <c r="B21" s="46">
        <v>1761.56</v>
      </c>
      <c r="C21" s="46">
        <v>3951.13</v>
      </c>
      <c r="D21" s="47">
        <v>5690</v>
      </c>
      <c r="E21" s="47">
        <v>5299</v>
      </c>
      <c r="F21" s="13">
        <f t="shared" si="0"/>
        <v>10023276.4</v>
      </c>
      <c r="G21" s="13">
        <f t="shared" si="0"/>
        <v>20937037.870000001</v>
      </c>
      <c r="H21" s="26">
        <v>42</v>
      </c>
      <c r="I21" s="13">
        <v>794500</v>
      </c>
      <c r="J21" s="12">
        <v>85</v>
      </c>
      <c r="K21" s="13">
        <v>786000</v>
      </c>
      <c r="L21" s="13">
        <v>54000</v>
      </c>
      <c r="M21" s="13">
        <v>891000</v>
      </c>
      <c r="N21" s="13">
        <v>654000</v>
      </c>
      <c r="O21" s="13"/>
      <c r="P21" s="12"/>
    </row>
    <row r="22" spans="1:16" x14ac:dyDescent="0.25">
      <c r="A22" s="25">
        <v>45279</v>
      </c>
      <c r="B22" s="46">
        <v>1446.46</v>
      </c>
      <c r="C22" s="46">
        <v>3737.27</v>
      </c>
      <c r="D22" s="47">
        <v>5690</v>
      </c>
      <c r="E22" s="47">
        <v>5299</v>
      </c>
      <c r="F22" s="13">
        <f t="shared" si="0"/>
        <v>8230357.4000000004</v>
      </c>
      <c r="G22" s="13">
        <f t="shared" si="0"/>
        <v>19803793.73</v>
      </c>
      <c r="H22" s="26">
        <v>32.25</v>
      </c>
      <c r="I22" s="13">
        <v>639500</v>
      </c>
      <c r="J22" s="12">
        <v>69.5</v>
      </c>
      <c r="K22" s="13">
        <v>645000</v>
      </c>
      <c r="L22" s="13">
        <v>23000</v>
      </c>
      <c r="M22" s="13">
        <v>812000</v>
      </c>
      <c r="N22" s="13">
        <v>109000</v>
      </c>
      <c r="O22" s="13"/>
      <c r="P22" s="12"/>
    </row>
    <row r="23" spans="1:16" x14ac:dyDescent="0.25">
      <c r="A23" s="25">
        <v>45280</v>
      </c>
      <c r="B23" s="46">
        <v>1552.37</v>
      </c>
      <c r="C23" s="46">
        <v>2009.46</v>
      </c>
      <c r="D23" s="47">
        <v>5690</v>
      </c>
      <c r="E23" s="47">
        <v>5299</v>
      </c>
      <c r="F23" s="13">
        <f t="shared" si="0"/>
        <v>8832985.2999999989</v>
      </c>
      <c r="G23" s="13">
        <f t="shared" si="0"/>
        <v>10648128.540000001</v>
      </c>
      <c r="H23" s="26">
        <v>96.75</v>
      </c>
      <c r="I23" s="13">
        <v>2047500</v>
      </c>
      <c r="J23" s="12">
        <v>173</v>
      </c>
      <c r="K23" s="13">
        <v>1538000</v>
      </c>
      <c r="L23" s="13">
        <v>504500</v>
      </c>
      <c r="M23" s="13">
        <v>758000</v>
      </c>
      <c r="N23" s="13">
        <v>44000</v>
      </c>
      <c r="O23" s="13"/>
      <c r="P23" s="12"/>
    </row>
    <row r="24" spans="1:16" x14ac:dyDescent="0.25">
      <c r="A24" s="25">
        <v>45281</v>
      </c>
      <c r="B24" s="46">
        <v>2330.5700000000002</v>
      </c>
      <c r="C24" s="46">
        <v>1557.31</v>
      </c>
      <c r="D24" s="47">
        <v>5690</v>
      </c>
      <c r="E24" s="47">
        <v>5299</v>
      </c>
      <c r="F24" s="13">
        <f t="shared" si="0"/>
        <v>13260943.300000001</v>
      </c>
      <c r="G24" s="13">
        <f t="shared" si="0"/>
        <v>8252185.6899999995</v>
      </c>
      <c r="H24" s="26">
        <v>48.5</v>
      </c>
      <c r="I24" s="13">
        <v>984500</v>
      </c>
      <c r="J24" s="12">
        <v>120.5</v>
      </c>
      <c r="K24" s="13">
        <v>1099000</v>
      </c>
      <c r="L24" s="13">
        <v>47000</v>
      </c>
      <c r="M24" s="13">
        <v>980000</v>
      </c>
      <c r="N24" s="13">
        <v>427000</v>
      </c>
      <c r="O24" s="13"/>
      <c r="P24" s="12"/>
    </row>
    <row r="25" spans="1:16" x14ac:dyDescent="0.25">
      <c r="A25" s="25">
        <v>45282</v>
      </c>
      <c r="B25" s="46">
        <v>2527.79</v>
      </c>
      <c r="C25" s="46">
        <v>4604.09</v>
      </c>
      <c r="D25" s="47">
        <v>5690</v>
      </c>
      <c r="E25" s="47">
        <v>5299</v>
      </c>
      <c r="F25" s="13">
        <f t="shared" si="0"/>
        <v>14383125.1</v>
      </c>
      <c r="G25" s="13">
        <f t="shared" si="0"/>
        <v>24397072.91</v>
      </c>
      <c r="H25" s="26">
        <v>45</v>
      </c>
      <c r="I25" s="13">
        <v>886000</v>
      </c>
      <c r="J25" s="12">
        <v>188.5</v>
      </c>
      <c r="K25" s="13">
        <v>1719000</v>
      </c>
      <c r="L25" s="13">
        <v>62000</v>
      </c>
      <c r="M25" s="13">
        <v>758000</v>
      </c>
      <c r="N25" s="13">
        <v>703000</v>
      </c>
      <c r="O25" s="13"/>
      <c r="P25" s="12"/>
    </row>
    <row r="26" spans="1:16" x14ac:dyDescent="0.25">
      <c r="A26" s="25">
        <v>45283</v>
      </c>
      <c r="B26" s="46">
        <v>3077.82</v>
      </c>
      <c r="C26" s="46">
        <v>2582.5700000000002</v>
      </c>
      <c r="D26" s="47">
        <v>5690</v>
      </c>
      <c r="E26" s="47">
        <v>5299</v>
      </c>
      <c r="F26" s="13">
        <f t="shared" si="0"/>
        <v>17512795.800000001</v>
      </c>
      <c r="G26" s="13">
        <f t="shared" si="0"/>
        <v>13685038.430000002</v>
      </c>
      <c r="H26" s="26">
        <v>95.75</v>
      </c>
      <c r="I26" s="13">
        <v>2024500</v>
      </c>
      <c r="J26" s="12">
        <v>184</v>
      </c>
      <c r="K26" s="13">
        <v>1709000</v>
      </c>
      <c r="L26" s="13">
        <v>108000</v>
      </c>
      <c r="M26" s="13">
        <v>1612500</v>
      </c>
      <c r="N26" s="13">
        <v>866500</v>
      </c>
      <c r="O26" s="13"/>
      <c r="P26" s="12"/>
    </row>
    <row r="27" spans="1:16" x14ac:dyDescent="0.25">
      <c r="A27" s="25">
        <v>45284</v>
      </c>
      <c r="B27" s="46">
        <v>3979.3</v>
      </c>
      <c r="C27" s="46">
        <v>965</v>
      </c>
      <c r="D27" s="47">
        <v>5690</v>
      </c>
      <c r="E27" s="47">
        <v>5299</v>
      </c>
      <c r="F27" s="13">
        <v>15403593</v>
      </c>
      <c r="G27" s="13">
        <f t="shared" si="0"/>
        <v>5113535</v>
      </c>
      <c r="H27" s="26">
        <v>100.5</v>
      </c>
      <c r="I27" s="13">
        <v>2192000</v>
      </c>
      <c r="J27" s="12">
        <v>67</v>
      </c>
      <c r="K27" s="13">
        <v>618000</v>
      </c>
      <c r="L27" s="13">
        <v>59000</v>
      </c>
      <c r="M27" s="13">
        <v>2525200</v>
      </c>
      <c r="N27" s="13">
        <v>160000</v>
      </c>
      <c r="O27" s="13"/>
      <c r="P27" s="12"/>
    </row>
    <row r="28" spans="1:16" x14ac:dyDescent="0.25">
      <c r="A28" s="25">
        <v>45285</v>
      </c>
      <c r="B28" s="46">
        <v>1259.58</v>
      </c>
      <c r="C28" s="46">
        <v>432.39</v>
      </c>
      <c r="D28" s="47">
        <v>5690</v>
      </c>
      <c r="E28" s="47">
        <v>5299</v>
      </c>
      <c r="F28" s="13">
        <f t="shared" si="0"/>
        <v>7167010.1999999993</v>
      </c>
      <c r="G28" s="13">
        <f t="shared" si="0"/>
        <v>2291234.61</v>
      </c>
      <c r="H28" s="26">
        <v>4.25</v>
      </c>
      <c r="I28" s="13">
        <v>91000</v>
      </c>
      <c r="J28" s="12">
        <v>48.5</v>
      </c>
      <c r="K28" s="13">
        <v>449000</v>
      </c>
      <c r="L28" s="13">
        <v>0</v>
      </c>
      <c r="M28" s="13">
        <v>839000</v>
      </c>
      <c r="N28" s="13">
        <v>235000</v>
      </c>
      <c r="O28" s="13"/>
      <c r="P28" s="12"/>
    </row>
    <row r="29" spans="1:16" x14ac:dyDescent="0.25">
      <c r="A29" s="25">
        <v>45286</v>
      </c>
      <c r="B29" s="46">
        <v>1986.33</v>
      </c>
      <c r="C29" s="46">
        <v>2496.81</v>
      </c>
      <c r="D29" s="47">
        <v>5690</v>
      </c>
      <c r="E29" s="47">
        <v>5299</v>
      </c>
      <c r="F29" s="13">
        <f t="shared" si="0"/>
        <v>11302217.699999999</v>
      </c>
      <c r="G29" s="13">
        <f t="shared" si="0"/>
        <v>13230596.189999999</v>
      </c>
      <c r="H29" s="26">
        <v>18.5</v>
      </c>
      <c r="I29" s="13">
        <v>352000</v>
      </c>
      <c r="J29" s="12">
        <v>33</v>
      </c>
      <c r="K29" s="13">
        <v>308000</v>
      </c>
      <c r="L29" s="13">
        <v>15000</v>
      </c>
      <c r="M29" s="13">
        <v>1120000</v>
      </c>
      <c r="N29" s="13">
        <v>235000</v>
      </c>
      <c r="O29" s="13"/>
      <c r="P29" s="12"/>
    </row>
    <row r="30" spans="1:16" x14ac:dyDescent="0.25">
      <c r="A30" s="25">
        <v>45287</v>
      </c>
      <c r="B30" s="46">
        <v>2419.06</v>
      </c>
      <c r="C30" s="46">
        <v>3373.08</v>
      </c>
      <c r="D30" s="47">
        <v>5690</v>
      </c>
      <c r="E30" s="47">
        <v>5299</v>
      </c>
      <c r="F30" s="13">
        <f t="shared" si="0"/>
        <v>13764451.4</v>
      </c>
      <c r="G30" s="13">
        <f t="shared" si="0"/>
        <v>17873950.919999998</v>
      </c>
      <c r="H30" s="26">
        <v>42.5</v>
      </c>
      <c r="I30" s="13">
        <v>920000</v>
      </c>
      <c r="J30" s="12">
        <v>111.5</v>
      </c>
      <c r="K30" s="13">
        <v>1015000</v>
      </c>
      <c r="L30" s="13">
        <v>30000</v>
      </c>
      <c r="M30" s="13">
        <v>785000</v>
      </c>
      <c r="N30" s="13">
        <v>383500</v>
      </c>
      <c r="O30" s="13"/>
      <c r="P30" s="12"/>
    </row>
    <row r="31" spans="1:16" x14ac:dyDescent="0.25">
      <c r="A31" s="25">
        <v>45288</v>
      </c>
      <c r="B31" s="46">
        <v>2201.5500000000002</v>
      </c>
      <c r="C31" s="46">
        <v>5368.89</v>
      </c>
      <c r="D31" s="47">
        <v>5690</v>
      </c>
      <c r="E31" s="47">
        <v>5299</v>
      </c>
      <c r="F31" s="13">
        <f t="shared" si="0"/>
        <v>12526819.500000002</v>
      </c>
      <c r="G31" s="13">
        <f t="shared" si="0"/>
        <v>28449748.110000003</v>
      </c>
      <c r="H31" s="26">
        <v>36</v>
      </c>
      <c r="I31" s="13">
        <v>733000</v>
      </c>
      <c r="J31" s="12">
        <v>24</v>
      </c>
      <c r="K31" s="13">
        <v>224000</v>
      </c>
      <c r="L31" s="13">
        <v>15000</v>
      </c>
      <c r="M31" s="13">
        <v>918500</v>
      </c>
      <c r="N31" s="13">
        <v>80000</v>
      </c>
      <c r="O31" s="13"/>
      <c r="P31" s="12"/>
    </row>
    <row r="32" spans="1:16" x14ac:dyDescent="0.25">
      <c r="A32" s="25">
        <v>45289</v>
      </c>
      <c r="B32" s="46">
        <v>2425.4299999999998</v>
      </c>
      <c r="C32" s="46">
        <v>2631.37</v>
      </c>
      <c r="D32" s="47">
        <v>5690</v>
      </c>
      <c r="E32" s="47">
        <v>5299</v>
      </c>
      <c r="F32" s="13">
        <v>14751615</v>
      </c>
      <c r="G32" s="13">
        <f t="shared" si="0"/>
        <v>13943629.629999999</v>
      </c>
      <c r="H32" s="26">
        <v>72.25</v>
      </c>
      <c r="I32" s="13">
        <v>1595500</v>
      </c>
      <c r="J32" s="12">
        <v>39.5</v>
      </c>
      <c r="K32" s="13">
        <v>365000</v>
      </c>
      <c r="L32" s="13">
        <v>39000</v>
      </c>
      <c r="M32" s="13">
        <v>1105000</v>
      </c>
      <c r="N32" s="13">
        <v>0</v>
      </c>
      <c r="O32" s="13"/>
      <c r="P32" s="12"/>
    </row>
    <row r="33" spans="1:16" x14ac:dyDescent="0.25">
      <c r="A33" s="25">
        <v>45290</v>
      </c>
      <c r="B33" s="46">
        <v>2273.16</v>
      </c>
      <c r="C33" s="46">
        <v>2698.24</v>
      </c>
      <c r="D33" s="47">
        <v>5690</v>
      </c>
      <c r="E33" s="47">
        <v>5299</v>
      </c>
      <c r="F33" s="13">
        <f t="shared" si="0"/>
        <v>12934280.399999999</v>
      </c>
      <c r="G33" s="13">
        <f t="shared" si="0"/>
        <v>14297973.759999998</v>
      </c>
      <c r="H33" s="26">
        <v>44.5</v>
      </c>
      <c r="I33" s="13">
        <v>955500</v>
      </c>
      <c r="J33" s="12">
        <v>63.5</v>
      </c>
      <c r="K33" s="13">
        <v>365000</v>
      </c>
      <c r="L33" s="13">
        <v>31000</v>
      </c>
      <c r="M33" s="13">
        <v>830000</v>
      </c>
      <c r="N33" s="13">
        <v>0</v>
      </c>
      <c r="O33" s="13"/>
      <c r="P33" s="12"/>
    </row>
    <row r="34" spans="1:16" x14ac:dyDescent="0.25">
      <c r="A34" s="25">
        <v>45291</v>
      </c>
      <c r="B34" s="46">
        <v>1928.52</v>
      </c>
      <c r="C34" s="46">
        <v>1764.65</v>
      </c>
      <c r="D34" s="47">
        <v>5690</v>
      </c>
      <c r="E34" s="47">
        <v>5299</v>
      </c>
      <c r="F34" s="13">
        <f t="shared" ref="F34:G34" si="1">B34*D34</f>
        <v>10973278.800000001</v>
      </c>
      <c r="G34" s="13">
        <f t="shared" si="1"/>
        <v>9350880.3499999996</v>
      </c>
      <c r="H34" s="26">
        <v>44</v>
      </c>
      <c r="I34" s="13">
        <v>1027000</v>
      </c>
      <c r="J34" s="12">
        <v>60.5</v>
      </c>
      <c r="K34" s="13">
        <v>561000</v>
      </c>
      <c r="L34" s="13">
        <v>15000</v>
      </c>
      <c r="M34" s="13">
        <v>591900</v>
      </c>
      <c r="N34" s="13">
        <v>0</v>
      </c>
      <c r="O34" s="13"/>
      <c r="P34" s="12"/>
    </row>
    <row r="35" spans="1:16" x14ac:dyDescent="0.25">
      <c r="A35" s="15"/>
      <c r="B35" s="37"/>
      <c r="C35" s="37"/>
      <c r="D35" s="38"/>
      <c r="E35" s="38"/>
      <c r="F35" s="39"/>
      <c r="G35" s="39"/>
      <c r="H35" s="39"/>
      <c r="I35" s="13"/>
      <c r="J35" s="15"/>
      <c r="K35" s="38"/>
      <c r="L35" s="38"/>
      <c r="M35" s="13"/>
      <c r="N35" s="38"/>
      <c r="O35" s="38"/>
      <c r="P35" s="15"/>
    </row>
    <row r="36" spans="1:16" x14ac:dyDescent="0.25">
      <c r="A36" s="15"/>
      <c r="B36" s="37">
        <f>SUM(B4:B35)</f>
        <v>58975.18</v>
      </c>
      <c r="C36" s="37">
        <f>SUM(C4:C35)</f>
        <v>89484.059999999983</v>
      </c>
      <c r="D36" s="38">
        <f>SUM(D4:D35)</f>
        <v>176390</v>
      </c>
      <c r="E36" s="38"/>
      <c r="F36" s="39">
        <f>SUM(F4:F35)</f>
        <v>329281068.5</v>
      </c>
      <c r="G36" s="39">
        <f>SUM(G4:G35)</f>
        <v>474176033.94000012</v>
      </c>
      <c r="H36" s="39">
        <f t="shared" ref="H36:I36" si="2">SUM(H4:H35)</f>
        <v>1761.5</v>
      </c>
      <c r="I36" s="39">
        <f t="shared" si="2"/>
        <v>37149000</v>
      </c>
      <c r="J36" s="39">
        <f>SUM(J4:J35)</f>
        <v>2070</v>
      </c>
      <c r="K36" s="39">
        <f>SUM(K4:K35)</f>
        <v>19036000</v>
      </c>
      <c r="L36" s="39">
        <f>SUM(L4:L35)</f>
        <v>1746500</v>
      </c>
      <c r="M36" s="38">
        <f>SUM(M4:M35)</f>
        <v>26173900</v>
      </c>
      <c r="N36" s="38">
        <f>SUM(N5:N35)</f>
        <v>5458000</v>
      </c>
      <c r="O36" s="38"/>
      <c r="P36" s="15"/>
    </row>
  </sheetData>
  <mergeCells count="7">
    <mergeCell ref="B1:P1"/>
    <mergeCell ref="B2:C2"/>
    <mergeCell ref="D2:E2"/>
    <mergeCell ref="F2:G2"/>
    <mergeCell ref="H2:I2"/>
    <mergeCell ref="J2:K2"/>
    <mergeCell ref="N2:P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6"/>
  <sheetViews>
    <sheetView topLeftCell="A16" workbookViewId="0">
      <selection activeCell="M27" sqref="M27"/>
    </sheetView>
  </sheetViews>
  <sheetFormatPr defaultRowHeight="15" x14ac:dyDescent="0.25"/>
  <cols>
    <col min="1" max="1" width="9.42578125" bestFit="1" customWidth="1"/>
    <col min="2" max="2" width="11" bestFit="1" customWidth="1"/>
    <col min="3" max="3" width="12" bestFit="1" customWidth="1"/>
    <col min="4" max="4" width="8.5703125" bestFit="1" customWidth="1"/>
    <col min="6" max="7" width="14.5703125" bestFit="1" customWidth="1"/>
    <col min="8" max="8" width="9" bestFit="1" customWidth="1"/>
    <col min="9" max="9" width="13.5703125" bestFit="1" customWidth="1"/>
    <col min="10" max="10" width="9" bestFit="1" customWidth="1"/>
    <col min="11" max="11" width="13.5703125" bestFit="1" customWidth="1"/>
    <col min="12" max="12" width="12.42578125" bestFit="1" customWidth="1"/>
    <col min="13" max="13" width="17.42578125" bestFit="1" customWidth="1"/>
    <col min="14" max="14" width="11.42578125" customWidth="1"/>
    <col min="15" max="15" width="11.140625" customWidth="1"/>
    <col min="16" max="16" width="10.7109375" customWidth="1"/>
  </cols>
  <sheetData>
    <row r="1" spans="1:16" ht="18.75" x14ac:dyDescent="0.3">
      <c r="A1" s="6"/>
      <c r="B1" s="81" t="s">
        <v>45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1:16" x14ac:dyDescent="0.25">
      <c r="A2" s="12" t="s">
        <v>0</v>
      </c>
      <c r="B2" s="82" t="s">
        <v>5</v>
      </c>
      <c r="C2" s="82"/>
      <c r="D2" s="83" t="s">
        <v>12</v>
      </c>
      <c r="E2" s="83"/>
      <c r="F2" s="83" t="s">
        <v>6</v>
      </c>
      <c r="G2" s="83"/>
      <c r="H2" s="84" t="s">
        <v>7</v>
      </c>
      <c r="I2" s="84"/>
      <c r="J2" s="84" t="s">
        <v>77</v>
      </c>
      <c r="K2" s="84"/>
      <c r="L2" s="13"/>
      <c r="M2" s="13" t="s">
        <v>35</v>
      </c>
      <c r="N2" s="84" t="s">
        <v>15</v>
      </c>
      <c r="O2" s="84"/>
      <c r="P2" s="84"/>
    </row>
    <row r="3" spans="1:16" x14ac:dyDescent="0.25">
      <c r="A3" s="16"/>
      <c r="B3" s="17" t="s">
        <v>1</v>
      </c>
      <c r="C3" s="17" t="s">
        <v>2</v>
      </c>
      <c r="D3" s="18" t="s">
        <v>1</v>
      </c>
      <c r="E3" s="18" t="s">
        <v>2</v>
      </c>
      <c r="F3" s="19" t="s">
        <v>1</v>
      </c>
      <c r="G3" s="19" t="s">
        <v>2</v>
      </c>
      <c r="H3" s="19" t="s">
        <v>9</v>
      </c>
      <c r="I3" s="18" t="s">
        <v>10</v>
      </c>
      <c r="J3" s="16" t="s">
        <v>11</v>
      </c>
      <c r="K3" s="18" t="s">
        <v>10</v>
      </c>
      <c r="L3" s="18" t="s">
        <v>4</v>
      </c>
      <c r="M3" s="18" t="s">
        <v>67</v>
      </c>
      <c r="N3" s="18" t="s">
        <v>52</v>
      </c>
      <c r="O3" s="18" t="s">
        <v>40</v>
      </c>
      <c r="P3" s="16" t="s">
        <v>28</v>
      </c>
    </row>
    <row r="4" spans="1:16" x14ac:dyDescent="0.25">
      <c r="A4" s="25">
        <v>45323</v>
      </c>
      <c r="B4" s="56">
        <v>1572.3</v>
      </c>
      <c r="C4" s="46">
        <v>4716.17</v>
      </c>
      <c r="D4" s="47">
        <v>5570</v>
      </c>
      <c r="E4" s="47">
        <v>5250</v>
      </c>
      <c r="F4" s="13">
        <f t="shared" ref="F4:G33" si="0">B4*D4</f>
        <v>8757711</v>
      </c>
      <c r="G4" s="13">
        <f t="shared" si="0"/>
        <v>24759892.5</v>
      </c>
      <c r="H4" s="26">
        <v>51</v>
      </c>
      <c r="I4" s="13">
        <v>1015000</v>
      </c>
      <c r="J4" s="27">
        <v>70.5</v>
      </c>
      <c r="K4" s="13">
        <v>647000</v>
      </c>
      <c r="L4" s="13">
        <v>38000</v>
      </c>
      <c r="M4" s="13">
        <v>520000</v>
      </c>
      <c r="N4" s="13">
        <v>0</v>
      </c>
      <c r="O4" s="13"/>
      <c r="P4" s="13"/>
    </row>
    <row r="5" spans="1:16" x14ac:dyDescent="0.25">
      <c r="A5" s="25">
        <v>45324</v>
      </c>
      <c r="B5" s="56">
        <v>2334.87</v>
      </c>
      <c r="C5" s="46">
        <v>2353.5100000000002</v>
      </c>
      <c r="D5" s="47">
        <v>5570</v>
      </c>
      <c r="E5" s="47">
        <v>5250</v>
      </c>
      <c r="F5" s="13">
        <f t="shared" si="0"/>
        <v>13005225.899999999</v>
      </c>
      <c r="G5" s="13">
        <f t="shared" si="0"/>
        <v>12355927.500000002</v>
      </c>
      <c r="H5" s="31" t="s">
        <v>76</v>
      </c>
      <c r="I5" s="13">
        <v>909000</v>
      </c>
      <c r="J5" s="27">
        <v>91</v>
      </c>
      <c r="K5" s="13">
        <v>842000</v>
      </c>
      <c r="L5" s="13">
        <v>76000</v>
      </c>
      <c r="M5" s="13">
        <v>504500</v>
      </c>
      <c r="N5" s="13">
        <v>276000</v>
      </c>
      <c r="O5" s="13"/>
      <c r="P5" s="13"/>
    </row>
    <row r="6" spans="1:16" x14ac:dyDescent="0.25">
      <c r="A6" s="25">
        <v>45325</v>
      </c>
      <c r="B6" s="56">
        <v>2785.93</v>
      </c>
      <c r="C6" s="46">
        <v>2744.27</v>
      </c>
      <c r="D6" s="47">
        <v>5570</v>
      </c>
      <c r="E6" s="47">
        <v>5250</v>
      </c>
      <c r="F6" s="13">
        <f t="shared" si="0"/>
        <v>15517630.1</v>
      </c>
      <c r="G6" s="13">
        <f t="shared" si="0"/>
        <v>14407417.5</v>
      </c>
      <c r="H6" s="26">
        <v>85.5</v>
      </c>
      <c r="I6" s="13">
        <v>1715000</v>
      </c>
      <c r="J6" s="27">
        <v>54.5</v>
      </c>
      <c r="K6" s="13">
        <v>505000</v>
      </c>
      <c r="L6" s="13">
        <v>118000</v>
      </c>
      <c r="M6" s="13">
        <v>626000</v>
      </c>
      <c r="N6" s="13">
        <v>184000</v>
      </c>
      <c r="O6" s="13"/>
      <c r="P6" s="13"/>
    </row>
    <row r="7" spans="1:16" x14ac:dyDescent="0.25">
      <c r="A7" s="25">
        <v>45326</v>
      </c>
      <c r="B7" s="56">
        <v>2590.7399999999998</v>
      </c>
      <c r="C7" s="46">
        <v>1765.72</v>
      </c>
      <c r="D7" s="47">
        <v>5570</v>
      </c>
      <c r="E7" s="47">
        <v>5250</v>
      </c>
      <c r="F7" s="13">
        <f t="shared" si="0"/>
        <v>14430421.799999999</v>
      </c>
      <c r="G7" s="13">
        <f t="shared" si="0"/>
        <v>9270030</v>
      </c>
      <c r="H7" s="26">
        <v>47.25</v>
      </c>
      <c r="I7" s="13">
        <v>977000</v>
      </c>
      <c r="J7" s="27">
        <v>24.5</v>
      </c>
      <c r="K7" s="13">
        <v>225000</v>
      </c>
      <c r="L7" s="13">
        <v>32000</v>
      </c>
      <c r="M7" s="13">
        <v>690000</v>
      </c>
      <c r="N7" s="13">
        <v>0</v>
      </c>
      <c r="O7" s="13"/>
      <c r="P7" s="13"/>
    </row>
    <row r="8" spans="1:16" x14ac:dyDescent="0.25">
      <c r="A8" s="25">
        <v>45327</v>
      </c>
      <c r="B8" s="56">
        <v>3445.15</v>
      </c>
      <c r="C8" s="46">
        <v>9595.23</v>
      </c>
      <c r="D8" s="47">
        <v>5570</v>
      </c>
      <c r="E8" s="47">
        <v>5250</v>
      </c>
      <c r="F8" s="13">
        <f t="shared" si="0"/>
        <v>19189485.5</v>
      </c>
      <c r="G8" s="13">
        <f t="shared" si="0"/>
        <v>50374957.5</v>
      </c>
      <c r="H8" s="26">
        <v>32.5</v>
      </c>
      <c r="I8" s="13">
        <v>701000</v>
      </c>
      <c r="J8" s="27">
        <v>70</v>
      </c>
      <c r="K8" s="13">
        <v>646000</v>
      </c>
      <c r="L8" s="13">
        <v>30000</v>
      </c>
      <c r="M8" s="13">
        <v>610400</v>
      </c>
      <c r="N8" s="13">
        <v>276000</v>
      </c>
      <c r="O8" s="13"/>
      <c r="P8" s="13"/>
    </row>
    <row r="9" spans="1:16" x14ac:dyDescent="0.25">
      <c r="A9" s="25">
        <v>45328</v>
      </c>
      <c r="B9" s="56">
        <v>1643.89</v>
      </c>
      <c r="C9" s="46">
        <v>3145.61</v>
      </c>
      <c r="D9" s="47">
        <v>5570</v>
      </c>
      <c r="E9" s="47">
        <v>5250</v>
      </c>
      <c r="F9" s="13">
        <f t="shared" si="0"/>
        <v>9156467.3000000007</v>
      </c>
      <c r="G9" s="13">
        <f t="shared" si="0"/>
        <v>16514452.5</v>
      </c>
      <c r="H9" s="26">
        <v>23.25</v>
      </c>
      <c r="I9" s="13">
        <v>484000</v>
      </c>
      <c r="J9" s="27">
        <v>91.5</v>
      </c>
      <c r="K9" s="13">
        <v>843000</v>
      </c>
      <c r="L9" s="13">
        <v>0</v>
      </c>
      <c r="M9" s="13">
        <v>547000</v>
      </c>
      <c r="N9" s="13">
        <v>184000</v>
      </c>
      <c r="O9" s="13"/>
      <c r="P9" s="31"/>
    </row>
    <row r="10" spans="1:16" x14ac:dyDescent="0.25">
      <c r="A10" s="25">
        <v>45329</v>
      </c>
      <c r="B10" s="56">
        <v>1481.06</v>
      </c>
      <c r="C10" s="46">
        <v>1908.24</v>
      </c>
      <c r="D10" s="47">
        <v>5570</v>
      </c>
      <c r="E10" s="47">
        <v>5250</v>
      </c>
      <c r="F10" s="13">
        <f t="shared" si="0"/>
        <v>8249504.1999999993</v>
      </c>
      <c r="G10" s="13">
        <f t="shared" si="0"/>
        <v>10018260</v>
      </c>
      <c r="H10" s="26">
        <v>68</v>
      </c>
      <c r="I10" s="13">
        <v>1538000</v>
      </c>
      <c r="J10" s="27">
        <v>55</v>
      </c>
      <c r="K10" s="13">
        <v>506000</v>
      </c>
      <c r="L10" s="13">
        <v>55000</v>
      </c>
      <c r="M10" s="13">
        <v>523000</v>
      </c>
      <c r="N10" s="13">
        <v>92000</v>
      </c>
      <c r="O10" s="13"/>
      <c r="P10" s="13"/>
    </row>
    <row r="11" spans="1:16" x14ac:dyDescent="0.25">
      <c r="A11" s="25">
        <v>45330</v>
      </c>
      <c r="B11" s="56">
        <v>1585.82</v>
      </c>
      <c r="C11" s="46">
        <v>3817.21</v>
      </c>
      <c r="D11" s="47">
        <v>5570</v>
      </c>
      <c r="E11" s="47">
        <v>5250</v>
      </c>
      <c r="F11" s="13">
        <f t="shared" si="0"/>
        <v>8833017.4000000004</v>
      </c>
      <c r="G11" s="13">
        <f t="shared" si="0"/>
        <v>20040352.5</v>
      </c>
      <c r="H11" s="26">
        <v>52.25</v>
      </c>
      <c r="I11" s="13">
        <v>1070500</v>
      </c>
      <c r="J11" s="27">
        <v>68</v>
      </c>
      <c r="K11" s="13">
        <v>510000</v>
      </c>
      <c r="L11" s="13">
        <v>31000</v>
      </c>
      <c r="M11" s="13">
        <v>424000</v>
      </c>
      <c r="N11" s="13">
        <v>184000</v>
      </c>
      <c r="O11" s="13"/>
      <c r="P11" s="13"/>
    </row>
    <row r="12" spans="1:16" x14ac:dyDescent="0.25">
      <c r="A12" s="25">
        <v>45331</v>
      </c>
      <c r="B12" s="56">
        <v>1845.25</v>
      </c>
      <c r="C12" s="46">
        <v>1272.67</v>
      </c>
      <c r="D12" s="47">
        <v>5570</v>
      </c>
      <c r="E12" s="47">
        <v>5250</v>
      </c>
      <c r="F12" s="13">
        <f t="shared" si="0"/>
        <v>10278042.5</v>
      </c>
      <c r="G12" s="13">
        <f t="shared" si="0"/>
        <v>6681517.5</v>
      </c>
      <c r="H12" s="26">
        <v>28.25</v>
      </c>
      <c r="I12" s="13">
        <v>551000</v>
      </c>
      <c r="J12" s="27">
        <v>49</v>
      </c>
      <c r="K12" s="13">
        <v>450000</v>
      </c>
      <c r="L12" s="13">
        <v>0</v>
      </c>
      <c r="M12" s="13">
        <v>1209800</v>
      </c>
      <c r="N12" s="13">
        <v>0</v>
      </c>
      <c r="O12" s="13"/>
      <c r="P12" s="13"/>
    </row>
    <row r="13" spans="1:16" x14ac:dyDescent="0.25">
      <c r="A13" s="25">
        <v>45332</v>
      </c>
      <c r="B13" s="56">
        <v>1795.4</v>
      </c>
      <c r="C13" s="46">
        <v>2031.87</v>
      </c>
      <c r="D13" s="47">
        <v>5570</v>
      </c>
      <c r="E13" s="47">
        <v>5250</v>
      </c>
      <c r="F13" s="13">
        <f t="shared" si="0"/>
        <v>10000378</v>
      </c>
      <c r="G13" s="13">
        <f t="shared" si="0"/>
        <v>10667317.5</v>
      </c>
      <c r="H13" s="26">
        <v>91</v>
      </c>
      <c r="I13" s="13">
        <v>1766600</v>
      </c>
      <c r="J13" s="27">
        <v>51.5</v>
      </c>
      <c r="K13" s="13">
        <v>477000</v>
      </c>
      <c r="L13" s="13">
        <v>76000</v>
      </c>
      <c r="M13" s="13">
        <v>635000</v>
      </c>
      <c r="N13" s="13">
        <v>80000</v>
      </c>
      <c r="O13" s="13"/>
      <c r="P13" s="13"/>
    </row>
    <row r="14" spans="1:16" x14ac:dyDescent="0.25">
      <c r="A14" s="25">
        <v>45333</v>
      </c>
      <c r="B14" s="56">
        <v>1420.06</v>
      </c>
      <c r="C14" s="46">
        <v>4736.71</v>
      </c>
      <c r="D14" s="47">
        <v>5570</v>
      </c>
      <c r="E14" s="47">
        <v>5250</v>
      </c>
      <c r="F14" s="13">
        <f t="shared" si="0"/>
        <v>7909734.1999999993</v>
      </c>
      <c r="G14" s="13">
        <f t="shared" si="0"/>
        <v>24867727.5</v>
      </c>
      <c r="H14" s="26">
        <v>35.25</v>
      </c>
      <c r="I14" s="13">
        <v>729000</v>
      </c>
      <c r="J14" s="27">
        <v>37</v>
      </c>
      <c r="K14" s="13">
        <v>338000</v>
      </c>
      <c r="L14" s="13">
        <v>30000</v>
      </c>
      <c r="M14" s="13">
        <v>663000</v>
      </c>
      <c r="N14" s="13">
        <v>0</v>
      </c>
      <c r="O14" s="13"/>
      <c r="P14" s="13"/>
    </row>
    <row r="15" spans="1:16" x14ac:dyDescent="0.25">
      <c r="A15" s="25" t="s">
        <v>72</v>
      </c>
      <c r="B15" s="56">
        <v>1711.15</v>
      </c>
      <c r="C15" s="46">
        <v>5930.06</v>
      </c>
      <c r="D15" s="47">
        <v>5570</v>
      </c>
      <c r="E15" s="47">
        <v>5250</v>
      </c>
      <c r="F15" s="13">
        <f t="shared" si="0"/>
        <v>9531105.5</v>
      </c>
      <c r="G15" s="13">
        <f t="shared" si="0"/>
        <v>31132815.000000004</v>
      </c>
      <c r="H15" s="26">
        <v>72.75</v>
      </c>
      <c r="I15" s="51">
        <v>1338000</v>
      </c>
      <c r="J15" s="27">
        <v>72</v>
      </c>
      <c r="K15" s="13">
        <v>672000</v>
      </c>
      <c r="L15" s="13">
        <v>63000</v>
      </c>
      <c r="M15" s="13">
        <v>509000</v>
      </c>
      <c r="N15" s="13">
        <v>172000</v>
      </c>
      <c r="O15" s="13"/>
      <c r="P15" s="13"/>
    </row>
    <row r="16" spans="1:16" x14ac:dyDescent="0.25">
      <c r="A16" s="25">
        <v>45335</v>
      </c>
      <c r="B16" s="56">
        <v>1755</v>
      </c>
      <c r="C16" s="46">
        <v>2331.8200000000002</v>
      </c>
      <c r="D16" s="47">
        <v>5570</v>
      </c>
      <c r="E16" s="47">
        <v>5250</v>
      </c>
      <c r="F16" s="13">
        <f t="shared" si="0"/>
        <v>9775350</v>
      </c>
      <c r="G16" s="13">
        <f t="shared" si="0"/>
        <v>12242055</v>
      </c>
      <c r="H16" s="26">
        <v>69.5</v>
      </c>
      <c r="I16" s="13">
        <v>1807500</v>
      </c>
      <c r="J16" s="27">
        <v>116</v>
      </c>
      <c r="K16" s="13">
        <v>1068000</v>
      </c>
      <c r="L16" s="13">
        <v>121000</v>
      </c>
      <c r="M16" s="13">
        <v>574400</v>
      </c>
      <c r="N16" s="13">
        <v>71000</v>
      </c>
      <c r="O16" s="13"/>
      <c r="P16" s="13"/>
    </row>
    <row r="17" spans="1:16" x14ac:dyDescent="0.25">
      <c r="A17" s="25">
        <v>45336</v>
      </c>
      <c r="B17" s="56">
        <v>1445.21</v>
      </c>
      <c r="C17" s="46">
        <v>4593.37</v>
      </c>
      <c r="D17" s="47">
        <v>5570</v>
      </c>
      <c r="E17" s="47">
        <v>5250</v>
      </c>
      <c r="F17" s="13">
        <f t="shared" si="0"/>
        <v>8049819.7000000002</v>
      </c>
      <c r="G17" s="13">
        <f t="shared" si="0"/>
        <v>24115192.5</v>
      </c>
      <c r="H17" s="26">
        <v>27.5</v>
      </c>
      <c r="I17" s="13">
        <v>558500</v>
      </c>
      <c r="J17" s="27">
        <v>60.5</v>
      </c>
      <c r="K17" s="13">
        <v>561000</v>
      </c>
      <c r="L17" s="13">
        <v>8000</v>
      </c>
      <c r="M17" s="13">
        <v>627000</v>
      </c>
      <c r="N17" s="13">
        <v>0</v>
      </c>
      <c r="O17" s="13"/>
      <c r="P17" s="13"/>
    </row>
    <row r="18" spans="1:16" x14ac:dyDescent="0.25">
      <c r="A18" s="25">
        <v>45337</v>
      </c>
      <c r="B18" s="56">
        <v>1429</v>
      </c>
      <c r="C18" s="46">
        <v>3556.19</v>
      </c>
      <c r="D18" s="47">
        <v>5570</v>
      </c>
      <c r="E18" s="47">
        <v>5250</v>
      </c>
      <c r="F18" s="13">
        <f t="shared" si="0"/>
        <v>7959530</v>
      </c>
      <c r="G18" s="13">
        <f t="shared" si="0"/>
        <v>18669997.5</v>
      </c>
      <c r="H18" s="13">
        <v>51</v>
      </c>
      <c r="I18" s="13">
        <v>1061000</v>
      </c>
      <c r="J18" s="27">
        <v>33.5</v>
      </c>
      <c r="K18" s="13">
        <v>309000</v>
      </c>
      <c r="L18" s="13">
        <v>54000</v>
      </c>
      <c r="M18" s="13">
        <v>468100</v>
      </c>
      <c r="N18" s="13">
        <v>80000</v>
      </c>
      <c r="O18" s="13"/>
      <c r="P18" s="13"/>
    </row>
    <row r="19" spans="1:16" x14ac:dyDescent="0.25">
      <c r="A19" s="25">
        <v>45338</v>
      </c>
      <c r="B19" s="56">
        <v>1697.36</v>
      </c>
      <c r="C19" s="46">
        <v>4532.67</v>
      </c>
      <c r="D19" s="47">
        <v>5570</v>
      </c>
      <c r="E19" s="47">
        <v>5250</v>
      </c>
      <c r="F19" s="13">
        <f t="shared" si="0"/>
        <v>9454295.1999999993</v>
      </c>
      <c r="G19" s="13">
        <f t="shared" si="0"/>
        <v>23796517.5</v>
      </c>
      <c r="H19" s="26">
        <v>43.25</v>
      </c>
      <c r="I19" s="13">
        <v>856500</v>
      </c>
      <c r="J19" s="27">
        <v>70</v>
      </c>
      <c r="K19" s="13">
        <v>646000</v>
      </c>
      <c r="L19" s="13">
        <v>78000</v>
      </c>
      <c r="M19" s="13">
        <v>807000</v>
      </c>
      <c r="N19" s="13">
        <v>240000</v>
      </c>
      <c r="O19" s="13"/>
      <c r="P19" s="13"/>
    </row>
    <row r="20" spans="1:16" x14ac:dyDescent="0.25">
      <c r="A20" s="25">
        <v>45339</v>
      </c>
      <c r="B20" s="56">
        <v>1718.11</v>
      </c>
      <c r="C20" s="46">
        <v>1828.82</v>
      </c>
      <c r="D20" s="47">
        <v>5570</v>
      </c>
      <c r="E20" s="47">
        <v>5250</v>
      </c>
      <c r="F20" s="13">
        <f>B20*D20</f>
        <v>9569872.6999999993</v>
      </c>
      <c r="G20" s="13">
        <f t="shared" si="0"/>
        <v>9601305</v>
      </c>
      <c r="H20" s="26">
        <v>50.25</v>
      </c>
      <c r="I20" s="13">
        <v>939000</v>
      </c>
      <c r="J20" s="27">
        <v>93</v>
      </c>
      <c r="K20" s="13">
        <v>736000</v>
      </c>
      <c r="L20" s="13">
        <v>16000</v>
      </c>
      <c r="M20" s="13">
        <v>535000</v>
      </c>
      <c r="N20" s="13">
        <v>240000</v>
      </c>
      <c r="O20" s="13"/>
      <c r="P20" s="13"/>
    </row>
    <row r="21" spans="1:16" x14ac:dyDescent="0.25">
      <c r="A21" s="25">
        <v>45340</v>
      </c>
      <c r="B21" s="56">
        <v>1607</v>
      </c>
      <c r="C21" s="46">
        <v>1757.83</v>
      </c>
      <c r="D21" s="47">
        <v>5570</v>
      </c>
      <c r="E21" s="47">
        <v>5250</v>
      </c>
      <c r="F21" s="13">
        <f t="shared" si="0"/>
        <v>8950990</v>
      </c>
      <c r="G21" s="13">
        <f t="shared" si="0"/>
        <v>9228607.5</v>
      </c>
      <c r="H21" s="26">
        <v>37.25</v>
      </c>
      <c r="I21" s="13">
        <v>712000</v>
      </c>
      <c r="J21" s="12">
        <v>6</v>
      </c>
      <c r="K21" s="13">
        <v>56000</v>
      </c>
      <c r="L21" s="13">
        <v>40000</v>
      </c>
      <c r="M21" s="13">
        <v>571000</v>
      </c>
      <c r="N21" s="13">
        <v>0</v>
      </c>
      <c r="O21" s="13"/>
      <c r="P21" s="12"/>
    </row>
    <row r="22" spans="1:16" x14ac:dyDescent="0.25">
      <c r="A22" s="25">
        <v>45341</v>
      </c>
      <c r="B22" s="56">
        <v>2049.9</v>
      </c>
      <c r="C22" s="46">
        <v>3943.39</v>
      </c>
      <c r="D22" s="47">
        <v>5570</v>
      </c>
      <c r="E22" s="47">
        <v>5199</v>
      </c>
      <c r="F22" s="13">
        <f t="shared" si="0"/>
        <v>11417943</v>
      </c>
      <c r="G22" s="13">
        <f t="shared" si="0"/>
        <v>20501684.609999999</v>
      </c>
      <c r="H22" s="26">
        <v>60.5</v>
      </c>
      <c r="I22" s="13">
        <v>1270000</v>
      </c>
      <c r="J22" s="12">
        <v>21</v>
      </c>
      <c r="K22" s="13">
        <v>196000</v>
      </c>
      <c r="L22" s="13">
        <v>8000</v>
      </c>
      <c r="M22" s="13">
        <v>640500</v>
      </c>
      <c r="N22" s="13">
        <v>80000</v>
      </c>
      <c r="O22" s="13"/>
      <c r="P22" s="12"/>
    </row>
    <row r="23" spans="1:16" x14ac:dyDescent="0.25">
      <c r="A23" s="25" t="s">
        <v>73</v>
      </c>
      <c r="B23" s="56">
        <v>1947</v>
      </c>
      <c r="C23" s="46">
        <v>3604.53</v>
      </c>
      <c r="D23" s="47">
        <v>5570</v>
      </c>
      <c r="E23" s="47">
        <v>5199</v>
      </c>
      <c r="F23" s="13">
        <f t="shared" si="0"/>
        <v>10844790</v>
      </c>
      <c r="G23" s="13">
        <f t="shared" si="0"/>
        <v>18739951.470000003</v>
      </c>
      <c r="H23" s="26">
        <v>34</v>
      </c>
      <c r="I23" s="13">
        <v>678000</v>
      </c>
      <c r="J23" s="12">
        <v>39.5</v>
      </c>
      <c r="K23" s="13">
        <v>365000</v>
      </c>
      <c r="L23" s="13">
        <v>0</v>
      </c>
      <c r="M23" s="13">
        <v>523500</v>
      </c>
      <c r="N23" s="13">
        <v>151000</v>
      </c>
      <c r="O23" s="13"/>
      <c r="P23" s="12"/>
    </row>
    <row r="24" spans="1:16" x14ac:dyDescent="0.25">
      <c r="A24" s="25">
        <v>45343</v>
      </c>
      <c r="B24" s="56">
        <v>1556.35</v>
      </c>
      <c r="C24" s="46">
        <v>2152</v>
      </c>
      <c r="D24" s="47">
        <v>5570</v>
      </c>
      <c r="E24" s="47">
        <v>5199</v>
      </c>
      <c r="F24" s="13">
        <f t="shared" si="0"/>
        <v>8668869.5</v>
      </c>
      <c r="G24" s="13">
        <f t="shared" si="0"/>
        <v>11188248</v>
      </c>
      <c r="H24" s="26">
        <v>185</v>
      </c>
      <c r="I24" s="13">
        <v>4134000</v>
      </c>
      <c r="J24" s="12">
        <v>42</v>
      </c>
      <c r="K24" s="13">
        <v>392000</v>
      </c>
      <c r="L24" s="13">
        <v>108000</v>
      </c>
      <c r="M24" s="13">
        <v>652000</v>
      </c>
      <c r="N24" s="13">
        <v>160000</v>
      </c>
      <c r="O24" s="13"/>
      <c r="P24" s="12"/>
    </row>
    <row r="25" spans="1:16" x14ac:dyDescent="0.25">
      <c r="A25" s="25">
        <v>45344</v>
      </c>
      <c r="B25" s="56">
        <v>1623.5</v>
      </c>
      <c r="C25" s="46">
        <v>3471.66</v>
      </c>
      <c r="D25" s="47">
        <v>5570</v>
      </c>
      <c r="E25" s="47">
        <v>5199</v>
      </c>
      <c r="F25" s="13">
        <f t="shared" si="0"/>
        <v>9042895</v>
      </c>
      <c r="G25" s="13">
        <f t="shared" si="0"/>
        <v>18049160.34</v>
      </c>
      <c r="H25" s="26">
        <v>52.5</v>
      </c>
      <c r="I25" s="13">
        <v>1047500</v>
      </c>
      <c r="J25" s="12">
        <v>55</v>
      </c>
      <c r="K25" s="13">
        <v>506000</v>
      </c>
      <c r="L25" s="13">
        <v>90000</v>
      </c>
      <c r="M25" s="13">
        <v>681500</v>
      </c>
      <c r="N25" s="13">
        <v>286500</v>
      </c>
      <c r="O25" s="13"/>
      <c r="P25" s="12"/>
    </row>
    <row r="26" spans="1:16" x14ac:dyDescent="0.25">
      <c r="A26" s="25">
        <v>45345</v>
      </c>
      <c r="B26" s="56">
        <v>1872.29</v>
      </c>
      <c r="C26" s="46">
        <v>1959</v>
      </c>
      <c r="D26" s="47">
        <v>5570</v>
      </c>
      <c r="E26" s="47">
        <v>5199</v>
      </c>
      <c r="F26" s="13">
        <f t="shared" si="0"/>
        <v>10428655.299999999</v>
      </c>
      <c r="G26" s="13">
        <f t="shared" si="0"/>
        <v>10184841</v>
      </c>
      <c r="H26" s="26">
        <v>29.5</v>
      </c>
      <c r="I26" s="13">
        <v>571500</v>
      </c>
      <c r="J26" s="12">
        <v>89.5</v>
      </c>
      <c r="K26" s="13">
        <v>707000</v>
      </c>
      <c r="L26" s="13">
        <v>53000</v>
      </c>
      <c r="M26" s="13">
        <v>737500</v>
      </c>
      <c r="N26" s="13">
        <v>80000</v>
      </c>
      <c r="O26" s="13"/>
      <c r="P26" s="12"/>
    </row>
    <row r="27" spans="1:16" x14ac:dyDescent="0.25">
      <c r="A27" s="25">
        <v>45346</v>
      </c>
      <c r="B27" s="56">
        <v>2318.6</v>
      </c>
      <c r="C27" s="46">
        <v>2529.58</v>
      </c>
      <c r="D27" s="47">
        <v>5570</v>
      </c>
      <c r="E27" s="47">
        <v>5199</v>
      </c>
      <c r="F27" s="13">
        <f t="shared" si="0"/>
        <v>12914602</v>
      </c>
      <c r="G27" s="13">
        <f t="shared" si="0"/>
        <v>13151286.42</v>
      </c>
      <c r="H27" s="26">
        <v>68.75</v>
      </c>
      <c r="I27" s="13">
        <v>1500000</v>
      </c>
      <c r="J27" s="12">
        <v>92</v>
      </c>
      <c r="K27" s="13">
        <v>844000</v>
      </c>
      <c r="L27" s="13">
        <v>8000</v>
      </c>
      <c r="M27" s="13">
        <v>970500</v>
      </c>
      <c r="N27" s="13">
        <v>160000</v>
      </c>
      <c r="O27" s="13"/>
      <c r="P27" s="12"/>
    </row>
    <row r="28" spans="1:16" x14ac:dyDescent="0.25">
      <c r="A28" s="25">
        <v>45347</v>
      </c>
      <c r="B28" s="56">
        <v>1448</v>
      </c>
      <c r="C28" s="46">
        <v>2080.7199999999998</v>
      </c>
      <c r="D28" s="47">
        <v>5570</v>
      </c>
      <c r="E28" s="47">
        <v>5199</v>
      </c>
      <c r="F28" s="13">
        <f t="shared" si="0"/>
        <v>8065360</v>
      </c>
      <c r="G28" s="13">
        <f t="shared" si="0"/>
        <v>10817663.279999999</v>
      </c>
      <c r="H28" s="26">
        <v>11.75</v>
      </c>
      <c r="I28" s="13">
        <v>271500</v>
      </c>
      <c r="J28" s="12">
        <v>51.5</v>
      </c>
      <c r="K28" s="13">
        <v>477000</v>
      </c>
      <c r="L28" s="13">
        <v>0</v>
      </c>
      <c r="M28" s="13">
        <v>654000</v>
      </c>
      <c r="N28" s="13">
        <v>160000</v>
      </c>
      <c r="O28" s="13"/>
      <c r="P28" s="12"/>
    </row>
    <row r="29" spans="1:16" x14ac:dyDescent="0.25">
      <c r="A29" s="25">
        <v>45348</v>
      </c>
      <c r="B29" s="56">
        <v>1907.77</v>
      </c>
      <c r="C29" s="46">
        <v>5550.12</v>
      </c>
      <c r="D29" s="47">
        <v>5570</v>
      </c>
      <c r="E29" s="47">
        <v>5199</v>
      </c>
      <c r="F29" s="13">
        <f t="shared" si="0"/>
        <v>10626278.9</v>
      </c>
      <c r="G29" s="13">
        <f t="shared" si="0"/>
        <v>28855073.879999999</v>
      </c>
      <c r="H29" s="26">
        <v>54.75</v>
      </c>
      <c r="I29" s="13">
        <v>1006500</v>
      </c>
      <c r="J29" s="12">
        <v>98</v>
      </c>
      <c r="K29" s="13">
        <v>900000</v>
      </c>
      <c r="L29" s="13">
        <v>65000</v>
      </c>
      <c r="M29" s="13">
        <v>562000</v>
      </c>
      <c r="N29" s="13">
        <v>0</v>
      </c>
      <c r="O29" s="13"/>
      <c r="P29" s="12"/>
    </row>
    <row r="30" spans="1:16" x14ac:dyDescent="0.25">
      <c r="A30" s="25">
        <v>45349</v>
      </c>
      <c r="B30" s="56">
        <v>1582.51</v>
      </c>
      <c r="C30" s="46">
        <v>2637.5</v>
      </c>
      <c r="D30" s="47">
        <v>5570</v>
      </c>
      <c r="E30" s="47">
        <v>5199</v>
      </c>
      <c r="F30" s="13">
        <f t="shared" si="0"/>
        <v>8814580.6999999993</v>
      </c>
      <c r="G30" s="13">
        <f t="shared" si="0"/>
        <v>13712362.5</v>
      </c>
      <c r="H30" s="26">
        <v>42.25</v>
      </c>
      <c r="I30" s="13">
        <v>1003000</v>
      </c>
      <c r="J30" s="12">
        <v>42</v>
      </c>
      <c r="K30" s="13">
        <v>392000</v>
      </c>
      <c r="L30" s="13">
        <v>31000</v>
      </c>
      <c r="M30" s="13">
        <v>473500</v>
      </c>
      <c r="N30" s="13">
        <v>80000</v>
      </c>
      <c r="O30" s="13"/>
      <c r="P30" s="12"/>
    </row>
    <row r="31" spans="1:16" x14ac:dyDescent="0.25">
      <c r="A31" s="25">
        <v>45350</v>
      </c>
      <c r="B31" s="56">
        <v>1002.3</v>
      </c>
      <c r="C31" s="46">
        <v>3023.55</v>
      </c>
      <c r="D31" s="47">
        <v>5570</v>
      </c>
      <c r="E31" s="47">
        <v>5199</v>
      </c>
      <c r="F31" s="13">
        <f t="shared" si="0"/>
        <v>5582811</v>
      </c>
      <c r="G31" s="13">
        <f t="shared" si="0"/>
        <v>15719436.450000001</v>
      </c>
      <c r="H31" s="26">
        <v>70.75</v>
      </c>
      <c r="I31" s="13">
        <v>1386500</v>
      </c>
      <c r="J31" s="12">
        <v>36.5</v>
      </c>
      <c r="K31" s="13">
        <v>337000</v>
      </c>
      <c r="L31" s="13">
        <v>23000</v>
      </c>
      <c r="M31" s="13">
        <v>522500</v>
      </c>
      <c r="N31" s="13">
        <v>0</v>
      </c>
      <c r="O31" s="13"/>
      <c r="P31" s="12"/>
    </row>
    <row r="32" spans="1:16" x14ac:dyDescent="0.25">
      <c r="A32" s="25">
        <v>45351</v>
      </c>
      <c r="B32" s="56">
        <v>1614</v>
      </c>
      <c r="C32" s="46">
        <v>2831.01</v>
      </c>
      <c r="D32" s="47">
        <v>5570</v>
      </c>
      <c r="E32" s="47">
        <v>5199</v>
      </c>
      <c r="F32" s="13">
        <f t="shared" si="0"/>
        <v>8989980</v>
      </c>
      <c r="G32" s="13">
        <f t="shared" si="0"/>
        <v>14718420.99</v>
      </c>
      <c r="H32" s="26">
        <v>18</v>
      </c>
      <c r="I32" s="13">
        <v>403000</v>
      </c>
      <c r="J32" s="12">
        <v>120</v>
      </c>
      <c r="K32" s="13">
        <v>988000</v>
      </c>
      <c r="L32" s="13">
        <v>8000</v>
      </c>
      <c r="M32" s="13">
        <v>552500</v>
      </c>
      <c r="N32" s="13">
        <v>160000</v>
      </c>
      <c r="O32" s="13"/>
      <c r="P32" s="12"/>
    </row>
    <row r="33" spans="1:16" x14ac:dyDescent="0.25">
      <c r="A33" s="25" t="s">
        <v>74</v>
      </c>
      <c r="B33" s="56"/>
      <c r="C33" s="46"/>
      <c r="D33" s="47"/>
      <c r="E33" s="47"/>
      <c r="F33" s="13">
        <f t="shared" si="0"/>
        <v>0</v>
      </c>
      <c r="G33" s="13">
        <f t="shared" si="0"/>
        <v>0</v>
      </c>
      <c r="H33" s="26"/>
      <c r="I33" s="13"/>
      <c r="J33" s="12"/>
      <c r="K33" s="13"/>
      <c r="L33" s="13"/>
      <c r="M33" s="13"/>
      <c r="N33" s="13"/>
      <c r="O33" s="13"/>
      <c r="P33" s="12"/>
    </row>
    <row r="34" spans="1:16" x14ac:dyDescent="0.25">
      <c r="A34" s="25" t="s">
        <v>75</v>
      </c>
      <c r="B34" s="56"/>
      <c r="C34" s="46"/>
      <c r="D34" s="47"/>
      <c r="E34" s="47"/>
      <c r="F34" s="13">
        <f t="shared" ref="F34:G34" si="1">B34*D34</f>
        <v>0</v>
      </c>
      <c r="G34" s="13">
        <f t="shared" si="1"/>
        <v>0</v>
      </c>
      <c r="H34" s="26"/>
      <c r="I34" s="13"/>
      <c r="J34" s="12"/>
      <c r="K34" s="13"/>
      <c r="L34" s="13"/>
      <c r="M34" s="13"/>
      <c r="N34" s="13"/>
      <c r="O34" s="13"/>
      <c r="P34" s="12"/>
    </row>
    <row r="35" spans="1:16" x14ac:dyDescent="0.25">
      <c r="A35" s="15"/>
      <c r="B35" s="37"/>
      <c r="C35" s="37"/>
      <c r="D35" s="38"/>
      <c r="E35" s="38"/>
      <c r="F35" s="39"/>
      <c r="G35" s="39"/>
      <c r="H35" s="39"/>
      <c r="I35" s="13"/>
      <c r="J35" s="15"/>
      <c r="K35" s="38"/>
      <c r="L35" s="38"/>
      <c r="M35" s="13"/>
      <c r="N35" s="38"/>
      <c r="O35" s="38"/>
      <c r="P35" s="15"/>
    </row>
    <row r="36" spans="1:16" x14ac:dyDescent="0.25">
      <c r="A36" s="15"/>
      <c r="B36" s="37">
        <f>SUM(B4:B35)</f>
        <v>52785.520000000004</v>
      </c>
      <c r="C36" s="37">
        <f>SUM(C4:C35)</f>
        <v>96401.030000000013</v>
      </c>
      <c r="D36" s="38">
        <f>SUM(D4:D35)</f>
        <v>161530</v>
      </c>
      <c r="E36" s="38"/>
      <c r="F36" s="39">
        <f>SUM(F4:F35)</f>
        <v>294015346.39999998</v>
      </c>
      <c r="G36" s="39">
        <f>SUM(G4:G35)</f>
        <v>504382471.44</v>
      </c>
      <c r="H36" s="39">
        <f t="shared" ref="H36" si="2">SUM(H4:H35)</f>
        <v>1493.5</v>
      </c>
      <c r="I36" s="39">
        <v>33485900</v>
      </c>
      <c r="J36" s="39">
        <v>1763</v>
      </c>
      <c r="K36" s="39">
        <f>SUM(K4:K35)</f>
        <v>16141000</v>
      </c>
      <c r="L36" s="39">
        <f>SUM(L4:L35)</f>
        <v>1260000</v>
      </c>
      <c r="M36" s="38">
        <f>SUM(M4:M35)</f>
        <v>18014200</v>
      </c>
      <c r="N36" s="38">
        <f>SUM(N5:N35)</f>
        <v>3396500</v>
      </c>
      <c r="O36" s="38"/>
      <c r="P36" s="15"/>
    </row>
  </sheetData>
  <mergeCells count="7">
    <mergeCell ref="B1:P1"/>
    <mergeCell ref="B2:C2"/>
    <mergeCell ref="D2:E2"/>
    <mergeCell ref="F2:G2"/>
    <mergeCell ref="H2:I2"/>
    <mergeCell ref="J2:K2"/>
    <mergeCell ref="N2:P2"/>
  </mergeCells>
  <pageMargins left="0.7" right="0.7" top="0.75" bottom="0.75" header="0.3" footer="0.3"/>
  <pageSetup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36"/>
  <sheetViews>
    <sheetView topLeftCell="A15" workbookViewId="0">
      <selection activeCell="M27" sqref="M27"/>
    </sheetView>
  </sheetViews>
  <sheetFormatPr defaultRowHeight="15" x14ac:dyDescent="0.25"/>
  <cols>
    <col min="1" max="1" width="9.42578125" bestFit="1" customWidth="1"/>
    <col min="2" max="2" width="11.7109375" customWidth="1"/>
    <col min="3" max="3" width="11.85546875" customWidth="1"/>
    <col min="5" max="5" width="12.28515625" customWidth="1"/>
    <col min="6" max="6" width="12.7109375" customWidth="1"/>
    <col min="7" max="7" width="10.7109375" customWidth="1"/>
    <col min="8" max="8" width="14.28515625" customWidth="1"/>
    <col min="9" max="9" width="13.42578125" customWidth="1"/>
    <col min="10" max="10" width="12.5703125" customWidth="1"/>
    <col min="11" max="11" width="13.140625" customWidth="1"/>
    <col min="12" max="12" width="13" customWidth="1"/>
    <col min="13" max="13" width="13.140625" customWidth="1"/>
    <col min="14" max="14" width="10.85546875" customWidth="1"/>
    <col min="15" max="15" width="12" customWidth="1"/>
    <col min="16" max="16" width="17.5703125" customWidth="1"/>
  </cols>
  <sheetData>
    <row r="1" spans="1:16" ht="18.75" x14ac:dyDescent="0.3">
      <c r="A1" s="6"/>
      <c r="B1" s="81" t="s">
        <v>45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1:16" x14ac:dyDescent="0.25">
      <c r="A2" s="12" t="s">
        <v>0</v>
      </c>
      <c r="B2" s="82" t="s">
        <v>5</v>
      </c>
      <c r="C2" s="82"/>
      <c r="D2" s="83" t="s">
        <v>12</v>
      </c>
      <c r="E2" s="83"/>
      <c r="F2" s="83" t="s">
        <v>6</v>
      </c>
      <c r="G2" s="83"/>
      <c r="H2" s="84" t="s">
        <v>7</v>
      </c>
      <c r="I2" s="84"/>
      <c r="J2" s="84" t="s">
        <v>8</v>
      </c>
      <c r="K2" s="84"/>
      <c r="L2" s="13"/>
      <c r="M2" s="13"/>
      <c r="N2" s="84" t="s">
        <v>15</v>
      </c>
      <c r="O2" s="84"/>
      <c r="P2" s="84"/>
    </row>
    <row r="3" spans="1:16" x14ac:dyDescent="0.25">
      <c r="A3" s="16"/>
      <c r="B3" s="17" t="s">
        <v>1</v>
      </c>
      <c r="C3" s="17" t="s">
        <v>2</v>
      </c>
      <c r="D3" s="18" t="s">
        <v>1</v>
      </c>
      <c r="E3" s="18" t="s">
        <v>2</v>
      </c>
      <c r="F3" s="19" t="s">
        <v>1</v>
      </c>
      <c r="G3" s="19" t="s">
        <v>2</v>
      </c>
      <c r="H3" s="19" t="s">
        <v>9</v>
      </c>
      <c r="I3" s="18" t="s">
        <v>10</v>
      </c>
      <c r="J3" s="16" t="s">
        <v>11</v>
      </c>
      <c r="K3" s="18" t="s">
        <v>10</v>
      </c>
      <c r="L3" s="18" t="s">
        <v>4</v>
      </c>
      <c r="M3" s="18" t="s">
        <v>67</v>
      </c>
      <c r="N3" s="18" t="s">
        <v>52</v>
      </c>
      <c r="O3" s="18" t="s">
        <v>40</v>
      </c>
      <c r="P3" s="16" t="s">
        <v>28</v>
      </c>
    </row>
    <row r="4" spans="1:16" x14ac:dyDescent="0.25">
      <c r="A4" s="25">
        <v>45352</v>
      </c>
      <c r="B4" s="46">
        <v>1829.98</v>
      </c>
      <c r="C4" s="46">
        <v>2137.19</v>
      </c>
      <c r="D4" s="47">
        <v>5570</v>
      </c>
      <c r="E4" s="47">
        <v>5199</v>
      </c>
      <c r="F4" s="13"/>
      <c r="G4" s="13"/>
      <c r="H4" s="26">
        <v>37.75</v>
      </c>
      <c r="I4" s="13">
        <v>807500</v>
      </c>
      <c r="J4" s="27">
        <v>82</v>
      </c>
      <c r="K4" s="13">
        <v>730000</v>
      </c>
      <c r="L4" s="13">
        <v>145000</v>
      </c>
      <c r="M4" s="13">
        <v>726000</v>
      </c>
      <c r="N4" s="13">
        <v>177000</v>
      </c>
      <c r="O4" s="13"/>
      <c r="P4" s="13"/>
    </row>
    <row r="5" spans="1:16" x14ac:dyDescent="0.25">
      <c r="A5" s="25">
        <v>45353</v>
      </c>
      <c r="B5" s="46">
        <v>1780.64</v>
      </c>
      <c r="C5" s="46">
        <v>4242.49</v>
      </c>
      <c r="D5" s="47">
        <v>5570</v>
      </c>
      <c r="E5" s="47">
        <v>5199</v>
      </c>
      <c r="F5" s="13"/>
      <c r="G5" s="13"/>
      <c r="H5" s="31">
        <v>39.75</v>
      </c>
      <c r="I5" s="13">
        <v>793000</v>
      </c>
      <c r="J5" s="27">
        <v>98</v>
      </c>
      <c r="K5" s="13">
        <v>917000</v>
      </c>
      <c r="L5" s="13">
        <v>8000</v>
      </c>
      <c r="M5" s="13">
        <v>759000</v>
      </c>
      <c r="N5" s="13">
        <v>177000</v>
      </c>
      <c r="O5" s="13"/>
      <c r="P5" s="13"/>
    </row>
    <row r="6" spans="1:16" x14ac:dyDescent="0.25">
      <c r="A6" s="25">
        <v>45354</v>
      </c>
      <c r="B6" s="46">
        <v>1873.2</v>
      </c>
      <c r="C6" s="46">
        <v>2999.9</v>
      </c>
      <c r="D6" s="47">
        <v>5570</v>
      </c>
      <c r="E6" s="47">
        <v>5199</v>
      </c>
      <c r="F6" s="13"/>
      <c r="G6" s="13"/>
      <c r="H6" s="26">
        <v>65.25</v>
      </c>
      <c r="I6" s="13">
        <v>1483500</v>
      </c>
      <c r="J6" s="27">
        <v>72.5</v>
      </c>
      <c r="K6" s="13">
        <v>673000</v>
      </c>
      <c r="L6" s="13">
        <v>48000</v>
      </c>
      <c r="M6" s="13">
        <v>552000</v>
      </c>
      <c r="N6" s="13">
        <v>112000</v>
      </c>
      <c r="O6" s="13"/>
      <c r="P6" s="13"/>
    </row>
    <row r="7" spans="1:16" x14ac:dyDescent="0.25">
      <c r="A7" s="25">
        <v>45355</v>
      </c>
      <c r="B7" s="46">
        <v>1804</v>
      </c>
      <c r="C7" s="46">
        <v>2769</v>
      </c>
      <c r="D7" s="47">
        <v>5570</v>
      </c>
      <c r="E7" s="47">
        <v>5199</v>
      </c>
      <c r="F7" s="13"/>
      <c r="G7" s="13"/>
      <c r="H7" s="26">
        <v>99</v>
      </c>
      <c r="I7" s="13">
        <v>2066500</v>
      </c>
      <c r="J7" s="27">
        <v>70</v>
      </c>
      <c r="K7" s="13">
        <v>646000</v>
      </c>
      <c r="L7" s="13">
        <v>115000</v>
      </c>
      <c r="M7" s="13">
        <v>481000</v>
      </c>
      <c r="N7" s="13">
        <v>177000</v>
      </c>
      <c r="O7" s="13"/>
      <c r="P7" s="13"/>
    </row>
    <row r="8" spans="1:16" x14ac:dyDescent="0.25">
      <c r="A8" s="25">
        <v>45356</v>
      </c>
      <c r="B8" s="46">
        <v>1427.33</v>
      </c>
      <c r="C8" s="46">
        <v>6503</v>
      </c>
      <c r="D8" s="47">
        <v>5570</v>
      </c>
      <c r="E8" s="47">
        <v>5199</v>
      </c>
      <c r="F8" s="13"/>
      <c r="G8" s="13"/>
      <c r="H8" s="26">
        <v>65.25</v>
      </c>
      <c r="I8" s="13">
        <v>1424500</v>
      </c>
      <c r="J8" s="27">
        <v>70</v>
      </c>
      <c r="K8" s="13">
        <v>646000</v>
      </c>
      <c r="L8" s="13">
        <v>63000</v>
      </c>
      <c r="M8" s="13">
        <v>515000</v>
      </c>
      <c r="N8" s="13">
        <v>192000</v>
      </c>
      <c r="O8" s="13"/>
      <c r="P8" s="13"/>
    </row>
    <row r="9" spans="1:16" x14ac:dyDescent="0.25">
      <c r="A9" s="25">
        <v>45357</v>
      </c>
      <c r="B9" s="46">
        <v>1324</v>
      </c>
      <c r="C9" s="46">
        <v>1490</v>
      </c>
      <c r="D9" s="47">
        <v>5570</v>
      </c>
      <c r="E9" s="47">
        <v>5199</v>
      </c>
      <c r="F9" s="13"/>
      <c r="G9" s="13"/>
      <c r="H9" s="26">
        <v>14.25</v>
      </c>
      <c r="I9" s="13">
        <v>295500</v>
      </c>
      <c r="J9" s="27">
        <v>48</v>
      </c>
      <c r="K9" s="13">
        <v>448000</v>
      </c>
      <c r="L9" s="13">
        <v>8000</v>
      </c>
      <c r="M9" s="13">
        <v>618000</v>
      </c>
      <c r="N9" s="13">
        <v>388000</v>
      </c>
      <c r="O9" s="13"/>
      <c r="P9" s="31"/>
    </row>
    <row r="10" spans="1:16" x14ac:dyDescent="0.25">
      <c r="A10" s="25">
        <v>45358</v>
      </c>
      <c r="B10" s="46">
        <v>1703.01</v>
      </c>
      <c r="C10" s="46">
        <v>1359.17</v>
      </c>
      <c r="D10" s="47">
        <v>5570</v>
      </c>
      <c r="E10" s="47">
        <v>5199</v>
      </c>
      <c r="F10" s="13"/>
      <c r="G10" s="13"/>
      <c r="H10" s="26">
        <v>40</v>
      </c>
      <c r="I10" s="13">
        <v>819500</v>
      </c>
      <c r="J10" s="27">
        <v>86.5</v>
      </c>
      <c r="K10" s="13">
        <v>789000</v>
      </c>
      <c r="L10" s="13">
        <v>8000</v>
      </c>
      <c r="M10" s="13">
        <v>550200</v>
      </c>
      <c r="N10" s="13">
        <v>194000</v>
      </c>
      <c r="O10" s="13"/>
      <c r="P10" s="13"/>
    </row>
    <row r="11" spans="1:16" x14ac:dyDescent="0.25">
      <c r="A11" s="25">
        <v>45359</v>
      </c>
      <c r="B11" s="46">
        <v>1766.53</v>
      </c>
      <c r="C11" s="46">
        <v>1946.35</v>
      </c>
      <c r="D11" s="47">
        <v>5570</v>
      </c>
      <c r="E11" s="47">
        <v>5199</v>
      </c>
      <c r="F11" s="13"/>
      <c r="G11" s="13"/>
      <c r="H11" s="26">
        <v>44</v>
      </c>
      <c r="I11" s="13">
        <v>901500</v>
      </c>
      <c r="J11" s="27">
        <v>61</v>
      </c>
      <c r="K11" s="13">
        <v>562000</v>
      </c>
      <c r="L11" s="13">
        <v>23000</v>
      </c>
      <c r="M11" s="13">
        <v>1061500</v>
      </c>
      <c r="N11" s="13">
        <v>308000</v>
      </c>
      <c r="O11" s="13"/>
      <c r="P11" s="13"/>
    </row>
    <row r="12" spans="1:16" x14ac:dyDescent="0.25">
      <c r="A12" s="25">
        <v>45360</v>
      </c>
      <c r="B12" s="46">
        <v>1616</v>
      </c>
      <c r="C12" s="46">
        <v>730.48</v>
      </c>
      <c r="D12" s="47">
        <v>5570</v>
      </c>
      <c r="E12" s="47">
        <v>5199</v>
      </c>
      <c r="F12" s="13"/>
      <c r="G12" s="13"/>
      <c r="H12" s="26">
        <v>25</v>
      </c>
      <c r="I12" s="13">
        <v>494500</v>
      </c>
      <c r="J12" s="27">
        <v>18</v>
      </c>
      <c r="K12" s="13">
        <v>168000</v>
      </c>
      <c r="L12" s="13">
        <v>30000</v>
      </c>
      <c r="M12" s="13">
        <v>718500</v>
      </c>
      <c r="N12" s="13">
        <v>0</v>
      </c>
      <c r="O12" s="13"/>
      <c r="P12" s="13"/>
    </row>
    <row r="13" spans="1:16" x14ac:dyDescent="0.25">
      <c r="A13" s="25">
        <v>45361</v>
      </c>
      <c r="B13" s="46">
        <v>1463.37</v>
      </c>
      <c r="C13" s="46">
        <v>3312.78</v>
      </c>
      <c r="D13" s="47">
        <v>5570</v>
      </c>
      <c r="E13" s="47">
        <v>5199</v>
      </c>
      <c r="F13" s="13"/>
      <c r="G13" s="13"/>
      <c r="H13" s="26">
        <v>54</v>
      </c>
      <c r="I13" s="13">
        <v>1219500</v>
      </c>
      <c r="J13" s="27">
        <v>102.5</v>
      </c>
      <c r="K13" s="13">
        <v>821000</v>
      </c>
      <c r="L13" s="13">
        <v>55000</v>
      </c>
      <c r="M13" s="13">
        <v>1574400</v>
      </c>
      <c r="N13" s="13">
        <v>345000</v>
      </c>
      <c r="O13" s="13"/>
      <c r="P13" s="13"/>
    </row>
    <row r="14" spans="1:16" x14ac:dyDescent="0.25">
      <c r="A14" s="25">
        <v>45362</v>
      </c>
      <c r="B14" s="46">
        <v>1686.98</v>
      </c>
      <c r="C14" s="46">
        <v>3126.57</v>
      </c>
      <c r="D14" s="47">
        <v>5570</v>
      </c>
      <c r="E14" s="47">
        <v>5199</v>
      </c>
      <c r="F14" s="13"/>
      <c r="G14" s="13"/>
      <c r="H14" s="26">
        <v>78</v>
      </c>
      <c r="I14" s="13">
        <v>1592500</v>
      </c>
      <c r="J14" s="27">
        <v>58.5</v>
      </c>
      <c r="K14" s="13">
        <v>535000</v>
      </c>
      <c r="L14" s="13">
        <v>15000</v>
      </c>
      <c r="M14" s="13">
        <v>619500</v>
      </c>
      <c r="N14" s="13">
        <v>97000</v>
      </c>
      <c r="O14" s="13"/>
      <c r="P14" s="13"/>
    </row>
    <row r="15" spans="1:16" x14ac:dyDescent="0.25">
      <c r="A15" s="25" t="s">
        <v>78</v>
      </c>
      <c r="B15" s="46">
        <v>1432.23</v>
      </c>
      <c r="C15" s="46">
        <v>2579.2199999999998</v>
      </c>
      <c r="D15" s="47">
        <v>5570</v>
      </c>
      <c r="E15" s="47">
        <v>5199</v>
      </c>
      <c r="F15" s="13"/>
      <c r="G15" s="13"/>
      <c r="H15" s="26">
        <v>86.5</v>
      </c>
      <c r="I15" s="51">
        <v>1814500</v>
      </c>
      <c r="J15" s="27">
        <v>42</v>
      </c>
      <c r="K15" s="13">
        <v>392000</v>
      </c>
      <c r="L15" s="13">
        <v>155000</v>
      </c>
      <c r="M15" s="13">
        <v>487500</v>
      </c>
      <c r="N15" s="13">
        <v>160000</v>
      </c>
      <c r="O15" s="13"/>
      <c r="P15" s="13"/>
    </row>
    <row r="16" spans="1:16" x14ac:dyDescent="0.25">
      <c r="A16" s="25">
        <v>45364</v>
      </c>
      <c r="B16" s="46">
        <v>1463.53</v>
      </c>
      <c r="C16" s="46">
        <v>3513.97</v>
      </c>
      <c r="D16" s="47">
        <v>5570</v>
      </c>
      <c r="E16" s="47">
        <v>5199</v>
      </c>
      <c r="F16" s="13"/>
      <c r="G16" s="13"/>
      <c r="H16" s="26">
        <v>38.5</v>
      </c>
      <c r="I16" s="13">
        <v>732000</v>
      </c>
      <c r="J16" s="27">
        <v>55.5</v>
      </c>
      <c r="K16" s="13">
        <v>507000</v>
      </c>
      <c r="L16" s="13">
        <v>43000</v>
      </c>
      <c r="M16" s="13">
        <v>558100</v>
      </c>
      <c r="N16" s="13">
        <v>17000</v>
      </c>
      <c r="O16" s="13"/>
      <c r="P16" s="13"/>
    </row>
    <row r="17" spans="1:16" x14ac:dyDescent="0.25">
      <c r="A17" s="25">
        <v>45365</v>
      </c>
      <c r="B17" s="46">
        <v>1333.88</v>
      </c>
      <c r="C17" s="46">
        <v>3135.87</v>
      </c>
      <c r="D17" s="47">
        <v>5570</v>
      </c>
      <c r="E17" s="47">
        <v>5199</v>
      </c>
      <c r="F17" s="13"/>
      <c r="G17" s="13"/>
      <c r="H17" s="26">
        <v>21.75</v>
      </c>
      <c r="I17" s="13">
        <v>433000</v>
      </c>
      <c r="J17" s="27">
        <v>18</v>
      </c>
      <c r="K17" s="13">
        <v>168000</v>
      </c>
      <c r="L17" s="13">
        <v>8000</v>
      </c>
      <c r="M17" s="13">
        <v>484200</v>
      </c>
      <c r="N17" s="13">
        <v>0</v>
      </c>
      <c r="O17" s="13"/>
      <c r="P17" s="13"/>
    </row>
    <row r="18" spans="1:16" x14ac:dyDescent="0.25">
      <c r="A18" s="25">
        <v>45366</v>
      </c>
      <c r="B18" s="46">
        <v>1553.07</v>
      </c>
      <c r="C18" s="46">
        <v>2842.32</v>
      </c>
      <c r="D18" s="47">
        <v>5570</v>
      </c>
      <c r="E18" s="47">
        <v>5199</v>
      </c>
      <c r="F18" s="13"/>
      <c r="G18" s="13"/>
      <c r="H18" s="13">
        <v>48.5</v>
      </c>
      <c r="I18" s="13">
        <v>1071500</v>
      </c>
      <c r="J18" s="27">
        <v>45</v>
      </c>
      <c r="K18" s="13">
        <v>420000</v>
      </c>
      <c r="L18" s="13">
        <v>23000</v>
      </c>
      <c r="M18" s="13">
        <v>706000</v>
      </c>
      <c r="N18" s="13">
        <v>349000</v>
      </c>
      <c r="O18" s="13"/>
      <c r="P18" s="13"/>
    </row>
    <row r="19" spans="1:16" x14ac:dyDescent="0.25">
      <c r="A19" s="25">
        <v>45367</v>
      </c>
      <c r="B19" s="46">
        <v>2146.73</v>
      </c>
      <c r="C19" s="46">
        <v>1970.42</v>
      </c>
      <c r="D19" s="47">
        <v>5570</v>
      </c>
      <c r="E19" s="47">
        <v>5199</v>
      </c>
      <c r="F19" s="13"/>
      <c r="G19" s="13"/>
      <c r="H19" s="26">
        <v>89.25</v>
      </c>
      <c r="I19" s="13">
        <v>1740000</v>
      </c>
      <c r="J19" s="27">
        <v>57.5</v>
      </c>
      <c r="K19" s="13">
        <v>533000</v>
      </c>
      <c r="L19" s="13">
        <v>31000</v>
      </c>
      <c r="M19" s="13">
        <v>946000</v>
      </c>
      <c r="N19" s="13">
        <v>80000</v>
      </c>
      <c r="O19" s="13"/>
      <c r="P19" s="13"/>
    </row>
    <row r="20" spans="1:16" x14ac:dyDescent="0.25">
      <c r="A20" s="25">
        <v>45368</v>
      </c>
      <c r="B20" s="46">
        <v>1632.2</v>
      </c>
      <c r="C20" s="46">
        <v>1280.98</v>
      </c>
      <c r="D20" s="47">
        <v>5570</v>
      </c>
      <c r="E20" s="47">
        <v>5199</v>
      </c>
      <c r="F20" s="13"/>
      <c r="G20" s="13"/>
      <c r="H20" s="26">
        <v>54</v>
      </c>
      <c r="I20" s="13">
        <v>1019000</v>
      </c>
      <c r="J20" s="27">
        <v>49</v>
      </c>
      <c r="K20" s="13">
        <v>450000</v>
      </c>
      <c r="L20" s="13">
        <v>46000</v>
      </c>
      <c r="M20" s="13">
        <v>476500</v>
      </c>
      <c r="N20" s="13">
        <v>209000</v>
      </c>
      <c r="O20" s="13"/>
      <c r="P20" s="13"/>
    </row>
    <row r="21" spans="1:16" x14ac:dyDescent="0.25">
      <c r="A21" s="25">
        <v>45369</v>
      </c>
      <c r="B21" s="46">
        <v>1589.05</v>
      </c>
      <c r="C21" s="46">
        <v>3783.17</v>
      </c>
      <c r="D21" s="47">
        <v>5570</v>
      </c>
      <c r="E21" s="47">
        <v>5199</v>
      </c>
      <c r="F21" s="13"/>
      <c r="G21" s="13"/>
      <c r="H21" s="26">
        <v>26</v>
      </c>
      <c r="I21" s="13">
        <v>548500</v>
      </c>
      <c r="J21" s="12">
        <v>55</v>
      </c>
      <c r="K21" s="13">
        <v>506000</v>
      </c>
      <c r="L21" s="13">
        <v>0</v>
      </c>
      <c r="M21" s="13">
        <v>487000</v>
      </c>
      <c r="N21" s="13">
        <v>17000</v>
      </c>
      <c r="O21" s="13"/>
      <c r="P21" s="12"/>
    </row>
    <row r="22" spans="1:16" x14ac:dyDescent="0.25">
      <c r="A22" s="25">
        <v>45370</v>
      </c>
      <c r="B22" s="46">
        <v>1692.17</v>
      </c>
      <c r="C22" s="46">
        <v>2595.59</v>
      </c>
      <c r="D22" s="47">
        <v>5570</v>
      </c>
      <c r="E22" s="47">
        <v>5199</v>
      </c>
      <c r="F22" s="13"/>
      <c r="G22" s="13"/>
      <c r="H22" s="26">
        <v>38.75</v>
      </c>
      <c r="I22" s="13">
        <v>774000</v>
      </c>
      <c r="J22" s="12">
        <v>61.5</v>
      </c>
      <c r="K22" s="13">
        <v>563000</v>
      </c>
      <c r="L22" s="13">
        <v>15000</v>
      </c>
      <c r="M22" s="13">
        <v>540500</v>
      </c>
      <c r="N22" s="13">
        <v>80000</v>
      </c>
      <c r="O22" s="13"/>
      <c r="P22" s="12"/>
    </row>
    <row r="23" spans="1:16" x14ac:dyDescent="0.25">
      <c r="A23" s="25" t="s">
        <v>79</v>
      </c>
      <c r="B23" s="46">
        <v>1928.66</v>
      </c>
      <c r="C23" s="46">
        <v>5228.71</v>
      </c>
      <c r="D23" s="47">
        <v>5570</v>
      </c>
      <c r="E23" s="47">
        <v>5199</v>
      </c>
      <c r="F23" s="13"/>
      <c r="G23" s="13"/>
      <c r="H23" s="26">
        <v>41.75</v>
      </c>
      <c r="I23" s="13">
        <v>866000</v>
      </c>
      <c r="J23" s="12">
        <v>30</v>
      </c>
      <c r="K23" s="13">
        <v>280000</v>
      </c>
      <c r="L23" s="13">
        <v>86000</v>
      </c>
      <c r="M23" s="13">
        <v>673000</v>
      </c>
      <c r="N23" s="13">
        <v>80000</v>
      </c>
      <c r="O23" s="13"/>
      <c r="P23" s="12"/>
    </row>
    <row r="24" spans="1:16" x14ac:dyDescent="0.25">
      <c r="A24" s="25">
        <v>45372</v>
      </c>
      <c r="B24" s="46">
        <v>2038.04</v>
      </c>
      <c r="C24" s="46">
        <v>2458.5700000000002</v>
      </c>
      <c r="D24" s="47">
        <v>5570</v>
      </c>
      <c r="E24" s="47">
        <v>5199</v>
      </c>
      <c r="F24" s="13"/>
      <c r="G24" s="13"/>
      <c r="H24" s="26">
        <v>44</v>
      </c>
      <c r="I24" s="13">
        <v>928500</v>
      </c>
      <c r="J24" s="12">
        <v>27.5</v>
      </c>
      <c r="K24" s="13">
        <v>253000</v>
      </c>
      <c r="L24" s="13">
        <v>0</v>
      </c>
      <c r="M24" s="13">
        <v>786000</v>
      </c>
      <c r="N24" s="13">
        <v>88000</v>
      </c>
      <c r="O24" s="13"/>
      <c r="P24" s="12"/>
    </row>
    <row r="25" spans="1:16" x14ac:dyDescent="0.25">
      <c r="A25" s="25">
        <v>45373</v>
      </c>
      <c r="B25" s="46">
        <v>1960.06</v>
      </c>
      <c r="C25" s="46">
        <v>3288.24</v>
      </c>
      <c r="D25" s="47">
        <v>5570</v>
      </c>
      <c r="E25" s="47">
        <v>5199</v>
      </c>
      <c r="F25" s="13"/>
      <c r="G25" s="13"/>
      <c r="H25" s="26">
        <v>69</v>
      </c>
      <c r="I25" s="13">
        <v>1386000</v>
      </c>
      <c r="J25" s="12">
        <v>51.5</v>
      </c>
      <c r="K25" s="13">
        <v>421000</v>
      </c>
      <c r="L25" s="13">
        <v>100000</v>
      </c>
      <c r="M25" s="13">
        <v>483000</v>
      </c>
      <c r="N25" s="13">
        <v>177000</v>
      </c>
      <c r="O25" s="13"/>
      <c r="P25" s="12"/>
    </row>
    <row r="26" spans="1:16" x14ac:dyDescent="0.25">
      <c r="A26" s="25">
        <v>45374</v>
      </c>
      <c r="B26" s="46">
        <v>2230.11</v>
      </c>
      <c r="C26" s="46">
        <v>1201.79</v>
      </c>
      <c r="D26" s="47">
        <v>5570</v>
      </c>
      <c r="E26" s="47">
        <v>5199</v>
      </c>
      <c r="F26" s="13"/>
      <c r="G26" s="13"/>
      <c r="H26" s="26">
        <v>27.5</v>
      </c>
      <c r="I26" s="13">
        <v>538500</v>
      </c>
      <c r="J26" s="12">
        <v>73</v>
      </c>
      <c r="K26" s="13">
        <v>618000</v>
      </c>
      <c r="L26" s="13">
        <v>8000</v>
      </c>
      <c r="M26" s="13">
        <v>1091500</v>
      </c>
      <c r="N26" s="13">
        <v>206500</v>
      </c>
      <c r="O26" s="13"/>
      <c r="P26" s="12"/>
    </row>
    <row r="27" spans="1:16" x14ac:dyDescent="0.25">
      <c r="A27" s="25">
        <v>45375</v>
      </c>
      <c r="B27" s="46">
        <v>1262.0899999999999</v>
      </c>
      <c r="C27" s="46">
        <v>1455.96</v>
      </c>
      <c r="D27" s="47">
        <v>5570</v>
      </c>
      <c r="E27" s="47">
        <v>5199</v>
      </c>
      <c r="F27" s="13"/>
      <c r="G27" s="13"/>
      <c r="H27" s="26">
        <v>16.5</v>
      </c>
      <c r="I27" s="13">
        <v>327000</v>
      </c>
      <c r="J27" s="12">
        <v>30</v>
      </c>
      <c r="K27" s="13">
        <v>280000</v>
      </c>
      <c r="L27" s="13">
        <v>16000</v>
      </c>
      <c r="M27" s="13">
        <v>430500</v>
      </c>
      <c r="N27" s="13">
        <v>17000</v>
      </c>
      <c r="O27" s="13"/>
      <c r="P27" s="12"/>
    </row>
    <row r="28" spans="1:16" x14ac:dyDescent="0.25">
      <c r="A28" s="25">
        <v>45376</v>
      </c>
      <c r="B28" s="46">
        <v>1458.93</v>
      </c>
      <c r="C28" s="46">
        <v>2711.34</v>
      </c>
      <c r="D28" s="47">
        <v>5570</v>
      </c>
      <c r="E28" s="47">
        <v>5199</v>
      </c>
      <c r="F28" s="13"/>
      <c r="G28" s="13"/>
      <c r="H28" s="26">
        <v>51</v>
      </c>
      <c r="I28" s="13">
        <v>1151500</v>
      </c>
      <c r="J28" s="12">
        <v>36</v>
      </c>
      <c r="K28" s="13">
        <v>336000</v>
      </c>
      <c r="L28" s="13">
        <v>15000</v>
      </c>
      <c r="M28" s="13">
        <v>640500</v>
      </c>
      <c r="N28" s="13">
        <v>97000</v>
      </c>
      <c r="O28" s="13"/>
      <c r="P28" s="12"/>
    </row>
    <row r="29" spans="1:16" x14ac:dyDescent="0.25">
      <c r="A29" s="25">
        <v>45377</v>
      </c>
      <c r="B29" s="46">
        <v>1703.63</v>
      </c>
      <c r="C29" s="46">
        <v>3691.26</v>
      </c>
      <c r="D29" s="47">
        <v>5570</v>
      </c>
      <c r="E29" s="47">
        <v>5199</v>
      </c>
      <c r="F29" s="13"/>
      <c r="G29" s="13"/>
      <c r="H29" s="26">
        <v>149.25</v>
      </c>
      <c r="I29" s="13">
        <v>2708860</v>
      </c>
      <c r="J29" s="12">
        <v>24</v>
      </c>
      <c r="K29" s="13">
        <v>224000</v>
      </c>
      <c r="L29" s="13">
        <v>8000</v>
      </c>
      <c r="M29" s="13">
        <v>491000</v>
      </c>
      <c r="N29" s="13">
        <v>17000</v>
      </c>
      <c r="O29" s="13"/>
      <c r="P29" s="12"/>
    </row>
    <row r="30" spans="1:16" x14ac:dyDescent="0.25">
      <c r="A30" s="25">
        <v>45378</v>
      </c>
      <c r="B30" s="46">
        <v>1431.39</v>
      </c>
      <c r="C30" s="46">
        <v>3255.38</v>
      </c>
      <c r="D30" s="47">
        <v>5570</v>
      </c>
      <c r="E30" s="47">
        <v>5199</v>
      </c>
      <c r="F30" s="13"/>
      <c r="G30" s="13"/>
      <c r="H30" s="26">
        <v>94.75</v>
      </c>
      <c r="I30" s="13">
        <v>1940500</v>
      </c>
      <c r="J30" s="12">
        <v>43.5</v>
      </c>
      <c r="K30" s="13">
        <v>395000</v>
      </c>
      <c r="L30" s="13">
        <v>8000</v>
      </c>
      <c r="M30" s="13">
        <v>475000</v>
      </c>
      <c r="N30" s="13">
        <v>213500</v>
      </c>
      <c r="O30" s="13"/>
      <c r="P30" s="12"/>
    </row>
    <row r="31" spans="1:16" x14ac:dyDescent="0.25">
      <c r="A31" s="25">
        <v>45379</v>
      </c>
      <c r="B31" s="46">
        <v>2214.6</v>
      </c>
      <c r="C31" s="46">
        <v>2048.16</v>
      </c>
      <c r="D31" s="47">
        <v>5570</v>
      </c>
      <c r="E31" s="47">
        <v>5199</v>
      </c>
      <c r="F31" s="13"/>
      <c r="G31" s="13"/>
      <c r="H31" s="26">
        <v>63.5</v>
      </c>
      <c r="I31" s="13">
        <v>1221000</v>
      </c>
      <c r="J31" s="12">
        <v>18</v>
      </c>
      <c r="K31" s="13">
        <v>168000</v>
      </c>
      <c r="L31" s="13">
        <v>93000</v>
      </c>
      <c r="M31" s="13">
        <v>784000</v>
      </c>
      <c r="N31" s="13">
        <v>97000</v>
      </c>
      <c r="O31" s="13"/>
      <c r="P31" s="12"/>
    </row>
    <row r="32" spans="1:16" x14ac:dyDescent="0.25">
      <c r="A32" s="25">
        <v>45380</v>
      </c>
      <c r="B32" s="46">
        <v>2013.02</v>
      </c>
      <c r="C32" s="46">
        <v>4048.99</v>
      </c>
      <c r="D32" s="47">
        <v>5570</v>
      </c>
      <c r="E32" s="47">
        <v>5199</v>
      </c>
      <c r="F32" s="13"/>
      <c r="G32" s="13"/>
      <c r="H32" s="26">
        <v>69</v>
      </c>
      <c r="I32" s="13">
        <v>1535500</v>
      </c>
      <c r="J32" s="12">
        <v>70.5</v>
      </c>
      <c r="K32" s="13">
        <v>647000</v>
      </c>
      <c r="L32" s="13">
        <v>132000</v>
      </c>
      <c r="M32" s="13">
        <v>1336500</v>
      </c>
      <c r="N32" s="13">
        <v>373000</v>
      </c>
      <c r="O32" s="13"/>
      <c r="P32" s="12"/>
    </row>
    <row r="33" spans="1:16" x14ac:dyDescent="0.25">
      <c r="A33" s="25">
        <v>45381</v>
      </c>
      <c r="B33" s="46">
        <v>2230.42</v>
      </c>
      <c r="C33" s="46">
        <v>1355.49</v>
      </c>
      <c r="D33" s="47">
        <v>5570</v>
      </c>
      <c r="E33" s="47">
        <v>5199</v>
      </c>
      <c r="F33" s="13"/>
      <c r="G33" s="13"/>
      <c r="H33" s="26">
        <v>85.25</v>
      </c>
      <c r="I33" s="13">
        <v>2085500</v>
      </c>
      <c r="J33" s="12">
        <v>93</v>
      </c>
      <c r="K33" s="13">
        <v>736000</v>
      </c>
      <c r="L33" s="13">
        <v>179000</v>
      </c>
      <c r="M33" s="13">
        <v>806000</v>
      </c>
      <c r="N33" s="13">
        <v>17000</v>
      </c>
      <c r="O33" s="13"/>
      <c r="P33" s="12"/>
    </row>
    <row r="34" spans="1:16" x14ac:dyDescent="0.25">
      <c r="A34" s="25">
        <v>45382</v>
      </c>
      <c r="B34" s="46">
        <v>1590.95</v>
      </c>
      <c r="C34" s="46">
        <v>979.87</v>
      </c>
      <c r="D34" s="47">
        <v>5570</v>
      </c>
      <c r="E34" s="47">
        <v>5199</v>
      </c>
      <c r="F34" s="13"/>
      <c r="G34" s="13"/>
      <c r="H34" s="26">
        <v>16.5</v>
      </c>
      <c r="I34" s="13">
        <v>344000</v>
      </c>
      <c r="J34" s="12">
        <v>43</v>
      </c>
      <c r="K34" s="13">
        <v>394000</v>
      </c>
      <c r="L34" s="13">
        <v>0</v>
      </c>
      <c r="M34" s="13">
        <v>626000</v>
      </c>
      <c r="N34" s="13">
        <v>17000</v>
      </c>
      <c r="O34" s="13"/>
      <c r="P34" s="12"/>
    </row>
    <row r="35" spans="1:16" x14ac:dyDescent="0.25">
      <c r="A35" s="15"/>
      <c r="B35" s="37"/>
      <c r="C35" s="37"/>
      <c r="D35" s="38"/>
      <c r="E35" s="38"/>
      <c r="F35" s="39"/>
      <c r="G35" s="39"/>
      <c r="H35" s="39"/>
      <c r="I35" s="13"/>
      <c r="J35" s="15"/>
      <c r="K35" s="38"/>
      <c r="L35" s="38"/>
      <c r="M35" s="13"/>
      <c r="N35" s="38"/>
      <c r="O35" s="38"/>
      <c r="P35" s="15"/>
    </row>
    <row r="36" spans="1:16" x14ac:dyDescent="0.25">
      <c r="A36" s="15"/>
      <c r="B36" s="37">
        <f>SUM(B4:B35)</f>
        <v>53179.799999999988</v>
      </c>
      <c r="C36" s="37">
        <f>SUM(C4:C35)</f>
        <v>84042.23000000001</v>
      </c>
      <c r="D36" s="38">
        <f>SUM(D4:D35)</f>
        <v>172670</v>
      </c>
      <c r="E36" s="38"/>
      <c r="F36" s="39">
        <f>SUM(F4:F35)</f>
        <v>0</v>
      </c>
      <c r="G36" s="39">
        <f>SUM(G4:G35)</f>
        <v>0</v>
      </c>
      <c r="H36" s="39">
        <f t="shared" ref="H36:J36" si="0">SUM(H4:H35)</f>
        <v>1693.5</v>
      </c>
      <c r="I36" s="39">
        <f t="shared" si="0"/>
        <v>35063360</v>
      </c>
      <c r="J36" s="39">
        <f t="shared" si="0"/>
        <v>1690.5</v>
      </c>
      <c r="K36" s="39">
        <f>SUM(K4:K35)</f>
        <v>15226000</v>
      </c>
      <c r="L36" s="39">
        <f>SUM(L4:L35)</f>
        <v>1484000</v>
      </c>
      <c r="M36" s="38">
        <f>SUM(M4:M35)</f>
        <v>21483900</v>
      </c>
      <c r="N36" s="38">
        <f>SUM(N5:N35)</f>
        <v>4302000</v>
      </c>
      <c r="O36" s="38"/>
      <c r="P36" s="15"/>
    </row>
  </sheetData>
  <mergeCells count="7">
    <mergeCell ref="B1:P1"/>
    <mergeCell ref="B2:C2"/>
    <mergeCell ref="D2:E2"/>
    <mergeCell ref="F2:G2"/>
    <mergeCell ref="H2:I2"/>
    <mergeCell ref="J2:K2"/>
    <mergeCell ref="N2:P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36"/>
  <sheetViews>
    <sheetView topLeftCell="A12" workbookViewId="0">
      <selection activeCell="I34" sqref="I34"/>
    </sheetView>
  </sheetViews>
  <sheetFormatPr defaultRowHeight="15" x14ac:dyDescent="0.25"/>
  <cols>
    <col min="1" max="1" width="9.42578125" bestFit="1" customWidth="1"/>
    <col min="2" max="2" width="11" bestFit="1" customWidth="1"/>
    <col min="3" max="3" width="12" bestFit="1" customWidth="1"/>
    <col min="4" max="4" width="8.5703125" bestFit="1" customWidth="1"/>
    <col min="5" max="5" width="6.5703125" bestFit="1" customWidth="1"/>
    <col min="6" max="7" width="14.5703125" bestFit="1" customWidth="1"/>
    <col min="8" max="8" width="9" bestFit="1" customWidth="1"/>
    <col min="9" max="9" width="13.5703125" bestFit="1" customWidth="1"/>
    <col min="10" max="10" width="9.42578125" bestFit="1" customWidth="1"/>
    <col min="11" max="11" width="13.5703125" bestFit="1" customWidth="1"/>
    <col min="12" max="12" width="12.42578125" bestFit="1" customWidth="1"/>
    <col min="13" max="13" width="17.42578125" bestFit="1" customWidth="1"/>
    <col min="14" max="14" width="10" bestFit="1" customWidth="1"/>
    <col min="16" max="16" width="4.5703125" bestFit="1" customWidth="1"/>
  </cols>
  <sheetData>
    <row r="1" spans="1:16" ht="18.75" x14ac:dyDescent="0.3">
      <c r="A1" s="6"/>
      <c r="B1" s="81" t="s">
        <v>45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1:16" x14ac:dyDescent="0.25">
      <c r="A2" s="12" t="s">
        <v>0</v>
      </c>
      <c r="B2" s="97" t="s">
        <v>5</v>
      </c>
      <c r="C2" s="98"/>
      <c r="D2" s="99" t="s">
        <v>12</v>
      </c>
      <c r="E2" s="100"/>
      <c r="F2" s="99" t="s">
        <v>6</v>
      </c>
      <c r="G2" s="100"/>
      <c r="H2" s="101" t="s">
        <v>7</v>
      </c>
      <c r="I2" s="102"/>
      <c r="J2" s="101" t="s">
        <v>8</v>
      </c>
      <c r="K2" s="102"/>
      <c r="L2" s="13"/>
      <c r="M2" s="13" t="s">
        <v>35</v>
      </c>
      <c r="N2" s="101" t="s">
        <v>15</v>
      </c>
      <c r="O2" s="103"/>
      <c r="P2" s="102"/>
    </row>
    <row r="3" spans="1:16" x14ac:dyDescent="0.25">
      <c r="A3" s="16"/>
      <c r="B3" s="17" t="s">
        <v>1</v>
      </c>
      <c r="C3" s="17" t="s">
        <v>2</v>
      </c>
      <c r="D3" s="18" t="s">
        <v>1</v>
      </c>
      <c r="E3" s="18" t="s">
        <v>2</v>
      </c>
      <c r="F3" s="19" t="s">
        <v>1</v>
      </c>
      <c r="G3" s="19" t="s">
        <v>2</v>
      </c>
      <c r="H3" s="19" t="s">
        <v>9</v>
      </c>
      <c r="I3" s="18" t="s">
        <v>10</v>
      </c>
      <c r="J3" s="16" t="s">
        <v>11</v>
      </c>
      <c r="K3" s="18" t="s">
        <v>10</v>
      </c>
      <c r="L3" s="18" t="s">
        <v>4</v>
      </c>
      <c r="M3" s="18" t="s">
        <v>67</v>
      </c>
      <c r="N3" s="18" t="s">
        <v>52</v>
      </c>
      <c r="O3" s="18" t="s">
        <v>40</v>
      </c>
      <c r="P3" s="16" t="s">
        <v>28</v>
      </c>
    </row>
    <row r="4" spans="1:16" x14ac:dyDescent="0.25">
      <c r="A4" s="25">
        <v>45383</v>
      </c>
      <c r="B4" s="56">
        <v>1662.03</v>
      </c>
      <c r="C4" s="46">
        <v>3987.28</v>
      </c>
      <c r="D4" s="47">
        <v>5570</v>
      </c>
      <c r="E4" s="47">
        <v>5199</v>
      </c>
      <c r="F4" s="13">
        <f t="shared" ref="F4:G33" si="0">B4*D4</f>
        <v>9257507.0999999996</v>
      </c>
      <c r="G4" s="13">
        <f t="shared" si="0"/>
        <v>20729868.720000003</v>
      </c>
      <c r="H4" s="26">
        <v>65.5</v>
      </c>
      <c r="I4" s="13">
        <v>1488500</v>
      </c>
      <c r="J4" s="27">
        <v>76.5</v>
      </c>
      <c r="K4" s="13">
        <v>703000</v>
      </c>
      <c r="L4" s="13">
        <v>0</v>
      </c>
      <c r="M4" s="13">
        <v>504500</v>
      </c>
      <c r="N4" s="13">
        <v>347000</v>
      </c>
      <c r="O4" s="13"/>
      <c r="P4" s="13"/>
    </row>
    <row r="5" spans="1:16" x14ac:dyDescent="0.25">
      <c r="A5" s="25">
        <v>45384</v>
      </c>
      <c r="B5" s="56">
        <v>1918.99</v>
      </c>
      <c r="C5" s="46">
        <v>2768.6</v>
      </c>
      <c r="D5" s="47">
        <v>5570</v>
      </c>
      <c r="E5" s="47">
        <v>5199</v>
      </c>
      <c r="F5" s="13">
        <f t="shared" si="0"/>
        <v>10688774.300000001</v>
      </c>
      <c r="G5" s="13">
        <f t="shared" si="0"/>
        <v>14393951.4</v>
      </c>
      <c r="H5" s="31">
        <v>60.25</v>
      </c>
      <c r="I5" s="13">
        <v>1205500</v>
      </c>
      <c r="J5" s="27">
        <v>69.5</v>
      </c>
      <c r="K5" s="13">
        <v>645000</v>
      </c>
      <c r="L5" s="13">
        <v>78000</v>
      </c>
      <c r="M5" s="13">
        <v>412000</v>
      </c>
      <c r="N5" s="13">
        <v>194000</v>
      </c>
      <c r="O5" s="13"/>
      <c r="P5" s="13"/>
    </row>
    <row r="6" spans="1:16" x14ac:dyDescent="0.25">
      <c r="A6" s="25">
        <v>45385</v>
      </c>
      <c r="B6" s="56">
        <v>1502.43</v>
      </c>
      <c r="C6" s="46">
        <v>2004.84</v>
      </c>
      <c r="D6" s="47">
        <v>5570</v>
      </c>
      <c r="E6" s="47">
        <v>5199</v>
      </c>
      <c r="F6" s="13">
        <f t="shared" si="0"/>
        <v>8368535.1000000006</v>
      </c>
      <c r="G6" s="13">
        <f t="shared" si="0"/>
        <v>10423163.16</v>
      </c>
      <c r="H6" s="26">
        <v>37.75</v>
      </c>
      <c r="I6" s="13">
        <v>830000</v>
      </c>
      <c r="J6" s="27">
        <v>39</v>
      </c>
      <c r="K6" s="13">
        <v>364000</v>
      </c>
      <c r="L6" s="13">
        <v>15000</v>
      </c>
      <c r="M6" s="13">
        <v>422000</v>
      </c>
      <c r="N6" s="13">
        <v>425000</v>
      </c>
      <c r="O6" s="13"/>
      <c r="P6" s="13"/>
    </row>
    <row r="7" spans="1:16" x14ac:dyDescent="0.25">
      <c r="A7" s="25">
        <v>45386</v>
      </c>
      <c r="B7" s="56">
        <v>1249.56</v>
      </c>
      <c r="C7" s="46">
        <v>7115.25</v>
      </c>
      <c r="D7" s="47">
        <v>5570</v>
      </c>
      <c r="E7" s="47">
        <v>5199</v>
      </c>
      <c r="F7" s="13">
        <f t="shared" si="0"/>
        <v>6960049.1999999993</v>
      </c>
      <c r="G7" s="13">
        <f t="shared" si="0"/>
        <v>36992184.75</v>
      </c>
      <c r="H7" s="26">
        <v>35</v>
      </c>
      <c r="I7" s="13">
        <v>676500</v>
      </c>
      <c r="J7" s="27">
        <v>75</v>
      </c>
      <c r="K7" s="13">
        <v>700000</v>
      </c>
      <c r="L7" s="13">
        <v>30000</v>
      </c>
      <c r="M7" s="13">
        <v>554000</v>
      </c>
      <c r="N7" s="13">
        <v>537000</v>
      </c>
      <c r="O7" s="13"/>
      <c r="P7" s="13"/>
    </row>
    <row r="8" spans="1:16" x14ac:dyDescent="0.25">
      <c r="A8" s="25">
        <v>45387</v>
      </c>
      <c r="B8" s="56">
        <v>1404.8</v>
      </c>
      <c r="C8" s="46">
        <v>2978.16</v>
      </c>
      <c r="D8" s="47">
        <v>5570</v>
      </c>
      <c r="E8" s="47">
        <v>5199</v>
      </c>
      <c r="F8" s="13">
        <f t="shared" si="0"/>
        <v>7824736</v>
      </c>
      <c r="G8" s="13">
        <f t="shared" si="0"/>
        <v>15483453.84</v>
      </c>
      <c r="H8" s="26">
        <v>55.25</v>
      </c>
      <c r="I8" s="13">
        <v>1776000</v>
      </c>
      <c r="J8" s="27">
        <v>45</v>
      </c>
      <c r="K8" s="13">
        <v>420000</v>
      </c>
      <c r="L8" s="13">
        <v>46000</v>
      </c>
      <c r="M8" s="13">
        <v>511000</v>
      </c>
      <c r="N8" s="13">
        <v>359000</v>
      </c>
      <c r="O8" s="13"/>
      <c r="P8" s="13"/>
    </row>
    <row r="9" spans="1:16" x14ac:dyDescent="0.25">
      <c r="A9" s="25">
        <v>45388</v>
      </c>
      <c r="B9" s="56">
        <v>1448.42</v>
      </c>
      <c r="C9" s="46">
        <v>1523.1659999999999</v>
      </c>
      <c r="D9" s="47">
        <v>5570</v>
      </c>
      <c r="E9" s="47">
        <v>5199</v>
      </c>
      <c r="F9" s="13">
        <f t="shared" si="0"/>
        <v>8067699.4000000004</v>
      </c>
      <c r="G9" s="13">
        <f t="shared" si="0"/>
        <v>7918940.034</v>
      </c>
      <c r="H9" s="26">
        <v>13.5</v>
      </c>
      <c r="I9" s="13">
        <v>286000</v>
      </c>
      <c r="J9" s="27">
        <v>60.5</v>
      </c>
      <c r="K9" s="13">
        <v>561000</v>
      </c>
      <c r="L9" s="13">
        <v>8000</v>
      </c>
      <c r="M9" s="13">
        <v>439000</v>
      </c>
      <c r="N9" s="13">
        <v>39000</v>
      </c>
      <c r="O9" s="13"/>
      <c r="P9" s="31"/>
    </row>
    <row r="10" spans="1:16" x14ac:dyDescent="0.25">
      <c r="A10" s="25">
        <v>45389</v>
      </c>
      <c r="B10" s="56">
        <v>1426.52</v>
      </c>
      <c r="C10" s="46">
        <v>1483.1420000000001</v>
      </c>
      <c r="D10" s="47">
        <v>5570</v>
      </c>
      <c r="E10" s="47">
        <v>5199</v>
      </c>
      <c r="F10" s="13">
        <f t="shared" si="0"/>
        <v>7945716.3999999994</v>
      </c>
      <c r="G10" s="13">
        <f t="shared" si="0"/>
        <v>7710855.2580000004</v>
      </c>
      <c r="H10" s="26">
        <v>20.25</v>
      </c>
      <c r="I10" s="13">
        <v>441000</v>
      </c>
      <c r="J10" s="27">
        <v>51</v>
      </c>
      <c r="K10" s="13">
        <v>476000</v>
      </c>
      <c r="L10" s="13">
        <v>23000</v>
      </c>
      <c r="M10" s="13">
        <v>641000</v>
      </c>
      <c r="N10" s="13">
        <v>80000</v>
      </c>
      <c r="O10" s="13"/>
      <c r="P10" s="13"/>
    </row>
    <row r="11" spans="1:16" x14ac:dyDescent="0.25">
      <c r="A11" s="25">
        <v>45390</v>
      </c>
      <c r="B11" s="56">
        <v>1411.9</v>
      </c>
      <c r="C11" s="46">
        <v>4467.152</v>
      </c>
      <c r="D11" s="47">
        <v>5570</v>
      </c>
      <c r="E11" s="47">
        <v>5199</v>
      </c>
      <c r="F11" s="13">
        <f t="shared" si="0"/>
        <v>7864283.0000000009</v>
      </c>
      <c r="G11" s="13">
        <f t="shared" si="0"/>
        <v>23224723.248</v>
      </c>
      <c r="H11" s="26">
        <v>55</v>
      </c>
      <c r="I11" s="13">
        <v>1217000</v>
      </c>
      <c r="J11" s="27">
        <v>70</v>
      </c>
      <c r="K11" s="13">
        <v>646000</v>
      </c>
      <c r="L11" s="13">
        <v>61000</v>
      </c>
      <c r="M11" s="13">
        <v>448900</v>
      </c>
      <c r="N11" s="13">
        <v>97000</v>
      </c>
      <c r="O11" s="13"/>
      <c r="P11" s="13"/>
    </row>
    <row r="12" spans="1:16" x14ac:dyDescent="0.25">
      <c r="A12" s="25">
        <v>45391</v>
      </c>
      <c r="B12" s="56">
        <v>1658.6220000000001</v>
      </c>
      <c r="C12" s="46">
        <v>2577.35</v>
      </c>
      <c r="D12" s="47">
        <v>5570</v>
      </c>
      <c r="E12" s="47">
        <v>5199</v>
      </c>
      <c r="F12" s="13">
        <f t="shared" si="0"/>
        <v>9238524.540000001</v>
      </c>
      <c r="G12" s="13">
        <f t="shared" si="0"/>
        <v>13399642.65</v>
      </c>
      <c r="H12" s="26">
        <v>63.5</v>
      </c>
      <c r="I12" s="13">
        <v>1220000</v>
      </c>
      <c r="J12" s="27">
        <v>56</v>
      </c>
      <c r="K12" s="13">
        <v>398000</v>
      </c>
      <c r="L12" s="13">
        <v>16000</v>
      </c>
      <c r="M12" s="13">
        <v>655000</v>
      </c>
      <c r="N12" s="13">
        <v>17000</v>
      </c>
      <c r="O12" s="13"/>
      <c r="P12" s="13"/>
    </row>
    <row r="13" spans="1:16" x14ac:dyDescent="0.25">
      <c r="A13" s="25">
        <v>45392</v>
      </c>
      <c r="B13" s="56">
        <v>1487.85</v>
      </c>
      <c r="C13" s="46">
        <v>2046.34</v>
      </c>
      <c r="D13" s="47">
        <v>5570</v>
      </c>
      <c r="E13" s="47">
        <v>5199</v>
      </c>
      <c r="F13" s="13">
        <f t="shared" si="0"/>
        <v>8287324.4999999991</v>
      </c>
      <c r="G13" s="13">
        <f t="shared" si="0"/>
        <v>10638921.66</v>
      </c>
      <c r="H13" s="26">
        <v>66.25</v>
      </c>
      <c r="I13" s="13">
        <v>1378000</v>
      </c>
      <c r="J13" s="27">
        <v>18.5</v>
      </c>
      <c r="K13" s="13">
        <v>169000</v>
      </c>
      <c r="L13" s="13">
        <v>148000</v>
      </c>
      <c r="M13" s="13">
        <v>640000</v>
      </c>
      <c r="N13" s="13">
        <v>197500</v>
      </c>
      <c r="O13" s="13"/>
      <c r="P13" s="13"/>
    </row>
    <row r="14" spans="1:16" x14ac:dyDescent="0.25">
      <c r="A14" s="25">
        <v>45393</v>
      </c>
      <c r="B14" s="56">
        <v>1651.74</v>
      </c>
      <c r="C14" s="46">
        <v>2541.5100000000002</v>
      </c>
      <c r="D14" s="47">
        <v>5570</v>
      </c>
      <c r="E14" s="47">
        <v>5199</v>
      </c>
      <c r="F14" s="13">
        <f t="shared" si="0"/>
        <v>9200191.8000000007</v>
      </c>
      <c r="G14" s="13">
        <f t="shared" si="0"/>
        <v>13213310.49</v>
      </c>
      <c r="H14" s="26">
        <v>123.5</v>
      </c>
      <c r="I14" s="13">
        <v>2382000</v>
      </c>
      <c r="J14" s="27">
        <v>27.5</v>
      </c>
      <c r="K14" s="13">
        <v>253000</v>
      </c>
      <c r="L14" s="13">
        <v>173000</v>
      </c>
      <c r="M14" s="13">
        <v>700000</v>
      </c>
      <c r="N14" s="13">
        <v>0</v>
      </c>
      <c r="O14" s="13"/>
      <c r="P14" s="13"/>
    </row>
    <row r="15" spans="1:16" x14ac:dyDescent="0.25">
      <c r="A15" s="25">
        <v>45394</v>
      </c>
      <c r="B15" s="56">
        <v>1481.94</v>
      </c>
      <c r="C15" s="46">
        <v>2024.35</v>
      </c>
      <c r="D15" s="47">
        <v>5570</v>
      </c>
      <c r="E15" s="47">
        <v>5199</v>
      </c>
      <c r="F15" s="13">
        <f t="shared" si="0"/>
        <v>8254405.8000000007</v>
      </c>
      <c r="G15" s="13">
        <f t="shared" si="0"/>
        <v>10524595.65</v>
      </c>
      <c r="H15" s="26">
        <v>32</v>
      </c>
      <c r="I15" s="51">
        <v>633500</v>
      </c>
      <c r="J15" s="27">
        <v>18</v>
      </c>
      <c r="K15" s="13">
        <v>168000</v>
      </c>
      <c r="L15" s="13">
        <v>89000</v>
      </c>
      <c r="M15" s="13">
        <v>855000</v>
      </c>
      <c r="N15" s="13">
        <v>80000</v>
      </c>
      <c r="O15" s="13"/>
      <c r="P15" s="13"/>
    </row>
    <row r="16" spans="1:16" x14ac:dyDescent="0.25">
      <c r="A16" s="25">
        <v>45395</v>
      </c>
      <c r="B16" s="56">
        <v>867.87</v>
      </c>
      <c r="C16" s="46">
        <v>5004.1850000000004</v>
      </c>
      <c r="D16" s="47">
        <v>5570</v>
      </c>
      <c r="E16" s="47">
        <v>5199</v>
      </c>
      <c r="F16" s="13">
        <f t="shared" si="0"/>
        <v>4834035.9000000004</v>
      </c>
      <c r="G16" s="13">
        <f t="shared" si="0"/>
        <v>26016757.815000001</v>
      </c>
      <c r="H16" s="26">
        <v>33.25</v>
      </c>
      <c r="I16" s="13">
        <v>657500</v>
      </c>
      <c r="J16" s="27">
        <v>24.5</v>
      </c>
      <c r="K16" s="13">
        <v>225000</v>
      </c>
      <c r="L16" s="13">
        <v>16000</v>
      </c>
      <c r="M16" s="13">
        <v>573000</v>
      </c>
      <c r="N16" s="13">
        <v>205000</v>
      </c>
      <c r="O16" s="13"/>
      <c r="P16" s="13"/>
    </row>
    <row r="17" spans="1:16" x14ac:dyDescent="0.25">
      <c r="A17" s="25">
        <v>45396</v>
      </c>
      <c r="B17" s="56">
        <v>936.4</v>
      </c>
      <c r="C17" s="46">
        <v>2283.35</v>
      </c>
      <c r="D17" s="47">
        <v>5570</v>
      </c>
      <c r="E17" s="47">
        <v>5199</v>
      </c>
      <c r="F17" s="13">
        <f t="shared" si="0"/>
        <v>5215748</v>
      </c>
      <c r="G17" s="13">
        <f t="shared" si="0"/>
        <v>11871136.65</v>
      </c>
      <c r="H17" s="26">
        <v>10</v>
      </c>
      <c r="I17" s="13">
        <v>186500</v>
      </c>
      <c r="J17" s="27">
        <v>24</v>
      </c>
      <c r="K17" s="13">
        <v>224000</v>
      </c>
      <c r="L17" s="13">
        <v>0</v>
      </c>
      <c r="M17" s="13">
        <v>556000</v>
      </c>
      <c r="N17" s="13">
        <v>0</v>
      </c>
      <c r="O17" s="13"/>
      <c r="P17" s="13"/>
    </row>
    <row r="18" spans="1:16" x14ac:dyDescent="0.25">
      <c r="A18" s="25">
        <v>45397</v>
      </c>
      <c r="B18" s="56">
        <v>1731.72</v>
      </c>
      <c r="C18" s="46">
        <v>3314.91</v>
      </c>
      <c r="D18" s="47">
        <v>5670</v>
      </c>
      <c r="E18" s="47">
        <v>5199</v>
      </c>
      <c r="F18" s="13">
        <f t="shared" si="0"/>
        <v>9818852.4000000004</v>
      </c>
      <c r="G18" s="13">
        <f t="shared" si="0"/>
        <v>17234217.09</v>
      </c>
      <c r="H18" s="13">
        <v>32.25</v>
      </c>
      <c r="I18" s="13">
        <v>662000</v>
      </c>
      <c r="J18" s="27">
        <v>67.5</v>
      </c>
      <c r="K18" s="13">
        <v>619000</v>
      </c>
      <c r="L18" s="13">
        <v>16000</v>
      </c>
      <c r="M18" s="13">
        <v>620500</v>
      </c>
      <c r="N18" s="13">
        <v>160000</v>
      </c>
      <c r="O18" s="13"/>
      <c r="P18" s="13"/>
    </row>
    <row r="19" spans="1:16" x14ac:dyDescent="0.25">
      <c r="A19" s="25">
        <v>45398</v>
      </c>
      <c r="B19" s="56">
        <v>1383.98</v>
      </c>
      <c r="C19" s="46">
        <v>3000.6</v>
      </c>
      <c r="D19" s="47">
        <v>5670</v>
      </c>
      <c r="E19" s="47">
        <v>5199</v>
      </c>
      <c r="F19" s="13">
        <f t="shared" si="0"/>
        <v>7847166.6000000006</v>
      </c>
      <c r="G19" s="13">
        <f t="shared" si="0"/>
        <v>15600119.4</v>
      </c>
      <c r="H19" s="26">
        <v>72.5</v>
      </c>
      <c r="I19" s="13">
        <v>1424500</v>
      </c>
      <c r="J19" s="27">
        <v>58</v>
      </c>
      <c r="K19" s="13">
        <v>534000</v>
      </c>
      <c r="L19" s="13">
        <v>0</v>
      </c>
      <c r="M19" s="13">
        <v>490000</v>
      </c>
      <c r="N19" s="13">
        <v>0</v>
      </c>
      <c r="O19" s="13"/>
      <c r="P19" s="13"/>
    </row>
    <row r="20" spans="1:16" x14ac:dyDescent="0.25">
      <c r="A20" s="25">
        <v>45399</v>
      </c>
      <c r="B20" s="56">
        <v>1619.54</v>
      </c>
      <c r="C20" s="46">
        <v>2215.89</v>
      </c>
      <c r="D20" s="47">
        <v>5670</v>
      </c>
      <c r="E20" s="47">
        <v>5199</v>
      </c>
      <c r="F20" s="13">
        <f>B20*D20</f>
        <v>9182791.7999999989</v>
      </c>
      <c r="G20" s="13">
        <f t="shared" si="0"/>
        <v>11520412.109999999</v>
      </c>
      <c r="H20" s="26">
        <v>80.75</v>
      </c>
      <c r="I20" s="13">
        <v>1688500</v>
      </c>
      <c r="J20" s="27">
        <v>49.5</v>
      </c>
      <c r="K20" s="13">
        <v>451000</v>
      </c>
      <c r="L20" s="13">
        <v>15000</v>
      </c>
      <c r="M20" s="13">
        <v>546000</v>
      </c>
      <c r="N20" s="13">
        <v>80000</v>
      </c>
      <c r="O20" s="13"/>
      <c r="P20" s="13"/>
    </row>
    <row r="21" spans="1:16" x14ac:dyDescent="0.25">
      <c r="A21" s="25">
        <v>45400</v>
      </c>
      <c r="B21" s="56">
        <v>1783.99</v>
      </c>
      <c r="C21" s="46">
        <v>2960.64</v>
      </c>
      <c r="D21" s="47">
        <v>5670</v>
      </c>
      <c r="E21" s="47">
        <v>5199</v>
      </c>
      <c r="F21" s="13">
        <f t="shared" si="0"/>
        <v>10115223.300000001</v>
      </c>
      <c r="G21" s="13">
        <f t="shared" si="0"/>
        <v>15392367.359999999</v>
      </c>
      <c r="H21" s="26">
        <v>43.5</v>
      </c>
      <c r="I21" s="13">
        <v>931500</v>
      </c>
      <c r="J21" s="12">
        <v>103.5</v>
      </c>
      <c r="K21" s="13">
        <v>955000</v>
      </c>
      <c r="L21" s="13">
        <v>15000</v>
      </c>
      <c r="M21" s="13">
        <v>519000</v>
      </c>
      <c r="N21" s="13">
        <v>80000</v>
      </c>
      <c r="O21" s="13"/>
      <c r="P21" s="12"/>
    </row>
    <row r="22" spans="1:16" x14ac:dyDescent="0.25">
      <c r="A22" s="25">
        <v>45401</v>
      </c>
      <c r="B22" s="56">
        <v>1853.38</v>
      </c>
      <c r="C22" s="46">
        <v>2943.7</v>
      </c>
      <c r="D22" s="47">
        <v>5670</v>
      </c>
      <c r="E22" s="47">
        <v>5199</v>
      </c>
      <c r="F22" s="13">
        <f t="shared" si="0"/>
        <v>10508664.600000001</v>
      </c>
      <c r="G22" s="13">
        <f t="shared" si="0"/>
        <v>15304296.299999999</v>
      </c>
      <c r="H22" s="26">
        <v>94.25</v>
      </c>
      <c r="I22" s="13">
        <v>1876500</v>
      </c>
      <c r="J22" s="12">
        <v>58.5</v>
      </c>
      <c r="K22" s="13">
        <v>535000</v>
      </c>
      <c r="L22" s="13">
        <v>23000</v>
      </c>
      <c r="M22" s="13">
        <v>758500</v>
      </c>
      <c r="N22" s="13">
        <v>175500</v>
      </c>
      <c r="O22" s="13"/>
      <c r="P22" s="12"/>
    </row>
    <row r="23" spans="1:16" x14ac:dyDescent="0.25">
      <c r="A23" s="25">
        <v>45402</v>
      </c>
      <c r="B23" s="56">
        <v>1184.17</v>
      </c>
      <c r="C23" s="46">
        <v>1420.91</v>
      </c>
      <c r="D23" s="47">
        <v>5670</v>
      </c>
      <c r="E23" s="47">
        <v>5199</v>
      </c>
      <c r="F23" s="13">
        <f t="shared" si="0"/>
        <v>6714243.9000000004</v>
      </c>
      <c r="G23" s="13">
        <f t="shared" si="0"/>
        <v>7387311.0900000008</v>
      </c>
      <c r="H23" s="26">
        <v>57.5</v>
      </c>
      <c r="I23" s="13">
        <v>1255000</v>
      </c>
      <c r="J23" s="12">
        <v>36.5</v>
      </c>
      <c r="K23" s="13">
        <v>337000</v>
      </c>
      <c r="L23" s="13">
        <v>38000</v>
      </c>
      <c r="M23" s="13">
        <v>619500</v>
      </c>
      <c r="N23" s="13">
        <v>80000</v>
      </c>
      <c r="O23" s="13"/>
      <c r="P23" s="12"/>
    </row>
    <row r="24" spans="1:16" x14ac:dyDescent="0.25">
      <c r="A24" s="25">
        <v>45403</v>
      </c>
      <c r="B24" s="56">
        <v>1121.45</v>
      </c>
      <c r="C24" s="46">
        <v>1440.72</v>
      </c>
      <c r="D24" s="47">
        <v>5670</v>
      </c>
      <c r="E24" s="47">
        <v>5199</v>
      </c>
      <c r="F24" s="13">
        <f t="shared" si="0"/>
        <v>6358621.5</v>
      </c>
      <c r="G24" s="13">
        <f t="shared" si="0"/>
        <v>7490303.2800000003</v>
      </c>
      <c r="H24" s="26">
        <v>31.75</v>
      </c>
      <c r="I24" s="13">
        <v>703500</v>
      </c>
      <c r="J24" s="12">
        <v>24</v>
      </c>
      <c r="K24" s="13">
        <v>224000</v>
      </c>
      <c r="L24" s="13">
        <v>15000</v>
      </c>
      <c r="M24" s="13">
        <v>439000</v>
      </c>
      <c r="N24" s="13">
        <v>0</v>
      </c>
      <c r="O24" s="13"/>
      <c r="P24" s="12"/>
    </row>
    <row r="25" spans="1:16" x14ac:dyDescent="0.25">
      <c r="A25" s="25">
        <v>45404</v>
      </c>
      <c r="B25" s="56">
        <v>1450</v>
      </c>
      <c r="C25" s="46">
        <v>2672.79</v>
      </c>
      <c r="D25" s="47">
        <v>5670</v>
      </c>
      <c r="E25" s="47">
        <v>5199</v>
      </c>
      <c r="F25" s="13">
        <f t="shared" si="0"/>
        <v>8221500</v>
      </c>
      <c r="G25" s="13">
        <f t="shared" si="0"/>
        <v>13895835.209999999</v>
      </c>
      <c r="H25" s="26">
        <v>38</v>
      </c>
      <c r="I25" s="13">
        <v>839000</v>
      </c>
      <c r="J25" s="12">
        <v>66.5</v>
      </c>
      <c r="K25" s="13">
        <v>617000</v>
      </c>
      <c r="L25" s="13">
        <v>75000</v>
      </c>
      <c r="M25" s="13">
        <v>574000</v>
      </c>
      <c r="N25" s="13">
        <v>169000</v>
      </c>
      <c r="O25" s="13"/>
      <c r="P25" s="12"/>
    </row>
    <row r="26" spans="1:16" x14ac:dyDescent="0.25">
      <c r="A26" s="25">
        <v>45405</v>
      </c>
      <c r="B26" s="56">
        <v>1454.06</v>
      </c>
      <c r="C26" s="46">
        <v>2255.9899999999998</v>
      </c>
      <c r="D26" s="47">
        <v>5670</v>
      </c>
      <c r="E26" s="47">
        <v>5199</v>
      </c>
      <c r="F26" s="13">
        <f t="shared" si="0"/>
        <v>8244520.1999999993</v>
      </c>
      <c r="G26" s="13">
        <f t="shared" si="0"/>
        <v>11728892.01</v>
      </c>
      <c r="H26" s="26">
        <v>48.75</v>
      </c>
      <c r="I26" s="13">
        <v>975000</v>
      </c>
      <c r="J26" s="12">
        <v>33.5</v>
      </c>
      <c r="K26" s="13">
        <v>309000</v>
      </c>
      <c r="L26" s="13">
        <v>31000</v>
      </c>
      <c r="M26" s="13">
        <v>585000</v>
      </c>
      <c r="N26" s="13">
        <v>80000</v>
      </c>
      <c r="O26" s="13"/>
      <c r="P26" s="12"/>
    </row>
    <row r="27" spans="1:16" x14ac:dyDescent="0.25">
      <c r="A27" s="25">
        <v>45406</v>
      </c>
      <c r="B27" s="56">
        <v>1357</v>
      </c>
      <c r="C27" s="46">
        <v>3282.33</v>
      </c>
      <c r="D27" s="47">
        <v>5670</v>
      </c>
      <c r="E27" s="47">
        <v>5199</v>
      </c>
      <c r="F27" s="13">
        <f t="shared" si="0"/>
        <v>7694190</v>
      </c>
      <c r="G27" s="13">
        <f t="shared" si="0"/>
        <v>17064833.669999998</v>
      </c>
      <c r="H27" s="26">
        <v>45.25</v>
      </c>
      <c r="I27" s="13">
        <v>941500</v>
      </c>
      <c r="J27" s="12">
        <v>25.5</v>
      </c>
      <c r="K27" s="13">
        <v>225000</v>
      </c>
      <c r="L27" s="13">
        <v>8000</v>
      </c>
      <c r="M27" s="13">
        <v>425000</v>
      </c>
      <c r="N27" s="13">
        <v>219500</v>
      </c>
      <c r="O27" s="13"/>
      <c r="P27" s="12"/>
    </row>
    <row r="28" spans="1:16" x14ac:dyDescent="0.25">
      <c r="A28" s="25">
        <v>45407</v>
      </c>
      <c r="B28" s="56">
        <v>1756.53</v>
      </c>
      <c r="C28" s="46">
        <v>3955.3</v>
      </c>
      <c r="D28" s="47">
        <v>5670</v>
      </c>
      <c r="E28" s="47">
        <v>5119</v>
      </c>
      <c r="F28" s="13">
        <f t="shared" si="0"/>
        <v>9959525.0999999996</v>
      </c>
      <c r="G28" s="13">
        <f t="shared" si="0"/>
        <v>20247180.699999999</v>
      </c>
      <c r="H28" s="26">
        <v>68</v>
      </c>
      <c r="I28" s="13">
        <v>1321500</v>
      </c>
      <c r="J28" s="12">
        <v>52</v>
      </c>
      <c r="K28" s="13">
        <v>478000</v>
      </c>
      <c r="L28" s="13">
        <v>65000</v>
      </c>
      <c r="M28" s="13">
        <v>400500</v>
      </c>
      <c r="N28" s="13">
        <v>80000</v>
      </c>
      <c r="O28" s="13"/>
      <c r="P28" s="12"/>
    </row>
    <row r="29" spans="1:16" x14ac:dyDescent="0.25">
      <c r="A29" s="25">
        <v>45408</v>
      </c>
      <c r="B29" s="56">
        <v>1733.75</v>
      </c>
      <c r="C29" s="46">
        <v>3225</v>
      </c>
      <c r="D29" s="47">
        <v>5670</v>
      </c>
      <c r="E29" s="47">
        <v>5119</v>
      </c>
      <c r="F29" s="13">
        <f t="shared" si="0"/>
        <v>9830362.5</v>
      </c>
      <c r="G29" s="13">
        <f t="shared" si="0"/>
        <v>16508775</v>
      </c>
      <c r="H29" s="26">
        <v>31</v>
      </c>
      <c r="I29" s="13">
        <v>610600</v>
      </c>
      <c r="J29" s="12">
        <v>6</v>
      </c>
      <c r="K29" s="13">
        <v>56000</v>
      </c>
      <c r="L29" s="13">
        <v>15000</v>
      </c>
      <c r="M29" s="13">
        <v>1011000</v>
      </c>
      <c r="N29" s="13">
        <v>0</v>
      </c>
      <c r="O29" s="13"/>
      <c r="P29" s="12"/>
    </row>
    <row r="30" spans="1:16" x14ac:dyDescent="0.25">
      <c r="A30" s="25">
        <v>45409</v>
      </c>
      <c r="B30" s="56">
        <v>1038.4960000000001</v>
      </c>
      <c r="C30" s="46">
        <v>0</v>
      </c>
      <c r="D30" s="47">
        <v>5670</v>
      </c>
      <c r="E30" s="47">
        <v>5119</v>
      </c>
      <c r="F30" s="13">
        <f t="shared" si="0"/>
        <v>5888272.3200000003</v>
      </c>
      <c r="G30" s="13">
        <f t="shared" si="0"/>
        <v>0</v>
      </c>
      <c r="H30" s="26">
        <v>38.25</v>
      </c>
      <c r="I30" s="13">
        <v>819500</v>
      </c>
      <c r="J30" s="12">
        <v>30</v>
      </c>
      <c r="K30" s="13">
        <v>280000</v>
      </c>
      <c r="L30" s="13">
        <v>15000</v>
      </c>
      <c r="M30" s="13">
        <v>630000</v>
      </c>
      <c r="N30" s="13">
        <v>160000</v>
      </c>
      <c r="O30" s="13"/>
      <c r="P30" s="12"/>
    </row>
    <row r="31" spans="1:16" x14ac:dyDescent="0.25">
      <c r="A31" s="25">
        <v>45410</v>
      </c>
      <c r="B31" s="56">
        <v>1333.4649999999999</v>
      </c>
      <c r="C31" s="46">
        <v>4692.6499999999996</v>
      </c>
      <c r="D31" s="47">
        <v>5670</v>
      </c>
      <c r="E31" s="47">
        <v>5119</v>
      </c>
      <c r="F31" s="13">
        <f t="shared" si="0"/>
        <v>7560746.5499999998</v>
      </c>
      <c r="G31" s="13">
        <f t="shared" si="0"/>
        <v>24021675.349999998</v>
      </c>
      <c r="H31" s="26">
        <v>40.5</v>
      </c>
      <c r="I31" s="13">
        <v>794500</v>
      </c>
      <c r="J31" s="12">
        <v>73</v>
      </c>
      <c r="K31" s="13">
        <v>366000</v>
      </c>
      <c r="L31" s="13">
        <v>83000</v>
      </c>
      <c r="M31" s="13">
        <v>380000</v>
      </c>
      <c r="N31" s="13">
        <v>102000</v>
      </c>
      <c r="O31" s="13"/>
      <c r="P31" s="12"/>
    </row>
    <row r="32" spans="1:16" x14ac:dyDescent="0.25">
      <c r="A32" s="25">
        <v>45411</v>
      </c>
      <c r="B32" s="56">
        <v>1318.059</v>
      </c>
      <c r="C32" s="46">
        <v>6561.2389999999996</v>
      </c>
      <c r="D32" s="47">
        <v>5670</v>
      </c>
      <c r="E32" s="47">
        <v>5119</v>
      </c>
      <c r="F32" s="13">
        <f t="shared" si="0"/>
        <v>7473394.5300000003</v>
      </c>
      <c r="G32" s="13">
        <f t="shared" si="0"/>
        <v>33586982.441</v>
      </c>
      <c r="H32" s="26">
        <v>95.25</v>
      </c>
      <c r="I32" s="13">
        <v>1919000</v>
      </c>
      <c r="J32" s="12">
        <v>49</v>
      </c>
      <c r="K32" s="13">
        <v>450000</v>
      </c>
      <c r="L32" s="13">
        <v>38000</v>
      </c>
      <c r="M32" s="13">
        <v>552500</v>
      </c>
      <c r="N32" s="13">
        <v>0</v>
      </c>
      <c r="O32" s="13"/>
      <c r="P32" s="12"/>
    </row>
    <row r="33" spans="1:16" x14ac:dyDescent="0.25">
      <c r="A33" s="25">
        <v>45412</v>
      </c>
      <c r="B33" s="56">
        <v>1815.943</v>
      </c>
      <c r="C33" s="46">
        <v>3508.49</v>
      </c>
      <c r="D33" s="47">
        <v>5670</v>
      </c>
      <c r="E33" s="47">
        <v>5119</v>
      </c>
      <c r="F33" s="13">
        <f t="shared" si="0"/>
        <v>10296396.810000001</v>
      </c>
      <c r="G33" s="13">
        <f t="shared" si="0"/>
        <v>17959960.309999999</v>
      </c>
      <c r="H33" s="26">
        <v>52.5</v>
      </c>
      <c r="I33" s="13">
        <v>1061500</v>
      </c>
      <c r="J33" s="12">
        <v>76.5</v>
      </c>
      <c r="K33" s="13">
        <v>703000</v>
      </c>
      <c r="L33" s="13">
        <v>31000</v>
      </c>
      <c r="M33" s="13">
        <v>541000</v>
      </c>
      <c r="N33" s="13">
        <v>0</v>
      </c>
      <c r="O33" s="13"/>
      <c r="P33" s="12"/>
    </row>
    <row r="34" spans="1:16" x14ac:dyDescent="0.25">
      <c r="A34" s="25" t="s">
        <v>81</v>
      </c>
      <c r="B34" s="56"/>
      <c r="C34" s="46" t="s">
        <v>80</v>
      </c>
      <c r="D34" s="47"/>
      <c r="E34" s="47"/>
      <c r="F34" s="13">
        <f t="shared" ref="F34" si="1">B34*D34</f>
        <v>0</v>
      </c>
      <c r="G34" s="13"/>
      <c r="H34" s="26"/>
      <c r="I34" s="13"/>
      <c r="J34" s="12"/>
      <c r="K34" s="13"/>
      <c r="L34" s="13"/>
      <c r="M34" s="13"/>
      <c r="N34" s="13"/>
      <c r="O34" s="13"/>
      <c r="P34" s="12"/>
    </row>
    <row r="35" spans="1:16" x14ac:dyDescent="0.25">
      <c r="A35" s="15"/>
      <c r="B35" s="37"/>
      <c r="C35" s="37"/>
      <c r="D35" s="38"/>
      <c r="E35" s="38"/>
      <c r="F35" s="39"/>
      <c r="G35" s="39"/>
      <c r="H35" s="39"/>
      <c r="I35" s="13"/>
      <c r="J35" s="15"/>
      <c r="K35" s="38"/>
      <c r="L35" s="38"/>
      <c r="M35" s="13"/>
      <c r="N35" s="38"/>
      <c r="O35" s="38"/>
      <c r="P35" s="15"/>
    </row>
    <row r="36" spans="1:16" x14ac:dyDescent="0.25">
      <c r="A36" s="15"/>
      <c r="B36" s="37">
        <f>SUM(B4:B35)</f>
        <v>44044.605000000003</v>
      </c>
      <c r="C36" s="37">
        <f>SUM(C4:C35)</f>
        <v>90255.833999999988</v>
      </c>
      <c r="D36" s="38">
        <f>SUM(D4:D35)</f>
        <v>168700</v>
      </c>
      <c r="E36" s="38"/>
      <c r="F36" s="39">
        <f>SUM(F4:F35)</f>
        <v>247722003.15000001</v>
      </c>
      <c r="G36" s="39">
        <f>SUM(G4:G35)</f>
        <v>467484666.64599997</v>
      </c>
      <c r="H36" s="39">
        <f t="shared" ref="H36:I36" si="2">SUM(H4:H35)</f>
        <v>1541</v>
      </c>
      <c r="I36" s="39">
        <f t="shared" si="2"/>
        <v>32201600</v>
      </c>
      <c r="J36" s="39">
        <f>SUM(J4:J35)</f>
        <v>1464.5</v>
      </c>
      <c r="K36" s="39">
        <f>SUM(K4:K35)</f>
        <v>13091000</v>
      </c>
      <c r="L36" s="39">
        <f>SUM(L4:L35)</f>
        <v>1186000</v>
      </c>
      <c r="M36" s="38">
        <f>SUM(M4:M35)</f>
        <v>17002900</v>
      </c>
      <c r="N36" s="38">
        <f>SUM(N5:N35)</f>
        <v>3616500</v>
      </c>
      <c r="O36" s="38"/>
      <c r="P36" s="15"/>
    </row>
  </sheetData>
  <mergeCells count="7">
    <mergeCell ref="B1:P1"/>
    <mergeCell ref="B2:C2"/>
    <mergeCell ref="D2:E2"/>
    <mergeCell ref="F2:G2"/>
    <mergeCell ref="H2:I2"/>
    <mergeCell ref="J2:K2"/>
    <mergeCell ref="N2:P2"/>
  </mergeCells>
  <pageMargins left="0.7" right="0.7" top="0.75" bottom="0.75" header="0.3" footer="0.3"/>
  <pageSetup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36"/>
  <sheetViews>
    <sheetView topLeftCell="A16" workbookViewId="0">
      <selection activeCell="P16" sqref="P16"/>
    </sheetView>
  </sheetViews>
  <sheetFormatPr defaultRowHeight="15" x14ac:dyDescent="0.25"/>
  <cols>
    <col min="1" max="1" width="10.5703125" customWidth="1"/>
    <col min="2" max="2" width="12" customWidth="1"/>
    <col min="3" max="3" width="12.85546875" customWidth="1"/>
    <col min="4" max="4" width="12" customWidth="1"/>
    <col min="5" max="5" width="11.85546875" customWidth="1"/>
    <col min="6" max="6" width="14.140625" customWidth="1"/>
    <col min="7" max="7" width="14.5703125" customWidth="1"/>
    <col min="8" max="8" width="11.42578125" customWidth="1"/>
    <col min="9" max="9" width="13.28515625" customWidth="1"/>
    <col min="10" max="10" width="13" customWidth="1"/>
    <col min="11" max="11" width="13.28515625" customWidth="1"/>
    <col min="12" max="12" width="12.5703125" customWidth="1"/>
    <col min="13" max="13" width="12.140625" customWidth="1"/>
    <col min="14" max="14" width="10.7109375" customWidth="1"/>
  </cols>
  <sheetData>
    <row r="1" spans="1:16" ht="18.75" x14ac:dyDescent="0.3">
      <c r="A1" s="6"/>
      <c r="B1" s="81" t="s">
        <v>45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1:16" x14ac:dyDescent="0.25">
      <c r="A2" s="12" t="s">
        <v>0</v>
      </c>
      <c r="B2" s="97" t="s">
        <v>5</v>
      </c>
      <c r="C2" s="98"/>
      <c r="D2" s="99" t="s">
        <v>12</v>
      </c>
      <c r="E2" s="100"/>
      <c r="F2" s="99" t="s">
        <v>6</v>
      </c>
      <c r="G2" s="100"/>
      <c r="H2" s="101" t="s">
        <v>7</v>
      </c>
      <c r="I2" s="102"/>
      <c r="J2" s="101" t="s">
        <v>8</v>
      </c>
      <c r="K2" s="102"/>
      <c r="L2" s="13"/>
      <c r="M2" s="13" t="s">
        <v>35</v>
      </c>
      <c r="N2" s="101" t="s">
        <v>15</v>
      </c>
      <c r="O2" s="103"/>
      <c r="P2" s="102"/>
    </row>
    <row r="3" spans="1:16" x14ac:dyDescent="0.25">
      <c r="A3" s="16"/>
      <c r="B3" s="17" t="s">
        <v>1</v>
      </c>
      <c r="C3" s="17" t="s">
        <v>2</v>
      </c>
      <c r="D3" s="18" t="s">
        <v>1</v>
      </c>
      <c r="E3" s="18" t="s">
        <v>2</v>
      </c>
      <c r="F3" s="19" t="s">
        <v>1</v>
      </c>
      <c r="G3" s="19" t="s">
        <v>2</v>
      </c>
      <c r="H3" s="19" t="s">
        <v>9</v>
      </c>
      <c r="I3" s="18" t="s">
        <v>10</v>
      </c>
      <c r="J3" s="16" t="s">
        <v>11</v>
      </c>
      <c r="K3" s="18" t="s">
        <v>10</v>
      </c>
      <c r="L3" s="18" t="s">
        <v>4</v>
      </c>
      <c r="M3" s="18" t="s">
        <v>67</v>
      </c>
      <c r="N3" s="18" t="s">
        <v>52</v>
      </c>
      <c r="O3" s="18" t="s">
        <v>40</v>
      </c>
      <c r="P3" s="16" t="s">
        <v>28</v>
      </c>
    </row>
    <row r="4" spans="1:16" x14ac:dyDescent="0.25">
      <c r="A4" s="25">
        <v>45413</v>
      </c>
      <c r="B4" s="56">
        <v>1617.44</v>
      </c>
      <c r="C4" s="46">
        <v>5537.45</v>
      </c>
      <c r="D4" s="47">
        <v>5670</v>
      </c>
      <c r="E4" s="47">
        <v>5119</v>
      </c>
      <c r="F4" s="13">
        <f t="shared" ref="F4:G34" si="0">B4*D4</f>
        <v>9170884.8000000007</v>
      </c>
      <c r="G4" s="13">
        <f t="shared" si="0"/>
        <v>28346206.550000001</v>
      </c>
      <c r="H4" s="26">
        <v>33.25</v>
      </c>
      <c r="I4" s="13">
        <v>643000</v>
      </c>
      <c r="J4" s="27">
        <v>52.5</v>
      </c>
      <c r="K4" s="13">
        <v>479000</v>
      </c>
      <c r="L4" s="13">
        <v>8000</v>
      </c>
      <c r="M4" s="13">
        <v>581000</v>
      </c>
      <c r="N4" s="13">
        <v>0</v>
      </c>
      <c r="O4" s="13"/>
      <c r="P4" s="13"/>
    </row>
    <row r="5" spans="1:16" x14ac:dyDescent="0.25">
      <c r="A5" s="25">
        <v>45414</v>
      </c>
      <c r="B5" s="56">
        <v>1496.47</v>
      </c>
      <c r="C5" s="46">
        <v>2714.51</v>
      </c>
      <c r="D5" s="47">
        <v>5670</v>
      </c>
      <c r="E5" s="47">
        <v>5119</v>
      </c>
      <c r="F5" s="13">
        <f t="shared" si="0"/>
        <v>8484984.9000000004</v>
      </c>
      <c r="G5" s="13">
        <f t="shared" si="0"/>
        <v>13895576.690000001</v>
      </c>
      <c r="H5" s="31">
        <v>54.75</v>
      </c>
      <c r="I5" s="13">
        <v>1167500</v>
      </c>
      <c r="J5" s="27">
        <v>36.5</v>
      </c>
      <c r="K5" s="13">
        <v>337000</v>
      </c>
      <c r="L5" s="13">
        <v>253000</v>
      </c>
      <c r="M5" s="13">
        <v>502000</v>
      </c>
      <c r="N5" s="13">
        <v>408000</v>
      </c>
      <c r="O5" s="13"/>
      <c r="P5" s="13"/>
    </row>
    <row r="6" spans="1:16" x14ac:dyDescent="0.25">
      <c r="A6" s="25">
        <v>45415</v>
      </c>
      <c r="B6" s="56">
        <v>1723.9</v>
      </c>
      <c r="C6" s="46">
        <v>3292.1860000000001</v>
      </c>
      <c r="D6" s="47">
        <v>5670</v>
      </c>
      <c r="E6" s="47">
        <v>5119</v>
      </c>
      <c r="F6" s="13">
        <f t="shared" si="0"/>
        <v>9774513</v>
      </c>
      <c r="G6" s="13">
        <f t="shared" si="0"/>
        <v>16852700.134</v>
      </c>
      <c r="H6" s="26">
        <v>28</v>
      </c>
      <c r="I6" s="13">
        <v>587500</v>
      </c>
      <c r="J6" s="27">
        <v>54.5</v>
      </c>
      <c r="K6" s="13">
        <v>476000</v>
      </c>
      <c r="L6" s="13">
        <v>0</v>
      </c>
      <c r="M6" s="13">
        <v>460000</v>
      </c>
      <c r="N6" s="13">
        <v>0</v>
      </c>
      <c r="O6" s="13"/>
      <c r="P6" s="13"/>
    </row>
    <row r="7" spans="1:16" x14ac:dyDescent="0.25">
      <c r="A7" s="25">
        <v>45416</v>
      </c>
      <c r="B7" s="56">
        <v>1588</v>
      </c>
      <c r="C7" s="46">
        <v>1340.02</v>
      </c>
      <c r="D7" s="47">
        <v>5670</v>
      </c>
      <c r="E7" s="47">
        <v>5119</v>
      </c>
      <c r="F7" s="13">
        <f t="shared" si="0"/>
        <v>9003960</v>
      </c>
      <c r="G7" s="13">
        <f t="shared" si="0"/>
        <v>6859562.3799999999</v>
      </c>
      <c r="H7" s="26">
        <v>38</v>
      </c>
      <c r="I7" s="13">
        <v>752500</v>
      </c>
      <c r="J7" s="27">
        <v>65.5</v>
      </c>
      <c r="K7" s="13">
        <v>469000</v>
      </c>
      <c r="L7" s="13">
        <v>8000</v>
      </c>
      <c r="M7" s="13">
        <v>496000</v>
      </c>
      <c r="N7" s="13">
        <v>0</v>
      </c>
      <c r="O7" s="13"/>
      <c r="P7" s="13"/>
    </row>
    <row r="8" spans="1:16" x14ac:dyDescent="0.25">
      <c r="A8" s="25">
        <v>45417</v>
      </c>
      <c r="B8" s="56">
        <v>1255.25</v>
      </c>
      <c r="C8" s="46">
        <v>1873.03</v>
      </c>
      <c r="D8" s="47">
        <v>5670</v>
      </c>
      <c r="E8" s="47">
        <v>5119</v>
      </c>
      <c r="F8" s="13">
        <f t="shared" si="0"/>
        <v>7117267.5</v>
      </c>
      <c r="G8" s="13">
        <f t="shared" si="0"/>
        <v>9588040.5700000003</v>
      </c>
      <c r="H8" s="26">
        <v>22.25</v>
      </c>
      <c r="I8" s="13">
        <v>480000</v>
      </c>
      <c r="J8" s="27">
        <v>58</v>
      </c>
      <c r="K8" s="13">
        <v>503000</v>
      </c>
      <c r="L8" s="13">
        <v>15000</v>
      </c>
      <c r="M8" s="13">
        <v>518000</v>
      </c>
      <c r="N8" s="13">
        <v>92000</v>
      </c>
      <c r="O8" s="13"/>
      <c r="P8" s="13"/>
    </row>
    <row r="9" spans="1:16" x14ac:dyDescent="0.25">
      <c r="A9" s="25">
        <v>45418</v>
      </c>
      <c r="B9" s="56">
        <v>1433.24</v>
      </c>
      <c r="C9" s="46">
        <v>3964.38</v>
      </c>
      <c r="D9" s="47">
        <v>5670</v>
      </c>
      <c r="E9" s="47">
        <v>5119</v>
      </c>
      <c r="F9" s="13">
        <f t="shared" si="0"/>
        <v>8126470.7999999998</v>
      </c>
      <c r="G9" s="13">
        <f t="shared" si="0"/>
        <v>20293661.219999999</v>
      </c>
      <c r="H9" s="26">
        <v>33</v>
      </c>
      <c r="I9" s="13">
        <v>614000</v>
      </c>
      <c r="J9" s="27">
        <v>63.5</v>
      </c>
      <c r="K9" s="13">
        <v>557000</v>
      </c>
      <c r="L9" s="13">
        <v>24000</v>
      </c>
      <c r="M9" s="13">
        <v>462500</v>
      </c>
      <c r="N9" s="13">
        <v>334000</v>
      </c>
      <c r="O9" s="13"/>
      <c r="P9" s="31"/>
    </row>
    <row r="10" spans="1:16" x14ac:dyDescent="0.25">
      <c r="A10" s="25">
        <v>45419</v>
      </c>
      <c r="B10" s="56">
        <v>1465.76</v>
      </c>
      <c r="C10" s="46">
        <v>2897.72</v>
      </c>
      <c r="D10" s="47">
        <v>5670</v>
      </c>
      <c r="E10" s="47">
        <v>5119</v>
      </c>
      <c r="F10" s="13">
        <f t="shared" si="0"/>
        <v>8310859.2000000002</v>
      </c>
      <c r="G10" s="13">
        <f t="shared" si="0"/>
        <v>14833428.68</v>
      </c>
      <c r="H10" s="26">
        <v>37.5</v>
      </c>
      <c r="I10" s="13">
        <v>673000</v>
      </c>
      <c r="J10" s="27">
        <v>42</v>
      </c>
      <c r="K10" s="13">
        <v>371000</v>
      </c>
      <c r="L10" s="13">
        <v>30000</v>
      </c>
      <c r="M10" s="13">
        <v>536500</v>
      </c>
      <c r="N10" s="13">
        <v>126000</v>
      </c>
      <c r="O10" s="13"/>
      <c r="P10" s="13"/>
    </row>
    <row r="11" spans="1:16" x14ac:dyDescent="0.25">
      <c r="A11" s="25">
        <v>45420</v>
      </c>
      <c r="B11" s="56">
        <v>1822.66</v>
      </c>
      <c r="C11" s="46">
        <v>4980.84</v>
      </c>
      <c r="D11" s="47">
        <v>5670</v>
      </c>
      <c r="E11" s="47">
        <v>5119</v>
      </c>
      <c r="F11" s="13">
        <f t="shared" si="0"/>
        <v>10334482.200000001</v>
      </c>
      <c r="G11" s="13">
        <f t="shared" si="0"/>
        <v>25496919.960000001</v>
      </c>
      <c r="H11" s="26">
        <v>68.75</v>
      </c>
      <c r="I11" s="13">
        <v>1393500</v>
      </c>
      <c r="J11" s="27">
        <v>33.5</v>
      </c>
      <c r="K11" s="13">
        <v>295000</v>
      </c>
      <c r="L11" s="13">
        <v>38000</v>
      </c>
      <c r="M11" s="13">
        <v>561500</v>
      </c>
      <c r="N11" s="13">
        <v>196000</v>
      </c>
      <c r="O11" s="13"/>
      <c r="P11" s="13"/>
    </row>
    <row r="12" spans="1:16" x14ac:dyDescent="0.25">
      <c r="A12" s="25">
        <v>45421</v>
      </c>
      <c r="B12" s="56">
        <v>1591.87</v>
      </c>
      <c r="C12" s="46">
        <v>3867.66</v>
      </c>
      <c r="D12" s="47">
        <v>5670</v>
      </c>
      <c r="E12" s="47">
        <v>5119</v>
      </c>
      <c r="F12" s="13">
        <f t="shared" si="0"/>
        <v>9025902.8999999985</v>
      </c>
      <c r="G12" s="13">
        <f t="shared" si="0"/>
        <v>19798551.539999999</v>
      </c>
      <c r="H12" s="26">
        <v>118.75</v>
      </c>
      <c r="I12" s="13">
        <v>2264500</v>
      </c>
      <c r="J12" s="27">
        <v>71.5</v>
      </c>
      <c r="K12" s="13">
        <v>479000</v>
      </c>
      <c r="L12" s="13">
        <v>24000</v>
      </c>
      <c r="M12" s="13">
        <v>744000</v>
      </c>
      <c r="N12" s="13">
        <v>63000</v>
      </c>
      <c r="O12" s="13"/>
      <c r="P12" s="13"/>
    </row>
    <row r="13" spans="1:16" x14ac:dyDescent="0.25">
      <c r="A13" s="25">
        <v>45422</v>
      </c>
      <c r="B13" s="56">
        <v>1582.49</v>
      </c>
      <c r="C13" s="46">
        <v>4878.93</v>
      </c>
      <c r="D13" s="47">
        <v>5670</v>
      </c>
      <c r="E13" s="47">
        <v>5119</v>
      </c>
      <c r="F13" s="13">
        <f t="shared" si="0"/>
        <v>8972718.3000000007</v>
      </c>
      <c r="G13" s="13">
        <f t="shared" si="0"/>
        <v>24975242.670000002</v>
      </c>
      <c r="H13" s="26">
        <v>59.75</v>
      </c>
      <c r="I13" s="13">
        <v>1190000</v>
      </c>
      <c r="J13" s="27">
        <v>99</v>
      </c>
      <c r="K13" s="13">
        <v>842000</v>
      </c>
      <c r="L13" s="13">
        <v>16000</v>
      </c>
      <c r="M13" s="13">
        <v>955000</v>
      </c>
      <c r="N13" s="13">
        <v>319500</v>
      </c>
      <c r="O13" s="13"/>
      <c r="P13" s="13"/>
    </row>
    <row r="14" spans="1:16" x14ac:dyDescent="0.25">
      <c r="A14" s="25">
        <v>45423</v>
      </c>
      <c r="B14" s="56">
        <v>2151.63</v>
      </c>
      <c r="C14" s="46">
        <v>2661.63</v>
      </c>
      <c r="D14" s="47">
        <v>5670</v>
      </c>
      <c r="E14" s="47">
        <v>5119</v>
      </c>
      <c r="F14" s="13">
        <f t="shared" si="0"/>
        <v>12199742.100000001</v>
      </c>
      <c r="G14" s="13">
        <f t="shared" si="0"/>
        <v>13624883.970000001</v>
      </c>
      <c r="H14" s="26">
        <v>48.25</v>
      </c>
      <c r="I14" s="13">
        <v>909500</v>
      </c>
      <c r="J14" s="27">
        <v>39</v>
      </c>
      <c r="K14" s="13">
        <v>346000</v>
      </c>
      <c r="L14" s="13">
        <v>16000</v>
      </c>
      <c r="M14" s="13">
        <v>887000</v>
      </c>
      <c r="N14" s="13">
        <v>63000</v>
      </c>
      <c r="O14" s="13"/>
      <c r="P14" s="13"/>
    </row>
    <row r="15" spans="1:16" x14ac:dyDescent="0.25">
      <c r="A15" s="25">
        <v>45424</v>
      </c>
      <c r="B15" s="56">
        <v>1424</v>
      </c>
      <c r="C15" s="46">
        <v>3172.14</v>
      </c>
      <c r="D15" s="47">
        <v>5670</v>
      </c>
      <c r="E15" s="47">
        <v>5119</v>
      </c>
      <c r="F15" s="13">
        <f t="shared" si="0"/>
        <v>8074080</v>
      </c>
      <c r="G15" s="13">
        <f t="shared" si="0"/>
        <v>16238184.66</v>
      </c>
      <c r="H15" s="26">
        <v>14</v>
      </c>
      <c r="I15" s="51">
        <v>295000</v>
      </c>
      <c r="J15" s="27">
        <v>54.5</v>
      </c>
      <c r="K15" s="13">
        <v>476000</v>
      </c>
      <c r="L15" s="13">
        <v>0</v>
      </c>
      <c r="M15" s="13">
        <v>682000</v>
      </c>
      <c r="N15" s="13">
        <v>63000</v>
      </c>
      <c r="O15" s="13"/>
      <c r="P15" s="13"/>
    </row>
    <row r="16" spans="1:16" x14ac:dyDescent="0.25">
      <c r="A16" s="25">
        <v>45425</v>
      </c>
      <c r="B16" s="56">
        <v>1606.63</v>
      </c>
      <c r="C16" s="46">
        <v>3727.54</v>
      </c>
      <c r="D16" s="47">
        <v>5670</v>
      </c>
      <c r="E16" s="47">
        <v>5119</v>
      </c>
      <c r="F16" s="13">
        <f t="shared" si="0"/>
        <v>9109592.1000000015</v>
      </c>
      <c r="G16" s="13">
        <f t="shared" si="0"/>
        <v>19081277.260000002</v>
      </c>
      <c r="H16" s="26">
        <v>29</v>
      </c>
      <c r="I16" s="13">
        <v>672000</v>
      </c>
      <c r="J16" s="27">
        <v>52</v>
      </c>
      <c r="K16" s="13">
        <v>450000</v>
      </c>
      <c r="L16" s="13">
        <v>31000</v>
      </c>
      <c r="M16" s="13">
        <v>570200</v>
      </c>
      <c r="N16" s="13">
        <v>126000</v>
      </c>
      <c r="O16" s="13"/>
      <c r="P16" s="13"/>
    </row>
    <row r="17" spans="1:16" x14ac:dyDescent="0.25">
      <c r="A17" s="25">
        <v>45426</v>
      </c>
      <c r="B17" s="56">
        <v>1516.58</v>
      </c>
      <c r="C17" s="46">
        <v>2653</v>
      </c>
      <c r="D17" s="47">
        <v>5670</v>
      </c>
      <c r="E17" s="47">
        <v>5119</v>
      </c>
      <c r="F17" s="13">
        <f t="shared" si="0"/>
        <v>8599008.5999999996</v>
      </c>
      <c r="G17" s="13">
        <f t="shared" si="0"/>
        <v>13580707</v>
      </c>
      <c r="H17" s="26">
        <v>82.5</v>
      </c>
      <c r="I17" s="13">
        <v>1649000</v>
      </c>
      <c r="J17" s="27">
        <v>30.5</v>
      </c>
      <c r="K17" s="13">
        <v>264000</v>
      </c>
      <c r="L17" s="13">
        <v>46000</v>
      </c>
      <c r="M17" s="13">
        <v>552000</v>
      </c>
      <c r="N17" s="13">
        <v>189000</v>
      </c>
      <c r="O17" s="13"/>
      <c r="P17" s="13"/>
    </row>
    <row r="18" spans="1:16" x14ac:dyDescent="0.25">
      <c r="A18" s="25">
        <v>45427</v>
      </c>
      <c r="B18" s="56">
        <v>1490.81</v>
      </c>
      <c r="C18" s="46">
        <v>2548.91</v>
      </c>
      <c r="D18" s="47">
        <v>5670</v>
      </c>
      <c r="E18" s="47">
        <v>5119</v>
      </c>
      <c r="F18" s="13">
        <f t="shared" si="0"/>
        <v>8452892.6999999993</v>
      </c>
      <c r="G18" s="13">
        <f t="shared" si="0"/>
        <v>13047870.289999999</v>
      </c>
      <c r="H18" s="13">
        <v>18.25</v>
      </c>
      <c r="I18" s="13">
        <v>379500</v>
      </c>
      <c r="J18" s="27">
        <v>144.5</v>
      </c>
      <c r="K18" s="13">
        <v>1240000</v>
      </c>
      <c r="L18" s="13">
        <v>0</v>
      </c>
      <c r="M18" s="13">
        <v>671500</v>
      </c>
      <c r="N18" s="13">
        <v>450000</v>
      </c>
      <c r="O18" s="13"/>
      <c r="P18" s="13"/>
    </row>
    <row r="19" spans="1:16" x14ac:dyDescent="0.25">
      <c r="A19" s="25">
        <v>45428</v>
      </c>
      <c r="B19" s="56">
        <v>1365.63</v>
      </c>
      <c r="C19" s="46">
        <v>2973.78</v>
      </c>
      <c r="D19" s="47">
        <v>5670</v>
      </c>
      <c r="E19" s="47">
        <v>5119</v>
      </c>
      <c r="F19" s="13">
        <f t="shared" si="0"/>
        <v>7743122.1000000006</v>
      </c>
      <c r="G19" s="13">
        <f t="shared" si="0"/>
        <v>15222779.82</v>
      </c>
      <c r="H19" s="26">
        <v>97</v>
      </c>
      <c r="I19" s="13">
        <v>1962000</v>
      </c>
      <c r="J19" s="27">
        <v>45</v>
      </c>
      <c r="K19" s="13">
        <v>452000</v>
      </c>
      <c r="L19" s="13">
        <v>503000</v>
      </c>
      <c r="M19" s="13">
        <v>736000</v>
      </c>
      <c r="N19" s="13">
        <v>126000</v>
      </c>
      <c r="O19" s="13"/>
      <c r="P19" s="13"/>
    </row>
    <row r="20" spans="1:16" x14ac:dyDescent="0.25">
      <c r="A20" s="25">
        <v>45429</v>
      </c>
      <c r="B20" s="56">
        <v>2281.02</v>
      </c>
      <c r="C20" s="46">
        <v>5644.02</v>
      </c>
      <c r="D20" s="47">
        <v>5670</v>
      </c>
      <c r="E20" s="47">
        <v>5119</v>
      </c>
      <c r="F20" s="13">
        <f>B20*D20</f>
        <v>12933383.4</v>
      </c>
      <c r="G20" s="13">
        <f t="shared" si="0"/>
        <v>28891738.380000003</v>
      </c>
      <c r="H20" s="26">
        <v>55</v>
      </c>
      <c r="I20" s="13">
        <v>1067500</v>
      </c>
      <c r="J20" s="27">
        <v>39</v>
      </c>
      <c r="K20" s="13">
        <v>326000</v>
      </c>
      <c r="L20" s="13">
        <v>65000</v>
      </c>
      <c r="M20" s="13">
        <v>982000</v>
      </c>
      <c r="N20" s="13">
        <v>126000</v>
      </c>
      <c r="O20" s="13"/>
      <c r="P20" s="13"/>
    </row>
    <row r="21" spans="1:16" x14ac:dyDescent="0.25">
      <c r="A21" s="25">
        <v>45430</v>
      </c>
      <c r="B21" s="56">
        <v>1827.4</v>
      </c>
      <c r="C21" s="46">
        <v>1867.68</v>
      </c>
      <c r="D21" s="47">
        <v>5670</v>
      </c>
      <c r="E21" s="47">
        <v>5119</v>
      </c>
      <c r="F21" s="13">
        <f t="shared" si="0"/>
        <v>10361358</v>
      </c>
      <c r="G21" s="13">
        <f t="shared" si="0"/>
        <v>9560653.9199999999</v>
      </c>
      <c r="H21" s="26">
        <v>101</v>
      </c>
      <c r="I21" s="13">
        <v>2053500</v>
      </c>
      <c r="J21" s="12">
        <v>51</v>
      </c>
      <c r="K21" s="13">
        <v>455000</v>
      </c>
      <c r="L21" s="13">
        <v>46000</v>
      </c>
      <c r="M21" s="13">
        <v>908500</v>
      </c>
      <c r="N21" s="13">
        <v>189000</v>
      </c>
      <c r="O21" s="13"/>
      <c r="P21" s="12"/>
    </row>
    <row r="22" spans="1:16" x14ac:dyDescent="0.25">
      <c r="A22" s="25">
        <v>45431</v>
      </c>
      <c r="B22" s="56">
        <v>1377.62</v>
      </c>
      <c r="C22" s="46">
        <v>1421.54</v>
      </c>
      <c r="D22" s="47">
        <v>5670</v>
      </c>
      <c r="E22" s="47">
        <v>5119</v>
      </c>
      <c r="F22" s="13">
        <f t="shared" si="0"/>
        <v>7811105.3999999994</v>
      </c>
      <c r="G22" s="13">
        <f t="shared" si="0"/>
        <v>7276863.2599999998</v>
      </c>
      <c r="H22" s="26">
        <v>61.5</v>
      </c>
      <c r="I22" s="13">
        <v>1306000</v>
      </c>
      <c r="J22" s="12">
        <v>90</v>
      </c>
      <c r="K22" s="13">
        <v>680000</v>
      </c>
      <c r="L22" s="13">
        <v>45000</v>
      </c>
      <c r="M22" s="13">
        <v>722000</v>
      </c>
      <c r="N22" s="13">
        <v>0</v>
      </c>
      <c r="O22" s="13"/>
      <c r="P22" s="12"/>
    </row>
    <row r="23" spans="1:16" x14ac:dyDescent="0.25">
      <c r="A23" s="25">
        <v>45432</v>
      </c>
      <c r="B23" s="56">
        <v>1519.73</v>
      </c>
      <c r="C23" s="46">
        <v>2817.96</v>
      </c>
      <c r="D23" s="47">
        <v>5670</v>
      </c>
      <c r="E23" s="47">
        <v>5119</v>
      </c>
      <c r="F23" s="13">
        <f t="shared" si="0"/>
        <v>8616869.0999999996</v>
      </c>
      <c r="G23" s="13">
        <f t="shared" si="0"/>
        <v>14425137.24</v>
      </c>
      <c r="H23" s="26">
        <v>36.5</v>
      </c>
      <c r="I23" s="13">
        <v>857000</v>
      </c>
      <c r="J23" s="12">
        <v>58</v>
      </c>
      <c r="K23" s="13">
        <v>503000</v>
      </c>
      <c r="L23" s="13">
        <v>30000</v>
      </c>
      <c r="M23" s="13">
        <v>462500</v>
      </c>
      <c r="N23" s="13">
        <v>186000</v>
      </c>
      <c r="O23" s="13"/>
      <c r="P23" s="12"/>
    </row>
    <row r="24" spans="1:16" x14ac:dyDescent="0.25">
      <c r="A24" s="25">
        <v>45433</v>
      </c>
      <c r="B24" s="56">
        <v>1274.6600000000001</v>
      </c>
      <c r="C24" s="46">
        <v>2663.34</v>
      </c>
      <c r="D24" s="47">
        <v>5670</v>
      </c>
      <c r="E24" s="47">
        <v>5119</v>
      </c>
      <c r="F24" s="13">
        <f t="shared" si="0"/>
        <v>7227322.2000000002</v>
      </c>
      <c r="G24" s="13">
        <f t="shared" si="0"/>
        <v>13633637.460000001</v>
      </c>
      <c r="H24" s="26">
        <v>44</v>
      </c>
      <c r="I24" s="13">
        <v>806000</v>
      </c>
      <c r="J24" s="12">
        <v>52</v>
      </c>
      <c r="K24" s="13">
        <v>450000</v>
      </c>
      <c r="L24" s="13">
        <v>0</v>
      </c>
      <c r="M24" s="13">
        <v>531000</v>
      </c>
      <c r="N24" s="13">
        <v>0</v>
      </c>
      <c r="O24" s="13"/>
      <c r="P24" s="12"/>
    </row>
    <row r="25" spans="1:16" x14ac:dyDescent="0.25">
      <c r="A25" s="25">
        <v>45434</v>
      </c>
      <c r="B25" s="56">
        <v>1512.06</v>
      </c>
      <c r="C25" s="46">
        <v>2786.93</v>
      </c>
      <c r="D25" s="47">
        <v>5670</v>
      </c>
      <c r="E25" s="47">
        <v>5119</v>
      </c>
      <c r="F25" s="13">
        <f t="shared" si="0"/>
        <v>8573380.1999999993</v>
      </c>
      <c r="G25" s="13">
        <f t="shared" si="0"/>
        <v>14266294.67</v>
      </c>
      <c r="H25" s="26">
        <v>68.5</v>
      </c>
      <c r="I25" s="13">
        <v>1419000</v>
      </c>
      <c r="J25" s="12">
        <v>30.5</v>
      </c>
      <c r="K25" s="13">
        <v>264000</v>
      </c>
      <c r="L25" s="13">
        <v>120000</v>
      </c>
      <c r="M25" s="13">
        <v>911000</v>
      </c>
      <c r="N25" s="13">
        <v>256500</v>
      </c>
      <c r="O25" s="13"/>
      <c r="P25" s="12"/>
    </row>
    <row r="26" spans="1:16" x14ac:dyDescent="0.25">
      <c r="A26" s="25">
        <v>45435</v>
      </c>
      <c r="B26" s="56">
        <v>1752.95</v>
      </c>
      <c r="C26" s="46">
        <v>2597.25</v>
      </c>
      <c r="D26" s="47">
        <v>5670</v>
      </c>
      <c r="E26" s="47">
        <v>5019</v>
      </c>
      <c r="F26" s="13">
        <f t="shared" si="0"/>
        <v>9939226.5</v>
      </c>
      <c r="G26" s="13">
        <f t="shared" si="0"/>
        <v>13035597.75</v>
      </c>
      <c r="H26" s="26">
        <v>33.25</v>
      </c>
      <c r="I26" s="13">
        <v>666000</v>
      </c>
      <c r="J26" s="12">
        <v>103</v>
      </c>
      <c r="K26" s="13">
        <v>700000</v>
      </c>
      <c r="L26" s="13">
        <v>87000</v>
      </c>
      <c r="M26" s="13">
        <v>527600</v>
      </c>
      <c r="N26" s="13">
        <v>134000</v>
      </c>
      <c r="O26" s="13"/>
      <c r="P26" s="12"/>
    </row>
    <row r="27" spans="1:16" x14ac:dyDescent="0.25">
      <c r="A27" s="25">
        <v>45436</v>
      </c>
      <c r="B27" s="56">
        <v>1928.85</v>
      </c>
      <c r="C27" s="46">
        <v>3302.11</v>
      </c>
      <c r="D27" s="47">
        <v>5670</v>
      </c>
      <c r="E27" s="47">
        <v>5019</v>
      </c>
      <c r="F27" s="13">
        <f t="shared" si="0"/>
        <v>10936579.5</v>
      </c>
      <c r="G27" s="13">
        <f t="shared" si="0"/>
        <v>16573290.09</v>
      </c>
      <c r="H27" s="26">
        <v>43.25</v>
      </c>
      <c r="I27" s="13">
        <v>778500</v>
      </c>
      <c r="J27" s="12">
        <v>18</v>
      </c>
      <c r="K27" s="13">
        <v>165000</v>
      </c>
      <c r="L27" s="13">
        <v>8000</v>
      </c>
      <c r="M27" s="13">
        <v>495000</v>
      </c>
      <c r="N27" s="13">
        <v>63000</v>
      </c>
      <c r="O27" s="13"/>
      <c r="P27" s="12"/>
    </row>
    <row r="28" spans="1:16" x14ac:dyDescent="0.25">
      <c r="A28" s="25">
        <v>45437</v>
      </c>
      <c r="B28" s="56">
        <v>1984.43</v>
      </c>
      <c r="C28" s="46">
        <v>3325.08</v>
      </c>
      <c r="D28" s="47">
        <v>5670</v>
      </c>
      <c r="E28" s="47">
        <v>5019</v>
      </c>
      <c r="F28" s="13">
        <f t="shared" si="0"/>
        <v>11251718.1</v>
      </c>
      <c r="G28" s="13">
        <f t="shared" si="0"/>
        <v>16688576.52</v>
      </c>
      <c r="H28" s="26">
        <v>58</v>
      </c>
      <c r="I28" s="13">
        <v>1235000</v>
      </c>
      <c r="J28" s="12">
        <v>51.5</v>
      </c>
      <c r="K28" s="13">
        <v>398000</v>
      </c>
      <c r="L28" s="13">
        <v>23000</v>
      </c>
      <c r="M28" s="13">
        <v>945000</v>
      </c>
      <c r="N28" s="13">
        <v>138000</v>
      </c>
      <c r="O28" s="13"/>
      <c r="P28" s="12"/>
    </row>
    <row r="29" spans="1:16" x14ac:dyDescent="0.25">
      <c r="A29" s="25">
        <v>45438</v>
      </c>
      <c r="B29" s="56">
        <v>1773.24</v>
      </c>
      <c r="C29" s="46">
        <v>3826.03</v>
      </c>
      <c r="D29" s="47">
        <v>5670</v>
      </c>
      <c r="E29" s="47">
        <v>5019</v>
      </c>
      <c r="F29" s="13">
        <f t="shared" si="0"/>
        <v>10054270.800000001</v>
      </c>
      <c r="G29" s="13">
        <f t="shared" si="0"/>
        <v>19202844.57</v>
      </c>
      <c r="H29" s="26">
        <v>73.5</v>
      </c>
      <c r="I29" s="13">
        <v>1526500</v>
      </c>
      <c r="J29" s="12">
        <v>36</v>
      </c>
      <c r="K29" s="13">
        <v>318000</v>
      </c>
      <c r="L29" s="13">
        <v>24000</v>
      </c>
      <c r="M29" s="13">
        <v>890000</v>
      </c>
      <c r="N29" s="13">
        <v>155000</v>
      </c>
      <c r="O29" s="13"/>
      <c r="P29" s="12"/>
    </row>
    <row r="30" spans="1:16" x14ac:dyDescent="0.25">
      <c r="A30" s="25">
        <v>45439</v>
      </c>
      <c r="B30" s="56">
        <v>2388.17</v>
      </c>
      <c r="C30" s="46">
        <v>3534.53</v>
      </c>
      <c r="D30" s="47">
        <v>5670</v>
      </c>
      <c r="E30" s="47">
        <v>5019</v>
      </c>
      <c r="F30" s="13">
        <f t="shared" si="0"/>
        <v>13540923.9</v>
      </c>
      <c r="G30" s="13">
        <f t="shared" si="0"/>
        <v>17739806.07</v>
      </c>
      <c r="H30" s="26">
        <v>87.75</v>
      </c>
      <c r="I30" s="13">
        <v>1793500</v>
      </c>
      <c r="J30" s="12">
        <v>79.5</v>
      </c>
      <c r="K30" s="13">
        <v>686000</v>
      </c>
      <c r="L30" s="13">
        <v>56000</v>
      </c>
      <c r="M30" s="13">
        <v>1030700</v>
      </c>
      <c r="N30" s="13">
        <v>126000</v>
      </c>
      <c r="O30" s="13"/>
      <c r="P30" s="12"/>
    </row>
    <row r="31" spans="1:16" x14ac:dyDescent="0.25">
      <c r="A31" s="25">
        <v>45440</v>
      </c>
      <c r="B31" s="56">
        <v>1964.41</v>
      </c>
      <c r="C31" s="46">
        <v>4231.9799999999996</v>
      </c>
      <c r="D31" s="47">
        <v>5670</v>
      </c>
      <c r="E31" s="47">
        <v>5019</v>
      </c>
      <c r="F31" s="13">
        <f t="shared" si="0"/>
        <v>11138204.700000001</v>
      </c>
      <c r="G31" s="13">
        <f t="shared" si="0"/>
        <v>21240307.619999997</v>
      </c>
      <c r="H31" s="26">
        <v>55.25</v>
      </c>
      <c r="I31" s="13">
        <v>1263000</v>
      </c>
      <c r="J31" s="12">
        <v>73</v>
      </c>
      <c r="K31" s="13">
        <v>637000</v>
      </c>
      <c r="L31" s="13">
        <v>87000</v>
      </c>
      <c r="M31" s="13">
        <v>653900</v>
      </c>
      <c r="N31" s="13">
        <v>315000</v>
      </c>
      <c r="O31" s="13"/>
      <c r="P31" s="12"/>
    </row>
    <row r="32" spans="1:16" x14ac:dyDescent="0.25">
      <c r="A32" s="25">
        <v>45441</v>
      </c>
      <c r="B32" s="56">
        <v>1484.67</v>
      </c>
      <c r="C32" s="46">
        <v>3188.03</v>
      </c>
      <c r="D32" s="47">
        <v>5670</v>
      </c>
      <c r="E32" s="47">
        <v>5019</v>
      </c>
      <c r="F32" s="13">
        <f t="shared" si="0"/>
        <v>8418078.9000000004</v>
      </c>
      <c r="G32" s="13">
        <f t="shared" si="0"/>
        <v>16000722.57</v>
      </c>
      <c r="H32" s="26">
        <v>29.25</v>
      </c>
      <c r="I32" s="13">
        <v>565000</v>
      </c>
      <c r="J32" s="12">
        <v>73.5</v>
      </c>
      <c r="K32" s="13">
        <v>639000</v>
      </c>
      <c r="L32" s="13">
        <v>32000</v>
      </c>
      <c r="M32" s="13">
        <v>624500</v>
      </c>
      <c r="N32" s="13">
        <v>246000</v>
      </c>
      <c r="O32" s="13"/>
      <c r="P32" s="12"/>
    </row>
    <row r="33" spans="1:16" x14ac:dyDescent="0.25">
      <c r="A33" s="25">
        <v>45442</v>
      </c>
      <c r="B33" s="56">
        <v>1734.48</v>
      </c>
      <c r="C33" s="46">
        <v>6224.07</v>
      </c>
      <c r="D33" s="47">
        <v>5670</v>
      </c>
      <c r="E33" s="47">
        <v>5019</v>
      </c>
      <c r="F33" s="13">
        <f t="shared" si="0"/>
        <v>9834501.5999999996</v>
      </c>
      <c r="G33" s="13">
        <f t="shared" si="0"/>
        <v>31238607.329999998</v>
      </c>
      <c r="H33" s="26">
        <v>45.5</v>
      </c>
      <c r="I33" s="13">
        <v>934000</v>
      </c>
      <c r="J33" s="12">
        <v>21</v>
      </c>
      <c r="K33" s="13">
        <v>187000</v>
      </c>
      <c r="L33" s="13">
        <v>16000</v>
      </c>
      <c r="M33" s="13">
        <v>847000</v>
      </c>
      <c r="N33" s="13">
        <v>63000</v>
      </c>
      <c r="O33" s="13"/>
      <c r="P33" s="12"/>
    </row>
    <row r="34" spans="1:16" x14ac:dyDescent="0.25">
      <c r="A34" s="25">
        <v>45443</v>
      </c>
      <c r="B34" s="56">
        <v>2076.4299999999998</v>
      </c>
      <c r="C34" s="46">
        <v>4403.2</v>
      </c>
      <c r="D34" s="47">
        <v>5670</v>
      </c>
      <c r="E34" s="47">
        <v>5019</v>
      </c>
      <c r="F34" s="13">
        <f t="shared" ref="F34" si="1">B34*D34</f>
        <v>11773358.1</v>
      </c>
      <c r="G34" s="13">
        <f t="shared" si="0"/>
        <v>22099660.800000001</v>
      </c>
      <c r="H34" s="26">
        <v>60.75</v>
      </c>
      <c r="I34" s="13">
        <v>1212500</v>
      </c>
      <c r="J34" s="12">
        <v>37</v>
      </c>
      <c r="K34" s="13">
        <v>319000</v>
      </c>
      <c r="L34" s="13">
        <v>75000</v>
      </c>
      <c r="M34" s="13">
        <v>1001500</v>
      </c>
      <c r="N34" s="13">
        <v>63000</v>
      </c>
      <c r="O34" s="13"/>
      <c r="P34" s="12"/>
    </row>
    <row r="35" spans="1:16" x14ac:dyDescent="0.25">
      <c r="A35" s="15"/>
      <c r="B35" s="37"/>
      <c r="C35" s="37"/>
      <c r="D35" s="38"/>
      <c r="E35" s="38"/>
      <c r="F35" s="39"/>
      <c r="G35" s="39"/>
      <c r="H35" s="39"/>
      <c r="I35" s="13"/>
      <c r="J35" s="15"/>
      <c r="K35" s="38"/>
      <c r="L35" s="38"/>
      <c r="M35" s="13"/>
      <c r="N35" s="38"/>
      <c r="O35" s="38"/>
      <c r="P35" s="15"/>
    </row>
    <row r="36" spans="1:16" x14ac:dyDescent="0.25">
      <c r="A36" s="15"/>
      <c r="B36" s="37">
        <f>SUM(B4:B35)</f>
        <v>52012.479999999996</v>
      </c>
      <c r="C36" s="37">
        <f>SUM(C4:C35)</f>
        <v>104917.47599999998</v>
      </c>
      <c r="D36" s="38">
        <f>SUM(D4:D35)</f>
        <v>175770</v>
      </c>
      <c r="E36" s="38"/>
      <c r="F36" s="39">
        <f>SUM(F4:F35)</f>
        <v>294910761.60000002</v>
      </c>
      <c r="G36" s="39">
        <f>SUM(G4:G35)</f>
        <v>533609331.64399993</v>
      </c>
      <c r="H36" s="39">
        <f t="shared" ref="H36:I36" si="2">SUM(H4:H35)</f>
        <v>1636</v>
      </c>
      <c r="I36" s="39">
        <f t="shared" si="2"/>
        <v>33115500</v>
      </c>
      <c r="J36" s="39">
        <f>SUM(J4:J35)</f>
        <v>1755</v>
      </c>
      <c r="K36" s="39">
        <f>SUM(K4:K35)</f>
        <v>14763000</v>
      </c>
      <c r="L36" s="39">
        <f>SUM(L4:L35)</f>
        <v>1726000</v>
      </c>
      <c r="M36" s="38">
        <f>SUM(M4:M35)</f>
        <v>21447400</v>
      </c>
      <c r="N36" s="38">
        <f>SUM(N5:N35)</f>
        <v>4616000</v>
      </c>
      <c r="O36" s="38"/>
      <c r="P36" s="15"/>
    </row>
  </sheetData>
  <mergeCells count="7">
    <mergeCell ref="B1:P1"/>
    <mergeCell ref="B2:C2"/>
    <mergeCell ref="D2:E2"/>
    <mergeCell ref="F2:G2"/>
    <mergeCell ref="H2:I2"/>
    <mergeCell ref="J2:K2"/>
    <mergeCell ref="N2:P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34"/>
  <sheetViews>
    <sheetView topLeftCell="A13" workbookViewId="0">
      <selection activeCell="A32" sqref="A32:O32"/>
    </sheetView>
  </sheetViews>
  <sheetFormatPr defaultRowHeight="15" x14ac:dyDescent="0.25"/>
  <cols>
    <col min="1" max="1" width="9.42578125" bestFit="1" customWidth="1"/>
    <col min="2" max="2" width="11" bestFit="1" customWidth="1"/>
    <col min="3" max="3" width="12" bestFit="1" customWidth="1"/>
    <col min="4" max="4" width="8.5703125" bestFit="1" customWidth="1"/>
    <col min="5" max="5" width="6.5703125" bestFit="1" customWidth="1"/>
    <col min="6" max="7" width="14.5703125" bestFit="1" customWidth="1"/>
    <col min="8" max="8" width="11" bestFit="1" customWidth="1"/>
    <col min="9" max="9" width="13.5703125" bestFit="1" customWidth="1"/>
    <col min="10" max="10" width="9" bestFit="1" customWidth="1"/>
    <col min="11" max="11" width="13.5703125" bestFit="1" customWidth="1"/>
    <col min="12" max="12" width="12.42578125" bestFit="1" customWidth="1"/>
    <col min="13" max="13" width="11" bestFit="1" customWidth="1"/>
    <col min="14" max="14" width="10" bestFit="1" customWidth="1"/>
    <col min="15" max="15" width="10.28515625" bestFit="1" customWidth="1"/>
  </cols>
  <sheetData>
    <row r="1" spans="1:15" x14ac:dyDescent="0.25">
      <c r="A1" s="16"/>
      <c r="B1" s="17" t="s">
        <v>1</v>
      </c>
      <c r="C1" s="17" t="s">
        <v>2</v>
      </c>
      <c r="D1" s="18" t="s">
        <v>1</v>
      </c>
      <c r="E1" s="18" t="s">
        <v>2</v>
      </c>
      <c r="F1" s="19" t="s">
        <v>1</v>
      </c>
      <c r="G1" s="19" t="s">
        <v>2</v>
      </c>
      <c r="H1" s="19" t="s">
        <v>9</v>
      </c>
      <c r="I1" s="18" t="s">
        <v>10</v>
      </c>
      <c r="J1" s="16" t="s">
        <v>11</v>
      </c>
      <c r="K1" s="18" t="s">
        <v>10</v>
      </c>
      <c r="L1" s="18" t="s">
        <v>4</v>
      </c>
      <c r="M1" s="18" t="s">
        <v>67</v>
      </c>
      <c r="N1" s="18" t="s">
        <v>52</v>
      </c>
      <c r="O1" s="18" t="s">
        <v>40</v>
      </c>
    </row>
    <row r="2" spans="1:15" x14ac:dyDescent="0.25">
      <c r="A2" s="25">
        <v>45444</v>
      </c>
      <c r="B2" s="56">
        <v>2063.36</v>
      </c>
      <c r="C2" s="46">
        <v>2678.36</v>
      </c>
      <c r="D2" s="47">
        <v>5670</v>
      </c>
      <c r="E2" s="47">
        <v>5019</v>
      </c>
      <c r="F2" s="13">
        <f t="shared" ref="F2:G32" si="0">B2*D2</f>
        <v>11699251.200000001</v>
      </c>
      <c r="G2" s="13">
        <f t="shared" si="0"/>
        <v>13442688.84</v>
      </c>
      <c r="H2" s="26">
        <v>100.25</v>
      </c>
      <c r="I2" s="13">
        <v>2031000</v>
      </c>
      <c r="J2" s="27">
        <v>147.5</v>
      </c>
      <c r="K2" s="13">
        <v>1304000</v>
      </c>
      <c r="L2" s="13">
        <v>101000</v>
      </c>
      <c r="M2" s="13">
        <v>618000</v>
      </c>
      <c r="N2" s="13">
        <v>907000</v>
      </c>
      <c r="O2" s="13"/>
    </row>
    <row r="3" spans="1:15" x14ac:dyDescent="0.25">
      <c r="A3" s="25">
        <v>45445</v>
      </c>
      <c r="B3" s="56">
        <v>1443.57</v>
      </c>
      <c r="C3" s="46">
        <v>2396.63</v>
      </c>
      <c r="D3" s="47">
        <v>5670</v>
      </c>
      <c r="E3" s="47">
        <v>5019</v>
      </c>
      <c r="F3" s="13">
        <f t="shared" si="0"/>
        <v>8185041.8999999994</v>
      </c>
      <c r="G3" s="13">
        <f t="shared" si="0"/>
        <v>12028685.970000001</v>
      </c>
      <c r="H3" s="31">
        <v>22.5</v>
      </c>
      <c r="I3" s="13">
        <v>518500</v>
      </c>
      <c r="J3" s="27">
        <v>52</v>
      </c>
      <c r="K3" s="13">
        <v>450000</v>
      </c>
      <c r="L3" s="13">
        <v>48000</v>
      </c>
      <c r="M3" s="13">
        <v>637500</v>
      </c>
      <c r="N3" s="13">
        <v>178500</v>
      </c>
      <c r="O3" s="13"/>
    </row>
    <row r="4" spans="1:15" x14ac:dyDescent="0.25">
      <c r="A4" s="25">
        <v>45446</v>
      </c>
      <c r="B4" s="56">
        <v>1444.79</v>
      </c>
      <c r="C4" s="46">
        <v>4875.2</v>
      </c>
      <c r="D4" s="47">
        <v>5670</v>
      </c>
      <c r="E4" s="47">
        <v>5019</v>
      </c>
      <c r="F4" s="13">
        <f t="shared" si="0"/>
        <v>8191959.2999999998</v>
      </c>
      <c r="G4" s="13">
        <f t="shared" si="0"/>
        <v>24468628.800000001</v>
      </c>
      <c r="H4" s="26">
        <v>42.5</v>
      </c>
      <c r="I4" s="13">
        <v>885500</v>
      </c>
      <c r="J4" s="27">
        <v>30.5</v>
      </c>
      <c r="K4" s="13">
        <v>264000</v>
      </c>
      <c r="L4" s="13">
        <v>23000</v>
      </c>
      <c r="M4" s="13">
        <v>472000</v>
      </c>
      <c r="N4" s="13">
        <v>189000</v>
      </c>
      <c r="O4" s="13"/>
    </row>
    <row r="5" spans="1:15" x14ac:dyDescent="0.25">
      <c r="A5" s="25">
        <v>45447</v>
      </c>
      <c r="B5" s="56">
        <v>1796.23</v>
      </c>
      <c r="C5" s="46">
        <v>4893.6099999999997</v>
      </c>
      <c r="D5" s="47">
        <v>5670</v>
      </c>
      <c r="E5" s="47">
        <v>5019</v>
      </c>
      <c r="F5" s="13">
        <f t="shared" si="0"/>
        <v>10184624.1</v>
      </c>
      <c r="G5" s="13">
        <f t="shared" si="0"/>
        <v>24561028.59</v>
      </c>
      <c r="H5" s="26">
        <v>76.5</v>
      </c>
      <c r="I5" s="13">
        <v>1594000</v>
      </c>
      <c r="J5" s="27">
        <v>156.6</v>
      </c>
      <c r="K5" s="13">
        <v>1346000</v>
      </c>
      <c r="L5" s="13">
        <v>38000</v>
      </c>
      <c r="M5" s="13">
        <v>575000</v>
      </c>
      <c r="N5" s="13">
        <v>213000</v>
      </c>
      <c r="O5" s="13"/>
    </row>
    <row r="6" spans="1:15" x14ac:dyDescent="0.25">
      <c r="A6" s="25">
        <v>45448</v>
      </c>
      <c r="B6" s="56">
        <v>0</v>
      </c>
      <c r="C6" s="46">
        <v>3666.6</v>
      </c>
      <c r="D6" s="47">
        <v>5670</v>
      </c>
      <c r="E6" s="47">
        <v>5019</v>
      </c>
      <c r="F6" s="13">
        <f t="shared" si="0"/>
        <v>0</v>
      </c>
      <c r="G6" s="13">
        <f t="shared" si="0"/>
        <v>18402665.399999999</v>
      </c>
      <c r="H6" s="26">
        <v>86</v>
      </c>
      <c r="I6" s="13">
        <v>1845000</v>
      </c>
      <c r="J6" s="27">
        <v>76.599999999999994</v>
      </c>
      <c r="K6" s="13">
        <v>661000</v>
      </c>
      <c r="L6" s="13">
        <v>73000</v>
      </c>
      <c r="M6" s="13">
        <v>667500</v>
      </c>
      <c r="N6" s="13">
        <v>265500</v>
      </c>
      <c r="O6" s="13"/>
    </row>
    <row r="7" spans="1:15" x14ac:dyDescent="0.25">
      <c r="A7" s="25">
        <v>45449</v>
      </c>
      <c r="B7" s="56">
        <v>1906.84</v>
      </c>
      <c r="C7" s="46">
        <v>5426.73</v>
      </c>
      <c r="D7" s="47">
        <v>5670</v>
      </c>
      <c r="E7" s="47">
        <v>5019</v>
      </c>
      <c r="F7" s="13">
        <f t="shared" si="0"/>
        <v>10811782.799999999</v>
      </c>
      <c r="G7" s="13">
        <f t="shared" si="0"/>
        <v>27236757.869999997</v>
      </c>
      <c r="H7" s="26">
        <v>104.5</v>
      </c>
      <c r="I7" s="13">
        <v>2312500</v>
      </c>
      <c r="J7" s="27">
        <v>61.5</v>
      </c>
      <c r="K7" s="13">
        <v>566000</v>
      </c>
      <c r="L7" s="13">
        <v>23000</v>
      </c>
      <c r="M7" s="13">
        <v>778700</v>
      </c>
      <c r="N7" s="13">
        <v>225000</v>
      </c>
      <c r="O7" s="13"/>
    </row>
    <row r="8" spans="1:15" x14ac:dyDescent="0.25">
      <c r="A8" s="25">
        <v>45450</v>
      </c>
      <c r="B8" s="56">
        <v>2501.62</v>
      </c>
      <c r="C8" s="46">
        <v>3756.82</v>
      </c>
      <c r="D8" s="47">
        <v>5670</v>
      </c>
      <c r="E8" s="47">
        <v>5019</v>
      </c>
      <c r="F8" s="13">
        <f t="shared" si="0"/>
        <v>14184185.399999999</v>
      </c>
      <c r="G8" s="13">
        <f t="shared" si="0"/>
        <v>18855479.580000002</v>
      </c>
      <c r="H8" s="26">
        <v>60</v>
      </c>
      <c r="I8" s="13">
        <v>1256000</v>
      </c>
      <c r="J8" s="27">
        <v>15</v>
      </c>
      <c r="K8" s="13">
        <v>134000</v>
      </c>
      <c r="L8" s="13">
        <v>31000</v>
      </c>
      <c r="M8" s="13">
        <v>885000</v>
      </c>
      <c r="N8" s="13">
        <v>63000</v>
      </c>
      <c r="O8" s="13"/>
    </row>
    <row r="9" spans="1:15" x14ac:dyDescent="0.25">
      <c r="A9" s="25">
        <v>45451</v>
      </c>
      <c r="B9" s="56">
        <v>1825.73</v>
      </c>
      <c r="C9" s="46">
        <v>3534.56</v>
      </c>
      <c r="D9" s="47">
        <v>5670</v>
      </c>
      <c r="E9" s="47">
        <v>5019</v>
      </c>
      <c r="F9" s="13">
        <f t="shared" si="0"/>
        <v>10351889.1</v>
      </c>
      <c r="G9" s="13">
        <f t="shared" si="0"/>
        <v>17739956.640000001</v>
      </c>
      <c r="H9" s="26">
        <v>40.25</v>
      </c>
      <c r="I9" s="13">
        <v>822000</v>
      </c>
      <c r="J9" s="27">
        <v>33.5</v>
      </c>
      <c r="K9" s="13">
        <v>292000</v>
      </c>
      <c r="L9" s="13">
        <v>46000</v>
      </c>
      <c r="M9" s="13">
        <v>801000</v>
      </c>
      <c r="N9" s="13">
        <v>205500</v>
      </c>
      <c r="O9" s="13"/>
    </row>
    <row r="10" spans="1:15" x14ac:dyDescent="0.25">
      <c r="A10" s="25">
        <v>45452</v>
      </c>
      <c r="B10" s="56">
        <v>1395.01</v>
      </c>
      <c r="C10" s="46">
        <v>2569.06</v>
      </c>
      <c r="D10" s="47">
        <v>5670</v>
      </c>
      <c r="E10" s="47">
        <v>5019</v>
      </c>
      <c r="F10" s="13">
        <f t="shared" si="0"/>
        <v>7909706.7000000002</v>
      </c>
      <c r="G10" s="13">
        <f t="shared" si="0"/>
        <v>12894112.140000001</v>
      </c>
      <c r="H10" s="26">
        <v>44.25</v>
      </c>
      <c r="I10" s="13">
        <v>932000</v>
      </c>
      <c r="J10" s="27">
        <v>24</v>
      </c>
      <c r="K10" s="13">
        <v>212000</v>
      </c>
      <c r="L10" s="13">
        <v>211000</v>
      </c>
      <c r="M10" s="13">
        <v>784000</v>
      </c>
      <c r="N10" s="13">
        <v>0</v>
      </c>
      <c r="O10" s="13"/>
    </row>
    <row r="11" spans="1:15" x14ac:dyDescent="0.25">
      <c r="A11" s="25">
        <v>45453</v>
      </c>
      <c r="B11" s="56">
        <v>1677.36</v>
      </c>
      <c r="C11" s="46">
        <v>2487</v>
      </c>
      <c r="D11" s="47">
        <v>5670</v>
      </c>
      <c r="E11" s="47">
        <v>5019</v>
      </c>
      <c r="F11" s="13">
        <f t="shared" si="0"/>
        <v>9510631.1999999993</v>
      </c>
      <c r="G11" s="13">
        <f t="shared" si="0"/>
        <v>12482253</v>
      </c>
      <c r="H11" s="26">
        <v>93</v>
      </c>
      <c r="I11" s="13">
        <v>1818500</v>
      </c>
      <c r="J11" s="27">
        <v>27</v>
      </c>
      <c r="K11" s="13">
        <v>240000</v>
      </c>
      <c r="L11" s="13">
        <v>0</v>
      </c>
      <c r="M11" s="13">
        <v>638400</v>
      </c>
      <c r="N11" s="13">
        <v>213000</v>
      </c>
      <c r="O11" s="13"/>
    </row>
    <row r="12" spans="1:15" x14ac:dyDescent="0.25">
      <c r="A12" s="25">
        <v>45454</v>
      </c>
      <c r="B12" s="56">
        <v>1801.12</v>
      </c>
      <c r="C12" s="46">
        <v>3808.19</v>
      </c>
      <c r="D12" s="47">
        <v>5670</v>
      </c>
      <c r="E12" s="47">
        <v>5019</v>
      </c>
      <c r="F12" s="13">
        <f t="shared" si="0"/>
        <v>10212350.399999999</v>
      </c>
      <c r="G12" s="13">
        <f t="shared" si="0"/>
        <v>19113305.609999999</v>
      </c>
      <c r="H12" s="26">
        <v>38</v>
      </c>
      <c r="I12" s="13">
        <v>747000</v>
      </c>
      <c r="J12" s="27">
        <v>48.5</v>
      </c>
      <c r="K12" s="13">
        <v>423000</v>
      </c>
      <c r="L12" s="13">
        <v>8000</v>
      </c>
      <c r="M12" s="13">
        <v>658000</v>
      </c>
      <c r="N12" s="13">
        <v>174000</v>
      </c>
      <c r="O12" s="13"/>
    </row>
    <row r="13" spans="1:15" x14ac:dyDescent="0.25">
      <c r="A13" s="25">
        <v>45455</v>
      </c>
      <c r="B13" s="56">
        <v>1643.56</v>
      </c>
      <c r="C13" s="46">
        <v>3594</v>
      </c>
      <c r="D13" s="47">
        <v>5670</v>
      </c>
      <c r="E13" s="47">
        <v>5019</v>
      </c>
      <c r="F13" s="13">
        <f t="shared" si="0"/>
        <v>9318985.1999999993</v>
      </c>
      <c r="G13" s="13">
        <f t="shared" si="0"/>
        <v>18038286</v>
      </c>
      <c r="H13" s="26">
        <v>30.75</v>
      </c>
      <c r="I13" s="51">
        <v>583500</v>
      </c>
      <c r="J13" s="27">
        <v>61</v>
      </c>
      <c r="K13" s="13">
        <v>528000</v>
      </c>
      <c r="L13" s="13">
        <v>69000</v>
      </c>
      <c r="M13" s="13">
        <v>560500</v>
      </c>
      <c r="N13" s="13">
        <v>225000</v>
      </c>
      <c r="O13" s="13"/>
    </row>
    <row r="14" spans="1:15" x14ac:dyDescent="0.25">
      <c r="A14" s="25">
        <v>45456</v>
      </c>
      <c r="B14" s="56">
        <v>1920.87</v>
      </c>
      <c r="C14" s="46">
        <v>7296.58</v>
      </c>
      <c r="D14" s="47">
        <v>5670</v>
      </c>
      <c r="E14" s="47">
        <v>5019</v>
      </c>
      <c r="F14" s="13">
        <f t="shared" si="0"/>
        <v>10891332.899999999</v>
      </c>
      <c r="G14" s="13">
        <f t="shared" si="0"/>
        <v>36621535.020000003</v>
      </c>
      <c r="H14" s="26">
        <v>123.5</v>
      </c>
      <c r="I14" s="13">
        <v>2639500</v>
      </c>
      <c r="J14" s="27">
        <v>78.5</v>
      </c>
      <c r="K14" s="13">
        <v>688000</v>
      </c>
      <c r="L14" s="13">
        <v>16000</v>
      </c>
      <c r="M14" s="13">
        <v>665000</v>
      </c>
      <c r="N14" s="13">
        <v>225000</v>
      </c>
      <c r="O14" s="13"/>
    </row>
    <row r="15" spans="1:15" x14ac:dyDescent="0.25">
      <c r="A15" s="25">
        <v>45457</v>
      </c>
      <c r="B15" s="56">
        <v>1996.45</v>
      </c>
      <c r="C15" s="46">
        <v>3435.55</v>
      </c>
      <c r="D15" s="47">
        <v>5670</v>
      </c>
      <c r="E15" s="47">
        <v>5019</v>
      </c>
      <c r="F15" s="13">
        <f t="shared" si="0"/>
        <v>11319871.5</v>
      </c>
      <c r="G15" s="13">
        <f t="shared" si="0"/>
        <v>17243025.449999999</v>
      </c>
      <c r="H15" s="26">
        <v>146.5</v>
      </c>
      <c r="I15" s="13">
        <v>3061000</v>
      </c>
      <c r="J15" s="27">
        <v>70</v>
      </c>
      <c r="K15" s="13">
        <v>609000</v>
      </c>
      <c r="L15" s="13">
        <v>85000</v>
      </c>
      <c r="M15" s="13">
        <v>847000</v>
      </c>
      <c r="N15" s="13">
        <v>75000</v>
      </c>
      <c r="O15" s="13"/>
    </row>
    <row r="16" spans="1:15" x14ac:dyDescent="0.25">
      <c r="A16" s="25">
        <v>45458</v>
      </c>
      <c r="B16" s="56">
        <v>2150.48</v>
      </c>
      <c r="C16" s="46">
        <v>3720.13</v>
      </c>
      <c r="D16" s="47">
        <v>5670</v>
      </c>
      <c r="E16" s="47">
        <v>5019</v>
      </c>
      <c r="F16" s="13">
        <f t="shared" si="0"/>
        <v>12193221.6</v>
      </c>
      <c r="G16" s="13">
        <f t="shared" si="0"/>
        <v>18671332.469999999</v>
      </c>
      <c r="H16" s="13">
        <v>62.75</v>
      </c>
      <c r="I16" s="13">
        <v>1335000</v>
      </c>
      <c r="J16" s="27">
        <v>60.5</v>
      </c>
      <c r="K16" s="13">
        <v>529000</v>
      </c>
      <c r="L16" s="13">
        <v>30000</v>
      </c>
      <c r="M16" s="13">
        <v>858500</v>
      </c>
      <c r="N16" s="13">
        <v>126000</v>
      </c>
      <c r="O16" s="13"/>
    </row>
    <row r="17" spans="1:15" x14ac:dyDescent="0.25">
      <c r="A17" s="25">
        <v>45459</v>
      </c>
      <c r="B17" s="56">
        <v>1771.8</v>
      </c>
      <c r="C17" s="46">
        <v>1737.12</v>
      </c>
      <c r="D17" s="47">
        <v>5670</v>
      </c>
      <c r="E17" s="47">
        <v>5019</v>
      </c>
      <c r="F17" s="13">
        <f t="shared" si="0"/>
        <v>10046106</v>
      </c>
      <c r="G17" s="13">
        <f t="shared" si="0"/>
        <v>8718605.2799999993</v>
      </c>
      <c r="H17" s="26">
        <v>45.25</v>
      </c>
      <c r="I17" s="13">
        <v>915000</v>
      </c>
      <c r="J17" s="27">
        <v>51.5</v>
      </c>
      <c r="K17" s="13">
        <v>451000</v>
      </c>
      <c r="L17" s="13">
        <v>38000</v>
      </c>
      <c r="M17" s="13">
        <v>571000</v>
      </c>
      <c r="N17" s="13">
        <v>138000</v>
      </c>
      <c r="O17" s="13"/>
    </row>
    <row r="18" spans="1:15" x14ac:dyDescent="0.25">
      <c r="A18" s="25">
        <v>45460</v>
      </c>
      <c r="B18" s="56">
        <v>2018.84</v>
      </c>
      <c r="C18" s="46">
        <v>3865.73</v>
      </c>
      <c r="D18" s="47">
        <v>5670</v>
      </c>
      <c r="E18" s="47">
        <v>5019</v>
      </c>
      <c r="F18" s="13">
        <f>B18*D18</f>
        <v>11446822.799999999</v>
      </c>
      <c r="G18" s="13">
        <f t="shared" si="0"/>
        <v>19402098.870000001</v>
      </c>
      <c r="H18" s="26">
        <v>70.75</v>
      </c>
      <c r="I18" s="13">
        <v>1498000</v>
      </c>
      <c r="J18" s="27">
        <v>96.5</v>
      </c>
      <c r="K18" s="13">
        <v>847000</v>
      </c>
      <c r="L18" s="13">
        <v>46000</v>
      </c>
      <c r="M18" s="13">
        <v>759000</v>
      </c>
      <c r="N18" s="13">
        <v>540000</v>
      </c>
      <c r="O18" s="13"/>
    </row>
    <row r="19" spans="1:15" x14ac:dyDescent="0.25">
      <c r="A19" s="25">
        <v>45461</v>
      </c>
      <c r="B19" s="56">
        <v>1714.04</v>
      </c>
      <c r="C19" s="46">
        <v>3354.38</v>
      </c>
      <c r="D19" s="47">
        <v>5670</v>
      </c>
      <c r="E19" s="47">
        <v>5019</v>
      </c>
      <c r="F19" s="13">
        <f t="shared" si="0"/>
        <v>9718606.7999999989</v>
      </c>
      <c r="G19" s="13">
        <f t="shared" si="0"/>
        <v>16835633.219999999</v>
      </c>
      <c r="H19" s="26">
        <v>32</v>
      </c>
      <c r="I19" s="13">
        <v>669500</v>
      </c>
      <c r="J19" s="12">
        <v>46</v>
      </c>
      <c r="K19" s="13">
        <v>397000</v>
      </c>
      <c r="L19" s="13">
        <v>8000</v>
      </c>
      <c r="M19" s="13">
        <v>717000</v>
      </c>
      <c r="N19" s="13">
        <v>162000</v>
      </c>
      <c r="O19" s="13"/>
    </row>
    <row r="20" spans="1:15" x14ac:dyDescent="0.25">
      <c r="A20" s="25">
        <v>45462</v>
      </c>
      <c r="B20" s="56">
        <v>1659.83</v>
      </c>
      <c r="C20" s="46">
        <v>6374.64</v>
      </c>
      <c r="D20" s="47">
        <v>5670</v>
      </c>
      <c r="E20" s="47">
        <v>5015</v>
      </c>
      <c r="F20" s="13">
        <f t="shared" si="0"/>
        <v>9411236.0999999996</v>
      </c>
      <c r="G20" s="13">
        <f t="shared" si="0"/>
        <v>31968819.600000001</v>
      </c>
      <c r="H20" s="26">
        <v>78.25</v>
      </c>
      <c r="I20" s="13">
        <v>1635500</v>
      </c>
      <c r="J20" s="12">
        <v>103</v>
      </c>
      <c r="K20" s="13">
        <v>703000</v>
      </c>
      <c r="L20" s="13">
        <v>53000</v>
      </c>
      <c r="M20" s="13">
        <v>573000</v>
      </c>
      <c r="N20" s="13">
        <v>150000</v>
      </c>
      <c r="O20" s="13"/>
    </row>
    <row r="21" spans="1:15" x14ac:dyDescent="0.25">
      <c r="A21" s="25">
        <v>45463</v>
      </c>
      <c r="B21" s="56">
        <v>1033.29</v>
      </c>
      <c r="C21" s="46">
        <v>3026.7</v>
      </c>
      <c r="D21" s="47">
        <v>5670</v>
      </c>
      <c r="E21" s="47">
        <v>5019</v>
      </c>
      <c r="F21" s="13">
        <f t="shared" si="0"/>
        <v>5858754.2999999998</v>
      </c>
      <c r="G21" s="13">
        <f t="shared" si="0"/>
        <v>15191007.299999999</v>
      </c>
      <c r="H21" s="26">
        <v>181.25</v>
      </c>
      <c r="I21" s="13">
        <v>3721500</v>
      </c>
      <c r="J21" s="12">
        <v>36</v>
      </c>
      <c r="K21" s="13">
        <v>318000</v>
      </c>
      <c r="L21" s="13">
        <v>978000</v>
      </c>
      <c r="M21" s="13">
        <v>887500</v>
      </c>
      <c r="N21" s="13">
        <v>75000</v>
      </c>
      <c r="O21" s="13"/>
    </row>
    <row r="22" spans="1:15" x14ac:dyDescent="0.25">
      <c r="A22" s="25">
        <v>45464</v>
      </c>
      <c r="B22" s="56">
        <v>2024.72</v>
      </c>
      <c r="C22" s="46">
        <v>3523.71</v>
      </c>
      <c r="D22" s="47">
        <v>5670</v>
      </c>
      <c r="E22" s="47">
        <v>5019</v>
      </c>
      <c r="F22" s="13">
        <f t="shared" si="0"/>
        <v>11480162.4</v>
      </c>
      <c r="G22" s="13">
        <f t="shared" si="0"/>
        <v>17685500.489999998</v>
      </c>
      <c r="H22" s="26">
        <v>52.25</v>
      </c>
      <c r="I22" s="13">
        <v>1044000</v>
      </c>
      <c r="J22" s="12">
        <v>85.5</v>
      </c>
      <c r="K22" s="13">
        <v>739000</v>
      </c>
      <c r="L22" s="13">
        <v>123000</v>
      </c>
      <c r="M22" s="13">
        <v>600500</v>
      </c>
      <c r="N22" s="13">
        <v>319500</v>
      </c>
      <c r="O22" s="13"/>
    </row>
    <row r="23" spans="1:15" x14ac:dyDescent="0.25">
      <c r="A23" s="25">
        <v>45465</v>
      </c>
      <c r="B23" s="56">
        <v>1958.57</v>
      </c>
      <c r="C23" s="46">
        <v>3687.1</v>
      </c>
      <c r="D23" s="47">
        <v>5670</v>
      </c>
      <c r="E23" s="47">
        <v>5019</v>
      </c>
      <c r="F23" s="13">
        <f t="shared" si="0"/>
        <v>11105091.9</v>
      </c>
      <c r="G23" s="13">
        <f t="shared" si="0"/>
        <v>18505554.899999999</v>
      </c>
      <c r="H23" s="26">
        <v>46</v>
      </c>
      <c r="I23" s="13">
        <v>1025000</v>
      </c>
      <c r="J23" s="12">
        <v>58</v>
      </c>
      <c r="K23" s="13">
        <v>503000</v>
      </c>
      <c r="L23" s="13">
        <v>58000</v>
      </c>
      <c r="M23" s="13">
        <v>930000</v>
      </c>
      <c r="N23" s="13">
        <v>63000</v>
      </c>
      <c r="O23" s="13"/>
    </row>
    <row r="24" spans="1:15" x14ac:dyDescent="0.25">
      <c r="A24" s="25">
        <v>45466</v>
      </c>
      <c r="B24" s="56">
        <v>1716.61</v>
      </c>
      <c r="C24" s="46">
        <v>3228.58</v>
      </c>
      <c r="D24" s="47">
        <v>5670</v>
      </c>
      <c r="E24" s="47">
        <v>5019</v>
      </c>
      <c r="F24" s="13">
        <f t="shared" si="0"/>
        <v>9733178.6999999993</v>
      </c>
      <c r="G24" s="13">
        <f t="shared" si="0"/>
        <v>16204243.02</v>
      </c>
      <c r="H24" s="26">
        <v>20</v>
      </c>
      <c r="I24" s="13">
        <v>416000</v>
      </c>
      <c r="J24" s="12">
        <v>83.5</v>
      </c>
      <c r="K24" s="13">
        <v>712000</v>
      </c>
      <c r="L24" s="13">
        <v>8000</v>
      </c>
      <c r="M24" s="13">
        <v>532000</v>
      </c>
      <c r="N24" s="13">
        <v>99000</v>
      </c>
      <c r="O24" s="13"/>
    </row>
    <row r="25" spans="1:15" x14ac:dyDescent="0.25">
      <c r="A25" s="25">
        <v>45467</v>
      </c>
      <c r="B25" s="56">
        <v>2013.15</v>
      </c>
      <c r="C25" s="46">
        <v>3088.73</v>
      </c>
      <c r="D25" s="47">
        <v>5670</v>
      </c>
      <c r="E25" s="47">
        <v>5019</v>
      </c>
      <c r="F25" s="13">
        <f t="shared" si="0"/>
        <v>11414560.5</v>
      </c>
      <c r="G25" s="13">
        <f t="shared" si="0"/>
        <v>15502335.869999999</v>
      </c>
      <c r="H25" s="26">
        <v>26.75</v>
      </c>
      <c r="I25" s="13">
        <v>538500</v>
      </c>
      <c r="J25" s="12">
        <v>57.5</v>
      </c>
      <c r="K25" s="13">
        <v>504000</v>
      </c>
      <c r="L25" s="13">
        <v>38000</v>
      </c>
      <c r="M25" s="13">
        <v>756000</v>
      </c>
      <c r="N25" s="13">
        <v>213000</v>
      </c>
      <c r="O25" s="13"/>
    </row>
    <row r="26" spans="1:15" x14ac:dyDescent="0.25">
      <c r="A26" s="25">
        <v>45468</v>
      </c>
      <c r="B26" s="56">
        <v>1534.95</v>
      </c>
      <c r="C26" s="46">
        <v>4653.24</v>
      </c>
      <c r="D26" s="47">
        <v>5670</v>
      </c>
      <c r="E26" s="47">
        <v>5019</v>
      </c>
      <c r="F26" s="13">
        <f t="shared" si="0"/>
        <v>8703166.5</v>
      </c>
      <c r="G26" s="13">
        <f t="shared" si="0"/>
        <v>23354611.559999999</v>
      </c>
      <c r="H26" s="26">
        <v>103</v>
      </c>
      <c r="I26" s="13">
        <v>1908000</v>
      </c>
      <c r="J26" s="12">
        <v>70</v>
      </c>
      <c r="K26" s="13">
        <v>609000</v>
      </c>
      <c r="L26" s="13">
        <v>55000</v>
      </c>
      <c r="M26" s="13">
        <v>637500</v>
      </c>
      <c r="N26" s="13">
        <v>162000</v>
      </c>
      <c r="O26" s="13"/>
    </row>
    <row r="27" spans="1:15" x14ac:dyDescent="0.25">
      <c r="A27" s="25">
        <v>45469</v>
      </c>
      <c r="B27" s="56">
        <v>1776.35</v>
      </c>
      <c r="C27" s="46">
        <v>3503.02</v>
      </c>
      <c r="D27" s="47">
        <v>5670</v>
      </c>
      <c r="E27" s="47">
        <v>5019</v>
      </c>
      <c r="F27" s="13">
        <f t="shared" si="0"/>
        <v>10071904.5</v>
      </c>
      <c r="G27" s="13">
        <f t="shared" si="0"/>
        <v>17581657.379999999</v>
      </c>
      <c r="H27" s="26">
        <v>117.75</v>
      </c>
      <c r="I27" s="13">
        <v>2749000</v>
      </c>
      <c r="J27" s="12">
        <v>27.5</v>
      </c>
      <c r="K27" s="13">
        <v>239000</v>
      </c>
      <c r="L27" s="13">
        <v>65000</v>
      </c>
      <c r="M27" s="13">
        <v>600000</v>
      </c>
      <c r="N27" s="13">
        <v>75000</v>
      </c>
      <c r="O27" s="13"/>
    </row>
    <row r="28" spans="1:15" x14ac:dyDescent="0.25">
      <c r="A28" s="25">
        <v>45470</v>
      </c>
      <c r="B28" s="56">
        <v>1914.95</v>
      </c>
      <c r="C28" s="46">
        <v>4094.56</v>
      </c>
      <c r="D28" s="47">
        <v>5670</v>
      </c>
      <c r="E28" s="47">
        <v>5019</v>
      </c>
      <c r="F28" s="13">
        <f t="shared" si="0"/>
        <v>10857766.5</v>
      </c>
      <c r="G28" s="13">
        <f t="shared" si="0"/>
        <v>20550596.640000001</v>
      </c>
      <c r="H28" s="26">
        <v>69.25</v>
      </c>
      <c r="I28" s="13">
        <v>1502000</v>
      </c>
      <c r="J28" s="12">
        <v>134.5</v>
      </c>
      <c r="K28" s="13">
        <v>1161000</v>
      </c>
      <c r="L28" s="13">
        <v>68000</v>
      </c>
      <c r="M28" s="13">
        <v>736500</v>
      </c>
      <c r="N28" s="13">
        <v>556500</v>
      </c>
      <c r="O28" s="13"/>
    </row>
    <row r="29" spans="1:15" x14ac:dyDescent="0.25">
      <c r="A29" s="25">
        <v>45471</v>
      </c>
      <c r="B29" s="56">
        <v>1723.49</v>
      </c>
      <c r="C29" s="46">
        <v>4661.45</v>
      </c>
      <c r="D29" s="47">
        <v>5670</v>
      </c>
      <c r="E29" s="47">
        <v>5019</v>
      </c>
      <c r="F29" s="13">
        <f t="shared" si="0"/>
        <v>9772188.3000000007</v>
      </c>
      <c r="G29" s="13">
        <f t="shared" si="0"/>
        <v>23395817.550000001</v>
      </c>
      <c r="H29" s="26">
        <v>55.5</v>
      </c>
      <c r="I29" s="13">
        <v>1112000</v>
      </c>
      <c r="J29" s="12">
        <v>97.5</v>
      </c>
      <c r="K29" s="13">
        <v>848000</v>
      </c>
      <c r="L29" s="13">
        <v>24000</v>
      </c>
      <c r="M29" s="13">
        <v>740000</v>
      </c>
      <c r="N29" s="13">
        <v>456000</v>
      </c>
      <c r="O29" s="13"/>
    </row>
    <row r="30" spans="1:15" x14ac:dyDescent="0.25">
      <c r="A30" s="25">
        <v>45472</v>
      </c>
      <c r="B30" s="56">
        <v>9257</v>
      </c>
      <c r="C30" s="46">
        <v>16412</v>
      </c>
      <c r="D30" s="47">
        <v>5670</v>
      </c>
      <c r="E30" s="47">
        <v>5019</v>
      </c>
      <c r="F30" s="13">
        <f t="shared" si="0"/>
        <v>52487190</v>
      </c>
      <c r="G30" s="13">
        <f t="shared" si="0"/>
        <v>82371828</v>
      </c>
      <c r="H30" s="26">
        <v>107.75</v>
      </c>
      <c r="I30" s="13">
        <v>2465000</v>
      </c>
      <c r="J30" s="12">
        <v>133.30000000000001</v>
      </c>
      <c r="K30" s="13">
        <v>821000</v>
      </c>
      <c r="L30" s="13">
        <v>31000</v>
      </c>
      <c r="M30" s="13">
        <v>763000</v>
      </c>
      <c r="N30" s="13">
        <v>304500</v>
      </c>
      <c r="O30" s="13"/>
    </row>
    <row r="31" spans="1:15" x14ac:dyDescent="0.25">
      <c r="A31" s="25">
        <v>45473</v>
      </c>
      <c r="B31" s="56">
        <v>1562.53</v>
      </c>
      <c r="C31" s="46">
        <v>1698.91</v>
      </c>
      <c r="D31" s="47">
        <v>5670</v>
      </c>
      <c r="E31" s="47">
        <v>5019</v>
      </c>
      <c r="F31" s="13">
        <f t="shared" si="0"/>
        <v>8859545.0999999996</v>
      </c>
      <c r="G31" s="13">
        <f t="shared" si="0"/>
        <v>8526829.290000001</v>
      </c>
      <c r="H31" s="26">
        <v>48</v>
      </c>
      <c r="I31" s="13">
        <v>1046000</v>
      </c>
      <c r="J31" s="12">
        <v>64</v>
      </c>
      <c r="K31" s="13">
        <v>556000</v>
      </c>
      <c r="L31" s="13">
        <v>143000</v>
      </c>
      <c r="M31" s="13">
        <v>631000</v>
      </c>
      <c r="N31" s="13">
        <v>252000</v>
      </c>
      <c r="O31" s="13"/>
    </row>
    <row r="32" spans="1:15" x14ac:dyDescent="0.25">
      <c r="A32" s="25" t="s">
        <v>82</v>
      </c>
      <c r="B32" s="56"/>
      <c r="C32" s="46"/>
      <c r="D32" s="47"/>
      <c r="E32" s="47"/>
      <c r="F32" s="13">
        <f t="shared" si="0"/>
        <v>0</v>
      </c>
      <c r="G32" s="13">
        <f t="shared" si="0"/>
        <v>0</v>
      </c>
      <c r="H32" s="26"/>
      <c r="I32" s="13"/>
      <c r="J32" s="12"/>
      <c r="K32" s="13"/>
      <c r="L32" s="13"/>
      <c r="M32" s="13"/>
      <c r="N32" s="13"/>
      <c r="O32" s="13"/>
    </row>
    <row r="33" spans="1:15" x14ac:dyDescent="0.25">
      <c r="A33" s="15"/>
      <c r="B33" s="37"/>
      <c r="C33" s="37"/>
      <c r="D33" s="38"/>
      <c r="E33" s="38"/>
      <c r="F33" s="39"/>
      <c r="G33" s="39"/>
      <c r="H33" s="39"/>
      <c r="I33" s="13"/>
      <c r="J33" s="15"/>
      <c r="K33" s="38"/>
      <c r="L33" s="38"/>
      <c r="M33" s="13"/>
      <c r="N33" s="38"/>
      <c r="O33" s="38"/>
    </row>
    <row r="34" spans="1:15" x14ac:dyDescent="0.25">
      <c r="A34" s="15"/>
      <c r="B34" s="37">
        <f>SUM(B2:B33)</f>
        <v>59247.109999999993</v>
      </c>
      <c r="C34" s="37">
        <f>SUM(C2:C33)</f>
        <v>125048.89000000003</v>
      </c>
      <c r="D34" s="38">
        <f>SUM(D2:D33)</f>
        <v>170100</v>
      </c>
      <c r="E34" s="38"/>
      <c r="F34" s="39">
        <f>SUM(F2:F33)</f>
        <v>335931113.70000005</v>
      </c>
      <c r="G34" s="39">
        <f>SUM(G2:G33)</f>
        <v>627594880.3499999</v>
      </c>
      <c r="H34" s="39">
        <f t="shared" ref="H34:I34" si="1">SUM(H2:H33)</f>
        <v>2125</v>
      </c>
      <c r="I34" s="39">
        <f t="shared" si="1"/>
        <v>44626000</v>
      </c>
      <c r="J34" s="39">
        <f>SUM(J2:J33)</f>
        <v>2087</v>
      </c>
      <c r="K34" s="39">
        <f>SUM(K2:K33)</f>
        <v>17654000</v>
      </c>
      <c r="L34" s="39">
        <f>SUM(L2:L33)</f>
        <v>2538000</v>
      </c>
      <c r="M34" s="38">
        <f>SUM(M2:M33)</f>
        <v>20880100</v>
      </c>
      <c r="N34" s="38">
        <f>SUM(N3:N33)</f>
        <v>5943000</v>
      </c>
      <c r="O34" s="38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33"/>
  <sheetViews>
    <sheetView topLeftCell="A16" workbookViewId="0">
      <selection activeCell="N2" sqref="N2"/>
    </sheetView>
  </sheetViews>
  <sheetFormatPr defaultRowHeight="15" x14ac:dyDescent="0.25"/>
  <cols>
    <col min="1" max="1" width="10.7109375" customWidth="1"/>
    <col min="2" max="2" width="11.140625" customWidth="1"/>
    <col min="3" max="3" width="12.28515625" customWidth="1"/>
    <col min="4" max="4" width="10.42578125" customWidth="1"/>
    <col min="5" max="5" width="11.28515625" customWidth="1"/>
    <col min="6" max="6" width="15.7109375" customWidth="1"/>
    <col min="7" max="7" width="14.5703125" customWidth="1"/>
    <col min="8" max="8" width="11.28515625" customWidth="1"/>
    <col min="9" max="9" width="14.140625" customWidth="1"/>
    <col min="10" max="10" width="10.42578125" customWidth="1"/>
    <col min="11" max="11" width="13.85546875" customWidth="1"/>
    <col min="12" max="12" width="12.28515625" customWidth="1"/>
    <col min="13" max="13" width="11.42578125" customWidth="1"/>
    <col min="14" max="14" width="10.85546875" customWidth="1"/>
    <col min="15" max="15" width="11.5703125" customWidth="1"/>
  </cols>
  <sheetData>
    <row r="1" spans="1:15" x14ac:dyDescent="0.25">
      <c r="A1" s="16"/>
      <c r="B1" s="17" t="s">
        <v>1</v>
      </c>
      <c r="C1" s="17" t="s">
        <v>2</v>
      </c>
      <c r="D1" s="18" t="s">
        <v>1</v>
      </c>
      <c r="E1" s="18" t="s">
        <v>2</v>
      </c>
      <c r="F1" s="19" t="s">
        <v>1</v>
      </c>
      <c r="G1" s="19" t="s">
        <v>2</v>
      </c>
      <c r="H1" s="19" t="s">
        <v>9</v>
      </c>
      <c r="I1" s="18" t="s">
        <v>10</v>
      </c>
      <c r="J1" s="16" t="s">
        <v>11</v>
      </c>
      <c r="K1" s="18" t="s">
        <v>10</v>
      </c>
      <c r="L1" s="18" t="s">
        <v>4</v>
      </c>
      <c r="M1" s="18" t="s">
        <v>67</v>
      </c>
      <c r="N1" s="18" t="s">
        <v>52</v>
      </c>
      <c r="O1" s="18" t="s">
        <v>40</v>
      </c>
    </row>
    <row r="2" spans="1:15" x14ac:dyDescent="0.25">
      <c r="A2" s="25">
        <v>45474</v>
      </c>
      <c r="B2" s="46">
        <v>1679.16</v>
      </c>
      <c r="C2" s="46">
        <v>5866.28</v>
      </c>
      <c r="D2" s="47">
        <v>5670</v>
      </c>
      <c r="E2" s="47">
        <v>5019</v>
      </c>
      <c r="F2" s="13">
        <f t="shared" ref="F2:G31" si="0">B2*D2</f>
        <v>9520837.2000000011</v>
      </c>
      <c r="G2" s="13">
        <f t="shared" si="0"/>
        <v>29442859.32</v>
      </c>
      <c r="H2" s="31">
        <v>61</v>
      </c>
      <c r="I2" s="13">
        <v>1248500</v>
      </c>
      <c r="J2" s="27">
        <v>24.5</v>
      </c>
      <c r="K2" s="13">
        <v>217000</v>
      </c>
      <c r="L2" s="13">
        <v>58000</v>
      </c>
      <c r="M2" s="13">
        <v>712000</v>
      </c>
      <c r="N2" s="13">
        <v>0</v>
      </c>
      <c r="O2" s="13"/>
    </row>
    <row r="3" spans="1:15" x14ac:dyDescent="0.25">
      <c r="A3" s="25">
        <v>45475</v>
      </c>
      <c r="B3" s="46">
        <v>1667.38</v>
      </c>
      <c r="C3" s="46">
        <v>2905.51</v>
      </c>
      <c r="D3" s="47">
        <v>5670</v>
      </c>
      <c r="E3" s="47">
        <v>5019</v>
      </c>
      <c r="F3" s="13">
        <f t="shared" si="0"/>
        <v>9454044.6000000015</v>
      </c>
      <c r="G3" s="13">
        <f t="shared" si="0"/>
        <v>14582754.690000001</v>
      </c>
      <c r="H3" s="26">
        <v>32.25</v>
      </c>
      <c r="I3" s="13">
        <v>592500</v>
      </c>
      <c r="J3" s="27">
        <v>30.5</v>
      </c>
      <c r="K3" s="13">
        <v>264000</v>
      </c>
      <c r="L3" s="13">
        <v>24000</v>
      </c>
      <c r="M3" s="13">
        <v>685000</v>
      </c>
      <c r="N3" s="13">
        <v>63000</v>
      </c>
      <c r="O3" s="13"/>
    </row>
    <row r="4" spans="1:15" x14ac:dyDescent="0.25">
      <c r="A4" s="25">
        <v>45476</v>
      </c>
      <c r="B4" s="46">
        <v>1534.85</v>
      </c>
      <c r="C4" s="46">
        <v>3939.05</v>
      </c>
      <c r="D4" s="47">
        <v>5670</v>
      </c>
      <c r="E4" s="47">
        <v>5019</v>
      </c>
      <c r="F4" s="13">
        <f t="shared" si="0"/>
        <v>8702599.5</v>
      </c>
      <c r="G4" s="13">
        <f t="shared" si="0"/>
        <v>19770091.949999999</v>
      </c>
      <c r="H4" s="26">
        <v>63</v>
      </c>
      <c r="I4" s="13">
        <v>1316500</v>
      </c>
      <c r="J4" s="27">
        <v>48.5</v>
      </c>
      <c r="K4" s="13">
        <v>423000</v>
      </c>
      <c r="L4" s="13">
        <v>31000</v>
      </c>
      <c r="M4" s="13">
        <v>392900</v>
      </c>
      <c r="N4" s="13">
        <v>126000</v>
      </c>
      <c r="O4" s="13"/>
    </row>
    <row r="5" spans="1:15" x14ac:dyDescent="0.25">
      <c r="A5" s="25">
        <v>45477</v>
      </c>
      <c r="B5" s="46">
        <v>2094.0100000000002</v>
      </c>
      <c r="C5" s="46">
        <v>4718.1899999999996</v>
      </c>
      <c r="D5" s="47">
        <v>5670</v>
      </c>
      <c r="E5" s="47">
        <v>5019</v>
      </c>
      <c r="F5" s="13">
        <f t="shared" si="0"/>
        <v>11873036.700000001</v>
      </c>
      <c r="G5" s="13">
        <f t="shared" si="0"/>
        <v>23680595.609999999</v>
      </c>
      <c r="H5" s="26">
        <v>50</v>
      </c>
      <c r="I5" s="13">
        <v>1012000</v>
      </c>
      <c r="J5" s="27">
        <v>61</v>
      </c>
      <c r="K5" s="13">
        <v>510000</v>
      </c>
      <c r="L5" s="13">
        <v>53000</v>
      </c>
      <c r="M5" s="13">
        <v>555000</v>
      </c>
      <c r="N5" s="13">
        <v>189000</v>
      </c>
      <c r="O5" s="13"/>
    </row>
    <row r="6" spans="1:15" x14ac:dyDescent="0.25">
      <c r="A6" s="25">
        <v>45478</v>
      </c>
      <c r="B6" s="46">
        <v>2402.04</v>
      </c>
      <c r="C6" s="46">
        <v>4299.75</v>
      </c>
      <c r="D6" s="47">
        <v>5670</v>
      </c>
      <c r="E6" s="47">
        <v>5019</v>
      </c>
      <c r="F6" s="13">
        <f t="shared" si="0"/>
        <v>13619566.799999999</v>
      </c>
      <c r="G6" s="13">
        <f t="shared" si="0"/>
        <v>21580445.25</v>
      </c>
      <c r="H6" s="26">
        <v>60.75</v>
      </c>
      <c r="I6" s="13">
        <v>1215500</v>
      </c>
      <c r="J6" s="27">
        <v>48.5</v>
      </c>
      <c r="K6" s="13">
        <v>426000</v>
      </c>
      <c r="L6" s="13">
        <v>116000</v>
      </c>
      <c r="M6" s="13">
        <v>796500</v>
      </c>
      <c r="N6" s="13">
        <v>189000</v>
      </c>
      <c r="O6" s="13"/>
    </row>
    <row r="7" spans="1:15" x14ac:dyDescent="0.25">
      <c r="A7" s="25">
        <v>45479</v>
      </c>
      <c r="B7" s="46">
        <v>1725.72</v>
      </c>
      <c r="C7" s="46">
        <v>2313.4699999999998</v>
      </c>
      <c r="D7" s="47">
        <v>5670</v>
      </c>
      <c r="E7" s="47">
        <v>5019</v>
      </c>
      <c r="F7" s="13">
        <f t="shared" si="0"/>
        <v>9784832.4000000004</v>
      </c>
      <c r="G7" s="13">
        <f t="shared" si="0"/>
        <v>11611305.93</v>
      </c>
      <c r="H7" s="26">
        <v>36.75</v>
      </c>
      <c r="I7" s="13">
        <v>730000</v>
      </c>
      <c r="J7" s="27">
        <v>61.5</v>
      </c>
      <c r="K7" s="13">
        <v>530000</v>
      </c>
      <c r="L7" s="13">
        <v>38000</v>
      </c>
      <c r="M7" s="13">
        <v>833500</v>
      </c>
      <c r="N7" s="13">
        <v>0</v>
      </c>
      <c r="O7" s="13"/>
    </row>
    <row r="8" spans="1:15" x14ac:dyDescent="0.25">
      <c r="A8" s="25">
        <v>45480</v>
      </c>
      <c r="B8" s="46">
        <v>1891.24</v>
      </c>
      <c r="C8" s="46">
        <v>3179.77</v>
      </c>
      <c r="D8" s="47">
        <v>5670</v>
      </c>
      <c r="E8" s="47">
        <v>5019</v>
      </c>
      <c r="F8" s="13">
        <f t="shared" si="0"/>
        <v>10723330.800000001</v>
      </c>
      <c r="G8" s="13">
        <f t="shared" si="0"/>
        <v>15959265.630000001</v>
      </c>
      <c r="H8" s="26">
        <v>43</v>
      </c>
      <c r="I8" s="13">
        <v>922500</v>
      </c>
      <c r="J8" s="27">
        <v>76</v>
      </c>
      <c r="K8" s="13">
        <v>662000</v>
      </c>
      <c r="L8" s="13">
        <v>31000</v>
      </c>
      <c r="M8" s="13">
        <v>540000</v>
      </c>
      <c r="N8" s="13">
        <v>126000</v>
      </c>
      <c r="O8" s="13"/>
    </row>
    <row r="9" spans="1:15" x14ac:dyDescent="0.25">
      <c r="A9" s="25">
        <v>45481</v>
      </c>
      <c r="B9" s="46">
        <v>1991.47</v>
      </c>
      <c r="C9" s="46">
        <v>3712.89</v>
      </c>
      <c r="D9" s="47">
        <v>5670</v>
      </c>
      <c r="E9" s="47">
        <v>5019</v>
      </c>
      <c r="F9" s="13">
        <f t="shared" si="0"/>
        <v>11291634.9</v>
      </c>
      <c r="G9" s="13">
        <f t="shared" si="0"/>
        <v>18634994.91</v>
      </c>
      <c r="H9" s="26">
        <v>33.5</v>
      </c>
      <c r="I9" s="13">
        <v>666500</v>
      </c>
      <c r="J9" s="27">
        <v>48</v>
      </c>
      <c r="K9" s="13">
        <v>427000</v>
      </c>
      <c r="L9" s="13">
        <v>65000</v>
      </c>
      <c r="M9" s="13">
        <v>467000</v>
      </c>
      <c r="N9" s="13">
        <v>63000</v>
      </c>
      <c r="O9" s="13"/>
    </row>
    <row r="10" spans="1:15" x14ac:dyDescent="0.25">
      <c r="A10" s="25">
        <v>45482</v>
      </c>
      <c r="B10" s="46">
        <v>1613.54</v>
      </c>
      <c r="C10" s="46">
        <v>3757.83</v>
      </c>
      <c r="D10" s="47">
        <v>5670</v>
      </c>
      <c r="E10" s="47">
        <v>5019</v>
      </c>
      <c r="F10" s="13">
        <f t="shared" si="0"/>
        <v>9148771.7999999989</v>
      </c>
      <c r="G10" s="13">
        <f t="shared" si="0"/>
        <v>18860548.77</v>
      </c>
      <c r="H10" s="26">
        <v>70.25</v>
      </c>
      <c r="I10" s="13">
        <v>1430000</v>
      </c>
      <c r="J10" s="27">
        <v>45.5</v>
      </c>
      <c r="K10" s="13">
        <v>401000</v>
      </c>
      <c r="L10" s="13">
        <v>85000</v>
      </c>
      <c r="M10" s="13">
        <v>492000</v>
      </c>
      <c r="N10" s="13">
        <v>63000</v>
      </c>
      <c r="O10" s="13"/>
    </row>
    <row r="11" spans="1:15" x14ac:dyDescent="0.25">
      <c r="A11" s="25">
        <v>45483</v>
      </c>
      <c r="B11" s="46">
        <v>1953.45</v>
      </c>
      <c r="C11" s="46">
        <v>3221.51</v>
      </c>
      <c r="D11" s="47">
        <v>5670</v>
      </c>
      <c r="E11" s="47">
        <v>5019</v>
      </c>
      <c r="F11" s="13">
        <f t="shared" si="0"/>
        <v>11076061.5</v>
      </c>
      <c r="G11" s="13">
        <f t="shared" si="0"/>
        <v>16168758.690000001</v>
      </c>
      <c r="H11" s="26">
        <v>57</v>
      </c>
      <c r="I11" s="13">
        <v>1342500</v>
      </c>
      <c r="J11" s="27">
        <v>125.5</v>
      </c>
      <c r="K11" s="13">
        <v>1086000</v>
      </c>
      <c r="L11" s="13">
        <v>0</v>
      </c>
      <c r="M11" s="13">
        <v>612000</v>
      </c>
      <c r="N11" s="13">
        <v>126000</v>
      </c>
      <c r="O11" s="13"/>
    </row>
    <row r="12" spans="1:15" x14ac:dyDescent="0.25">
      <c r="A12" s="25">
        <v>45484</v>
      </c>
      <c r="B12" s="46">
        <v>1781.03</v>
      </c>
      <c r="C12" s="46">
        <v>2676.85</v>
      </c>
      <c r="D12" s="47">
        <v>5670</v>
      </c>
      <c r="E12" s="47">
        <v>5019</v>
      </c>
      <c r="F12" s="13">
        <f t="shared" si="0"/>
        <v>10098440.1</v>
      </c>
      <c r="G12" s="13">
        <f t="shared" si="0"/>
        <v>13435110.15</v>
      </c>
      <c r="H12" s="26">
        <v>33.75</v>
      </c>
      <c r="I12" s="51">
        <v>696000</v>
      </c>
      <c r="J12" s="27">
        <v>66.5</v>
      </c>
      <c r="K12" s="13">
        <v>582000</v>
      </c>
      <c r="L12" s="13">
        <v>45000</v>
      </c>
      <c r="M12" s="13">
        <v>487500</v>
      </c>
      <c r="N12" s="13">
        <v>0</v>
      </c>
      <c r="O12" s="13"/>
    </row>
    <row r="13" spans="1:15" x14ac:dyDescent="0.25">
      <c r="A13" s="25">
        <v>45485</v>
      </c>
      <c r="B13" s="46">
        <v>2304.12</v>
      </c>
      <c r="C13" s="46">
        <v>5415.32</v>
      </c>
      <c r="D13" s="47">
        <v>5670</v>
      </c>
      <c r="E13" s="47">
        <v>5019</v>
      </c>
      <c r="F13" s="13">
        <f t="shared" si="0"/>
        <v>13064360.399999999</v>
      </c>
      <c r="G13" s="13">
        <f t="shared" si="0"/>
        <v>27179491.079999998</v>
      </c>
      <c r="H13" s="26">
        <v>51</v>
      </c>
      <c r="I13" s="13">
        <v>1021000</v>
      </c>
      <c r="J13" s="27">
        <v>57</v>
      </c>
      <c r="K13" s="13">
        <v>505000</v>
      </c>
      <c r="L13" s="13">
        <v>0</v>
      </c>
      <c r="M13" s="13">
        <v>687000</v>
      </c>
      <c r="N13" s="13">
        <v>63000</v>
      </c>
      <c r="O13" s="13"/>
    </row>
    <row r="14" spans="1:15" x14ac:dyDescent="0.25">
      <c r="A14" s="25">
        <v>45486</v>
      </c>
      <c r="B14" s="46">
        <v>2455.46</v>
      </c>
      <c r="C14" s="46">
        <v>5030.5600000000004</v>
      </c>
      <c r="D14" s="47">
        <v>5670</v>
      </c>
      <c r="E14" s="47">
        <v>5019</v>
      </c>
      <c r="F14" s="13">
        <f t="shared" si="0"/>
        <v>13922458.200000001</v>
      </c>
      <c r="G14" s="13">
        <f t="shared" si="0"/>
        <v>25248380.640000001</v>
      </c>
      <c r="H14" s="26">
        <v>58.75</v>
      </c>
      <c r="I14" s="13">
        <v>1167500</v>
      </c>
      <c r="J14" s="27">
        <v>55.5</v>
      </c>
      <c r="K14" s="13">
        <v>477000</v>
      </c>
      <c r="L14" s="13">
        <v>120000</v>
      </c>
      <c r="M14" s="13">
        <v>1098500</v>
      </c>
      <c r="N14" s="13">
        <v>115500</v>
      </c>
      <c r="O14" s="13"/>
    </row>
    <row r="15" spans="1:15" x14ac:dyDescent="0.25">
      <c r="A15" s="25">
        <v>45487</v>
      </c>
      <c r="B15" s="46">
        <v>1717.41</v>
      </c>
      <c r="C15" s="46">
        <v>3292.34</v>
      </c>
      <c r="D15" s="47">
        <v>5670</v>
      </c>
      <c r="E15" s="47">
        <v>5019</v>
      </c>
      <c r="F15" s="13">
        <f t="shared" si="0"/>
        <v>9737714.7000000011</v>
      </c>
      <c r="G15" s="13">
        <f t="shared" si="0"/>
        <v>16524254.460000001</v>
      </c>
      <c r="H15" s="13">
        <v>18</v>
      </c>
      <c r="I15" s="13">
        <v>318000</v>
      </c>
      <c r="J15" s="27">
        <v>39</v>
      </c>
      <c r="K15" s="13">
        <v>346000</v>
      </c>
      <c r="L15" s="13">
        <v>0</v>
      </c>
      <c r="M15" s="13">
        <v>630000</v>
      </c>
      <c r="N15" s="13">
        <v>126000</v>
      </c>
      <c r="O15" s="13"/>
    </row>
    <row r="16" spans="1:15" x14ac:dyDescent="0.25">
      <c r="A16" s="25">
        <v>45488</v>
      </c>
      <c r="B16" s="46">
        <v>1922.75</v>
      </c>
      <c r="C16" s="46">
        <v>4401.6000000000004</v>
      </c>
      <c r="D16" s="47">
        <v>5670</v>
      </c>
      <c r="E16" s="47">
        <v>5019</v>
      </c>
      <c r="F16" s="13">
        <f t="shared" si="0"/>
        <v>10901992.5</v>
      </c>
      <c r="G16" s="13">
        <f t="shared" si="0"/>
        <v>22091630.400000002</v>
      </c>
      <c r="H16" s="26">
        <v>42</v>
      </c>
      <c r="I16" s="13">
        <v>913000</v>
      </c>
      <c r="J16" s="27">
        <v>58.5</v>
      </c>
      <c r="K16" s="13">
        <v>502000</v>
      </c>
      <c r="L16" s="13">
        <v>23000</v>
      </c>
      <c r="M16" s="13">
        <v>656400</v>
      </c>
      <c r="N16" s="13">
        <v>10500</v>
      </c>
      <c r="O16" s="13"/>
    </row>
    <row r="17" spans="1:15" x14ac:dyDescent="0.25">
      <c r="A17" s="25">
        <v>45489</v>
      </c>
      <c r="B17" s="46">
        <v>1259.25</v>
      </c>
      <c r="C17" s="46">
        <v>2023.21</v>
      </c>
      <c r="D17" s="47">
        <v>5670</v>
      </c>
      <c r="E17" s="47">
        <v>5019</v>
      </c>
      <c r="F17" s="13">
        <f>B17*D17</f>
        <v>7139947.5</v>
      </c>
      <c r="G17" s="13">
        <f t="shared" si="0"/>
        <v>10154490.99</v>
      </c>
      <c r="H17" s="26">
        <v>55.25</v>
      </c>
      <c r="I17" s="13">
        <v>1195000</v>
      </c>
      <c r="J17" s="27">
        <v>66</v>
      </c>
      <c r="K17" s="13">
        <v>583000</v>
      </c>
      <c r="L17" s="13">
        <v>55000</v>
      </c>
      <c r="M17" s="13">
        <v>499500</v>
      </c>
      <c r="N17" s="13">
        <v>252000</v>
      </c>
      <c r="O17" s="13"/>
    </row>
    <row r="18" spans="1:15" x14ac:dyDescent="0.25">
      <c r="A18" s="25">
        <v>45490</v>
      </c>
      <c r="B18" s="46">
        <v>1389.14</v>
      </c>
      <c r="C18" s="46">
        <v>3312.7</v>
      </c>
      <c r="D18" s="47">
        <v>5670</v>
      </c>
      <c r="E18" s="47">
        <v>5019</v>
      </c>
      <c r="F18" s="13">
        <f t="shared" si="0"/>
        <v>7876423.8000000007</v>
      </c>
      <c r="G18" s="13">
        <f t="shared" si="0"/>
        <v>16626441.299999999</v>
      </c>
      <c r="H18" s="26">
        <v>30</v>
      </c>
      <c r="I18" s="13">
        <v>570000</v>
      </c>
      <c r="J18" s="12">
        <v>54</v>
      </c>
      <c r="K18" s="13">
        <v>480000</v>
      </c>
      <c r="L18" s="13">
        <v>23000</v>
      </c>
      <c r="M18" s="13">
        <v>821500</v>
      </c>
      <c r="N18" s="13">
        <v>189000</v>
      </c>
      <c r="O18" s="13"/>
    </row>
    <row r="19" spans="1:15" x14ac:dyDescent="0.25">
      <c r="A19" s="25">
        <v>45491</v>
      </c>
      <c r="B19" s="46">
        <v>1866.22</v>
      </c>
      <c r="C19" s="46">
        <v>3487.43</v>
      </c>
      <c r="D19" s="47">
        <v>5670</v>
      </c>
      <c r="E19" s="47">
        <v>5015</v>
      </c>
      <c r="F19" s="13">
        <f t="shared" si="0"/>
        <v>10581467.4</v>
      </c>
      <c r="G19" s="13">
        <f t="shared" si="0"/>
        <v>17489461.449999999</v>
      </c>
      <c r="H19" s="26">
        <v>85.25</v>
      </c>
      <c r="I19" s="13">
        <v>1676500</v>
      </c>
      <c r="J19" s="12">
        <v>161</v>
      </c>
      <c r="K19" s="13">
        <v>1094000</v>
      </c>
      <c r="L19" s="13">
        <v>148000</v>
      </c>
      <c r="M19" s="13">
        <v>596400</v>
      </c>
      <c r="N19" s="13">
        <v>483500</v>
      </c>
      <c r="O19" s="13"/>
    </row>
    <row r="20" spans="1:15" x14ac:dyDescent="0.25">
      <c r="A20" s="25">
        <v>45492</v>
      </c>
      <c r="B20" s="46">
        <v>2252.59</v>
      </c>
      <c r="C20" s="46">
        <v>1299.19</v>
      </c>
      <c r="D20" s="47">
        <v>5670</v>
      </c>
      <c r="E20" s="47">
        <v>5019</v>
      </c>
      <c r="F20" s="13">
        <f t="shared" si="0"/>
        <v>12772185.300000001</v>
      </c>
      <c r="G20" s="13">
        <f t="shared" si="0"/>
        <v>6520634.6100000003</v>
      </c>
      <c r="H20" s="26">
        <v>32.75</v>
      </c>
      <c r="I20" s="13">
        <v>623500</v>
      </c>
      <c r="J20" s="12">
        <v>31</v>
      </c>
      <c r="K20" s="13">
        <v>263000</v>
      </c>
      <c r="L20" s="13">
        <v>24000</v>
      </c>
      <c r="M20" s="13">
        <v>648800</v>
      </c>
      <c r="N20" s="13">
        <v>0</v>
      </c>
      <c r="O20" s="13"/>
    </row>
    <row r="21" spans="1:15" x14ac:dyDescent="0.25">
      <c r="A21" s="25">
        <v>45493</v>
      </c>
      <c r="B21" s="46">
        <v>1890.4</v>
      </c>
      <c r="C21" s="46">
        <v>3303.4</v>
      </c>
      <c r="D21" s="47">
        <v>5670</v>
      </c>
      <c r="E21" s="47">
        <v>5019</v>
      </c>
      <c r="F21" s="13">
        <f t="shared" si="0"/>
        <v>10718568</v>
      </c>
      <c r="G21" s="13">
        <f t="shared" si="0"/>
        <v>16579764.6</v>
      </c>
      <c r="H21" s="26">
        <v>33</v>
      </c>
      <c r="I21" s="13">
        <v>628500</v>
      </c>
      <c r="J21" s="12">
        <v>82</v>
      </c>
      <c r="K21" s="13">
        <v>715000</v>
      </c>
      <c r="L21" s="13">
        <v>69000</v>
      </c>
      <c r="M21" s="13">
        <v>939000</v>
      </c>
      <c r="N21" s="13">
        <v>299500</v>
      </c>
      <c r="O21" s="13"/>
    </row>
    <row r="22" spans="1:15" x14ac:dyDescent="0.25">
      <c r="A22" s="25">
        <v>45494</v>
      </c>
      <c r="B22" s="46">
        <v>1475.6</v>
      </c>
      <c r="C22" s="46">
        <v>2662.61</v>
      </c>
      <c r="D22" s="47">
        <v>5670</v>
      </c>
      <c r="E22" s="47">
        <v>5019</v>
      </c>
      <c r="F22" s="13">
        <f t="shared" si="0"/>
        <v>8366651.9999999991</v>
      </c>
      <c r="G22" s="13">
        <f t="shared" si="0"/>
        <v>13363639.59</v>
      </c>
      <c r="H22" s="26">
        <v>39.25</v>
      </c>
      <c r="I22" s="13">
        <v>846000</v>
      </c>
      <c r="J22" s="12">
        <v>18</v>
      </c>
      <c r="K22" s="13">
        <v>159000</v>
      </c>
      <c r="L22" s="13">
        <v>31000</v>
      </c>
      <c r="M22" s="13">
        <v>590000</v>
      </c>
      <c r="N22" s="13">
        <v>63000</v>
      </c>
      <c r="O22" s="13"/>
    </row>
    <row r="23" spans="1:15" x14ac:dyDescent="0.25">
      <c r="A23" s="25">
        <v>45495</v>
      </c>
      <c r="B23" s="46">
        <v>1732.23</v>
      </c>
      <c r="C23" s="46">
        <v>4417.95</v>
      </c>
      <c r="D23" s="47">
        <v>5670</v>
      </c>
      <c r="E23" s="47">
        <v>5019</v>
      </c>
      <c r="F23" s="13">
        <f t="shared" si="0"/>
        <v>9821744.0999999996</v>
      </c>
      <c r="G23" s="13">
        <f t="shared" si="0"/>
        <v>22173691.050000001</v>
      </c>
      <c r="H23" s="26">
        <v>56.75</v>
      </c>
      <c r="I23" s="13">
        <v>1127000</v>
      </c>
      <c r="J23" s="12">
        <v>30.5</v>
      </c>
      <c r="K23" s="13">
        <v>264000</v>
      </c>
      <c r="L23" s="13">
        <v>23000</v>
      </c>
      <c r="M23" s="13">
        <v>558000</v>
      </c>
      <c r="N23" s="13">
        <v>184000</v>
      </c>
      <c r="O23" s="13"/>
    </row>
    <row r="24" spans="1:15" x14ac:dyDescent="0.25">
      <c r="A24" s="25">
        <v>45496</v>
      </c>
      <c r="B24" s="46">
        <v>1514.11</v>
      </c>
      <c r="C24" s="46">
        <v>3046.18</v>
      </c>
      <c r="D24" s="47">
        <v>5670</v>
      </c>
      <c r="E24" s="47">
        <v>5019</v>
      </c>
      <c r="F24" s="13">
        <f t="shared" si="0"/>
        <v>8585003.6999999993</v>
      </c>
      <c r="G24" s="13">
        <f t="shared" si="0"/>
        <v>15288777.42</v>
      </c>
      <c r="H24" s="26">
        <v>96.75</v>
      </c>
      <c r="I24" s="13">
        <v>2038500</v>
      </c>
      <c r="J24" s="12">
        <v>24</v>
      </c>
      <c r="K24" s="13">
        <v>215000</v>
      </c>
      <c r="L24" s="13">
        <v>71000</v>
      </c>
      <c r="M24" s="13">
        <v>562500</v>
      </c>
      <c r="N24" s="13">
        <v>92000</v>
      </c>
      <c r="O24" s="13"/>
    </row>
    <row r="25" spans="1:15" x14ac:dyDescent="0.25">
      <c r="A25" s="25">
        <v>45497</v>
      </c>
      <c r="B25" s="46">
        <v>1771.61</v>
      </c>
      <c r="C25" s="46">
        <v>3365.25</v>
      </c>
      <c r="D25" s="47">
        <v>5670</v>
      </c>
      <c r="E25" s="47">
        <v>5019</v>
      </c>
      <c r="F25" s="13">
        <f t="shared" si="0"/>
        <v>10045028.699999999</v>
      </c>
      <c r="G25" s="13">
        <f t="shared" si="0"/>
        <v>16890189.75</v>
      </c>
      <c r="H25" s="26">
        <v>95.5</v>
      </c>
      <c r="I25" s="13">
        <v>2100000</v>
      </c>
      <c r="J25" s="12">
        <v>36.5</v>
      </c>
      <c r="K25" s="13">
        <v>317000</v>
      </c>
      <c r="L25" s="13">
        <v>38000</v>
      </c>
      <c r="M25" s="13">
        <v>732500</v>
      </c>
      <c r="N25" s="13">
        <v>92000</v>
      </c>
      <c r="O25" s="13"/>
    </row>
    <row r="26" spans="1:15" x14ac:dyDescent="0.25">
      <c r="A26" s="25">
        <v>45498</v>
      </c>
      <c r="B26" s="46">
        <v>1841.04</v>
      </c>
      <c r="C26" s="46">
        <v>3501.15</v>
      </c>
      <c r="D26" s="47">
        <v>5550</v>
      </c>
      <c r="E26" s="47">
        <v>4899</v>
      </c>
      <c r="F26" s="13">
        <f t="shared" si="0"/>
        <v>10217772</v>
      </c>
      <c r="G26" s="13">
        <f t="shared" si="0"/>
        <v>17152133.850000001</v>
      </c>
      <c r="H26" s="26">
        <v>59</v>
      </c>
      <c r="I26" s="13">
        <v>1207000</v>
      </c>
      <c r="J26" s="12">
        <v>55</v>
      </c>
      <c r="K26" s="13">
        <v>475000</v>
      </c>
      <c r="L26" s="13">
        <v>45000</v>
      </c>
      <c r="M26" s="13">
        <v>673000</v>
      </c>
      <c r="N26" s="13">
        <v>92000</v>
      </c>
      <c r="O26" s="13"/>
    </row>
    <row r="27" spans="1:15" x14ac:dyDescent="0.25">
      <c r="A27" s="25">
        <v>45499</v>
      </c>
      <c r="B27" s="46">
        <v>2126.09</v>
      </c>
      <c r="C27" s="46">
        <v>5209.51</v>
      </c>
      <c r="D27" s="47">
        <v>5550</v>
      </c>
      <c r="E27" s="47">
        <v>4899</v>
      </c>
      <c r="F27" s="13">
        <f t="shared" si="0"/>
        <v>11799799.5</v>
      </c>
      <c r="G27" s="13">
        <f t="shared" si="0"/>
        <v>25521389.490000002</v>
      </c>
      <c r="H27" s="26">
        <v>88</v>
      </c>
      <c r="I27" s="13">
        <v>1783500</v>
      </c>
      <c r="J27" s="12">
        <v>27</v>
      </c>
      <c r="K27" s="13">
        <v>240000</v>
      </c>
      <c r="L27" s="13">
        <v>78000</v>
      </c>
      <c r="M27" s="13">
        <v>732500</v>
      </c>
      <c r="N27" s="13">
        <v>17000</v>
      </c>
      <c r="O27" s="13"/>
    </row>
    <row r="28" spans="1:15" x14ac:dyDescent="0.25">
      <c r="A28" s="25">
        <v>45500</v>
      </c>
      <c r="B28" s="46">
        <v>2290.88</v>
      </c>
      <c r="C28" s="46">
        <v>3677.5439999999999</v>
      </c>
      <c r="D28" s="47">
        <v>5550</v>
      </c>
      <c r="E28" s="47">
        <v>4899</v>
      </c>
      <c r="F28" s="13">
        <f t="shared" si="0"/>
        <v>12714384</v>
      </c>
      <c r="G28" s="13">
        <f t="shared" si="0"/>
        <v>18016288.055999998</v>
      </c>
      <c r="H28" s="26">
        <v>111.5</v>
      </c>
      <c r="I28" s="13">
        <v>2304500</v>
      </c>
      <c r="J28" s="12">
        <v>57.5</v>
      </c>
      <c r="K28" s="13">
        <v>504000</v>
      </c>
      <c r="L28" s="13">
        <v>157000</v>
      </c>
      <c r="M28" s="13">
        <v>1359000</v>
      </c>
      <c r="N28" s="13">
        <v>184000</v>
      </c>
      <c r="O28" s="13"/>
    </row>
    <row r="29" spans="1:15" x14ac:dyDescent="0.25">
      <c r="A29" s="25">
        <v>45501</v>
      </c>
      <c r="B29" s="46">
        <v>1662.66</v>
      </c>
      <c r="C29" s="46">
        <v>2500.0500000000002</v>
      </c>
      <c r="D29" s="47">
        <v>5550</v>
      </c>
      <c r="E29" s="47">
        <v>4899</v>
      </c>
      <c r="F29" s="13">
        <f t="shared" si="0"/>
        <v>9227763</v>
      </c>
      <c r="G29" s="13">
        <f t="shared" si="0"/>
        <v>12247744.950000001</v>
      </c>
      <c r="H29" s="26">
        <v>68.75</v>
      </c>
      <c r="I29" s="13">
        <v>1495500</v>
      </c>
      <c r="J29" s="12">
        <v>39</v>
      </c>
      <c r="K29" s="13">
        <v>346000</v>
      </c>
      <c r="L29" s="13">
        <v>163000</v>
      </c>
      <c r="M29" s="13">
        <v>545500</v>
      </c>
      <c r="N29" s="13">
        <v>368000</v>
      </c>
      <c r="O29" s="13"/>
    </row>
    <row r="30" spans="1:15" x14ac:dyDescent="0.25">
      <c r="A30" s="25">
        <v>45502</v>
      </c>
      <c r="B30" s="46">
        <v>1616.04</v>
      </c>
      <c r="C30" s="46">
        <v>3781.61</v>
      </c>
      <c r="D30" s="47">
        <v>5550</v>
      </c>
      <c r="E30" s="47">
        <v>4899</v>
      </c>
      <c r="F30" s="13">
        <f t="shared" si="0"/>
        <v>8969022</v>
      </c>
      <c r="G30" s="13">
        <f t="shared" si="0"/>
        <v>18526107.390000001</v>
      </c>
      <c r="H30" s="26">
        <v>93</v>
      </c>
      <c r="I30" s="13">
        <v>2069000</v>
      </c>
      <c r="J30" s="12">
        <v>52</v>
      </c>
      <c r="K30" s="13">
        <v>450000</v>
      </c>
      <c r="L30" s="13">
        <v>228000</v>
      </c>
      <c r="M30" s="13">
        <v>620900</v>
      </c>
      <c r="N30" s="13">
        <v>105000</v>
      </c>
      <c r="O30" s="13"/>
    </row>
    <row r="31" spans="1:15" x14ac:dyDescent="0.25">
      <c r="A31" s="25">
        <v>45503</v>
      </c>
      <c r="B31" s="46">
        <v>1347.94</v>
      </c>
      <c r="C31" s="46">
        <v>3736.21</v>
      </c>
      <c r="D31" s="47">
        <v>5550</v>
      </c>
      <c r="E31" s="47">
        <v>4899</v>
      </c>
      <c r="F31" s="13">
        <f t="shared" si="0"/>
        <v>7481067</v>
      </c>
      <c r="G31" s="13">
        <f t="shared" si="0"/>
        <v>18303692.789999999</v>
      </c>
      <c r="H31" s="26">
        <v>70.5</v>
      </c>
      <c r="I31" s="13">
        <v>1469000</v>
      </c>
      <c r="J31" s="12">
        <v>73.5</v>
      </c>
      <c r="K31" s="13">
        <v>636000</v>
      </c>
      <c r="L31" s="13">
        <v>63000</v>
      </c>
      <c r="M31" s="13">
        <v>486600</v>
      </c>
      <c r="N31" s="13">
        <v>115500</v>
      </c>
      <c r="O31" s="13"/>
    </row>
    <row r="32" spans="1:15" x14ac:dyDescent="0.25">
      <c r="A32" s="25">
        <v>45504</v>
      </c>
      <c r="B32" s="46">
        <v>1432.51</v>
      </c>
      <c r="C32" s="46">
        <v>4173.26</v>
      </c>
      <c r="D32" s="47">
        <v>5550</v>
      </c>
      <c r="E32" s="47">
        <v>4899</v>
      </c>
      <c r="F32" s="13">
        <f t="shared" ref="F32:G32" si="1">B32*D32</f>
        <v>7950430.5</v>
      </c>
      <c r="G32" s="13">
        <f t="shared" si="1"/>
        <v>20444800.740000002</v>
      </c>
      <c r="H32" s="26">
        <v>34</v>
      </c>
      <c r="I32" s="13">
        <v>694500</v>
      </c>
      <c r="J32" s="12">
        <v>91</v>
      </c>
      <c r="K32" s="13">
        <v>793000</v>
      </c>
      <c r="L32" s="13">
        <v>45000</v>
      </c>
      <c r="M32" s="13">
        <v>708000</v>
      </c>
      <c r="N32" s="13">
        <v>264000</v>
      </c>
      <c r="O32" s="13"/>
    </row>
    <row r="33" spans="1:15" x14ac:dyDescent="0.25">
      <c r="A33" s="15"/>
      <c r="B33" s="37">
        <f>SUM(B1:B32)</f>
        <v>56201.939999999995</v>
      </c>
      <c r="C33" s="37">
        <f>SUM(C1:C32)</f>
        <v>112228.17399999996</v>
      </c>
      <c r="D33" s="38">
        <f>SUM(D1:D32)</f>
        <v>174930</v>
      </c>
      <c r="E33" s="38"/>
      <c r="F33" s="39">
        <f>SUM(F1:F32)</f>
        <v>317186940.59999996</v>
      </c>
      <c r="G33" s="39">
        <f>SUM(G1:G32)</f>
        <v>560069735.50600004</v>
      </c>
      <c r="H33" s="39">
        <f t="shared" ref="H33:I33" si="2">SUM(H1:H32)</f>
        <v>1760.25</v>
      </c>
      <c r="I33" s="39">
        <f t="shared" si="2"/>
        <v>36420000</v>
      </c>
      <c r="J33" s="39">
        <f>SUM(J1:J32)</f>
        <v>1744</v>
      </c>
      <c r="K33" s="39">
        <f>SUM(K1:K32)</f>
        <v>14892000</v>
      </c>
      <c r="L33" s="39">
        <f>SUM(L1:L32)</f>
        <v>1950000</v>
      </c>
      <c r="M33" s="38">
        <f>SUM(M1:M32)</f>
        <v>20719000</v>
      </c>
      <c r="N33" s="38">
        <f>SUM(N2:N32)</f>
        <v>4060500</v>
      </c>
      <c r="O33" s="38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33"/>
  <sheetViews>
    <sheetView topLeftCell="A13" zoomScale="80" zoomScaleNormal="80" workbookViewId="0">
      <selection activeCell="H27" sqref="H27"/>
    </sheetView>
  </sheetViews>
  <sheetFormatPr defaultRowHeight="15" x14ac:dyDescent="0.25"/>
  <cols>
    <col min="1" max="1" width="10.140625" bestFit="1" customWidth="1"/>
    <col min="2" max="2" width="12" bestFit="1" customWidth="1"/>
    <col min="3" max="3" width="13" bestFit="1" customWidth="1"/>
    <col min="4" max="4" width="8.5703125" bestFit="1" customWidth="1"/>
    <col min="5" max="5" width="7.140625" bestFit="1" customWidth="1"/>
    <col min="6" max="7" width="15.85546875" bestFit="1" customWidth="1"/>
    <col min="8" max="8" width="9.85546875" bestFit="1" customWidth="1"/>
    <col min="9" max="9" width="14.85546875" bestFit="1" customWidth="1"/>
    <col min="10" max="10" width="9.85546875" bestFit="1" customWidth="1"/>
    <col min="11" max="11" width="14.85546875" bestFit="1" customWidth="1"/>
    <col min="12" max="12" width="13.5703125" bestFit="1" customWidth="1"/>
    <col min="13" max="13" width="12" bestFit="1" customWidth="1"/>
    <col min="14" max="14" width="11.7109375" customWidth="1"/>
    <col min="15" max="15" width="10.28515625" bestFit="1" customWidth="1"/>
  </cols>
  <sheetData>
    <row r="1" spans="1:15" x14ac:dyDescent="0.25">
      <c r="A1" s="16"/>
      <c r="B1" s="17" t="s">
        <v>1</v>
      </c>
      <c r="C1" s="17" t="s">
        <v>2</v>
      </c>
      <c r="D1" s="18" t="s">
        <v>1</v>
      </c>
      <c r="E1" s="18" t="s">
        <v>2</v>
      </c>
      <c r="F1" s="19" t="s">
        <v>1</v>
      </c>
      <c r="G1" s="19" t="s">
        <v>2</v>
      </c>
      <c r="H1" s="19" t="s">
        <v>9</v>
      </c>
      <c r="I1" s="18" t="s">
        <v>10</v>
      </c>
      <c r="J1" s="16" t="s">
        <v>11</v>
      </c>
      <c r="K1" s="18" t="s">
        <v>10</v>
      </c>
      <c r="L1" s="18" t="s">
        <v>4</v>
      </c>
      <c r="M1" s="18" t="s">
        <v>67</v>
      </c>
      <c r="N1" s="18" t="s">
        <v>52</v>
      </c>
      <c r="O1" s="18" t="s">
        <v>40</v>
      </c>
    </row>
    <row r="2" spans="1:15" x14ac:dyDescent="0.25">
      <c r="A2" s="25">
        <v>45505</v>
      </c>
      <c r="B2" s="46">
        <v>1502.27</v>
      </c>
      <c r="C2" s="46">
        <v>5234.43</v>
      </c>
      <c r="D2" s="47">
        <v>5550</v>
      </c>
      <c r="E2" s="47">
        <v>4899</v>
      </c>
      <c r="F2" s="13">
        <f t="shared" ref="F2:G31" si="0">B2*D2</f>
        <v>8337598.5</v>
      </c>
      <c r="G2" s="13">
        <f t="shared" si="0"/>
        <v>25643472.57</v>
      </c>
      <c r="H2" s="31">
        <v>29</v>
      </c>
      <c r="I2" s="13">
        <v>566000</v>
      </c>
      <c r="J2" s="27">
        <v>57.5</v>
      </c>
      <c r="K2" s="13">
        <v>504000</v>
      </c>
      <c r="L2" s="13">
        <v>85000</v>
      </c>
      <c r="M2" s="13">
        <v>641100</v>
      </c>
      <c r="N2" s="13">
        <v>189000</v>
      </c>
      <c r="O2" s="13"/>
    </row>
    <row r="3" spans="1:15" x14ac:dyDescent="0.25">
      <c r="A3" s="25">
        <v>45506</v>
      </c>
      <c r="B3" s="46">
        <v>1593.21</v>
      </c>
      <c r="C3" s="46">
        <v>6049.05</v>
      </c>
      <c r="D3" s="47">
        <v>5550</v>
      </c>
      <c r="E3" s="47">
        <v>4899</v>
      </c>
      <c r="F3" s="13">
        <f t="shared" si="0"/>
        <v>8842315.5</v>
      </c>
      <c r="G3" s="13">
        <f t="shared" si="0"/>
        <v>29634295.949999999</v>
      </c>
      <c r="H3" s="26">
        <v>30.25</v>
      </c>
      <c r="I3" s="13">
        <v>649500</v>
      </c>
      <c r="J3" s="27">
        <v>24.5</v>
      </c>
      <c r="K3" s="13">
        <v>211000</v>
      </c>
      <c r="L3" s="13">
        <v>60000</v>
      </c>
      <c r="M3" s="13">
        <v>613600</v>
      </c>
      <c r="N3" s="13">
        <v>63000</v>
      </c>
      <c r="O3" s="13"/>
    </row>
    <row r="4" spans="1:15" x14ac:dyDescent="0.25">
      <c r="A4" s="25">
        <v>45507</v>
      </c>
      <c r="B4" s="46">
        <v>2195.5700000000002</v>
      </c>
      <c r="C4" s="46">
        <v>5099.87</v>
      </c>
      <c r="D4" s="47">
        <v>5550</v>
      </c>
      <c r="E4" s="47">
        <v>4899</v>
      </c>
      <c r="F4" s="13">
        <f t="shared" si="0"/>
        <v>12185413.5</v>
      </c>
      <c r="G4" s="13">
        <f t="shared" si="0"/>
        <v>24984263.129999999</v>
      </c>
      <c r="H4" s="26">
        <v>49.25</v>
      </c>
      <c r="I4" s="13">
        <v>1014500</v>
      </c>
      <c r="J4" s="27">
        <v>18</v>
      </c>
      <c r="K4" s="13">
        <v>159000</v>
      </c>
      <c r="L4" s="13">
        <v>15000</v>
      </c>
      <c r="M4" s="13">
        <v>837000</v>
      </c>
      <c r="N4" s="13">
        <v>63000</v>
      </c>
      <c r="O4" s="13"/>
    </row>
    <row r="5" spans="1:15" x14ac:dyDescent="0.25">
      <c r="A5" s="25">
        <v>45508</v>
      </c>
      <c r="B5" s="46">
        <v>1548.96</v>
      </c>
      <c r="C5" s="46">
        <v>1999.71</v>
      </c>
      <c r="D5" s="47">
        <v>5550</v>
      </c>
      <c r="E5" s="47">
        <v>4899</v>
      </c>
      <c r="F5" s="13">
        <f t="shared" si="0"/>
        <v>8596728</v>
      </c>
      <c r="G5" s="13">
        <f t="shared" si="0"/>
        <v>9796579.290000001</v>
      </c>
      <c r="H5" s="26">
        <v>15</v>
      </c>
      <c r="I5" s="13">
        <v>294500</v>
      </c>
      <c r="J5" s="27">
        <v>30</v>
      </c>
      <c r="K5" s="13">
        <v>265000</v>
      </c>
      <c r="L5" s="13">
        <v>8000</v>
      </c>
      <c r="M5" s="13">
        <v>662500</v>
      </c>
      <c r="N5" s="13">
        <v>189000</v>
      </c>
      <c r="O5" s="13"/>
    </row>
    <row r="6" spans="1:15" x14ac:dyDescent="0.25">
      <c r="A6" s="25">
        <v>45509</v>
      </c>
      <c r="B6" s="46">
        <v>1816.16</v>
      </c>
      <c r="C6" s="46">
        <v>2086.04</v>
      </c>
      <c r="D6" s="47">
        <v>5550</v>
      </c>
      <c r="E6" s="47">
        <v>4899</v>
      </c>
      <c r="F6" s="13">
        <f t="shared" si="0"/>
        <v>10079688</v>
      </c>
      <c r="G6" s="13">
        <f t="shared" si="0"/>
        <v>10219509.959999999</v>
      </c>
      <c r="H6" s="26">
        <v>59.25</v>
      </c>
      <c r="I6" s="13">
        <v>1289500</v>
      </c>
      <c r="J6" s="27">
        <v>113</v>
      </c>
      <c r="K6" s="13">
        <v>978000</v>
      </c>
      <c r="L6" s="13">
        <v>8000</v>
      </c>
      <c r="M6" s="13">
        <v>814000</v>
      </c>
      <c r="N6" s="13">
        <v>304500</v>
      </c>
      <c r="O6" s="13"/>
    </row>
    <row r="7" spans="1:15" x14ac:dyDescent="0.25">
      <c r="A7" s="25">
        <v>45510</v>
      </c>
      <c r="B7" s="46">
        <v>1703.54</v>
      </c>
      <c r="C7" s="46">
        <v>2677.78</v>
      </c>
      <c r="D7" s="47">
        <v>5390</v>
      </c>
      <c r="E7" s="47">
        <v>4899</v>
      </c>
      <c r="F7" s="13">
        <f t="shared" si="0"/>
        <v>9182080.5999999996</v>
      </c>
      <c r="G7" s="13">
        <f t="shared" si="0"/>
        <v>13118444.220000001</v>
      </c>
      <c r="H7" s="26">
        <v>50.25</v>
      </c>
      <c r="I7" s="13">
        <v>953000</v>
      </c>
      <c r="J7" s="27">
        <v>72.5</v>
      </c>
      <c r="K7" s="13">
        <v>638000</v>
      </c>
      <c r="L7" s="13">
        <v>54000</v>
      </c>
      <c r="M7" s="13">
        <v>796700</v>
      </c>
      <c r="N7" s="13">
        <v>178500</v>
      </c>
      <c r="O7" s="13"/>
    </row>
    <row r="8" spans="1:15" x14ac:dyDescent="0.25">
      <c r="A8" s="25">
        <v>45511</v>
      </c>
      <c r="B8" s="46">
        <v>1610.27</v>
      </c>
      <c r="C8" s="46">
        <v>3684.16</v>
      </c>
      <c r="D8" s="47">
        <v>5390</v>
      </c>
      <c r="E8" s="47">
        <v>4899</v>
      </c>
      <c r="F8" s="13">
        <f t="shared" si="0"/>
        <v>8679355.3000000007</v>
      </c>
      <c r="G8" s="13">
        <f t="shared" si="0"/>
        <v>18048699.84</v>
      </c>
      <c r="H8" s="26">
        <v>69.5</v>
      </c>
      <c r="I8" s="13">
        <v>1357000</v>
      </c>
      <c r="J8" s="27">
        <v>110</v>
      </c>
      <c r="K8" s="13">
        <v>866000</v>
      </c>
      <c r="L8" s="13">
        <v>8000</v>
      </c>
      <c r="M8" s="13">
        <v>693000</v>
      </c>
      <c r="N8" s="13">
        <v>458000</v>
      </c>
      <c r="O8" s="13"/>
    </row>
    <row r="9" spans="1:15" x14ac:dyDescent="0.25">
      <c r="A9" s="25">
        <v>45512</v>
      </c>
      <c r="B9" s="46">
        <v>1889.54</v>
      </c>
      <c r="C9" s="46">
        <v>4697.82</v>
      </c>
      <c r="D9" s="47">
        <v>5390</v>
      </c>
      <c r="E9" s="47">
        <v>4899</v>
      </c>
      <c r="F9" s="13">
        <f t="shared" si="0"/>
        <v>10184620.6</v>
      </c>
      <c r="G9" s="13">
        <f t="shared" si="0"/>
        <v>23014620.18</v>
      </c>
      <c r="H9" s="26">
        <v>49.5</v>
      </c>
      <c r="I9" s="13">
        <v>1044500</v>
      </c>
      <c r="J9" s="27">
        <v>42.5</v>
      </c>
      <c r="K9" s="13">
        <v>373000</v>
      </c>
      <c r="L9" s="13">
        <v>90000</v>
      </c>
      <c r="M9" s="13">
        <v>801500</v>
      </c>
      <c r="N9" s="13">
        <v>206000</v>
      </c>
      <c r="O9" s="13"/>
    </row>
    <row r="10" spans="1:15" x14ac:dyDescent="0.25">
      <c r="A10" s="25">
        <v>45513</v>
      </c>
      <c r="B10" s="46">
        <v>2183.2399999999998</v>
      </c>
      <c r="C10" s="46">
        <v>4569.8599999999997</v>
      </c>
      <c r="D10" s="47">
        <v>5390</v>
      </c>
      <c r="E10" s="47">
        <v>4899</v>
      </c>
      <c r="F10" s="13">
        <f t="shared" si="0"/>
        <v>11767663.6</v>
      </c>
      <c r="G10" s="13">
        <f t="shared" si="0"/>
        <v>22387744.139999997</v>
      </c>
      <c r="H10" s="26">
        <v>82.25</v>
      </c>
      <c r="I10" s="13">
        <v>1747000</v>
      </c>
      <c r="J10" s="27">
        <v>57.2</v>
      </c>
      <c r="K10" s="13">
        <v>504000</v>
      </c>
      <c r="L10" s="13">
        <v>153000</v>
      </c>
      <c r="M10" s="13">
        <v>640500</v>
      </c>
      <c r="N10" s="13">
        <v>344000</v>
      </c>
      <c r="O10" s="13"/>
    </row>
    <row r="11" spans="1:15" x14ac:dyDescent="0.25">
      <c r="A11" s="25">
        <v>45514</v>
      </c>
      <c r="B11" s="46">
        <v>2459.41</v>
      </c>
      <c r="C11" s="46">
        <v>3359.87</v>
      </c>
      <c r="D11" s="47">
        <v>5390</v>
      </c>
      <c r="E11" s="47">
        <v>4899</v>
      </c>
      <c r="F11" s="13">
        <f t="shared" si="0"/>
        <v>13256219.899999999</v>
      </c>
      <c r="G11" s="13">
        <f t="shared" si="0"/>
        <v>16460003.129999999</v>
      </c>
      <c r="H11" s="26">
        <v>46.5</v>
      </c>
      <c r="I11" s="13">
        <v>955000</v>
      </c>
      <c r="J11" s="27">
        <v>76</v>
      </c>
      <c r="K11" s="13">
        <v>662000</v>
      </c>
      <c r="L11" s="13">
        <v>46000</v>
      </c>
      <c r="M11" s="13">
        <v>722000</v>
      </c>
      <c r="N11" s="13">
        <v>816500</v>
      </c>
      <c r="O11" s="13"/>
    </row>
    <row r="12" spans="1:15" x14ac:dyDescent="0.25">
      <c r="A12" s="25">
        <v>45515</v>
      </c>
      <c r="B12" s="46">
        <v>1633.01</v>
      </c>
      <c r="C12" s="46">
        <v>3071.08</v>
      </c>
      <c r="D12" s="47">
        <v>5390</v>
      </c>
      <c r="E12" s="47">
        <v>4899</v>
      </c>
      <c r="F12" s="13">
        <f t="shared" si="0"/>
        <v>8801923.9000000004</v>
      </c>
      <c r="G12" s="13">
        <f t="shared" si="0"/>
        <v>15045220.92</v>
      </c>
      <c r="H12" s="26">
        <v>69.5</v>
      </c>
      <c r="I12" s="51">
        <v>1525500</v>
      </c>
      <c r="J12" s="27">
        <v>57</v>
      </c>
      <c r="K12" s="13">
        <v>505000</v>
      </c>
      <c r="L12" s="13">
        <v>0</v>
      </c>
      <c r="M12" s="13">
        <v>671000</v>
      </c>
      <c r="N12" s="13">
        <v>368000</v>
      </c>
      <c r="O12" s="13"/>
    </row>
    <row r="13" spans="1:15" x14ac:dyDescent="0.25">
      <c r="A13" s="25">
        <v>45516</v>
      </c>
      <c r="B13" s="46">
        <v>1890.62</v>
      </c>
      <c r="C13" s="46">
        <v>4445.5200000000004</v>
      </c>
      <c r="D13" s="47">
        <v>5390</v>
      </c>
      <c r="E13" s="47">
        <v>4899</v>
      </c>
      <c r="F13" s="13">
        <f t="shared" si="0"/>
        <v>10190441.799999999</v>
      </c>
      <c r="G13" s="13">
        <f t="shared" si="0"/>
        <v>21778602.48</v>
      </c>
      <c r="H13" s="26">
        <v>22.25</v>
      </c>
      <c r="I13" s="13">
        <v>503000</v>
      </c>
      <c r="J13" s="27">
        <v>45</v>
      </c>
      <c r="K13" s="13">
        <v>399000</v>
      </c>
      <c r="L13" s="13">
        <v>65000</v>
      </c>
      <c r="M13" s="13">
        <v>717900</v>
      </c>
      <c r="N13" s="13">
        <v>184000</v>
      </c>
      <c r="O13" s="13"/>
    </row>
    <row r="14" spans="1:15" x14ac:dyDescent="0.25">
      <c r="A14" s="25">
        <v>45517</v>
      </c>
      <c r="B14" s="46">
        <v>1967.85</v>
      </c>
      <c r="C14" s="46">
        <v>3807.4</v>
      </c>
      <c r="D14" s="47">
        <v>5390</v>
      </c>
      <c r="E14" s="47">
        <v>4899</v>
      </c>
      <c r="F14" s="13">
        <f t="shared" si="0"/>
        <v>10606711.5</v>
      </c>
      <c r="G14" s="13">
        <f t="shared" si="0"/>
        <v>18652452.600000001</v>
      </c>
      <c r="H14" s="26">
        <v>63.25</v>
      </c>
      <c r="I14" s="13">
        <v>1314500</v>
      </c>
      <c r="J14" s="27">
        <v>49</v>
      </c>
      <c r="K14" s="13">
        <v>422000</v>
      </c>
      <c r="L14" s="13">
        <v>15000</v>
      </c>
      <c r="M14" s="13">
        <v>650600</v>
      </c>
      <c r="N14" s="13">
        <v>34000</v>
      </c>
      <c r="O14" s="13"/>
    </row>
    <row r="15" spans="1:15" x14ac:dyDescent="0.25">
      <c r="A15" s="25">
        <v>45518</v>
      </c>
      <c r="B15" s="46">
        <v>2007.48</v>
      </c>
      <c r="C15" s="46">
        <v>4163.92</v>
      </c>
      <c r="D15" s="47">
        <v>5390</v>
      </c>
      <c r="E15" s="47">
        <v>4899</v>
      </c>
      <c r="F15" s="13">
        <f t="shared" si="0"/>
        <v>10820317.199999999</v>
      </c>
      <c r="G15" s="13">
        <f t="shared" si="0"/>
        <v>20399044.080000002</v>
      </c>
      <c r="H15" s="13">
        <v>78</v>
      </c>
      <c r="I15" s="13">
        <v>1753500</v>
      </c>
      <c r="J15" s="27">
        <v>106</v>
      </c>
      <c r="K15" s="13">
        <v>930000</v>
      </c>
      <c r="L15" s="13">
        <v>45000</v>
      </c>
      <c r="M15" s="13">
        <v>636000</v>
      </c>
      <c r="N15" s="13">
        <v>460000</v>
      </c>
      <c r="O15" s="13"/>
    </row>
    <row r="16" spans="1:15" x14ac:dyDescent="0.25">
      <c r="A16" s="25">
        <v>45519</v>
      </c>
      <c r="B16" s="46">
        <v>1463.38</v>
      </c>
      <c r="C16" s="46">
        <v>3719.32</v>
      </c>
      <c r="D16" s="47">
        <v>5390</v>
      </c>
      <c r="E16" s="47">
        <v>4970</v>
      </c>
      <c r="F16" s="13">
        <f t="shared" si="0"/>
        <v>7887618.2000000002</v>
      </c>
      <c r="G16" s="13">
        <f t="shared" si="0"/>
        <v>18485020.400000002</v>
      </c>
      <c r="H16" s="26">
        <v>38.25</v>
      </c>
      <c r="I16" s="13">
        <v>785500</v>
      </c>
      <c r="J16" s="27">
        <v>42.5</v>
      </c>
      <c r="K16" s="13">
        <v>370000</v>
      </c>
      <c r="L16" s="13">
        <v>46000</v>
      </c>
      <c r="M16" s="13">
        <v>613000</v>
      </c>
      <c r="N16" s="13">
        <v>276000</v>
      </c>
      <c r="O16" s="13"/>
    </row>
    <row r="17" spans="1:16" x14ac:dyDescent="0.25">
      <c r="A17" s="25">
        <v>45520</v>
      </c>
      <c r="B17" s="46">
        <v>2037.56</v>
      </c>
      <c r="C17" s="46">
        <v>3508.94</v>
      </c>
      <c r="D17" s="47">
        <v>5390</v>
      </c>
      <c r="E17" s="47">
        <v>4970</v>
      </c>
      <c r="F17" s="13">
        <f>B17*D17</f>
        <v>10982448.4</v>
      </c>
      <c r="G17" s="13">
        <f t="shared" si="0"/>
        <v>17439431.800000001</v>
      </c>
      <c r="H17" s="26">
        <v>63</v>
      </c>
      <c r="I17" s="13">
        <v>1336500</v>
      </c>
      <c r="J17" s="27">
        <v>75.5</v>
      </c>
      <c r="K17" s="13">
        <v>1033000</v>
      </c>
      <c r="L17" s="13">
        <v>46000</v>
      </c>
      <c r="M17" s="13">
        <v>671600</v>
      </c>
      <c r="N17" s="13">
        <v>356000</v>
      </c>
      <c r="O17" s="13"/>
    </row>
    <row r="18" spans="1:16" x14ac:dyDescent="0.25">
      <c r="A18" s="25">
        <v>45521</v>
      </c>
      <c r="B18" s="46">
        <v>2035.26</v>
      </c>
      <c r="C18" s="46">
        <v>2345.7399999999998</v>
      </c>
      <c r="D18" s="47">
        <v>5390</v>
      </c>
      <c r="E18" s="47">
        <v>4970</v>
      </c>
      <c r="F18" s="13">
        <f t="shared" si="0"/>
        <v>10970051.4</v>
      </c>
      <c r="G18" s="13">
        <f t="shared" si="0"/>
        <v>11658327.799999999</v>
      </c>
      <c r="H18" s="26">
        <v>53</v>
      </c>
      <c r="I18" s="13">
        <v>1096000</v>
      </c>
      <c r="J18" s="12">
        <v>87.5</v>
      </c>
      <c r="K18" s="13">
        <v>772000</v>
      </c>
      <c r="L18" s="13">
        <v>16000</v>
      </c>
      <c r="M18" s="13">
        <v>651500</v>
      </c>
      <c r="N18" s="13">
        <v>373000</v>
      </c>
      <c r="O18" s="13"/>
    </row>
    <row r="19" spans="1:16" x14ac:dyDescent="0.25">
      <c r="A19" s="25">
        <v>45522</v>
      </c>
      <c r="B19" s="46">
        <v>1889.53</v>
      </c>
      <c r="C19" s="46">
        <v>1917.15</v>
      </c>
      <c r="D19" s="47">
        <v>5390</v>
      </c>
      <c r="E19" s="47">
        <v>4970</v>
      </c>
      <c r="F19" s="13">
        <f t="shared" si="0"/>
        <v>10184566.699999999</v>
      </c>
      <c r="G19" s="13">
        <f t="shared" si="0"/>
        <v>9528235.5</v>
      </c>
      <c r="H19" s="26">
        <v>6.5</v>
      </c>
      <c r="I19" s="13">
        <v>125500</v>
      </c>
      <c r="J19" s="12">
        <v>45.5</v>
      </c>
      <c r="K19" s="13">
        <v>398000</v>
      </c>
      <c r="L19" s="13">
        <v>0</v>
      </c>
      <c r="M19" s="13">
        <v>568500</v>
      </c>
      <c r="N19" s="13">
        <v>281000</v>
      </c>
      <c r="O19" s="13"/>
    </row>
    <row r="20" spans="1:16" x14ac:dyDescent="0.25">
      <c r="A20" s="25">
        <v>45523</v>
      </c>
      <c r="B20" s="46">
        <v>2061.96</v>
      </c>
      <c r="C20" s="46">
        <v>3263.35</v>
      </c>
      <c r="D20" s="47">
        <v>5390</v>
      </c>
      <c r="E20" s="47">
        <v>4970</v>
      </c>
      <c r="F20" s="13">
        <f t="shared" si="0"/>
        <v>11113964.4</v>
      </c>
      <c r="G20" s="13">
        <f t="shared" si="0"/>
        <v>16218849.5</v>
      </c>
      <c r="H20" s="26">
        <v>46</v>
      </c>
      <c r="I20" s="13">
        <v>880500</v>
      </c>
      <c r="J20" s="12">
        <v>171</v>
      </c>
      <c r="K20" s="13">
        <v>1318000</v>
      </c>
      <c r="L20" s="13">
        <v>53000</v>
      </c>
      <c r="M20" s="13">
        <v>585000</v>
      </c>
      <c r="N20" s="13">
        <v>612000</v>
      </c>
      <c r="O20" s="13"/>
    </row>
    <row r="21" spans="1:16" x14ac:dyDescent="0.25">
      <c r="A21" s="25">
        <v>45524</v>
      </c>
      <c r="B21" s="46">
        <v>1764.82</v>
      </c>
      <c r="C21" s="46">
        <v>2780.81</v>
      </c>
      <c r="D21" s="47">
        <v>5390</v>
      </c>
      <c r="E21" s="47">
        <v>4970</v>
      </c>
      <c r="F21" s="13">
        <f t="shared" si="0"/>
        <v>9512379.7999999989</v>
      </c>
      <c r="G21" s="13">
        <f t="shared" si="0"/>
        <v>13820625.699999999</v>
      </c>
      <c r="H21" s="26">
        <v>42.5</v>
      </c>
      <c r="I21" s="13">
        <v>926000</v>
      </c>
      <c r="J21" s="12">
        <v>142.5</v>
      </c>
      <c r="K21" s="13">
        <v>1244000</v>
      </c>
      <c r="L21" s="13">
        <v>85000</v>
      </c>
      <c r="M21" s="13">
        <v>532400</v>
      </c>
      <c r="N21" s="13">
        <v>419000</v>
      </c>
      <c r="O21" s="13"/>
    </row>
    <row r="22" spans="1:16" x14ac:dyDescent="0.25">
      <c r="A22" s="25">
        <v>45525</v>
      </c>
      <c r="B22" s="46">
        <v>1718.25</v>
      </c>
      <c r="C22" s="46">
        <v>3843.88</v>
      </c>
      <c r="D22" s="47">
        <v>5290</v>
      </c>
      <c r="E22" s="47">
        <v>4970</v>
      </c>
      <c r="F22" s="13">
        <f t="shared" si="0"/>
        <v>9089542.5</v>
      </c>
      <c r="G22" s="13">
        <f t="shared" si="0"/>
        <v>19104083.600000001</v>
      </c>
      <c r="H22" s="26">
        <v>145.5</v>
      </c>
      <c r="I22" s="13">
        <v>3036000</v>
      </c>
      <c r="J22" s="12">
        <v>111</v>
      </c>
      <c r="K22" s="13">
        <v>982000</v>
      </c>
      <c r="L22" s="13">
        <v>1510000</v>
      </c>
      <c r="M22" s="13">
        <v>433000</v>
      </c>
      <c r="N22" s="13">
        <v>414000</v>
      </c>
      <c r="O22" s="13"/>
    </row>
    <row r="23" spans="1:16" x14ac:dyDescent="0.25">
      <c r="A23" s="25">
        <v>45526</v>
      </c>
      <c r="B23" s="46">
        <v>1940.14</v>
      </c>
      <c r="C23" s="46">
        <v>4804.37</v>
      </c>
      <c r="D23" s="47">
        <v>5290</v>
      </c>
      <c r="E23" s="47">
        <v>4970</v>
      </c>
      <c r="F23" s="13">
        <f t="shared" si="0"/>
        <v>10263340.6</v>
      </c>
      <c r="G23" s="13">
        <f t="shared" si="0"/>
        <v>23877718.899999999</v>
      </c>
      <c r="H23" s="26">
        <v>16.5</v>
      </c>
      <c r="I23" s="13">
        <v>364500</v>
      </c>
      <c r="J23" s="12">
        <v>78.5</v>
      </c>
      <c r="K23" s="13">
        <v>573000</v>
      </c>
      <c r="L23" s="13">
        <v>15000</v>
      </c>
      <c r="M23" s="13">
        <v>706000</v>
      </c>
      <c r="N23" s="13">
        <v>0</v>
      </c>
      <c r="O23" s="13"/>
    </row>
    <row r="24" spans="1:16" x14ac:dyDescent="0.25">
      <c r="A24" s="25">
        <v>45527</v>
      </c>
      <c r="B24" s="46">
        <v>2331.65</v>
      </c>
      <c r="C24" s="46">
        <v>4210.1000000000004</v>
      </c>
      <c r="D24" s="47">
        <v>5290</v>
      </c>
      <c r="E24" s="47">
        <v>4970</v>
      </c>
      <c r="F24" s="13">
        <f t="shared" si="0"/>
        <v>12334428.5</v>
      </c>
      <c r="G24" s="13">
        <f t="shared" si="0"/>
        <v>20924197</v>
      </c>
      <c r="H24" s="26">
        <v>45</v>
      </c>
      <c r="I24" s="13">
        <v>832500</v>
      </c>
      <c r="J24" s="12">
        <v>76.5</v>
      </c>
      <c r="K24" s="13">
        <v>664000</v>
      </c>
      <c r="L24" s="13">
        <v>119000</v>
      </c>
      <c r="M24" s="13">
        <v>893600</v>
      </c>
      <c r="N24" s="13">
        <v>276000</v>
      </c>
      <c r="O24" s="13"/>
    </row>
    <row r="25" spans="1:16" x14ac:dyDescent="0.25">
      <c r="A25" s="25">
        <v>45528</v>
      </c>
      <c r="B25" s="46">
        <v>1943.23</v>
      </c>
      <c r="C25" s="46">
        <v>3002.2</v>
      </c>
      <c r="D25" s="47">
        <v>5290</v>
      </c>
      <c r="E25" s="47">
        <v>4970</v>
      </c>
      <c r="F25" s="13">
        <f t="shared" si="0"/>
        <v>10279686.699999999</v>
      </c>
      <c r="G25" s="13">
        <f t="shared" si="0"/>
        <v>14920934</v>
      </c>
      <c r="H25" s="26">
        <v>37</v>
      </c>
      <c r="I25" s="13">
        <v>776500</v>
      </c>
      <c r="J25" s="12">
        <v>54.5</v>
      </c>
      <c r="K25" s="13">
        <v>476000</v>
      </c>
      <c r="L25" s="13">
        <v>38000</v>
      </c>
      <c r="M25" s="13">
        <v>827500</v>
      </c>
      <c r="N25" s="13">
        <v>283500</v>
      </c>
      <c r="O25" s="13"/>
    </row>
    <row r="26" spans="1:16" x14ac:dyDescent="0.25">
      <c r="A26" s="25">
        <v>45529</v>
      </c>
      <c r="B26" s="46">
        <v>1475.73</v>
      </c>
      <c r="C26" s="46">
        <v>2653.5</v>
      </c>
      <c r="D26" s="47">
        <v>5290</v>
      </c>
      <c r="E26" s="47">
        <v>4970</v>
      </c>
      <c r="F26" s="13">
        <f t="shared" si="0"/>
        <v>7806611.7000000002</v>
      </c>
      <c r="G26" s="13">
        <f t="shared" si="0"/>
        <v>13187895</v>
      </c>
      <c r="H26" s="26">
        <v>70.5</v>
      </c>
      <c r="I26" s="13">
        <v>1471500</v>
      </c>
      <c r="J26" s="12">
        <v>51.5</v>
      </c>
      <c r="K26" s="13">
        <v>451000</v>
      </c>
      <c r="L26" s="13">
        <v>62000</v>
      </c>
      <c r="M26" s="13">
        <v>1133000</v>
      </c>
      <c r="N26" s="13">
        <v>184000</v>
      </c>
      <c r="O26" s="13"/>
      <c r="P26">
        <v>1</v>
      </c>
    </row>
    <row r="27" spans="1:16" x14ac:dyDescent="0.25">
      <c r="A27" s="25">
        <v>45530</v>
      </c>
      <c r="B27" s="46">
        <v>2066.65</v>
      </c>
      <c r="C27" s="46">
        <v>4668.8100000000004</v>
      </c>
      <c r="D27" s="47">
        <v>5290</v>
      </c>
      <c r="E27" s="47">
        <v>4970</v>
      </c>
      <c r="F27" s="13">
        <f t="shared" si="0"/>
        <v>10932578.5</v>
      </c>
      <c r="G27" s="13">
        <f t="shared" si="0"/>
        <v>23203985.700000003</v>
      </c>
      <c r="H27" s="26">
        <v>67.75</v>
      </c>
      <c r="I27" s="13">
        <v>1415000</v>
      </c>
      <c r="J27" s="12">
        <v>149</v>
      </c>
      <c r="K27" s="13">
        <v>806000</v>
      </c>
      <c r="L27" s="13">
        <v>101000</v>
      </c>
      <c r="M27" s="13">
        <v>808000</v>
      </c>
      <c r="N27" s="13">
        <v>876000</v>
      </c>
      <c r="O27" s="13"/>
    </row>
    <row r="28" spans="1:16" x14ac:dyDescent="0.25">
      <c r="A28" s="25">
        <v>45531</v>
      </c>
      <c r="B28" s="46">
        <v>2377.96</v>
      </c>
      <c r="C28" s="46">
        <v>5891.89</v>
      </c>
      <c r="D28" s="47">
        <v>4970</v>
      </c>
      <c r="E28" s="47">
        <v>4970</v>
      </c>
      <c r="F28" s="13">
        <f t="shared" si="0"/>
        <v>11818461.199999999</v>
      </c>
      <c r="G28" s="13">
        <f t="shared" si="0"/>
        <v>29282693.300000001</v>
      </c>
      <c r="H28" s="26">
        <v>28.25</v>
      </c>
      <c r="I28" s="13">
        <v>593500</v>
      </c>
      <c r="J28" s="12">
        <v>110.5</v>
      </c>
      <c r="K28" s="13">
        <v>949000</v>
      </c>
      <c r="L28" s="13">
        <v>30000</v>
      </c>
      <c r="M28" s="13">
        <v>675200</v>
      </c>
      <c r="N28" s="13">
        <v>690000</v>
      </c>
      <c r="O28" s="13"/>
    </row>
    <row r="29" spans="1:16" x14ac:dyDescent="0.25">
      <c r="A29" s="25">
        <v>45532</v>
      </c>
      <c r="B29" s="46">
        <v>2595.79</v>
      </c>
      <c r="C29" s="46">
        <v>2616.21</v>
      </c>
      <c r="D29" s="47">
        <v>5390</v>
      </c>
      <c r="E29" s="47">
        <v>4970</v>
      </c>
      <c r="F29" s="13">
        <f t="shared" si="0"/>
        <v>13991308.1</v>
      </c>
      <c r="G29" s="13">
        <f t="shared" si="0"/>
        <v>13002563.699999999</v>
      </c>
      <c r="H29" s="26">
        <v>74.5</v>
      </c>
      <c r="I29" s="13">
        <v>1449500</v>
      </c>
      <c r="J29" s="12">
        <v>89</v>
      </c>
      <c r="K29" s="13">
        <v>766000</v>
      </c>
      <c r="L29" s="13">
        <v>55000</v>
      </c>
      <c r="M29" s="13">
        <v>748900</v>
      </c>
      <c r="N29" s="13">
        <v>121000</v>
      </c>
      <c r="O29" s="13"/>
    </row>
    <row r="30" spans="1:16" x14ac:dyDescent="0.25">
      <c r="A30" s="25">
        <v>45533</v>
      </c>
      <c r="B30" s="46">
        <v>2031.32</v>
      </c>
      <c r="C30" s="46">
        <v>4702.78</v>
      </c>
      <c r="D30" s="47">
        <v>5390</v>
      </c>
      <c r="E30" s="47">
        <v>4970</v>
      </c>
      <c r="F30" s="13">
        <f t="shared" si="0"/>
        <v>10948814.799999999</v>
      </c>
      <c r="G30" s="13">
        <f t="shared" si="0"/>
        <v>23372816.599999998</v>
      </c>
      <c r="H30" s="26">
        <v>52.75</v>
      </c>
      <c r="I30" s="13">
        <v>1069000</v>
      </c>
      <c r="J30" s="12">
        <v>74</v>
      </c>
      <c r="K30" s="13">
        <v>634000</v>
      </c>
      <c r="L30" s="13">
        <v>23000</v>
      </c>
      <c r="M30" s="13">
        <v>1136500</v>
      </c>
      <c r="N30" s="13">
        <v>462000</v>
      </c>
      <c r="O30" s="13"/>
    </row>
    <row r="31" spans="1:16" x14ac:dyDescent="0.25">
      <c r="A31" s="25">
        <v>45565</v>
      </c>
      <c r="B31" s="46">
        <v>2319.7399999999998</v>
      </c>
      <c r="C31" s="46">
        <v>4099.78</v>
      </c>
      <c r="D31" s="47">
        <v>5390</v>
      </c>
      <c r="E31" s="47">
        <v>4970</v>
      </c>
      <c r="F31" s="13">
        <f t="shared" si="0"/>
        <v>12503398.6</v>
      </c>
      <c r="G31" s="13">
        <f t="shared" si="0"/>
        <v>20375906.599999998</v>
      </c>
      <c r="H31" s="26">
        <v>56.25</v>
      </c>
      <c r="I31" s="13">
        <v>1318500</v>
      </c>
      <c r="J31" s="12">
        <v>68.5</v>
      </c>
      <c r="K31" s="13">
        <v>494000</v>
      </c>
      <c r="L31" s="13">
        <v>118000</v>
      </c>
      <c r="M31" s="13">
        <v>625000</v>
      </c>
      <c r="N31" s="13">
        <v>184000</v>
      </c>
      <c r="O31" s="13"/>
    </row>
    <row r="32" spans="1:16" x14ac:dyDescent="0.25">
      <c r="A32" s="25">
        <v>45535</v>
      </c>
      <c r="B32" s="46">
        <v>2370</v>
      </c>
      <c r="C32" s="46">
        <v>3256.3</v>
      </c>
      <c r="D32" s="47">
        <v>5390</v>
      </c>
      <c r="E32" s="47">
        <v>4970</v>
      </c>
      <c r="F32" s="13">
        <f t="shared" ref="F32:G32" si="1">B32*D32</f>
        <v>12774300</v>
      </c>
      <c r="G32" s="13">
        <f t="shared" si="1"/>
        <v>16183811</v>
      </c>
      <c r="H32" s="26">
        <v>42</v>
      </c>
      <c r="I32" s="13">
        <v>890500</v>
      </c>
      <c r="J32" s="12">
        <v>104.5</v>
      </c>
      <c r="K32" s="13">
        <v>896000</v>
      </c>
      <c r="L32" s="13">
        <v>8000</v>
      </c>
      <c r="M32" s="13">
        <v>1402000</v>
      </c>
      <c r="N32" s="13">
        <v>445000</v>
      </c>
      <c r="O32" s="13"/>
    </row>
    <row r="33" spans="1:15" x14ac:dyDescent="0.25">
      <c r="A33" s="15"/>
      <c r="B33" s="37">
        <f>SUM(B1:B32)</f>
        <v>60424.1</v>
      </c>
      <c r="C33" s="37">
        <f>SUM(C1:C32)</f>
        <v>116231.64000000001</v>
      </c>
      <c r="D33" s="38"/>
      <c r="E33" s="38"/>
      <c r="F33" s="39">
        <f>SUM(F1:F32)</f>
        <v>324924578.00000006</v>
      </c>
      <c r="G33" s="39">
        <f>SUM(G1:G32)</f>
        <v>573770048.58999991</v>
      </c>
      <c r="H33" s="39">
        <f t="shared" ref="H33:I33" si="2">SUM(H1:H32)</f>
        <v>1599</v>
      </c>
      <c r="I33" s="39">
        <f t="shared" si="2"/>
        <v>33334000</v>
      </c>
      <c r="J33" s="39">
        <f>SUM(J1:J32)</f>
        <v>2390.1999999999998</v>
      </c>
      <c r="K33" s="39">
        <f>SUM(K1:K32)</f>
        <v>20242000</v>
      </c>
      <c r="L33" s="39">
        <f>SUM(L1:L32)</f>
        <v>2977000</v>
      </c>
      <c r="M33" s="38">
        <f>SUM(M1:M32)</f>
        <v>22908100</v>
      </c>
      <c r="N33" s="38">
        <f>SUM(N2:N32)</f>
        <v>10110000</v>
      </c>
      <c r="O33" s="38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33"/>
  <sheetViews>
    <sheetView topLeftCell="A10" zoomScale="80" zoomScaleNormal="80" workbookViewId="0">
      <selection activeCell="H29" sqref="H29"/>
    </sheetView>
  </sheetViews>
  <sheetFormatPr defaultRowHeight="15" x14ac:dyDescent="0.25"/>
  <cols>
    <col min="1" max="1" width="10.140625" bestFit="1" customWidth="1"/>
    <col min="2" max="2" width="12" bestFit="1" customWidth="1"/>
    <col min="3" max="3" width="13" bestFit="1" customWidth="1"/>
    <col min="4" max="4" width="7.42578125" customWidth="1"/>
    <col min="5" max="5" width="7.140625" bestFit="1" customWidth="1"/>
    <col min="6" max="7" width="15.85546875" bestFit="1" customWidth="1"/>
    <col min="8" max="8" width="9.85546875" bestFit="1" customWidth="1"/>
    <col min="9" max="9" width="14.85546875" bestFit="1" customWidth="1"/>
    <col min="10" max="10" width="9.85546875" bestFit="1" customWidth="1"/>
    <col min="11" max="11" width="14.85546875" bestFit="1" customWidth="1"/>
    <col min="12" max="12" width="13.5703125" bestFit="1" customWidth="1"/>
    <col min="13" max="14" width="12" bestFit="1" customWidth="1"/>
  </cols>
  <sheetData>
    <row r="1" spans="1:15" x14ac:dyDescent="0.25">
      <c r="A1" s="16"/>
      <c r="B1" s="17" t="s">
        <v>1</v>
      </c>
      <c r="C1" s="17" t="s">
        <v>2</v>
      </c>
      <c r="D1" s="18" t="s">
        <v>1</v>
      </c>
      <c r="E1" s="18" t="s">
        <v>2</v>
      </c>
      <c r="F1" s="19" t="s">
        <v>1</v>
      </c>
      <c r="G1" s="19" t="s">
        <v>2</v>
      </c>
      <c r="H1" s="19" t="s">
        <v>9</v>
      </c>
      <c r="I1" s="18" t="s">
        <v>10</v>
      </c>
      <c r="J1" s="16" t="s">
        <v>11</v>
      </c>
      <c r="K1" s="18" t="s">
        <v>10</v>
      </c>
      <c r="L1" s="18" t="s">
        <v>4</v>
      </c>
      <c r="M1" s="18" t="s">
        <v>67</v>
      </c>
      <c r="N1" s="18" t="s">
        <v>52</v>
      </c>
      <c r="O1" s="18" t="s">
        <v>40</v>
      </c>
    </row>
    <row r="2" spans="1:15" x14ac:dyDescent="0.25">
      <c r="A2" s="25">
        <v>45536</v>
      </c>
      <c r="B2" s="46">
        <v>1374.02</v>
      </c>
      <c r="C2" s="46">
        <v>2504.38</v>
      </c>
      <c r="D2" s="47">
        <v>5390</v>
      </c>
      <c r="E2" s="47">
        <v>4970</v>
      </c>
      <c r="F2" s="13">
        <f t="shared" ref="F2:G31" si="0">B2*D2</f>
        <v>7405967.7999999998</v>
      </c>
      <c r="G2" s="13">
        <f t="shared" si="0"/>
        <v>12446768.6</v>
      </c>
      <c r="H2" s="31">
        <v>112.25</v>
      </c>
      <c r="I2" s="13">
        <v>2362000</v>
      </c>
      <c r="J2" s="27">
        <v>70.5</v>
      </c>
      <c r="K2" s="13">
        <v>611000</v>
      </c>
      <c r="L2" s="13">
        <v>38000</v>
      </c>
      <c r="M2" s="13">
        <v>750000</v>
      </c>
      <c r="N2" s="13">
        <v>92000</v>
      </c>
      <c r="O2" s="13"/>
    </row>
    <row r="3" spans="1:15" x14ac:dyDescent="0.25">
      <c r="A3" s="25">
        <v>45537</v>
      </c>
      <c r="B3" s="46">
        <v>1662.2</v>
      </c>
      <c r="C3" s="46">
        <v>3524.73</v>
      </c>
      <c r="D3" s="47">
        <v>5390</v>
      </c>
      <c r="E3" s="47">
        <v>4970</v>
      </c>
      <c r="F3" s="13">
        <f t="shared" si="0"/>
        <v>8959258</v>
      </c>
      <c r="G3" s="13">
        <f t="shared" si="0"/>
        <v>17517908.100000001</v>
      </c>
      <c r="H3" s="26">
        <v>79.25</v>
      </c>
      <c r="I3" s="13">
        <v>1599500</v>
      </c>
      <c r="J3" s="27">
        <v>43.5</v>
      </c>
      <c r="K3" s="13">
        <v>371000</v>
      </c>
      <c r="L3" s="13">
        <v>77000</v>
      </c>
      <c r="M3" s="13">
        <v>737200</v>
      </c>
      <c r="N3" s="13">
        <v>0</v>
      </c>
      <c r="O3" s="13"/>
    </row>
    <row r="4" spans="1:15" x14ac:dyDescent="0.25">
      <c r="A4" s="25">
        <v>45538</v>
      </c>
      <c r="B4" s="46">
        <v>2115.17</v>
      </c>
      <c r="C4" s="46">
        <v>4700.53</v>
      </c>
      <c r="D4" s="47">
        <v>5390</v>
      </c>
      <c r="E4" s="47">
        <v>4970</v>
      </c>
      <c r="F4" s="13">
        <f t="shared" si="0"/>
        <v>11400766.300000001</v>
      </c>
      <c r="G4" s="13">
        <f t="shared" si="0"/>
        <v>23361634.099999998</v>
      </c>
      <c r="H4" s="26">
        <v>113.75</v>
      </c>
      <c r="I4" s="13">
        <v>2463000</v>
      </c>
      <c r="J4" s="27">
        <v>78</v>
      </c>
      <c r="K4" s="13">
        <v>658000</v>
      </c>
      <c r="L4" s="13">
        <v>202000</v>
      </c>
      <c r="M4" s="13">
        <v>345000</v>
      </c>
      <c r="N4" s="13">
        <v>0</v>
      </c>
      <c r="O4" s="13"/>
    </row>
    <row r="5" spans="1:15" x14ac:dyDescent="0.25">
      <c r="A5" s="25">
        <v>45539</v>
      </c>
      <c r="B5" s="46">
        <v>1825.67</v>
      </c>
      <c r="C5" s="46">
        <v>3477.18</v>
      </c>
      <c r="D5" s="47">
        <v>5390</v>
      </c>
      <c r="E5" s="47">
        <v>4970</v>
      </c>
      <c r="F5" s="13">
        <f t="shared" si="0"/>
        <v>9840361.3000000007</v>
      </c>
      <c r="G5" s="13">
        <f t="shared" si="0"/>
        <v>17281584.599999998</v>
      </c>
      <c r="H5" s="26">
        <v>31.5</v>
      </c>
      <c r="I5" s="13">
        <v>698500</v>
      </c>
      <c r="J5" s="27">
        <v>6</v>
      </c>
      <c r="K5" s="13">
        <v>53000</v>
      </c>
      <c r="L5" s="13">
        <v>38000</v>
      </c>
      <c r="M5" s="13">
        <v>488200</v>
      </c>
      <c r="N5" s="13">
        <v>0</v>
      </c>
      <c r="O5" s="13"/>
    </row>
    <row r="6" spans="1:15" x14ac:dyDescent="0.25">
      <c r="A6" s="25">
        <v>45540</v>
      </c>
      <c r="B6" s="46">
        <v>1798.51</v>
      </c>
      <c r="C6" s="46">
        <v>3870.3</v>
      </c>
      <c r="D6" s="47">
        <v>5390</v>
      </c>
      <c r="E6" s="47">
        <v>4970</v>
      </c>
      <c r="F6" s="13">
        <f t="shared" si="0"/>
        <v>9693968.9000000004</v>
      </c>
      <c r="G6" s="13">
        <f t="shared" si="0"/>
        <v>19235391</v>
      </c>
      <c r="H6" s="26">
        <v>30.25</v>
      </c>
      <c r="I6" s="13">
        <v>664500</v>
      </c>
      <c r="J6" s="27">
        <v>30.5</v>
      </c>
      <c r="K6" s="13">
        <v>264000</v>
      </c>
      <c r="L6" s="13">
        <v>38000</v>
      </c>
      <c r="M6" s="13">
        <v>773500</v>
      </c>
      <c r="N6" s="13">
        <v>184000</v>
      </c>
      <c r="O6" s="13"/>
    </row>
    <row r="7" spans="1:15" x14ac:dyDescent="0.25">
      <c r="A7" s="25">
        <v>45541</v>
      </c>
      <c r="B7" s="46">
        <v>2027.17</v>
      </c>
      <c r="C7" s="46">
        <v>3424.67</v>
      </c>
      <c r="D7" s="47">
        <v>5390</v>
      </c>
      <c r="E7" s="47">
        <v>4970</v>
      </c>
      <c r="F7" s="13">
        <f t="shared" si="0"/>
        <v>10926446.300000001</v>
      </c>
      <c r="G7" s="13">
        <f t="shared" si="0"/>
        <v>17020609.899999999</v>
      </c>
      <c r="H7" s="26">
        <v>96.5</v>
      </c>
      <c r="I7" s="13">
        <v>1997500</v>
      </c>
      <c r="J7" s="27">
        <v>45.5</v>
      </c>
      <c r="K7" s="13">
        <v>398000</v>
      </c>
      <c r="L7" s="13">
        <v>112000</v>
      </c>
      <c r="M7" s="13">
        <v>736100</v>
      </c>
      <c r="N7" s="13">
        <v>92000</v>
      </c>
      <c r="O7" s="13"/>
    </row>
    <row r="8" spans="1:15" x14ac:dyDescent="0.25">
      <c r="A8" s="25">
        <v>45542</v>
      </c>
      <c r="B8" s="46">
        <v>2391.34</v>
      </c>
      <c r="C8" s="46">
        <v>1742.27</v>
      </c>
      <c r="D8" s="47">
        <v>5390</v>
      </c>
      <c r="E8" s="47">
        <v>4970</v>
      </c>
      <c r="F8" s="13">
        <f t="shared" si="0"/>
        <v>12889322.600000001</v>
      </c>
      <c r="G8" s="13">
        <f t="shared" si="0"/>
        <v>8659081.9000000004</v>
      </c>
      <c r="H8" s="26">
        <v>50.5</v>
      </c>
      <c r="I8" s="13">
        <v>1039500</v>
      </c>
      <c r="J8" s="27">
        <v>48.5</v>
      </c>
      <c r="K8" s="13">
        <v>423000</v>
      </c>
      <c r="L8" s="13">
        <v>86000</v>
      </c>
      <c r="M8" s="13">
        <v>1003500</v>
      </c>
      <c r="N8" s="13">
        <v>184000</v>
      </c>
      <c r="O8" s="13"/>
    </row>
    <row r="9" spans="1:15" x14ac:dyDescent="0.25">
      <c r="A9" s="25">
        <v>45543</v>
      </c>
      <c r="B9" s="46">
        <v>1442.36</v>
      </c>
      <c r="C9" s="46">
        <v>2725.26</v>
      </c>
      <c r="D9" s="47">
        <v>5390</v>
      </c>
      <c r="E9" s="47">
        <v>4970</v>
      </c>
      <c r="F9" s="13">
        <f t="shared" si="0"/>
        <v>7774320.3999999994</v>
      </c>
      <c r="G9" s="13">
        <f t="shared" si="0"/>
        <v>13544542.200000001</v>
      </c>
      <c r="H9" s="26">
        <v>53.25</v>
      </c>
      <c r="I9" s="13">
        <v>1220000</v>
      </c>
      <c r="J9" s="27">
        <v>64.5</v>
      </c>
      <c r="K9" s="13">
        <v>555000</v>
      </c>
      <c r="L9" s="13">
        <v>134000</v>
      </c>
      <c r="M9" s="13">
        <v>639500</v>
      </c>
      <c r="N9" s="13">
        <v>0</v>
      </c>
      <c r="O9" s="13"/>
    </row>
    <row r="10" spans="1:15" x14ac:dyDescent="0.25">
      <c r="A10" s="25">
        <v>45544</v>
      </c>
      <c r="B10" s="46">
        <v>1689.17</v>
      </c>
      <c r="C10" s="46">
        <v>3369.51</v>
      </c>
      <c r="D10" s="47">
        <v>5390</v>
      </c>
      <c r="E10" s="47">
        <v>4970</v>
      </c>
      <c r="F10" s="13">
        <f t="shared" si="0"/>
        <v>9104626.3000000007</v>
      </c>
      <c r="G10" s="13">
        <f t="shared" si="0"/>
        <v>16746464.700000001</v>
      </c>
      <c r="H10" s="26">
        <v>62.75</v>
      </c>
      <c r="I10" s="13">
        <v>1394500</v>
      </c>
      <c r="J10" s="27">
        <v>45</v>
      </c>
      <c r="K10" s="13">
        <v>402000</v>
      </c>
      <c r="L10" s="13">
        <v>85000</v>
      </c>
      <c r="M10" s="13">
        <v>646000</v>
      </c>
      <c r="N10" s="13">
        <v>17000</v>
      </c>
      <c r="O10" s="13"/>
    </row>
    <row r="11" spans="1:15" x14ac:dyDescent="0.25">
      <c r="A11" s="25">
        <v>45545</v>
      </c>
      <c r="B11" s="46">
        <v>1740.34</v>
      </c>
      <c r="C11" s="46">
        <v>2859.6</v>
      </c>
      <c r="D11" s="47">
        <v>5390</v>
      </c>
      <c r="E11" s="47">
        <v>4970</v>
      </c>
      <c r="F11" s="13">
        <f t="shared" si="0"/>
        <v>9380432.5999999996</v>
      </c>
      <c r="G11" s="13">
        <f t="shared" si="0"/>
        <v>14212212</v>
      </c>
      <c r="H11" s="26">
        <v>37</v>
      </c>
      <c r="I11" s="13">
        <v>845500</v>
      </c>
      <c r="J11" s="27">
        <v>82</v>
      </c>
      <c r="K11" s="13">
        <v>715000</v>
      </c>
      <c r="L11" s="13">
        <v>16000</v>
      </c>
      <c r="M11" s="13">
        <v>715600</v>
      </c>
      <c r="N11" s="13">
        <v>322000</v>
      </c>
      <c r="O11" s="13"/>
    </row>
    <row r="12" spans="1:15" x14ac:dyDescent="0.25">
      <c r="A12" s="25">
        <v>45546</v>
      </c>
      <c r="B12" s="46">
        <v>1667.49</v>
      </c>
      <c r="C12" s="46">
        <v>3676.35</v>
      </c>
      <c r="D12" s="47">
        <v>5390</v>
      </c>
      <c r="E12" s="47">
        <v>4970</v>
      </c>
      <c r="F12" s="13">
        <f t="shared" si="0"/>
        <v>8987771.0999999996</v>
      </c>
      <c r="G12" s="13">
        <f t="shared" si="0"/>
        <v>18271459.5</v>
      </c>
      <c r="H12" s="26">
        <v>74.5</v>
      </c>
      <c r="I12" s="51">
        <v>1689500</v>
      </c>
      <c r="J12" s="27">
        <v>97</v>
      </c>
      <c r="K12" s="13">
        <v>849000</v>
      </c>
      <c r="L12" s="13">
        <v>66000</v>
      </c>
      <c r="M12" s="13">
        <v>712500</v>
      </c>
      <c r="N12" s="13">
        <v>0</v>
      </c>
      <c r="O12" s="13"/>
    </row>
    <row r="13" spans="1:15" x14ac:dyDescent="0.25">
      <c r="A13" s="25">
        <v>45547</v>
      </c>
      <c r="B13" s="46">
        <v>1661.5</v>
      </c>
      <c r="C13" s="46">
        <v>3537.03</v>
      </c>
      <c r="D13" s="47">
        <v>5390</v>
      </c>
      <c r="E13" s="47">
        <v>4970</v>
      </c>
      <c r="F13" s="13">
        <f t="shared" si="0"/>
        <v>8955485</v>
      </c>
      <c r="G13" s="13">
        <f t="shared" si="0"/>
        <v>17579039.100000001</v>
      </c>
      <c r="H13" s="26">
        <v>33</v>
      </c>
      <c r="I13" s="13">
        <v>704000</v>
      </c>
      <c r="J13" s="27">
        <v>96</v>
      </c>
      <c r="K13" s="13">
        <v>851000</v>
      </c>
      <c r="L13" s="13">
        <v>76000</v>
      </c>
      <c r="M13" s="13">
        <v>460500</v>
      </c>
      <c r="N13" s="13">
        <v>317000</v>
      </c>
      <c r="O13" s="13"/>
    </row>
    <row r="14" spans="1:15" x14ac:dyDescent="0.25">
      <c r="A14" s="25">
        <v>45548</v>
      </c>
      <c r="B14" s="46">
        <v>2000.21</v>
      </c>
      <c r="C14" s="46">
        <v>3128.44</v>
      </c>
      <c r="D14" s="47">
        <v>5390</v>
      </c>
      <c r="E14" s="47">
        <v>4970</v>
      </c>
      <c r="F14" s="13">
        <f t="shared" si="0"/>
        <v>10781131.9</v>
      </c>
      <c r="G14" s="13">
        <f t="shared" si="0"/>
        <v>15548346.800000001</v>
      </c>
      <c r="H14" s="26">
        <v>94</v>
      </c>
      <c r="I14" s="13">
        <v>2184500</v>
      </c>
      <c r="J14" s="27">
        <v>75.5</v>
      </c>
      <c r="K14" s="13">
        <v>666000</v>
      </c>
      <c r="L14" s="13">
        <v>23000</v>
      </c>
      <c r="M14" s="13">
        <v>674000</v>
      </c>
      <c r="N14" s="13">
        <v>280500</v>
      </c>
      <c r="O14" s="13"/>
    </row>
    <row r="15" spans="1:15" x14ac:dyDescent="0.25">
      <c r="A15" s="25">
        <v>45549</v>
      </c>
      <c r="B15" s="46">
        <v>2384.4299999999998</v>
      </c>
      <c r="C15" s="46">
        <v>2176.61</v>
      </c>
      <c r="D15" s="47">
        <v>5390</v>
      </c>
      <c r="E15" s="47">
        <v>4970</v>
      </c>
      <c r="F15" s="13">
        <f t="shared" si="0"/>
        <v>12852077.699999999</v>
      </c>
      <c r="G15" s="13">
        <f t="shared" si="0"/>
        <v>10817751.700000001</v>
      </c>
      <c r="H15" s="13">
        <v>59.25</v>
      </c>
      <c r="I15" s="13">
        <v>1267000</v>
      </c>
      <c r="J15" s="27">
        <v>42</v>
      </c>
      <c r="K15" s="13">
        <v>374000</v>
      </c>
      <c r="L15" s="13">
        <v>8000</v>
      </c>
      <c r="M15" s="13">
        <v>957000</v>
      </c>
      <c r="N15" s="13">
        <v>0</v>
      </c>
      <c r="O15" s="13"/>
    </row>
    <row r="16" spans="1:15" x14ac:dyDescent="0.25">
      <c r="A16" s="25">
        <v>45550</v>
      </c>
      <c r="B16" s="46">
        <v>2057.09</v>
      </c>
      <c r="C16" s="46">
        <v>2182.87</v>
      </c>
      <c r="D16" s="47">
        <v>5390</v>
      </c>
      <c r="E16" s="47">
        <v>4970</v>
      </c>
      <c r="F16" s="13">
        <f t="shared" si="0"/>
        <v>11087715.100000001</v>
      </c>
      <c r="G16" s="13">
        <f t="shared" si="0"/>
        <v>10848863.9</v>
      </c>
      <c r="H16" s="26">
        <v>24</v>
      </c>
      <c r="I16" s="13">
        <v>504000</v>
      </c>
      <c r="J16" s="27">
        <v>39</v>
      </c>
      <c r="K16" s="13">
        <v>349000</v>
      </c>
      <c r="L16" s="13">
        <v>8000</v>
      </c>
      <c r="M16" s="13">
        <v>724000</v>
      </c>
      <c r="N16" s="13">
        <v>29000</v>
      </c>
      <c r="O16" s="13"/>
    </row>
    <row r="17" spans="1:16" x14ac:dyDescent="0.25">
      <c r="A17" s="25">
        <v>45551</v>
      </c>
      <c r="B17" s="46">
        <v>2211.4499999999998</v>
      </c>
      <c r="C17" s="46">
        <v>2687.7</v>
      </c>
      <c r="D17" s="47">
        <v>5260</v>
      </c>
      <c r="E17" s="47">
        <v>4970</v>
      </c>
      <c r="F17" s="13">
        <f>B17*D17</f>
        <v>11632226.999999998</v>
      </c>
      <c r="G17" s="13">
        <f t="shared" si="0"/>
        <v>13357869</v>
      </c>
      <c r="H17" s="26">
        <v>64.5</v>
      </c>
      <c r="I17" s="13">
        <v>1464500</v>
      </c>
      <c r="J17" s="27">
        <v>12.5</v>
      </c>
      <c r="K17" s="13">
        <v>105000</v>
      </c>
      <c r="L17" s="13">
        <v>8000</v>
      </c>
      <c r="M17" s="13">
        <v>700400</v>
      </c>
      <c r="N17" s="13">
        <v>0</v>
      </c>
      <c r="O17" s="13"/>
    </row>
    <row r="18" spans="1:16" x14ac:dyDescent="0.25">
      <c r="A18" s="25">
        <v>45552</v>
      </c>
      <c r="B18" s="46">
        <v>2391.0500000000002</v>
      </c>
      <c r="C18" s="46">
        <v>2532.61</v>
      </c>
      <c r="D18" s="47">
        <v>5260</v>
      </c>
      <c r="E18" s="47">
        <v>4970</v>
      </c>
      <c r="F18" s="13">
        <f t="shared" si="0"/>
        <v>12576923.000000002</v>
      </c>
      <c r="G18" s="13">
        <f t="shared" si="0"/>
        <v>12587071.700000001</v>
      </c>
      <c r="H18" s="26">
        <v>74.5</v>
      </c>
      <c r="I18" s="13">
        <v>1680500</v>
      </c>
      <c r="J18" s="12">
        <v>0</v>
      </c>
      <c r="K18" s="13">
        <v>0</v>
      </c>
      <c r="L18" s="13">
        <v>30000</v>
      </c>
      <c r="M18" s="13">
        <v>843000</v>
      </c>
      <c r="N18" s="13">
        <v>0</v>
      </c>
      <c r="O18" s="13"/>
    </row>
    <row r="19" spans="1:16" x14ac:dyDescent="0.25">
      <c r="A19" s="25">
        <v>45553</v>
      </c>
      <c r="B19" s="46">
        <v>1751</v>
      </c>
      <c r="C19" s="46">
        <v>3554.66</v>
      </c>
      <c r="D19" s="47">
        <v>5260</v>
      </c>
      <c r="E19" s="47">
        <v>4970</v>
      </c>
      <c r="F19" s="13">
        <f t="shared" si="0"/>
        <v>9210260</v>
      </c>
      <c r="G19" s="13">
        <f t="shared" si="0"/>
        <v>17666660.199999999</v>
      </c>
      <c r="H19" s="26">
        <v>33.75</v>
      </c>
      <c r="I19" s="13">
        <v>761500</v>
      </c>
      <c r="J19" s="12">
        <v>57</v>
      </c>
      <c r="K19" s="13">
        <v>505000</v>
      </c>
      <c r="L19" s="13">
        <v>201000</v>
      </c>
      <c r="M19" s="13">
        <v>427400</v>
      </c>
      <c r="N19" s="13">
        <v>15000</v>
      </c>
      <c r="O19" s="13"/>
    </row>
    <row r="20" spans="1:16" x14ac:dyDescent="0.25">
      <c r="A20" s="25">
        <v>45554</v>
      </c>
      <c r="B20" s="46">
        <v>1944.17</v>
      </c>
      <c r="C20" s="46">
        <v>2422.06</v>
      </c>
      <c r="D20" s="47">
        <v>5260</v>
      </c>
      <c r="E20" s="47">
        <v>4970</v>
      </c>
      <c r="F20" s="13">
        <f t="shared" si="0"/>
        <v>10226334.200000001</v>
      </c>
      <c r="G20" s="13">
        <f t="shared" si="0"/>
        <v>12037638.199999999</v>
      </c>
      <c r="H20" s="26">
        <v>63.75</v>
      </c>
      <c r="I20" s="13">
        <v>1388000</v>
      </c>
      <c r="J20" s="12">
        <v>128</v>
      </c>
      <c r="K20" s="13">
        <v>1109000</v>
      </c>
      <c r="L20" s="13">
        <v>91000</v>
      </c>
      <c r="M20" s="13">
        <v>650000</v>
      </c>
      <c r="N20" s="13">
        <v>264500</v>
      </c>
      <c r="O20" s="13"/>
    </row>
    <row r="21" spans="1:16" x14ac:dyDescent="0.25">
      <c r="A21" s="25">
        <v>45555</v>
      </c>
      <c r="B21" s="46">
        <v>2330.2199999999998</v>
      </c>
      <c r="C21" s="46">
        <v>2052.6</v>
      </c>
      <c r="D21" s="47">
        <v>5260</v>
      </c>
      <c r="E21" s="47">
        <v>4970</v>
      </c>
      <c r="F21" s="13">
        <f t="shared" si="0"/>
        <v>12256957.199999999</v>
      </c>
      <c r="G21" s="13">
        <f t="shared" si="0"/>
        <v>10201422</v>
      </c>
      <c r="H21" s="26">
        <v>48.75</v>
      </c>
      <c r="I21" s="13">
        <v>1097000</v>
      </c>
      <c r="J21" s="12">
        <v>61</v>
      </c>
      <c r="K21" s="13">
        <v>528000</v>
      </c>
      <c r="L21" s="13">
        <v>118000</v>
      </c>
      <c r="M21" s="13">
        <v>568000</v>
      </c>
      <c r="N21" s="13">
        <v>321500</v>
      </c>
      <c r="O21" s="13"/>
    </row>
    <row r="22" spans="1:16" x14ac:dyDescent="0.25">
      <c r="A22" s="25">
        <v>45556</v>
      </c>
      <c r="B22" s="46">
        <v>1885.04</v>
      </c>
      <c r="C22" s="46">
        <v>2484.34</v>
      </c>
      <c r="D22" s="47">
        <v>5260</v>
      </c>
      <c r="E22" s="47">
        <v>4970</v>
      </c>
      <c r="F22" s="13">
        <f t="shared" si="0"/>
        <v>9915310.4000000004</v>
      </c>
      <c r="G22" s="13">
        <f t="shared" si="0"/>
        <v>12347169.800000001</v>
      </c>
      <c r="H22" s="26">
        <v>31.25</v>
      </c>
      <c r="I22" s="13">
        <v>642500</v>
      </c>
      <c r="J22" s="12">
        <v>45.5</v>
      </c>
      <c r="K22" s="13">
        <v>398000</v>
      </c>
      <c r="L22" s="13">
        <v>45000</v>
      </c>
      <c r="M22" s="13">
        <v>832000</v>
      </c>
      <c r="N22" s="13">
        <v>320000</v>
      </c>
      <c r="O22" s="13"/>
    </row>
    <row r="23" spans="1:16" x14ac:dyDescent="0.25">
      <c r="A23" s="25">
        <v>45557</v>
      </c>
      <c r="B23" s="46">
        <v>1873.67</v>
      </c>
      <c r="C23" s="46">
        <v>1278.07</v>
      </c>
      <c r="D23" s="47">
        <v>5260</v>
      </c>
      <c r="E23" s="47">
        <v>4970</v>
      </c>
      <c r="F23" s="13">
        <f t="shared" si="0"/>
        <v>9855504.2000000011</v>
      </c>
      <c r="G23" s="13">
        <f t="shared" si="0"/>
        <v>6352007.8999999994</v>
      </c>
      <c r="H23" s="26">
        <v>32.75</v>
      </c>
      <c r="I23" s="13">
        <v>735500</v>
      </c>
      <c r="J23" s="12">
        <v>46</v>
      </c>
      <c r="K23" s="13">
        <v>397000</v>
      </c>
      <c r="L23" s="13">
        <v>30000</v>
      </c>
      <c r="M23" s="13">
        <v>564000</v>
      </c>
      <c r="N23" s="13">
        <v>172500</v>
      </c>
      <c r="O23" s="13"/>
    </row>
    <row r="24" spans="1:16" x14ac:dyDescent="0.25">
      <c r="A24" s="25">
        <v>45558</v>
      </c>
      <c r="B24" s="46">
        <v>2254.66</v>
      </c>
      <c r="C24" s="46">
        <v>2127.71</v>
      </c>
      <c r="D24" s="47">
        <v>5260</v>
      </c>
      <c r="E24" s="47">
        <v>4970</v>
      </c>
      <c r="F24" s="13">
        <f t="shared" si="0"/>
        <v>11859511.6</v>
      </c>
      <c r="G24" s="13">
        <f t="shared" si="0"/>
        <v>10574718.699999999</v>
      </c>
      <c r="H24" s="26">
        <v>49.25</v>
      </c>
      <c r="I24" s="13">
        <v>1109500</v>
      </c>
      <c r="J24" s="12">
        <v>45.5</v>
      </c>
      <c r="K24" s="13">
        <v>398000</v>
      </c>
      <c r="L24" s="13">
        <v>85000</v>
      </c>
      <c r="M24" s="13">
        <v>593800</v>
      </c>
      <c r="N24" s="13">
        <v>0</v>
      </c>
      <c r="O24" s="13"/>
    </row>
    <row r="25" spans="1:16" x14ac:dyDescent="0.25">
      <c r="A25" s="25">
        <v>45559</v>
      </c>
      <c r="B25" s="46">
        <v>1669.14</v>
      </c>
      <c r="C25" s="46">
        <v>2049.15</v>
      </c>
      <c r="D25" s="47">
        <v>5260</v>
      </c>
      <c r="E25" s="47">
        <v>4970</v>
      </c>
      <c r="F25" s="13">
        <f t="shared" si="0"/>
        <v>8779676.4000000004</v>
      </c>
      <c r="G25" s="13">
        <f t="shared" si="0"/>
        <v>10184275.5</v>
      </c>
      <c r="H25" s="26">
        <v>44.75</v>
      </c>
      <c r="I25" s="13">
        <v>1059500</v>
      </c>
      <c r="J25" s="12">
        <v>36.5</v>
      </c>
      <c r="K25" s="13">
        <v>322000</v>
      </c>
      <c r="L25" s="13">
        <v>16000</v>
      </c>
      <c r="M25" s="13">
        <v>673500</v>
      </c>
      <c r="N25" s="13">
        <v>0</v>
      </c>
      <c r="O25" s="13"/>
    </row>
    <row r="26" spans="1:16" x14ac:dyDescent="0.25">
      <c r="A26" s="25">
        <v>45560</v>
      </c>
      <c r="B26" s="46">
        <v>1904.76</v>
      </c>
      <c r="C26" s="46">
        <v>2456.8200000000002</v>
      </c>
      <c r="D26" s="47">
        <v>5260</v>
      </c>
      <c r="E26" s="47">
        <v>4970</v>
      </c>
      <c r="F26" s="13">
        <f t="shared" si="0"/>
        <v>10019037.6</v>
      </c>
      <c r="G26" s="13">
        <f t="shared" si="0"/>
        <v>12210395.4</v>
      </c>
      <c r="H26" s="26">
        <v>22.5</v>
      </c>
      <c r="I26" s="13">
        <v>462500</v>
      </c>
      <c r="J26" s="12">
        <v>61</v>
      </c>
      <c r="K26" s="13">
        <v>526000</v>
      </c>
      <c r="L26" s="13">
        <v>0</v>
      </c>
      <c r="M26" s="13">
        <v>594000</v>
      </c>
      <c r="N26" s="13">
        <v>92000</v>
      </c>
      <c r="O26" s="13"/>
      <c r="P26">
        <v>1</v>
      </c>
    </row>
    <row r="27" spans="1:16" x14ac:dyDescent="0.25">
      <c r="A27" s="25">
        <v>45561</v>
      </c>
      <c r="B27" s="46">
        <v>1954.71</v>
      </c>
      <c r="C27" s="46">
        <v>6595.53</v>
      </c>
      <c r="D27" s="47">
        <v>5260</v>
      </c>
      <c r="E27" s="47">
        <v>4970</v>
      </c>
      <c r="F27" s="13">
        <f t="shared" si="0"/>
        <v>10281774.6</v>
      </c>
      <c r="G27" s="13">
        <f t="shared" si="0"/>
        <v>32779784.099999998</v>
      </c>
      <c r="H27" s="26">
        <v>81</v>
      </c>
      <c r="I27" s="13">
        <v>1779500</v>
      </c>
      <c r="J27" s="12">
        <v>33.5</v>
      </c>
      <c r="K27" s="13">
        <v>292000</v>
      </c>
      <c r="L27" s="13">
        <v>151000</v>
      </c>
      <c r="M27" s="13">
        <v>655000</v>
      </c>
      <c r="N27" s="13">
        <v>0</v>
      </c>
      <c r="O27" s="13"/>
    </row>
    <row r="28" spans="1:16" x14ac:dyDescent="0.25">
      <c r="A28" s="25">
        <v>45562</v>
      </c>
      <c r="B28" s="46">
        <v>2549.36</v>
      </c>
      <c r="C28" s="46">
        <v>3068.74</v>
      </c>
      <c r="D28" s="47">
        <v>5260</v>
      </c>
      <c r="E28" s="47">
        <v>4970</v>
      </c>
      <c r="F28" s="13">
        <f t="shared" si="0"/>
        <v>13409633.600000001</v>
      </c>
      <c r="G28" s="13">
        <f t="shared" si="0"/>
        <v>15251637.799999999</v>
      </c>
      <c r="H28" s="26">
        <v>31.75</v>
      </c>
      <c r="I28" s="13">
        <v>701000</v>
      </c>
      <c r="J28" s="12">
        <v>64</v>
      </c>
      <c r="K28" s="13">
        <v>556000</v>
      </c>
      <c r="L28" s="13">
        <v>31000</v>
      </c>
      <c r="M28" s="13">
        <v>929800</v>
      </c>
      <c r="N28" s="13">
        <v>276000</v>
      </c>
      <c r="O28" s="13"/>
    </row>
    <row r="29" spans="1:16" x14ac:dyDescent="0.25">
      <c r="A29" s="25">
        <v>45563</v>
      </c>
      <c r="B29" s="46">
        <v>2465.23</v>
      </c>
      <c r="C29" s="46">
        <v>2535.9</v>
      </c>
      <c r="D29" s="47">
        <v>5260</v>
      </c>
      <c r="E29" s="47">
        <v>4970</v>
      </c>
      <c r="F29" s="13">
        <f t="shared" si="0"/>
        <v>12967109.800000001</v>
      </c>
      <c r="G29" s="13">
        <f t="shared" si="0"/>
        <v>12603423</v>
      </c>
      <c r="H29" s="26">
        <v>35.5</v>
      </c>
      <c r="I29" s="13">
        <v>773500</v>
      </c>
      <c r="J29" s="12">
        <v>49</v>
      </c>
      <c r="K29" s="13">
        <v>422000</v>
      </c>
      <c r="L29" s="13">
        <v>16000</v>
      </c>
      <c r="M29" s="13">
        <v>903000</v>
      </c>
      <c r="N29" s="13">
        <v>92000</v>
      </c>
      <c r="O29" s="13"/>
    </row>
    <row r="30" spans="1:16" x14ac:dyDescent="0.25">
      <c r="A30" s="25">
        <v>45564</v>
      </c>
      <c r="B30" s="46">
        <v>1620.48</v>
      </c>
      <c r="C30" s="46">
        <v>2634.6</v>
      </c>
      <c r="D30" s="47">
        <v>5260</v>
      </c>
      <c r="E30" s="47">
        <v>4970</v>
      </c>
      <c r="F30" s="13">
        <f t="shared" si="0"/>
        <v>8523724.8000000007</v>
      </c>
      <c r="G30" s="13">
        <f t="shared" si="0"/>
        <v>13093962</v>
      </c>
      <c r="H30" s="26">
        <v>17</v>
      </c>
      <c r="I30" s="13">
        <v>379500</v>
      </c>
      <c r="J30" s="12">
        <v>54.5</v>
      </c>
      <c r="K30" s="13">
        <v>476000</v>
      </c>
      <c r="L30" s="13">
        <v>8000</v>
      </c>
      <c r="M30" s="13">
        <v>567000</v>
      </c>
      <c r="N30" s="13">
        <v>155000</v>
      </c>
      <c r="O30" s="13"/>
    </row>
    <row r="31" spans="1:16" x14ac:dyDescent="0.25">
      <c r="A31" s="25">
        <v>45565</v>
      </c>
      <c r="B31" s="46">
        <v>1746.43</v>
      </c>
      <c r="C31" s="46">
        <v>3136.74</v>
      </c>
      <c r="D31" s="47">
        <v>5260</v>
      </c>
      <c r="E31" s="47">
        <v>4970</v>
      </c>
      <c r="F31" s="13">
        <f t="shared" si="0"/>
        <v>9186221.8000000007</v>
      </c>
      <c r="G31" s="13">
        <f t="shared" si="0"/>
        <v>15589597.799999999</v>
      </c>
      <c r="H31" s="26">
        <v>54.75</v>
      </c>
      <c r="I31" s="13">
        <v>1178000</v>
      </c>
      <c r="J31" s="12">
        <v>86</v>
      </c>
      <c r="K31" s="13">
        <v>657000</v>
      </c>
      <c r="L31" s="13">
        <v>73000</v>
      </c>
      <c r="M31" s="13">
        <v>1166200</v>
      </c>
      <c r="N31" s="13">
        <v>0</v>
      </c>
      <c r="O31" s="13"/>
    </row>
    <row r="32" spans="1:16" x14ac:dyDescent="0.25">
      <c r="A32" s="25" t="s">
        <v>83</v>
      </c>
      <c r="B32" s="46"/>
      <c r="C32" s="46"/>
      <c r="D32" s="47"/>
      <c r="E32" s="47"/>
      <c r="F32" s="13">
        <f t="shared" ref="F32:G32" si="1">B32*D32</f>
        <v>0</v>
      </c>
      <c r="G32" s="13">
        <f t="shared" si="1"/>
        <v>0</v>
      </c>
      <c r="H32" s="26"/>
      <c r="I32" s="13"/>
      <c r="J32" s="12"/>
      <c r="K32" s="13"/>
      <c r="L32" s="13"/>
      <c r="M32" s="13"/>
      <c r="N32" s="13"/>
      <c r="O32" s="13"/>
    </row>
    <row r="33" spans="1:15" x14ac:dyDescent="0.25">
      <c r="A33" s="15"/>
      <c r="B33" s="37">
        <f>SUM(B1:B32)</f>
        <v>58388.04</v>
      </c>
      <c r="C33" s="37">
        <f>SUM(C1:C32)</f>
        <v>88516.96</v>
      </c>
      <c r="D33" s="38"/>
      <c r="E33" s="38"/>
      <c r="F33" s="39">
        <f>SUM(F1:F32)</f>
        <v>310739857.5</v>
      </c>
      <c r="G33" s="39">
        <f>SUM(G1:G32)</f>
        <v>439929291.19999999</v>
      </c>
      <c r="H33" s="39">
        <f t="shared" ref="H33:I33" si="2">SUM(H1:H32)</f>
        <v>1637.5</v>
      </c>
      <c r="I33" s="39">
        <f t="shared" si="2"/>
        <v>35846000</v>
      </c>
      <c r="J33" s="39">
        <f>SUM(J1:J32)</f>
        <v>1643.5</v>
      </c>
      <c r="K33" s="39">
        <f>SUM(K1:K32)</f>
        <v>14230000</v>
      </c>
      <c r="L33" s="39">
        <f>SUM(L1:L32)</f>
        <v>1910000</v>
      </c>
      <c r="M33" s="38">
        <f>SUM(M1:M32)</f>
        <v>21029700</v>
      </c>
      <c r="N33" s="38">
        <f>SUM(N2:N32)</f>
        <v>3226000</v>
      </c>
      <c r="O33" s="38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33"/>
  <sheetViews>
    <sheetView topLeftCell="A22" workbookViewId="0">
      <selection activeCell="G42" sqref="G42"/>
    </sheetView>
  </sheetViews>
  <sheetFormatPr defaultRowHeight="15" x14ac:dyDescent="0.25"/>
  <cols>
    <col min="1" max="1" width="10.42578125" bestFit="1" customWidth="1"/>
    <col min="2" max="2" width="11.7109375" customWidth="1"/>
    <col min="3" max="3" width="11.42578125" customWidth="1"/>
    <col min="4" max="4" width="6.42578125" customWidth="1"/>
    <col min="5" max="5" width="6.5703125" bestFit="1" customWidth="1"/>
    <col min="6" max="6" width="14.5703125" customWidth="1"/>
    <col min="7" max="7" width="14.140625" customWidth="1"/>
    <col min="8" max="8" width="9" customWidth="1"/>
    <col min="9" max="9" width="14.5703125" customWidth="1"/>
    <col min="10" max="10" width="8.85546875" customWidth="1"/>
    <col min="11" max="11" width="13.5703125" customWidth="1"/>
    <col min="12" max="12" width="12.7109375" customWidth="1"/>
    <col min="13" max="13" width="11.42578125" customWidth="1"/>
    <col min="14" max="14" width="10.140625" customWidth="1"/>
  </cols>
  <sheetData>
    <row r="1" spans="1:15" x14ac:dyDescent="0.25">
      <c r="A1" s="16"/>
      <c r="B1" s="17" t="s">
        <v>1</v>
      </c>
      <c r="C1" s="17" t="s">
        <v>2</v>
      </c>
      <c r="D1" s="18" t="s">
        <v>1</v>
      </c>
      <c r="E1" s="18" t="s">
        <v>2</v>
      </c>
      <c r="F1" s="19" t="s">
        <v>1</v>
      </c>
      <c r="G1" s="19" t="s">
        <v>2</v>
      </c>
      <c r="H1" s="19" t="s">
        <v>9</v>
      </c>
      <c r="I1" s="18" t="s">
        <v>10</v>
      </c>
      <c r="J1" s="16" t="s">
        <v>11</v>
      </c>
      <c r="K1" s="18" t="s">
        <v>10</v>
      </c>
      <c r="L1" s="18" t="s">
        <v>4</v>
      </c>
      <c r="M1" s="18" t="s">
        <v>67</v>
      </c>
      <c r="N1" s="18" t="s">
        <v>52</v>
      </c>
      <c r="O1" s="18" t="s">
        <v>40</v>
      </c>
    </row>
    <row r="2" spans="1:15" x14ac:dyDescent="0.25">
      <c r="A2" s="25">
        <v>45566</v>
      </c>
      <c r="B2" s="46">
        <v>2301.77</v>
      </c>
      <c r="C2" s="46">
        <v>3823.96</v>
      </c>
      <c r="D2" s="47">
        <v>5260</v>
      </c>
      <c r="E2" s="47">
        <v>4970</v>
      </c>
      <c r="F2" s="13">
        <f t="shared" ref="F2:G31" si="0">B2*D2</f>
        <v>12107310.199999999</v>
      </c>
      <c r="G2" s="13">
        <f t="shared" si="0"/>
        <v>19005081.199999999</v>
      </c>
      <c r="H2" s="31">
        <v>48.25</v>
      </c>
      <c r="I2" s="13">
        <v>1084500</v>
      </c>
      <c r="J2" s="27">
        <v>33</v>
      </c>
      <c r="K2" s="13">
        <v>296000</v>
      </c>
      <c r="L2" s="13">
        <v>0</v>
      </c>
      <c r="M2" s="13">
        <v>612500</v>
      </c>
      <c r="N2" s="13">
        <v>80000</v>
      </c>
      <c r="O2" s="13"/>
    </row>
    <row r="3" spans="1:15" x14ac:dyDescent="0.25">
      <c r="A3" s="25">
        <v>45567</v>
      </c>
      <c r="B3" s="46">
        <v>2222.0300000000002</v>
      </c>
      <c r="C3" s="46">
        <v>5634.86</v>
      </c>
      <c r="D3" s="47">
        <v>5260</v>
      </c>
      <c r="E3" s="47">
        <v>4970</v>
      </c>
      <c r="F3" s="13">
        <f t="shared" si="0"/>
        <v>11687877.800000001</v>
      </c>
      <c r="G3" s="13">
        <f t="shared" si="0"/>
        <v>28005254.199999999</v>
      </c>
      <c r="H3" s="26">
        <v>19.25</v>
      </c>
      <c r="I3" s="13">
        <v>461000</v>
      </c>
      <c r="J3" s="27">
        <v>55</v>
      </c>
      <c r="K3" s="13">
        <v>475000</v>
      </c>
      <c r="L3" s="13">
        <v>30000</v>
      </c>
      <c r="M3" s="13">
        <v>611000</v>
      </c>
      <c r="N3" s="13">
        <v>276000</v>
      </c>
      <c r="O3" s="13"/>
    </row>
    <row r="4" spans="1:15" x14ac:dyDescent="0.25">
      <c r="A4" s="25">
        <v>45568</v>
      </c>
      <c r="B4" s="46">
        <v>1747.16</v>
      </c>
      <c r="C4" s="46">
        <v>3798.72</v>
      </c>
      <c r="D4" s="47">
        <v>5260</v>
      </c>
      <c r="E4" s="47">
        <v>4970</v>
      </c>
      <c r="F4" s="13">
        <f t="shared" si="0"/>
        <v>9190061.5999999996</v>
      </c>
      <c r="G4" s="13">
        <f t="shared" si="0"/>
        <v>18879638.399999999</v>
      </c>
      <c r="H4" s="26">
        <v>58.25</v>
      </c>
      <c r="I4" s="13">
        <v>1285000</v>
      </c>
      <c r="J4" s="27">
        <v>45</v>
      </c>
      <c r="K4" s="13">
        <v>402000</v>
      </c>
      <c r="L4" s="13">
        <v>16000</v>
      </c>
      <c r="M4" s="13">
        <v>341500</v>
      </c>
      <c r="N4" s="13">
        <v>310000</v>
      </c>
      <c r="O4" s="13"/>
    </row>
    <row r="5" spans="1:15" x14ac:dyDescent="0.25">
      <c r="A5" s="25">
        <v>45569</v>
      </c>
      <c r="B5" s="46">
        <v>1951.57</v>
      </c>
      <c r="C5" s="46">
        <v>4225.2700000000004</v>
      </c>
      <c r="D5" s="47">
        <v>5260</v>
      </c>
      <c r="E5" s="47">
        <v>4970</v>
      </c>
      <c r="F5" s="13">
        <f t="shared" si="0"/>
        <v>10265258.199999999</v>
      </c>
      <c r="G5" s="13">
        <f t="shared" si="0"/>
        <v>20999591.900000002</v>
      </c>
      <c r="H5" s="26">
        <v>129</v>
      </c>
      <c r="I5" s="13">
        <v>1679000</v>
      </c>
      <c r="J5" s="27">
        <v>82.5</v>
      </c>
      <c r="K5" s="13">
        <v>528000</v>
      </c>
      <c r="L5" s="13">
        <v>45000</v>
      </c>
      <c r="M5" s="13">
        <v>720300</v>
      </c>
      <c r="N5" s="13">
        <v>276000</v>
      </c>
      <c r="O5" s="13"/>
    </row>
    <row r="6" spans="1:15" x14ac:dyDescent="0.25">
      <c r="A6" s="25">
        <v>45570</v>
      </c>
      <c r="B6" s="46">
        <v>1739.84</v>
      </c>
      <c r="C6" s="46">
        <v>1795.14</v>
      </c>
      <c r="D6" s="47">
        <v>5260</v>
      </c>
      <c r="E6" s="47">
        <v>4970</v>
      </c>
      <c r="F6" s="13">
        <f t="shared" si="0"/>
        <v>9151558.4000000004</v>
      </c>
      <c r="G6" s="13">
        <f t="shared" si="0"/>
        <v>8921845.8000000007</v>
      </c>
      <c r="H6" s="26">
        <v>72</v>
      </c>
      <c r="I6" s="13">
        <v>1675000</v>
      </c>
      <c r="J6" s="27">
        <v>57.5</v>
      </c>
      <c r="K6" s="13">
        <v>504000</v>
      </c>
      <c r="L6" s="13">
        <v>30000</v>
      </c>
      <c r="M6" s="13">
        <v>545500</v>
      </c>
      <c r="N6" s="13">
        <v>370000</v>
      </c>
      <c r="O6" s="13"/>
    </row>
    <row r="7" spans="1:15" x14ac:dyDescent="0.25">
      <c r="A7" s="25">
        <v>45571</v>
      </c>
      <c r="B7" s="46">
        <v>1440.53</v>
      </c>
      <c r="C7" s="46">
        <v>2369.86</v>
      </c>
      <c r="D7" s="47">
        <v>5260</v>
      </c>
      <c r="E7" s="47">
        <v>4970</v>
      </c>
      <c r="F7" s="13">
        <f t="shared" si="0"/>
        <v>7577187.7999999998</v>
      </c>
      <c r="G7" s="13">
        <f t="shared" si="0"/>
        <v>11778204.200000001</v>
      </c>
      <c r="H7" s="26">
        <v>40.5</v>
      </c>
      <c r="I7" s="13">
        <v>921500</v>
      </c>
      <c r="J7" s="27">
        <v>21</v>
      </c>
      <c r="K7" s="13">
        <v>187000</v>
      </c>
      <c r="L7" s="13">
        <v>63000</v>
      </c>
      <c r="M7" s="13">
        <v>509000</v>
      </c>
      <c r="N7" s="13">
        <v>0</v>
      </c>
      <c r="O7" s="13"/>
    </row>
    <row r="8" spans="1:15" x14ac:dyDescent="0.25">
      <c r="A8" s="25">
        <v>45572</v>
      </c>
      <c r="B8" s="46">
        <v>1651.37</v>
      </c>
      <c r="C8" s="46">
        <v>1637.73</v>
      </c>
      <c r="D8" s="47">
        <v>5260</v>
      </c>
      <c r="E8" s="47">
        <v>4970</v>
      </c>
      <c r="F8" s="13">
        <f t="shared" si="0"/>
        <v>8686206.1999999993</v>
      </c>
      <c r="G8" s="13">
        <f t="shared" si="0"/>
        <v>8139518.0999999996</v>
      </c>
      <c r="H8" s="26">
        <v>77.25</v>
      </c>
      <c r="I8" s="13">
        <v>1623000</v>
      </c>
      <c r="J8" s="27">
        <v>42</v>
      </c>
      <c r="K8" s="13">
        <v>371000</v>
      </c>
      <c r="L8" s="13">
        <v>16000</v>
      </c>
      <c r="M8" s="13">
        <v>424000</v>
      </c>
      <c r="N8" s="13">
        <v>92000</v>
      </c>
      <c r="O8" s="13"/>
    </row>
    <row r="9" spans="1:15" x14ac:dyDescent="0.25">
      <c r="A9" s="25">
        <v>45573</v>
      </c>
      <c r="B9" s="46">
        <v>2024.36</v>
      </c>
      <c r="C9" s="46">
        <v>5227.1499999999996</v>
      </c>
      <c r="D9" s="47">
        <v>5260</v>
      </c>
      <c r="E9" s="47">
        <v>4970</v>
      </c>
      <c r="F9" s="13">
        <f t="shared" si="0"/>
        <v>10648133.6</v>
      </c>
      <c r="G9" s="13">
        <f t="shared" si="0"/>
        <v>25978935.5</v>
      </c>
      <c r="H9" s="26">
        <v>52.5</v>
      </c>
      <c r="I9" s="13">
        <v>1165000</v>
      </c>
      <c r="J9" s="27">
        <v>57.5</v>
      </c>
      <c r="K9" s="13">
        <v>504000</v>
      </c>
      <c r="L9" s="13">
        <v>63000</v>
      </c>
      <c r="M9" s="13">
        <v>607000</v>
      </c>
      <c r="N9" s="13">
        <v>17000</v>
      </c>
      <c r="O9" s="13"/>
    </row>
    <row r="10" spans="1:15" x14ac:dyDescent="0.25">
      <c r="A10" s="25">
        <v>45574</v>
      </c>
      <c r="B10" s="46">
        <v>1900.56</v>
      </c>
      <c r="C10" s="46">
        <v>2489.11</v>
      </c>
      <c r="D10" s="47">
        <v>5260</v>
      </c>
      <c r="E10" s="47">
        <v>4970</v>
      </c>
      <c r="F10" s="13">
        <f t="shared" si="0"/>
        <v>9996945.5999999996</v>
      </c>
      <c r="G10" s="13">
        <f t="shared" si="0"/>
        <v>12370876.700000001</v>
      </c>
      <c r="H10" s="26">
        <v>34.5</v>
      </c>
      <c r="I10" s="13">
        <v>821000</v>
      </c>
      <c r="J10" s="27">
        <v>88.5</v>
      </c>
      <c r="K10" s="13">
        <v>767000</v>
      </c>
      <c r="L10" s="13">
        <v>15000</v>
      </c>
      <c r="M10" s="13">
        <v>300000</v>
      </c>
      <c r="N10" s="13">
        <v>17000</v>
      </c>
      <c r="O10" s="13"/>
    </row>
    <row r="11" spans="1:15" x14ac:dyDescent="0.25">
      <c r="A11" s="25">
        <v>45575</v>
      </c>
      <c r="B11" s="46">
        <v>1786.54</v>
      </c>
      <c r="C11" s="46">
        <v>1881.59</v>
      </c>
      <c r="D11" s="47">
        <v>5260</v>
      </c>
      <c r="E11" s="47">
        <v>4970</v>
      </c>
      <c r="F11" s="13">
        <f t="shared" si="0"/>
        <v>9397200.4000000004</v>
      </c>
      <c r="G11" s="13">
        <f t="shared" si="0"/>
        <v>9351502.2999999989</v>
      </c>
      <c r="H11" s="26">
        <v>70.25</v>
      </c>
      <c r="I11" s="13">
        <v>1753500</v>
      </c>
      <c r="J11" s="27">
        <v>48</v>
      </c>
      <c r="K11" s="13">
        <v>424000</v>
      </c>
      <c r="L11" s="13">
        <v>16000</v>
      </c>
      <c r="M11" s="13">
        <v>450000</v>
      </c>
      <c r="N11" s="13">
        <v>109000</v>
      </c>
      <c r="O11" s="13"/>
    </row>
    <row r="12" spans="1:15" x14ac:dyDescent="0.25">
      <c r="A12" s="25">
        <v>45546</v>
      </c>
      <c r="B12" s="46">
        <v>2052.11</v>
      </c>
      <c r="C12" s="46">
        <v>2934.94</v>
      </c>
      <c r="D12" s="47">
        <v>5260</v>
      </c>
      <c r="E12" s="47">
        <v>4970</v>
      </c>
      <c r="F12" s="13">
        <f t="shared" si="0"/>
        <v>10794098.600000001</v>
      </c>
      <c r="G12" s="13">
        <f t="shared" si="0"/>
        <v>14586651.800000001</v>
      </c>
      <c r="H12" s="26">
        <v>55.25</v>
      </c>
      <c r="I12" s="51">
        <v>1187500</v>
      </c>
      <c r="J12" s="27">
        <v>45</v>
      </c>
      <c r="K12" s="13">
        <v>399000</v>
      </c>
      <c r="L12" s="13">
        <v>16000</v>
      </c>
      <c r="M12" s="13">
        <v>646000</v>
      </c>
      <c r="N12" s="13">
        <v>184000</v>
      </c>
      <c r="O12" s="13"/>
    </row>
    <row r="13" spans="1:15" x14ac:dyDescent="0.25">
      <c r="A13" s="25">
        <v>45577</v>
      </c>
      <c r="B13" s="46">
        <v>2176.94</v>
      </c>
      <c r="C13" s="46">
        <v>2702.59</v>
      </c>
      <c r="D13" s="47">
        <v>5260</v>
      </c>
      <c r="E13" s="47">
        <v>4970</v>
      </c>
      <c r="F13" s="13">
        <f t="shared" si="0"/>
        <v>11450704.4</v>
      </c>
      <c r="G13" s="13">
        <f t="shared" si="0"/>
        <v>13431872.300000001</v>
      </c>
      <c r="H13" s="26">
        <v>96.75</v>
      </c>
      <c r="I13" s="13">
        <v>2178000</v>
      </c>
      <c r="J13" s="27">
        <v>83</v>
      </c>
      <c r="K13" s="13">
        <v>629000</v>
      </c>
      <c r="L13" s="13">
        <v>30000</v>
      </c>
      <c r="M13" s="13">
        <v>839000</v>
      </c>
      <c r="N13" s="13">
        <v>431000</v>
      </c>
      <c r="O13" s="13"/>
    </row>
    <row r="14" spans="1:15" x14ac:dyDescent="0.25">
      <c r="A14" s="25">
        <v>45578</v>
      </c>
      <c r="B14" s="46">
        <v>1761.44</v>
      </c>
      <c r="C14" s="46">
        <v>1493.11</v>
      </c>
      <c r="D14" s="47">
        <v>5260</v>
      </c>
      <c r="E14" s="47">
        <v>4970</v>
      </c>
      <c r="F14" s="13">
        <f t="shared" si="0"/>
        <v>9265174.4000000004</v>
      </c>
      <c r="G14" s="13">
        <f t="shared" si="0"/>
        <v>7420756.6999999993</v>
      </c>
      <c r="H14" s="26">
        <v>30.75</v>
      </c>
      <c r="I14" s="13">
        <v>656500</v>
      </c>
      <c r="J14" s="27">
        <v>80.5</v>
      </c>
      <c r="K14" s="13">
        <v>603000</v>
      </c>
      <c r="L14" s="13">
        <v>8000</v>
      </c>
      <c r="M14" s="13">
        <v>554500</v>
      </c>
      <c r="N14" s="13">
        <v>109000</v>
      </c>
      <c r="O14" s="13"/>
    </row>
    <row r="15" spans="1:15" x14ac:dyDescent="0.25">
      <c r="A15" s="25">
        <v>45579</v>
      </c>
      <c r="B15" s="46">
        <v>2138.61</v>
      </c>
      <c r="C15" s="46">
        <v>5241.75</v>
      </c>
      <c r="D15" s="47">
        <v>5260</v>
      </c>
      <c r="E15" s="47">
        <v>4970</v>
      </c>
      <c r="F15" s="13">
        <f t="shared" si="0"/>
        <v>11249088.600000001</v>
      </c>
      <c r="G15" s="13">
        <f t="shared" si="0"/>
        <v>26051497.5</v>
      </c>
      <c r="H15" s="13">
        <v>37.25</v>
      </c>
      <c r="I15" s="13">
        <v>810000</v>
      </c>
      <c r="J15" s="27">
        <v>61</v>
      </c>
      <c r="K15" s="13">
        <v>528000</v>
      </c>
      <c r="L15" s="13">
        <v>63000</v>
      </c>
      <c r="M15" s="13">
        <v>502000</v>
      </c>
      <c r="N15" s="13">
        <v>247000</v>
      </c>
      <c r="O15" s="13"/>
    </row>
    <row r="16" spans="1:15" x14ac:dyDescent="0.25">
      <c r="A16" s="25">
        <v>45580</v>
      </c>
      <c r="B16" s="46">
        <v>2170.85</v>
      </c>
      <c r="C16" s="46">
        <v>2349.0700000000002</v>
      </c>
      <c r="D16" s="47">
        <v>5220</v>
      </c>
      <c r="E16" s="47">
        <v>4970</v>
      </c>
      <c r="F16" s="13">
        <f t="shared" si="0"/>
        <v>11331837</v>
      </c>
      <c r="G16" s="13">
        <f t="shared" si="0"/>
        <v>11674877.9</v>
      </c>
      <c r="H16" s="26">
        <v>70.25</v>
      </c>
      <c r="I16" s="13">
        <v>1418000</v>
      </c>
      <c r="J16" s="27">
        <v>99.5</v>
      </c>
      <c r="K16" s="13">
        <v>757000</v>
      </c>
      <c r="L16" s="13">
        <v>16000</v>
      </c>
      <c r="M16" s="13">
        <v>409000</v>
      </c>
      <c r="N16" s="13">
        <v>92000</v>
      </c>
      <c r="O16" s="13"/>
    </row>
    <row r="17" spans="1:15" x14ac:dyDescent="0.25">
      <c r="A17" s="25">
        <v>45581</v>
      </c>
      <c r="B17" s="46">
        <v>2369.37</v>
      </c>
      <c r="C17" s="46">
        <v>2765.89</v>
      </c>
      <c r="D17" s="47">
        <v>5220</v>
      </c>
      <c r="E17" s="47">
        <v>4970</v>
      </c>
      <c r="F17" s="13">
        <f>B17*D17</f>
        <v>12368111.399999999</v>
      </c>
      <c r="G17" s="13">
        <f t="shared" si="0"/>
        <v>13746473.299999999</v>
      </c>
      <c r="H17" s="26">
        <v>151.5</v>
      </c>
      <c r="I17" s="13">
        <v>3503500</v>
      </c>
      <c r="J17" s="27">
        <v>72</v>
      </c>
      <c r="K17" s="13">
        <v>619000</v>
      </c>
      <c r="L17" s="13">
        <v>185000</v>
      </c>
      <c r="M17" s="13">
        <v>550000</v>
      </c>
      <c r="N17" s="13">
        <v>92000</v>
      </c>
      <c r="O17" s="13"/>
    </row>
    <row r="18" spans="1:15" x14ac:dyDescent="0.25">
      <c r="A18" s="25">
        <v>45582</v>
      </c>
      <c r="B18" s="46">
        <v>1835.29</v>
      </c>
      <c r="C18" s="46">
        <v>2023.1</v>
      </c>
      <c r="D18" s="47">
        <v>5220</v>
      </c>
      <c r="E18" s="47">
        <v>4970</v>
      </c>
      <c r="F18" s="13">
        <f t="shared" si="0"/>
        <v>9580213.7999999989</v>
      </c>
      <c r="G18" s="13">
        <f t="shared" si="0"/>
        <v>10054807</v>
      </c>
      <c r="H18" s="26">
        <v>25</v>
      </c>
      <c r="I18" s="13">
        <v>506500</v>
      </c>
      <c r="J18" s="12">
        <v>67.5</v>
      </c>
      <c r="K18" s="13">
        <v>583000</v>
      </c>
      <c r="L18" s="13">
        <v>8000</v>
      </c>
      <c r="M18" s="13">
        <v>376500</v>
      </c>
      <c r="N18" s="13">
        <v>17000</v>
      </c>
      <c r="O18" s="13"/>
    </row>
    <row r="19" spans="1:15" x14ac:dyDescent="0.25">
      <c r="A19" s="25">
        <v>45583</v>
      </c>
      <c r="B19" s="46">
        <v>2318.42</v>
      </c>
      <c r="C19" s="46">
        <v>2309.9</v>
      </c>
      <c r="D19" s="47">
        <v>5220</v>
      </c>
      <c r="E19" s="47">
        <v>4970</v>
      </c>
      <c r="F19" s="13">
        <f t="shared" si="0"/>
        <v>12102152.4</v>
      </c>
      <c r="G19" s="13">
        <f t="shared" si="0"/>
        <v>11480203</v>
      </c>
      <c r="H19" s="26">
        <v>68.5</v>
      </c>
      <c r="I19" s="13">
        <v>1516000</v>
      </c>
      <c r="J19" s="12">
        <v>39.5</v>
      </c>
      <c r="K19" s="13">
        <v>345000</v>
      </c>
      <c r="L19" s="13">
        <v>76000</v>
      </c>
      <c r="M19" s="13">
        <v>640200</v>
      </c>
      <c r="N19" s="13">
        <v>172000</v>
      </c>
      <c r="O19" s="13"/>
    </row>
    <row r="20" spans="1:15" x14ac:dyDescent="0.25">
      <c r="A20" s="25">
        <v>45584</v>
      </c>
      <c r="B20" s="46">
        <v>2633.15</v>
      </c>
      <c r="C20" s="46">
        <v>2760.99</v>
      </c>
      <c r="D20" s="47">
        <v>5220</v>
      </c>
      <c r="E20" s="47">
        <v>4970</v>
      </c>
      <c r="F20" s="13">
        <f t="shared" si="0"/>
        <v>13745043</v>
      </c>
      <c r="G20" s="13">
        <f t="shared" si="0"/>
        <v>13722120.299999999</v>
      </c>
      <c r="H20" s="26">
        <v>37</v>
      </c>
      <c r="I20" s="13">
        <v>839500</v>
      </c>
      <c r="J20" s="12">
        <v>73.5</v>
      </c>
      <c r="K20" s="13">
        <v>633000</v>
      </c>
      <c r="L20" s="13">
        <v>0</v>
      </c>
      <c r="M20" s="13">
        <v>1100000</v>
      </c>
      <c r="N20" s="13">
        <v>92000</v>
      </c>
      <c r="O20" s="13"/>
    </row>
    <row r="21" spans="1:15" x14ac:dyDescent="0.25">
      <c r="A21" s="25">
        <v>45585</v>
      </c>
      <c r="B21" s="46">
        <v>1832.57</v>
      </c>
      <c r="C21" s="46">
        <v>2073.4</v>
      </c>
      <c r="D21" s="47">
        <v>5220</v>
      </c>
      <c r="E21" s="47">
        <v>4970</v>
      </c>
      <c r="F21" s="13">
        <f t="shared" si="0"/>
        <v>9566015.4000000004</v>
      </c>
      <c r="G21" s="13">
        <f t="shared" si="0"/>
        <v>10304798</v>
      </c>
      <c r="H21" s="26">
        <v>34.75</v>
      </c>
      <c r="I21" s="13">
        <v>721500</v>
      </c>
      <c r="J21" s="12">
        <v>36</v>
      </c>
      <c r="K21" s="13">
        <v>318000</v>
      </c>
      <c r="L21" s="13">
        <v>53000</v>
      </c>
      <c r="M21" s="13">
        <v>567000</v>
      </c>
      <c r="N21" s="13">
        <v>75000</v>
      </c>
      <c r="O21" s="13"/>
    </row>
    <row r="22" spans="1:15" x14ac:dyDescent="0.25">
      <c r="A22" s="25">
        <v>45586</v>
      </c>
      <c r="B22" s="46">
        <v>2047</v>
      </c>
      <c r="C22" s="46">
        <v>3574.18</v>
      </c>
      <c r="D22" s="47">
        <v>5220</v>
      </c>
      <c r="E22" s="47">
        <v>4970</v>
      </c>
      <c r="F22" s="13">
        <f t="shared" si="0"/>
        <v>10685340</v>
      </c>
      <c r="G22" s="13">
        <f t="shared" si="0"/>
        <v>17763674.599999998</v>
      </c>
      <c r="H22" s="26">
        <v>40.5</v>
      </c>
      <c r="I22" s="13">
        <v>852500</v>
      </c>
      <c r="J22" s="12">
        <v>66.5</v>
      </c>
      <c r="K22" s="13">
        <v>585000</v>
      </c>
      <c r="L22" s="13">
        <v>54000</v>
      </c>
      <c r="M22" s="13">
        <v>503000</v>
      </c>
      <c r="N22" s="13">
        <v>0</v>
      </c>
      <c r="O22" s="13"/>
    </row>
    <row r="23" spans="1:15" x14ac:dyDescent="0.25">
      <c r="A23" s="25">
        <v>45587</v>
      </c>
      <c r="B23" s="46">
        <v>1811.1</v>
      </c>
      <c r="C23" s="46">
        <v>2803.47</v>
      </c>
      <c r="D23" s="47">
        <v>5220</v>
      </c>
      <c r="E23" s="47">
        <v>4970</v>
      </c>
      <c r="F23" s="13">
        <f t="shared" si="0"/>
        <v>9453942</v>
      </c>
      <c r="G23" s="13">
        <f t="shared" si="0"/>
        <v>13933245.899999999</v>
      </c>
      <c r="H23" s="26">
        <v>43</v>
      </c>
      <c r="I23" s="13">
        <v>1031000</v>
      </c>
      <c r="J23" s="12">
        <v>30</v>
      </c>
      <c r="K23" s="13">
        <v>265000</v>
      </c>
      <c r="L23" s="13">
        <v>40000</v>
      </c>
      <c r="M23" s="13">
        <v>540700</v>
      </c>
      <c r="N23" s="13">
        <v>0</v>
      </c>
      <c r="O23" s="13"/>
    </row>
    <row r="24" spans="1:15" x14ac:dyDescent="0.25">
      <c r="A24" s="25">
        <v>45588</v>
      </c>
      <c r="B24" s="46">
        <v>1907.53</v>
      </c>
      <c r="C24" s="46">
        <v>3999.37</v>
      </c>
      <c r="D24" s="47">
        <v>5220</v>
      </c>
      <c r="E24" s="47">
        <v>4970</v>
      </c>
      <c r="F24" s="13">
        <f t="shared" si="0"/>
        <v>9957306.5999999996</v>
      </c>
      <c r="G24" s="13">
        <f t="shared" si="0"/>
        <v>19876868.899999999</v>
      </c>
      <c r="H24" s="26">
        <v>16</v>
      </c>
      <c r="I24" s="13">
        <v>344000</v>
      </c>
      <c r="J24" s="12">
        <v>36.5</v>
      </c>
      <c r="K24" s="13">
        <v>317000</v>
      </c>
      <c r="L24" s="13">
        <v>8000</v>
      </c>
      <c r="M24" s="13">
        <v>580200</v>
      </c>
      <c r="N24" s="13">
        <v>247000</v>
      </c>
      <c r="O24" s="13"/>
    </row>
    <row r="25" spans="1:15" x14ac:dyDescent="0.25">
      <c r="A25" s="25">
        <v>45589</v>
      </c>
      <c r="B25" s="46">
        <v>2517.0100000000002</v>
      </c>
      <c r="C25" s="46">
        <v>6020.15</v>
      </c>
      <c r="D25" s="47">
        <v>5120</v>
      </c>
      <c r="E25" s="47">
        <v>4970</v>
      </c>
      <c r="F25" s="13">
        <f t="shared" si="0"/>
        <v>12887091.200000001</v>
      </c>
      <c r="G25" s="13">
        <f t="shared" si="0"/>
        <v>29920145.5</v>
      </c>
      <c r="H25" s="26">
        <v>70.25</v>
      </c>
      <c r="I25" s="13">
        <v>1778500</v>
      </c>
      <c r="J25" s="12">
        <v>36</v>
      </c>
      <c r="K25" s="13">
        <v>318000</v>
      </c>
      <c r="L25" s="13">
        <v>216000</v>
      </c>
      <c r="M25" s="13">
        <v>684500</v>
      </c>
      <c r="N25" s="13">
        <v>201000</v>
      </c>
      <c r="O25" s="13"/>
    </row>
    <row r="26" spans="1:15" x14ac:dyDescent="0.25">
      <c r="A26" s="25">
        <v>45590</v>
      </c>
      <c r="B26" s="46">
        <v>2850.92</v>
      </c>
      <c r="C26" s="46">
        <v>2665.63</v>
      </c>
      <c r="D26" s="47">
        <v>5120</v>
      </c>
      <c r="E26" s="47">
        <v>4970</v>
      </c>
      <c r="F26" s="13">
        <f t="shared" si="0"/>
        <v>14596710.4</v>
      </c>
      <c r="G26" s="13">
        <f t="shared" si="0"/>
        <v>13248181.1</v>
      </c>
      <c r="H26" s="26">
        <v>40.25</v>
      </c>
      <c r="I26" s="13">
        <v>839000</v>
      </c>
      <c r="J26" s="12">
        <v>39.5</v>
      </c>
      <c r="K26" s="13">
        <v>345000</v>
      </c>
      <c r="L26" s="13">
        <v>110000</v>
      </c>
      <c r="M26" s="13">
        <v>751900</v>
      </c>
      <c r="N26" s="13">
        <v>0</v>
      </c>
      <c r="O26" s="13"/>
    </row>
    <row r="27" spans="1:15" x14ac:dyDescent="0.25">
      <c r="A27" s="25">
        <v>45591</v>
      </c>
      <c r="B27" s="46">
        <v>2439.06</v>
      </c>
      <c r="C27" s="46">
        <v>1988.54</v>
      </c>
      <c r="D27" s="47">
        <v>5120</v>
      </c>
      <c r="E27" s="47">
        <v>4970</v>
      </c>
      <c r="F27" s="13">
        <f t="shared" si="0"/>
        <v>12487987.199999999</v>
      </c>
      <c r="G27" s="13">
        <f t="shared" si="0"/>
        <v>9883043.8000000007</v>
      </c>
      <c r="H27" s="26">
        <v>15.25</v>
      </c>
      <c r="I27" s="13">
        <v>315000</v>
      </c>
      <c r="J27" s="12">
        <v>67.5</v>
      </c>
      <c r="K27" s="13">
        <v>580000</v>
      </c>
      <c r="L27" s="13">
        <v>8000</v>
      </c>
      <c r="M27" s="13">
        <v>1145000</v>
      </c>
      <c r="N27" s="13">
        <v>0</v>
      </c>
      <c r="O27" s="13"/>
    </row>
    <row r="28" spans="1:15" x14ac:dyDescent="0.25">
      <c r="A28" s="25">
        <v>45592</v>
      </c>
      <c r="B28" s="46">
        <v>0</v>
      </c>
      <c r="C28" s="46">
        <v>3129.87</v>
      </c>
      <c r="D28" s="47">
        <v>5120</v>
      </c>
      <c r="E28" s="47">
        <v>4970</v>
      </c>
      <c r="F28" s="13">
        <f t="shared" si="0"/>
        <v>0</v>
      </c>
      <c r="G28" s="13">
        <f t="shared" si="0"/>
        <v>15555453.9</v>
      </c>
      <c r="H28" s="26">
        <v>51</v>
      </c>
      <c r="I28" s="13">
        <v>1072000</v>
      </c>
      <c r="J28" s="12">
        <v>42</v>
      </c>
      <c r="K28" s="13">
        <v>321000</v>
      </c>
      <c r="L28" s="13">
        <v>73000</v>
      </c>
      <c r="M28" s="13">
        <v>531000</v>
      </c>
      <c r="N28" s="13">
        <v>167000</v>
      </c>
      <c r="O28" s="13"/>
    </row>
    <row r="29" spans="1:15" x14ac:dyDescent="0.25">
      <c r="A29" s="25">
        <v>45593</v>
      </c>
      <c r="B29" s="46">
        <v>1559.85</v>
      </c>
      <c r="C29" s="46">
        <v>2276.6</v>
      </c>
      <c r="D29" s="47">
        <v>5120</v>
      </c>
      <c r="E29" s="47">
        <v>4970</v>
      </c>
      <c r="F29" s="13">
        <f t="shared" si="0"/>
        <v>7986432</v>
      </c>
      <c r="G29" s="13">
        <f t="shared" si="0"/>
        <v>11314702</v>
      </c>
      <c r="H29" s="26">
        <v>83</v>
      </c>
      <c r="I29" s="13">
        <v>1728000</v>
      </c>
      <c r="J29" s="12">
        <v>58</v>
      </c>
      <c r="K29" s="13">
        <v>503000</v>
      </c>
      <c r="L29" s="13">
        <v>164000</v>
      </c>
      <c r="M29" s="13">
        <v>889100</v>
      </c>
      <c r="N29" s="13">
        <v>80000</v>
      </c>
      <c r="O29" s="13"/>
    </row>
    <row r="30" spans="1:15" x14ac:dyDescent="0.25">
      <c r="A30" s="25">
        <v>45594</v>
      </c>
      <c r="B30" s="46">
        <v>1699.22</v>
      </c>
      <c r="C30" s="46">
        <v>3692.38</v>
      </c>
      <c r="D30" s="47">
        <v>5120</v>
      </c>
      <c r="E30" s="47">
        <v>4970</v>
      </c>
      <c r="F30" s="13">
        <f t="shared" si="0"/>
        <v>8700006.4000000004</v>
      </c>
      <c r="G30" s="13">
        <f t="shared" si="0"/>
        <v>18351128.600000001</v>
      </c>
      <c r="H30" s="26">
        <v>24.5</v>
      </c>
      <c r="I30" s="13">
        <v>511000</v>
      </c>
      <c r="J30" s="12">
        <v>79</v>
      </c>
      <c r="K30" s="13">
        <v>687000</v>
      </c>
      <c r="L30" s="13">
        <v>35000</v>
      </c>
      <c r="M30" s="13">
        <v>586000</v>
      </c>
      <c r="N30" s="13">
        <v>126000</v>
      </c>
      <c r="O30" s="13"/>
    </row>
    <row r="31" spans="1:15" x14ac:dyDescent="0.25">
      <c r="A31" s="25">
        <v>45595</v>
      </c>
      <c r="B31" s="46">
        <v>1945.17</v>
      </c>
      <c r="C31" s="46">
        <v>6653.23</v>
      </c>
      <c r="D31" s="47">
        <v>5120</v>
      </c>
      <c r="E31" s="47">
        <v>4970</v>
      </c>
      <c r="F31" s="13">
        <f t="shared" si="0"/>
        <v>9959270.4000000004</v>
      </c>
      <c r="G31" s="13">
        <f t="shared" si="0"/>
        <v>33066553.099999998</v>
      </c>
      <c r="H31" s="26">
        <v>56</v>
      </c>
      <c r="I31" s="13">
        <v>1254500</v>
      </c>
      <c r="J31" s="12">
        <v>89</v>
      </c>
      <c r="K31" s="13">
        <v>766000</v>
      </c>
      <c r="L31" s="13">
        <v>85000</v>
      </c>
      <c r="M31" s="13">
        <v>567000</v>
      </c>
      <c r="N31" s="13">
        <v>63000</v>
      </c>
      <c r="O31" s="13"/>
    </row>
    <row r="32" spans="1:15" x14ac:dyDescent="0.25">
      <c r="A32" s="25">
        <v>45596</v>
      </c>
      <c r="B32" s="46">
        <v>1849.16</v>
      </c>
      <c r="C32" s="46">
        <v>2742.59</v>
      </c>
      <c r="D32" s="47">
        <v>5120</v>
      </c>
      <c r="E32" s="47">
        <v>4870</v>
      </c>
      <c r="F32" s="13">
        <f t="shared" ref="F32:G32" si="1">B32*D32</f>
        <v>9467699.2000000011</v>
      </c>
      <c r="G32" s="13">
        <f t="shared" si="1"/>
        <v>13356413.300000001</v>
      </c>
      <c r="H32" s="26">
        <v>33.25</v>
      </c>
      <c r="I32" s="13">
        <v>764000</v>
      </c>
      <c r="J32" s="12">
        <v>123</v>
      </c>
      <c r="K32" s="13">
        <v>973000</v>
      </c>
      <c r="L32" s="13">
        <v>45000</v>
      </c>
      <c r="M32" s="13">
        <v>508000</v>
      </c>
      <c r="N32" s="13">
        <v>576000</v>
      </c>
      <c r="O32" s="13"/>
    </row>
    <row r="33" spans="1:15" x14ac:dyDescent="0.25">
      <c r="A33" s="15"/>
      <c r="B33" s="37">
        <f>SUM(B1:B32)</f>
        <v>60680.499999999993</v>
      </c>
      <c r="C33" s="37">
        <f>SUM(C1:C32)</f>
        <v>99084.139999999985</v>
      </c>
      <c r="D33" s="38"/>
      <c r="E33" s="38"/>
      <c r="F33" s="39">
        <f>SUM(F1:F32)</f>
        <v>316341964.19999993</v>
      </c>
      <c r="G33" s="39">
        <f>SUM(G1:G32)</f>
        <v>492173916.80000013</v>
      </c>
      <c r="H33" s="39">
        <f t="shared" ref="H33:I33" si="2">SUM(H1:H32)</f>
        <v>1681.75</v>
      </c>
      <c r="I33" s="39">
        <f t="shared" si="2"/>
        <v>36295000</v>
      </c>
      <c r="J33" s="39">
        <f>SUM(J1:J32)</f>
        <v>1854.5</v>
      </c>
      <c r="K33" s="39">
        <f>SUM(K1:K32)</f>
        <v>15532000</v>
      </c>
      <c r="L33" s="39">
        <f>SUM(L1:L32)</f>
        <v>1587000</v>
      </c>
      <c r="M33" s="38">
        <f>SUM(M1:M32)</f>
        <v>18591400</v>
      </c>
      <c r="N33" s="38">
        <f>SUM(N2:N32)</f>
        <v>4518000</v>
      </c>
      <c r="O33" s="38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33"/>
  <sheetViews>
    <sheetView topLeftCell="A19" workbookViewId="0">
      <selection activeCell="F37" sqref="F37"/>
    </sheetView>
  </sheetViews>
  <sheetFormatPr defaultRowHeight="15" x14ac:dyDescent="0.25"/>
  <cols>
    <col min="1" max="1" width="10.140625" customWidth="1"/>
    <col min="2" max="2" width="11.5703125" customWidth="1"/>
    <col min="3" max="3" width="11.140625" customWidth="1"/>
    <col min="6" max="6" width="15.140625" customWidth="1"/>
    <col min="7" max="7" width="14.28515625" customWidth="1"/>
    <col min="9" max="9" width="13.7109375" customWidth="1"/>
    <col min="11" max="11" width="13.5703125" customWidth="1"/>
    <col min="12" max="12" width="12.140625" customWidth="1"/>
    <col min="13" max="13" width="11.85546875" customWidth="1"/>
    <col min="14" max="14" width="10.140625" customWidth="1"/>
  </cols>
  <sheetData>
    <row r="1" spans="1:15" x14ac:dyDescent="0.25">
      <c r="A1" s="16"/>
      <c r="B1" s="17" t="s">
        <v>1</v>
      </c>
      <c r="C1" s="17" t="s">
        <v>2</v>
      </c>
      <c r="D1" s="18" t="s">
        <v>1</v>
      </c>
      <c r="E1" s="18" t="s">
        <v>2</v>
      </c>
      <c r="F1" s="19" t="s">
        <v>1</v>
      </c>
      <c r="G1" s="19" t="s">
        <v>2</v>
      </c>
      <c r="H1" s="19" t="s">
        <v>9</v>
      </c>
      <c r="I1" s="18" t="s">
        <v>10</v>
      </c>
      <c r="J1" s="16" t="s">
        <v>11</v>
      </c>
      <c r="K1" s="18" t="s">
        <v>10</v>
      </c>
      <c r="L1" s="18" t="s">
        <v>4</v>
      </c>
      <c r="M1" s="18" t="s">
        <v>67</v>
      </c>
      <c r="N1" s="18" t="s">
        <v>52</v>
      </c>
      <c r="O1" s="18" t="s">
        <v>40</v>
      </c>
    </row>
    <row r="2" spans="1:15" x14ac:dyDescent="0.25">
      <c r="A2" s="25">
        <v>45597</v>
      </c>
      <c r="B2" s="46">
        <v>2390.114</v>
      </c>
      <c r="C2" s="46">
        <v>3730.7539999999999</v>
      </c>
      <c r="D2" s="47">
        <v>5120</v>
      </c>
      <c r="E2" s="47">
        <v>4870</v>
      </c>
      <c r="F2" s="13">
        <f t="shared" ref="F2:G31" si="0">B2*D2</f>
        <v>12237383.68</v>
      </c>
      <c r="G2" s="13">
        <f t="shared" si="0"/>
        <v>18168771.98</v>
      </c>
      <c r="H2" s="31">
        <v>36.5</v>
      </c>
      <c r="I2" s="13">
        <v>750000</v>
      </c>
      <c r="J2" s="27">
        <v>74.5</v>
      </c>
      <c r="K2" s="13">
        <v>547000</v>
      </c>
      <c r="L2" s="13">
        <v>24000</v>
      </c>
      <c r="M2" s="13">
        <v>526000</v>
      </c>
      <c r="N2" s="13">
        <v>130500</v>
      </c>
      <c r="O2" s="13"/>
    </row>
    <row r="3" spans="1:15" x14ac:dyDescent="0.25">
      <c r="A3" s="25">
        <v>45598</v>
      </c>
      <c r="B3" s="46">
        <v>2049.23</v>
      </c>
      <c r="C3" s="46">
        <v>4327.47</v>
      </c>
      <c r="D3" s="47">
        <v>5220</v>
      </c>
      <c r="E3" s="47">
        <v>4870</v>
      </c>
      <c r="F3" s="13">
        <f t="shared" si="0"/>
        <v>10696980.6</v>
      </c>
      <c r="G3" s="13">
        <f t="shared" si="0"/>
        <v>21074778.900000002</v>
      </c>
      <c r="H3" s="26">
        <v>65</v>
      </c>
      <c r="I3" s="13">
        <v>1514000</v>
      </c>
      <c r="J3" s="27">
        <v>30</v>
      </c>
      <c r="K3" s="13">
        <v>265000</v>
      </c>
      <c r="L3" s="13">
        <v>473000</v>
      </c>
      <c r="M3" s="13">
        <v>560000</v>
      </c>
      <c r="N3" s="13">
        <v>0</v>
      </c>
      <c r="O3" s="13"/>
    </row>
    <row r="4" spans="1:15" x14ac:dyDescent="0.25">
      <c r="A4" s="25">
        <v>45599</v>
      </c>
      <c r="B4" s="46">
        <v>1506.4749999999999</v>
      </c>
      <c r="C4" s="46">
        <v>1916.9839999999999</v>
      </c>
      <c r="D4" s="47">
        <v>5220</v>
      </c>
      <c r="E4" s="47">
        <v>4870</v>
      </c>
      <c r="F4" s="13">
        <f t="shared" si="0"/>
        <v>7863799.4999999991</v>
      </c>
      <c r="G4" s="13">
        <f t="shared" si="0"/>
        <v>9335712.0800000001</v>
      </c>
      <c r="H4" s="26">
        <v>44.5</v>
      </c>
      <c r="I4" s="13">
        <v>1040500</v>
      </c>
      <c r="J4" s="27">
        <v>67.5</v>
      </c>
      <c r="K4" s="13">
        <v>580000</v>
      </c>
      <c r="L4" s="13">
        <v>43000</v>
      </c>
      <c r="M4" s="13">
        <v>823500</v>
      </c>
      <c r="N4" s="13">
        <v>0</v>
      </c>
      <c r="O4" s="13"/>
    </row>
    <row r="5" spans="1:15" x14ac:dyDescent="0.25">
      <c r="A5" s="25">
        <v>45600</v>
      </c>
      <c r="B5" s="46">
        <v>2118.2199999999998</v>
      </c>
      <c r="C5" s="46">
        <v>5672.91</v>
      </c>
      <c r="D5" s="47">
        <v>5220</v>
      </c>
      <c r="E5" s="47">
        <v>4870</v>
      </c>
      <c r="F5" s="13">
        <f t="shared" si="0"/>
        <v>11057108.399999999</v>
      </c>
      <c r="G5" s="13">
        <f t="shared" si="0"/>
        <v>27627071.699999999</v>
      </c>
      <c r="H5" s="26">
        <v>40.75</v>
      </c>
      <c r="I5" s="13">
        <v>920500</v>
      </c>
      <c r="J5" s="27">
        <v>75.5</v>
      </c>
      <c r="K5" s="13">
        <v>663000</v>
      </c>
      <c r="L5" s="13">
        <v>38000</v>
      </c>
      <c r="M5" s="13">
        <v>681000</v>
      </c>
      <c r="N5" s="13">
        <v>126000</v>
      </c>
      <c r="O5" s="13"/>
    </row>
    <row r="6" spans="1:15" x14ac:dyDescent="0.25">
      <c r="A6" s="25">
        <v>45601</v>
      </c>
      <c r="B6" s="46">
        <v>2078.2370000000001</v>
      </c>
      <c r="C6" s="46">
        <v>2241.2939999999999</v>
      </c>
      <c r="D6" s="47">
        <v>5220</v>
      </c>
      <c r="E6" s="47">
        <v>4870</v>
      </c>
      <c r="F6" s="13">
        <f t="shared" si="0"/>
        <v>10848397.140000001</v>
      </c>
      <c r="G6" s="13">
        <f t="shared" si="0"/>
        <v>10915101.779999999</v>
      </c>
      <c r="H6" s="26">
        <v>116.75</v>
      </c>
      <c r="I6" s="13">
        <v>2712000</v>
      </c>
      <c r="J6" s="27">
        <v>76.5</v>
      </c>
      <c r="K6" s="13">
        <v>661000</v>
      </c>
      <c r="L6" s="13">
        <v>30000</v>
      </c>
      <c r="M6" s="13">
        <v>558000</v>
      </c>
      <c r="N6" s="13">
        <v>63000</v>
      </c>
      <c r="O6" s="13"/>
    </row>
    <row r="7" spans="1:15" x14ac:dyDescent="0.25">
      <c r="A7" s="25">
        <v>45602</v>
      </c>
      <c r="B7" s="46">
        <v>1864.4690000000001</v>
      </c>
      <c r="C7" s="46">
        <v>6845.4620000000004</v>
      </c>
      <c r="D7" s="47">
        <v>5220</v>
      </c>
      <c r="E7" s="47">
        <v>4870</v>
      </c>
      <c r="F7" s="13">
        <f t="shared" si="0"/>
        <v>9732528.1799999997</v>
      </c>
      <c r="G7" s="13">
        <f t="shared" si="0"/>
        <v>33337399.940000001</v>
      </c>
      <c r="H7" s="26">
        <v>54.5</v>
      </c>
      <c r="I7" s="13">
        <v>1182000</v>
      </c>
      <c r="J7" s="27">
        <v>58</v>
      </c>
      <c r="K7" s="13">
        <v>506000</v>
      </c>
      <c r="L7" s="13">
        <v>116000</v>
      </c>
      <c r="M7" s="13">
        <v>447500</v>
      </c>
      <c r="N7" s="13">
        <v>126000</v>
      </c>
      <c r="O7" s="13"/>
    </row>
    <row r="8" spans="1:15" x14ac:dyDescent="0.25">
      <c r="A8" s="25">
        <v>45603</v>
      </c>
      <c r="B8" s="46">
        <v>1742.5250000000001</v>
      </c>
      <c r="C8" s="46">
        <v>2339.5639999999999</v>
      </c>
      <c r="D8" s="47">
        <v>5220</v>
      </c>
      <c r="E8" s="47">
        <v>4870</v>
      </c>
      <c r="F8" s="13">
        <f t="shared" si="0"/>
        <v>9095980.5</v>
      </c>
      <c r="G8" s="13">
        <f t="shared" si="0"/>
        <v>11393676.68</v>
      </c>
      <c r="H8" s="26">
        <v>72.5</v>
      </c>
      <c r="I8" s="13">
        <v>1440500</v>
      </c>
      <c r="J8" s="27">
        <v>67</v>
      </c>
      <c r="K8" s="13">
        <v>581000</v>
      </c>
      <c r="L8" s="13">
        <v>54000</v>
      </c>
      <c r="M8" s="13">
        <v>356000</v>
      </c>
      <c r="N8" s="13">
        <v>0</v>
      </c>
      <c r="O8" s="13"/>
    </row>
    <row r="9" spans="1:15" x14ac:dyDescent="0.25">
      <c r="A9" s="25">
        <v>45604</v>
      </c>
      <c r="B9" s="46">
        <v>2133.1410000000001</v>
      </c>
      <c r="C9" s="46">
        <v>3080.9349999999999</v>
      </c>
      <c r="D9" s="47">
        <v>5220</v>
      </c>
      <c r="E9" s="47">
        <v>4870</v>
      </c>
      <c r="F9" s="13">
        <f t="shared" si="0"/>
        <v>11134996.02</v>
      </c>
      <c r="G9" s="13">
        <f t="shared" si="0"/>
        <v>15004153.449999999</v>
      </c>
      <c r="H9" s="26">
        <v>91</v>
      </c>
      <c r="I9" s="13">
        <v>2187500</v>
      </c>
      <c r="J9" s="27">
        <v>76</v>
      </c>
      <c r="K9" s="13">
        <v>665000</v>
      </c>
      <c r="L9" s="13">
        <v>30000</v>
      </c>
      <c r="M9" s="13">
        <v>478500</v>
      </c>
      <c r="N9" s="13">
        <v>126000</v>
      </c>
      <c r="O9" s="13"/>
    </row>
    <row r="10" spans="1:15" x14ac:dyDescent="0.25">
      <c r="A10" s="25">
        <v>45605</v>
      </c>
      <c r="B10" s="46">
        <v>1901.83</v>
      </c>
      <c r="C10" s="46">
        <v>2498.08</v>
      </c>
      <c r="D10" s="47">
        <v>5220</v>
      </c>
      <c r="E10" s="47">
        <v>4870</v>
      </c>
      <c r="F10" s="13">
        <f t="shared" si="0"/>
        <v>9927552.5999999996</v>
      </c>
      <c r="G10" s="13">
        <f t="shared" si="0"/>
        <v>12165649.6</v>
      </c>
      <c r="H10" s="26">
        <v>59.25</v>
      </c>
      <c r="I10" s="13">
        <v>1348000</v>
      </c>
      <c r="J10" s="27">
        <v>67</v>
      </c>
      <c r="K10" s="13">
        <v>581000</v>
      </c>
      <c r="L10" s="13">
        <v>31000</v>
      </c>
      <c r="M10" s="13">
        <v>1017300</v>
      </c>
      <c r="N10" s="13">
        <v>126000</v>
      </c>
      <c r="O10" s="13"/>
    </row>
    <row r="11" spans="1:15" x14ac:dyDescent="0.25">
      <c r="A11" s="25">
        <v>45606</v>
      </c>
      <c r="B11" s="46">
        <v>1506.0329999999999</v>
      </c>
      <c r="C11" s="46">
        <v>2185.2150000000001</v>
      </c>
      <c r="D11" s="47">
        <v>5220</v>
      </c>
      <c r="E11" s="47">
        <v>4870</v>
      </c>
      <c r="F11" s="13">
        <f t="shared" si="0"/>
        <v>7861492.2599999998</v>
      </c>
      <c r="G11" s="13">
        <f t="shared" si="0"/>
        <v>10641997.050000001</v>
      </c>
      <c r="H11" s="26">
        <v>22.75</v>
      </c>
      <c r="I11" s="13">
        <v>649500</v>
      </c>
      <c r="J11" s="27">
        <v>104.5</v>
      </c>
      <c r="K11" s="13">
        <v>896000</v>
      </c>
      <c r="L11" s="13">
        <v>15000</v>
      </c>
      <c r="M11" s="13">
        <v>652000</v>
      </c>
      <c r="N11" s="13">
        <v>205500</v>
      </c>
      <c r="O11" s="13"/>
    </row>
    <row r="12" spans="1:15" x14ac:dyDescent="0.25">
      <c r="A12" s="25">
        <v>45607</v>
      </c>
      <c r="B12" s="46">
        <v>1837.6279999999999</v>
      </c>
      <c r="C12" s="46">
        <v>2653.8150000000001</v>
      </c>
      <c r="D12" s="47">
        <v>5220</v>
      </c>
      <c r="E12" s="47">
        <v>4870</v>
      </c>
      <c r="F12" s="13">
        <f t="shared" si="0"/>
        <v>9592418.1600000001</v>
      </c>
      <c r="G12" s="13">
        <f t="shared" si="0"/>
        <v>12924079.050000001</v>
      </c>
      <c r="H12" s="26">
        <v>36.5</v>
      </c>
      <c r="I12" s="51">
        <v>849500</v>
      </c>
      <c r="J12" s="27">
        <v>109</v>
      </c>
      <c r="K12" s="13">
        <v>955000</v>
      </c>
      <c r="L12" s="13">
        <v>80000</v>
      </c>
      <c r="M12" s="13">
        <v>446000</v>
      </c>
      <c r="N12" s="13">
        <v>189000</v>
      </c>
      <c r="O12" s="13"/>
    </row>
    <row r="13" spans="1:15" x14ac:dyDescent="0.25">
      <c r="A13" s="25">
        <v>45608</v>
      </c>
      <c r="B13" s="46">
        <v>1693.905</v>
      </c>
      <c r="C13" s="46">
        <v>3198.2579999999998</v>
      </c>
      <c r="D13" s="47">
        <v>5120</v>
      </c>
      <c r="E13" s="47">
        <v>4870</v>
      </c>
      <c r="F13" s="13">
        <f t="shared" si="0"/>
        <v>8672793.5999999996</v>
      </c>
      <c r="G13" s="13">
        <f t="shared" si="0"/>
        <v>15575516.459999999</v>
      </c>
      <c r="H13" s="26">
        <v>46.25</v>
      </c>
      <c r="I13" s="13">
        <v>1045500</v>
      </c>
      <c r="J13" s="27">
        <v>49.5</v>
      </c>
      <c r="K13" s="13">
        <v>421000</v>
      </c>
      <c r="L13" s="13">
        <v>8000</v>
      </c>
      <c r="M13" s="13">
        <v>614000</v>
      </c>
      <c r="N13" s="13">
        <v>0</v>
      </c>
      <c r="O13" s="13"/>
    </row>
    <row r="14" spans="1:15" x14ac:dyDescent="0.25">
      <c r="A14" s="25">
        <v>45609</v>
      </c>
      <c r="B14" s="46">
        <v>1772.1079999999999</v>
      </c>
      <c r="C14" s="46">
        <v>3298.317</v>
      </c>
      <c r="D14" s="47">
        <v>5120</v>
      </c>
      <c r="E14" s="47">
        <v>4870</v>
      </c>
      <c r="F14" s="13">
        <f t="shared" si="0"/>
        <v>9073192.959999999</v>
      </c>
      <c r="G14" s="13">
        <f t="shared" si="0"/>
        <v>16062803.789999999</v>
      </c>
      <c r="H14" s="26">
        <v>46.5</v>
      </c>
      <c r="I14" s="13">
        <v>1010000</v>
      </c>
      <c r="J14" s="27">
        <v>36</v>
      </c>
      <c r="K14" s="13">
        <v>318000</v>
      </c>
      <c r="L14" s="13">
        <v>8000</v>
      </c>
      <c r="M14" s="13">
        <v>507000</v>
      </c>
      <c r="N14" s="13">
        <v>126000</v>
      </c>
      <c r="O14" s="13"/>
    </row>
    <row r="15" spans="1:15" x14ac:dyDescent="0.25">
      <c r="A15" s="25">
        <v>45610</v>
      </c>
      <c r="B15" s="46">
        <v>1762.011</v>
      </c>
      <c r="C15" s="46">
        <v>2740.6039999999998</v>
      </c>
      <c r="D15" s="47">
        <v>5120</v>
      </c>
      <c r="E15" s="47">
        <v>4870</v>
      </c>
      <c r="F15" s="13">
        <f t="shared" si="0"/>
        <v>9021496.3200000003</v>
      </c>
      <c r="G15" s="13">
        <f t="shared" si="0"/>
        <v>13346741.479999999</v>
      </c>
      <c r="H15" s="13">
        <v>37</v>
      </c>
      <c r="I15" s="13">
        <v>762500</v>
      </c>
      <c r="J15" s="27">
        <v>24</v>
      </c>
      <c r="K15" s="13">
        <v>212000</v>
      </c>
      <c r="L15" s="13">
        <v>65000</v>
      </c>
      <c r="M15" s="13">
        <v>501500</v>
      </c>
      <c r="N15" s="13">
        <v>0</v>
      </c>
      <c r="O15" s="13"/>
    </row>
    <row r="16" spans="1:15" x14ac:dyDescent="0.25">
      <c r="A16" s="25">
        <v>45611</v>
      </c>
      <c r="B16" s="46">
        <v>1872.5329999999999</v>
      </c>
      <c r="C16" s="46">
        <v>4491.768</v>
      </c>
      <c r="D16" s="47">
        <v>5120</v>
      </c>
      <c r="E16" s="47">
        <v>4870</v>
      </c>
      <c r="F16" s="13">
        <f t="shared" si="0"/>
        <v>9587368.959999999</v>
      </c>
      <c r="G16" s="13">
        <f t="shared" si="0"/>
        <v>21874910.16</v>
      </c>
      <c r="H16" s="26">
        <v>23.25</v>
      </c>
      <c r="I16" s="13">
        <v>510500</v>
      </c>
      <c r="J16" s="27">
        <v>27</v>
      </c>
      <c r="K16" s="13">
        <v>240000</v>
      </c>
      <c r="L16" s="13">
        <v>40000</v>
      </c>
      <c r="M16" s="13">
        <v>615500</v>
      </c>
      <c r="N16" s="13">
        <v>0</v>
      </c>
      <c r="O16" s="13"/>
    </row>
    <row r="17" spans="1:15" x14ac:dyDescent="0.25">
      <c r="A17" s="25">
        <v>45612</v>
      </c>
      <c r="B17" s="46">
        <v>2255.1170000000002</v>
      </c>
      <c r="C17" s="46">
        <v>1538.058</v>
      </c>
      <c r="D17" s="47">
        <v>5120</v>
      </c>
      <c r="E17" s="47">
        <v>4870</v>
      </c>
      <c r="F17" s="13">
        <f>B17*D17</f>
        <v>11546199.040000001</v>
      </c>
      <c r="G17" s="13">
        <f t="shared" si="0"/>
        <v>7490342.46</v>
      </c>
      <c r="H17" s="26">
        <v>43.75</v>
      </c>
      <c r="I17" s="13">
        <v>1001500</v>
      </c>
      <c r="J17" s="27">
        <v>18</v>
      </c>
      <c r="K17" s="13">
        <v>159000</v>
      </c>
      <c r="L17" s="13">
        <v>23000</v>
      </c>
      <c r="M17" s="13">
        <v>745500</v>
      </c>
      <c r="N17" s="13">
        <v>0</v>
      </c>
      <c r="O17" s="13"/>
    </row>
    <row r="18" spans="1:15" x14ac:dyDescent="0.25">
      <c r="A18" s="25">
        <v>45613</v>
      </c>
      <c r="B18" s="46">
        <v>1375.29</v>
      </c>
      <c r="C18" s="46">
        <v>1452.518</v>
      </c>
      <c r="D18" s="47">
        <v>5120</v>
      </c>
      <c r="E18" s="47">
        <v>4870</v>
      </c>
      <c r="F18" s="13">
        <f t="shared" si="0"/>
        <v>7041484.7999999998</v>
      </c>
      <c r="G18" s="13">
        <f t="shared" si="0"/>
        <v>7073762.6600000001</v>
      </c>
      <c r="H18" s="26">
        <v>42</v>
      </c>
      <c r="I18" s="13">
        <v>931500</v>
      </c>
      <c r="J18" s="12">
        <v>27</v>
      </c>
      <c r="K18" s="13">
        <v>240000</v>
      </c>
      <c r="L18" s="13">
        <v>15000</v>
      </c>
      <c r="M18" s="13">
        <v>433000</v>
      </c>
      <c r="N18" s="13">
        <v>252000</v>
      </c>
      <c r="O18" s="13"/>
    </row>
    <row r="19" spans="1:15" x14ac:dyDescent="0.25">
      <c r="A19" s="25">
        <v>45614</v>
      </c>
      <c r="B19" s="46">
        <v>1868.21</v>
      </c>
      <c r="C19" s="46">
        <v>1614.702</v>
      </c>
      <c r="D19" s="47">
        <v>5120</v>
      </c>
      <c r="E19" s="47">
        <v>4870</v>
      </c>
      <c r="F19" s="13">
        <f t="shared" si="0"/>
        <v>9565235.1999999993</v>
      </c>
      <c r="G19" s="13">
        <f t="shared" si="0"/>
        <v>7863598.7400000002</v>
      </c>
      <c r="H19" s="26">
        <v>32.5</v>
      </c>
      <c r="I19" s="13">
        <v>694000</v>
      </c>
      <c r="J19" s="12">
        <v>135</v>
      </c>
      <c r="K19" s="13">
        <v>845000</v>
      </c>
      <c r="L19" s="13">
        <v>99000</v>
      </c>
      <c r="M19" s="13">
        <v>813500</v>
      </c>
      <c r="N19" s="13">
        <v>511000</v>
      </c>
      <c r="O19" s="13"/>
    </row>
    <row r="20" spans="1:15" x14ac:dyDescent="0.25">
      <c r="A20" s="25">
        <v>45615</v>
      </c>
      <c r="B20" s="46">
        <v>1939.1569999999999</v>
      </c>
      <c r="C20" s="46">
        <v>2663.4780000000001</v>
      </c>
      <c r="D20" s="47">
        <v>5120</v>
      </c>
      <c r="E20" s="47">
        <v>4870</v>
      </c>
      <c r="F20" s="13">
        <f t="shared" si="0"/>
        <v>9928483.8399999999</v>
      </c>
      <c r="G20" s="13">
        <f t="shared" si="0"/>
        <v>12971137.859999999</v>
      </c>
      <c r="H20" s="26">
        <v>39.5</v>
      </c>
      <c r="I20" s="13">
        <v>832500</v>
      </c>
      <c r="J20" s="12">
        <v>108.5</v>
      </c>
      <c r="K20" s="13">
        <v>838000</v>
      </c>
      <c r="L20" s="13">
        <v>45000</v>
      </c>
      <c r="M20" s="13">
        <v>462000</v>
      </c>
      <c r="N20" s="13">
        <v>270500</v>
      </c>
      <c r="O20" s="13"/>
    </row>
    <row r="21" spans="1:15" x14ac:dyDescent="0.25">
      <c r="A21" s="25">
        <v>45616</v>
      </c>
      <c r="B21" s="46">
        <v>1563.8150000000001</v>
      </c>
      <c r="C21" s="46">
        <v>2513.058</v>
      </c>
      <c r="D21" s="47">
        <v>5120</v>
      </c>
      <c r="E21" s="47">
        <v>4870</v>
      </c>
      <c r="F21" s="13">
        <f t="shared" si="0"/>
        <v>8006732.8000000007</v>
      </c>
      <c r="G21" s="13">
        <f t="shared" si="0"/>
        <v>12238592.460000001</v>
      </c>
      <c r="H21" s="26">
        <v>24.5</v>
      </c>
      <c r="I21" s="13">
        <v>711000</v>
      </c>
      <c r="J21" s="12">
        <v>27</v>
      </c>
      <c r="K21" s="13">
        <v>243000</v>
      </c>
      <c r="L21" s="13">
        <v>30000</v>
      </c>
      <c r="M21" s="13">
        <v>622800</v>
      </c>
      <c r="N21" s="13">
        <v>92000</v>
      </c>
      <c r="O21" s="13"/>
    </row>
    <row r="22" spans="1:15" x14ac:dyDescent="0.25">
      <c r="A22" s="25">
        <v>45617</v>
      </c>
      <c r="B22" s="46">
        <v>1803.356</v>
      </c>
      <c r="C22" s="46">
        <v>2867.846</v>
      </c>
      <c r="D22" s="47">
        <v>5120</v>
      </c>
      <c r="E22" s="47">
        <v>4870</v>
      </c>
      <c r="F22" s="13">
        <f t="shared" si="0"/>
        <v>9233182.7200000007</v>
      </c>
      <c r="G22" s="13">
        <f t="shared" si="0"/>
        <v>13966410.02</v>
      </c>
      <c r="H22" s="26">
        <v>31.5</v>
      </c>
      <c r="I22" s="13">
        <v>730500</v>
      </c>
      <c r="J22" s="12">
        <v>54.5</v>
      </c>
      <c r="K22" s="13">
        <v>476000</v>
      </c>
      <c r="L22" s="13">
        <v>75000</v>
      </c>
      <c r="M22" s="13">
        <v>420000</v>
      </c>
      <c r="N22" s="13">
        <v>0</v>
      </c>
      <c r="O22" s="13"/>
    </row>
    <row r="23" spans="1:15" x14ac:dyDescent="0.25">
      <c r="A23" s="25">
        <v>45618</v>
      </c>
      <c r="B23" s="46">
        <v>1720.1469999999999</v>
      </c>
      <c r="C23" s="46">
        <v>2319.42</v>
      </c>
      <c r="D23" s="47">
        <v>5120</v>
      </c>
      <c r="E23" s="47">
        <v>4970</v>
      </c>
      <c r="F23" s="13">
        <f t="shared" si="0"/>
        <v>8807152.6400000006</v>
      </c>
      <c r="G23" s="13">
        <f t="shared" si="0"/>
        <v>11527517.4</v>
      </c>
      <c r="H23" s="26">
        <v>30.75</v>
      </c>
      <c r="I23" s="13">
        <v>718000</v>
      </c>
      <c r="J23" s="12">
        <v>37</v>
      </c>
      <c r="K23" s="13">
        <v>316000</v>
      </c>
      <c r="L23" s="13">
        <v>130000</v>
      </c>
      <c r="M23" s="13">
        <v>424800</v>
      </c>
      <c r="N23" s="13">
        <v>0</v>
      </c>
      <c r="O23" s="13"/>
    </row>
    <row r="24" spans="1:15" x14ac:dyDescent="0.25">
      <c r="A24" s="25">
        <v>45619</v>
      </c>
      <c r="B24" s="46">
        <v>1703.0519999999999</v>
      </c>
      <c r="C24" s="46">
        <v>2152.17</v>
      </c>
      <c r="D24" s="47">
        <v>5120</v>
      </c>
      <c r="E24" s="47">
        <v>4870</v>
      </c>
      <c r="F24" s="13">
        <f t="shared" si="0"/>
        <v>8719626.2400000002</v>
      </c>
      <c r="G24" s="13">
        <f t="shared" si="0"/>
        <v>10481067.9</v>
      </c>
      <c r="H24" s="26">
        <v>85</v>
      </c>
      <c r="I24" s="13">
        <v>1887000</v>
      </c>
      <c r="J24" s="12">
        <v>54</v>
      </c>
      <c r="K24" s="13">
        <v>483000</v>
      </c>
      <c r="L24" s="13">
        <v>444000</v>
      </c>
      <c r="M24" s="13">
        <v>1141000</v>
      </c>
      <c r="N24" s="13">
        <v>92000</v>
      </c>
      <c r="O24" s="13"/>
    </row>
    <row r="25" spans="1:15" x14ac:dyDescent="0.25">
      <c r="A25" s="25">
        <v>45620</v>
      </c>
      <c r="B25" s="46">
        <v>1444.567</v>
      </c>
      <c r="C25" s="46">
        <v>929.96299999999997</v>
      </c>
      <c r="D25" s="47">
        <v>5120</v>
      </c>
      <c r="E25" s="47">
        <v>4870</v>
      </c>
      <c r="F25" s="13">
        <f t="shared" si="0"/>
        <v>7396183.04</v>
      </c>
      <c r="G25" s="13">
        <f t="shared" si="0"/>
        <v>4528919.8099999996</v>
      </c>
      <c r="H25" s="26">
        <v>52</v>
      </c>
      <c r="I25" s="13">
        <v>1168500</v>
      </c>
      <c r="J25" s="12">
        <v>33</v>
      </c>
      <c r="K25" s="13">
        <v>293000</v>
      </c>
      <c r="L25" s="13">
        <v>15000</v>
      </c>
      <c r="M25" s="13">
        <v>530000</v>
      </c>
      <c r="N25" s="13">
        <v>80000</v>
      </c>
      <c r="O25" s="13"/>
    </row>
    <row r="26" spans="1:15" x14ac:dyDescent="0.25">
      <c r="A26" s="25">
        <v>45621</v>
      </c>
      <c r="B26" s="46">
        <v>2170.65</v>
      </c>
      <c r="C26" s="46">
        <v>3256.41</v>
      </c>
      <c r="D26" s="47">
        <v>5120</v>
      </c>
      <c r="E26" s="47">
        <v>4870</v>
      </c>
      <c r="F26" s="13">
        <f t="shared" si="0"/>
        <v>11113728</v>
      </c>
      <c r="G26" s="13">
        <f t="shared" si="0"/>
        <v>15858716.699999999</v>
      </c>
      <c r="H26" s="26">
        <v>39.25</v>
      </c>
      <c r="I26" s="13">
        <v>848500</v>
      </c>
      <c r="J26" s="12">
        <v>27.5</v>
      </c>
      <c r="K26" s="13">
        <v>239000</v>
      </c>
      <c r="L26" s="13">
        <v>30000</v>
      </c>
      <c r="M26" s="13">
        <v>540500</v>
      </c>
      <c r="N26" s="13">
        <v>130500</v>
      </c>
      <c r="O26" s="13"/>
    </row>
    <row r="27" spans="1:15" x14ac:dyDescent="0.25">
      <c r="A27" s="25">
        <v>45622</v>
      </c>
      <c r="B27" s="46">
        <v>1687.51</v>
      </c>
      <c r="C27" s="46">
        <v>5493.3270000000002</v>
      </c>
      <c r="D27" s="47">
        <v>5120</v>
      </c>
      <c r="E27" s="47">
        <v>4870</v>
      </c>
      <c r="F27" s="13">
        <f t="shared" si="0"/>
        <v>8640051.1999999993</v>
      </c>
      <c r="G27" s="13">
        <f t="shared" si="0"/>
        <v>26752502.490000002</v>
      </c>
      <c r="H27" s="26">
        <v>13</v>
      </c>
      <c r="I27" s="13">
        <v>249000</v>
      </c>
      <c r="J27" s="12">
        <v>24</v>
      </c>
      <c r="K27" s="13">
        <v>212000</v>
      </c>
      <c r="L27" s="13">
        <v>15000</v>
      </c>
      <c r="M27" s="13">
        <v>429100</v>
      </c>
      <c r="N27" s="13">
        <v>63000</v>
      </c>
      <c r="O27" s="13"/>
    </row>
    <row r="28" spans="1:15" x14ac:dyDescent="0.25">
      <c r="A28" s="25">
        <v>45623</v>
      </c>
      <c r="B28" s="46">
        <v>1950.1990000000001</v>
      </c>
      <c r="C28" s="46">
        <v>4131.6130000000003</v>
      </c>
      <c r="D28" s="47">
        <v>5120</v>
      </c>
      <c r="E28" s="47">
        <v>4870</v>
      </c>
      <c r="F28" s="13">
        <f t="shared" si="0"/>
        <v>9985018.8800000008</v>
      </c>
      <c r="G28" s="13">
        <f t="shared" si="0"/>
        <v>20120955.310000002</v>
      </c>
      <c r="H28" s="26">
        <v>88</v>
      </c>
      <c r="I28" s="13">
        <v>1209000</v>
      </c>
      <c r="J28" s="12">
        <v>76.5</v>
      </c>
      <c r="K28" s="13">
        <v>661000</v>
      </c>
      <c r="L28" s="13">
        <v>141000</v>
      </c>
      <c r="M28" s="13">
        <v>552000</v>
      </c>
      <c r="N28" s="13">
        <v>110000</v>
      </c>
      <c r="O28" s="13"/>
    </row>
    <row r="29" spans="1:15" x14ac:dyDescent="0.25">
      <c r="A29" s="25">
        <v>45624</v>
      </c>
      <c r="B29" s="46">
        <v>1923.3920000000001</v>
      </c>
      <c r="C29" s="46">
        <v>2324.386</v>
      </c>
      <c r="D29" s="47">
        <v>5120</v>
      </c>
      <c r="E29" s="47">
        <v>4870</v>
      </c>
      <c r="F29" s="13">
        <f t="shared" si="0"/>
        <v>9847767.040000001</v>
      </c>
      <c r="G29" s="13">
        <f t="shared" si="0"/>
        <v>11319759.82</v>
      </c>
      <c r="H29" s="26">
        <v>50</v>
      </c>
      <c r="I29" s="13">
        <v>1086500</v>
      </c>
      <c r="J29" s="12">
        <v>60.5</v>
      </c>
      <c r="K29" s="13">
        <v>529000</v>
      </c>
      <c r="L29" s="13">
        <v>38000</v>
      </c>
      <c r="M29" s="13">
        <v>474000</v>
      </c>
      <c r="N29" s="13">
        <v>17000</v>
      </c>
      <c r="O29" s="13"/>
    </row>
    <row r="30" spans="1:15" x14ac:dyDescent="0.25">
      <c r="A30" s="25">
        <v>45625</v>
      </c>
      <c r="B30" s="46">
        <v>1766.6510000000001</v>
      </c>
      <c r="C30" s="46">
        <v>5325.3440000000001</v>
      </c>
      <c r="D30" s="47">
        <v>5120</v>
      </c>
      <c r="E30" s="47">
        <v>4870</v>
      </c>
      <c r="F30" s="13">
        <f t="shared" si="0"/>
        <v>9045253.120000001</v>
      </c>
      <c r="G30" s="13">
        <f t="shared" si="0"/>
        <v>25934425.280000001</v>
      </c>
      <c r="H30" s="26">
        <v>42.25</v>
      </c>
      <c r="I30" s="13">
        <v>926500</v>
      </c>
      <c r="J30" s="12">
        <v>66.5</v>
      </c>
      <c r="K30" s="13">
        <v>582000</v>
      </c>
      <c r="L30" s="13">
        <v>94000</v>
      </c>
      <c r="M30" s="13">
        <v>900100</v>
      </c>
      <c r="N30" s="13">
        <v>92000</v>
      </c>
      <c r="O30" s="13"/>
    </row>
    <row r="31" spans="1:15" x14ac:dyDescent="0.25">
      <c r="A31" s="25">
        <v>45626</v>
      </c>
      <c r="B31" s="46">
        <v>1837.423</v>
      </c>
      <c r="C31" s="46">
        <v>2565.0250000000001</v>
      </c>
      <c r="D31" s="47">
        <v>5120</v>
      </c>
      <c r="E31" s="47">
        <v>4870</v>
      </c>
      <c r="F31" s="13">
        <f t="shared" si="0"/>
        <v>9407605.7599999998</v>
      </c>
      <c r="G31" s="13">
        <f t="shared" si="0"/>
        <v>12491671.75</v>
      </c>
      <c r="H31" s="26">
        <v>55.75</v>
      </c>
      <c r="I31" s="13">
        <v>1229500</v>
      </c>
      <c r="J31" s="12">
        <v>61.5</v>
      </c>
      <c r="K31" s="13">
        <v>527000</v>
      </c>
      <c r="L31" s="13">
        <v>96000</v>
      </c>
      <c r="M31" s="13">
        <v>838200</v>
      </c>
      <c r="N31" s="13">
        <v>189000</v>
      </c>
      <c r="O31" s="13"/>
    </row>
    <row r="32" spans="1:15" x14ac:dyDescent="0.25">
      <c r="A32" s="25" t="s">
        <v>84</v>
      </c>
      <c r="B32" s="46"/>
      <c r="C32" s="46"/>
      <c r="D32" s="47"/>
      <c r="E32" s="47"/>
      <c r="F32" s="13">
        <f t="shared" ref="F32:G32" si="1">B32*D32</f>
        <v>0</v>
      </c>
      <c r="G32" s="13">
        <f t="shared" si="1"/>
        <v>0</v>
      </c>
      <c r="H32" s="26"/>
      <c r="I32" s="13"/>
      <c r="J32" s="12"/>
      <c r="K32" s="13"/>
      <c r="L32" s="13"/>
      <c r="M32" s="13"/>
      <c r="N32" s="13"/>
      <c r="O32" s="13"/>
    </row>
    <row r="33" spans="1:15" x14ac:dyDescent="0.25">
      <c r="A33" s="15"/>
      <c r="B33" s="37">
        <f>SUM(B1:B32)</f>
        <v>55236.995000000003</v>
      </c>
      <c r="C33" s="37">
        <f>SUM(C1:C32)</f>
        <v>92368.748000000007</v>
      </c>
      <c r="D33" s="38"/>
      <c r="E33" s="38"/>
      <c r="F33" s="39">
        <f>SUM(F1:F32)</f>
        <v>284687193.19999999</v>
      </c>
      <c r="G33" s="39">
        <f>SUM(G1:G32)</f>
        <v>450067744.75999987</v>
      </c>
      <c r="H33" s="39">
        <f t="shared" ref="H33:I33" si="2">SUM(H1:H32)</f>
        <v>1462.75</v>
      </c>
      <c r="I33" s="39">
        <f t="shared" si="2"/>
        <v>32146000</v>
      </c>
      <c r="J33" s="39">
        <f>SUM(J1:J32)</f>
        <v>1752.5</v>
      </c>
      <c r="K33" s="39">
        <f>SUM(K1:K32)</f>
        <v>14734000</v>
      </c>
      <c r="L33" s="39">
        <f>SUM(L1:L32)</f>
        <v>2345000</v>
      </c>
      <c r="M33" s="38">
        <f>SUM(M1:M32)</f>
        <v>18110300</v>
      </c>
      <c r="N33" s="38">
        <f>SUM(N2:N32)</f>
        <v>3117000</v>
      </c>
      <c r="O33" s="38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33"/>
  <sheetViews>
    <sheetView topLeftCell="A13" zoomScale="90" zoomScaleNormal="90" workbookViewId="0">
      <selection activeCell="I37" sqref="I37"/>
    </sheetView>
  </sheetViews>
  <sheetFormatPr defaultRowHeight="15" x14ac:dyDescent="0.25"/>
  <cols>
    <col min="1" max="1" width="10.42578125" bestFit="1" customWidth="1"/>
    <col min="2" max="4" width="11" bestFit="1" customWidth="1"/>
    <col min="5" max="5" width="6.28515625" customWidth="1"/>
    <col min="6" max="6" width="14.7109375" customWidth="1"/>
    <col min="7" max="7" width="14" customWidth="1"/>
    <col min="9" max="9" width="13.5703125" bestFit="1" customWidth="1"/>
    <col min="11" max="11" width="13" customWidth="1"/>
    <col min="12" max="12" width="12.5703125" customWidth="1"/>
    <col min="13" max="13" width="11" bestFit="1" customWidth="1"/>
    <col min="14" max="14" width="10.42578125" customWidth="1"/>
  </cols>
  <sheetData>
    <row r="1" spans="1:15" x14ac:dyDescent="0.25">
      <c r="A1" s="16"/>
      <c r="B1" s="17" t="s">
        <v>1</v>
      </c>
      <c r="C1" s="17" t="s">
        <v>2</v>
      </c>
      <c r="D1" s="18" t="s">
        <v>1</v>
      </c>
      <c r="E1" s="18" t="s">
        <v>2</v>
      </c>
      <c r="F1" s="19" t="s">
        <v>1</v>
      </c>
      <c r="G1" s="19" t="s">
        <v>2</v>
      </c>
      <c r="H1" s="19" t="s">
        <v>9</v>
      </c>
      <c r="I1" s="18" t="s">
        <v>10</v>
      </c>
      <c r="J1" s="16" t="s">
        <v>11</v>
      </c>
      <c r="K1" s="18" t="s">
        <v>10</v>
      </c>
      <c r="L1" s="18" t="s">
        <v>4</v>
      </c>
      <c r="M1" s="18" t="s">
        <v>67</v>
      </c>
      <c r="N1" s="18" t="s">
        <v>52</v>
      </c>
      <c r="O1" s="18" t="s">
        <v>40</v>
      </c>
    </row>
    <row r="2" spans="1:15" x14ac:dyDescent="0.25">
      <c r="A2" s="25">
        <v>45627</v>
      </c>
      <c r="B2" s="46">
        <v>1752.2170000000001</v>
      </c>
      <c r="C2" s="46">
        <v>3189.348</v>
      </c>
      <c r="D2" s="47">
        <v>5120</v>
      </c>
      <c r="E2" s="47">
        <v>4870</v>
      </c>
      <c r="F2" s="13">
        <f t="shared" ref="F2:G31" si="0">B2*D2</f>
        <v>8971351.040000001</v>
      </c>
      <c r="G2" s="13">
        <f t="shared" si="0"/>
        <v>15532124.76</v>
      </c>
      <c r="H2" s="31">
        <v>23.5</v>
      </c>
      <c r="I2" s="13">
        <v>509500</v>
      </c>
      <c r="J2" s="27">
        <v>30</v>
      </c>
      <c r="K2" s="13">
        <v>1021000</v>
      </c>
      <c r="L2" s="13">
        <v>60000</v>
      </c>
      <c r="M2" s="13">
        <v>521000</v>
      </c>
      <c r="N2" s="13">
        <v>247000</v>
      </c>
      <c r="O2" s="13"/>
    </row>
    <row r="3" spans="1:15" x14ac:dyDescent="0.25">
      <c r="A3" s="25">
        <v>45628</v>
      </c>
      <c r="B3" s="46">
        <v>1549.203</v>
      </c>
      <c r="C3" s="46">
        <v>3989.5439999999999</v>
      </c>
      <c r="D3" s="47">
        <v>5120</v>
      </c>
      <c r="E3" s="47">
        <v>4870</v>
      </c>
      <c r="F3" s="13">
        <f t="shared" si="0"/>
        <v>7931919.3599999994</v>
      </c>
      <c r="G3" s="13">
        <f t="shared" si="0"/>
        <v>19429079.280000001</v>
      </c>
      <c r="H3" s="26">
        <v>58.5</v>
      </c>
      <c r="I3" s="13">
        <v>1363500</v>
      </c>
      <c r="J3" s="27">
        <v>93</v>
      </c>
      <c r="K3" s="13">
        <v>705000</v>
      </c>
      <c r="L3" s="13">
        <v>8000</v>
      </c>
      <c r="M3" s="13">
        <v>689500</v>
      </c>
      <c r="N3" s="13">
        <v>222500</v>
      </c>
      <c r="O3" s="13"/>
    </row>
    <row r="4" spans="1:15" x14ac:dyDescent="0.25">
      <c r="A4" s="25">
        <v>45629</v>
      </c>
      <c r="B4" s="46">
        <v>2308.355</v>
      </c>
      <c r="C4" s="46">
        <v>3604.7249999999999</v>
      </c>
      <c r="D4" s="47">
        <v>5120</v>
      </c>
      <c r="E4" s="47">
        <v>4870</v>
      </c>
      <c r="F4" s="13">
        <f t="shared" si="0"/>
        <v>11818777.6</v>
      </c>
      <c r="G4" s="13">
        <f t="shared" si="0"/>
        <v>17555010.75</v>
      </c>
      <c r="H4" s="26">
        <v>49.25</v>
      </c>
      <c r="I4" s="13">
        <v>1080000</v>
      </c>
      <c r="J4" s="27">
        <v>67.5</v>
      </c>
      <c r="K4" s="13">
        <v>685000</v>
      </c>
      <c r="L4" s="13">
        <v>201000</v>
      </c>
      <c r="M4" s="13">
        <v>500500</v>
      </c>
      <c r="N4" s="13">
        <v>155000</v>
      </c>
      <c r="O4" s="13"/>
    </row>
    <row r="5" spans="1:15" x14ac:dyDescent="0.25">
      <c r="A5" s="25">
        <v>45630</v>
      </c>
      <c r="B5" s="46">
        <v>1932.1469999999999</v>
      </c>
      <c r="C5" s="46">
        <v>2536.4009999999998</v>
      </c>
      <c r="D5" s="47">
        <v>5120</v>
      </c>
      <c r="E5" s="47">
        <v>4870</v>
      </c>
      <c r="F5" s="13">
        <f t="shared" si="0"/>
        <v>9892592.6400000006</v>
      </c>
      <c r="G5" s="13">
        <f t="shared" si="0"/>
        <v>12352272.869999999</v>
      </c>
      <c r="H5" s="26">
        <v>38</v>
      </c>
      <c r="I5" s="13">
        <v>849500</v>
      </c>
      <c r="J5" s="27">
        <v>68.5</v>
      </c>
      <c r="K5" s="13">
        <v>578000</v>
      </c>
      <c r="L5" s="13">
        <v>8000</v>
      </c>
      <c r="M5" s="13">
        <v>718900</v>
      </c>
      <c r="N5" s="13">
        <v>144500</v>
      </c>
      <c r="O5" s="13"/>
    </row>
    <row r="6" spans="1:15" x14ac:dyDescent="0.25">
      <c r="A6" s="25">
        <v>45631</v>
      </c>
      <c r="B6" s="46">
        <v>1812.4649999999999</v>
      </c>
      <c r="C6" s="46">
        <v>3147.3</v>
      </c>
      <c r="D6" s="47">
        <v>5120</v>
      </c>
      <c r="E6" s="47">
        <v>4870</v>
      </c>
      <c r="F6" s="13">
        <f t="shared" si="0"/>
        <v>9279820.7999999989</v>
      </c>
      <c r="G6" s="13">
        <f t="shared" si="0"/>
        <v>15327351</v>
      </c>
      <c r="H6" s="26">
        <v>30</v>
      </c>
      <c r="I6" s="13">
        <v>621500</v>
      </c>
      <c r="J6" s="27">
        <v>33.5</v>
      </c>
      <c r="K6" s="13">
        <v>292000</v>
      </c>
      <c r="L6" s="13">
        <v>31000</v>
      </c>
      <c r="M6" s="13">
        <v>773000</v>
      </c>
      <c r="N6" s="13">
        <v>207500</v>
      </c>
      <c r="O6" s="13"/>
    </row>
    <row r="7" spans="1:15" x14ac:dyDescent="0.25">
      <c r="A7" s="25">
        <v>45632</v>
      </c>
      <c r="B7" s="46">
        <v>2387.19</v>
      </c>
      <c r="C7" s="46">
        <v>1697.74</v>
      </c>
      <c r="D7" s="47">
        <v>5120</v>
      </c>
      <c r="E7" s="47">
        <v>4870</v>
      </c>
      <c r="F7" s="13">
        <f t="shared" si="0"/>
        <v>12222412.800000001</v>
      </c>
      <c r="G7" s="13">
        <f t="shared" si="0"/>
        <v>8267993.7999999998</v>
      </c>
      <c r="H7" s="26">
        <v>25</v>
      </c>
      <c r="I7" s="13">
        <v>594500</v>
      </c>
      <c r="J7" s="27">
        <v>88.5</v>
      </c>
      <c r="K7" s="13">
        <v>767000</v>
      </c>
      <c r="L7" s="13">
        <v>8000</v>
      </c>
      <c r="M7" s="13">
        <v>743100</v>
      </c>
      <c r="N7" s="13">
        <v>92000</v>
      </c>
      <c r="O7" s="13"/>
    </row>
    <row r="8" spans="1:15" x14ac:dyDescent="0.25">
      <c r="A8" s="25">
        <v>45633</v>
      </c>
      <c r="B8" s="46">
        <v>1931.98</v>
      </c>
      <c r="C8" s="46">
        <v>2422.0500000000002</v>
      </c>
      <c r="D8" s="47">
        <v>5090</v>
      </c>
      <c r="E8" s="47">
        <v>4800</v>
      </c>
      <c r="F8" s="13">
        <f t="shared" si="0"/>
        <v>9833778.1999999993</v>
      </c>
      <c r="G8" s="13">
        <f t="shared" si="0"/>
        <v>11625840</v>
      </c>
      <c r="H8" s="26">
        <v>61</v>
      </c>
      <c r="I8" s="13">
        <v>1312000</v>
      </c>
      <c r="J8" s="27">
        <v>36</v>
      </c>
      <c r="K8" s="13">
        <v>639000</v>
      </c>
      <c r="L8" s="13">
        <v>15000</v>
      </c>
      <c r="M8" s="13">
        <v>836000</v>
      </c>
      <c r="N8" s="13">
        <v>92000</v>
      </c>
      <c r="O8" s="13"/>
    </row>
    <row r="9" spans="1:15" x14ac:dyDescent="0.25">
      <c r="A9" s="25">
        <v>45634</v>
      </c>
      <c r="B9" s="46">
        <v>1679.55</v>
      </c>
      <c r="C9" s="46">
        <v>3523.8</v>
      </c>
      <c r="D9" s="47">
        <v>5090</v>
      </c>
      <c r="E9" s="47">
        <v>4800</v>
      </c>
      <c r="F9" s="13">
        <f t="shared" si="0"/>
        <v>8548909.5</v>
      </c>
      <c r="G9" s="13">
        <f t="shared" si="0"/>
        <v>16914240</v>
      </c>
      <c r="H9" s="26">
        <v>35</v>
      </c>
      <c r="I9" s="13">
        <v>751500</v>
      </c>
      <c r="J9" s="27">
        <v>125</v>
      </c>
      <c r="K9" s="13">
        <v>1003000</v>
      </c>
      <c r="L9" s="13">
        <v>80000</v>
      </c>
      <c r="M9" s="13">
        <v>713000</v>
      </c>
      <c r="N9" s="13">
        <v>252000</v>
      </c>
      <c r="O9" s="13"/>
    </row>
    <row r="10" spans="1:15" x14ac:dyDescent="0.25">
      <c r="A10" s="25">
        <v>45635</v>
      </c>
      <c r="B10" s="46">
        <v>2558.5</v>
      </c>
      <c r="C10" s="46">
        <v>3471.83</v>
      </c>
      <c r="D10" s="47">
        <v>5090</v>
      </c>
      <c r="E10" s="47">
        <v>4800</v>
      </c>
      <c r="F10" s="13">
        <f t="shared" si="0"/>
        <v>13022765</v>
      </c>
      <c r="G10" s="13">
        <f t="shared" si="0"/>
        <v>16664784</v>
      </c>
      <c r="H10" s="26">
        <v>69.5</v>
      </c>
      <c r="I10" s="13">
        <v>1688500</v>
      </c>
      <c r="J10" s="27">
        <v>60</v>
      </c>
      <c r="K10" s="13">
        <v>530000</v>
      </c>
      <c r="L10" s="13">
        <v>158000</v>
      </c>
      <c r="M10" s="13">
        <v>721000</v>
      </c>
      <c r="N10" s="13">
        <v>0</v>
      </c>
      <c r="O10" s="13"/>
    </row>
    <row r="11" spans="1:15" x14ac:dyDescent="0.25">
      <c r="A11" s="25">
        <v>45636</v>
      </c>
      <c r="B11" s="46">
        <v>2001.1</v>
      </c>
      <c r="C11" s="46">
        <v>3449.21</v>
      </c>
      <c r="D11" s="47">
        <v>5090</v>
      </c>
      <c r="E11" s="47">
        <v>4800</v>
      </c>
      <c r="F11" s="13">
        <f t="shared" si="0"/>
        <v>10185599</v>
      </c>
      <c r="G11" s="13">
        <f t="shared" si="0"/>
        <v>16556208</v>
      </c>
      <c r="H11" s="26">
        <v>63.5</v>
      </c>
      <c r="I11" s="13">
        <v>1432000</v>
      </c>
      <c r="J11" s="27">
        <v>42</v>
      </c>
      <c r="K11" s="13">
        <v>371000</v>
      </c>
      <c r="L11" s="13">
        <v>23000</v>
      </c>
      <c r="M11" s="13">
        <v>557500</v>
      </c>
      <c r="N11" s="13">
        <v>92000</v>
      </c>
      <c r="O11" s="13"/>
    </row>
    <row r="12" spans="1:15" x14ac:dyDescent="0.25">
      <c r="A12" s="25">
        <v>45637</v>
      </c>
      <c r="B12" s="46">
        <v>1812.99</v>
      </c>
      <c r="C12" s="46">
        <v>1897.99</v>
      </c>
      <c r="D12" s="47">
        <v>5090</v>
      </c>
      <c r="E12" s="47">
        <v>4800</v>
      </c>
      <c r="F12" s="13">
        <f t="shared" si="0"/>
        <v>9228119.0999999996</v>
      </c>
      <c r="G12" s="13">
        <f t="shared" si="0"/>
        <v>9110352</v>
      </c>
      <c r="H12" s="26">
        <v>21.25</v>
      </c>
      <c r="I12" s="51">
        <v>428000</v>
      </c>
      <c r="J12" s="27">
        <v>48</v>
      </c>
      <c r="K12" s="13">
        <v>424000</v>
      </c>
      <c r="L12" s="13">
        <v>23000</v>
      </c>
      <c r="M12" s="13">
        <v>609000</v>
      </c>
      <c r="N12" s="13">
        <v>228000</v>
      </c>
      <c r="O12" s="13"/>
    </row>
    <row r="13" spans="1:15" x14ac:dyDescent="0.25">
      <c r="A13" s="25">
        <v>45638</v>
      </c>
      <c r="B13" s="46">
        <v>2627.51</v>
      </c>
      <c r="C13" s="46">
        <v>2434.25</v>
      </c>
      <c r="D13" s="47">
        <v>5090</v>
      </c>
      <c r="E13" s="47">
        <v>4800</v>
      </c>
      <c r="F13" s="13">
        <f t="shared" si="0"/>
        <v>13374025.9</v>
      </c>
      <c r="G13" s="13">
        <f t="shared" si="0"/>
        <v>11684400</v>
      </c>
      <c r="H13" s="26">
        <v>30.25</v>
      </c>
      <c r="I13" s="13">
        <v>676500</v>
      </c>
      <c r="J13" s="27">
        <v>42</v>
      </c>
      <c r="K13" s="13">
        <v>371000</v>
      </c>
      <c r="L13" s="13">
        <v>16000</v>
      </c>
      <c r="M13" s="13">
        <v>598500</v>
      </c>
      <c r="N13" s="13">
        <v>189000</v>
      </c>
      <c r="O13" s="13"/>
    </row>
    <row r="14" spans="1:15" x14ac:dyDescent="0.25">
      <c r="A14" s="25">
        <v>45639</v>
      </c>
      <c r="B14" s="46">
        <v>2868.83</v>
      </c>
      <c r="C14" s="46">
        <v>2825.93</v>
      </c>
      <c r="D14" s="47">
        <v>5090</v>
      </c>
      <c r="E14" s="47">
        <v>4800</v>
      </c>
      <c r="F14" s="13">
        <f t="shared" si="0"/>
        <v>14602344.699999999</v>
      </c>
      <c r="G14" s="13">
        <f t="shared" si="0"/>
        <v>13564464</v>
      </c>
      <c r="H14" s="26">
        <v>55</v>
      </c>
      <c r="I14" s="13">
        <v>1043000</v>
      </c>
      <c r="J14" s="27">
        <v>30</v>
      </c>
      <c r="K14" s="13">
        <v>265000</v>
      </c>
      <c r="L14" s="13">
        <v>196000</v>
      </c>
      <c r="M14" s="13">
        <v>626500</v>
      </c>
      <c r="N14" s="13">
        <v>211000</v>
      </c>
      <c r="O14" s="13"/>
    </row>
    <row r="15" spans="1:15" x14ac:dyDescent="0.25">
      <c r="A15" s="25">
        <v>45640</v>
      </c>
      <c r="B15" s="46">
        <v>2239.83</v>
      </c>
      <c r="C15" s="46">
        <v>1301.71</v>
      </c>
      <c r="D15" s="47">
        <v>5090</v>
      </c>
      <c r="E15" s="47">
        <v>4800</v>
      </c>
      <c r="F15" s="13">
        <f t="shared" si="0"/>
        <v>11400734.699999999</v>
      </c>
      <c r="G15" s="13">
        <f t="shared" si="0"/>
        <v>6248208</v>
      </c>
      <c r="H15" s="13">
        <v>30</v>
      </c>
      <c r="I15" s="13">
        <v>635500</v>
      </c>
      <c r="J15" s="27">
        <v>59</v>
      </c>
      <c r="K15" s="13">
        <v>537000</v>
      </c>
      <c r="L15" s="13">
        <v>24000</v>
      </c>
      <c r="M15" s="13">
        <v>725000</v>
      </c>
      <c r="N15" s="13">
        <v>17000</v>
      </c>
      <c r="O15" s="13"/>
    </row>
    <row r="16" spans="1:15" x14ac:dyDescent="0.25">
      <c r="A16" s="25">
        <v>45641</v>
      </c>
      <c r="B16" s="46">
        <v>1958.96</v>
      </c>
      <c r="C16" s="46">
        <v>1968.82</v>
      </c>
      <c r="D16" s="47">
        <v>5090</v>
      </c>
      <c r="E16" s="47">
        <v>4800</v>
      </c>
      <c r="F16" s="13">
        <f t="shared" si="0"/>
        <v>9971106.4000000004</v>
      </c>
      <c r="G16" s="13">
        <f t="shared" si="0"/>
        <v>9450336</v>
      </c>
      <c r="H16" s="26">
        <v>56.5</v>
      </c>
      <c r="I16" s="13">
        <v>1301500</v>
      </c>
      <c r="J16" s="27">
        <v>61</v>
      </c>
      <c r="K16" s="13">
        <v>528000</v>
      </c>
      <c r="L16" s="13">
        <v>46000</v>
      </c>
      <c r="M16" s="13">
        <v>534200</v>
      </c>
      <c r="N16" s="13">
        <v>0</v>
      </c>
      <c r="O16" s="13"/>
    </row>
    <row r="17" spans="1:15" x14ac:dyDescent="0.25">
      <c r="A17" s="25">
        <v>45642</v>
      </c>
      <c r="B17" s="46">
        <v>1597.59</v>
      </c>
      <c r="C17" s="46">
        <v>4254.17</v>
      </c>
      <c r="D17" s="47">
        <v>5090</v>
      </c>
      <c r="E17" s="47">
        <v>4800</v>
      </c>
      <c r="F17" s="13">
        <f>B17*D17</f>
        <v>8131733.0999999996</v>
      </c>
      <c r="G17" s="13">
        <f t="shared" si="0"/>
        <v>20420016</v>
      </c>
      <c r="H17" s="26">
        <v>56</v>
      </c>
      <c r="I17" s="13">
        <v>1223500</v>
      </c>
      <c r="J17" s="27">
        <v>54</v>
      </c>
      <c r="K17" s="13">
        <v>477000</v>
      </c>
      <c r="L17" s="13">
        <v>128000</v>
      </c>
      <c r="M17" s="13">
        <v>661000</v>
      </c>
      <c r="N17" s="13">
        <v>184000</v>
      </c>
      <c r="O17" s="13"/>
    </row>
    <row r="18" spans="1:15" x14ac:dyDescent="0.25">
      <c r="A18" s="25">
        <v>45643</v>
      </c>
      <c r="B18" s="46">
        <v>1971.03</v>
      </c>
      <c r="C18" s="46">
        <v>4604.26</v>
      </c>
      <c r="D18" s="47">
        <v>5090</v>
      </c>
      <c r="E18" s="47">
        <v>4800</v>
      </c>
      <c r="F18" s="13">
        <f t="shared" si="0"/>
        <v>10032542.699999999</v>
      </c>
      <c r="G18" s="13">
        <f t="shared" si="0"/>
        <v>22100448</v>
      </c>
      <c r="H18" s="26">
        <v>43.75</v>
      </c>
      <c r="I18" s="13">
        <v>942000</v>
      </c>
      <c r="J18" s="12">
        <v>55</v>
      </c>
      <c r="K18" s="13">
        <v>478000</v>
      </c>
      <c r="L18" s="13">
        <v>31000</v>
      </c>
      <c r="M18" s="13">
        <v>561000</v>
      </c>
      <c r="N18" s="13">
        <v>92000</v>
      </c>
      <c r="O18" s="13"/>
    </row>
    <row r="19" spans="1:15" x14ac:dyDescent="0.25">
      <c r="A19" s="25">
        <v>45644</v>
      </c>
      <c r="B19" s="46">
        <v>2075.9899999999998</v>
      </c>
      <c r="C19" s="46">
        <v>2451.59</v>
      </c>
      <c r="D19" s="47">
        <v>5090</v>
      </c>
      <c r="E19" s="47">
        <v>4800</v>
      </c>
      <c r="F19" s="13">
        <f t="shared" si="0"/>
        <v>10566789.1</v>
      </c>
      <c r="G19" s="13">
        <f t="shared" si="0"/>
        <v>11767632</v>
      </c>
      <c r="H19" s="26">
        <v>77</v>
      </c>
      <c r="I19" s="13">
        <v>1796000</v>
      </c>
      <c r="J19" s="12">
        <v>81.5</v>
      </c>
      <c r="K19" s="13">
        <v>716000</v>
      </c>
      <c r="L19" s="13">
        <v>308000</v>
      </c>
      <c r="M19" s="13">
        <v>598500</v>
      </c>
      <c r="N19" s="13">
        <v>109000</v>
      </c>
      <c r="O19" s="13"/>
    </row>
    <row r="20" spans="1:15" x14ac:dyDescent="0.25">
      <c r="A20" s="25">
        <v>45645</v>
      </c>
      <c r="B20" s="46">
        <v>2070.2399999999998</v>
      </c>
      <c r="C20" s="46">
        <v>2646.86</v>
      </c>
      <c r="D20" s="47">
        <v>5090</v>
      </c>
      <c r="E20" s="47">
        <v>4800</v>
      </c>
      <c r="F20" s="13">
        <f t="shared" si="0"/>
        <v>10537521.6</v>
      </c>
      <c r="G20" s="13">
        <f t="shared" si="0"/>
        <v>12704928</v>
      </c>
      <c r="H20" s="26">
        <v>126.25</v>
      </c>
      <c r="I20" s="13">
        <v>3043000</v>
      </c>
      <c r="J20" s="12">
        <v>110.5</v>
      </c>
      <c r="K20" s="13">
        <v>949000</v>
      </c>
      <c r="L20" s="13">
        <v>72000</v>
      </c>
      <c r="M20" s="13">
        <v>765500</v>
      </c>
      <c r="N20" s="13">
        <v>235000</v>
      </c>
      <c r="O20" s="13"/>
    </row>
    <row r="21" spans="1:15" x14ac:dyDescent="0.25">
      <c r="A21" s="25">
        <v>45646</v>
      </c>
      <c r="B21" s="46">
        <v>2784.33</v>
      </c>
      <c r="C21" s="46">
        <v>2329.75</v>
      </c>
      <c r="D21" s="47">
        <v>5090</v>
      </c>
      <c r="E21" s="47">
        <v>4800</v>
      </c>
      <c r="F21" s="13">
        <f t="shared" si="0"/>
        <v>14172239.699999999</v>
      </c>
      <c r="G21" s="13">
        <f t="shared" si="0"/>
        <v>11182800</v>
      </c>
      <c r="H21" s="26">
        <v>49.5</v>
      </c>
      <c r="I21" s="13">
        <v>1141000</v>
      </c>
      <c r="J21" s="12">
        <v>79</v>
      </c>
      <c r="K21" s="13">
        <v>687000</v>
      </c>
      <c r="L21" s="13">
        <v>55000</v>
      </c>
      <c r="M21" s="13">
        <v>809000</v>
      </c>
      <c r="N21" s="13">
        <v>24000</v>
      </c>
      <c r="O21" s="13"/>
    </row>
    <row r="22" spans="1:15" x14ac:dyDescent="0.25">
      <c r="A22" s="25">
        <v>45647</v>
      </c>
      <c r="B22" s="46">
        <v>2812.56</v>
      </c>
      <c r="C22" s="46">
        <v>2707.02</v>
      </c>
      <c r="D22" s="47">
        <v>5090</v>
      </c>
      <c r="E22" s="47">
        <v>4800</v>
      </c>
      <c r="F22" s="13">
        <f t="shared" si="0"/>
        <v>14315930.4</v>
      </c>
      <c r="G22" s="13">
        <f t="shared" si="0"/>
        <v>12993696</v>
      </c>
      <c r="H22" s="26">
        <v>69.25</v>
      </c>
      <c r="I22" s="13">
        <v>1501000</v>
      </c>
      <c r="J22" s="12">
        <v>66.5</v>
      </c>
      <c r="K22" s="13">
        <v>582000</v>
      </c>
      <c r="L22" s="13">
        <v>74000</v>
      </c>
      <c r="M22" s="13">
        <v>1036000</v>
      </c>
      <c r="N22" s="13">
        <v>109000</v>
      </c>
      <c r="O22" s="13"/>
    </row>
    <row r="23" spans="1:15" x14ac:dyDescent="0.25">
      <c r="A23" s="25">
        <v>45648</v>
      </c>
      <c r="B23" s="46">
        <v>2449.7399999999998</v>
      </c>
      <c r="C23" s="46">
        <v>3423.64</v>
      </c>
      <c r="D23" s="47">
        <v>5090</v>
      </c>
      <c r="E23" s="47">
        <v>4800</v>
      </c>
      <c r="F23" s="13">
        <f t="shared" si="0"/>
        <v>12469176.6</v>
      </c>
      <c r="G23" s="13">
        <f t="shared" si="0"/>
        <v>16433472</v>
      </c>
      <c r="H23" s="26">
        <v>31.25</v>
      </c>
      <c r="I23" s="13">
        <v>629000</v>
      </c>
      <c r="J23" s="12">
        <v>114</v>
      </c>
      <c r="K23" s="13">
        <v>1015000</v>
      </c>
      <c r="L23" s="13">
        <v>8000</v>
      </c>
      <c r="M23" s="13">
        <v>1151500</v>
      </c>
      <c r="N23" s="13">
        <v>222500</v>
      </c>
      <c r="O23" s="13"/>
    </row>
    <row r="24" spans="1:15" x14ac:dyDescent="0.25">
      <c r="A24" s="25">
        <v>45649</v>
      </c>
      <c r="B24" s="46">
        <v>3603.71</v>
      </c>
      <c r="C24" s="46">
        <v>2040.866</v>
      </c>
      <c r="D24" s="47">
        <v>5090</v>
      </c>
      <c r="E24" s="47">
        <v>4800</v>
      </c>
      <c r="F24" s="13">
        <f t="shared" si="0"/>
        <v>18342883.899999999</v>
      </c>
      <c r="G24" s="13">
        <f t="shared" si="0"/>
        <v>9796156.8000000007</v>
      </c>
      <c r="H24" s="26">
        <v>89.97</v>
      </c>
      <c r="I24" s="13">
        <v>1903000</v>
      </c>
      <c r="J24" s="12">
        <v>131</v>
      </c>
      <c r="K24" s="13">
        <v>1137000</v>
      </c>
      <c r="L24" s="13">
        <v>78000</v>
      </c>
      <c r="M24" s="13">
        <v>1260800</v>
      </c>
      <c r="N24" s="13">
        <v>644000</v>
      </c>
      <c r="O24" s="13"/>
    </row>
    <row r="25" spans="1:15" x14ac:dyDescent="0.25">
      <c r="A25" s="25">
        <v>45650</v>
      </c>
      <c r="B25" s="46">
        <v>5447.21</v>
      </c>
      <c r="C25" s="46">
        <v>3279.76</v>
      </c>
      <c r="D25" s="47">
        <v>4999</v>
      </c>
      <c r="E25" s="47">
        <v>4770</v>
      </c>
      <c r="F25" s="13">
        <f t="shared" si="0"/>
        <v>27230602.789999999</v>
      </c>
      <c r="G25" s="13">
        <f t="shared" si="0"/>
        <v>15644455.200000001</v>
      </c>
      <c r="H25" s="26">
        <v>72.75</v>
      </c>
      <c r="I25" s="13">
        <v>1529500</v>
      </c>
      <c r="J25" s="12">
        <v>240</v>
      </c>
      <c r="K25" s="13">
        <v>2055000</v>
      </c>
      <c r="L25" s="13">
        <v>138000</v>
      </c>
      <c r="M25" s="13">
        <v>1707600</v>
      </c>
      <c r="N25" s="13">
        <v>299500</v>
      </c>
      <c r="O25" s="13"/>
    </row>
    <row r="26" spans="1:15" x14ac:dyDescent="0.25">
      <c r="A26" s="25">
        <v>45651</v>
      </c>
      <c r="B26" s="46">
        <v>1490.3989999999999</v>
      </c>
      <c r="C26" s="46">
        <v>773.47</v>
      </c>
      <c r="D26" s="47">
        <v>4999</v>
      </c>
      <c r="E26" s="47">
        <v>4770</v>
      </c>
      <c r="F26" s="13">
        <f t="shared" si="0"/>
        <v>7450504.6009999998</v>
      </c>
      <c r="G26" s="13">
        <f t="shared" si="0"/>
        <v>3689451.9</v>
      </c>
      <c r="H26" s="26">
        <v>8.25</v>
      </c>
      <c r="I26" s="13">
        <v>167000</v>
      </c>
      <c r="J26" s="12">
        <v>25</v>
      </c>
      <c r="K26" s="13">
        <v>210000</v>
      </c>
      <c r="L26" s="13">
        <v>0</v>
      </c>
      <c r="M26" s="13">
        <v>771000</v>
      </c>
      <c r="N26" s="13">
        <v>0</v>
      </c>
      <c r="O26" s="13"/>
    </row>
    <row r="27" spans="1:15" x14ac:dyDescent="0.25">
      <c r="A27" s="25">
        <v>45652</v>
      </c>
      <c r="B27" s="46">
        <v>2521.4899999999998</v>
      </c>
      <c r="C27" s="46">
        <v>3066.07</v>
      </c>
      <c r="D27" s="47">
        <v>4999</v>
      </c>
      <c r="E27" s="47">
        <v>4770</v>
      </c>
      <c r="F27" s="13">
        <f t="shared" si="0"/>
        <v>12604928.51</v>
      </c>
      <c r="G27" s="13">
        <f t="shared" si="0"/>
        <v>14625153.9</v>
      </c>
      <c r="H27" s="26">
        <v>6</v>
      </c>
      <c r="I27" s="13">
        <v>123000</v>
      </c>
      <c r="J27" s="12">
        <v>0</v>
      </c>
      <c r="K27" s="13">
        <v>0</v>
      </c>
      <c r="L27" s="13">
        <v>8000</v>
      </c>
      <c r="M27" s="13">
        <v>1057000</v>
      </c>
      <c r="N27" s="13">
        <v>58000</v>
      </c>
      <c r="O27" s="13"/>
    </row>
    <row r="28" spans="1:15" x14ac:dyDescent="0.25">
      <c r="A28" s="25">
        <v>45653</v>
      </c>
      <c r="B28" s="46">
        <v>3541.6</v>
      </c>
      <c r="C28" s="46">
        <v>1701.09</v>
      </c>
      <c r="D28" s="47">
        <v>4999</v>
      </c>
      <c r="E28" s="47">
        <v>4770</v>
      </c>
      <c r="F28" s="13">
        <f t="shared" si="0"/>
        <v>17704458.399999999</v>
      </c>
      <c r="G28" s="13">
        <f t="shared" si="0"/>
        <v>8114199.2999999998</v>
      </c>
      <c r="H28" s="26">
        <v>36.25</v>
      </c>
      <c r="I28" s="13">
        <v>761000</v>
      </c>
      <c r="J28" s="12">
        <v>0</v>
      </c>
      <c r="K28" s="13">
        <v>0</v>
      </c>
      <c r="L28" s="13">
        <v>31000</v>
      </c>
      <c r="M28" s="13">
        <v>1671000</v>
      </c>
      <c r="N28" s="13">
        <v>56000</v>
      </c>
      <c r="O28" s="13"/>
    </row>
    <row r="29" spans="1:15" x14ac:dyDescent="0.25">
      <c r="A29" s="25">
        <v>45654</v>
      </c>
      <c r="B29" s="46">
        <v>3392.94</v>
      </c>
      <c r="C29" s="46">
        <v>3453.73</v>
      </c>
      <c r="D29" s="47">
        <v>4999</v>
      </c>
      <c r="E29" s="47">
        <v>4770</v>
      </c>
      <c r="F29" s="13">
        <f t="shared" si="0"/>
        <v>16961307.059999999</v>
      </c>
      <c r="G29" s="13">
        <f t="shared" si="0"/>
        <v>16474292.1</v>
      </c>
      <c r="H29" s="26">
        <v>33.75</v>
      </c>
      <c r="I29" s="13">
        <v>767000</v>
      </c>
      <c r="J29" s="12">
        <v>3</v>
      </c>
      <c r="K29" s="13">
        <v>28000</v>
      </c>
      <c r="L29" s="13">
        <v>15000</v>
      </c>
      <c r="M29" s="13">
        <v>733500</v>
      </c>
      <c r="N29" s="13">
        <v>17000</v>
      </c>
      <c r="O29" s="13"/>
    </row>
    <row r="30" spans="1:15" x14ac:dyDescent="0.25">
      <c r="A30" s="25">
        <v>45655</v>
      </c>
      <c r="B30" s="46">
        <v>2500.46</v>
      </c>
      <c r="C30" s="46">
        <v>2728.16</v>
      </c>
      <c r="D30" s="47">
        <v>5009</v>
      </c>
      <c r="E30" s="47">
        <v>4770</v>
      </c>
      <c r="F30" s="13">
        <f t="shared" si="0"/>
        <v>12524804.140000001</v>
      </c>
      <c r="G30" s="13">
        <f t="shared" si="0"/>
        <v>13013323.199999999</v>
      </c>
      <c r="H30" s="26">
        <v>50.5</v>
      </c>
      <c r="I30" s="13">
        <v>1154500</v>
      </c>
      <c r="J30" s="12">
        <v>56</v>
      </c>
      <c r="K30" s="13">
        <v>389000</v>
      </c>
      <c r="L30" s="13">
        <v>53000</v>
      </c>
      <c r="M30" s="13">
        <v>809000</v>
      </c>
      <c r="N30" s="13">
        <v>0</v>
      </c>
      <c r="O30" s="13"/>
    </row>
    <row r="31" spans="1:15" x14ac:dyDescent="0.25">
      <c r="A31" s="25">
        <v>45656</v>
      </c>
      <c r="B31" s="46">
        <v>2572.29</v>
      </c>
      <c r="C31" s="46">
        <v>4527.54</v>
      </c>
      <c r="D31" s="47">
        <v>5009</v>
      </c>
      <c r="E31" s="47">
        <v>4770</v>
      </c>
      <c r="F31" s="13">
        <f t="shared" si="0"/>
        <v>12884600.609999999</v>
      </c>
      <c r="G31" s="13">
        <f t="shared" si="0"/>
        <v>21596365.800000001</v>
      </c>
      <c r="H31" s="26">
        <v>29</v>
      </c>
      <c r="I31" s="13">
        <v>579000</v>
      </c>
      <c r="J31" s="12">
        <v>88</v>
      </c>
      <c r="K31" s="13">
        <v>768000</v>
      </c>
      <c r="L31" s="13">
        <v>53000</v>
      </c>
      <c r="M31" s="13">
        <v>1156000</v>
      </c>
      <c r="N31" s="13">
        <v>559500</v>
      </c>
      <c r="O31" s="13"/>
    </row>
    <row r="32" spans="1:15" x14ac:dyDescent="0.25">
      <c r="A32" s="25">
        <v>45657</v>
      </c>
      <c r="B32" s="46">
        <v>2914.34</v>
      </c>
      <c r="C32" s="46">
        <v>1493.46</v>
      </c>
      <c r="D32" s="47">
        <v>5009</v>
      </c>
      <c r="E32" s="47">
        <v>4770</v>
      </c>
      <c r="F32" s="13">
        <f t="shared" ref="F32:G32" si="1">B32*D32</f>
        <v>14597929.060000001</v>
      </c>
      <c r="G32" s="13">
        <f t="shared" si="1"/>
        <v>7123804.2000000002</v>
      </c>
      <c r="H32" s="26">
        <v>38.5</v>
      </c>
      <c r="I32" s="13">
        <v>814000</v>
      </c>
      <c r="J32" s="12">
        <v>69.5</v>
      </c>
      <c r="K32" s="13">
        <v>610000</v>
      </c>
      <c r="L32" s="13">
        <v>16000</v>
      </c>
      <c r="M32" s="13">
        <v>1114200</v>
      </c>
      <c r="N32" s="13">
        <v>389000</v>
      </c>
      <c r="O32" s="13"/>
    </row>
    <row r="33" spans="1:15" x14ac:dyDescent="0.25">
      <c r="A33" s="15"/>
      <c r="B33" s="37">
        <f>SUM(B1:B32)</f>
        <v>75166.74599999997</v>
      </c>
      <c r="C33" s="37">
        <f>SUM(C1:C32)</f>
        <v>86942.083999999988</v>
      </c>
      <c r="D33" s="38"/>
      <c r="E33" s="38"/>
      <c r="F33" s="39">
        <f>SUM(F1:F32)</f>
        <v>380812209.01099992</v>
      </c>
      <c r="G33" s="39">
        <f>SUM(G1:G32)</f>
        <v>417962858.85999995</v>
      </c>
      <c r="H33" s="39">
        <f t="shared" ref="H33:I33" si="2">SUM(H1:H32)</f>
        <v>1464.22</v>
      </c>
      <c r="I33" s="39">
        <f t="shared" si="2"/>
        <v>32360500</v>
      </c>
      <c r="J33" s="39">
        <f>SUM(J1:J32)</f>
        <v>2057</v>
      </c>
      <c r="K33" s="39">
        <f>SUM(K1:K32)</f>
        <v>18817000</v>
      </c>
      <c r="L33" s="39">
        <f>SUM(L1:L32)</f>
        <v>1965000</v>
      </c>
      <c r="M33" s="38">
        <f>SUM(M1:M32)</f>
        <v>25729300</v>
      </c>
      <c r="N33" s="38">
        <f>SUM(N2:N32)</f>
        <v>5148000</v>
      </c>
      <c r="O33" s="38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33"/>
  <sheetViews>
    <sheetView topLeftCell="A17" workbookViewId="0">
      <selection activeCell="F14" sqref="F14"/>
    </sheetView>
  </sheetViews>
  <sheetFormatPr defaultRowHeight="15" x14ac:dyDescent="0.25"/>
  <cols>
    <col min="1" max="1" width="10.5703125" customWidth="1"/>
    <col min="2" max="2" width="10.7109375" customWidth="1"/>
    <col min="3" max="3" width="11.5703125" customWidth="1"/>
    <col min="6" max="6" width="16.140625" customWidth="1"/>
    <col min="7" max="7" width="14.5703125" customWidth="1"/>
    <col min="9" max="9" width="13.140625" customWidth="1"/>
    <col min="11" max="11" width="13.140625" customWidth="1"/>
    <col min="12" max="12" width="12.7109375" customWidth="1"/>
    <col min="13" max="14" width="10.85546875" customWidth="1"/>
  </cols>
  <sheetData>
    <row r="1" spans="1:15" x14ac:dyDescent="0.25">
      <c r="A1" s="16"/>
      <c r="B1" s="17" t="s">
        <v>1</v>
      </c>
      <c r="C1" s="17" t="s">
        <v>2</v>
      </c>
      <c r="D1" s="18" t="s">
        <v>1</v>
      </c>
      <c r="E1" s="18" t="s">
        <v>2</v>
      </c>
      <c r="F1" s="19" t="s">
        <v>1</v>
      </c>
      <c r="G1" s="19" t="s">
        <v>2</v>
      </c>
      <c r="H1" s="19" t="s">
        <v>9</v>
      </c>
      <c r="I1" s="18" t="s">
        <v>10</v>
      </c>
      <c r="J1" s="16" t="s">
        <v>11</v>
      </c>
      <c r="K1" s="18" t="s">
        <v>10</v>
      </c>
      <c r="L1" s="18" t="s">
        <v>4</v>
      </c>
      <c r="M1" s="18" t="s">
        <v>67</v>
      </c>
      <c r="N1" s="18" t="s">
        <v>52</v>
      </c>
      <c r="O1" s="18" t="s">
        <v>40</v>
      </c>
    </row>
    <row r="2" spans="1:15" x14ac:dyDescent="0.25">
      <c r="A2" s="25">
        <v>45658</v>
      </c>
      <c r="B2" s="46">
        <v>1640.548</v>
      </c>
      <c r="C2" s="46">
        <v>683.07899999999995</v>
      </c>
      <c r="D2" s="47">
        <v>5009</v>
      </c>
      <c r="E2" s="47">
        <v>4770</v>
      </c>
      <c r="F2" s="13">
        <f t="shared" ref="F2:G31" si="0">B2*D2</f>
        <v>8217504.932</v>
      </c>
      <c r="G2" s="13">
        <f t="shared" si="0"/>
        <v>3258286.8299999996</v>
      </c>
      <c r="H2" s="31">
        <v>16.75</v>
      </c>
      <c r="I2" s="13">
        <v>338500</v>
      </c>
      <c r="J2" s="27">
        <v>49</v>
      </c>
      <c r="K2" s="13">
        <v>422000</v>
      </c>
      <c r="L2" s="13">
        <v>8000</v>
      </c>
      <c r="M2" s="13">
        <v>566000</v>
      </c>
      <c r="N2" s="13">
        <v>126000</v>
      </c>
      <c r="O2" s="13"/>
    </row>
    <row r="3" spans="1:15" x14ac:dyDescent="0.25">
      <c r="A3" s="25">
        <v>45659</v>
      </c>
      <c r="B3" s="46">
        <v>1867.702</v>
      </c>
      <c r="C3" s="46">
        <v>2084.39</v>
      </c>
      <c r="D3" s="47">
        <v>5009</v>
      </c>
      <c r="E3" s="47">
        <v>4770</v>
      </c>
      <c r="F3" s="13">
        <f t="shared" si="0"/>
        <v>9355319.318</v>
      </c>
      <c r="G3" s="13">
        <f t="shared" si="0"/>
        <v>9942540.2999999989</v>
      </c>
      <c r="H3" s="26">
        <v>67.75</v>
      </c>
      <c r="I3" s="13">
        <v>1600500</v>
      </c>
      <c r="J3" s="27">
        <v>146.5</v>
      </c>
      <c r="K3" s="13">
        <v>1068000</v>
      </c>
      <c r="L3" s="13">
        <v>46000</v>
      </c>
      <c r="M3" s="13">
        <v>503500</v>
      </c>
      <c r="N3" s="13">
        <v>195000</v>
      </c>
      <c r="O3" s="13"/>
    </row>
    <row r="4" spans="1:15" x14ac:dyDescent="0.25">
      <c r="A4" s="25">
        <v>45660</v>
      </c>
      <c r="B4" s="46">
        <v>2209.8240000000001</v>
      </c>
      <c r="C4" s="46">
        <v>4051.7049999999999</v>
      </c>
      <c r="D4" s="47">
        <v>5029</v>
      </c>
      <c r="E4" s="47">
        <v>4770</v>
      </c>
      <c r="F4" s="13">
        <f t="shared" si="0"/>
        <v>11113204.896</v>
      </c>
      <c r="G4" s="13">
        <f t="shared" si="0"/>
        <v>19326632.850000001</v>
      </c>
      <c r="H4" s="26">
        <v>51</v>
      </c>
      <c r="I4" s="13">
        <v>1138500</v>
      </c>
      <c r="J4" s="27">
        <v>82.5</v>
      </c>
      <c r="K4" s="13">
        <v>714000</v>
      </c>
      <c r="L4" s="13">
        <v>16000</v>
      </c>
      <c r="M4" s="13">
        <v>830500</v>
      </c>
      <c r="N4" s="13">
        <v>242000</v>
      </c>
      <c r="O4" s="13"/>
    </row>
    <row r="5" spans="1:15" x14ac:dyDescent="0.25">
      <c r="A5" s="25">
        <v>45661</v>
      </c>
      <c r="B5" s="46">
        <v>2097.2620000000002</v>
      </c>
      <c r="C5" s="46">
        <v>1985.047</v>
      </c>
      <c r="D5" s="47">
        <v>5029</v>
      </c>
      <c r="E5" s="47">
        <v>4770</v>
      </c>
      <c r="F5" s="13">
        <f t="shared" si="0"/>
        <v>10547130.598000001</v>
      </c>
      <c r="G5" s="13">
        <f t="shared" si="0"/>
        <v>9468674.1899999995</v>
      </c>
      <c r="H5" s="26">
        <v>42.72</v>
      </c>
      <c r="I5" s="13">
        <v>1024500</v>
      </c>
      <c r="J5" s="27">
        <v>94</v>
      </c>
      <c r="K5" s="13">
        <v>824000</v>
      </c>
      <c r="L5" s="13">
        <v>103000</v>
      </c>
      <c r="M5" s="13">
        <v>807000</v>
      </c>
      <c r="N5" s="13">
        <v>102000</v>
      </c>
      <c r="O5" s="13"/>
    </row>
    <row r="6" spans="1:15" x14ac:dyDescent="0.25">
      <c r="A6" s="25">
        <v>45662</v>
      </c>
      <c r="B6" s="46">
        <v>1730.36</v>
      </c>
      <c r="C6" s="46">
        <v>1796.771</v>
      </c>
      <c r="D6" s="47">
        <v>5029</v>
      </c>
      <c r="E6" s="47">
        <v>4770</v>
      </c>
      <c r="F6" s="13">
        <f t="shared" si="0"/>
        <v>8701980.4399999995</v>
      </c>
      <c r="G6" s="13">
        <f t="shared" si="0"/>
        <v>8570597.6699999999</v>
      </c>
      <c r="H6" s="26">
        <v>41</v>
      </c>
      <c r="I6" s="13">
        <v>929500</v>
      </c>
      <c r="J6" s="27">
        <v>43</v>
      </c>
      <c r="K6" s="13">
        <v>369000</v>
      </c>
      <c r="L6" s="13">
        <v>23000</v>
      </c>
      <c r="M6" s="13">
        <v>393500</v>
      </c>
      <c r="N6" s="13">
        <v>0</v>
      </c>
      <c r="O6" s="13"/>
    </row>
    <row r="7" spans="1:15" x14ac:dyDescent="0.25">
      <c r="A7" s="25">
        <v>45663</v>
      </c>
      <c r="B7" s="46">
        <v>2086.3939999999998</v>
      </c>
      <c r="C7" s="46">
        <v>2426.38</v>
      </c>
      <c r="D7" s="47">
        <v>5029</v>
      </c>
      <c r="E7" s="47">
        <v>4770</v>
      </c>
      <c r="F7" s="13">
        <f t="shared" si="0"/>
        <v>10492475.425999999</v>
      </c>
      <c r="G7" s="13">
        <f t="shared" si="0"/>
        <v>11573832.6</v>
      </c>
      <c r="H7" s="26">
        <v>64.5</v>
      </c>
      <c r="I7" s="13">
        <v>1318500</v>
      </c>
      <c r="J7" s="27">
        <v>61</v>
      </c>
      <c r="K7" s="13">
        <v>528000</v>
      </c>
      <c r="L7" s="13">
        <v>120000</v>
      </c>
      <c r="M7" s="13">
        <v>533000</v>
      </c>
      <c r="N7" s="13">
        <v>92000</v>
      </c>
      <c r="O7" s="13"/>
    </row>
    <row r="8" spans="1:15" x14ac:dyDescent="0.25">
      <c r="A8" s="25">
        <v>45664</v>
      </c>
      <c r="B8" s="46">
        <v>1954.6479999999999</v>
      </c>
      <c r="C8" s="46">
        <v>3344.3049999999998</v>
      </c>
      <c r="D8" s="47">
        <v>5029</v>
      </c>
      <c r="E8" s="47">
        <v>4770</v>
      </c>
      <c r="F8" s="13">
        <f t="shared" si="0"/>
        <v>9829924.7919999994</v>
      </c>
      <c r="G8" s="13">
        <f t="shared" si="0"/>
        <v>15952334.85</v>
      </c>
      <c r="H8" s="26">
        <v>78</v>
      </c>
      <c r="I8" s="13">
        <v>1894500</v>
      </c>
      <c r="J8" s="27">
        <v>36</v>
      </c>
      <c r="K8" s="13">
        <v>318000</v>
      </c>
      <c r="L8" s="13">
        <v>176000</v>
      </c>
      <c r="M8" s="13">
        <v>886500</v>
      </c>
      <c r="N8" s="13">
        <v>92000</v>
      </c>
      <c r="O8" s="13"/>
    </row>
    <row r="9" spans="1:15" x14ac:dyDescent="0.25">
      <c r="A9" s="25">
        <v>45665</v>
      </c>
      <c r="B9" s="46">
        <v>1715.058</v>
      </c>
      <c r="C9" s="46">
        <v>1654.202</v>
      </c>
      <c r="D9" s="47">
        <v>5190</v>
      </c>
      <c r="E9" s="47">
        <v>4830</v>
      </c>
      <c r="F9" s="13">
        <f t="shared" si="0"/>
        <v>8901151.0199999996</v>
      </c>
      <c r="G9" s="13">
        <f t="shared" si="0"/>
        <v>7989795.6600000001</v>
      </c>
      <c r="H9" s="26">
        <v>22</v>
      </c>
      <c r="I9" s="13">
        <v>466500</v>
      </c>
      <c r="J9" s="27">
        <v>60.5</v>
      </c>
      <c r="K9" s="13">
        <v>529000</v>
      </c>
      <c r="L9" s="13">
        <v>24000</v>
      </c>
      <c r="M9" s="13">
        <v>581000</v>
      </c>
      <c r="N9" s="13">
        <v>276000</v>
      </c>
      <c r="O9" s="13"/>
    </row>
    <row r="10" spans="1:15" x14ac:dyDescent="0.25">
      <c r="A10" s="25">
        <v>45666</v>
      </c>
      <c r="B10" s="46">
        <v>1767.6079999999999</v>
      </c>
      <c r="C10" s="46">
        <v>1644.19</v>
      </c>
      <c r="D10" s="47">
        <v>5190</v>
      </c>
      <c r="E10" s="47">
        <v>4830</v>
      </c>
      <c r="F10" s="13">
        <f t="shared" si="0"/>
        <v>9173885.5199999996</v>
      </c>
      <c r="G10" s="13">
        <f t="shared" si="0"/>
        <v>7941437.7000000002</v>
      </c>
      <c r="H10" s="26">
        <v>37.5</v>
      </c>
      <c r="I10" s="13">
        <v>802500</v>
      </c>
      <c r="J10" s="27">
        <v>37</v>
      </c>
      <c r="K10" s="13">
        <v>316000</v>
      </c>
      <c r="L10" s="13">
        <v>108000</v>
      </c>
      <c r="M10" s="13">
        <v>582300</v>
      </c>
      <c r="N10" s="13">
        <v>118000</v>
      </c>
      <c r="O10" s="13"/>
    </row>
    <row r="11" spans="1:15" x14ac:dyDescent="0.25">
      <c r="A11" s="25">
        <v>45667</v>
      </c>
      <c r="B11" s="46">
        <v>1955.99</v>
      </c>
      <c r="C11" s="46">
        <v>2365.2779999999998</v>
      </c>
      <c r="D11" s="47">
        <v>5190</v>
      </c>
      <c r="E11" s="47">
        <v>4830</v>
      </c>
      <c r="F11" s="13">
        <f t="shared" si="0"/>
        <v>10151588.1</v>
      </c>
      <c r="G11" s="13">
        <f t="shared" si="0"/>
        <v>11424292.739999998</v>
      </c>
      <c r="H11" s="26">
        <v>117.5</v>
      </c>
      <c r="I11" s="13">
        <v>2693000</v>
      </c>
      <c r="J11" s="27">
        <v>118.5</v>
      </c>
      <c r="K11" s="13">
        <v>1002000</v>
      </c>
      <c r="L11" s="13">
        <v>105000</v>
      </c>
      <c r="M11" s="13">
        <v>951500</v>
      </c>
      <c r="N11" s="13">
        <v>479000</v>
      </c>
      <c r="O11" s="13"/>
    </row>
    <row r="12" spans="1:15" x14ac:dyDescent="0.25">
      <c r="A12" s="25">
        <v>45668</v>
      </c>
      <c r="B12" s="46">
        <v>1616.27</v>
      </c>
      <c r="C12" s="46">
        <v>1271.414</v>
      </c>
      <c r="D12" s="47">
        <v>5200</v>
      </c>
      <c r="E12" s="47">
        <v>4830</v>
      </c>
      <c r="F12" s="13">
        <f t="shared" si="0"/>
        <v>8404604</v>
      </c>
      <c r="G12" s="13">
        <f t="shared" si="0"/>
        <v>6140929.6200000001</v>
      </c>
      <c r="H12" s="26">
        <v>18</v>
      </c>
      <c r="I12" s="51">
        <v>365500</v>
      </c>
      <c r="J12" s="27">
        <v>18.5</v>
      </c>
      <c r="K12" s="13">
        <v>158000</v>
      </c>
      <c r="L12" s="13">
        <v>0</v>
      </c>
      <c r="M12" s="13">
        <v>803000</v>
      </c>
      <c r="N12" s="13">
        <v>50000</v>
      </c>
      <c r="O12" s="13"/>
    </row>
    <row r="13" spans="1:15" x14ac:dyDescent="0.25">
      <c r="A13" s="25">
        <v>45669</v>
      </c>
      <c r="B13" s="46">
        <v>1649.817</v>
      </c>
      <c r="C13" s="46">
        <v>1099.9970000000001</v>
      </c>
      <c r="D13" s="47">
        <v>5200</v>
      </c>
      <c r="E13" s="47">
        <v>4830</v>
      </c>
      <c r="F13" s="13">
        <f t="shared" si="0"/>
        <v>8579048.4000000004</v>
      </c>
      <c r="G13" s="13">
        <f t="shared" si="0"/>
        <v>5312985.5100000007</v>
      </c>
      <c r="H13" s="26">
        <v>24.75</v>
      </c>
      <c r="I13" s="13">
        <v>591000</v>
      </c>
      <c r="J13" s="27">
        <v>45.5</v>
      </c>
      <c r="K13" s="13">
        <v>398000</v>
      </c>
      <c r="L13" s="13">
        <v>15000</v>
      </c>
      <c r="M13" s="13">
        <v>412000</v>
      </c>
      <c r="N13" s="13">
        <v>92000</v>
      </c>
      <c r="O13" s="13"/>
    </row>
    <row r="14" spans="1:15" x14ac:dyDescent="0.25">
      <c r="A14" s="25">
        <v>45670</v>
      </c>
      <c r="B14" s="46">
        <v>1799.702</v>
      </c>
      <c r="C14" s="46">
        <v>3026.75</v>
      </c>
      <c r="D14" s="47">
        <v>5200</v>
      </c>
      <c r="E14" s="47">
        <v>4830</v>
      </c>
      <c r="F14" s="13" t="s">
        <v>88</v>
      </c>
      <c r="G14" s="13">
        <f t="shared" si="0"/>
        <v>14619202.5</v>
      </c>
      <c r="H14" s="26">
        <v>63.25</v>
      </c>
      <c r="I14" s="13">
        <v>1347500</v>
      </c>
      <c r="J14" s="27">
        <v>111.5</v>
      </c>
      <c r="K14" s="13">
        <v>863000</v>
      </c>
      <c r="L14" s="13">
        <v>54000</v>
      </c>
      <c r="M14" s="13">
        <v>666300</v>
      </c>
      <c r="N14" s="13">
        <v>409000</v>
      </c>
      <c r="O14" s="13"/>
    </row>
    <row r="15" spans="1:15" x14ac:dyDescent="0.25">
      <c r="A15" s="25">
        <v>45671</v>
      </c>
      <c r="B15" s="46">
        <v>1329.9929999999999</v>
      </c>
      <c r="C15" s="46">
        <v>2075.3200000000002</v>
      </c>
      <c r="D15" s="47">
        <v>5200</v>
      </c>
      <c r="E15" s="47">
        <v>4830</v>
      </c>
      <c r="F15" s="13">
        <f t="shared" si="0"/>
        <v>6915963.5999999996</v>
      </c>
      <c r="G15" s="13">
        <f t="shared" si="0"/>
        <v>10023795.600000001</v>
      </c>
      <c r="H15" s="13">
        <v>49</v>
      </c>
      <c r="I15" s="13">
        <v>1061500</v>
      </c>
      <c r="J15" s="27">
        <v>72.5</v>
      </c>
      <c r="K15" s="13">
        <v>635000</v>
      </c>
      <c r="L15" s="13">
        <v>128000</v>
      </c>
      <c r="M15" s="13">
        <v>445000</v>
      </c>
      <c r="N15" s="13">
        <v>831500</v>
      </c>
      <c r="O15" s="13"/>
    </row>
    <row r="16" spans="1:15" x14ac:dyDescent="0.25">
      <c r="A16" s="25">
        <v>45672</v>
      </c>
      <c r="B16" s="46">
        <v>1201.462</v>
      </c>
      <c r="C16" s="46">
        <v>1194.1099999999999</v>
      </c>
      <c r="D16" s="47">
        <v>5200</v>
      </c>
      <c r="E16" s="47">
        <v>4830</v>
      </c>
      <c r="F16" s="13">
        <f t="shared" si="0"/>
        <v>6247602.4000000004</v>
      </c>
      <c r="G16" s="13">
        <f t="shared" si="0"/>
        <v>5767551.2999999998</v>
      </c>
      <c r="H16" s="26">
        <v>24</v>
      </c>
      <c r="I16" s="13">
        <v>509500</v>
      </c>
      <c r="J16" s="27">
        <v>65</v>
      </c>
      <c r="K16" s="13">
        <v>593000</v>
      </c>
      <c r="L16" s="13">
        <v>8000</v>
      </c>
      <c r="M16" s="13">
        <v>409500</v>
      </c>
      <c r="N16" s="13">
        <v>59000</v>
      </c>
      <c r="O16" s="13"/>
    </row>
    <row r="17" spans="1:15" x14ac:dyDescent="0.25">
      <c r="A17" s="25">
        <v>45673</v>
      </c>
      <c r="B17" s="46">
        <v>1179.6500000000001</v>
      </c>
      <c r="C17" s="46">
        <v>1220.0650000000001</v>
      </c>
      <c r="D17" s="47">
        <v>5200</v>
      </c>
      <c r="E17" s="47">
        <v>4830</v>
      </c>
      <c r="F17" s="13">
        <f>B17*D17</f>
        <v>6134180.0000000009</v>
      </c>
      <c r="G17" s="13">
        <f t="shared" si="0"/>
        <v>5892913.9500000002</v>
      </c>
      <c r="H17" s="26">
        <v>22.75</v>
      </c>
      <c r="I17" s="13">
        <v>576000</v>
      </c>
      <c r="J17" s="27">
        <v>52.5</v>
      </c>
      <c r="K17" s="13">
        <v>449000</v>
      </c>
      <c r="L17" s="13">
        <v>16000</v>
      </c>
      <c r="M17" s="13">
        <v>447500</v>
      </c>
      <c r="N17" s="13">
        <v>213000</v>
      </c>
      <c r="O17" s="13"/>
    </row>
    <row r="18" spans="1:15" x14ac:dyDescent="0.25">
      <c r="A18" s="25">
        <v>45674</v>
      </c>
      <c r="B18" s="46">
        <v>1703.895</v>
      </c>
      <c r="C18" s="46">
        <v>2100.1080000000002</v>
      </c>
      <c r="D18" s="47">
        <v>5200</v>
      </c>
      <c r="E18" s="47">
        <v>4830</v>
      </c>
      <c r="F18" s="13">
        <f t="shared" si="0"/>
        <v>8860254</v>
      </c>
      <c r="G18" s="13">
        <f t="shared" si="0"/>
        <v>10143521.640000001</v>
      </c>
      <c r="H18" s="26">
        <v>139.25</v>
      </c>
      <c r="I18" s="13">
        <v>3157500</v>
      </c>
      <c r="J18" s="12">
        <v>127</v>
      </c>
      <c r="K18" s="13">
        <v>1080000</v>
      </c>
      <c r="L18" s="13">
        <v>95000</v>
      </c>
      <c r="M18" s="13">
        <v>787000</v>
      </c>
      <c r="N18" s="13">
        <v>0</v>
      </c>
      <c r="O18" s="13"/>
    </row>
    <row r="19" spans="1:15" x14ac:dyDescent="0.25">
      <c r="A19" s="25">
        <v>45675</v>
      </c>
      <c r="B19" s="46">
        <v>1499.2650000000001</v>
      </c>
      <c r="C19" s="46">
        <v>2041.5740000000001</v>
      </c>
      <c r="D19" s="47">
        <v>5200</v>
      </c>
      <c r="E19" s="47">
        <v>4820</v>
      </c>
      <c r="F19" s="13">
        <f t="shared" si="0"/>
        <v>7796178.0000000009</v>
      </c>
      <c r="G19" s="13">
        <f t="shared" si="0"/>
        <v>9840386.6799999997</v>
      </c>
      <c r="H19" s="26">
        <v>74.75</v>
      </c>
      <c r="I19" s="13">
        <v>1628500</v>
      </c>
      <c r="J19" s="12">
        <v>83</v>
      </c>
      <c r="K19" s="13">
        <v>713000</v>
      </c>
      <c r="L19" s="13">
        <v>78000</v>
      </c>
      <c r="M19" s="13">
        <v>712000</v>
      </c>
      <c r="N19" s="13">
        <v>81000</v>
      </c>
      <c r="O19" s="13"/>
    </row>
    <row r="20" spans="1:15" x14ac:dyDescent="0.25">
      <c r="A20" s="25">
        <v>45676</v>
      </c>
      <c r="B20" s="46">
        <v>1239.2059999999999</v>
      </c>
      <c r="C20" s="46">
        <v>1127.0899999999999</v>
      </c>
      <c r="D20" s="47">
        <v>5200</v>
      </c>
      <c r="E20" s="47">
        <v>4830</v>
      </c>
      <c r="F20" s="13">
        <f t="shared" si="0"/>
        <v>6443871.1999999993</v>
      </c>
      <c r="G20" s="13">
        <f t="shared" si="0"/>
        <v>5443844.6999999993</v>
      </c>
      <c r="H20" s="26">
        <v>86</v>
      </c>
      <c r="I20" s="13">
        <v>1905500</v>
      </c>
      <c r="J20" s="12">
        <v>24</v>
      </c>
      <c r="K20" s="13">
        <v>212000</v>
      </c>
      <c r="L20" s="13">
        <v>31000</v>
      </c>
      <c r="M20" s="13">
        <v>600000</v>
      </c>
      <c r="N20" s="13">
        <v>0</v>
      </c>
      <c r="O20" s="13"/>
    </row>
    <row r="21" spans="1:15" x14ac:dyDescent="0.25">
      <c r="A21" s="25">
        <v>45677</v>
      </c>
      <c r="B21" s="46">
        <v>1675.184</v>
      </c>
      <c r="C21" s="46">
        <v>2973.13</v>
      </c>
      <c r="D21" s="47">
        <v>5200</v>
      </c>
      <c r="E21" s="47">
        <v>4830</v>
      </c>
      <c r="F21" s="13">
        <f t="shared" si="0"/>
        <v>8710956.8000000007</v>
      </c>
      <c r="G21" s="13">
        <f t="shared" si="0"/>
        <v>14360217.9</v>
      </c>
      <c r="H21" s="26">
        <v>66</v>
      </c>
      <c r="I21" s="13">
        <v>1484500</v>
      </c>
      <c r="J21" s="12">
        <v>48</v>
      </c>
      <c r="K21" s="13">
        <v>427000</v>
      </c>
      <c r="L21" s="13">
        <v>73000</v>
      </c>
      <c r="M21" s="13">
        <v>384700</v>
      </c>
      <c r="N21" s="13">
        <v>92000</v>
      </c>
      <c r="O21" s="13"/>
    </row>
    <row r="22" spans="1:15" x14ac:dyDescent="0.25">
      <c r="A22" s="25">
        <v>45678</v>
      </c>
      <c r="B22" s="46">
        <v>1753.134</v>
      </c>
      <c r="C22" s="46">
        <v>2551.826</v>
      </c>
      <c r="D22" s="47">
        <v>5200</v>
      </c>
      <c r="E22" s="47">
        <v>4830</v>
      </c>
      <c r="F22" s="13">
        <f t="shared" si="0"/>
        <v>9116296.8000000007</v>
      </c>
      <c r="G22" s="13">
        <f t="shared" si="0"/>
        <v>12325319.58</v>
      </c>
      <c r="H22" s="26">
        <v>48.5</v>
      </c>
      <c r="I22" s="13">
        <v>1069000</v>
      </c>
      <c r="J22" s="12">
        <v>33.5</v>
      </c>
      <c r="K22" s="13">
        <v>292000</v>
      </c>
      <c r="L22" s="13">
        <v>15000</v>
      </c>
      <c r="M22" s="13">
        <v>520500</v>
      </c>
      <c r="N22" s="13">
        <v>0</v>
      </c>
      <c r="O22" s="13"/>
    </row>
    <row r="23" spans="1:15" x14ac:dyDescent="0.25">
      <c r="A23" s="25">
        <v>45679</v>
      </c>
      <c r="B23" s="46">
        <v>1181.49</v>
      </c>
      <c r="C23" s="46">
        <v>1764.6969999999999</v>
      </c>
      <c r="D23" s="47">
        <v>5200</v>
      </c>
      <c r="E23" s="47">
        <v>4830</v>
      </c>
      <c r="F23" s="13">
        <f t="shared" si="0"/>
        <v>6143748</v>
      </c>
      <c r="G23" s="13">
        <f t="shared" si="0"/>
        <v>8523486.5099999998</v>
      </c>
      <c r="H23" s="26">
        <v>18.5</v>
      </c>
      <c r="I23" s="13">
        <v>378000</v>
      </c>
      <c r="J23" s="12">
        <v>42.5</v>
      </c>
      <c r="K23" s="13">
        <v>370000</v>
      </c>
      <c r="L23" s="13">
        <v>31000</v>
      </c>
      <c r="M23" s="13">
        <v>771600</v>
      </c>
      <c r="N23" s="13">
        <v>0</v>
      </c>
      <c r="O23" s="13"/>
    </row>
    <row r="24" spans="1:15" x14ac:dyDescent="0.25">
      <c r="A24" s="25">
        <v>45680</v>
      </c>
      <c r="B24" s="46">
        <v>1510.7360000000001</v>
      </c>
      <c r="C24" s="46">
        <v>2015.1579999999999</v>
      </c>
      <c r="D24" s="47">
        <v>5030</v>
      </c>
      <c r="E24" s="47">
        <v>4799</v>
      </c>
      <c r="F24" s="13">
        <f t="shared" si="0"/>
        <v>7599002.0800000001</v>
      </c>
      <c r="G24" s="13">
        <f t="shared" si="0"/>
        <v>9670743.2419999987</v>
      </c>
      <c r="H24" s="26">
        <v>19.25</v>
      </c>
      <c r="I24" s="13">
        <v>416000</v>
      </c>
      <c r="J24" s="12">
        <v>30.5</v>
      </c>
      <c r="K24" s="13">
        <v>264000</v>
      </c>
      <c r="L24" s="13">
        <v>15000</v>
      </c>
      <c r="M24" s="13">
        <v>437500</v>
      </c>
      <c r="N24" s="13">
        <v>0</v>
      </c>
      <c r="O24" s="13"/>
    </row>
    <row r="25" spans="1:15" x14ac:dyDescent="0.25">
      <c r="A25" s="25">
        <v>45681</v>
      </c>
      <c r="B25" s="46">
        <v>1841.81</v>
      </c>
      <c r="C25" s="46">
        <v>1573.5029999999999</v>
      </c>
      <c r="D25" s="47">
        <v>5030</v>
      </c>
      <c r="E25" s="47">
        <v>4799</v>
      </c>
      <c r="F25" s="13">
        <f t="shared" si="0"/>
        <v>9264304.2999999989</v>
      </c>
      <c r="G25" s="13">
        <f t="shared" si="0"/>
        <v>7551240.8969999999</v>
      </c>
      <c r="H25" s="26">
        <v>69.5</v>
      </c>
      <c r="I25" s="13">
        <v>1579000</v>
      </c>
      <c r="J25" s="12">
        <v>42</v>
      </c>
      <c r="K25" s="13">
        <v>371000</v>
      </c>
      <c r="L25" s="13">
        <v>123000</v>
      </c>
      <c r="M25" s="13">
        <v>680000</v>
      </c>
      <c r="N25" s="13">
        <v>230000</v>
      </c>
      <c r="O25" s="13"/>
    </row>
    <row r="26" spans="1:15" x14ac:dyDescent="0.25">
      <c r="A26" s="25">
        <v>45682</v>
      </c>
      <c r="B26" s="46">
        <v>2215.4899999999998</v>
      </c>
      <c r="C26" s="46">
        <v>1738.27</v>
      </c>
      <c r="D26" s="47">
        <v>5030</v>
      </c>
      <c r="E26" s="47">
        <v>4799</v>
      </c>
      <c r="F26" s="13">
        <f t="shared" si="0"/>
        <v>11143914.699999999</v>
      </c>
      <c r="G26" s="13">
        <f t="shared" si="0"/>
        <v>8341957.7299999995</v>
      </c>
      <c r="H26" s="26">
        <v>65.25</v>
      </c>
      <c r="I26" s="13">
        <v>1442500</v>
      </c>
      <c r="J26" s="12">
        <v>101</v>
      </c>
      <c r="K26" s="13">
        <v>908000</v>
      </c>
      <c r="L26" s="13">
        <v>39000</v>
      </c>
      <c r="M26" s="13">
        <v>983500</v>
      </c>
      <c r="N26" s="13">
        <v>490000</v>
      </c>
      <c r="O26" s="13"/>
    </row>
    <row r="27" spans="1:15" x14ac:dyDescent="0.25">
      <c r="A27" s="25">
        <v>45683</v>
      </c>
      <c r="B27" s="46">
        <v>1807.6110000000001</v>
      </c>
      <c r="C27" s="46">
        <v>1413.126</v>
      </c>
      <c r="D27" s="47">
        <v>5030</v>
      </c>
      <c r="E27" s="47">
        <v>4799</v>
      </c>
      <c r="F27" s="13">
        <f t="shared" si="0"/>
        <v>9092283.3300000001</v>
      </c>
      <c r="G27" s="13">
        <f t="shared" si="0"/>
        <v>6781591.6739999996</v>
      </c>
      <c r="H27" s="26">
        <v>35.25</v>
      </c>
      <c r="I27" s="13">
        <v>770500</v>
      </c>
      <c r="J27" s="12">
        <v>42.5</v>
      </c>
      <c r="K27" s="13">
        <v>373000</v>
      </c>
      <c r="L27" s="13">
        <v>16000</v>
      </c>
      <c r="M27" s="13">
        <v>450000</v>
      </c>
      <c r="N27" s="13">
        <v>115000</v>
      </c>
      <c r="O27" s="13"/>
    </row>
    <row r="28" spans="1:15" x14ac:dyDescent="0.25">
      <c r="A28" s="25">
        <v>45684</v>
      </c>
      <c r="B28" s="46">
        <v>2201.5169999999998</v>
      </c>
      <c r="C28" s="46">
        <v>2725.1590000000001</v>
      </c>
      <c r="D28" s="47">
        <v>5030</v>
      </c>
      <c r="E28" s="47">
        <v>4799</v>
      </c>
      <c r="F28" s="13">
        <f t="shared" si="0"/>
        <v>11073630.51</v>
      </c>
      <c r="G28" s="13">
        <f t="shared" si="0"/>
        <v>13078038.041000001</v>
      </c>
      <c r="H28" s="26">
        <v>58.25</v>
      </c>
      <c r="I28" s="13">
        <v>1322500</v>
      </c>
      <c r="J28" s="12">
        <v>103</v>
      </c>
      <c r="K28" s="13">
        <v>902000</v>
      </c>
      <c r="L28" s="13">
        <v>23000</v>
      </c>
      <c r="M28" s="13">
        <v>582000</v>
      </c>
      <c r="N28" s="13">
        <v>391000</v>
      </c>
      <c r="O28" s="13"/>
    </row>
    <row r="29" spans="1:15" x14ac:dyDescent="0.25">
      <c r="A29" s="25">
        <v>45685</v>
      </c>
      <c r="B29" s="46">
        <v>1788.4359999999999</v>
      </c>
      <c r="C29" s="46">
        <v>2166.596</v>
      </c>
      <c r="D29" s="47">
        <v>5030</v>
      </c>
      <c r="E29" s="47">
        <v>4799</v>
      </c>
      <c r="F29" s="13">
        <f t="shared" si="0"/>
        <v>8995833.0800000001</v>
      </c>
      <c r="G29" s="13">
        <f t="shared" si="0"/>
        <v>10397494.204</v>
      </c>
      <c r="H29" s="26">
        <v>63</v>
      </c>
      <c r="I29" s="13">
        <v>1400500</v>
      </c>
      <c r="J29" s="12">
        <v>92.5</v>
      </c>
      <c r="K29" s="13">
        <v>706000</v>
      </c>
      <c r="L29" s="13">
        <v>70000</v>
      </c>
      <c r="M29" s="13">
        <v>542000</v>
      </c>
      <c r="N29" s="13">
        <v>276000</v>
      </c>
      <c r="O29" s="13"/>
    </row>
    <row r="30" spans="1:15" x14ac:dyDescent="0.25">
      <c r="A30" s="25">
        <v>45686</v>
      </c>
      <c r="B30" s="46">
        <v>2220.5149999999999</v>
      </c>
      <c r="C30" s="46">
        <v>1570.511</v>
      </c>
      <c r="D30" s="47">
        <v>5030</v>
      </c>
      <c r="E30" s="47">
        <v>4799</v>
      </c>
      <c r="F30" s="13">
        <f t="shared" si="0"/>
        <v>11169190.449999999</v>
      </c>
      <c r="G30" s="13">
        <f t="shared" si="0"/>
        <v>7536882.2889999999</v>
      </c>
      <c r="H30" s="26">
        <v>28.75</v>
      </c>
      <c r="I30" s="13">
        <v>702500</v>
      </c>
      <c r="J30" s="12">
        <v>75.5</v>
      </c>
      <c r="K30" s="13">
        <v>663000</v>
      </c>
      <c r="L30" s="13">
        <v>15000</v>
      </c>
      <c r="M30" s="13">
        <v>512000</v>
      </c>
      <c r="N30" s="13">
        <v>276000</v>
      </c>
      <c r="O30" s="13"/>
    </row>
    <row r="31" spans="1:15" x14ac:dyDescent="0.25">
      <c r="A31" s="25">
        <v>45687</v>
      </c>
      <c r="B31" s="46">
        <v>1818.5940000000001</v>
      </c>
      <c r="C31" s="46">
        <v>1475.47</v>
      </c>
      <c r="D31" s="47">
        <v>5030</v>
      </c>
      <c r="E31" s="47">
        <v>4799</v>
      </c>
      <c r="F31" s="13">
        <f t="shared" si="0"/>
        <v>9147527.8200000003</v>
      </c>
      <c r="G31" s="13">
        <f t="shared" si="0"/>
        <v>7080780.5300000003</v>
      </c>
      <c r="H31" s="26">
        <v>11.75</v>
      </c>
      <c r="I31" s="13">
        <v>257500</v>
      </c>
      <c r="J31" s="12">
        <v>97.5</v>
      </c>
      <c r="K31" s="13">
        <v>845000</v>
      </c>
      <c r="L31" s="13">
        <v>0</v>
      </c>
      <c r="M31" s="13">
        <v>390500</v>
      </c>
      <c r="N31" s="13">
        <v>391000</v>
      </c>
      <c r="O31" s="13"/>
    </row>
    <row r="32" spans="1:15" x14ac:dyDescent="0.25">
      <c r="A32" s="25">
        <v>45688</v>
      </c>
      <c r="B32" s="46">
        <v>2077.058</v>
      </c>
      <c r="C32" s="46">
        <v>1806.653</v>
      </c>
      <c r="D32" s="47">
        <v>5030</v>
      </c>
      <c r="E32" s="47">
        <v>4799</v>
      </c>
      <c r="F32" s="13">
        <f t="shared" ref="F32:G32" si="1">B32*D32</f>
        <v>10447601.74</v>
      </c>
      <c r="G32" s="13">
        <f t="shared" si="1"/>
        <v>8670127.7469999995</v>
      </c>
      <c r="H32" s="26">
        <v>67.75</v>
      </c>
      <c r="I32" s="13">
        <v>1527000</v>
      </c>
      <c r="J32" s="12">
        <v>73</v>
      </c>
      <c r="K32" s="13">
        <v>637000</v>
      </c>
      <c r="L32" s="13">
        <v>8000</v>
      </c>
      <c r="M32" s="13">
        <v>702000</v>
      </c>
      <c r="N32" s="13">
        <v>184000</v>
      </c>
      <c r="O32" s="13"/>
    </row>
    <row r="33" spans="1:15" x14ac:dyDescent="0.25">
      <c r="A33" s="15"/>
      <c r="B33" s="37">
        <f>SUM(B1:B32)</f>
        <v>54336.228999999985</v>
      </c>
      <c r="C33" s="37">
        <f>SUM(C1:C32)</f>
        <v>60965.873999999982</v>
      </c>
      <c r="D33" s="38"/>
      <c r="E33" s="38"/>
      <c r="F33" s="39">
        <f>SUM(F1:F32)</f>
        <v>267770156.252</v>
      </c>
      <c r="G33" s="39">
        <f>SUM(G1:G32)</f>
        <v>292951437.23399991</v>
      </c>
      <c r="H33" s="39">
        <f t="shared" ref="H33:I33" si="2">SUM(H1:H32)</f>
        <v>1592.22</v>
      </c>
      <c r="I33" s="39">
        <f t="shared" si="2"/>
        <v>35698500</v>
      </c>
      <c r="J33" s="39">
        <f>SUM(J1:J32)</f>
        <v>2109</v>
      </c>
      <c r="K33" s="39">
        <f>SUM(K1:K32)</f>
        <v>17949000</v>
      </c>
      <c r="L33" s="39">
        <f>SUM(L1:L32)</f>
        <v>1582000</v>
      </c>
      <c r="M33" s="38">
        <f>SUM(M1:M32)</f>
        <v>18873400</v>
      </c>
      <c r="N33" s="38">
        <f>SUM(N2:N32)</f>
        <v>5902500</v>
      </c>
      <c r="O33" s="38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33"/>
  <sheetViews>
    <sheetView topLeftCell="C1" workbookViewId="0">
      <selection activeCell="F19" sqref="F19"/>
    </sheetView>
  </sheetViews>
  <sheetFormatPr defaultRowHeight="15" x14ac:dyDescent="0.25"/>
  <cols>
    <col min="1" max="1" width="9.42578125" bestFit="1" customWidth="1"/>
    <col min="2" max="2" width="12.7109375" customWidth="1"/>
    <col min="3" max="3" width="11.5703125" customWidth="1"/>
    <col min="4" max="4" width="11" customWidth="1"/>
    <col min="6" max="6" width="14.42578125" customWidth="1"/>
    <col min="7" max="7" width="15.7109375" customWidth="1"/>
    <col min="9" max="9" width="13.5703125" customWidth="1"/>
    <col min="11" max="11" width="14.140625" customWidth="1"/>
    <col min="12" max="12" width="13.28515625" customWidth="1"/>
    <col min="13" max="13" width="11.140625" customWidth="1"/>
    <col min="14" max="14" width="12.5703125" customWidth="1"/>
  </cols>
  <sheetData>
    <row r="1" spans="1:15" x14ac:dyDescent="0.25">
      <c r="A1" s="16"/>
      <c r="B1" s="17" t="s">
        <v>1</v>
      </c>
      <c r="C1" s="17" t="s">
        <v>2</v>
      </c>
      <c r="D1" s="18" t="s">
        <v>1</v>
      </c>
      <c r="E1" s="18" t="s">
        <v>2</v>
      </c>
      <c r="F1" s="19" t="s">
        <v>1</v>
      </c>
      <c r="G1" s="19" t="s">
        <v>2</v>
      </c>
      <c r="H1" s="19" t="s">
        <v>9</v>
      </c>
      <c r="I1" s="18" t="s">
        <v>10</v>
      </c>
      <c r="J1" s="16" t="s">
        <v>11</v>
      </c>
      <c r="K1" s="18" t="s">
        <v>10</v>
      </c>
      <c r="L1" s="18" t="s">
        <v>4</v>
      </c>
      <c r="M1" s="18" t="s">
        <v>67</v>
      </c>
      <c r="N1" s="18" t="s">
        <v>52</v>
      </c>
      <c r="O1" s="18" t="s">
        <v>40</v>
      </c>
    </row>
    <row r="2" spans="1:15" x14ac:dyDescent="0.25">
      <c r="A2" s="25">
        <v>45689</v>
      </c>
      <c r="B2" s="46">
        <v>3002.261</v>
      </c>
      <c r="C2" s="46">
        <v>1839.1890000000001</v>
      </c>
      <c r="D2" s="47">
        <v>5030</v>
      </c>
      <c r="E2" s="47">
        <v>4799</v>
      </c>
      <c r="F2" s="13">
        <f t="shared" ref="F2:G31" si="0">B2*D2</f>
        <v>15101372.83</v>
      </c>
      <c r="G2" s="13">
        <f t="shared" si="0"/>
        <v>8826268.0109999999</v>
      </c>
      <c r="H2" s="31">
        <v>46</v>
      </c>
      <c r="I2" s="13">
        <v>945000</v>
      </c>
      <c r="J2" s="27">
        <v>97</v>
      </c>
      <c r="K2" s="13">
        <v>846000</v>
      </c>
      <c r="L2" s="13">
        <v>38000</v>
      </c>
      <c r="M2" s="13">
        <v>825100</v>
      </c>
      <c r="N2" s="13">
        <v>644000</v>
      </c>
      <c r="O2" s="13"/>
    </row>
    <row r="3" spans="1:15" x14ac:dyDescent="0.25">
      <c r="A3" s="25">
        <v>45690</v>
      </c>
      <c r="B3" s="46">
        <v>2121.4090000000001</v>
      </c>
      <c r="C3" s="46">
        <v>1497.527</v>
      </c>
      <c r="D3" s="47">
        <v>5030</v>
      </c>
      <c r="E3" s="47">
        <v>4799</v>
      </c>
      <c r="F3" s="13">
        <f t="shared" si="0"/>
        <v>10670687.270000001</v>
      </c>
      <c r="G3" s="13">
        <f t="shared" si="0"/>
        <v>7186632.0729999999</v>
      </c>
      <c r="H3" s="26">
        <v>22.25</v>
      </c>
      <c r="I3" s="13">
        <v>344500</v>
      </c>
      <c r="J3" s="27">
        <v>112</v>
      </c>
      <c r="K3" s="13">
        <v>980000</v>
      </c>
      <c r="L3" s="13">
        <v>8000</v>
      </c>
      <c r="M3" s="13">
        <v>701000</v>
      </c>
      <c r="N3" s="13">
        <v>391000</v>
      </c>
      <c r="O3" s="13"/>
    </row>
    <row r="4" spans="1:15" x14ac:dyDescent="0.25">
      <c r="A4" s="25">
        <v>45691</v>
      </c>
      <c r="B4" s="46">
        <v>2046.8789999999999</v>
      </c>
      <c r="C4" s="46">
        <v>2422.0639999999999</v>
      </c>
      <c r="D4" s="47">
        <v>5030</v>
      </c>
      <c r="E4" s="47">
        <v>4799</v>
      </c>
      <c r="F4" s="13">
        <f t="shared" si="0"/>
        <v>10295801.369999999</v>
      </c>
      <c r="G4" s="13">
        <f t="shared" si="0"/>
        <v>11623485.136</v>
      </c>
      <c r="H4" s="26">
        <v>42.25</v>
      </c>
      <c r="I4" s="13">
        <v>913000</v>
      </c>
      <c r="J4" s="27">
        <v>120.5</v>
      </c>
      <c r="K4" s="13">
        <v>944000</v>
      </c>
      <c r="L4" s="13">
        <v>53000</v>
      </c>
      <c r="M4" s="13">
        <v>684000</v>
      </c>
      <c r="N4" s="13">
        <v>357000</v>
      </c>
      <c r="O4" s="13"/>
    </row>
    <row r="5" spans="1:15" x14ac:dyDescent="0.25">
      <c r="A5" s="25">
        <v>45692</v>
      </c>
      <c r="B5" s="46">
        <v>2233.4290000000001</v>
      </c>
      <c r="C5" s="46">
        <v>2559.703</v>
      </c>
      <c r="D5" s="47">
        <v>5030</v>
      </c>
      <c r="E5" s="47">
        <v>4799</v>
      </c>
      <c r="F5" s="13">
        <f t="shared" si="0"/>
        <v>11234147.870000001</v>
      </c>
      <c r="G5" s="13">
        <f t="shared" si="0"/>
        <v>12284014.697000001</v>
      </c>
      <c r="H5" s="26">
        <v>53</v>
      </c>
      <c r="I5" s="13">
        <v>1155500</v>
      </c>
      <c r="J5" s="27">
        <v>122</v>
      </c>
      <c r="K5" s="13">
        <v>1056000</v>
      </c>
      <c r="L5" s="13">
        <v>78000</v>
      </c>
      <c r="M5" s="13">
        <v>498800</v>
      </c>
      <c r="N5" s="13">
        <v>92000</v>
      </c>
      <c r="O5" s="13"/>
    </row>
    <row r="6" spans="1:15" x14ac:dyDescent="0.25">
      <c r="A6" s="25">
        <v>45693</v>
      </c>
      <c r="B6" s="46">
        <v>1744</v>
      </c>
      <c r="C6" s="46">
        <v>2463.9899999999998</v>
      </c>
      <c r="D6" s="47">
        <v>5030</v>
      </c>
      <c r="E6" s="47">
        <v>4799</v>
      </c>
      <c r="F6" s="13">
        <f t="shared" si="0"/>
        <v>8772320</v>
      </c>
      <c r="G6" s="13">
        <f t="shared" si="0"/>
        <v>11824688.01</v>
      </c>
      <c r="H6" s="26">
        <v>67</v>
      </c>
      <c r="I6" s="13">
        <v>1444000</v>
      </c>
      <c r="J6" s="27">
        <v>85</v>
      </c>
      <c r="K6" s="13">
        <v>743000</v>
      </c>
      <c r="L6" s="13">
        <v>61000</v>
      </c>
      <c r="M6" s="13">
        <v>507000</v>
      </c>
      <c r="N6" s="13">
        <v>204000</v>
      </c>
      <c r="O6" s="13"/>
    </row>
    <row r="7" spans="1:15" x14ac:dyDescent="0.25">
      <c r="A7" s="25">
        <v>45694</v>
      </c>
      <c r="B7" s="46">
        <v>1986.873</v>
      </c>
      <c r="C7" s="46">
        <v>1681.9549999999999</v>
      </c>
      <c r="D7" s="47">
        <v>5030</v>
      </c>
      <c r="E7" s="47">
        <v>4799</v>
      </c>
      <c r="F7" s="13">
        <f t="shared" si="0"/>
        <v>9993971.1899999995</v>
      </c>
      <c r="G7" s="13">
        <f t="shared" si="0"/>
        <v>8071702.0449999999</v>
      </c>
      <c r="H7" s="26">
        <v>103.75</v>
      </c>
      <c r="I7" s="13">
        <v>2307000</v>
      </c>
      <c r="J7" s="27">
        <v>45</v>
      </c>
      <c r="K7" s="13">
        <v>399000</v>
      </c>
      <c r="L7" s="13">
        <v>243000</v>
      </c>
      <c r="M7" s="13">
        <v>811900</v>
      </c>
      <c r="N7" s="13">
        <v>132000</v>
      </c>
      <c r="O7" s="13"/>
    </row>
    <row r="8" spans="1:15" x14ac:dyDescent="0.25">
      <c r="A8" s="25">
        <v>45695</v>
      </c>
      <c r="B8" s="46">
        <v>1669.079</v>
      </c>
      <c r="C8" s="46">
        <v>2118.8969999999999</v>
      </c>
      <c r="D8" s="47">
        <v>5030</v>
      </c>
      <c r="E8" s="47">
        <v>4799</v>
      </c>
      <c r="F8" s="13">
        <f t="shared" si="0"/>
        <v>8395467.3699999992</v>
      </c>
      <c r="G8" s="13">
        <f t="shared" si="0"/>
        <v>10168586.703</v>
      </c>
      <c r="H8" s="26">
        <v>55.5</v>
      </c>
      <c r="I8" s="13">
        <v>1186500</v>
      </c>
      <c r="J8" s="27">
        <v>90.5</v>
      </c>
      <c r="K8" s="13">
        <v>794000</v>
      </c>
      <c r="L8" s="13">
        <v>23000</v>
      </c>
      <c r="M8" s="13">
        <v>471600</v>
      </c>
      <c r="N8" s="13">
        <v>946000</v>
      </c>
      <c r="O8" s="13"/>
    </row>
    <row r="9" spans="1:15" x14ac:dyDescent="0.25">
      <c r="A9" s="25">
        <v>45696</v>
      </c>
      <c r="B9" s="46">
        <v>1816.3109999999999</v>
      </c>
      <c r="C9" s="46">
        <v>1051.502</v>
      </c>
      <c r="D9" s="47">
        <v>5030</v>
      </c>
      <c r="E9" s="47">
        <v>4799</v>
      </c>
      <c r="F9" s="13">
        <f t="shared" si="0"/>
        <v>9136044.3300000001</v>
      </c>
      <c r="G9" s="13">
        <f t="shared" si="0"/>
        <v>5046158.0980000002</v>
      </c>
      <c r="H9" s="26">
        <v>23.75</v>
      </c>
      <c r="I9" s="13">
        <v>535500</v>
      </c>
      <c r="J9" s="27">
        <v>112.5</v>
      </c>
      <c r="K9" s="13">
        <v>777000</v>
      </c>
      <c r="L9" s="13">
        <v>23000</v>
      </c>
      <c r="M9" s="13">
        <v>501500</v>
      </c>
      <c r="N9" s="13">
        <v>210000</v>
      </c>
      <c r="O9" s="13"/>
    </row>
    <row r="10" spans="1:15" x14ac:dyDescent="0.25">
      <c r="A10" s="25">
        <v>45697</v>
      </c>
      <c r="B10" s="46">
        <v>1194.6679999999999</v>
      </c>
      <c r="C10" s="46">
        <v>949.24400000000003</v>
      </c>
      <c r="D10" s="47">
        <v>5030</v>
      </c>
      <c r="E10" s="47">
        <v>4799</v>
      </c>
      <c r="F10" s="13">
        <f t="shared" si="0"/>
        <v>6009180.0399999991</v>
      </c>
      <c r="G10" s="13">
        <f t="shared" si="0"/>
        <v>4555421.9560000002</v>
      </c>
      <c r="H10" s="26">
        <v>48</v>
      </c>
      <c r="I10" s="13">
        <v>1129500</v>
      </c>
      <c r="J10" s="27">
        <v>81.5</v>
      </c>
      <c r="K10" s="13">
        <v>716000</v>
      </c>
      <c r="L10" s="13">
        <v>150000</v>
      </c>
      <c r="M10" s="13">
        <v>709500</v>
      </c>
      <c r="N10" s="13">
        <v>92000</v>
      </c>
      <c r="O10" s="13"/>
    </row>
    <row r="11" spans="1:15" x14ac:dyDescent="0.25">
      <c r="A11" s="25">
        <v>45698</v>
      </c>
      <c r="B11" s="46">
        <v>0</v>
      </c>
      <c r="C11" s="46">
        <v>2161.248</v>
      </c>
      <c r="D11" s="47">
        <v>5030</v>
      </c>
      <c r="E11" s="47">
        <v>4799</v>
      </c>
      <c r="F11" s="13">
        <f t="shared" si="0"/>
        <v>0</v>
      </c>
      <c r="G11" s="13">
        <f t="shared" si="0"/>
        <v>10371829.152000001</v>
      </c>
      <c r="H11" s="26">
        <v>77.5</v>
      </c>
      <c r="I11" s="13">
        <v>1703000</v>
      </c>
      <c r="J11" s="27">
        <v>78</v>
      </c>
      <c r="K11" s="13">
        <v>692000</v>
      </c>
      <c r="L11" s="13">
        <v>8000</v>
      </c>
      <c r="M11" s="13">
        <v>507500</v>
      </c>
      <c r="N11" s="13">
        <v>552000</v>
      </c>
      <c r="O11" s="13"/>
    </row>
    <row r="12" spans="1:15" x14ac:dyDescent="0.25">
      <c r="A12" s="25">
        <v>45699</v>
      </c>
      <c r="B12" s="46">
        <v>2357.5509999999999</v>
      </c>
      <c r="C12" s="46">
        <v>2319.7629999999999</v>
      </c>
      <c r="D12" s="47">
        <v>5030</v>
      </c>
      <c r="E12" s="47">
        <v>4799</v>
      </c>
      <c r="F12" s="13">
        <f t="shared" si="0"/>
        <v>11858481.529999999</v>
      </c>
      <c r="G12" s="13">
        <f t="shared" si="0"/>
        <v>11132542.637</v>
      </c>
      <c r="H12" s="26">
        <v>58.25</v>
      </c>
      <c r="I12" s="51">
        <v>1289000</v>
      </c>
      <c r="J12" s="27">
        <v>117</v>
      </c>
      <c r="K12" s="13">
        <v>1040000</v>
      </c>
      <c r="L12" s="13">
        <v>0</v>
      </c>
      <c r="M12" s="13">
        <v>475500</v>
      </c>
      <c r="N12" s="13">
        <v>633000</v>
      </c>
      <c r="O12" s="13"/>
    </row>
    <row r="13" spans="1:15" x14ac:dyDescent="0.25">
      <c r="A13" s="25">
        <v>45700</v>
      </c>
      <c r="B13" s="46">
        <v>1836.41</v>
      </c>
      <c r="C13" s="46">
        <v>2288.8870000000002</v>
      </c>
      <c r="D13" s="47">
        <v>5030</v>
      </c>
      <c r="E13" s="47">
        <v>4799</v>
      </c>
      <c r="F13" s="13">
        <f t="shared" si="0"/>
        <v>9237142.3000000007</v>
      </c>
      <c r="G13" s="13">
        <f t="shared" si="0"/>
        <v>10984368.713000001</v>
      </c>
      <c r="H13" s="26">
        <v>95.5</v>
      </c>
      <c r="I13" s="13">
        <v>2275500</v>
      </c>
      <c r="J13" s="27">
        <v>87.5</v>
      </c>
      <c r="K13" s="13">
        <v>769000</v>
      </c>
      <c r="L13" s="13">
        <v>135000</v>
      </c>
      <c r="M13" s="13">
        <v>622000</v>
      </c>
      <c r="N13" s="13">
        <v>552000</v>
      </c>
      <c r="O13" s="13"/>
    </row>
    <row r="14" spans="1:15" x14ac:dyDescent="0.25">
      <c r="A14" s="25">
        <v>45701</v>
      </c>
      <c r="B14" s="46">
        <v>1819.797</v>
      </c>
      <c r="C14" s="46">
        <v>1567.9939999999999</v>
      </c>
      <c r="D14" s="47">
        <v>5030</v>
      </c>
      <c r="E14" s="47">
        <v>4799</v>
      </c>
      <c r="F14" s="13">
        <f t="shared" si="0"/>
        <v>9153578.9100000001</v>
      </c>
      <c r="G14" s="13">
        <f t="shared" si="0"/>
        <v>7524803.2059999993</v>
      </c>
      <c r="H14" s="26">
        <v>75</v>
      </c>
      <c r="I14" s="13">
        <v>1850000</v>
      </c>
      <c r="J14" s="27">
        <v>57</v>
      </c>
      <c r="K14" s="13">
        <v>505000</v>
      </c>
      <c r="L14" s="13">
        <v>90000</v>
      </c>
      <c r="M14" s="13">
        <v>676500</v>
      </c>
      <c r="N14" s="13">
        <v>460000</v>
      </c>
      <c r="O14" s="13"/>
    </row>
    <row r="15" spans="1:15" x14ac:dyDescent="0.25">
      <c r="A15" s="25">
        <v>45702</v>
      </c>
      <c r="B15" s="46">
        <v>1880.8219999999999</v>
      </c>
      <c r="C15" s="46">
        <v>1633.0319999999999</v>
      </c>
      <c r="D15" s="47">
        <v>5030</v>
      </c>
      <c r="E15" s="47">
        <v>4799</v>
      </c>
      <c r="F15" s="13">
        <f t="shared" si="0"/>
        <v>9460534.6600000001</v>
      </c>
      <c r="G15" s="13">
        <f t="shared" si="0"/>
        <v>7836920.568</v>
      </c>
      <c r="H15" s="13">
        <v>88</v>
      </c>
      <c r="I15" s="13">
        <v>1952000</v>
      </c>
      <c r="J15" s="27">
        <v>91</v>
      </c>
      <c r="K15" s="13">
        <v>793000</v>
      </c>
      <c r="L15" s="13">
        <v>200000</v>
      </c>
      <c r="M15" s="13">
        <v>901500</v>
      </c>
      <c r="N15" s="13">
        <v>552000</v>
      </c>
      <c r="O15" s="13"/>
    </row>
    <row r="16" spans="1:15" x14ac:dyDescent="0.25">
      <c r="A16" s="25">
        <v>45703</v>
      </c>
      <c r="B16" s="46">
        <v>1869.93</v>
      </c>
      <c r="C16" s="46">
        <v>2183.77</v>
      </c>
      <c r="D16" s="47">
        <v>5030</v>
      </c>
      <c r="E16" s="47">
        <v>4799</v>
      </c>
      <c r="F16" s="13">
        <f t="shared" si="0"/>
        <v>9405747.9000000004</v>
      </c>
      <c r="G16" s="13">
        <f t="shared" si="0"/>
        <v>10479912.23</v>
      </c>
      <c r="H16" s="26">
        <v>49.25</v>
      </c>
      <c r="I16" s="13">
        <v>1091000</v>
      </c>
      <c r="J16" s="27">
        <v>115</v>
      </c>
      <c r="K16" s="13">
        <v>1005000</v>
      </c>
      <c r="L16" s="13">
        <v>39000</v>
      </c>
      <c r="M16" s="13">
        <v>723000</v>
      </c>
      <c r="N16" s="13">
        <v>920000</v>
      </c>
      <c r="O16" s="13"/>
    </row>
    <row r="17" spans="1:15" x14ac:dyDescent="0.25">
      <c r="A17" s="25">
        <v>45704</v>
      </c>
      <c r="B17" s="46">
        <v>1679.0550000000001</v>
      </c>
      <c r="C17" s="46">
        <v>1069.317</v>
      </c>
      <c r="D17" s="47">
        <v>5030</v>
      </c>
      <c r="E17" s="47">
        <v>4799</v>
      </c>
      <c r="F17" s="13">
        <f>B17*D17</f>
        <v>8445646.6500000004</v>
      </c>
      <c r="G17" s="13">
        <f t="shared" si="0"/>
        <v>5131652.2829999998</v>
      </c>
      <c r="H17" s="26">
        <v>30.5</v>
      </c>
      <c r="I17" s="13">
        <v>681000</v>
      </c>
      <c r="J17" s="27">
        <v>55</v>
      </c>
      <c r="K17" s="13">
        <v>583000</v>
      </c>
      <c r="L17" s="13">
        <v>85000</v>
      </c>
      <c r="M17" s="13">
        <v>806500</v>
      </c>
      <c r="N17" s="13">
        <v>0</v>
      </c>
      <c r="O17" s="13"/>
    </row>
    <row r="18" spans="1:15" x14ac:dyDescent="0.25">
      <c r="A18" s="25">
        <v>45705</v>
      </c>
      <c r="B18" s="46">
        <v>2148.08</v>
      </c>
      <c r="C18" s="46">
        <v>2056.46</v>
      </c>
      <c r="D18" s="47">
        <v>5030</v>
      </c>
      <c r="E18" s="47">
        <v>4799</v>
      </c>
      <c r="F18" s="13">
        <f t="shared" si="0"/>
        <v>10804842.4</v>
      </c>
      <c r="G18" s="13">
        <f t="shared" si="0"/>
        <v>9868951.540000001</v>
      </c>
      <c r="H18" s="26">
        <v>34.75</v>
      </c>
      <c r="I18" s="13">
        <v>713500</v>
      </c>
      <c r="J18" s="12">
        <v>97.5</v>
      </c>
      <c r="K18" s="13">
        <v>845000</v>
      </c>
      <c r="L18" s="13">
        <v>15000</v>
      </c>
      <c r="M18" s="13">
        <v>608500</v>
      </c>
      <c r="N18" s="13">
        <v>500000</v>
      </c>
      <c r="O18" s="13"/>
    </row>
    <row r="19" spans="1:15" x14ac:dyDescent="0.25">
      <c r="A19" s="25">
        <v>45706</v>
      </c>
      <c r="B19" s="46">
        <v>1984.144</v>
      </c>
      <c r="C19" s="46">
        <v>1775.088</v>
      </c>
      <c r="D19" s="47">
        <v>5030</v>
      </c>
      <c r="E19" s="47">
        <v>4799</v>
      </c>
      <c r="F19" s="13">
        <f t="shared" si="0"/>
        <v>9980244.3200000003</v>
      </c>
      <c r="G19" s="13">
        <f t="shared" si="0"/>
        <v>8518647.311999999</v>
      </c>
      <c r="H19" s="26">
        <v>70.75</v>
      </c>
      <c r="I19" s="13">
        <v>1548500</v>
      </c>
      <c r="J19" s="12">
        <v>122</v>
      </c>
      <c r="K19" s="13">
        <v>1056000</v>
      </c>
      <c r="L19" s="13">
        <v>53000</v>
      </c>
      <c r="M19" s="13">
        <v>569500</v>
      </c>
      <c r="N19" s="13">
        <v>555000</v>
      </c>
      <c r="O19" s="13"/>
    </row>
    <row r="20" spans="1:15" x14ac:dyDescent="0.25">
      <c r="A20" s="25">
        <v>45707</v>
      </c>
      <c r="B20" s="46">
        <v>1911.595</v>
      </c>
      <c r="C20" s="46">
        <v>1396.3610000000001</v>
      </c>
      <c r="D20" s="47">
        <v>5030</v>
      </c>
      <c r="E20" s="47">
        <v>4799</v>
      </c>
      <c r="F20" s="13">
        <f t="shared" si="0"/>
        <v>9615322.8499999996</v>
      </c>
      <c r="G20" s="13">
        <f t="shared" si="0"/>
        <v>6701136.4390000002</v>
      </c>
      <c r="H20" s="26">
        <v>58</v>
      </c>
      <c r="I20" s="13">
        <v>1207000</v>
      </c>
      <c r="J20" s="12">
        <v>81</v>
      </c>
      <c r="K20" s="13">
        <v>599000</v>
      </c>
      <c r="L20" s="13">
        <v>69000</v>
      </c>
      <c r="M20" s="13">
        <v>482000</v>
      </c>
      <c r="N20" s="13">
        <v>92000</v>
      </c>
      <c r="O20" s="13"/>
    </row>
    <row r="21" spans="1:15" x14ac:dyDescent="0.25">
      <c r="A21" s="25">
        <v>45708</v>
      </c>
      <c r="B21" s="46">
        <v>1572.77</v>
      </c>
      <c r="C21" s="46">
        <v>1338.8009999999999</v>
      </c>
      <c r="D21" s="47">
        <v>5030</v>
      </c>
      <c r="E21" s="47">
        <v>4799</v>
      </c>
      <c r="F21" s="13">
        <f t="shared" si="0"/>
        <v>7911033.0999999996</v>
      </c>
      <c r="G21" s="13">
        <f t="shared" si="0"/>
        <v>6424905.9989999998</v>
      </c>
      <c r="H21" s="26">
        <v>45</v>
      </c>
      <c r="I21" s="13">
        <v>1056000</v>
      </c>
      <c r="J21" s="12">
        <v>60.5</v>
      </c>
      <c r="K21" s="13">
        <v>529000</v>
      </c>
      <c r="L21" s="13">
        <v>89000</v>
      </c>
      <c r="M21" s="13">
        <v>660500</v>
      </c>
      <c r="N21" s="13">
        <v>184000</v>
      </c>
      <c r="O21" s="13"/>
    </row>
    <row r="22" spans="1:15" x14ac:dyDescent="0.25">
      <c r="A22" s="25">
        <v>45709</v>
      </c>
      <c r="B22" s="46">
        <v>1957.3440000000001</v>
      </c>
      <c r="C22" s="46">
        <v>1550.8150000000001</v>
      </c>
      <c r="D22" s="47">
        <v>5030</v>
      </c>
      <c r="E22" s="47">
        <v>4799</v>
      </c>
      <c r="F22" s="13">
        <f t="shared" si="0"/>
        <v>9845440.3200000003</v>
      </c>
      <c r="G22" s="13">
        <f t="shared" si="0"/>
        <v>7442361.1850000005</v>
      </c>
      <c r="H22" s="26">
        <v>57.5</v>
      </c>
      <c r="I22" s="13">
        <v>1253500</v>
      </c>
      <c r="J22" s="12">
        <v>51</v>
      </c>
      <c r="K22" s="13">
        <v>452000</v>
      </c>
      <c r="L22" s="13">
        <v>98000</v>
      </c>
      <c r="M22" s="13">
        <v>718500</v>
      </c>
      <c r="N22" s="13">
        <v>427000</v>
      </c>
      <c r="O22" s="13"/>
    </row>
    <row r="23" spans="1:15" x14ac:dyDescent="0.25">
      <c r="A23" s="25">
        <v>45710</v>
      </c>
      <c r="B23" s="46">
        <v>1768.5519999999999</v>
      </c>
      <c r="C23" s="46">
        <v>1729.0260000000001</v>
      </c>
      <c r="D23" s="47">
        <v>5030</v>
      </c>
      <c r="E23" s="47">
        <v>4799</v>
      </c>
      <c r="F23" s="13">
        <f t="shared" si="0"/>
        <v>8895816.5599999987</v>
      </c>
      <c r="G23" s="13">
        <f t="shared" si="0"/>
        <v>8297595.7740000002</v>
      </c>
      <c r="H23" s="26">
        <v>34</v>
      </c>
      <c r="I23" s="13">
        <v>719500</v>
      </c>
      <c r="J23" s="12">
        <v>48.5</v>
      </c>
      <c r="K23" s="13">
        <v>423000</v>
      </c>
      <c r="L23" s="13">
        <v>96000</v>
      </c>
      <c r="M23" s="13">
        <v>771500</v>
      </c>
      <c r="N23" s="13">
        <v>0</v>
      </c>
      <c r="O23" s="13"/>
    </row>
    <row r="24" spans="1:15" x14ac:dyDescent="0.25">
      <c r="A24" s="25">
        <v>45711</v>
      </c>
      <c r="B24" s="46">
        <v>1310.07</v>
      </c>
      <c r="C24" s="46">
        <v>1252.114</v>
      </c>
      <c r="D24" s="47">
        <v>5030</v>
      </c>
      <c r="E24" s="47">
        <v>4799</v>
      </c>
      <c r="F24" s="13">
        <f t="shared" si="0"/>
        <v>6589652.0999999996</v>
      </c>
      <c r="G24" s="13">
        <f t="shared" si="0"/>
        <v>6008895.0860000001</v>
      </c>
      <c r="H24" s="26">
        <v>66</v>
      </c>
      <c r="I24" s="13">
        <v>1457000</v>
      </c>
      <c r="J24" s="12">
        <v>36</v>
      </c>
      <c r="K24" s="13">
        <v>318000</v>
      </c>
      <c r="L24" s="13">
        <v>30000</v>
      </c>
      <c r="M24" s="13">
        <v>637500</v>
      </c>
      <c r="N24" s="13">
        <v>184000</v>
      </c>
      <c r="O24" s="13"/>
    </row>
    <row r="25" spans="1:15" x14ac:dyDescent="0.25">
      <c r="A25" s="25">
        <v>45712</v>
      </c>
      <c r="B25" s="46">
        <v>1973.175</v>
      </c>
      <c r="C25" s="46">
        <v>2451.2260000000001</v>
      </c>
      <c r="D25" s="47">
        <v>5030</v>
      </c>
      <c r="E25" s="47">
        <v>4799</v>
      </c>
      <c r="F25" s="13">
        <f t="shared" si="0"/>
        <v>9925070.25</v>
      </c>
      <c r="G25" s="13">
        <f t="shared" si="0"/>
        <v>11763433.574000001</v>
      </c>
      <c r="H25" s="26">
        <v>80.5</v>
      </c>
      <c r="I25" s="13">
        <v>1778000</v>
      </c>
      <c r="J25" s="12">
        <v>110</v>
      </c>
      <c r="K25" s="13">
        <v>950000</v>
      </c>
      <c r="L25" s="13">
        <v>38000</v>
      </c>
      <c r="M25" s="13">
        <v>715500</v>
      </c>
      <c r="N25" s="13">
        <v>828000</v>
      </c>
      <c r="O25" s="13"/>
    </row>
    <row r="26" spans="1:15" x14ac:dyDescent="0.25">
      <c r="A26" s="25">
        <v>45713</v>
      </c>
      <c r="B26" s="46">
        <v>913.71400000000006</v>
      </c>
      <c r="C26" s="46">
        <v>2375.7310000000002</v>
      </c>
      <c r="D26" s="47">
        <v>5030</v>
      </c>
      <c r="E26" s="47">
        <v>4799</v>
      </c>
      <c r="F26" s="13">
        <f t="shared" si="0"/>
        <v>4595981.42</v>
      </c>
      <c r="G26" s="13">
        <f t="shared" si="0"/>
        <v>11401133.069000002</v>
      </c>
      <c r="H26" s="26">
        <v>66.75</v>
      </c>
      <c r="I26" s="13">
        <v>1508000</v>
      </c>
      <c r="J26" s="12">
        <v>87.5</v>
      </c>
      <c r="K26" s="13">
        <v>769000</v>
      </c>
      <c r="L26" s="13">
        <v>63000</v>
      </c>
      <c r="M26" s="13">
        <v>567500</v>
      </c>
      <c r="N26" s="13">
        <v>644000</v>
      </c>
      <c r="O26" s="13"/>
    </row>
    <row r="27" spans="1:15" x14ac:dyDescent="0.25">
      <c r="A27" s="25">
        <v>45714</v>
      </c>
      <c r="B27" s="46">
        <v>455.34</v>
      </c>
      <c r="C27" s="46">
        <v>2261.8389999999999</v>
      </c>
      <c r="D27" s="47">
        <v>5030</v>
      </c>
      <c r="E27" s="47">
        <v>4799</v>
      </c>
      <c r="F27" s="13">
        <f t="shared" si="0"/>
        <v>2290360.1999999997</v>
      </c>
      <c r="G27" s="13">
        <f t="shared" si="0"/>
        <v>10854565.361</v>
      </c>
      <c r="H27" s="26">
        <v>23.75</v>
      </c>
      <c r="I27" s="13">
        <v>508500</v>
      </c>
      <c r="J27" s="12">
        <v>173.5</v>
      </c>
      <c r="K27" s="13">
        <v>1507000</v>
      </c>
      <c r="L27" s="13">
        <v>23000</v>
      </c>
      <c r="M27" s="13">
        <v>630500</v>
      </c>
      <c r="N27" s="13">
        <v>500000</v>
      </c>
      <c r="O27" s="13"/>
    </row>
    <row r="28" spans="1:15" x14ac:dyDescent="0.25">
      <c r="A28" s="25">
        <v>45715</v>
      </c>
      <c r="B28" s="46">
        <v>2261.8009999999999</v>
      </c>
      <c r="C28" s="46">
        <v>1431.731</v>
      </c>
      <c r="D28" s="47">
        <v>5030</v>
      </c>
      <c r="E28" s="47">
        <v>4799</v>
      </c>
      <c r="F28" s="13">
        <f t="shared" si="0"/>
        <v>11376859.029999999</v>
      </c>
      <c r="G28" s="13">
        <f t="shared" si="0"/>
        <v>6870877.0690000001</v>
      </c>
      <c r="H28" s="26">
        <v>89.5</v>
      </c>
      <c r="I28" s="13">
        <v>2093500</v>
      </c>
      <c r="J28" s="12">
        <v>126.5</v>
      </c>
      <c r="K28" s="13">
        <v>1115000</v>
      </c>
      <c r="L28" s="13">
        <v>23000</v>
      </c>
      <c r="M28" s="13">
        <v>670300</v>
      </c>
      <c r="N28" s="13">
        <v>1196000</v>
      </c>
      <c r="O28" s="13"/>
    </row>
    <row r="29" spans="1:15" x14ac:dyDescent="0.25">
      <c r="A29" s="25">
        <v>45716</v>
      </c>
      <c r="B29" s="46">
        <v>1805.0119999999999</v>
      </c>
      <c r="C29" s="46">
        <v>3023.2640000000001</v>
      </c>
      <c r="D29" s="47">
        <v>5030</v>
      </c>
      <c r="E29" s="47">
        <v>4799</v>
      </c>
      <c r="F29" s="13">
        <f t="shared" si="0"/>
        <v>9079210.3599999994</v>
      </c>
      <c r="G29" s="13">
        <f t="shared" si="0"/>
        <v>14508643.936000001</v>
      </c>
      <c r="H29" s="26">
        <v>38.5</v>
      </c>
      <c r="I29" s="13">
        <v>811000</v>
      </c>
      <c r="J29" s="12">
        <v>108.5</v>
      </c>
      <c r="K29" s="13">
        <v>953000</v>
      </c>
      <c r="L29" s="13">
        <v>75000</v>
      </c>
      <c r="M29" s="13">
        <v>1647100</v>
      </c>
      <c r="N29" s="13">
        <v>802000</v>
      </c>
      <c r="O29" s="13"/>
    </row>
    <row r="30" spans="1:15" x14ac:dyDescent="0.25">
      <c r="A30" s="25" t="s">
        <v>87</v>
      </c>
      <c r="B30" s="46"/>
      <c r="C30" s="46"/>
      <c r="D30" s="47"/>
      <c r="E30" s="47"/>
      <c r="F30" s="13">
        <f t="shared" si="0"/>
        <v>0</v>
      </c>
      <c r="G30" s="13">
        <f t="shared" si="0"/>
        <v>0</v>
      </c>
      <c r="H30" s="26"/>
      <c r="I30" s="13"/>
      <c r="J30" s="12"/>
      <c r="K30" s="13"/>
      <c r="L30" s="13"/>
      <c r="M30" s="13"/>
      <c r="N30" s="13"/>
      <c r="O30" s="13"/>
    </row>
    <row r="31" spans="1:15" x14ac:dyDescent="0.25">
      <c r="A31" s="25" t="s">
        <v>86</v>
      </c>
      <c r="B31" s="46"/>
      <c r="C31" s="46"/>
      <c r="D31" s="47"/>
      <c r="E31" s="47"/>
      <c r="F31" s="13">
        <f t="shared" si="0"/>
        <v>0</v>
      </c>
      <c r="G31" s="13">
        <f t="shared" si="0"/>
        <v>0</v>
      </c>
      <c r="H31" s="26"/>
      <c r="I31" s="13"/>
      <c r="J31" s="12"/>
      <c r="K31" s="13"/>
      <c r="L31" s="13"/>
      <c r="M31" s="13"/>
      <c r="N31" s="13"/>
      <c r="O31" s="13"/>
    </row>
    <row r="32" spans="1:15" x14ac:dyDescent="0.25">
      <c r="A32" s="25" t="s">
        <v>85</v>
      </c>
      <c r="B32" s="46"/>
      <c r="C32" s="46"/>
      <c r="D32" s="47"/>
      <c r="E32" s="47"/>
      <c r="F32" s="13">
        <f t="shared" ref="F32:G32" si="1">B32*D32</f>
        <v>0</v>
      </c>
      <c r="G32" s="13">
        <f t="shared" si="1"/>
        <v>0</v>
      </c>
      <c r="H32" s="26"/>
      <c r="I32" s="13"/>
      <c r="J32" s="12"/>
      <c r="K32" s="13"/>
      <c r="L32" s="13"/>
      <c r="M32" s="13"/>
      <c r="N32" s="13"/>
      <c r="O32" s="13"/>
    </row>
    <row r="33" spans="1:15" x14ac:dyDescent="0.25">
      <c r="A33" s="15"/>
      <c r="B33" s="37">
        <f>SUM(B1:B32)</f>
        <v>49320.070999999996</v>
      </c>
      <c r="C33" s="37">
        <f>SUM(C1:C32)</f>
        <v>52450.538</v>
      </c>
      <c r="D33" s="38"/>
      <c r="E33" s="38"/>
      <c r="F33" s="39">
        <f>SUM(F1:F32)</f>
        <v>248079957.12999994</v>
      </c>
      <c r="G33" s="39">
        <f>SUM(G1:G32)</f>
        <v>251710131.86199999</v>
      </c>
      <c r="H33" s="39">
        <f t="shared" ref="H33:I33" si="2">SUM(H1:H32)</f>
        <v>1600.5</v>
      </c>
      <c r="I33" s="39">
        <f t="shared" si="2"/>
        <v>35456000</v>
      </c>
      <c r="J33" s="39">
        <f>SUM(J1:J32)</f>
        <v>2569</v>
      </c>
      <c r="K33" s="39">
        <f>SUM(K1:K32)</f>
        <v>22158000</v>
      </c>
      <c r="L33" s="39">
        <f>SUM(L1:L32)</f>
        <v>1906000</v>
      </c>
      <c r="M33" s="38">
        <f>SUM(M1:M32)</f>
        <v>19101800</v>
      </c>
      <c r="N33" s="38">
        <f>SUM(N2:N32)</f>
        <v>12649000</v>
      </c>
      <c r="O33" s="38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34"/>
  <sheetViews>
    <sheetView topLeftCell="A13" workbookViewId="0">
      <selection activeCell="K21" sqref="K21"/>
    </sheetView>
  </sheetViews>
  <sheetFormatPr defaultRowHeight="15" x14ac:dyDescent="0.25"/>
  <cols>
    <col min="1" max="1" width="9.42578125" bestFit="1" customWidth="1"/>
    <col min="2" max="2" width="12.140625" customWidth="1"/>
    <col min="3" max="3" width="12" customWidth="1"/>
    <col min="4" max="4" width="7" customWidth="1"/>
    <col min="5" max="5" width="7.140625" customWidth="1"/>
    <col min="6" max="6" width="5.7109375" customWidth="1"/>
    <col min="7" max="7" width="5.140625" customWidth="1"/>
    <col min="8" max="8" width="10" customWidth="1"/>
    <col min="9" max="9" width="13.42578125" customWidth="1"/>
    <col min="10" max="10" width="9" customWidth="1"/>
    <col min="11" max="11" width="13.28515625" customWidth="1"/>
    <col min="12" max="12" width="12.5703125" customWidth="1"/>
    <col min="13" max="13" width="11.7109375" customWidth="1"/>
    <col min="14" max="14" width="11.28515625" customWidth="1"/>
  </cols>
  <sheetData>
    <row r="1" spans="1:15" x14ac:dyDescent="0.25">
      <c r="A1" s="16"/>
      <c r="B1" s="17"/>
      <c r="C1" s="17"/>
      <c r="D1" s="18"/>
      <c r="E1" s="18"/>
      <c r="F1" s="19"/>
      <c r="G1" s="19"/>
      <c r="H1" s="19"/>
      <c r="I1" s="18"/>
      <c r="J1" s="16"/>
      <c r="K1" s="18"/>
      <c r="L1" s="18"/>
      <c r="M1" s="18"/>
      <c r="N1" s="18"/>
      <c r="O1" s="18" t="s">
        <v>40</v>
      </c>
    </row>
    <row r="2" spans="1:15" x14ac:dyDescent="0.25">
      <c r="A2" s="16"/>
      <c r="B2" s="17" t="s">
        <v>1</v>
      </c>
      <c r="C2" s="17" t="s">
        <v>2</v>
      </c>
      <c r="D2" s="18" t="s">
        <v>1</v>
      </c>
      <c r="E2" s="18" t="s">
        <v>2</v>
      </c>
      <c r="F2" s="19" t="s">
        <v>1</v>
      </c>
      <c r="G2" s="19" t="s">
        <v>2</v>
      </c>
      <c r="H2" s="19" t="s">
        <v>9</v>
      </c>
      <c r="I2" s="18" t="s">
        <v>10</v>
      </c>
      <c r="J2" s="16" t="s">
        <v>11</v>
      </c>
      <c r="K2" s="18" t="s">
        <v>10</v>
      </c>
      <c r="L2" s="18" t="s">
        <v>4</v>
      </c>
      <c r="M2" s="18" t="s">
        <v>67</v>
      </c>
      <c r="N2" s="18" t="s">
        <v>52</v>
      </c>
      <c r="O2" s="18" t="s">
        <v>40</v>
      </c>
    </row>
    <row r="3" spans="1:15" x14ac:dyDescent="0.25">
      <c r="A3" s="25">
        <v>45717</v>
      </c>
      <c r="B3" s="46">
        <v>2134.1219999999998</v>
      </c>
      <c r="C3" s="46">
        <v>1439.925</v>
      </c>
      <c r="D3" s="47">
        <v>5030</v>
      </c>
      <c r="E3" s="47">
        <v>4799</v>
      </c>
      <c r="F3" s="13">
        <f t="shared" ref="F3:G32" si="0">B3*D3</f>
        <v>10734633.659999998</v>
      </c>
      <c r="G3" s="13">
        <f t="shared" si="0"/>
        <v>6910200.0750000002</v>
      </c>
      <c r="H3" s="31">
        <v>26.25</v>
      </c>
      <c r="I3" s="13">
        <v>539000</v>
      </c>
      <c r="J3" s="27">
        <v>42.5</v>
      </c>
      <c r="K3" s="13">
        <v>370000</v>
      </c>
      <c r="L3" s="13">
        <v>23000</v>
      </c>
      <c r="M3" s="13">
        <v>717000</v>
      </c>
      <c r="N3" s="13">
        <v>92000</v>
      </c>
      <c r="O3" s="13"/>
    </row>
    <row r="4" spans="1:15" x14ac:dyDescent="0.25">
      <c r="A4" s="25">
        <v>45718</v>
      </c>
      <c r="B4" s="46">
        <v>1629.6089999999999</v>
      </c>
      <c r="C4" s="46">
        <v>1441.779</v>
      </c>
      <c r="D4" s="47">
        <v>5030</v>
      </c>
      <c r="E4" s="47">
        <v>4799</v>
      </c>
      <c r="F4" s="13">
        <f t="shared" si="0"/>
        <v>8196933.2699999996</v>
      </c>
      <c r="G4" s="13">
        <f t="shared" si="0"/>
        <v>6919097.4210000001</v>
      </c>
      <c r="H4" s="26">
        <v>24.75</v>
      </c>
      <c r="I4" s="13">
        <v>561000</v>
      </c>
      <c r="J4" s="27">
        <v>57</v>
      </c>
      <c r="K4" s="13">
        <v>505000</v>
      </c>
      <c r="L4" s="13">
        <v>15000</v>
      </c>
      <c r="M4" s="13">
        <v>565400</v>
      </c>
      <c r="N4" s="13">
        <v>0</v>
      </c>
      <c r="O4" s="13"/>
    </row>
    <row r="5" spans="1:15" x14ac:dyDescent="0.25">
      <c r="A5" s="25">
        <v>45719</v>
      </c>
      <c r="B5" s="46">
        <v>2075.8200000000002</v>
      </c>
      <c r="C5" s="46">
        <v>2215.6999999999998</v>
      </c>
      <c r="D5" s="47">
        <v>5030</v>
      </c>
      <c r="E5" s="47">
        <v>4799</v>
      </c>
      <c r="F5" s="13">
        <f t="shared" si="0"/>
        <v>10441374.600000001</v>
      </c>
      <c r="G5" s="13">
        <f t="shared" si="0"/>
        <v>10633144.299999999</v>
      </c>
      <c r="H5" s="26">
        <v>58.75</v>
      </c>
      <c r="I5" s="13">
        <v>1346000</v>
      </c>
      <c r="J5" s="27">
        <v>162.5</v>
      </c>
      <c r="K5" s="13">
        <v>1387000</v>
      </c>
      <c r="L5" s="13">
        <v>31000</v>
      </c>
      <c r="M5" s="13">
        <v>513000</v>
      </c>
      <c r="N5" s="13">
        <v>1104000</v>
      </c>
      <c r="O5" s="13"/>
    </row>
    <row r="6" spans="1:15" x14ac:dyDescent="0.25">
      <c r="A6" s="25">
        <v>45720</v>
      </c>
      <c r="B6" s="46">
        <v>2056.7469999999998</v>
      </c>
      <c r="C6" s="46">
        <v>2698.529</v>
      </c>
      <c r="D6" s="47">
        <v>5030</v>
      </c>
      <c r="E6" s="47">
        <v>4799</v>
      </c>
      <c r="F6" s="13">
        <f t="shared" si="0"/>
        <v>10345437.409999998</v>
      </c>
      <c r="G6" s="13">
        <f t="shared" si="0"/>
        <v>12950240.671</v>
      </c>
      <c r="H6" s="26">
        <v>35</v>
      </c>
      <c r="I6" s="13">
        <v>712500</v>
      </c>
      <c r="J6" s="27">
        <v>180</v>
      </c>
      <c r="K6" s="13">
        <v>1429000</v>
      </c>
      <c r="L6" s="13">
        <v>38000</v>
      </c>
      <c r="M6" s="13">
        <v>530000</v>
      </c>
      <c r="N6" s="13">
        <v>920000</v>
      </c>
      <c r="O6" s="13"/>
    </row>
    <row r="7" spans="1:15" x14ac:dyDescent="0.25">
      <c r="A7" s="25">
        <v>45721</v>
      </c>
      <c r="B7" s="46">
        <v>1275.9169999999999</v>
      </c>
      <c r="C7" s="46">
        <v>1604.309</v>
      </c>
      <c r="D7" s="47">
        <v>5030</v>
      </c>
      <c r="E7" s="47">
        <v>4799</v>
      </c>
      <c r="F7" s="13">
        <f t="shared" si="0"/>
        <v>6417862.5099999998</v>
      </c>
      <c r="G7" s="13">
        <f t="shared" si="0"/>
        <v>7699078.8909999998</v>
      </c>
      <c r="H7" s="26">
        <v>58</v>
      </c>
      <c r="I7" s="13">
        <v>1294000</v>
      </c>
      <c r="J7" s="27">
        <v>116.5</v>
      </c>
      <c r="K7" s="13">
        <v>998000</v>
      </c>
      <c r="L7" s="13">
        <v>135000</v>
      </c>
      <c r="M7" s="13">
        <v>476000</v>
      </c>
      <c r="N7" s="13">
        <v>460000</v>
      </c>
      <c r="O7" s="13"/>
    </row>
    <row r="8" spans="1:15" x14ac:dyDescent="0.25">
      <c r="A8" s="25">
        <v>45722</v>
      </c>
      <c r="B8" s="46">
        <v>1762.229</v>
      </c>
      <c r="C8" s="46">
        <v>2973.047</v>
      </c>
      <c r="D8" s="47">
        <v>5030</v>
      </c>
      <c r="E8" s="47">
        <v>4799</v>
      </c>
      <c r="F8" s="13">
        <f t="shared" si="0"/>
        <v>8864011.870000001</v>
      </c>
      <c r="G8" s="13">
        <f t="shared" si="0"/>
        <v>14267652.552999999</v>
      </c>
      <c r="H8" s="26">
        <v>62.5</v>
      </c>
      <c r="I8" s="13">
        <v>1375500</v>
      </c>
      <c r="J8" s="27">
        <v>120.5</v>
      </c>
      <c r="K8" s="13">
        <v>635000</v>
      </c>
      <c r="L8" s="13">
        <v>54000</v>
      </c>
      <c r="M8" s="13">
        <v>593700</v>
      </c>
      <c r="N8" s="13">
        <v>276000</v>
      </c>
      <c r="O8" s="13"/>
    </row>
    <row r="9" spans="1:15" x14ac:dyDescent="0.25">
      <c r="A9" s="25">
        <v>45723</v>
      </c>
      <c r="B9" s="46">
        <v>2251.0230000000001</v>
      </c>
      <c r="C9" s="46">
        <v>1526.155</v>
      </c>
      <c r="D9" s="47">
        <v>5030</v>
      </c>
      <c r="E9" s="47">
        <v>4799</v>
      </c>
      <c r="F9" s="13">
        <f t="shared" si="0"/>
        <v>11322645.690000001</v>
      </c>
      <c r="G9" s="13">
        <f t="shared" si="0"/>
        <v>7324017.8449999997</v>
      </c>
      <c r="H9" s="26">
        <v>16</v>
      </c>
      <c r="I9" s="13">
        <v>316000</v>
      </c>
      <c r="J9" s="27">
        <v>51.5</v>
      </c>
      <c r="K9" s="13">
        <v>451000</v>
      </c>
      <c r="L9" s="13">
        <v>16000</v>
      </c>
      <c r="M9" s="13">
        <v>623000</v>
      </c>
      <c r="N9" s="13">
        <v>276000</v>
      </c>
      <c r="O9" s="13"/>
    </row>
    <row r="10" spans="1:15" x14ac:dyDescent="0.25">
      <c r="A10" s="25">
        <v>45724</v>
      </c>
      <c r="B10" s="46">
        <v>1918.54</v>
      </c>
      <c r="C10" s="46">
        <v>1625.19</v>
      </c>
      <c r="D10" s="47">
        <v>5030</v>
      </c>
      <c r="E10" s="47">
        <v>4799</v>
      </c>
      <c r="F10" s="13">
        <f t="shared" si="0"/>
        <v>9650256.1999999993</v>
      </c>
      <c r="G10" s="13">
        <f t="shared" si="0"/>
        <v>7799286.8100000005</v>
      </c>
      <c r="H10" s="26">
        <v>62.5</v>
      </c>
      <c r="I10" s="13">
        <v>1460000</v>
      </c>
      <c r="J10" s="27">
        <v>91</v>
      </c>
      <c r="K10" s="13">
        <v>796000</v>
      </c>
      <c r="L10" s="13">
        <v>63000</v>
      </c>
      <c r="M10" s="13">
        <v>608500</v>
      </c>
      <c r="N10" s="13">
        <v>552000</v>
      </c>
      <c r="O10" s="13"/>
    </row>
    <row r="11" spans="1:15" x14ac:dyDescent="0.25">
      <c r="A11" s="25">
        <v>45725</v>
      </c>
      <c r="B11" s="46">
        <v>1671.981</v>
      </c>
      <c r="C11" s="46">
        <v>1366.222</v>
      </c>
      <c r="D11" s="47">
        <v>5030</v>
      </c>
      <c r="E11" s="47">
        <v>4799</v>
      </c>
      <c r="F11" s="13">
        <f t="shared" si="0"/>
        <v>8410064.4299999997</v>
      </c>
      <c r="G11" s="13">
        <f t="shared" si="0"/>
        <v>6556499.3779999996</v>
      </c>
      <c r="H11" s="26">
        <v>62.5</v>
      </c>
      <c r="I11" s="13">
        <v>1459500</v>
      </c>
      <c r="J11" s="27">
        <v>45.5</v>
      </c>
      <c r="K11" s="13">
        <v>398000</v>
      </c>
      <c r="L11" s="13">
        <v>40000</v>
      </c>
      <c r="M11" s="13">
        <v>545000</v>
      </c>
      <c r="N11" s="13">
        <v>0</v>
      </c>
      <c r="O11" s="13"/>
    </row>
    <row r="12" spans="1:15" x14ac:dyDescent="0.25">
      <c r="A12" s="25">
        <v>45726</v>
      </c>
      <c r="B12" s="46">
        <v>1870.22</v>
      </c>
      <c r="C12" s="46">
        <v>2458.17</v>
      </c>
      <c r="D12" s="47">
        <v>5030</v>
      </c>
      <c r="E12" s="47">
        <v>4799</v>
      </c>
      <c r="F12" s="13">
        <f t="shared" si="0"/>
        <v>9407206.5999999996</v>
      </c>
      <c r="G12" s="13">
        <f t="shared" si="0"/>
        <v>11796757.83</v>
      </c>
      <c r="H12" s="26">
        <v>102.5</v>
      </c>
      <c r="I12" s="13">
        <v>2028500</v>
      </c>
      <c r="J12" s="27">
        <v>97</v>
      </c>
      <c r="K12" s="13">
        <v>849000</v>
      </c>
      <c r="L12" s="13">
        <v>32000</v>
      </c>
      <c r="M12" s="13">
        <v>650000</v>
      </c>
      <c r="N12" s="13">
        <v>690000</v>
      </c>
      <c r="O12" s="13"/>
    </row>
    <row r="13" spans="1:15" x14ac:dyDescent="0.25">
      <c r="A13" s="25">
        <v>45727</v>
      </c>
      <c r="B13" s="46">
        <v>1812.26</v>
      </c>
      <c r="C13" s="46">
        <v>2334.395</v>
      </c>
      <c r="D13" s="47">
        <v>5030</v>
      </c>
      <c r="E13" s="47">
        <v>4799</v>
      </c>
      <c r="F13" s="13">
        <f t="shared" si="0"/>
        <v>9115667.8000000007</v>
      </c>
      <c r="G13" s="13">
        <f t="shared" si="0"/>
        <v>11202761.605</v>
      </c>
      <c r="H13" s="26">
        <v>52</v>
      </c>
      <c r="I13" s="51">
        <v>1194500</v>
      </c>
      <c r="J13" s="27">
        <v>69</v>
      </c>
      <c r="K13" s="13">
        <v>611000</v>
      </c>
      <c r="L13" s="13">
        <v>110000</v>
      </c>
      <c r="M13" s="13">
        <v>400800</v>
      </c>
      <c r="N13" s="13">
        <v>368000</v>
      </c>
      <c r="O13" s="13"/>
    </row>
    <row r="14" spans="1:15" x14ac:dyDescent="0.25">
      <c r="A14" s="25">
        <v>45728</v>
      </c>
      <c r="B14" s="46">
        <v>1936.4860000000001</v>
      </c>
      <c r="C14" s="46">
        <v>1398.83</v>
      </c>
      <c r="D14" s="47">
        <v>5030</v>
      </c>
      <c r="E14" s="47">
        <v>4799</v>
      </c>
      <c r="F14" s="13">
        <f t="shared" si="0"/>
        <v>9740524.5800000001</v>
      </c>
      <c r="G14" s="13">
        <f t="shared" si="0"/>
        <v>6712985.1699999999</v>
      </c>
      <c r="H14" s="26">
        <v>48.25</v>
      </c>
      <c r="I14" s="13">
        <v>1229000</v>
      </c>
      <c r="J14" s="27">
        <v>102</v>
      </c>
      <c r="K14" s="13">
        <v>904000</v>
      </c>
      <c r="L14" s="13">
        <v>87000</v>
      </c>
      <c r="M14" s="13">
        <v>569000</v>
      </c>
      <c r="N14" s="13">
        <v>828000</v>
      </c>
      <c r="O14" s="13"/>
    </row>
    <row r="15" spans="1:15" x14ac:dyDescent="0.25">
      <c r="A15" s="25">
        <v>45729</v>
      </c>
      <c r="B15" s="46">
        <v>1595</v>
      </c>
      <c r="C15" s="46">
        <v>2023.09</v>
      </c>
      <c r="D15" s="47">
        <v>5030</v>
      </c>
      <c r="E15" s="47">
        <v>4799</v>
      </c>
      <c r="F15" s="13">
        <f t="shared" si="0"/>
        <v>8022850</v>
      </c>
      <c r="G15" s="13">
        <f t="shared" si="0"/>
        <v>9708808.9100000001</v>
      </c>
      <c r="H15" s="26">
        <v>67</v>
      </c>
      <c r="I15" s="13">
        <v>1492500</v>
      </c>
      <c r="J15" s="27">
        <v>79</v>
      </c>
      <c r="K15" s="13">
        <v>687000</v>
      </c>
      <c r="L15" s="13">
        <v>23000</v>
      </c>
      <c r="M15" s="13">
        <v>486700</v>
      </c>
      <c r="N15" s="13">
        <v>552000</v>
      </c>
      <c r="O15" s="13"/>
    </row>
    <row r="16" spans="1:15" x14ac:dyDescent="0.25">
      <c r="A16" s="25">
        <v>45730</v>
      </c>
      <c r="B16" s="46">
        <v>1980.04</v>
      </c>
      <c r="C16" s="46">
        <v>1657.1130000000001</v>
      </c>
      <c r="D16" s="47">
        <v>5030</v>
      </c>
      <c r="E16" s="47">
        <v>4799</v>
      </c>
      <c r="F16" s="13">
        <f t="shared" si="0"/>
        <v>9959601.1999999993</v>
      </c>
      <c r="G16" s="13">
        <f t="shared" si="0"/>
        <v>7952485.2870000005</v>
      </c>
      <c r="H16" s="13">
        <v>30</v>
      </c>
      <c r="I16" s="13">
        <v>742500</v>
      </c>
      <c r="J16" s="27">
        <v>55</v>
      </c>
      <c r="K16" s="13">
        <v>475000</v>
      </c>
      <c r="L16" s="13">
        <v>8000</v>
      </c>
      <c r="M16" s="13">
        <v>596000</v>
      </c>
      <c r="N16" s="13">
        <v>342000</v>
      </c>
      <c r="O16" s="13"/>
    </row>
    <row r="17" spans="1:15" x14ac:dyDescent="0.25">
      <c r="A17" s="25">
        <v>45731</v>
      </c>
      <c r="B17" s="46">
        <v>2254.712</v>
      </c>
      <c r="C17" s="46">
        <v>1649.9970000000001</v>
      </c>
      <c r="D17" s="47">
        <v>5070</v>
      </c>
      <c r="E17" s="47">
        <v>4830</v>
      </c>
      <c r="F17" s="13">
        <f t="shared" si="0"/>
        <v>11431389.84</v>
      </c>
      <c r="G17" s="13">
        <f t="shared" si="0"/>
        <v>7969485.5100000007</v>
      </c>
      <c r="H17" s="26">
        <v>21.5</v>
      </c>
      <c r="I17" s="13">
        <v>462500</v>
      </c>
      <c r="J17" s="27">
        <v>88</v>
      </c>
      <c r="K17" s="13">
        <v>768000</v>
      </c>
      <c r="L17" s="13">
        <v>16000</v>
      </c>
      <c r="M17" s="13">
        <v>707000</v>
      </c>
      <c r="N17" s="13">
        <v>376000</v>
      </c>
      <c r="O17" s="13"/>
    </row>
    <row r="18" spans="1:15" x14ac:dyDescent="0.25">
      <c r="A18" s="25">
        <v>45732</v>
      </c>
      <c r="B18" s="46">
        <v>1675.922</v>
      </c>
      <c r="C18" s="46">
        <v>2718.578</v>
      </c>
      <c r="D18" s="47">
        <v>5070</v>
      </c>
      <c r="E18" s="47">
        <v>4830</v>
      </c>
      <c r="F18" s="13">
        <f>B18*D18</f>
        <v>8496924.540000001</v>
      </c>
      <c r="G18" s="13">
        <f t="shared" si="0"/>
        <v>13130731.74</v>
      </c>
      <c r="H18" s="26">
        <v>37</v>
      </c>
      <c r="I18" s="13">
        <v>811000</v>
      </c>
      <c r="J18" s="27">
        <v>63.5</v>
      </c>
      <c r="K18" s="13">
        <v>557000</v>
      </c>
      <c r="L18" s="13">
        <v>15000</v>
      </c>
      <c r="M18" s="13">
        <v>522000</v>
      </c>
      <c r="N18" s="13">
        <v>92000</v>
      </c>
      <c r="O18" s="13"/>
    </row>
    <row r="19" spans="1:15" x14ac:dyDescent="0.25">
      <c r="A19" s="25">
        <v>45733</v>
      </c>
      <c r="B19" s="46">
        <v>1850.3130000000001</v>
      </c>
      <c r="C19" s="46">
        <v>2482.991</v>
      </c>
      <c r="D19" s="47">
        <v>5070</v>
      </c>
      <c r="E19" s="47">
        <v>4830</v>
      </c>
      <c r="F19" s="13">
        <f t="shared" si="0"/>
        <v>9381086.9100000001</v>
      </c>
      <c r="G19" s="13">
        <f t="shared" si="0"/>
        <v>11992846.529999999</v>
      </c>
      <c r="H19" s="26">
        <v>177.75</v>
      </c>
      <c r="I19" s="13">
        <v>3887500</v>
      </c>
      <c r="J19" s="12">
        <v>133.5</v>
      </c>
      <c r="K19" s="13">
        <v>1166000</v>
      </c>
      <c r="L19" s="13">
        <v>105000</v>
      </c>
      <c r="M19" s="13">
        <v>677500</v>
      </c>
      <c r="N19" s="13">
        <v>276000</v>
      </c>
      <c r="O19" s="13"/>
    </row>
    <row r="20" spans="1:15" x14ac:dyDescent="0.25">
      <c r="A20" s="25">
        <v>45734</v>
      </c>
      <c r="B20" s="46">
        <v>1679.19</v>
      </c>
      <c r="C20" s="46">
        <v>1629.12</v>
      </c>
      <c r="D20" s="47">
        <v>5070</v>
      </c>
      <c r="E20" s="47">
        <v>4830</v>
      </c>
      <c r="F20" s="13">
        <f t="shared" si="0"/>
        <v>8513493.3000000007</v>
      </c>
      <c r="G20" s="13">
        <f t="shared" si="0"/>
        <v>7868649.5999999996</v>
      </c>
      <c r="H20" s="26">
        <v>67.75</v>
      </c>
      <c r="I20" s="13">
        <v>1532500</v>
      </c>
      <c r="J20" s="12">
        <v>90.5</v>
      </c>
      <c r="K20" s="13">
        <v>794000</v>
      </c>
      <c r="L20" s="13">
        <v>30000</v>
      </c>
      <c r="M20" s="13">
        <v>541500</v>
      </c>
      <c r="N20" s="13">
        <v>489000</v>
      </c>
      <c r="O20" s="13"/>
    </row>
    <row r="21" spans="1:15" x14ac:dyDescent="0.25">
      <c r="A21" s="25">
        <v>45735</v>
      </c>
      <c r="B21" s="46">
        <v>1809.1769999999999</v>
      </c>
      <c r="C21" s="46">
        <v>1921.7049999999999</v>
      </c>
      <c r="D21" s="47">
        <v>5070</v>
      </c>
      <c r="E21" s="47">
        <v>4830</v>
      </c>
      <c r="F21" s="13">
        <f t="shared" si="0"/>
        <v>9172527.3899999987</v>
      </c>
      <c r="G21" s="13">
        <f t="shared" si="0"/>
        <v>9281835.1500000004</v>
      </c>
      <c r="H21" s="26">
        <v>26.5</v>
      </c>
      <c r="I21" s="13">
        <v>577500</v>
      </c>
      <c r="J21" s="12">
        <v>92.5</v>
      </c>
      <c r="K21" s="13">
        <v>706000</v>
      </c>
      <c r="L21" s="13">
        <v>30000</v>
      </c>
      <c r="M21" s="13">
        <v>547500</v>
      </c>
      <c r="N21" s="13">
        <v>276000</v>
      </c>
      <c r="O21" s="13"/>
    </row>
    <row r="22" spans="1:15" x14ac:dyDescent="0.25">
      <c r="A22" s="25">
        <v>45736</v>
      </c>
      <c r="B22" s="46">
        <v>1791.3209999999999</v>
      </c>
      <c r="C22" s="46">
        <v>1673.548</v>
      </c>
      <c r="D22" s="47">
        <v>5070</v>
      </c>
      <c r="E22" s="47">
        <v>4830</v>
      </c>
      <c r="F22" s="13">
        <f t="shared" si="0"/>
        <v>9081997.4699999988</v>
      </c>
      <c r="G22" s="13">
        <f t="shared" si="0"/>
        <v>8083236.8399999999</v>
      </c>
      <c r="H22" s="26">
        <v>43.5</v>
      </c>
      <c r="I22" s="13">
        <v>969000</v>
      </c>
      <c r="J22" s="12">
        <v>66.5</v>
      </c>
      <c r="K22" s="13">
        <v>585000</v>
      </c>
      <c r="L22" s="13">
        <v>31000</v>
      </c>
      <c r="M22" s="13">
        <v>403000</v>
      </c>
      <c r="N22" s="13">
        <v>552000</v>
      </c>
      <c r="O22" s="13"/>
    </row>
    <row r="23" spans="1:15" x14ac:dyDescent="0.25">
      <c r="A23" s="25">
        <v>45737</v>
      </c>
      <c r="B23" s="46">
        <v>2414.2359999999999</v>
      </c>
      <c r="C23" s="46">
        <v>2496.672</v>
      </c>
      <c r="D23" s="47">
        <v>5070</v>
      </c>
      <c r="E23" s="47">
        <v>4830</v>
      </c>
      <c r="F23" s="13">
        <f t="shared" si="0"/>
        <v>12240176.52</v>
      </c>
      <c r="G23" s="13">
        <f t="shared" si="0"/>
        <v>12058925.76</v>
      </c>
      <c r="H23" s="26">
        <v>54</v>
      </c>
      <c r="I23" s="13">
        <v>1198000</v>
      </c>
      <c r="J23" s="12">
        <v>70</v>
      </c>
      <c r="K23" s="13">
        <v>609000</v>
      </c>
      <c r="L23" s="13">
        <v>138000</v>
      </c>
      <c r="M23" s="13">
        <v>913000</v>
      </c>
      <c r="N23" s="13">
        <v>217000</v>
      </c>
      <c r="O23" s="13"/>
    </row>
    <row r="24" spans="1:15" x14ac:dyDescent="0.25">
      <c r="A24" s="25">
        <v>45738</v>
      </c>
      <c r="B24" s="46">
        <v>2240.8200000000002</v>
      </c>
      <c r="C24" s="46">
        <v>2218.33</v>
      </c>
      <c r="D24" s="47">
        <v>5070</v>
      </c>
      <c r="E24" s="47">
        <v>4830</v>
      </c>
      <c r="F24" s="13">
        <f t="shared" si="0"/>
        <v>11360957.4</v>
      </c>
      <c r="G24" s="13">
        <f t="shared" si="0"/>
        <v>10714533.9</v>
      </c>
      <c r="H24" s="26">
        <v>56.5</v>
      </c>
      <c r="I24" s="13">
        <v>1239000</v>
      </c>
      <c r="J24" s="12">
        <v>36</v>
      </c>
      <c r="K24" s="13">
        <v>318000</v>
      </c>
      <c r="L24" s="13">
        <v>80000</v>
      </c>
      <c r="M24" s="13">
        <v>1420500</v>
      </c>
      <c r="N24" s="13">
        <v>92000</v>
      </c>
      <c r="O24" s="13"/>
    </row>
    <row r="25" spans="1:15" x14ac:dyDescent="0.25">
      <c r="A25" s="25">
        <v>45739</v>
      </c>
      <c r="B25" s="46">
        <v>1515.85</v>
      </c>
      <c r="C25" s="46">
        <v>1430.383</v>
      </c>
      <c r="D25" s="47">
        <v>5070</v>
      </c>
      <c r="E25" s="47">
        <v>4830</v>
      </c>
      <c r="F25" s="13">
        <f t="shared" si="0"/>
        <v>7685359.5</v>
      </c>
      <c r="G25" s="13">
        <f t="shared" si="0"/>
        <v>6908749.8900000006</v>
      </c>
      <c r="H25" s="26">
        <v>24</v>
      </c>
      <c r="I25" s="13">
        <v>514500</v>
      </c>
      <c r="J25" s="12">
        <v>75.5</v>
      </c>
      <c r="K25" s="13">
        <v>663000</v>
      </c>
      <c r="L25" s="13">
        <v>8000</v>
      </c>
      <c r="M25" s="13">
        <v>762900</v>
      </c>
      <c r="N25" s="13">
        <v>368000</v>
      </c>
      <c r="O25" s="13"/>
    </row>
    <row r="26" spans="1:15" x14ac:dyDescent="0.25">
      <c r="A26" s="25">
        <v>45740</v>
      </c>
      <c r="B26" s="46">
        <v>2014.16</v>
      </c>
      <c r="C26" s="46">
        <v>1421.6079999999999</v>
      </c>
      <c r="D26" s="47">
        <v>5070</v>
      </c>
      <c r="E26" s="47">
        <v>4830</v>
      </c>
      <c r="F26" s="13">
        <f t="shared" si="0"/>
        <v>10211791.200000001</v>
      </c>
      <c r="G26" s="13">
        <f t="shared" si="0"/>
        <v>6866366.6399999997</v>
      </c>
      <c r="H26" s="26">
        <v>35.5</v>
      </c>
      <c r="I26" s="13">
        <v>755000</v>
      </c>
      <c r="J26" s="12">
        <v>109.5</v>
      </c>
      <c r="K26" s="13">
        <v>951000</v>
      </c>
      <c r="L26" s="13">
        <v>73000</v>
      </c>
      <c r="M26" s="13">
        <v>470500</v>
      </c>
      <c r="N26" s="13">
        <v>563000</v>
      </c>
      <c r="O26" s="13"/>
    </row>
    <row r="27" spans="1:15" x14ac:dyDescent="0.25">
      <c r="A27" s="25">
        <v>45741</v>
      </c>
      <c r="B27" s="46">
        <v>1449.38</v>
      </c>
      <c r="C27" s="46">
        <v>2241.0320000000002</v>
      </c>
      <c r="D27" s="47">
        <v>5070</v>
      </c>
      <c r="E27" s="47">
        <v>4830</v>
      </c>
      <c r="F27" s="13">
        <f t="shared" si="0"/>
        <v>7348356.6000000006</v>
      </c>
      <c r="G27" s="13">
        <f t="shared" si="0"/>
        <v>10824184.560000001</v>
      </c>
      <c r="H27" s="26">
        <v>61</v>
      </c>
      <c r="I27" s="13">
        <v>1392000</v>
      </c>
      <c r="J27" s="12">
        <v>55</v>
      </c>
      <c r="K27" s="13">
        <v>475000</v>
      </c>
      <c r="L27" s="13">
        <v>23000</v>
      </c>
      <c r="M27" s="13">
        <v>610000</v>
      </c>
      <c r="N27" s="13">
        <v>145000</v>
      </c>
      <c r="O27" s="13"/>
    </row>
    <row r="28" spans="1:15" x14ac:dyDescent="0.25">
      <c r="A28" s="25">
        <v>45742</v>
      </c>
      <c r="B28" s="46">
        <v>1745.6089999999999</v>
      </c>
      <c r="C28" s="46">
        <v>3665.232</v>
      </c>
      <c r="D28" s="47">
        <v>5070</v>
      </c>
      <c r="E28" s="47">
        <v>4830</v>
      </c>
      <c r="F28" s="13">
        <f t="shared" si="0"/>
        <v>8850237.629999999</v>
      </c>
      <c r="G28" s="13">
        <f t="shared" si="0"/>
        <v>17703070.559999999</v>
      </c>
      <c r="H28" s="26">
        <v>34</v>
      </c>
      <c r="I28" s="13">
        <v>718000</v>
      </c>
      <c r="J28" s="12">
        <v>54.5</v>
      </c>
      <c r="K28" s="13">
        <v>476000</v>
      </c>
      <c r="L28" s="13">
        <v>8000</v>
      </c>
      <c r="M28" s="13">
        <v>486000</v>
      </c>
      <c r="N28" s="13">
        <v>0</v>
      </c>
      <c r="O28" s="13"/>
    </row>
    <row r="29" spans="1:15" x14ac:dyDescent="0.25">
      <c r="A29" s="25">
        <v>45743</v>
      </c>
      <c r="B29" s="46">
        <v>1731.165</v>
      </c>
      <c r="C29" s="46">
        <v>5406.75</v>
      </c>
      <c r="D29" s="47">
        <v>5070</v>
      </c>
      <c r="E29" s="47">
        <v>4830</v>
      </c>
      <c r="F29" s="13">
        <f t="shared" si="0"/>
        <v>8777006.5500000007</v>
      </c>
      <c r="G29" s="13">
        <f t="shared" si="0"/>
        <v>26114602.5</v>
      </c>
      <c r="H29" s="26">
        <v>85.25</v>
      </c>
      <c r="I29" s="13">
        <v>1892500</v>
      </c>
      <c r="J29" s="12">
        <v>64</v>
      </c>
      <c r="K29" s="13">
        <v>556000</v>
      </c>
      <c r="L29" s="13">
        <v>173000</v>
      </c>
      <c r="M29" s="13">
        <v>365000</v>
      </c>
      <c r="N29" s="13">
        <v>0</v>
      </c>
      <c r="O29" s="13"/>
    </row>
    <row r="30" spans="1:15" x14ac:dyDescent="0.25">
      <c r="A30" s="25">
        <v>45744</v>
      </c>
      <c r="B30" s="46">
        <v>1982.741</v>
      </c>
      <c r="C30" s="46">
        <v>6256.8419999999996</v>
      </c>
      <c r="D30" s="47">
        <v>5070</v>
      </c>
      <c r="E30" s="47">
        <v>4830</v>
      </c>
      <c r="F30" s="13">
        <f t="shared" si="0"/>
        <v>10052496.869999999</v>
      </c>
      <c r="G30" s="13">
        <f t="shared" si="0"/>
        <v>30220546.859999999</v>
      </c>
      <c r="H30" s="26">
        <v>42</v>
      </c>
      <c r="I30" s="13">
        <v>842000</v>
      </c>
      <c r="J30" s="12">
        <v>104.5</v>
      </c>
      <c r="K30" s="13">
        <v>902000</v>
      </c>
      <c r="L30" s="13">
        <v>16000</v>
      </c>
      <c r="M30" s="13">
        <v>541100</v>
      </c>
      <c r="N30" s="13">
        <v>145000</v>
      </c>
      <c r="O30" s="13"/>
    </row>
    <row r="31" spans="1:15" x14ac:dyDescent="0.25">
      <c r="A31" s="25">
        <v>45745</v>
      </c>
      <c r="B31" s="46">
        <v>2210.9299999999998</v>
      </c>
      <c r="C31" s="46">
        <v>6277.4780000000001</v>
      </c>
      <c r="D31" s="47">
        <v>5070</v>
      </c>
      <c r="E31" s="47">
        <v>4830</v>
      </c>
      <c r="F31" s="13">
        <f t="shared" si="0"/>
        <v>11209415.1</v>
      </c>
      <c r="G31" s="13">
        <f t="shared" si="0"/>
        <v>30320218.740000002</v>
      </c>
      <c r="H31" s="26">
        <v>11</v>
      </c>
      <c r="I31" s="13">
        <v>217500</v>
      </c>
      <c r="J31" s="12">
        <v>305</v>
      </c>
      <c r="K31" s="13">
        <v>2575000</v>
      </c>
      <c r="L31" s="13">
        <v>8000</v>
      </c>
      <c r="M31" s="13">
        <v>913600</v>
      </c>
      <c r="N31" s="13">
        <v>1822000</v>
      </c>
      <c r="O31" s="13"/>
    </row>
    <row r="32" spans="1:15" x14ac:dyDescent="0.25">
      <c r="A32" s="25">
        <v>45746</v>
      </c>
      <c r="B32" s="46">
        <v>1953.8579999999999</v>
      </c>
      <c r="C32" s="46">
        <v>2393.998</v>
      </c>
      <c r="D32" s="47">
        <v>5070</v>
      </c>
      <c r="E32" s="47">
        <v>4830</v>
      </c>
      <c r="F32" s="13">
        <f t="shared" si="0"/>
        <v>9906060.0600000005</v>
      </c>
      <c r="G32" s="13">
        <f t="shared" si="0"/>
        <v>11563010.34</v>
      </c>
      <c r="H32" s="26">
        <v>17.5</v>
      </c>
      <c r="I32" s="13">
        <v>371500</v>
      </c>
      <c r="J32" s="12">
        <v>30</v>
      </c>
      <c r="K32" s="13">
        <v>265000</v>
      </c>
      <c r="L32" s="13">
        <v>0</v>
      </c>
      <c r="M32" s="13">
        <v>505000</v>
      </c>
      <c r="N32" s="13">
        <v>0</v>
      </c>
      <c r="O32" s="13"/>
    </row>
    <row r="33" spans="1:15" x14ac:dyDescent="0.25">
      <c r="A33" s="25">
        <v>45747</v>
      </c>
      <c r="B33" s="46">
        <v>2046.614</v>
      </c>
      <c r="C33" s="46">
        <v>3681.6840000000002</v>
      </c>
      <c r="D33" s="47">
        <v>5070</v>
      </c>
      <c r="E33" s="47">
        <v>4830</v>
      </c>
      <c r="F33" s="13">
        <f t="shared" ref="F33:G33" si="1">B33*D33</f>
        <v>10376332.98</v>
      </c>
      <c r="G33" s="13">
        <f t="shared" si="1"/>
        <v>17782533.720000003</v>
      </c>
      <c r="H33" s="26">
        <v>62.5</v>
      </c>
      <c r="I33" s="13">
        <v>1290000</v>
      </c>
      <c r="J33" s="12">
        <v>110.5</v>
      </c>
      <c r="K33" s="13">
        <v>952000</v>
      </c>
      <c r="L33" s="13">
        <v>103000</v>
      </c>
      <c r="M33" s="13">
        <v>743700</v>
      </c>
      <c r="N33" s="13">
        <v>556000</v>
      </c>
      <c r="O33" s="13"/>
    </row>
    <row r="34" spans="1:15" x14ac:dyDescent="0.25">
      <c r="A34" s="15"/>
      <c r="B34" s="37">
        <f>SUM(B2:B33)</f>
        <v>58335.991999999998</v>
      </c>
      <c r="C34" s="37">
        <f>SUM(C2:C33)</f>
        <v>76328.402000000002</v>
      </c>
      <c r="D34" s="38"/>
      <c r="E34" s="38"/>
      <c r="F34" s="39">
        <f>SUM(F2:F33)</f>
        <v>294724679.68000001</v>
      </c>
      <c r="G34" s="39">
        <f>SUM(G2:G33)</f>
        <v>367836545.58600003</v>
      </c>
      <c r="H34" s="39">
        <f t="shared" ref="H34:I34" si="2">SUM(H2:H33)</f>
        <v>1563.25</v>
      </c>
      <c r="I34" s="39">
        <f t="shared" si="2"/>
        <v>34420500</v>
      </c>
      <c r="J34" s="39">
        <f>SUM(J2:J33)</f>
        <v>2818</v>
      </c>
      <c r="K34" s="39">
        <f>SUM(K2:K33)</f>
        <v>23813000</v>
      </c>
      <c r="L34" s="39">
        <f>SUM(L2:L33)</f>
        <v>1532000</v>
      </c>
      <c r="M34" s="38">
        <f>SUM(M2:M33)</f>
        <v>19003900</v>
      </c>
      <c r="N34" s="38">
        <f>SUM(N3:N33)</f>
        <v>12429000</v>
      </c>
      <c r="O34" s="38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33"/>
  <sheetViews>
    <sheetView topLeftCell="A16" workbookViewId="0">
      <selection activeCell="B2" sqref="B2:B31"/>
    </sheetView>
  </sheetViews>
  <sheetFormatPr defaultRowHeight="15" x14ac:dyDescent="0.25"/>
  <cols>
    <col min="1" max="1" width="9.42578125" bestFit="1" customWidth="1"/>
    <col min="2" max="2" width="12.85546875" customWidth="1"/>
    <col min="3" max="3" width="11.85546875" customWidth="1"/>
    <col min="8" max="8" width="10.140625" customWidth="1"/>
    <col min="9" max="9" width="13.140625" customWidth="1"/>
    <col min="10" max="10" width="10" customWidth="1"/>
    <col min="11" max="11" width="13.42578125" customWidth="1"/>
    <col min="12" max="12" width="12.140625" customWidth="1"/>
    <col min="13" max="13" width="10.85546875" customWidth="1"/>
    <col min="14" max="14" width="11.28515625" customWidth="1"/>
  </cols>
  <sheetData>
    <row r="1" spans="1:15" x14ac:dyDescent="0.25">
      <c r="A1" s="16"/>
      <c r="B1" s="17" t="s">
        <v>1</v>
      </c>
      <c r="C1" s="17" t="s">
        <v>2</v>
      </c>
      <c r="D1" s="18" t="s">
        <v>1</v>
      </c>
      <c r="E1" s="18" t="s">
        <v>2</v>
      </c>
      <c r="F1" s="19" t="s">
        <v>1</v>
      </c>
      <c r="G1" s="19" t="s">
        <v>2</v>
      </c>
      <c r="H1" s="19" t="s">
        <v>9</v>
      </c>
      <c r="I1" s="18" t="s">
        <v>10</v>
      </c>
      <c r="J1" s="16" t="s">
        <v>11</v>
      </c>
      <c r="K1" s="18" t="s">
        <v>10</v>
      </c>
      <c r="L1" s="18" t="s">
        <v>4</v>
      </c>
      <c r="M1" s="18" t="s">
        <v>67</v>
      </c>
      <c r="N1" s="18" t="s">
        <v>52</v>
      </c>
      <c r="O1" s="18" t="s">
        <v>40</v>
      </c>
    </row>
    <row r="2" spans="1:15" x14ac:dyDescent="0.25">
      <c r="A2" s="25">
        <v>45748</v>
      </c>
      <c r="B2" s="46">
        <v>2109.3870000000002</v>
      </c>
      <c r="C2" s="46">
        <v>4386.643</v>
      </c>
      <c r="D2" s="47">
        <v>5030</v>
      </c>
      <c r="E2" s="47">
        <v>4799</v>
      </c>
      <c r="F2" s="13">
        <f t="shared" ref="F2:G31" si="0">B2*D2</f>
        <v>10610216.610000001</v>
      </c>
      <c r="G2" s="13">
        <f t="shared" si="0"/>
        <v>21051499.756999999</v>
      </c>
      <c r="H2" s="31">
        <v>69.5</v>
      </c>
      <c r="I2" s="13">
        <v>1510500</v>
      </c>
      <c r="J2" s="27">
        <v>122.5</v>
      </c>
      <c r="K2" s="13">
        <v>1055000</v>
      </c>
      <c r="L2" s="13">
        <v>101000</v>
      </c>
      <c r="M2" s="13">
        <v>383000</v>
      </c>
      <c r="N2" s="13">
        <v>816000</v>
      </c>
      <c r="O2" s="13"/>
    </row>
    <row r="3" spans="1:15" x14ac:dyDescent="0.25">
      <c r="A3" s="25">
        <v>45749</v>
      </c>
      <c r="B3" s="46">
        <v>1546.1489999999999</v>
      </c>
      <c r="C3" s="46">
        <v>3382.0569999999998</v>
      </c>
      <c r="D3" s="47">
        <v>5030</v>
      </c>
      <c r="E3" s="47">
        <v>4799</v>
      </c>
      <c r="F3" s="13">
        <f t="shared" si="0"/>
        <v>7777129.4699999997</v>
      </c>
      <c r="G3" s="13">
        <f t="shared" si="0"/>
        <v>16230491.543</v>
      </c>
      <c r="H3" s="26">
        <v>31.5</v>
      </c>
      <c r="I3" s="13">
        <v>724500</v>
      </c>
      <c r="J3" s="27">
        <v>139</v>
      </c>
      <c r="K3" s="13">
        <v>1102000</v>
      </c>
      <c r="L3" s="13">
        <v>0</v>
      </c>
      <c r="M3" s="13">
        <v>500000</v>
      </c>
      <c r="N3" s="13">
        <v>517000</v>
      </c>
      <c r="O3" s="13"/>
    </row>
    <row r="4" spans="1:15" x14ac:dyDescent="0.25">
      <c r="A4" s="25">
        <v>45750</v>
      </c>
      <c r="B4" s="46">
        <v>2030.251</v>
      </c>
      <c r="C4" s="46">
        <v>4307.4660000000003</v>
      </c>
      <c r="D4" s="47">
        <v>5030</v>
      </c>
      <c r="E4" s="47">
        <v>4799</v>
      </c>
      <c r="F4" s="13">
        <f t="shared" si="0"/>
        <v>10212162.529999999</v>
      </c>
      <c r="G4" s="13">
        <f t="shared" si="0"/>
        <v>20671529.334000003</v>
      </c>
      <c r="H4" s="26">
        <v>46.75</v>
      </c>
      <c r="I4" s="13">
        <v>949500</v>
      </c>
      <c r="J4" s="27">
        <v>73</v>
      </c>
      <c r="K4" s="13">
        <v>634000</v>
      </c>
      <c r="L4" s="13">
        <v>45000</v>
      </c>
      <c r="M4" s="13">
        <v>313500</v>
      </c>
      <c r="N4" s="13">
        <v>0</v>
      </c>
      <c r="O4" s="13"/>
    </row>
    <row r="5" spans="1:15" x14ac:dyDescent="0.25">
      <c r="A5" s="25">
        <v>45751</v>
      </c>
      <c r="B5" s="46">
        <v>2280.4699999999998</v>
      </c>
      <c r="C5" s="46">
        <v>3151.4569999999999</v>
      </c>
      <c r="D5" s="47">
        <v>5030</v>
      </c>
      <c r="E5" s="47">
        <v>4799</v>
      </c>
      <c r="F5" s="13">
        <f t="shared" si="0"/>
        <v>11470764.1</v>
      </c>
      <c r="G5" s="13">
        <f t="shared" si="0"/>
        <v>15123842.142999999</v>
      </c>
      <c r="H5" s="26">
        <v>37.75</v>
      </c>
      <c r="I5" s="13">
        <v>845500</v>
      </c>
      <c r="J5" s="27">
        <v>110.5</v>
      </c>
      <c r="K5" s="13">
        <v>988000</v>
      </c>
      <c r="L5" s="13">
        <v>70000</v>
      </c>
      <c r="M5" s="13">
        <v>513000</v>
      </c>
      <c r="N5" s="13">
        <v>291000</v>
      </c>
      <c r="O5" s="13"/>
    </row>
    <row r="6" spans="1:15" x14ac:dyDescent="0.25">
      <c r="A6" s="25">
        <v>45752</v>
      </c>
      <c r="B6" s="46">
        <v>1822.3030000000001</v>
      </c>
      <c r="C6" s="46">
        <v>2811.3589999999999</v>
      </c>
      <c r="D6" s="47">
        <v>5030</v>
      </c>
      <c r="E6" s="47">
        <v>4799</v>
      </c>
      <c r="F6" s="13">
        <f t="shared" si="0"/>
        <v>9166184.0899999999</v>
      </c>
      <c r="G6" s="13">
        <f t="shared" si="0"/>
        <v>13491711.841</v>
      </c>
      <c r="H6" s="26">
        <v>102.5</v>
      </c>
      <c r="I6" s="13">
        <v>2113500</v>
      </c>
      <c r="J6" s="27">
        <v>77.5</v>
      </c>
      <c r="K6" s="13">
        <v>659000</v>
      </c>
      <c r="L6" s="13">
        <v>8000</v>
      </c>
      <c r="M6" s="13">
        <v>709400</v>
      </c>
      <c r="N6" s="13">
        <v>0</v>
      </c>
      <c r="O6" s="13"/>
    </row>
    <row r="7" spans="1:15" x14ac:dyDescent="0.25">
      <c r="A7" s="25">
        <v>45753</v>
      </c>
      <c r="B7" s="46">
        <v>1749.578</v>
      </c>
      <c r="C7" s="46">
        <v>2483.9450000000002</v>
      </c>
      <c r="D7" s="47">
        <v>5030</v>
      </c>
      <c r="E7" s="47">
        <v>4799</v>
      </c>
      <c r="F7" s="13">
        <f t="shared" si="0"/>
        <v>8800377.3399999999</v>
      </c>
      <c r="G7" s="13">
        <f t="shared" si="0"/>
        <v>11920452.055000002</v>
      </c>
      <c r="H7" s="26">
        <v>148.25</v>
      </c>
      <c r="I7" s="13">
        <v>3077000</v>
      </c>
      <c r="J7" s="27">
        <v>120.5</v>
      </c>
      <c r="K7" s="13">
        <v>1028000</v>
      </c>
      <c r="L7" s="13">
        <v>115000</v>
      </c>
      <c r="M7" s="13">
        <v>635900</v>
      </c>
      <c r="N7" s="13">
        <v>118000</v>
      </c>
      <c r="O7" s="13"/>
    </row>
    <row r="8" spans="1:15" x14ac:dyDescent="0.25">
      <c r="A8" s="25">
        <v>45754</v>
      </c>
      <c r="B8" s="46">
        <v>1512.701</v>
      </c>
      <c r="C8" s="46">
        <v>2527.6520999999998</v>
      </c>
      <c r="D8" s="47">
        <v>5030</v>
      </c>
      <c r="E8" s="47">
        <v>4799</v>
      </c>
      <c r="F8" s="13">
        <f t="shared" si="0"/>
        <v>7608886.0300000003</v>
      </c>
      <c r="G8" s="13">
        <f t="shared" si="0"/>
        <v>12130202.4279</v>
      </c>
      <c r="H8" s="26">
        <v>47.5</v>
      </c>
      <c r="I8" s="13">
        <v>1012500</v>
      </c>
      <c r="J8" s="27">
        <v>161</v>
      </c>
      <c r="K8" s="13">
        <v>1368000</v>
      </c>
      <c r="L8" s="13">
        <v>56000</v>
      </c>
      <c r="M8" s="13">
        <v>668500</v>
      </c>
      <c r="N8" s="13">
        <v>23000</v>
      </c>
      <c r="O8" s="13"/>
    </row>
    <row r="9" spans="1:15" x14ac:dyDescent="0.25">
      <c r="A9" s="25">
        <v>45755</v>
      </c>
      <c r="B9" s="46">
        <v>1824.3679999999999</v>
      </c>
      <c r="C9" s="46">
        <v>3256.0650000000001</v>
      </c>
      <c r="D9" s="47">
        <v>5030</v>
      </c>
      <c r="E9" s="47">
        <v>4799</v>
      </c>
      <c r="F9" s="13">
        <f t="shared" si="0"/>
        <v>9176571.0399999991</v>
      </c>
      <c r="G9" s="13">
        <f t="shared" si="0"/>
        <v>15625855.935000001</v>
      </c>
      <c r="H9" s="26">
        <v>52.25</v>
      </c>
      <c r="I9" s="13">
        <v>1182000</v>
      </c>
      <c r="J9" s="27">
        <v>79</v>
      </c>
      <c r="K9" s="13">
        <v>690000</v>
      </c>
      <c r="L9" s="13">
        <v>15000</v>
      </c>
      <c r="M9" s="13">
        <v>544100</v>
      </c>
      <c r="N9" s="13">
        <v>382000</v>
      </c>
      <c r="O9" s="13"/>
    </row>
    <row r="10" spans="1:15" x14ac:dyDescent="0.25">
      <c r="A10" s="25">
        <v>45756</v>
      </c>
      <c r="B10" s="46">
        <v>1567.4280000000001</v>
      </c>
      <c r="C10" s="46">
        <v>3970.27</v>
      </c>
      <c r="D10" s="47">
        <v>5095</v>
      </c>
      <c r="E10" s="47">
        <v>4859</v>
      </c>
      <c r="F10" s="13">
        <f t="shared" si="0"/>
        <v>7986045.6600000001</v>
      </c>
      <c r="G10" s="13">
        <f t="shared" si="0"/>
        <v>19291541.93</v>
      </c>
      <c r="H10" s="26">
        <v>61.25</v>
      </c>
      <c r="I10" s="13">
        <v>1469000</v>
      </c>
      <c r="J10" s="27">
        <v>48</v>
      </c>
      <c r="K10" s="13">
        <v>424000</v>
      </c>
      <c r="L10" s="13">
        <v>0</v>
      </c>
      <c r="M10" s="13">
        <v>601500</v>
      </c>
      <c r="N10" s="13">
        <v>23000</v>
      </c>
      <c r="O10" s="13"/>
    </row>
    <row r="11" spans="1:15" x14ac:dyDescent="0.25">
      <c r="A11" s="25">
        <v>45757</v>
      </c>
      <c r="B11" s="46">
        <v>2136.652</v>
      </c>
      <c r="C11" s="46">
        <v>3472.873</v>
      </c>
      <c r="D11" s="47">
        <v>5095</v>
      </c>
      <c r="E11" s="47">
        <v>4859</v>
      </c>
      <c r="F11" s="13">
        <f t="shared" si="0"/>
        <v>10886241.939999999</v>
      </c>
      <c r="G11" s="13">
        <f t="shared" si="0"/>
        <v>16874689.907000002</v>
      </c>
      <c r="H11" s="26">
        <v>185.75</v>
      </c>
      <c r="I11" s="13">
        <v>4135000</v>
      </c>
      <c r="J11" s="27">
        <v>42</v>
      </c>
      <c r="K11" s="13">
        <v>371000</v>
      </c>
      <c r="L11" s="13">
        <v>240000</v>
      </c>
      <c r="M11" s="13">
        <v>855500</v>
      </c>
      <c r="N11" s="13">
        <v>0</v>
      </c>
      <c r="O11" s="13"/>
    </row>
    <row r="12" spans="1:15" x14ac:dyDescent="0.25">
      <c r="A12" s="25">
        <v>45758</v>
      </c>
      <c r="B12" s="46">
        <v>1916.152</v>
      </c>
      <c r="C12" s="46">
        <v>1572.69</v>
      </c>
      <c r="D12" s="47">
        <v>5095</v>
      </c>
      <c r="E12" s="47">
        <v>4859</v>
      </c>
      <c r="F12" s="13">
        <f t="shared" si="0"/>
        <v>9762794.4399999995</v>
      </c>
      <c r="G12" s="13">
        <f t="shared" si="0"/>
        <v>7641700.71</v>
      </c>
      <c r="H12" s="26">
        <v>40</v>
      </c>
      <c r="I12" s="51">
        <v>834500</v>
      </c>
      <c r="J12" s="27">
        <v>67.5</v>
      </c>
      <c r="K12" s="13">
        <v>580000</v>
      </c>
      <c r="L12" s="13">
        <v>30000</v>
      </c>
      <c r="M12" s="13">
        <v>801900</v>
      </c>
      <c r="N12" s="13">
        <v>23000</v>
      </c>
      <c r="O12" s="13"/>
    </row>
    <row r="13" spans="1:15" x14ac:dyDescent="0.25">
      <c r="A13" s="25">
        <v>45759</v>
      </c>
      <c r="B13" s="46">
        <v>2133.5949999999998</v>
      </c>
      <c r="C13" s="46">
        <v>2957.5520000000001</v>
      </c>
      <c r="D13" s="47">
        <v>5095</v>
      </c>
      <c r="E13" s="47">
        <v>4859</v>
      </c>
      <c r="F13" s="13">
        <f t="shared" si="0"/>
        <v>10870666.524999999</v>
      </c>
      <c r="G13" s="13">
        <f t="shared" si="0"/>
        <v>14370745.168000001</v>
      </c>
      <c r="H13" s="26">
        <v>59.5</v>
      </c>
      <c r="I13" s="13">
        <v>1308500</v>
      </c>
      <c r="J13" s="27">
        <v>57.5</v>
      </c>
      <c r="K13" s="13">
        <v>504000</v>
      </c>
      <c r="L13" s="13">
        <v>0</v>
      </c>
      <c r="M13" s="13">
        <v>801600</v>
      </c>
      <c r="N13" s="13">
        <v>0</v>
      </c>
      <c r="O13" s="13"/>
    </row>
    <row r="14" spans="1:15" x14ac:dyDescent="0.25">
      <c r="A14" s="25">
        <v>45760</v>
      </c>
      <c r="B14" s="46">
        <v>1473.9849999999999</v>
      </c>
      <c r="C14" s="46">
        <v>2702.3180000000002</v>
      </c>
      <c r="D14" s="47">
        <v>5095</v>
      </c>
      <c r="E14" s="47">
        <v>4859</v>
      </c>
      <c r="F14" s="13">
        <f t="shared" si="0"/>
        <v>7509953.5749999993</v>
      </c>
      <c r="G14" s="13">
        <f t="shared" si="0"/>
        <v>13130563.162</v>
      </c>
      <c r="H14" s="26">
        <v>29.5</v>
      </c>
      <c r="I14" s="13">
        <v>616500</v>
      </c>
      <c r="J14" s="27">
        <v>100.5</v>
      </c>
      <c r="K14" s="13">
        <v>873000</v>
      </c>
      <c r="L14" s="13">
        <v>65000</v>
      </c>
      <c r="M14" s="13">
        <v>503600</v>
      </c>
      <c r="N14" s="13">
        <v>23000</v>
      </c>
      <c r="O14" s="13"/>
    </row>
    <row r="15" spans="1:15" x14ac:dyDescent="0.25">
      <c r="A15" s="25">
        <v>45761</v>
      </c>
      <c r="B15" s="46">
        <v>1929.385</v>
      </c>
      <c r="C15" s="46">
        <v>2786.2640000000001</v>
      </c>
      <c r="D15" s="47">
        <v>5095</v>
      </c>
      <c r="E15" s="47">
        <v>4859</v>
      </c>
      <c r="F15" s="13">
        <f t="shared" si="0"/>
        <v>9830216.5749999993</v>
      </c>
      <c r="G15" s="13">
        <f t="shared" si="0"/>
        <v>13538456.776000001</v>
      </c>
      <c r="H15" s="13">
        <v>51.5</v>
      </c>
      <c r="I15" s="13">
        <v>1093500</v>
      </c>
      <c r="J15" s="27">
        <v>122.5</v>
      </c>
      <c r="K15" s="13">
        <v>1055000</v>
      </c>
      <c r="L15" s="13">
        <v>0</v>
      </c>
      <c r="M15" s="13">
        <v>374800</v>
      </c>
      <c r="N15" s="13">
        <v>540000</v>
      </c>
      <c r="O15" s="13"/>
    </row>
    <row r="16" spans="1:15" x14ac:dyDescent="0.25">
      <c r="A16" s="25">
        <v>45762</v>
      </c>
      <c r="B16" s="46">
        <v>2038.386</v>
      </c>
      <c r="C16" s="46">
        <v>2576.8870000000002</v>
      </c>
      <c r="D16" s="47">
        <v>5095</v>
      </c>
      <c r="E16" s="47">
        <v>4859</v>
      </c>
      <c r="F16" s="13">
        <f t="shared" si="0"/>
        <v>10385576.67</v>
      </c>
      <c r="G16" s="13">
        <f t="shared" si="0"/>
        <v>12521093.933</v>
      </c>
      <c r="H16" s="26">
        <v>66.5</v>
      </c>
      <c r="I16" s="13">
        <v>1543500</v>
      </c>
      <c r="J16" s="27">
        <v>98</v>
      </c>
      <c r="K16" s="13">
        <v>844000</v>
      </c>
      <c r="L16" s="13">
        <v>46000</v>
      </c>
      <c r="M16" s="13">
        <v>538000</v>
      </c>
      <c r="N16" s="13">
        <v>328000</v>
      </c>
      <c r="O16" s="13"/>
    </row>
    <row r="17" spans="1:15" x14ac:dyDescent="0.25">
      <c r="A17" s="25">
        <v>45763</v>
      </c>
      <c r="B17" s="46">
        <v>2127.8380000000002</v>
      </c>
      <c r="C17" s="46">
        <v>3100.26</v>
      </c>
      <c r="D17" s="47">
        <v>5095</v>
      </c>
      <c r="E17" s="47">
        <v>4859</v>
      </c>
      <c r="F17" s="13">
        <f>B17*D17</f>
        <v>10841334.610000001</v>
      </c>
      <c r="G17" s="13">
        <f t="shared" si="0"/>
        <v>15064163.340000002</v>
      </c>
      <c r="H17" s="26">
        <v>54.5</v>
      </c>
      <c r="I17" s="13">
        <v>1261500</v>
      </c>
      <c r="J17" s="27">
        <v>196</v>
      </c>
      <c r="K17" s="13">
        <v>1489000</v>
      </c>
      <c r="L17" s="13">
        <v>15000</v>
      </c>
      <c r="M17" s="13">
        <v>692700</v>
      </c>
      <c r="N17" s="13">
        <v>909000</v>
      </c>
      <c r="O17" s="13"/>
    </row>
    <row r="18" spans="1:15" x14ac:dyDescent="0.25">
      <c r="A18" s="25">
        <v>45764</v>
      </c>
      <c r="B18" s="46">
        <v>2468.5100000000002</v>
      </c>
      <c r="C18" s="46">
        <v>2294.0070000000001</v>
      </c>
      <c r="D18" s="47">
        <v>5119</v>
      </c>
      <c r="E18" s="47">
        <v>4879</v>
      </c>
      <c r="F18" s="13">
        <f t="shared" si="0"/>
        <v>12636302.690000001</v>
      </c>
      <c r="G18" s="13">
        <f t="shared" si="0"/>
        <v>11192460.153000001</v>
      </c>
      <c r="H18" s="26">
        <v>82.25</v>
      </c>
      <c r="I18" s="13">
        <v>1854500</v>
      </c>
      <c r="J18" s="12">
        <v>82.5</v>
      </c>
      <c r="K18" s="13">
        <v>714000</v>
      </c>
      <c r="L18" s="13">
        <v>40000</v>
      </c>
      <c r="M18" s="13">
        <v>916800</v>
      </c>
      <c r="N18" s="13">
        <v>184000</v>
      </c>
      <c r="O18" s="13"/>
    </row>
    <row r="19" spans="1:15" x14ac:dyDescent="0.25">
      <c r="A19" s="25">
        <v>45765</v>
      </c>
      <c r="B19" s="46">
        <v>2144.1790000000001</v>
      </c>
      <c r="C19" s="46">
        <v>3397.9189999999999</v>
      </c>
      <c r="D19" s="47">
        <v>5119</v>
      </c>
      <c r="E19" s="47">
        <v>4879</v>
      </c>
      <c r="F19" s="13">
        <f t="shared" si="0"/>
        <v>10976052.301000001</v>
      </c>
      <c r="G19" s="13">
        <f t="shared" si="0"/>
        <v>16578446.800999999</v>
      </c>
      <c r="H19" s="26">
        <v>112</v>
      </c>
      <c r="I19" s="13">
        <v>2409000</v>
      </c>
      <c r="J19" s="12">
        <v>103.5</v>
      </c>
      <c r="K19" s="13">
        <v>898000</v>
      </c>
      <c r="L19" s="13">
        <v>134000</v>
      </c>
      <c r="M19" s="13">
        <v>900800</v>
      </c>
      <c r="N19" s="13">
        <v>483000</v>
      </c>
      <c r="O19" s="13"/>
    </row>
    <row r="20" spans="1:15" x14ac:dyDescent="0.25">
      <c r="A20" s="25">
        <v>45766</v>
      </c>
      <c r="B20" s="46">
        <v>2656.55</v>
      </c>
      <c r="C20" s="46">
        <v>2533.4160000000002</v>
      </c>
      <c r="D20" s="47">
        <v>5119</v>
      </c>
      <c r="E20" s="47">
        <v>4879</v>
      </c>
      <c r="F20" s="13">
        <f t="shared" si="0"/>
        <v>13598879.450000001</v>
      </c>
      <c r="G20" s="13">
        <f t="shared" si="0"/>
        <v>12360536.664000001</v>
      </c>
      <c r="H20" s="26">
        <v>53</v>
      </c>
      <c r="I20" s="13">
        <v>1145000</v>
      </c>
      <c r="J20" s="12">
        <v>129</v>
      </c>
      <c r="K20" s="13">
        <v>1149000</v>
      </c>
      <c r="L20" s="13">
        <v>31000</v>
      </c>
      <c r="M20" s="13">
        <v>1076000</v>
      </c>
      <c r="N20" s="13">
        <v>260000</v>
      </c>
      <c r="O20" s="13"/>
    </row>
    <row r="21" spans="1:15" x14ac:dyDescent="0.25">
      <c r="A21" s="25">
        <v>45767</v>
      </c>
      <c r="B21" s="46">
        <v>828.71699999999998</v>
      </c>
      <c r="C21" s="46">
        <v>1081.4960000000001</v>
      </c>
      <c r="D21" s="47">
        <v>5119</v>
      </c>
      <c r="E21" s="47">
        <v>4879</v>
      </c>
      <c r="F21" s="13">
        <f t="shared" si="0"/>
        <v>4242202.3229999999</v>
      </c>
      <c r="G21" s="13">
        <f t="shared" si="0"/>
        <v>5276618.9840000002</v>
      </c>
      <c r="H21" s="26">
        <v>28</v>
      </c>
      <c r="I21" s="13">
        <v>727000</v>
      </c>
      <c r="J21" s="12">
        <v>36.5</v>
      </c>
      <c r="K21" s="13">
        <v>317000</v>
      </c>
      <c r="L21" s="13">
        <v>120000</v>
      </c>
      <c r="M21" s="13">
        <v>901500</v>
      </c>
      <c r="N21" s="13">
        <v>329000</v>
      </c>
      <c r="O21" s="13"/>
    </row>
    <row r="22" spans="1:15" x14ac:dyDescent="0.25">
      <c r="A22" s="25">
        <v>45768</v>
      </c>
      <c r="B22" s="46">
        <v>0</v>
      </c>
      <c r="C22" s="46">
        <v>422.22899999999998</v>
      </c>
      <c r="D22" s="47">
        <v>5119</v>
      </c>
      <c r="E22" s="47">
        <v>4879</v>
      </c>
      <c r="F22" s="13">
        <f t="shared" si="0"/>
        <v>0</v>
      </c>
      <c r="G22" s="13">
        <f t="shared" si="0"/>
        <v>2060055.291</v>
      </c>
      <c r="H22" s="26">
        <v>25.5</v>
      </c>
      <c r="I22" s="13">
        <v>536500</v>
      </c>
      <c r="J22" s="12">
        <v>118</v>
      </c>
      <c r="K22" s="13">
        <v>999000</v>
      </c>
      <c r="L22" s="13">
        <v>23000</v>
      </c>
      <c r="M22" s="13">
        <v>706500</v>
      </c>
      <c r="N22" s="13">
        <v>748000</v>
      </c>
      <c r="O22" s="13"/>
    </row>
    <row r="23" spans="1:15" x14ac:dyDescent="0.25">
      <c r="A23" s="25">
        <v>45769</v>
      </c>
      <c r="B23" s="46">
        <v>1704.6120000000001</v>
      </c>
      <c r="C23" s="46">
        <v>2891.9989999999998</v>
      </c>
      <c r="D23" s="47">
        <v>5119</v>
      </c>
      <c r="E23" s="47">
        <v>4879</v>
      </c>
      <c r="F23" s="13">
        <f t="shared" si="0"/>
        <v>8725908.8279999997</v>
      </c>
      <c r="G23" s="13">
        <f t="shared" si="0"/>
        <v>14110063.120999999</v>
      </c>
      <c r="H23" s="26">
        <v>52.5</v>
      </c>
      <c r="I23" s="13">
        <v>1308500</v>
      </c>
      <c r="J23" s="12">
        <v>89.5</v>
      </c>
      <c r="K23" s="13">
        <v>765000</v>
      </c>
      <c r="L23" s="13">
        <v>31000</v>
      </c>
      <c r="M23" s="13">
        <v>503000</v>
      </c>
      <c r="N23" s="13">
        <v>863000</v>
      </c>
      <c r="O23" s="13"/>
    </row>
    <row r="24" spans="1:15" x14ac:dyDescent="0.25">
      <c r="A24" s="25">
        <v>45770</v>
      </c>
      <c r="B24" s="46">
        <v>1415.7070000000001</v>
      </c>
      <c r="C24" s="46">
        <v>2129.7849999999999</v>
      </c>
      <c r="D24" s="47">
        <v>5119</v>
      </c>
      <c r="E24" s="47">
        <v>4879</v>
      </c>
      <c r="F24" s="13">
        <f t="shared" si="0"/>
        <v>7247004.1330000004</v>
      </c>
      <c r="G24" s="13">
        <f t="shared" si="0"/>
        <v>10391221.014999999</v>
      </c>
      <c r="H24" s="26">
        <v>128.25</v>
      </c>
      <c r="I24" s="13">
        <v>3129500</v>
      </c>
      <c r="J24" s="12">
        <v>159</v>
      </c>
      <c r="K24" s="13">
        <v>1372000</v>
      </c>
      <c r="L24" s="13">
        <v>54000</v>
      </c>
      <c r="M24" s="13">
        <v>414000</v>
      </c>
      <c r="N24" s="13">
        <v>1225000</v>
      </c>
      <c r="O24" s="13"/>
    </row>
    <row r="25" spans="1:15" x14ac:dyDescent="0.25">
      <c r="A25" s="25">
        <v>45771</v>
      </c>
      <c r="B25" s="46">
        <v>1694.0989999999999</v>
      </c>
      <c r="C25" s="46">
        <v>2297.9259999999999</v>
      </c>
      <c r="D25" s="47">
        <v>5119</v>
      </c>
      <c r="E25" s="47">
        <v>4879</v>
      </c>
      <c r="F25" s="13">
        <f t="shared" si="0"/>
        <v>8672092.7809999995</v>
      </c>
      <c r="G25" s="13">
        <f t="shared" si="0"/>
        <v>11211580.954</v>
      </c>
      <c r="H25" s="26">
        <v>42.25</v>
      </c>
      <c r="I25" s="13">
        <v>1174000</v>
      </c>
      <c r="J25" s="12">
        <v>216</v>
      </c>
      <c r="K25" s="13">
        <v>1846000</v>
      </c>
      <c r="L25" s="13">
        <v>38000</v>
      </c>
      <c r="M25" s="13">
        <v>549100</v>
      </c>
      <c r="N25" s="13">
        <v>1222000</v>
      </c>
      <c r="O25" s="13"/>
    </row>
    <row r="26" spans="1:15" x14ac:dyDescent="0.25">
      <c r="A26" s="25">
        <v>45772</v>
      </c>
      <c r="B26" s="46">
        <v>1884.0730000000001</v>
      </c>
      <c r="C26" s="46">
        <v>2849.0650000000001</v>
      </c>
      <c r="D26" s="47">
        <v>5119</v>
      </c>
      <c r="E26" s="47">
        <v>4879</v>
      </c>
      <c r="F26" s="13">
        <f t="shared" si="0"/>
        <v>9644569.6870000008</v>
      </c>
      <c r="G26" s="13">
        <f t="shared" si="0"/>
        <v>13900588.135</v>
      </c>
      <c r="H26" s="26">
        <v>70.25</v>
      </c>
      <c r="I26" s="13">
        <v>1689000</v>
      </c>
      <c r="J26" s="12">
        <v>290.5</v>
      </c>
      <c r="K26" s="13">
        <v>2477000</v>
      </c>
      <c r="L26" s="13">
        <v>46000</v>
      </c>
      <c r="M26" s="13">
        <v>723200</v>
      </c>
      <c r="N26" s="13">
        <v>2114000</v>
      </c>
      <c r="O26" s="13"/>
    </row>
    <row r="27" spans="1:15" x14ac:dyDescent="0.25">
      <c r="A27" s="25">
        <v>45773</v>
      </c>
      <c r="B27" s="46">
        <v>2529.163</v>
      </c>
      <c r="C27" s="46">
        <v>2954</v>
      </c>
      <c r="D27" s="47">
        <v>5144</v>
      </c>
      <c r="E27" s="47">
        <v>4879</v>
      </c>
      <c r="F27" s="13">
        <f t="shared" si="0"/>
        <v>13010014.471999999</v>
      </c>
      <c r="G27" s="13">
        <f t="shared" si="0"/>
        <v>14412566</v>
      </c>
      <c r="H27" s="26">
        <v>110.75</v>
      </c>
      <c r="I27" s="13">
        <v>2227500</v>
      </c>
      <c r="J27" s="12">
        <v>192</v>
      </c>
      <c r="K27" s="13">
        <v>1631000</v>
      </c>
      <c r="L27" s="13">
        <v>71000</v>
      </c>
      <c r="M27" s="13">
        <v>1210000</v>
      </c>
      <c r="N27" s="13">
        <v>145000</v>
      </c>
      <c r="O27" s="13"/>
    </row>
    <row r="28" spans="1:15" x14ac:dyDescent="0.25">
      <c r="A28" s="25">
        <v>45774</v>
      </c>
      <c r="B28" s="46">
        <v>1647.7929999999999</v>
      </c>
      <c r="C28" s="46">
        <v>2925.5410000000002</v>
      </c>
      <c r="D28" s="47">
        <v>5144</v>
      </c>
      <c r="E28" s="47">
        <v>4879</v>
      </c>
      <c r="F28" s="13">
        <f t="shared" si="0"/>
        <v>8476247.1919999998</v>
      </c>
      <c r="G28" s="13">
        <f t="shared" si="0"/>
        <v>14273714.539000001</v>
      </c>
      <c r="H28" s="26">
        <v>88</v>
      </c>
      <c r="I28" s="13">
        <v>2026500</v>
      </c>
      <c r="J28" s="12">
        <v>241.5</v>
      </c>
      <c r="K28" s="13">
        <v>2052000</v>
      </c>
      <c r="L28" s="13">
        <v>53000</v>
      </c>
      <c r="M28" s="13">
        <v>693000</v>
      </c>
      <c r="N28" s="13">
        <v>242000</v>
      </c>
      <c r="O28" s="13"/>
    </row>
    <row r="29" spans="1:15" x14ac:dyDescent="0.25">
      <c r="A29" s="25">
        <v>45775</v>
      </c>
      <c r="B29" s="46">
        <v>1723.3989999999999</v>
      </c>
      <c r="C29" s="46">
        <v>3360.02</v>
      </c>
      <c r="D29" s="47">
        <v>5144</v>
      </c>
      <c r="E29" s="47">
        <v>4879</v>
      </c>
      <c r="F29" s="13">
        <f t="shared" si="0"/>
        <v>8865164.4560000002</v>
      </c>
      <c r="G29" s="13">
        <f t="shared" si="0"/>
        <v>16393537.58</v>
      </c>
      <c r="H29" s="26">
        <v>47.75</v>
      </c>
      <c r="I29" s="13">
        <v>1094000</v>
      </c>
      <c r="J29" s="12">
        <v>119.5</v>
      </c>
      <c r="K29" s="13">
        <v>1030000</v>
      </c>
      <c r="L29" s="13">
        <v>78000</v>
      </c>
      <c r="M29" s="13">
        <v>630000</v>
      </c>
      <c r="N29" s="13">
        <v>184000</v>
      </c>
      <c r="O29" s="13"/>
    </row>
    <row r="30" spans="1:15" x14ac:dyDescent="0.25">
      <c r="A30" s="25">
        <v>45776</v>
      </c>
      <c r="B30" s="46">
        <v>2009.31</v>
      </c>
      <c r="C30" s="46">
        <v>4106.9530000000004</v>
      </c>
      <c r="D30" s="47">
        <v>5320</v>
      </c>
      <c r="E30" s="47">
        <v>4879</v>
      </c>
      <c r="F30" s="13">
        <f t="shared" si="0"/>
        <v>10689529.199999999</v>
      </c>
      <c r="G30" s="13">
        <f t="shared" si="0"/>
        <v>20037823.687000003</v>
      </c>
      <c r="H30" s="26">
        <v>45.5</v>
      </c>
      <c r="I30" s="13">
        <v>956000</v>
      </c>
      <c r="J30" s="12">
        <v>194</v>
      </c>
      <c r="K30" s="13">
        <v>1698000</v>
      </c>
      <c r="L30" s="13">
        <v>23000</v>
      </c>
      <c r="M30" s="13">
        <v>421000</v>
      </c>
      <c r="N30" s="13">
        <v>605000</v>
      </c>
      <c r="O30" s="13"/>
    </row>
    <row r="31" spans="1:15" x14ac:dyDescent="0.25">
      <c r="A31" s="25">
        <v>45777</v>
      </c>
      <c r="B31" s="46">
        <v>1825.056</v>
      </c>
      <c r="C31" s="46">
        <v>5128.7690000000002</v>
      </c>
      <c r="D31" s="47">
        <v>5320</v>
      </c>
      <c r="E31" s="47">
        <v>4879</v>
      </c>
      <c r="F31" s="13">
        <f t="shared" si="0"/>
        <v>9709297.9199999999</v>
      </c>
      <c r="G31" s="13">
        <f t="shared" si="0"/>
        <v>25023263.951000001</v>
      </c>
      <c r="H31" s="26">
        <v>24.5</v>
      </c>
      <c r="I31" s="13">
        <v>503500</v>
      </c>
      <c r="J31" s="12">
        <v>151.5</v>
      </c>
      <c r="K31" s="13">
        <v>1325000</v>
      </c>
      <c r="L31" s="13">
        <v>16000</v>
      </c>
      <c r="M31" s="13">
        <v>1170500</v>
      </c>
      <c r="N31" s="13">
        <v>750000</v>
      </c>
      <c r="O31" s="13"/>
    </row>
    <row r="32" spans="1:15" x14ac:dyDescent="0.25">
      <c r="A32" s="25" t="s">
        <v>89</v>
      </c>
      <c r="B32" s="46"/>
      <c r="C32" s="46"/>
      <c r="D32" s="47"/>
      <c r="E32" s="47"/>
      <c r="F32" s="13">
        <f t="shared" ref="F32:G32" si="1">B32*D32</f>
        <v>0</v>
      </c>
      <c r="G32" s="13">
        <f t="shared" si="1"/>
        <v>0</v>
      </c>
      <c r="H32" s="26"/>
      <c r="I32" s="13"/>
      <c r="J32" s="12"/>
      <c r="K32" s="13"/>
      <c r="L32" s="13"/>
      <c r="M32" s="13"/>
      <c r="N32" s="13"/>
      <c r="O32" s="13"/>
    </row>
    <row r="33" spans="1:15" x14ac:dyDescent="0.25">
      <c r="A33" s="15"/>
      <c r="B33" s="37">
        <f>SUM(B1:B32)</f>
        <v>54729.796000000002</v>
      </c>
      <c r="C33" s="37">
        <f>SUM(C1:C32)</f>
        <v>87818.883100000021</v>
      </c>
      <c r="D33" s="38"/>
      <c r="E33" s="38"/>
      <c r="F33" s="39">
        <f>SUM(F1:F32)</f>
        <v>279388386.63800001</v>
      </c>
      <c r="G33" s="39">
        <f>SUM(G1:G32)</f>
        <v>425901016.83689994</v>
      </c>
      <c r="H33" s="39">
        <f t="shared" ref="H33:I33" si="2">SUM(H1:H32)</f>
        <v>1995</v>
      </c>
      <c r="I33" s="39">
        <f t="shared" si="2"/>
        <v>44457500</v>
      </c>
      <c r="J33" s="39">
        <f>SUM(J1:J32)</f>
        <v>3738</v>
      </c>
      <c r="K33" s="39">
        <f>SUM(K1:K32)</f>
        <v>31937000</v>
      </c>
      <c r="L33" s="39">
        <f>SUM(L1:L32)</f>
        <v>1564000</v>
      </c>
      <c r="M33" s="38">
        <f>SUM(M1:M32)</f>
        <v>20252400</v>
      </c>
      <c r="N33" s="38">
        <f>SUM(N2:N32)</f>
        <v>13347000</v>
      </c>
      <c r="O33" s="38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N33"/>
  <sheetViews>
    <sheetView topLeftCell="A19" workbookViewId="0">
      <selection activeCell="H39" sqref="H39"/>
    </sheetView>
  </sheetViews>
  <sheetFormatPr defaultRowHeight="15" x14ac:dyDescent="0.25"/>
  <cols>
    <col min="1" max="1" width="9.42578125" bestFit="1" customWidth="1"/>
    <col min="2" max="2" width="12.42578125" customWidth="1"/>
    <col min="3" max="3" width="11.85546875" customWidth="1"/>
    <col min="4" max="4" width="7.42578125" customWidth="1"/>
    <col min="5" max="5" width="8.140625" customWidth="1"/>
    <col min="6" max="6" width="8.28515625" customWidth="1"/>
    <col min="7" max="7" width="7.28515625" customWidth="1"/>
    <col min="9" max="9" width="13.7109375" customWidth="1"/>
    <col min="11" max="11" width="13.5703125" customWidth="1"/>
    <col min="12" max="12" width="12.28515625" customWidth="1"/>
    <col min="13" max="13" width="11.7109375" customWidth="1"/>
    <col min="14" max="14" width="10" bestFit="1" customWidth="1"/>
  </cols>
  <sheetData>
    <row r="1" spans="1:14" x14ac:dyDescent="0.25">
      <c r="A1" s="16"/>
      <c r="B1" s="17" t="s">
        <v>1</v>
      </c>
      <c r="C1" s="17" t="s">
        <v>2</v>
      </c>
      <c r="D1" s="18" t="s">
        <v>1</v>
      </c>
      <c r="E1" s="18" t="s">
        <v>2</v>
      </c>
      <c r="F1" s="19" t="s">
        <v>1</v>
      </c>
      <c r="G1" s="19" t="s">
        <v>2</v>
      </c>
      <c r="H1" s="19" t="s">
        <v>9</v>
      </c>
      <c r="I1" s="18" t="s">
        <v>10</v>
      </c>
      <c r="J1" s="16" t="s">
        <v>11</v>
      </c>
      <c r="K1" s="18" t="s">
        <v>10</v>
      </c>
      <c r="L1" s="18" t="s">
        <v>4</v>
      </c>
      <c r="M1" s="18" t="s">
        <v>67</v>
      </c>
      <c r="N1" s="18" t="s">
        <v>52</v>
      </c>
    </row>
    <row r="2" spans="1:14" x14ac:dyDescent="0.25">
      <c r="A2" s="25">
        <v>45778</v>
      </c>
      <c r="B2" s="46">
        <v>1979.971</v>
      </c>
      <c r="C2" s="46">
        <v>2911.7130000000002</v>
      </c>
      <c r="D2" s="47">
        <v>5230</v>
      </c>
      <c r="E2" s="47">
        <v>4879</v>
      </c>
      <c r="F2" s="13">
        <f t="shared" ref="F2:G31" si="0">B2*D2</f>
        <v>10355248.33</v>
      </c>
      <c r="G2" s="13">
        <f t="shared" si="0"/>
        <v>14206247.727000002</v>
      </c>
      <c r="H2" s="31">
        <v>9.25</v>
      </c>
      <c r="I2" s="13">
        <v>204500</v>
      </c>
      <c r="J2" s="27">
        <v>67.5</v>
      </c>
      <c r="K2" s="13">
        <v>580000</v>
      </c>
      <c r="L2" s="13">
        <v>58000</v>
      </c>
      <c r="M2" s="13">
        <v>674500</v>
      </c>
      <c r="N2" s="13">
        <v>213000</v>
      </c>
    </row>
    <row r="3" spans="1:14" x14ac:dyDescent="0.25">
      <c r="A3" s="25">
        <v>45779</v>
      </c>
      <c r="B3" s="46">
        <v>1895.1780000000001</v>
      </c>
      <c r="C3" s="46">
        <v>2398.335</v>
      </c>
      <c r="D3" s="47">
        <v>5260</v>
      </c>
      <c r="E3" s="47">
        <v>4879</v>
      </c>
      <c r="F3" s="13">
        <f t="shared" si="0"/>
        <v>9968636.2800000012</v>
      </c>
      <c r="G3" s="13">
        <f t="shared" si="0"/>
        <v>11701476.465</v>
      </c>
      <c r="H3" s="26">
        <v>31.75</v>
      </c>
      <c r="I3" s="13">
        <v>703000</v>
      </c>
      <c r="J3" s="27">
        <v>186</v>
      </c>
      <c r="K3" s="13">
        <v>1494000</v>
      </c>
      <c r="L3" s="13">
        <v>45000</v>
      </c>
      <c r="M3" s="13">
        <v>556300</v>
      </c>
      <c r="N3" s="13">
        <v>1383000</v>
      </c>
    </row>
    <row r="4" spans="1:14" x14ac:dyDescent="0.25">
      <c r="A4" s="25">
        <v>45780</v>
      </c>
      <c r="B4" s="46">
        <v>1921.44</v>
      </c>
      <c r="C4" s="46">
        <v>2084.328</v>
      </c>
      <c r="D4" s="47">
        <v>5290</v>
      </c>
      <c r="E4" s="47">
        <v>4879</v>
      </c>
      <c r="F4" s="13">
        <f t="shared" si="0"/>
        <v>10164417.6</v>
      </c>
      <c r="G4" s="13">
        <f t="shared" si="0"/>
        <v>10169436.311999999</v>
      </c>
      <c r="H4" s="26">
        <v>28</v>
      </c>
      <c r="I4" s="13">
        <v>597000</v>
      </c>
      <c r="J4" s="27">
        <v>161</v>
      </c>
      <c r="K4" s="13">
        <v>1284000</v>
      </c>
      <c r="L4" s="13">
        <v>98000</v>
      </c>
      <c r="M4" s="13">
        <v>760000</v>
      </c>
      <c r="N4" s="13">
        <v>672000</v>
      </c>
    </row>
    <row r="5" spans="1:14" x14ac:dyDescent="0.25">
      <c r="A5" s="25">
        <v>45781</v>
      </c>
      <c r="B5" s="46">
        <v>1816.2829999999999</v>
      </c>
      <c r="C5" s="46">
        <v>745.45699999999999</v>
      </c>
      <c r="D5" s="47">
        <v>5290</v>
      </c>
      <c r="E5" s="47">
        <v>4879</v>
      </c>
      <c r="F5" s="13">
        <f t="shared" si="0"/>
        <v>9608137.0700000003</v>
      </c>
      <c r="G5" s="13">
        <f t="shared" si="0"/>
        <v>3637084.7029999997</v>
      </c>
      <c r="H5" s="26">
        <v>53.25</v>
      </c>
      <c r="I5" s="13">
        <v>1225500</v>
      </c>
      <c r="J5" s="27">
        <v>116</v>
      </c>
      <c r="K5" s="13">
        <v>1003000</v>
      </c>
      <c r="L5" s="13">
        <v>15000</v>
      </c>
      <c r="M5" s="13">
        <v>256000</v>
      </c>
      <c r="N5" s="13">
        <v>726000</v>
      </c>
    </row>
    <row r="6" spans="1:14" x14ac:dyDescent="0.25">
      <c r="A6" s="25">
        <v>45782</v>
      </c>
      <c r="B6" s="46">
        <v>1993.883</v>
      </c>
      <c r="C6" s="46">
        <v>3054.01</v>
      </c>
      <c r="D6" s="47">
        <v>5290</v>
      </c>
      <c r="E6" s="47">
        <v>4879</v>
      </c>
      <c r="F6" s="13">
        <f t="shared" si="0"/>
        <v>10547641.07</v>
      </c>
      <c r="G6" s="13">
        <f t="shared" si="0"/>
        <v>14900514.790000001</v>
      </c>
      <c r="H6" s="26">
        <v>77</v>
      </c>
      <c r="I6" s="13">
        <v>1793000</v>
      </c>
      <c r="J6" s="27">
        <v>116</v>
      </c>
      <c r="K6" s="13">
        <v>1003000</v>
      </c>
      <c r="L6" s="13">
        <v>30000</v>
      </c>
      <c r="M6" s="13">
        <v>647000</v>
      </c>
      <c r="N6" s="13">
        <v>525000</v>
      </c>
    </row>
    <row r="7" spans="1:14" x14ac:dyDescent="0.25">
      <c r="A7" s="25">
        <v>45783</v>
      </c>
      <c r="B7" s="46">
        <v>1631.5319999999999</v>
      </c>
      <c r="C7" s="46">
        <v>3997.3510000000001</v>
      </c>
      <c r="D7" s="47">
        <v>5290</v>
      </c>
      <c r="E7" s="47">
        <v>4879</v>
      </c>
      <c r="F7" s="13">
        <f t="shared" si="0"/>
        <v>8630804.2799999993</v>
      </c>
      <c r="G7" s="13">
        <f t="shared" si="0"/>
        <v>19503075.528999999</v>
      </c>
      <c r="H7" s="26">
        <v>54.25</v>
      </c>
      <c r="I7" s="13">
        <v>1327000</v>
      </c>
      <c r="J7" s="27">
        <v>85</v>
      </c>
      <c r="K7" s="13">
        <v>740000</v>
      </c>
      <c r="L7" s="13">
        <v>103000</v>
      </c>
      <c r="M7" s="13">
        <v>420000</v>
      </c>
      <c r="N7" s="13">
        <v>488000</v>
      </c>
    </row>
    <row r="8" spans="1:14" x14ac:dyDescent="0.25">
      <c r="A8" s="25">
        <v>45784</v>
      </c>
      <c r="B8" s="46">
        <v>1849.106</v>
      </c>
      <c r="C8" s="46">
        <v>4336.1710000000003</v>
      </c>
      <c r="D8" s="47">
        <v>5290</v>
      </c>
      <c r="E8" s="47">
        <v>4879</v>
      </c>
      <c r="F8" s="13">
        <f t="shared" si="0"/>
        <v>9781770.7400000002</v>
      </c>
      <c r="G8" s="13">
        <f t="shared" si="0"/>
        <v>21156178.309</v>
      </c>
      <c r="H8" s="26">
        <v>30</v>
      </c>
      <c r="I8" s="13">
        <v>668000</v>
      </c>
      <c r="J8" s="27">
        <v>33</v>
      </c>
      <c r="K8" s="13">
        <v>296000</v>
      </c>
      <c r="L8" s="13">
        <v>8000</v>
      </c>
      <c r="M8" s="13">
        <v>444500</v>
      </c>
      <c r="N8" s="13">
        <v>0</v>
      </c>
    </row>
    <row r="9" spans="1:14" x14ac:dyDescent="0.25">
      <c r="A9" s="25">
        <v>45785</v>
      </c>
      <c r="B9" s="46">
        <v>2287.85</v>
      </c>
      <c r="C9" s="46">
        <v>3950.0909999999999</v>
      </c>
      <c r="D9" s="47">
        <v>5290</v>
      </c>
      <c r="E9" s="47">
        <v>4879</v>
      </c>
      <c r="F9" s="13">
        <f t="shared" si="0"/>
        <v>12102726.5</v>
      </c>
      <c r="G9" s="13">
        <f t="shared" si="0"/>
        <v>19272493.989</v>
      </c>
      <c r="H9" s="26">
        <v>98.75</v>
      </c>
      <c r="I9" s="13">
        <v>2228000</v>
      </c>
      <c r="J9" s="27">
        <v>69</v>
      </c>
      <c r="K9" s="13">
        <v>614000</v>
      </c>
      <c r="L9" s="13">
        <v>98000</v>
      </c>
      <c r="M9" s="13">
        <v>432000</v>
      </c>
      <c r="N9" s="13">
        <v>0</v>
      </c>
    </row>
    <row r="10" spans="1:14" x14ac:dyDescent="0.25">
      <c r="A10" s="25">
        <v>45786</v>
      </c>
      <c r="B10" s="46">
        <v>2197.9079999999999</v>
      </c>
      <c r="C10" s="46">
        <v>2676.6759999999999</v>
      </c>
      <c r="D10" s="47">
        <v>5290</v>
      </c>
      <c r="E10" s="47">
        <v>4879</v>
      </c>
      <c r="F10" s="13">
        <f t="shared" si="0"/>
        <v>11626933.32</v>
      </c>
      <c r="G10" s="13">
        <f t="shared" si="0"/>
        <v>13059502.204</v>
      </c>
      <c r="H10" s="26">
        <v>46.5</v>
      </c>
      <c r="I10" s="13">
        <v>999000</v>
      </c>
      <c r="J10" s="27">
        <v>6</v>
      </c>
      <c r="K10" s="13">
        <v>56000</v>
      </c>
      <c r="L10" s="13">
        <v>8000</v>
      </c>
      <c r="M10" s="13">
        <v>835500</v>
      </c>
      <c r="N10" s="13">
        <v>0</v>
      </c>
    </row>
    <row r="11" spans="1:14" x14ac:dyDescent="0.25">
      <c r="A11" s="25">
        <v>45787</v>
      </c>
      <c r="B11" s="46">
        <v>2281.7739999999999</v>
      </c>
      <c r="C11" s="46">
        <v>3897.152</v>
      </c>
      <c r="D11" s="47">
        <v>5290</v>
      </c>
      <c r="E11" s="47">
        <v>4879</v>
      </c>
      <c r="F11" s="13">
        <f t="shared" si="0"/>
        <v>12070584.459999999</v>
      </c>
      <c r="G11" s="13">
        <f t="shared" si="0"/>
        <v>19014204.607999999</v>
      </c>
      <c r="H11" s="26">
        <v>40</v>
      </c>
      <c r="I11" s="13">
        <v>852500</v>
      </c>
      <c r="J11" s="27">
        <v>3</v>
      </c>
      <c r="K11" s="13">
        <v>28000</v>
      </c>
      <c r="L11" s="13">
        <v>38000</v>
      </c>
      <c r="M11" s="13">
        <v>633600</v>
      </c>
      <c r="N11" s="13">
        <v>0</v>
      </c>
    </row>
    <row r="12" spans="1:14" x14ac:dyDescent="0.25">
      <c r="A12" s="25">
        <v>45788</v>
      </c>
      <c r="B12" s="46">
        <v>2117.9989999999998</v>
      </c>
      <c r="C12" s="46">
        <v>1346.38</v>
      </c>
      <c r="D12" s="47">
        <v>5290</v>
      </c>
      <c r="E12" s="47">
        <v>4879</v>
      </c>
      <c r="F12" s="13">
        <f t="shared" si="0"/>
        <v>11204214.709999999</v>
      </c>
      <c r="G12" s="13">
        <f t="shared" si="0"/>
        <v>6568988.0200000005</v>
      </c>
      <c r="H12" s="26">
        <v>42.25</v>
      </c>
      <c r="I12" s="51">
        <v>901500</v>
      </c>
      <c r="J12" s="27">
        <v>0</v>
      </c>
      <c r="K12" s="13">
        <v>0</v>
      </c>
      <c r="L12" s="13">
        <v>38000</v>
      </c>
      <c r="M12" s="13">
        <v>694500</v>
      </c>
      <c r="N12" s="13">
        <v>0</v>
      </c>
    </row>
    <row r="13" spans="1:14" x14ac:dyDescent="0.25">
      <c r="A13" s="25">
        <v>45789</v>
      </c>
      <c r="B13" s="46">
        <v>1959.308</v>
      </c>
      <c r="C13" s="46">
        <v>3211.9340000000002</v>
      </c>
      <c r="D13" s="47">
        <v>5290</v>
      </c>
      <c r="E13" s="47">
        <v>4879</v>
      </c>
      <c r="F13" s="13">
        <f t="shared" si="0"/>
        <v>10364739.32</v>
      </c>
      <c r="G13" s="13">
        <f t="shared" si="0"/>
        <v>15671025.986000001</v>
      </c>
      <c r="H13" s="26">
        <v>56.5</v>
      </c>
      <c r="I13" s="13">
        <v>1252000</v>
      </c>
      <c r="J13" s="27">
        <v>15.5</v>
      </c>
      <c r="K13" s="13">
        <v>133000</v>
      </c>
      <c r="L13" s="13">
        <v>23000</v>
      </c>
      <c r="M13" s="13">
        <v>534000</v>
      </c>
      <c r="N13" s="13">
        <v>0</v>
      </c>
    </row>
    <row r="14" spans="1:14" x14ac:dyDescent="0.25">
      <c r="A14" s="25">
        <v>45790</v>
      </c>
      <c r="B14" s="46">
        <v>1881.2460000000001</v>
      </c>
      <c r="C14" s="46">
        <v>3851.4740000000002</v>
      </c>
      <c r="D14" s="47">
        <v>5290</v>
      </c>
      <c r="E14" s="47">
        <v>4879</v>
      </c>
      <c r="F14" s="13">
        <f t="shared" si="0"/>
        <v>9951791.3399999999</v>
      </c>
      <c r="G14" s="13">
        <f t="shared" si="0"/>
        <v>18791341.646000002</v>
      </c>
      <c r="H14" s="26">
        <v>59.25</v>
      </c>
      <c r="I14" s="13">
        <v>1313000</v>
      </c>
      <c r="J14" s="27">
        <v>0</v>
      </c>
      <c r="K14" s="13">
        <v>0</v>
      </c>
      <c r="L14" s="13">
        <v>46000</v>
      </c>
      <c r="M14" s="13">
        <v>492900</v>
      </c>
      <c r="N14" s="13">
        <v>0</v>
      </c>
    </row>
    <row r="15" spans="1:14" x14ac:dyDescent="0.25">
      <c r="A15" s="25">
        <v>45791</v>
      </c>
      <c r="B15" s="46">
        <v>1478.8219999999999</v>
      </c>
      <c r="C15" s="46">
        <v>2374.4059999999999</v>
      </c>
      <c r="D15" s="47">
        <v>5290</v>
      </c>
      <c r="E15" s="47">
        <v>4879</v>
      </c>
      <c r="F15" s="13">
        <f t="shared" si="0"/>
        <v>7822968.379999999</v>
      </c>
      <c r="G15" s="13">
        <f t="shared" si="0"/>
        <v>11584726.874</v>
      </c>
      <c r="H15" s="13">
        <v>104.25</v>
      </c>
      <c r="I15" s="13">
        <v>2200000</v>
      </c>
      <c r="J15" s="27">
        <v>36.5</v>
      </c>
      <c r="K15" s="13">
        <v>320000</v>
      </c>
      <c r="L15" s="13">
        <v>101000</v>
      </c>
      <c r="M15" s="13">
        <v>484000</v>
      </c>
      <c r="N15" s="13">
        <v>56000</v>
      </c>
    </row>
    <row r="16" spans="1:14" x14ac:dyDescent="0.25">
      <c r="A16" s="25">
        <v>45792</v>
      </c>
      <c r="B16" s="46">
        <v>1860.54</v>
      </c>
      <c r="C16" s="46">
        <v>3533.8429999999998</v>
      </c>
      <c r="D16" s="47">
        <v>5290</v>
      </c>
      <c r="E16" s="47">
        <v>4879</v>
      </c>
      <c r="F16" s="13">
        <f t="shared" si="0"/>
        <v>9842256.5999999996</v>
      </c>
      <c r="G16" s="13">
        <f t="shared" si="0"/>
        <v>17241619.996999998</v>
      </c>
      <c r="H16" s="26">
        <v>6.75</v>
      </c>
      <c r="I16" s="13">
        <v>370500</v>
      </c>
      <c r="J16" s="27">
        <v>157</v>
      </c>
      <c r="K16" s="13">
        <v>1383000</v>
      </c>
      <c r="L16" s="13">
        <v>8000</v>
      </c>
      <c r="M16" s="13">
        <v>590500</v>
      </c>
      <c r="N16" s="13">
        <v>0</v>
      </c>
    </row>
    <row r="17" spans="1:14" x14ac:dyDescent="0.25">
      <c r="A17" s="25">
        <v>45793</v>
      </c>
      <c r="B17" s="46">
        <v>2081.14</v>
      </c>
      <c r="C17" s="46">
        <v>4222.1940000000004</v>
      </c>
      <c r="D17" s="47">
        <v>5290</v>
      </c>
      <c r="E17" s="47">
        <v>4879</v>
      </c>
      <c r="F17" s="13">
        <f>B17*D17</f>
        <v>11009230.6</v>
      </c>
      <c r="G17" s="13">
        <f t="shared" si="0"/>
        <v>20600084.526000001</v>
      </c>
      <c r="H17" s="26">
        <v>110.75</v>
      </c>
      <c r="I17" s="13">
        <v>2370000</v>
      </c>
      <c r="J17" s="27">
        <v>112.5</v>
      </c>
      <c r="K17" s="13">
        <v>777000</v>
      </c>
      <c r="L17" s="13">
        <v>23000</v>
      </c>
      <c r="M17" s="13">
        <v>912000</v>
      </c>
      <c r="N17" s="13"/>
    </row>
    <row r="18" spans="1:14" x14ac:dyDescent="0.25">
      <c r="A18" s="25">
        <v>45794</v>
      </c>
      <c r="B18" s="46">
        <v>2050.373</v>
      </c>
      <c r="C18" s="46">
        <v>4032.48</v>
      </c>
      <c r="D18" s="47">
        <v>5290</v>
      </c>
      <c r="E18" s="47">
        <v>4879</v>
      </c>
      <c r="F18" s="13">
        <f t="shared" si="0"/>
        <v>10846473.17</v>
      </c>
      <c r="G18" s="13">
        <f t="shared" si="0"/>
        <v>19674469.920000002</v>
      </c>
      <c r="H18" s="26">
        <v>49.5</v>
      </c>
      <c r="I18" s="13">
        <v>1076000</v>
      </c>
      <c r="J18" s="12">
        <v>69.5</v>
      </c>
      <c r="K18" s="13">
        <v>613000</v>
      </c>
      <c r="L18" s="13">
        <v>24000</v>
      </c>
      <c r="M18" s="13">
        <v>749000</v>
      </c>
      <c r="N18" s="13"/>
    </row>
    <row r="19" spans="1:14" x14ac:dyDescent="0.25">
      <c r="A19" s="25">
        <v>45795</v>
      </c>
      <c r="B19" s="46">
        <v>1733.902</v>
      </c>
      <c r="C19" s="46">
        <v>2645.5949999999998</v>
      </c>
      <c r="D19" s="47">
        <v>5290</v>
      </c>
      <c r="E19" s="47">
        <v>4879</v>
      </c>
      <c r="F19" s="13">
        <f t="shared" si="0"/>
        <v>9172341.5800000001</v>
      </c>
      <c r="G19" s="13">
        <f t="shared" si="0"/>
        <v>12907858.004999999</v>
      </c>
      <c r="H19" s="26">
        <v>58.25</v>
      </c>
      <c r="I19" s="13">
        <v>1395500</v>
      </c>
      <c r="J19" s="12">
        <v>18.5</v>
      </c>
      <c r="K19" s="13">
        <v>158000</v>
      </c>
      <c r="L19" s="13">
        <v>16000</v>
      </c>
      <c r="M19" s="13">
        <v>543900</v>
      </c>
      <c r="N19" s="13"/>
    </row>
    <row r="20" spans="1:14" x14ac:dyDescent="0.25">
      <c r="A20" s="25">
        <v>45796</v>
      </c>
      <c r="B20" s="46">
        <v>2360.627</v>
      </c>
      <c r="C20" s="46">
        <v>4790.4449999999997</v>
      </c>
      <c r="D20" s="47">
        <v>5290</v>
      </c>
      <c r="E20" s="47">
        <v>4879</v>
      </c>
      <c r="F20" s="13">
        <f t="shared" si="0"/>
        <v>12487716.83</v>
      </c>
      <c r="G20" s="13">
        <f t="shared" si="0"/>
        <v>23372581.154999997</v>
      </c>
      <c r="H20" s="26">
        <v>92</v>
      </c>
      <c r="I20" s="13">
        <v>1959000</v>
      </c>
      <c r="J20" s="12">
        <v>49</v>
      </c>
      <c r="K20" s="13">
        <v>425000</v>
      </c>
      <c r="L20" s="13">
        <v>93000</v>
      </c>
      <c r="M20" s="13">
        <v>559500</v>
      </c>
      <c r="N20" s="13">
        <v>40000</v>
      </c>
    </row>
    <row r="21" spans="1:14" x14ac:dyDescent="0.25">
      <c r="A21" s="25">
        <v>45797</v>
      </c>
      <c r="B21" s="46">
        <v>2605.8690000000001</v>
      </c>
      <c r="C21" s="46">
        <v>3242.942</v>
      </c>
      <c r="D21" s="47">
        <v>5115</v>
      </c>
      <c r="E21" s="47">
        <v>4879</v>
      </c>
      <c r="F21" s="13">
        <f t="shared" si="0"/>
        <v>13329019.935000001</v>
      </c>
      <c r="G21" s="13">
        <f t="shared" si="0"/>
        <v>15822314.017999999</v>
      </c>
      <c r="H21" s="26">
        <v>65.75</v>
      </c>
      <c r="I21" s="13">
        <v>1292000</v>
      </c>
      <c r="J21" s="12">
        <v>42.5</v>
      </c>
      <c r="K21" s="13">
        <v>373000</v>
      </c>
      <c r="L21" s="13">
        <v>70000</v>
      </c>
      <c r="M21" s="13">
        <v>725000</v>
      </c>
      <c r="N21" s="13"/>
    </row>
    <row r="22" spans="1:14" x14ac:dyDescent="0.25">
      <c r="A22" s="25">
        <v>45798</v>
      </c>
      <c r="B22" s="46">
        <v>4344.7330000000002</v>
      </c>
      <c r="C22" s="46">
        <v>4480.7749999999996</v>
      </c>
      <c r="D22" s="47">
        <v>5185</v>
      </c>
      <c r="E22" s="47">
        <v>4879</v>
      </c>
      <c r="F22" s="13">
        <f t="shared" si="0"/>
        <v>22527440.605</v>
      </c>
      <c r="G22" s="13">
        <f t="shared" si="0"/>
        <v>21861701.224999998</v>
      </c>
      <c r="H22" s="26">
        <v>67.5</v>
      </c>
      <c r="I22" s="13">
        <v>1375500</v>
      </c>
      <c r="J22" s="12">
        <v>62</v>
      </c>
      <c r="K22" s="13">
        <v>671000</v>
      </c>
      <c r="L22" s="13">
        <v>83000</v>
      </c>
      <c r="M22" s="13">
        <v>860000</v>
      </c>
      <c r="N22" s="13">
        <v>145000</v>
      </c>
    </row>
    <row r="23" spans="1:14" x14ac:dyDescent="0.25">
      <c r="A23" s="25">
        <v>45799</v>
      </c>
      <c r="B23" s="46">
        <v>2552.4299999999998</v>
      </c>
      <c r="C23" s="46">
        <v>3936.5940000000001</v>
      </c>
      <c r="D23" s="47">
        <v>5185</v>
      </c>
      <c r="E23" s="47">
        <v>4879</v>
      </c>
      <c r="F23" s="13">
        <f t="shared" si="0"/>
        <v>13234349.549999999</v>
      </c>
      <c r="G23" s="13">
        <f t="shared" si="0"/>
        <v>19206642.126000002</v>
      </c>
      <c r="H23" s="26">
        <v>105.75</v>
      </c>
      <c r="I23" s="13">
        <v>2246300</v>
      </c>
      <c r="J23" s="12">
        <v>42.5</v>
      </c>
      <c r="K23" s="13">
        <v>370000</v>
      </c>
      <c r="L23" s="13">
        <v>78000</v>
      </c>
      <c r="M23" s="13">
        <v>1027000</v>
      </c>
      <c r="N23" s="13">
        <v>0</v>
      </c>
    </row>
    <row r="24" spans="1:14" x14ac:dyDescent="0.25">
      <c r="A24" s="25">
        <v>45800</v>
      </c>
      <c r="B24" s="46">
        <v>6777.1440000000002</v>
      </c>
      <c r="C24" s="46">
        <v>4118.8220000000001</v>
      </c>
      <c r="D24" s="47">
        <v>5185</v>
      </c>
      <c r="E24" s="47">
        <v>4879</v>
      </c>
      <c r="F24" s="13">
        <f t="shared" si="0"/>
        <v>35139491.640000001</v>
      </c>
      <c r="G24" s="13">
        <f t="shared" si="0"/>
        <v>20095732.537999999</v>
      </c>
      <c r="H24" s="26">
        <v>47</v>
      </c>
      <c r="I24" s="13">
        <v>1145500</v>
      </c>
      <c r="J24" s="12">
        <v>43</v>
      </c>
      <c r="K24" s="13">
        <v>369000</v>
      </c>
      <c r="L24" s="13">
        <v>70000</v>
      </c>
      <c r="M24" s="13">
        <v>801000</v>
      </c>
      <c r="N24" s="13">
        <v>0</v>
      </c>
    </row>
    <row r="25" spans="1:14" x14ac:dyDescent="0.25">
      <c r="A25" s="25">
        <v>45801</v>
      </c>
      <c r="B25" s="46">
        <v>5390.1530000000002</v>
      </c>
      <c r="C25" s="46">
        <v>2732.6750000000002</v>
      </c>
      <c r="D25" s="47">
        <v>5185</v>
      </c>
      <c r="E25" s="47">
        <v>4879</v>
      </c>
      <c r="F25" s="13">
        <f t="shared" si="0"/>
        <v>27947943.305</v>
      </c>
      <c r="G25" s="13">
        <f t="shared" si="0"/>
        <v>13332721.325000001</v>
      </c>
      <c r="H25" s="26">
        <v>64</v>
      </c>
      <c r="I25" s="13">
        <v>1346000</v>
      </c>
      <c r="J25" s="12">
        <v>124.5</v>
      </c>
      <c r="K25" s="13">
        <v>1085000</v>
      </c>
      <c r="L25" s="13">
        <v>53000</v>
      </c>
      <c r="M25" s="13">
        <v>920500</v>
      </c>
      <c r="N25" s="13">
        <v>0</v>
      </c>
    </row>
    <row r="26" spans="1:14" x14ac:dyDescent="0.25">
      <c r="A26" s="25">
        <v>45802</v>
      </c>
      <c r="B26" s="46">
        <v>2261.64</v>
      </c>
      <c r="C26" s="46">
        <v>2213.4459999999999</v>
      </c>
      <c r="D26" s="47">
        <v>5185</v>
      </c>
      <c r="E26" s="47">
        <v>4879</v>
      </c>
      <c r="F26" s="13">
        <f t="shared" si="0"/>
        <v>11726603.399999999</v>
      </c>
      <c r="G26" s="13">
        <f t="shared" si="0"/>
        <v>10799403.034</v>
      </c>
      <c r="H26" s="26">
        <v>60.5</v>
      </c>
      <c r="I26" s="13">
        <v>1274600</v>
      </c>
      <c r="J26" s="12">
        <v>82.5</v>
      </c>
      <c r="K26" s="13">
        <v>714000</v>
      </c>
      <c r="L26" s="13">
        <v>8000</v>
      </c>
      <c r="M26" s="13">
        <v>709500</v>
      </c>
      <c r="N26" s="13">
        <v>0</v>
      </c>
    </row>
    <row r="27" spans="1:14" x14ac:dyDescent="0.25">
      <c r="A27" s="25">
        <v>45803</v>
      </c>
      <c r="B27" s="46">
        <v>0</v>
      </c>
      <c r="C27" s="46">
        <v>6395.97</v>
      </c>
      <c r="D27" s="47">
        <v>5185</v>
      </c>
      <c r="E27" s="47">
        <v>4879</v>
      </c>
      <c r="F27" s="13">
        <f t="shared" si="0"/>
        <v>0</v>
      </c>
      <c r="G27" s="13">
        <f t="shared" si="0"/>
        <v>31205937.630000003</v>
      </c>
      <c r="H27" s="26">
        <v>38.5</v>
      </c>
      <c r="I27" s="13">
        <v>746500</v>
      </c>
      <c r="J27" s="12">
        <v>33.5</v>
      </c>
      <c r="K27" s="13">
        <v>292000</v>
      </c>
      <c r="L27" s="13">
        <v>23000</v>
      </c>
      <c r="M27" s="13">
        <v>747000</v>
      </c>
      <c r="N27" s="13">
        <v>0</v>
      </c>
    </row>
    <row r="28" spans="1:14" x14ac:dyDescent="0.25">
      <c r="A28" s="25">
        <v>45804</v>
      </c>
      <c r="B28" s="46">
        <v>0</v>
      </c>
      <c r="C28" s="46">
        <v>3643.3409999999999</v>
      </c>
      <c r="D28" s="47">
        <v>5185</v>
      </c>
      <c r="E28" s="47">
        <v>4879</v>
      </c>
      <c r="F28" s="13">
        <f t="shared" si="0"/>
        <v>0</v>
      </c>
      <c r="G28" s="13">
        <f t="shared" si="0"/>
        <v>17775860.739</v>
      </c>
      <c r="H28" s="26">
        <v>38.25</v>
      </c>
      <c r="I28" s="13">
        <v>784500</v>
      </c>
      <c r="J28" s="12">
        <v>85.5</v>
      </c>
      <c r="K28" s="13">
        <v>739000</v>
      </c>
      <c r="L28" s="13">
        <v>43000</v>
      </c>
      <c r="M28" s="13">
        <v>504000</v>
      </c>
      <c r="N28" s="13">
        <v>0</v>
      </c>
    </row>
    <row r="29" spans="1:14" x14ac:dyDescent="0.25">
      <c r="A29" s="25">
        <v>45805</v>
      </c>
      <c r="B29" s="46">
        <v>7682.07</v>
      </c>
      <c r="C29" s="46">
        <v>2877.84</v>
      </c>
      <c r="D29" s="47">
        <v>5185</v>
      </c>
      <c r="E29" s="47">
        <v>4879</v>
      </c>
      <c r="F29" s="13">
        <f t="shared" si="0"/>
        <v>39831532.949999996</v>
      </c>
      <c r="G29" s="13">
        <f t="shared" si="0"/>
        <v>14040981.360000001</v>
      </c>
      <c r="H29" s="26">
        <v>52.75</v>
      </c>
      <c r="I29" s="13">
        <v>1140500</v>
      </c>
      <c r="J29" s="12">
        <v>36.5</v>
      </c>
      <c r="K29" s="13">
        <v>317000</v>
      </c>
      <c r="L29" s="13">
        <v>45000</v>
      </c>
      <c r="M29" s="13">
        <v>608500</v>
      </c>
      <c r="N29" s="13">
        <v>0</v>
      </c>
    </row>
    <row r="30" spans="1:14" x14ac:dyDescent="0.25">
      <c r="A30" s="25">
        <v>45806</v>
      </c>
      <c r="B30" s="46">
        <v>3285.529</v>
      </c>
      <c r="C30" s="46">
        <v>4167.1930000000002</v>
      </c>
      <c r="D30" s="47">
        <v>5185</v>
      </c>
      <c r="E30" s="47">
        <v>4879</v>
      </c>
      <c r="F30" s="13">
        <f t="shared" si="0"/>
        <v>17035467.864999998</v>
      </c>
      <c r="G30" s="13">
        <f t="shared" si="0"/>
        <v>20331734.647</v>
      </c>
      <c r="H30" s="26">
        <v>98.75</v>
      </c>
      <c r="I30" s="13">
        <v>2061000</v>
      </c>
      <c r="J30" s="12">
        <v>42.5</v>
      </c>
      <c r="K30" s="13">
        <v>370000</v>
      </c>
      <c r="L30" s="13">
        <v>181000</v>
      </c>
      <c r="M30" s="13">
        <v>507000</v>
      </c>
      <c r="N30" s="13">
        <v>0</v>
      </c>
    </row>
    <row r="31" spans="1:14" x14ac:dyDescent="0.25">
      <c r="A31" s="25">
        <v>45807</v>
      </c>
      <c r="B31" s="46">
        <v>4066.7739999999999</v>
      </c>
      <c r="C31" s="46">
        <v>3982.6170000000002</v>
      </c>
      <c r="D31" s="47">
        <v>5185</v>
      </c>
      <c r="E31" s="47">
        <v>4879</v>
      </c>
      <c r="F31" s="13">
        <f t="shared" si="0"/>
        <v>21086223.189999998</v>
      </c>
      <c r="G31" s="13">
        <f t="shared" si="0"/>
        <v>19431188.343000002</v>
      </c>
      <c r="H31" s="26">
        <v>75.5</v>
      </c>
      <c r="I31" s="13">
        <v>1540500</v>
      </c>
      <c r="J31" s="12">
        <v>104</v>
      </c>
      <c r="K31" s="13">
        <v>936000</v>
      </c>
      <c r="L31" s="13">
        <v>32000</v>
      </c>
      <c r="M31" s="13">
        <v>723000</v>
      </c>
      <c r="N31" s="13">
        <v>0</v>
      </c>
    </row>
    <row r="32" spans="1:14" x14ac:dyDescent="0.25">
      <c r="A32" s="25">
        <v>45808</v>
      </c>
      <c r="B32" s="46">
        <v>4496.1859999999997</v>
      </c>
      <c r="C32" s="46">
        <v>3633.31</v>
      </c>
      <c r="D32" s="47">
        <v>5185</v>
      </c>
      <c r="E32" s="47">
        <v>4879</v>
      </c>
      <c r="F32" s="13">
        <f t="shared" ref="F32:G32" si="1">B32*D32</f>
        <v>23312724.41</v>
      </c>
      <c r="G32" s="13">
        <f t="shared" si="1"/>
        <v>17726919.489999998</v>
      </c>
      <c r="H32" s="26">
        <v>70</v>
      </c>
      <c r="I32" s="13">
        <v>1496400</v>
      </c>
      <c r="J32" s="12">
        <v>45</v>
      </c>
      <c r="K32" s="13">
        <v>399000</v>
      </c>
      <c r="L32" s="13">
        <v>120000</v>
      </c>
      <c r="M32" s="13">
        <v>675200</v>
      </c>
      <c r="N32" s="13">
        <v>0</v>
      </c>
    </row>
    <row r="33" spans="1:14" x14ac:dyDescent="0.25">
      <c r="A33" s="15"/>
      <c r="B33" s="37">
        <f>SUM(B1:B32)</f>
        <v>80841.41</v>
      </c>
      <c r="C33" s="37">
        <f>SUM(C1:C32)</f>
        <v>105485.56</v>
      </c>
      <c r="D33" s="38"/>
      <c r="E33" s="38"/>
      <c r="F33" s="39">
        <f>SUM(F1:F32)</f>
        <v>422729429.02999997</v>
      </c>
      <c r="G33" s="39">
        <f>SUM(G1:G32)</f>
        <v>514664047.24000001</v>
      </c>
      <c r="H33" s="39">
        <f t="shared" ref="H33:I33" si="2">SUM(H1:H32)</f>
        <v>1832.5</v>
      </c>
      <c r="I33" s="39">
        <f t="shared" si="2"/>
        <v>39884300</v>
      </c>
      <c r="J33" s="39">
        <f>SUM(J1:J32)</f>
        <v>2045</v>
      </c>
      <c r="K33" s="39">
        <f>SUM(K1:K32)</f>
        <v>17542000</v>
      </c>
      <c r="L33" s="39">
        <f>SUM(L1:L32)</f>
        <v>1679000</v>
      </c>
      <c r="M33" s="38">
        <f>SUM(M1:M32)</f>
        <v>20027400</v>
      </c>
      <c r="N33" s="38">
        <f>SUM(N2:N32)</f>
        <v>4248000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33"/>
  <sheetViews>
    <sheetView topLeftCell="A16" workbookViewId="0">
      <selection activeCell="G16" sqref="G16"/>
    </sheetView>
  </sheetViews>
  <sheetFormatPr defaultRowHeight="15" x14ac:dyDescent="0.25"/>
  <cols>
    <col min="1" max="1" width="9.42578125" bestFit="1" customWidth="1"/>
    <col min="2" max="2" width="12.7109375" customWidth="1"/>
    <col min="3" max="3" width="13.140625" customWidth="1"/>
    <col min="4" max="4" width="6.85546875" customWidth="1"/>
    <col min="5" max="5" width="8.85546875" customWidth="1"/>
    <col min="6" max="6" width="14.85546875" customWidth="1"/>
    <col min="7" max="7" width="15.5703125" customWidth="1"/>
    <col min="9" max="9" width="14" customWidth="1"/>
    <col min="10" max="10" width="9.7109375" customWidth="1"/>
    <col min="11" max="11" width="13.5703125" customWidth="1"/>
    <col min="12" max="12" width="13.7109375" customWidth="1"/>
    <col min="13" max="13" width="11.85546875" customWidth="1"/>
    <col min="14" max="14" width="10.42578125" customWidth="1"/>
  </cols>
  <sheetData>
    <row r="1" spans="1:14" x14ac:dyDescent="0.25">
      <c r="A1" s="16"/>
      <c r="B1" s="17" t="s">
        <v>1</v>
      </c>
      <c r="C1" s="17" t="s">
        <v>2</v>
      </c>
      <c r="D1" s="18" t="s">
        <v>1</v>
      </c>
      <c r="E1" s="18" t="s">
        <v>2</v>
      </c>
      <c r="F1" s="19" t="s">
        <v>1</v>
      </c>
      <c r="G1" s="19" t="s">
        <v>2</v>
      </c>
      <c r="H1" s="19" t="s">
        <v>9</v>
      </c>
      <c r="I1" s="18" t="s">
        <v>10</v>
      </c>
      <c r="J1" s="16" t="s">
        <v>11</v>
      </c>
      <c r="K1" s="18" t="s">
        <v>10</v>
      </c>
      <c r="L1" s="18" t="s">
        <v>4</v>
      </c>
      <c r="M1" s="18" t="s">
        <v>67</v>
      </c>
      <c r="N1" s="18" t="s">
        <v>52</v>
      </c>
    </row>
    <row r="2" spans="1:14" x14ac:dyDescent="0.25">
      <c r="A2" s="25">
        <v>45809</v>
      </c>
      <c r="B2" s="46">
        <v>5963.2240000000002</v>
      </c>
      <c r="C2" s="46">
        <v>2680.297</v>
      </c>
      <c r="D2" s="47">
        <v>5185</v>
      </c>
      <c r="E2" s="47">
        <v>4879</v>
      </c>
      <c r="F2" s="13">
        <f t="shared" ref="F2:G31" si="0">B2*D2</f>
        <v>30919316.440000001</v>
      </c>
      <c r="G2" s="13">
        <f t="shared" si="0"/>
        <v>13077169.063000001</v>
      </c>
      <c r="H2" s="31">
        <v>24.25</v>
      </c>
      <c r="I2" s="13">
        <v>542000</v>
      </c>
      <c r="J2" s="27">
        <v>54</v>
      </c>
      <c r="K2" s="13">
        <v>477000</v>
      </c>
      <c r="L2" s="13">
        <v>8000</v>
      </c>
      <c r="M2" s="13">
        <v>536000</v>
      </c>
      <c r="N2" s="13"/>
    </row>
    <row r="3" spans="1:14" x14ac:dyDescent="0.25">
      <c r="A3" s="25">
        <v>45810</v>
      </c>
      <c r="B3" s="46">
        <v>3652.982</v>
      </c>
      <c r="C3" s="46">
        <v>5944.3810000000003</v>
      </c>
      <c r="D3" s="47">
        <v>5185</v>
      </c>
      <c r="E3" s="47">
        <v>4879</v>
      </c>
      <c r="F3" s="13">
        <f t="shared" si="0"/>
        <v>18940711.669999998</v>
      </c>
      <c r="G3" s="13">
        <f t="shared" si="0"/>
        <v>29002634.899</v>
      </c>
      <c r="H3" s="26">
        <v>55.75</v>
      </c>
      <c r="I3" s="13">
        <v>1215000</v>
      </c>
      <c r="J3" s="27">
        <v>38</v>
      </c>
      <c r="K3" s="13">
        <v>318000</v>
      </c>
      <c r="L3" s="13">
        <v>155000</v>
      </c>
      <c r="M3" s="13">
        <v>856000</v>
      </c>
      <c r="N3" s="13"/>
    </row>
    <row r="4" spans="1:14" x14ac:dyDescent="0.25">
      <c r="A4" s="25">
        <v>45811</v>
      </c>
      <c r="B4" s="46">
        <v>3059.3040000000001</v>
      </c>
      <c r="C4" s="46">
        <v>5134.7049999999999</v>
      </c>
      <c r="D4" s="47">
        <v>5195</v>
      </c>
      <c r="E4" s="47">
        <v>4890</v>
      </c>
      <c r="F4" s="13">
        <f t="shared" si="0"/>
        <v>15893084.280000001</v>
      </c>
      <c r="G4" s="13">
        <f t="shared" si="0"/>
        <v>25108707.449999999</v>
      </c>
      <c r="H4" s="26">
        <v>55</v>
      </c>
      <c r="I4" s="13">
        <v>1234500</v>
      </c>
      <c r="J4" s="27">
        <v>67</v>
      </c>
      <c r="K4" s="13">
        <v>581000</v>
      </c>
      <c r="L4" s="13">
        <v>32500</v>
      </c>
      <c r="M4" s="13">
        <v>310000</v>
      </c>
      <c r="N4" s="13"/>
    </row>
    <row r="5" spans="1:14" x14ac:dyDescent="0.25">
      <c r="A5" s="25">
        <v>45812</v>
      </c>
      <c r="B5" s="46">
        <v>3336.9540000000002</v>
      </c>
      <c r="C5" s="46">
        <v>4679.42</v>
      </c>
      <c r="D5" s="47">
        <v>5195</v>
      </c>
      <c r="E5" s="47">
        <v>4890</v>
      </c>
      <c r="F5" s="13">
        <f t="shared" si="0"/>
        <v>17335476.030000001</v>
      </c>
      <c r="G5" s="13">
        <f t="shared" si="0"/>
        <v>22882363.800000001</v>
      </c>
      <c r="H5" s="26">
        <v>25</v>
      </c>
      <c r="I5" s="13">
        <v>462000</v>
      </c>
      <c r="J5" s="27">
        <v>42.5</v>
      </c>
      <c r="K5" s="13">
        <v>370000</v>
      </c>
      <c r="L5" s="13">
        <v>23000</v>
      </c>
      <c r="M5" s="13">
        <v>510000</v>
      </c>
      <c r="N5" s="13"/>
    </row>
    <row r="6" spans="1:14" x14ac:dyDescent="0.25">
      <c r="A6" s="25">
        <v>45813</v>
      </c>
      <c r="B6" s="46">
        <v>3356.252</v>
      </c>
      <c r="C6" s="46">
        <v>4309.46</v>
      </c>
      <c r="D6" s="47">
        <v>5195</v>
      </c>
      <c r="E6" s="47">
        <v>4890</v>
      </c>
      <c r="F6" s="13">
        <f t="shared" si="0"/>
        <v>17435729.140000001</v>
      </c>
      <c r="G6" s="13">
        <f t="shared" si="0"/>
        <v>21073259.399999999</v>
      </c>
      <c r="H6" s="26">
        <v>36.5</v>
      </c>
      <c r="I6" s="13">
        <v>755500</v>
      </c>
      <c r="J6" s="27">
        <v>72.5</v>
      </c>
      <c r="K6" s="13">
        <v>638000</v>
      </c>
      <c r="L6" s="13">
        <v>24000</v>
      </c>
      <c r="M6" s="13">
        <v>585000</v>
      </c>
      <c r="N6" s="13"/>
    </row>
    <row r="7" spans="1:14" x14ac:dyDescent="0.25">
      <c r="A7" s="25">
        <v>45814</v>
      </c>
      <c r="B7" s="46">
        <v>3219.9290000000001</v>
      </c>
      <c r="C7" s="46">
        <v>3935.86</v>
      </c>
      <c r="D7" s="47">
        <v>5210</v>
      </c>
      <c r="E7" s="47">
        <v>4890</v>
      </c>
      <c r="F7" s="13">
        <f t="shared" si="0"/>
        <v>16775830.09</v>
      </c>
      <c r="G7" s="13">
        <f t="shared" si="0"/>
        <v>19246355.400000002</v>
      </c>
      <c r="H7" s="26">
        <v>21</v>
      </c>
      <c r="I7" s="13">
        <v>438000</v>
      </c>
      <c r="J7" s="27">
        <v>111</v>
      </c>
      <c r="K7" s="13">
        <v>867000</v>
      </c>
      <c r="L7" s="13">
        <v>0</v>
      </c>
      <c r="M7" s="13">
        <v>621000</v>
      </c>
      <c r="N7" s="13">
        <v>69000</v>
      </c>
    </row>
    <row r="8" spans="1:14" x14ac:dyDescent="0.25">
      <c r="A8" s="25">
        <v>45815</v>
      </c>
      <c r="B8" s="46">
        <v>3116.7240000000002</v>
      </c>
      <c r="C8" s="46">
        <v>2056.2449999999999</v>
      </c>
      <c r="D8" s="47">
        <v>5210</v>
      </c>
      <c r="E8" s="47">
        <v>4890</v>
      </c>
      <c r="F8" s="13">
        <f t="shared" si="0"/>
        <v>16238132.040000001</v>
      </c>
      <c r="G8" s="13">
        <f t="shared" si="0"/>
        <v>10055038.049999999</v>
      </c>
      <c r="H8" s="26">
        <v>58</v>
      </c>
      <c r="I8" s="13">
        <v>1247000</v>
      </c>
      <c r="J8" s="27">
        <v>45</v>
      </c>
      <c r="K8" s="13">
        <v>399000</v>
      </c>
      <c r="L8" s="13">
        <v>136000</v>
      </c>
      <c r="M8" s="13">
        <v>878000</v>
      </c>
      <c r="N8" s="13">
        <v>69000</v>
      </c>
    </row>
    <row r="9" spans="1:14" x14ac:dyDescent="0.25">
      <c r="A9" s="25">
        <v>45816</v>
      </c>
      <c r="B9" s="46">
        <v>2086.2950000000001</v>
      </c>
      <c r="C9" s="46">
        <v>2262.5940000000001</v>
      </c>
      <c r="D9" s="47">
        <v>5210</v>
      </c>
      <c r="E9" s="47">
        <v>4890</v>
      </c>
      <c r="F9" s="13">
        <f t="shared" si="0"/>
        <v>10869596.950000001</v>
      </c>
      <c r="G9" s="13">
        <f t="shared" si="0"/>
        <v>11064084.66</v>
      </c>
      <c r="H9" s="26">
        <v>44.5</v>
      </c>
      <c r="I9" s="13">
        <v>914500</v>
      </c>
      <c r="J9" s="27">
        <v>30.5</v>
      </c>
      <c r="K9" s="13">
        <v>264000</v>
      </c>
      <c r="L9" s="13">
        <v>75000</v>
      </c>
      <c r="M9" s="13">
        <v>1072000</v>
      </c>
      <c r="N9" s="13"/>
    </row>
    <row r="10" spans="1:14" x14ac:dyDescent="0.25">
      <c r="A10" s="25">
        <v>45817</v>
      </c>
      <c r="B10" s="46">
        <v>2485.2759999999998</v>
      </c>
      <c r="C10" s="46">
        <v>2255.5500000000002</v>
      </c>
      <c r="D10" s="47">
        <v>5210</v>
      </c>
      <c r="E10" s="47">
        <v>4890</v>
      </c>
      <c r="F10" s="13">
        <f t="shared" si="0"/>
        <v>12948287.959999999</v>
      </c>
      <c r="G10" s="13">
        <f t="shared" si="0"/>
        <v>11029639.5</v>
      </c>
      <c r="H10" s="26">
        <v>27</v>
      </c>
      <c r="I10" s="13">
        <v>524000</v>
      </c>
      <c r="J10" s="27">
        <v>100</v>
      </c>
      <c r="K10" s="13">
        <v>874000</v>
      </c>
      <c r="L10" s="13">
        <v>0</v>
      </c>
      <c r="M10" s="13">
        <v>600000</v>
      </c>
      <c r="N10" s="13">
        <v>190000</v>
      </c>
    </row>
    <row r="11" spans="1:14" x14ac:dyDescent="0.25">
      <c r="A11" s="25">
        <v>45818</v>
      </c>
      <c r="B11" s="46">
        <v>3102.5439999999999</v>
      </c>
      <c r="C11" s="46">
        <v>3376.47</v>
      </c>
      <c r="D11" s="47">
        <v>5210</v>
      </c>
      <c r="E11" s="47">
        <v>4890</v>
      </c>
      <c r="F11" s="13">
        <f t="shared" si="0"/>
        <v>16164254.24</v>
      </c>
      <c r="G11" s="13">
        <f t="shared" si="0"/>
        <v>16510938.299999999</v>
      </c>
      <c r="H11" s="26">
        <v>81</v>
      </c>
      <c r="I11" s="13">
        <v>1713300</v>
      </c>
      <c r="J11" s="27">
        <v>39.5</v>
      </c>
      <c r="K11" s="13">
        <v>345000</v>
      </c>
      <c r="L11" s="13">
        <v>16000</v>
      </c>
      <c r="M11" s="13">
        <v>613000</v>
      </c>
      <c r="N11" s="13">
        <v>121000</v>
      </c>
    </row>
    <row r="12" spans="1:14" x14ac:dyDescent="0.25">
      <c r="A12" s="25">
        <v>45819</v>
      </c>
      <c r="B12" s="46">
        <v>881.90099999999995</v>
      </c>
      <c r="C12" s="46">
        <v>1810.934</v>
      </c>
      <c r="D12" s="47">
        <v>5210</v>
      </c>
      <c r="E12" s="47">
        <v>4890</v>
      </c>
      <c r="F12" s="13">
        <f t="shared" si="0"/>
        <v>4594704.21</v>
      </c>
      <c r="G12" s="13">
        <f t="shared" si="0"/>
        <v>8855467.2599999998</v>
      </c>
      <c r="H12" s="26">
        <v>79.5</v>
      </c>
      <c r="I12" s="51">
        <v>1632000</v>
      </c>
      <c r="J12" s="27">
        <v>78.5</v>
      </c>
      <c r="K12" s="13">
        <v>688000</v>
      </c>
      <c r="L12" s="13">
        <v>48000</v>
      </c>
      <c r="M12" s="13">
        <v>519000</v>
      </c>
      <c r="N12" s="13">
        <v>138000</v>
      </c>
    </row>
    <row r="13" spans="1:14" x14ac:dyDescent="0.25">
      <c r="A13" s="25">
        <v>45820</v>
      </c>
      <c r="B13" s="46">
        <v>2681.7460000000001</v>
      </c>
      <c r="C13" s="46">
        <v>5132.8519999999999</v>
      </c>
      <c r="D13" s="47">
        <v>5240</v>
      </c>
      <c r="E13" s="47">
        <v>4900</v>
      </c>
      <c r="F13" s="13">
        <f t="shared" si="0"/>
        <v>14052349.040000001</v>
      </c>
      <c r="G13" s="13">
        <f t="shared" si="0"/>
        <v>25150974.800000001</v>
      </c>
      <c r="H13" s="26">
        <v>35.75</v>
      </c>
      <c r="I13" s="13">
        <v>707900</v>
      </c>
      <c r="J13" s="27">
        <v>21</v>
      </c>
      <c r="K13" s="13">
        <v>187000</v>
      </c>
      <c r="L13" s="13">
        <v>24000</v>
      </c>
      <c r="M13" s="13">
        <v>661000</v>
      </c>
      <c r="N13" s="13">
        <v>0</v>
      </c>
    </row>
    <row r="14" spans="1:14" x14ac:dyDescent="0.25">
      <c r="A14" s="25">
        <v>45821</v>
      </c>
      <c r="B14" s="46">
        <v>3015.79</v>
      </c>
      <c r="C14" s="46">
        <v>3904.7979999999998</v>
      </c>
      <c r="D14" s="47">
        <v>5240</v>
      </c>
      <c r="E14" s="47">
        <v>4900</v>
      </c>
      <c r="F14" s="13">
        <f t="shared" si="0"/>
        <v>15802739.6</v>
      </c>
      <c r="G14" s="13">
        <f t="shared" si="0"/>
        <v>19133510.199999999</v>
      </c>
      <c r="H14" s="26">
        <v>40</v>
      </c>
      <c r="I14" s="13">
        <v>801000</v>
      </c>
      <c r="J14" s="27">
        <v>80.5</v>
      </c>
      <c r="K14" s="13">
        <v>687000</v>
      </c>
      <c r="L14" s="13">
        <v>98000</v>
      </c>
      <c r="M14" s="13">
        <v>767000</v>
      </c>
      <c r="N14" s="13">
        <v>121000</v>
      </c>
    </row>
    <row r="15" spans="1:14" x14ac:dyDescent="0.25">
      <c r="A15" s="25">
        <v>45822</v>
      </c>
      <c r="B15" s="46">
        <v>2375.11</v>
      </c>
      <c r="C15" s="46">
        <v>3084.74</v>
      </c>
      <c r="D15" s="47">
        <v>5240</v>
      </c>
      <c r="E15" s="47">
        <v>4900</v>
      </c>
      <c r="F15" s="13">
        <f t="shared" si="0"/>
        <v>12445576.4</v>
      </c>
      <c r="G15" s="13">
        <f t="shared" si="0"/>
        <v>15115225.999999998</v>
      </c>
      <c r="H15" s="13">
        <v>108</v>
      </c>
      <c r="I15" s="13">
        <v>2010000</v>
      </c>
      <c r="J15" s="27">
        <v>80.5</v>
      </c>
      <c r="K15" s="13">
        <v>603000</v>
      </c>
      <c r="L15" s="13">
        <v>39000</v>
      </c>
      <c r="M15" s="13">
        <v>848000</v>
      </c>
      <c r="N15" s="13">
        <v>0</v>
      </c>
    </row>
    <row r="16" spans="1:14" x14ac:dyDescent="0.25">
      <c r="A16" s="25">
        <v>45823</v>
      </c>
      <c r="B16" s="46">
        <v>1704.63</v>
      </c>
      <c r="C16" s="46">
        <v>2086.5659999999998</v>
      </c>
      <c r="D16" s="47">
        <v>5240</v>
      </c>
      <c r="E16" s="47">
        <v>4900</v>
      </c>
      <c r="F16" s="13">
        <f t="shared" si="0"/>
        <v>8932261.2000000011</v>
      </c>
      <c r="G16" s="13">
        <f t="shared" si="0"/>
        <v>10224173.399999999</v>
      </c>
      <c r="H16" s="26">
        <v>87</v>
      </c>
      <c r="I16" s="13">
        <v>1914500</v>
      </c>
      <c r="J16" s="27">
        <v>43</v>
      </c>
      <c r="K16" s="13">
        <v>369000</v>
      </c>
      <c r="L16" s="13">
        <v>0</v>
      </c>
      <c r="M16" s="13">
        <v>641700</v>
      </c>
      <c r="N16" s="13">
        <v>180000</v>
      </c>
    </row>
    <row r="17" spans="1:14" x14ac:dyDescent="0.25">
      <c r="A17" s="25">
        <v>45824</v>
      </c>
      <c r="B17" s="46">
        <v>2236.0419999999999</v>
      </c>
      <c r="C17" s="46">
        <v>3832.0720000000001</v>
      </c>
      <c r="D17" s="47">
        <v>5240</v>
      </c>
      <c r="E17" s="47">
        <v>4900</v>
      </c>
      <c r="F17" s="13">
        <f>B17*D17</f>
        <v>11716860.08</v>
      </c>
      <c r="G17" s="13">
        <f t="shared" si="0"/>
        <v>18777152.800000001</v>
      </c>
      <c r="H17" s="26">
        <v>114.5</v>
      </c>
      <c r="I17" s="13">
        <v>2395500</v>
      </c>
      <c r="J17" s="27">
        <v>60.5</v>
      </c>
      <c r="K17" s="13">
        <v>871000</v>
      </c>
      <c r="L17" s="13">
        <v>808000</v>
      </c>
      <c r="M17" s="13">
        <v>524000</v>
      </c>
      <c r="N17" s="13">
        <v>88000</v>
      </c>
    </row>
    <row r="18" spans="1:14" x14ac:dyDescent="0.25">
      <c r="A18" s="25">
        <v>45825</v>
      </c>
      <c r="B18" s="46">
        <v>2014.799</v>
      </c>
      <c r="C18" s="46">
        <v>1994.153</v>
      </c>
      <c r="D18" s="47">
        <v>5240</v>
      </c>
      <c r="E18" s="47">
        <v>4900</v>
      </c>
      <c r="F18" s="13">
        <f t="shared" si="0"/>
        <v>10557546.76</v>
      </c>
      <c r="G18" s="13">
        <f t="shared" si="0"/>
        <v>9771349.6999999993</v>
      </c>
      <c r="H18" s="26">
        <v>85</v>
      </c>
      <c r="I18" s="13">
        <v>1943500</v>
      </c>
      <c r="J18" s="12">
        <v>73</v>
      </c>
      <c r="K18" s="13">
        <v>634000</v>
      </c>
      <c r="L18" s="13">
        <v>15000</v>
      </c>
      <c r="M18" s="13">
        <v>625000</v>
      </c>
      <c r="N18" s="13">
        <v>59000</v>
      </c>
    </row>
    <row r="19" spans="1:14" x14ac:dyDescent="0.25">
      <c r="A19" s="25">
        <v>45826</v>
      </c>
      <c r="B19" s="46">
        <v>1929.664</v>
      </c>
      <c r="C19" s="46">
        <v>2011.4770000000001</v>
      </c>
      <c r="D19" s="47">
        <v>5240</v>
      </c>
      <c r="E19" s="47">
        <v>4900</v>
      </c>
      <c r="F19" s="13">
        <f t="shared" si="0"/>
        <v>10111439.359999999</v>
      </c>
      <c r="G19" s="13">
        <f t="shared" si="0"/>
        <v>9856237.3000000007</v>
      </c>
      <c r="H19" s="26">
        <v>28.5</v>
      </c>
      <c r="I19" s="13">
        <v>555500</v>
      </c>
      <c r="J19" s="12">
        <v>39.5</v>
      </c>
      <c r="K19" s="13">
        <v>345000</v>
      </c>
      <c r="L19" s="13">
        <v>16000</v>
      </c>
      <c r="M19" s="13">
        <v>521500</v>
      </c>
      <c r="N19" s="13">
        <v>0</v>
      </c>
    </row>
    <row r="20" spans="1:14" x14ac:dyDescent="0.25">
      <c r="A20" s="25">
        <v>45827</v>
      </c>
      <c r="B20" s="46">
        <v>2087.5</v>
      </c>
      <c r="C20" s="46">
        <v>2976.748</v>
      </c>
      <c r="D20" s="47">
        <v>5240</v>
      </c>
      <c r="E20" s="47">
        <v>4900</v>
      </c>
      <c r="F20" s="13">
        <f t="shared" si="0"/>
        <v>10938500</v>
      </c>
      <c r="G20" s="13">
        <f t="shared" si="0"/>
        <v>14586065.200000001</v>
      </c>
      <c r="H20" s="26">
        <v>93.5</v>
      </c>
      <c r="I20" s="13">
        <v>1828500</v>
      </c>
      <c r="J20" s="12">
        <v>21</v>
      </c>
      <c r="K20" s="13">
        <v>187000</v>
      </c>
      <c r="L20" s="13">
        <v>16000</v>
      </c>
      <c r="M20" s="13">
        <v>505000</v>
      </c>
      <c r="N20" s="13">
        <v>0</v>
      </c>
    </row>
    <row r="21" spans="1:14" x14ac:dyDescent="0.25">
      <c r="A21" s="25">
        <v>45828</v>
      </c>
      <c r="B21" s="46">
        <v>2576.527</v>
      </c>
      <c r="C21" s="46">
        <v>3960.09</v>
      </c>
      <c r="D21" s="47">
        <v>5240</v>
      </c>
      <c r="E21" s="47">
        <v>4900</v>
      </c>
      <c r="F21" s="13">
        <f t="shared" si="0"/>
        <v>13501001.48</v>
      </c>
      <c r="G21" s="13">
        <f t="shared" si="0"/>
        <v>19404441</v>
      </c>
      <c r="H21" s="26">
        <v>54.75</v>
      </c>
      <c r="I21" s="13">
        <v>1117600</v>
      </c>
      <c r="J21" s="12">
        <v>55</v>
      </c>
      <c r="K21" s="13">
        <v>475000</v>
      </c>
      <c r="L21" s="13">
        <v>93000</v>
      </c>
      <c r="M21" s="13">
        <v>630500</v>
      </c>
      <c r="N21" s="13"/>
    </row>
    <row r="22" spans="1:14" x14ac:dyDescent="0.25">
      <c r="A22" s="25">
        <v>45829</v>
      </c>
      <c r="B22" s="46">
        <v>2434.1019999999999</v>
      </c>
      <c r="C22" s="46">
        <v>2939.8420000000001</v>
      </c>
      <c r="D22" s="47">
        <v>5240</v>
      </c>
      <c r="E22" s="47">
        <v>4900</v>
      </c>
      <c r="F22" s="13">
        <f t="shared" si="0"/>
        <v>12754694.479999999</v>
      </c>
      <c r="G22" s="13">
        <f t="shared" si="0"/>
        <v>14405225.800000001</v>
      </c>
      <c r="H22" s="26">
        <v>67.5</v>
      </c>
      <c r="I22" s="13">
        <v>1263500</v>
      </c>
      <c r="J22" s="12">
        <v>347</v>
      </c>
      <c r="K22" s="13">
        <v>2728000</v>
      </c>
      <c r="L22" s="13">
        <v>119000</v>
      </c>
      <c r="M22" s="13">
        <v>706000</v>
      </c>
      <c r="N22" s="13"/>
    </row>
    <row r="23" spans="1:14" x14ac:dyDescent="0.25">
      <c r="A23" s="25">
        <v>45830</v>
      </c>
      <c r="B23" s="46">
        <v>1978.63</v>
      </c>
      <c r="C23" s="46">
        <v>3549.8580000000002</v>
      </c>
      <c r="D23" s="47">
        <v>5240</v>
      </c>
      <c r="E23" s="47">
        <v>4900</v>
      </c>
      <c r="F23" s="13">
        <f t="shared" si="0"/>
        <v>10368021.200000001</v>
      </c>
      <c r="G23" s="13">
        <f t="shared" si="0"/>
        <v>17394304.199999999</v>
      </c>
      <c r="H23" s="26">
        <v>104.25</v>
      </c>
      <c r="I23" s="13">
        <v>2049600</v>
      </c>
      <c r="J23" s="12">
        <v>156</v>
      </c>
      <c r="K23" s="13">
        <v>1252000</v>
      </c>
      <c r="L23" s="13">
        <v>8000</v>
      </c>
      <c r="M23" s="13">
        <v>568000</v>
      </c>
      <c r="N23" s="13"/>
    </row>
    <row r="24" spans="1:14" x14ac:dyDescent="0.25">
      <c r="A24" s="25">
        <v>45831</v>
      </c>
      <c r="B24" s="46">
        <v>2349.2310000000002</v>
      </c>
      <c r="C24" s="46">
        <v>3903.2640000000001</v>
      </c>
      <c r="D24" s="47">
        <v>5240</v>
      </c>
      <c r="E24" s="47">
        <v>4900</v>
      </c>
      <c r="F24" s="13">
        <f t="shared" si="0"/>
        <v>12309970.440000001</v>
      </c>
      <c r="G24" s="13">
        <f t="shared" si="0"/>
        <v>19125993.600000001</v>
      </c>
      <c r="H24" s="26">
        <v>37</v>
      </c>
      <c r="I24" s="13">
        <v>826000</v>
      </c>
      <c r="J24" s="12">
        <v>256.5</v>
      </c>
      <c r="K24" s="13">
        <v>1951000</v>
      </c>
      <c r="L24" s="13">
        <v>30000</v>
      </c>
      <c r="M24" s="13">
        <v>523000</v>
      </c>
      <c r="N24" s="13"/>
    </row>
    <row r="25" spans="1:14" x14ac:dyDescent="0.25">
      <c r="A25" s="25">
        <v>45832</v>
      </c>
      <c r="B25" s="46">
        <v>2417.7809999999999</v>
      </c>
      <c r="C25" s="46">
        <v>3324.5279999999998</v>
      </c>
      <c r="D25" s="47">
        <v>5180</v>
      </c>
      <c r="E25" s="47">
        <v>4901</v>
      </c>
      <c r="F25" s="13">
        <f t="shared" si="0"/>
        <v>12524105.58</v>
      </c>
      <c r="G25" s="13">
        <f t="shared" si="0"/>
        <v>16293511.727999998</v>
      </c>
      <c r="H25" s="26">
        <v>46.75</v>
      </c>
      <c r="I25" s="13">
        <v>898000</v>
      </c>
      <c r="J25" s="12">
        <v>126</v>
      </c>
      <c r="K25" s="13">
        <v>1024000</v>
      </c>
      <c r="L25" s="13">
        <v>78000</v>
      </c>
      <c r="M25" s="13">
        <v>481000</v>
      </c>
      <c r="N25" s="13"/>
    </row>
    <row r="26" spans="1:14" x14ac:dyDescent="0.25">
      <c r="A26" s="25">
        <v>45833</v>
      </c>
      <c r="B26" s="46">
        <v>2480.8470000000002</v>
      </c>
      <c r="C26" s="46">
        <v>3735.1860000000001</v>
      </c>
      <c r="D26" s="47">
        <v>5180</v>
      </c>
      <c r="E26" s="47">
        <v>4901</v>
      </c>
      <c r="F26" s="13">
        <f t="shared" si="0"/>
        <v>12850787.460000001</v>
      </c>
      <c r="G26" s="13">
        <f t="shared" si="0"/>
        <v>18306146.585999999</v>
      </c>
      <c r="H26" s="26">
        <v>98.5</v>
      </c>
      <c r="I26" s="13">
        <v>1891000</v>
      </c>
      <c r="J26" s="12">
        <v>94.5</v>
      </c>
      <c r="K26" s="13">
        <v>820000</v>
      </c>
      <c r="L26" s="13">
        <v>83000</v>
      </c>
      <c r="M26" s="13">
        <v>574000</v>
      </c>
      <c r="N26" s="13"/>
    </row>
    <row r="27" spans="1:14" x14ac:dyDescent="0.25">
      <c r="A27" s="25">
        <v>45834</v>
      </c>
      <c r="B27" s="46">
        <v>2433.5659999999998</v>
      </c>
      <c r="C27" s="46">
        <v>6702.585</v>
      </c>
      <c r="D27" s="47">
        <v>5180</v>
      </c>
      <c r="E27" s="47">
        <v>4901</v>
      </c>
      <c r="F27" s="13">
        <f t="shared" si="0"/>
        <v>12605871.879999999</v>
      </c>
      <c r="G27" s="13">
        <f t="shared" si="0"/>
        <v>32849369.085000001</v>
      </c>
      <c r="H27" s="26">
        <v>62</v>
      </c>
      <c r="I27" s="13">
        <v>1332000</v>
      </c>
      <c r="J27" s="12">
        <v>646.5</v>
      </c>
      <c r="K27" s="13">
        <v>5027000</v>
      </c>
      <c r="L27" s="13">
        <v>140000</v>
      </c>
      <c r="M27" s="13">
        <v>700600</v>
      </c>
      <c r="N27" s="13"/>
    </row>
    <row r="28" spans="1:14" x14ac:dyDescent="0.25">
      <c r="A28" s="25">
        <v>45835</v>
      </c>
      <c r="B28" s="46">
        <v>2996.4090000000001</v>
      </c>
      <c r="C28" s="46">
        <v>6948.598</v>
      </c>
      <c r="D28" s="47">
        <v>5180</v>
      </c>
      <c r="E28" s="47">
        <v>4901</v>
      </c>
      <c r="F28" s="13">
        <f t="shared" si="0"/>
        <v>15521398.620000001</v>
      </c>
      <c r="G28" s="13">
        <f t="shared" si="0"/>
        <v>34055078.798</v>
      </c>
      <c r="H28" s="26">
        <v>53</v>
      </c>
      <c r="I28" s="13">
        <v>1141000</v>
      </c>
      <c r="J28" s="12">
        <v>93</v>
      </c>
      <c r="K28" s="13">
        <v>784000</v>
      </c>
      <c r="L28" s="13">
        <v>63000</v>
      </c>
      <c r="M28" s="13">
        <v>599000</v>
      </c>
      <c r="N28" s="13"/>
    </row>
    <row r="29" spans="1:14" x14ac:dyDescent="0.25">
      <c r="A29" s="25">
        <v>45836</v>
      </c>
      <c r="B29" s="46">
        <v>3328.029</v>
      </c>
      <c r="C29" s="46">
        <v>2798.3150000000001</v>
      </c>
      <c r="D29" s="47">
        <v>5180</v>
      </c>
      <c r="E29" s="47">
        <v>4901</v>
      </c>
      <c r="F29" s="13">
        <f t="shared" si="0"/>
        <v>17239190.219999999</v>
      </c>
      <c r="G29" s="13">
        <f t="shared" si="0"/>
        <v>13714541.814999999</v>
      </c>
      <c r="H29" s="26">
        <v>43.5</v>
      </c>
      <c r="I29" s="13">
        <v>835000</v>
      </c>
      <c r="J29" s="12">
        <v>91.5</v>
      </c>
      <c r="K29" s="13">
        <v>788000</v>
      </c>
      <c r="L29" s="13">
        <v>8000</v>
      </c>
      <c r="M29" s="13">
        <v>856400</v>
      </c>
      <c r="N29" s="13">
        <v>590000</v>
      </c>
    </row>
    <row r="30" spans="1:14" x14ac:dyDescent="0.25">
      <c r="A30" s="25">
        <v>45837</v>
      </c>
      <c r="B30" s="46">
        <v>2917.5790000000002</v>
      </c>
      <c r="C30" s="46">
        <v>1977.5239999999999</v>
      </c>
      <c r="D30" s="47">
        <v>5180</v>
      </c>
      <c r="E30" s="47">
        <v>4901</v>
      </c>
      <c r="F30" s="13">
        <f t="shared" si="0"/>
        <v>15113059.220000001</v>
      </c>
      <c r="G30" s="13">
        <f t="shared" si="0"/>
        <v>9691845.1239999998</v>
      </c>
      <c r="H30" s="26">
        <v>49.5</v>
      </c>
      <c r="I30" s="13">
        <v>989000</v>
      </c>
      <c r="J30" s="12">
        <v>60.5</v>
      </c>
      <c r="K30" s="13">
        <v>529000</v>
      </c>
      <c r="L30" s="13">
        <v>32000</v>
      </c>
      <c r="M30" s="13">
        <v>608000</v>
      </c>
      <c r="N30" s="13">
        <v>59000</v>
      </c>
    </row>
    <row r="31" spans="1:14" x14ac:dyDescent="0.25">
      <c r="A31" s="25">
        <v>45838</v>
      </c>
      <c r="B31" s="46">
        <v>3538.35</v>
      </c>
      <c r="C31" s="46">
        <v>3785.9140000000002</v>
      </c>
      <c r="D31" s="47">
        <v>5180</v>
      </c>
      <c r="E31" s="47">
        <v>4901</v>
      </c>
      <c r="F31" s="13">
        <f t="shared" si="0"/>
        <v>18328653</v>
      </c>
      <c r="G31" s="13">
        <f t="shared" si="0"/>
        <v>18554764.514000002</v>
      </c>
      <c r="H31" s="26">
        <v>46.75</v>
      </c>
      <c r="I31" s="13">
        <v>1056000</v>
      </c>
      <c r="J31" s="12">
        <v>86</v>
      </c>
      <c r="K31" s="13">
        <v>738000</v>
      </c>
      <c r="L31" s="13">
        <v>128000</v>
      </c>
      <c r="M31" s="13">
        <v>577000</v>
      </c>
      <c r="N31" s="13">
        <v>0</v>
      </c>
    </row>
    <row r="32" spans="1:14" x14ac:dyDescent="0.25">
      <c r="A32" s="25" t="s">
        <v>90</v>
      </c>
      <c r="B32" s="46"/>
      <c r="C32" s="46"/>
      <c r="D32" s="47"/>
      <c r="E32" s="47"/>
      <c r="F32" s="13">
        <f t="shared" ref="F32:G32" si="1">B32*D32</f>
        <v>0</v>
      </c>
      <c r="G32" s="13">
        <f t="shared" si="1"/>
        <v>0</v>
      </c>
      <c r="H32" s="26"/>
      <c r="I32" s="13"/>
      <c r="J32" s="12"/>
      <c r="K32" s="13"/>
      <c r="L32" s="13"/>
      <c r="M32" s="13"/>
      <c r="N32" s="13"/>
    </row>
    <row r="33" spans="1:14" x14ac:dyDescent="0.25">
      <c r="A33" s="15"/>
      <c r="B33" s="37">
        <f>SUM(B1:B32)</f>
        <v>81757.71699999999</v>
      </c>
      <c r="C33" s="37">
        <f>SUM(C1:C32)</f>
        <v>107095.02600000001</v>
      </c>
      <c r="D33" s="38"/>
      <c r="E33" s="38"/>
      <c r="F33" s="39">
        <f>SUM(F1:F32)</f>
        <v>425789149.07000005</v>
      </c>
      <c r="G33" s="39">
        <f>SUM(G1:G32)</f>
        <v>524315569.43199998</v>
      </c>
      <c r="H33" s="39">
        <f t="shared" ref="H33:I33" si="2">SUM(H1:H32)</f>
        <v>1763.25</v>
      </c>
      <c r="I33" s="39">
        <f t="shared" si="2"/>
        <v>36232900</v>
      </c>
      <c r="J33" s="39">
        <f>SUM(J1:J32)</f>
        <v>3110</v>
      </c>
      <c r="K33" s="39">
        <f>SUM(K1:K32)</f>
        <v>25820000</v>
      </c>
      <c r="L33" s="39">
        <f>SUM(L1:L32)</f>
        <v>2315500</v>
      </c>
      <c r="M33" s="38">
        <f>SUM(M1:M32)</f>
        <v>19016700</v>
      </c>
      <c r="N33" s="38">
        <f>SUM(N2:N32)</f>
        <v>1684000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35"/>
  <sheetViews>
    <sheetView topLeftCell="C7" workbookViewId="0">
      <selection activeCell="E2" sqref="E2:E32"/>
    </sheetView>
  </sheetViews>
  <sheetFormatPr defaultRowHeight="15" x14ac:dyDescent="0.25"/>
  <cols>
    <col min="1" max="1" width="9.42578125" bestFit="1" customWidth="1"/>
    <col min="2" max="2" width="12.42578125" customWidth="1"/>
    <col min="3" max="3" width="13.28515625" customWidth="1"/>
    <col min="6" max="6" width="13.42578125" customWidth="1"/>
    <col min="7" max="7" width="13" customWidth="1"/>
    <col min="9" max="9" width="11.140625" customWidth="1"/>
    <col min="10" max="10" width="9.42578125" bestFit="1" customWidth="1"/>
    <col min="11" max="11" width="12.28515625" customWidth="1"/>
    <col min="12" max="12" width="10.7109375" customWidth="1"/>
    <col min="13" max="13" width="11.7109375" customWidth="1"/>
    <col min="14" max="14" width="10.7109375" customWidth="1"/>
  </cols>
  <sheetData>
    <row r="1" spans="1:14" x14ac:dyDescent="0.25">
      <c r="A1" s="16"/>
      <c r="B1" s="17" t="s">
        <v>1</v>
      </c>
      <c r="C1" s="17" t="s">
        <v>2</v>
      </c>
      <c r="D1" s="18" t="s">
        <v>1</v>
      </c>
      <c r="E1" s="18" t="s">
        <v>2</v>
      </c>
      <c r="F1" s="19" t="s">
        <v>1</v>
      </c>
      <c r="G1" s="19" t="s">
        <v>2</v>
      </c>
      <c r="H1" s="19" t="s">
        <v>9</v>
      </c>
      <c r="I1" s="18" t="s">
        <v>10</v>
      </c>
      <c r="J1" s="16" t="s">
        <v>11</v>
      </c>
      <c r="K1" s="18" t="s">
        <v>10</v>
      </c>
      <c r="L1" s="18" t="s">
        <v>4</v>
      </c>
      <c r="M1" s="18" t="s">
        <v>67</v>
      </c>
      <c r="N1" s="18" t="s">
        <v>52</v>
      </c>
    </row>
    <row r="2" spans="1:14" x14ac:dyDescent="0.25">
      <c r="A2" s="25">
        <v>45839</v>
      </c>
      <c r="B2" s="46">
        <v>1173</v>
      </c>
      <c r="C2" s="46">
        <v>2996.38</v>
      </c>
      <c r="D2" s="47">
        <v>5180</v>
      </c>
      <c r="E2" s="47">
        <v>4901</v>
      </c>
      <c r="F2" s="13">
        <f t="shared" ref="F2:G31" si="0">B2*D2</f>
        <v>6076140</v>
      </c>
      <c r="G2" s="13">
        <f t="shared" si="0"/>
        <v>14685258.380000001</v>
      </c>
      <c r="H2" s="31">
        <v>86.75</v>
      </c>
      <c r="I2" s="13">
        <v>1789000</v>
      </c>
      <c r="J2" s="27">
        <v>95</v>
      </c>
      <c r="K2" s="13">
        <v>815000</v>
      </c>
      <c r="L2" s="13">
        <v>130000</v>
      </c>
      <c r="M2" s="13">
        <v>503500</v>
      </c>
      <c r="N2" s="13">
        <v>118000</v>
      </c>
    </row>
    <row r="3" spans="1:14" x14ac:dyDescent="0.25">
      <c r="A3" s="25">
        <v>45840</v>
      </c>
      <c r="B3" s="46">
        <v>2872.9169999999999</v>
      </c>
      <c r="C3" s="46">
        <v>5153.1679999999997</v>
      </c>
      <c r="D3" s="47">
        <v>5180</v>
      </c>
      <c r="E3" s="47">
        <v>4901</v>
      </c>
      <c r="F3" s="13">
        <f t="shared" si="0"/>
        <v>14881710.059999999</v>
      </c>
      <c r="G3" s="13">
        <f t="shared" si="0"/>
        <v>25255676.367999997</v>
      </c>
      <c r="H3" s="26">
        <v>74.25</v>
      </c>
      <c r="I3" s="13">
        <v>1530500</v>
      </c>
      <c r="J3" s="27">
        <v>42</v>
      </c>
      <c r="K3" s="13">
        <v>371000</v>
      </c>
      <c r="L3" s="13">
        <v>70000</v>
      </c>
      <c r="M3" s="13">
        <v>660000</v>
      </c>
      <c r="N3" s="13">
        <v>59000</v>
      </c>
    </row>
    <row r="4" spans="1:14" x14ac:dyDescent="0.25">
      <c r="A4" s="25">
        <v>45841</v>
      </c>
      <c r="B4" s="46">
        <v>3131.91</v>
      </c>
      <c r="C4" s="46">
        <v>4574.7759999999998</v>
      </c>
      <c r="D4" s="47">
        <v>5180</v>
      </c>
      <c r="E4" s="47">
        <v>4910</v>
      </c>
      <c r="F4" s="13">
        <f t="shared" si="0"/>
        <v>16223293.799999999</v>
      </c>
      <c r="G4" s="13">
        <f t="shared" si="0"/>
        <v>22462150.16</v>
      </c>
      <c r="H4" s="26">
        <v>132.75</v>
      </c>
      <c r="I4" s="13">
        <v>2768000</v>
      </c>
      <c r="J4" s="27">
        <v>59</v>
      </c>
      <c r="K4" s="13">
        <v>501000</v>
      </c>
      <c r="L4" s="13">
        <v>60000</v>
      </c>
      <c r="M4" s="13">
        <v>566500</v>
      </c>
      <c r="N4" s="13">
        <v>0</v>
      </c>
    </row>
    <row r="5" spans="1:14" x14ac:dyDescent="0.25">
      <c r="A5" s="25">
        <v>45842</v>
      </c>
      <c r="B5" s="46">
        <v>3605.97</v>
      </c>
      <c r="C5" s="46">
        <v>4114.3770000000004</v>
      </c>
      <c r="D5" s="47">
        <v>5180</v>
      </c>
      <c r="E5" s="47">
        <v>4910</v>
      </c>
      <c r="F5" s="13">
        <f t="shared" si="0"/>
        <v>18678924.599999998</v>
      </c>
      <c r="G5" s="13">
        <f t="shared" si="0"/>
        <v>20201591.07</v>
      </c>
      <c r="H5" s="26">
        <v>39.75</v>
      </c>
      <c r="I5" s="13">
        <v>753500</v>
      </c>
      <c r="J5" s="27">
        <v>85.5</v>
      </c>
      <c r="K5" s="13">
        <v>739000</v>
      </c>
      <c r="L5" s="13">
        <v>31000</v>
      </c>
      <c r="M5" s="13">
        <v>909000</v>
      </c>
      <c r="N5" s="13">
        <v>177000</v>
      </c>
    </row>
    <row r="6" spans="1:14" x14ac:dyDescent="0.25">
      <c r="A6" s="25">
        <v>45843</v>
      </c>
      <c r="B6" s="46">
        <v>3416.5889999999999</v>
      </c>
      <c r="C6" s="46">
        <v>2396.7979999999998</v>
      </c>
      <c r="D6" s="47">
        <v>5180</v>
      </c>
      <c r="E6" s="47">
        <v>4910</v>
      </c>
      <c r="F6" s="13">
        <f t="shared" si="0"/>
        <v>17697931.02</v>
      </c>
      <c r="G6" s="13">
        <f t="shared" si="0"/>
        <v>11768278.18</v>
      </c>
      <c r="H6" s="26">
        <v>44.25</v>
      </c>
      <c r="I6" s="13">
        <v>867000</v>
      </c>
      <c r="J6" s="27">
        <v>110.5</v>
      </c>
      <c r="K6" s="13">
        <v>902000</v>
      </c>
      <c r="L6" s="13">
        <v>126000</v>
      </c>
      <c r="M6" s="13">
        <v>449000</v>
      </c>
      <c r="N6" s="13">
        <v>0</v>
      </c>
    </row>
    <row r="7" spans="1:14" x14ac:dyDescent="0.25">
      <c r="A7" s="25">
        <v>45844</v>
      </c>
      <c r="B7" s="46">
        <v>2372.6570000000002</v>
      </c>
      <c r="C7" s="46">
        <v>1264.557</v>
      </c>
      <c r="D7" s="47">
        <v>5180</v>
      </c>
      <c r="E7" s="47">
        <v>4910</v>
      </c>
      <c r="F7" s="13">
        <f t="shared" si="0"/>
        <v>12290363.260000002</v>
      </c>
      <c r="G7" s="13">
        <f t="shared" si="0"/>
        <v>6208974.8700000001</v>
      </c>
      <c r="H7" s="26">
        <v>49.75</v>
      </c>
      <c r="I7" s="13">
        <v>1014000</v>
      </c>
      <c r="J7" s="27">
        <v>221.5</v>
      </c>
      <c r="K7" s="13">
        <v>1745000</v>
      </c>
      <c r="L7" s="13">
        <v>69000</v>
      </c>
      <c r="M7" s="13">
        <v>1200000</v>
      </c>
      <c r="N7" s="13">
        <v>258000</v>
      </c>
    </row>
    <row r="8" spans="1:14" x14ac:dyDescent="0.25">
      <c r="A8" s="25">
        <v>45845</v>
      </c>
      <c r="B8" s="46">
        <v>2855.3090000000002</v>
      </c>
      <c r="C8" s="46">
        <v>4864.5820000000003</v>
      </c>
      <c r="D8" s="47">
        <v>5180</v>
      </c>
      <c r="E8" s="47">
        <v>4910</v>
      </c>
      <c r="F8" s="13">
        <f t="shared" si="0"/>
        <v>14790500.620000001</v>
      </c>
      <c r="G8" s="13">
        <f t="shared" si="0"/>
        <v>23885097.620000001</v>
      </c>
      <c r="H8" s="26">
        <v>37.5</v>
      </c>
      <c r="I8" s="13">
        <v>751500</v>
      </c>
      <c r="J8" s="27">
        <v>245</v>
      </c>
      <c r="K8" s="13">
        <v>1958000</v>
      </c>
      <c r="L8" s="13">
        <v>8000</v>
      </c>
      <c r="M8" s="13">
        <v>686600</v>
      </c>
      <c r="N8" s="13">
        <v>118000</v>
      </c>
    </row>
    <row r="9" spans="1:14" x14ac:dyDescent="0.25">
      <c r="A9" s="25">
        <v>45846</v>
      </c>
      <c r="B9" s="46">
        <v>3737.165</v>
      </c>
      <c r="C9" s="46">
        <v>3916.8969999999999</v>
      </c>
      <c r="D9" s="47">
        <v>5180</v>
      </c>
      <c r="E9" s="47">
        <v>4910</v>
      </c>
      <c r="F9" s="13">
        <f t="shared" si="0"/>
        <v>19358514.699999999</v>
      </c>
      <c r="G9" s="13">
        <f t="shared" si="0"/>
        <v>19231964.27</v>
      </c>
      <c r="H9" s="26">
        <v>26</v>
      </c>
      <c r="I9" s="13">
        <v>543500</v>
      </c>
      <c r="J9" s="27">
        <v>88.5</v>
      </c>
      <c r="K9" s="13">
        <v>763000</v>
      </c>
      <c r="L9" s="13">
        <v>0</v>
      </c>
      <c r="M9" s="13">
        <v>645800</v>
      </c>
      <c r="N9" s="13">
        <v>177000</v>
      </c>
    </row>
    <row r="10" spans="1:14" x14ac:dyDescent="0.25">
      <c r="A10" s="25">
        <v>45847</v>
      </c>
      <c r="B10" s="46">
        <v>2491.7710000000002</v>
      </c>
      <c r="C10" s="46">
        <v>2146.8029999999999</v>
      </c>
      <c r="D10" s="47">
        <v>5195</v>
      </c>
      <c r="E10" s="47">
        <v>4910</v>
      </c>
      <c r="F10" s="13">
        <f t="shared" si="0"/>
        <v>12944750.345000001</v>
      </c>
      <c r="G10" s="13">
        <f t="shared" si="0"/>
        <v>10540802.729999999</v>
      </c>
      <c r="H10" s="26">
        <v>20.25</v>
      </c>
      <c r="I10" s="13">
        <v>398500</v>
      </c>
      <c r="J10" s="27">
        <v>93.5</v>
      </c>
      <c r="K10" s="13">
        <v>784000</v>
      </c>
      <c r="L10" s="13">
        <v>31000</v>
      </c>
      <c r="M10" s="13">
        <v>509500</v>
      </c>
      <c r="N10" s="13">
        <v>0</v>
      </c>
    </row>
    <row r="11" spans="1:14" x14ac:dyDescent="0.25">
      <c r="A11" s="25">
        <v>45848</v>
      </c>
      <c r="B11" s="46">
        <v>2942.8130000000001</v>
      </c>
      <c r="C11" s="46">
        <v>3361.828</v>
      </c>
      <c r="D11" s="47">
        <v>5195</v>
      </c>
      <c r="E11" s="47">
        <v>4910</v>
      </c>
      <c r="F11" s="13">
        <f t="shared" si="0"/>
        <v>15287913.535</v>
      </c>
      <c r="G11" s="13">
        <f t="shared" si="0"/>
        <v>16506575.48</v>
      </c>
      <c r="H11" s="26">
        <v>67.25</v>
      </c>
      <c r="I11" s="13">
        <v>1450000</v>
      </c>
      <c r="J11" s="27">
        <v>97</v>
      </c>
      <c r="K11" s="13">
        <v>846000</v>
      </c>
      <c r="L11" s="13">
        <v>53000</v>
      </c>
      <c r="M11" s="13">
        <v>861000</v>
      </c>
      <c r="N11" s="13">
        <v>258000</v>
      </c>
    </row>
    <row r="12" spans="1:14" x14ac:dyDescent="0.25">
      <c r="A12" s="25">
        <v>45849</v>
      </c>
      <c r="B12" s="46">
        <v>3143.6509999999998</v>
      </c>
      <c r="C12" s="46">
        <v>3255.1880000000001</v>
      </c>
      <c r="D12" s="47">
        <v>5195</v>
      </c>
      <c r="E12" s="47">
        <v>4910</v>
      </c>
      <c r="F12" s="13">
        <f t="shared" si="0"/>
        <v>16331266.944999998</v>
      </c>
      <c r="G12" s="13">
        <f t="shared" si="0"/>
        <v>15982973.08</v>
      </c>
      <c r="H12" s="26">
        <v>37</v>
      </c>
      <c r="I12" s="51">
        <v>737000</v>
      </c>
      <c r="J12" s="27">
        <v>134</v>
      </c>
      <c r="K12" s="13">
        <v>1083000</v>
      </c>
      <c r="L12" s="13">
        <v>32000</v>
      </c>
      <c r="M12" s="13">
        <v>800500</v>
      </c>
      <c r="N12" s="13">
        <v>352000</v>
      </c>
    </row>
    <row r="13" spans="1:14" x14ac:dyDescent="0.25">
      <c r="A13" s="25">
        <v>45850</v>
      </c>
      <c r="B13" s="46">
        <v>2758.998</v>
      </c>
      <c r="C13" s="46">
        <v>2164.2620000000002</v>
      </c>
      <c r="D13" s="47">
        <v>5195</v>
      </c>
      <c r="E13" s="47">
        <v>4910</v>
      </c>
      <c r="F13" s="13">
        <f t="shared" si="0"/>
        <v>14332994.609999999</v>
      </c>
      <c r="G13" s="13">
        <f t="shared" si="0"/>
        <v>10626526.42</v>
      </c>
      <c r="H13" s="26">
        <v>82.75</v>
      </c>
      <c r="I13" s="13">
        <v>1564000</v>
      </c>
      <c r="J13" s="27">
        <v>94.5</v>
      </c>
      <c r="K13" s="13">
        <v>820000</v>
      </c>
      <c r="L13" s="13">
        <v>73000</v>
      </c>
      <c r="M13" s="13">
        <v>1600000</v>
      </c>
      <c r="N13" s="13">
        <v>118000</v>
      </c>
    </row>
    <row r="14" spans="1:14" x14ac:dyDescent="0.25">
      <c r="A14" s="25">
        <v>45851</v>
      </c>
      <c r="B14" s="46">
        <v>2521.0129999999999</v>
      </c>
      <c r="C14" s="46">
        <v>3253.0140000000001</v>
      </c>
      <c r="D14" s="47">
        <v>5195</v>
      </c>
      <c r="E14" s="47">
        <v>4910</v>
      </c>
      <c r="F14" s="13">
        <f t="shared" si="0"/>
        <v>13096662.535</v>
      </c>
      <c r="G14" s="13">
        <f t="shared" si="0"/>
        <v>15972298.74</v>
      </c>
      <c r="H14" s="26">
        <v>66</v>
      </c>
      <c r="I14" s="13">
        <v>1440000</v>
      </c>
      <c r="J14" s="27">
        <v>97.5</v>
      </c>
      <c r="K14" s="13">
        <v>848000</v>
      </c>
      <c r="L14" s="13">
        <v>53000</v>
      </c>
      <c r="M14" s="13">
        <v>1002000</v>
      </c>
      <c r="N14" s="13">
        <v>118000</v>
      </c>
    </row>
    <row r="15" spans="1:14" x14ac:dyDescent="0.25">
      <c r="A15" s="25">
        <v>45852</v>
      </c>
      <c r="B15" s="46">
        <v>2791.6909999999998</v>
      </c>
      <c r="C15" s="46">
        <v>2932.3820000000001</v>
      </c>
      <c r="D15" s="47">
        <v>5195</v>
      </c>
      <c r="E15" s="47">
        <v>4910</v>
      </c>
      <c r="F15" s="13">
        <f t="shared" si="0"/>
        <v>14502834.744999999</v>
      </c>
      <c r="G15" s="13">
        <f t="shared" si="0"/>
        <v>14397995.620000001</v>
      </c>
      <c r="H15" s="13">
        <v>67.25</v>
      </c>
      <c r="I15" s="13">
        <v>1391500</v>
      </c>
      <c r="J15" s="27">
        <v>36.5</v>
      </c>
      <c r="K15" s="13">
        <v>320000</v>
      </c>
      <c r="L15" s="13">
        <v>89000</v>
      </c>
      <c r="M15" s="13">
        <v>830500</v>
      </c>
      <c r="N15" s="13">
        <v>81000</v>
      </c>
    </row>
    <row r="16" spans="1:14" x14ac:dyDescent="0.25">
      <c r="A16" s="25">
        <v>45853</v>
      </c>
      <c r="B16" s="46">
        <v>2964.1190000000001</v>
      </c>
      <c r="C16" s="46">
        <v>7449.9809999999998</v>
      </c>
      <c r="D16" s="47">
        <v>5195</v>
      </c>
      <c r="E16" s="47">
        <v>4910</v>
      </c>
      <c r="F16" s="13">
        <f t="shared" si="0"/>
        <v>15398598.205</v>
      </c>
      <c r="G16" s="13">
        <f t="shared" si="0"/>
        <v>36579406.710000001</v>
      </c>
      <c r="H16" s="26">
        <v>52.5</v>
      </c>
      <c r="I16" s="13">
        <v>1292000</v>
      </c>
      <c r="J16" s="27">
        <v>36.5</v>
      </c>
      <c r="K16" s="13">
        <v>317000</v>
      </c>
      <c r="L16" s="13">
        <v>0</v>
      </c>
      <c r="M16" s="13">
        <v>657500</v>
      </c>
      <c r="N16" s="13">
        <v>118000</v>
      </c>
    </row>
    <row r="17" spans="1:14" x14ac:dyDescent="0.25">
      <c r="A17" s="25">
        <v>45854</v>
      </c>
      <c r="B17" s="46">
        <v>2263.9850000000001</v>
      </c>
      <c r="C17" s="46">
        <v>6395.4960000000001</v>
      </c>
      <c r="D17" s="47">
        <v>5195</v>
      </c>
      <c r="E17" s="47">
        <v>4910</v>
      </c>
      <c r="F17" s="13">
        <f>B17*D17</f>
        <v>11761402.075000001</v>
      </c>
      <c r="G17" s="13">
        <f t="shared" si="0"/>
        <v>31401885.359999999</v>
      </c>
      <c r="H17" s="26">
        <v>50</v>
      </c>
      <c r="I17" s="13">
        <v>1097000</v>
      </c>
      <c r="J17" s="27">
        <v>33.5</v>
      </c>
      <c r="K17" s="13">
        <v>292000</v>
      </c>
      <c r="L17" s="13">
        <v>30000</v>
      </c>
      <c r="M17" s="13">
        <v>702000</v>
      </c>
      <c r="N17" s="13">
        <v>0</v>
      </c>
    </row>
    <row r="18" spans="1:14" x14ac:dyDescent="0.25">
      <c r="A18" s="25">
        <v>45855</v>
      </c>
      <c r="B18" s="46">
        <v>2468.92</v>
      </c>
      <c r="C18" s="46">
        <v>806.572</v>
      </c>
      <c r="D18" s="47">
        <v>5195</v>
      </c>
      <c r="E18" s="47">
        <v>4910</v>
      </c>
      <c r="F18" s="13">
        <f t="shared" si="0"/>
        <v>12826039.4</v>
      </c>
      <c r="G18" s="13">
        <f t="shared" si="0"/>
        <v>3960268.52</v>
      </c>
      <c r="H18" s="26">
        <v>35</v>
      </c>
      <c r="I18" s="13">
        <v>742500</v>
      </c>
      <c r="J18" s="12">
        <v>42.5</v>
      </c>
      <c r="K18" s="13">
        <v>370000</v>
      </c>
      <c r="L18" s="13">
        <v>46000</v>
      </c>
      <c r="M18" s="13">
        <v>610000</v>
      </c>
      <c r="N18" s="13">
        <v>0</v>
      </c>
    </row>
    <row r="19" spans="1:14" x14ac:dyDescent="0.25">
      <c r="A19" s="25">
        <v>45856</v>
      </c>
      <c r="B19" s="46">
        <v>2919.306</v>
      </c>
      <c r="C19" s="46">
        <v>2531.7750000000001</v>
      </c>
      <c r="D19" s="47">
        <v>5195</v>
      </c>
      <c r="E19" s="47">
        <v>4910</v>
      </c>
      <c r="F19" s="13">
        <f t="shared" si="0"/>
        <v>15165794.67</v>
      </c>
      <c r="G19" s="13">
        <f t="shared" si="0"/>
        <v>12431015.25</v>
      </c>
      <c r="H19" s="26">
        <v>57</v>
      </c>
      <c r="I19" s="13">
        <v>1163500</v>
      </c>
      <c r="J19" s="12">
        <v>81</v>
      </c>
      <c r="K19" s="13">
        <v>602000</v>
      </c>
      <c r="L19" s="13">
        <v>188000</v>
      </c>
      <c r="M19" s="13">
        <v>823000</v>
      </c>
      <c r="N19" s="13">
        <v>0</v>
      </c>
    </row>
    <row r="20" spans="1:14" x14ac:dyDescent="0.25">
      <c r="A20" s="25">
        <v>45857</v>
      </c>
      <c r="B20" s="46">
        <v>2838.2530000000002</v>
      </c>
      <c r="C20" s="46">
        <v>4383.3739999999998</v>
      </c>
      <c r="D20" s="47">
        <v>5195</v>
      </c>
      <c r="E20" s="47">
        <v>4910</v>
      </c>
      <c r="F20" s="13">
        <f t="shared" si="0"/>
        <v>14744724.335000001</v>
      </c>
      <c r="G20" s="13">
        <f t="shared" si="0"/>
        <v>21522366.34</v>
      </c>
      <c r="H20" s="26">
        <v>56</v>
      </c>
      <c r="I20" s="13">
        <v>1176000</v>
      </c>
      <c r="J20" s="12">
        <v>21</v>
      </c>
      <c r="K20" s="13">
        <v>187000</v>
      </c>
      <c r="L20" s="13">
        <v>54000</v>
      </c>
      <c r="M20" s="13">
        <v>930000</v>
      </c>
      <c r="N20" s="13">
        <v>0</v>
      </c>
    </row>
    <row r="21" spans="1:14" x14ac:dyDescent="0.25">
      <c r="A21" s="25">
        <v>45858</v>
      </c>
      <c r="B21" s="46">
        <v>2245.58</v>
      </c>
      <c r="C21" s="46">
        <v>2738.34</v>
      </c>
      <c r="D21" s="47">
        <v>5195</v>
      </c>
      <c r="E21" s="47">
        <v>4910</v>
      </c>
      <c r="F21" s="13">
        <f t="shared" si="0"/>
        <v>11665788.1</v>
      </c>
      <c r="G21" s="13">
        <f t="shared" si="0"/>
        <v>13445249.4</v>
      </c>
      <c r="H21" s="26">
        <v>72</v>
      </c>
      <c r="I21" s="13">
        <v>1514500</v>
      </c>
      <c r="J21" s="12">
        <v>24</v>
      </c>
      <c r="K21" s="13">
        <v>212000</v>
      </c>
      <c r="L21" s="13">
        <v>31000</v>
      </c>
      <c r="M21" s="13">
        <v>820900</v>
      </c>
      <c r="N21" s="13"/>
    </row>
    <row r="22" spans="1:14" x14ac:dyDescent="0.25">
      <c r="A22" s="25">
        <v>45859</v>
      </c>
      <c r="B22" s="46">
        <v>3016.9830000000002</v>
      </c>
      <c r="C22" s="46">
        <v>4080.7109999999998</v>
      </c>
      <c r="D22" s="47">
        <v>5195</v>
      </c>
      <c r="E22" s="47">
        <v>4910</v>
      </c>
      <c r="F22" s="13">
        <f t="shared" si="0"/>
        <v>15673226.685000001</v>
      </c>
      <c r="G22" s="13">
        <f t="shared" si="0"/>
        <v>20036291.009999998</v>
      </c>
      <c r="H22" s="26">
        <v>127.25</v>
      </c>
      <c r="I22" s="13">
        <v>2927700</v>
      </c>
      <c r="J22" s="12">
        <v>61.5</v>
      </c>
      <c r="K22" s="13">
        <v>527000</v>
      </c>
      <c r="L22" s="13">
        <v>16000</v>
      </c>
      <c r="M22" s="13">
        <v>743000</v>
      </c>
      <c r="N22" s="13"/>
    </row>
    <row r="23" spans="1:14" x14ac:dyDescent="0.25">
      <c r="A23" s="25">
        <v>45860</v>
      </c>
      <c r="B23" s="46">
        <v>2410.5309999999999</v>
      </c>
      <c r="C23" s="46">
        <v>4081.3820000000001</v>
      </c>
      <c r="D23" s="47">
        <v>5195</v>
      </c>
      <c r="E23" s="47">
        <v>4910</v>
      </c>
      <c r="F23" s="13">
        <f t="shared" si="0"/>
        <v>12522708.545</v>
      </c>
      <c r="G23" s="13">
        <f t="shared" si="0"/>
        <v>20039585.620000001</v>
      </c>
      <c r="H23" s="26">
        <v>36.25</v>
      </c>
      <c r="I23" s="13">
        <v>845500</v>
      </c>
      <c r="J23" s="12">
        <v>33</v>
      </c>
      <c r="K23" s="13">
        <v>293000</v>
      </c>
      <c r="L23" s="13">
        <v>106000</v>
      </c>
      <c r="M23" s="13">
        <v>662500</v>
      </c>
      <c r="N23" s="13"/>
    </row>
    <row r="24" spans="1:14" x14ac:dyDescent="0.25">
      <c r="A24" s="25">
        <v>45861</v>
      </c>
      <c r="B24" s="46">
        <v>2213.12</v>
      </c>
      <c r="C24" s="46">
        <v>2956.1080000000002</v>
      </c>
      <c r="D24" s="47">
        <v>5195</v>
      </c>
      <c r="E24" s="47">
        <v>4910</v>
      </c>
      <c r="F24" s="13">
        <f t="shared" si="0"/>
        <v>11497158.399999999</v>
      </c>
      <c r="G24" s="13">
        <f t="shared" si="0"/>
        <v>14514490.280000001</v>
      </c>
      <c r="H24" s="26">
        <v>43</v>
      </c>
      <c r="I24" s="13">
        <v>845000</v>
      </c>
      <c r="J24" s="12">
        <v>62.5</v>
      </c>
      <c r="K24" s="13">
        <v>441000</v>
      </c>
      <c r="L24" s="13">
        <v>0</v>
      </c>
      <c r="M24" s="13">
        <v>552500</v>
      </c>
      <c r="N24" s="13"/>
    </row>
    <row r="25" spans="1:14" x14ac:dyDescent="0.25">
      <c r="A25" s="25">
        <v>45862</v>
      </c>
      <c r="B25" s="46">
        <v>2586.2800000000002</v>
      </c>
      <c r="C25" s="46">
        <v>2581.7600000000002</v>
      </c>
      <c r="D25" s="47">
        <v>5195</v>
      </c>
      <c r="E25" s="47">
        <v>4910</v>
      </c>
      <c r="F25" s="13">
        <f t="shared" si="0"/>
        <v>13435724.600000001</v>
      </c>
      <c r="G25" s="13">
        <f t="shared" si="0"/>
        <v>12676441.600000001</v>
      </c>
      <c r="H25" s="26">
        <v>58</v>
      </c>
      <c r="I25" s="13">
        <v>1443500</v>
      </c>
      <c r="J25" s="12">
        <v>74</v>
      </c>
      <c r="K25" s="13">
        <v>632000</v>
      </c>
      <c r="L25" s="13">
        <v>163000</v>
      </c>
      <c r="M25" s="13">
        <v>746400</v>
      </c>
      <c r="N25" s="13">
        <v>438000</v>
      </c>
    </row>
    <row r="26" spans="1:14" x14ac:dyDescent="0.25">
      <c r="A26" s="25">
        <v>45863</v>
      </c>
      <c r="B26" s="46">
        <v>3032.6709999999998</v>
      </c>
      <c r="C26" s="46">
        <v>6229.9830000000002</v>
      </c>
      <c r="D26" s="47">
        <v>5195</v>
      </c>
      <c r="E26" s="47">
        <v>4910</v>
      </c>
      <c r="F26" s="13">
        <f t="shared" si="0"/>
        <v>15754725.844999999</v>
      </c>
      <c r="G26" s="13">
        <f t="shared" si="0"/>
        <v>30589216.530000001</v>
      </c>
      <c r="H26" s="26">
        <v>20.25</v>
      </c>
      <c r="I26" s="13">
        <v>470500</v>
      </c>
      <c r="J26" s="12">
        <v>72.5</v>
      </c>
      <c r="K26" s="13">
        <v>638000</v>
      </c>
      <c r="L26" s="13">
        <v>0</v>
      </c>
      <c r="M26" s="13">
        <v>912500</v>
      </c>
      <c r="N26" s="13">
        <v>59000</v>
      </c>
    </row>
    <row r="27" spans="1:14" x14ac:dyDescent="0.25">
      <c r="A27" s="25">
        <v>45864</v>
      </c>
      <c r="B27" s="46">
        <v>2719.1010000000001</v>
      </c>
      <c r="C27" s="46">
        <v>2228.3270000000002</v>
      </c>
      <c r="D27" s="47">
        <v>5195</v>
      </c>
      <c r="E27" s="47">
        <v>4910</v>
      </c>
      <c r="F27" s="13">
        <f t="shared" si="0"/>
        <v>14125729.695</v>
      </c>
      <c r="G27" s="13">
        <f t="shared" si="0"/>
        <v>10941085.57</v>
      </c>
      <c r="H27" s="26">
        <v>27</v>
      </c>
      <c r="I27" s="13">
        <v>535000</v>
      </c>
      <c r="J27" s="12">
        <v>98.5</v>
      </c>
      <c r="K27" s="13">
        <v>762000</v>
      </c>
      <c r="L27" s="13">
        <v>60000</v>
      </c>
      <c r="M27" s="13">
        <v>760000</v>
      </c>
      <c r="N27" s="13">
        <v>199000</v>
      </c>
    </row>
    <row r="28" spans="1:14" x14ac:dyDescent="0.25">
      <c r="A28" s="25">
        <v>45865</v>
      </c>
      <c r="B28" s="46">
        <v>2511.6480000000001</v>
      </c>
      <c r="C28" s="46">
        <v>7258.7830000000004</v>
      </c>
      <c r="D28" s="47">
        <v>5195</v>
      </c>
      <c r="E28" s="47">
        <v>4910</v>
      </c>
      <c r="F28" s="13">
        <f t="shared" si="0"/>
        <v>13048011.360000001</v>
      </c>
      <c r="G28" s="13">
        <f t="shared" si="0"/>
        <v>35640624.530000001</v>
      </c>
      <c r="H28" s="26">
        <v>49.25</v>
      </c>
      <c r="I28" s="13">
        <v>996000</v>
      </c>
      <c r="J28" s="12">
        <v>55.5</v>
      </c>
      <c r="K28" s="13">
        <v>474000</v>
      </c>
      <c r="L28" s="13">
        <v>24000</v>
      </c>
      <c r="M28" s="13">
        <v>806000</v>
      </c>
      <c r="N28" s="13">
        <v>0</v>
      </c>
    </row>
    <row r="29" spans="1:14" x14ac:dyDescent="0.25">
      <c r="A29" s="25">
        <v>45866</v>
      </c>
      <c r="B29" s="46">
        <v>2419.4520000000002</v>
      </c>
      <c r="C29" s="46">
        <v>2638.6010000000001</v>
      </c>
      <c r="D29" s="47">
        <v>5195</v>
      </c>
      <c r="E29" s="47">
        <v>4910</v>
      </c>
      <c r="F29" s="13">
        <f t="shared" si="0"/>
        <v>12569053.140000001</v>
      </c>
      <c r="G29" s="13">
        <f t="shared" si="0"/>
        <v>12955530.91</v>
      </c>
      <c r="H29" s="26">
        <v>122.75</v>
      </c>
      <c r="I29" s="13">
        <v>2602600</v>
      </c>
      <c r="J29" s="12">
        <v>54.5</v>
      </c>
      <c r="K29" s="13">
        <v>479000</v>
      </c>
      <c r="L29" s="13">
        <v>16000</v>
      </c>
      <c r="M29" s="13">
        <v>554000</v>
      </c>
      <c r="N29" s="13">
        <v>199000</v>
      </c>
    </row>
    <row r="30" spans="1:14" x14ac:dyDescent="0.25">
      <c r="A30" s="25">
        <v>45867</v>
      </c>
      <c r="B30" s="46">
        <v>2251.1350000000002</v>
      </c>
      <c r="C30" s="46">
        <v>4425.62</v>
      </c>
      <c r="D30" s="47">
        <v>5195</v>
      </c>
      <c r="E30" s="47">
        <v>4910</v>
      </c>
      <c r="F30" s="13">
        <f t="shared" si="0"/>
        <v>11694646.325000001</v>
      </c>
      <c r="G30" s="13">
        <f t="shared" si="0"/>
        <v>21729794.199999999</v>
      </c>
      <c r="H30" s="26">
        <v>129</v>
      </c>
      <c r="I30" s="13">
        <v>2514500</v>
      </c>
      <c r="J30" s="12">
        <v>74</v>
      </c>
      <c r="K30" s="13">
        <v>635000</v>
      </c>
      <c r="L30" s="13">
        <v>39000</v>
      </c>
      <c r="M30" s="13">
        <v>721500</v>
      </c>
      <c r="N30" s="13">
        <v>361000</v>
      </c>
    </row>
    <row r="31" spans="1:14" x14ac:dyDescent="0.25">
      <c r="A31" s="25">
        <v>45868</v>
      </c>
      <c r="B31" s="46">
        <v>2158.4989999999998</v>
      </c>
      <c r="C31" s="46">
        <v>5980.3519999999999</v>
      </c>
      <c r="D31" s="47">
        <v>5195</v>
      </c>
      <c r="E31" s="47">
        <v>4910</v>
      </c>
      <c r="F31" s="13">
        <f t="shared" si="0"/>
        <v>11213402.305</v>
      </c>
      <c r="G31" s="13">
        <f t="shared" si="0"/>
        <v>29363528.32</v>
      </c>
      <c r="H31" s="26">
        <v>22</v>
      </c>
      <c r="I31" s="13">
        <v>437000</v>
      </c>
      <c r="J31" s="12">
        <v>100.5</v>
      </c>
      <c r="K31" s="13">
        <v>873000</v>
      </c>
      <c r="L31" s="13">
        <v>15000</v>
      </c>
      <c r="M31" s="13">
        <v>500500</v>
      </c>
      <c r="N31" s="13">
        <v>610000</v>
      </c>
    </row>
    <row r="32" spans="1:14" x14ac:dyDescent="0.25">
      <c r="A32" s="25">
        <v>45869</v>
      </c>
      <c r="B32" s="46">
        <v>2762.4839999999999</v>
      </c>
      <c r="C32" s="46">
        <v>4956.8090000000002</v>
      </c>
      <c r="D32" s="47">
        <v>5195</v>
      </c>
      <c r="E32" s="47">
        <v>4910</v>
      </c>
      <c r="F32" s="13">
        <f t="shared" ref="F32:G32" si="1">B32*D32</f>
        <v>14351104.379999999</v>
      </c>
      <c r="G32" s="13">
        <f t="shared" si="1"/>
        <v>24337932.190000001</v>
      </c>
      <c r="H32" s="26">
        <v>30.75</v>
      </c>
      <c r="I32" s="13">
        <v>591500</v>
      </c>
      <c r="J32" s="27">
        <v>162.5</v>
      </c>
      <c r="K32" s="13">
        <v>1395000</v>
      </c>
      <c r="L32" s="13">
        <v>71000</v>
      </c>
      <c r="M32" s="13">
        <v>739000</v>
      </c>
      <c r="N32" s="13">
        <v>1378500</v>
      </c>
    </row>
    <row r="33" spans="1:14" x14ac:dyDescent="0.25">
      <c r="A33" s="57"/>
      <c r="B33" s="58">
        <f>SUM(B2:B32)</f>
        <v>83597.520999999993</v>
      </c>
      <c r="C33" s="58">
        <f>SUM(C2:C32)</f>
        <v>118118.98599999996</v>
      </c>
      <c r="D33" s="57"/>
      <c r="E33" s="57"/>
      <c r="F33" s="59">
        <f t="shared" ref="F33:N33" si="2">SUM(F2:F32)</f>
        <v>433941638.83999997</v>
      </c>
      <c r="G33" s="59">
        <f t="shared" si="2"/>
        <v>579890875.32800007</v>
      </c>
      <c r="H33" s="60">
        <f t="shared" si="2"/>
        <v>1819.5</v>
      </c>
      <c r="I33" s="61">
        <f t="shared" si="2"/>
        <v>38192300</v>
      </c>
      <c r="J33" s="62">
        <f t="shared" si="2"/>
        <v>2587.5</v>
      </c>
      <c r="K33" s="61">
        <f t="shared" si="2"/>
        <v>21624000</v>
      </c>
      <c r="L33" s="61">
        <f t="shared" si="2"/>
        <v>1684000</v>
      </c>
      <c r="M33" s="61">
        <f t="shared" si="2"/>
        <v>23465200</v>
      </c>
      <c r="N33" s="61">
        <f t="shared" si="2"/>
        <v>5196500</v>
      </c>
    </row>
    <row r="35" spans="1:14" x14ac:dyDescent="0.25">
      <c r="A35" t="s">
        <v>91</v>
      </c>
      <c r="B35">
        <v>64500</v>
      </c>
      <c r="C35">
        <v>109200</v>
      </c>
      <c r="H35">
        <v>2510</v>
      </c>
      <c r="J35">
        <v>2300</v>
      </c>
      <c r="M35" s="63">
        <v>23000000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35"/>
  <sheetViews>
    <sheetView zoomScaleNormal="100" workbookViewId="0">
      <selection activeCell="M2" sqref="M2:M32"/>
    </sheetView>
  </sheetViews>
  <sheetFormatPr defaultRowHeight="15" x14ac:dyDescent="0.25"/>
  <cols>
    <col min="1" max="1" width="9.42578125" bestFit="1" customWidth="1"/>
    <col min="2" max="2" width="11" bestFit="1" customWidth="1"/>
    <col min="3" max="3" width="12" bestFit="1" customWidth="1"/>
    <col min="4" max="4" width="7.140625" customWidth="1"/>
    <col min="6" max="7" width="14.5703125" bestFit="1" customWidth="1"/>
    <col min="8" max="8" width="9" bestFit="1" customWidth="1"/>
    <col min="9" max="9" width="13.5703125" bestFit="1" customWidth="1"/>
    <col min="10" max="10" width="9" bestFit="1" customWidth="1"/>
    <col min="11" max="11" width="13.5703125" bestFit="1" customWidth="1"/>
    <col min="12" max="12" width="12.42578125" bestFit="1" customWidth="1"/>
    <col min="13" max="13" width="11" bestFit="1" customWidth="1"/>
    <col min="14" max="14" width="11.5703125" customWidth="1"/>
  </cols>
  <sheetData>
    <row r="1" spans="1:14" x14ac:dyDescent="0.25">
      <c r="A1" s="16" t="s">
        <v>92</v>
      </c>
      <c r="B1" s="17" t="s">
        <v>1</v>
      </c>
      <c r="C1" s="17" t="s">
        <v>2</v>
      </c>
      <c r="D1" s="18" t="s">
        <v>1</v>
      </c>
      <c r="E1" s="18" t="s">
        <v>2</v>
      </c>
      <c r="F1" s="19" t="s">
        <v>1</v>
      </c>
      <c r="G1" s="19" t="s">
        <v>2</v>
      </c>
      <c r="H1" s="19" t="s">
        <v>9</v>
      </c>
      <c r="I1" s="18" t="s">
        <v>10</v>
      </c>
      <c r="J1" s="16" t="s">
        <v>11</v>
      </c>
      <c r="K1" s="18" t="s">
        <v>10</v>
      </c>
      <c r="L1" s="18" t="s">
        <v>4</v>
      </c>
      <c r="M1" s="18" t="s">
        <v>67</v>
      </c>
      <c r="N1" s="18" t="s">
        <v>52</v>
      </c>
    </row>
    <row r="2" spans="1:14" x14ac:dyDescent="0.25">
      <c r="A2" s="25">
        <v>45870</v>
      </c>
      <c r="B2" s="46">
        <v>4085.4879999999998</v>
      </c>
      <c r="C2" s="46">
        <v>2019.51</v>
      </c>
      <c r="D2" s="47">
        <v>5225</v>
      </c>
      <c r="E2" s="47">
        <v>4919</v>
      </c>
      <c r="F2" s="13">
        <f t="shared" ref="F2:G31" si="0">B2*D2</f>
        <v>21346674.800000001</v>
      </c>
      <c r="G2" s="13">
        <f t="shared" si="0"/>
        <v>9933969.6899999995</v>
      </c>
      <c r="H2" s="31">
        <v>19</v>
      </c>
      <c r="I2" s="13">
        <v>378500</v>
      </c>
      <c r="J2" s="27">
        <v>104</v>
      </c>
      <c r="K2" s="13">
        <v>897000</v>
      </c>
      <c r="L2" s="13">
        <v>32000</v>
      </c>
      <c r="M2" s="13">
        <v>938500</v>
      </c>
      <c r="N2" s="13">
        <v>1066000</v>
      </c>
    </row>
    <row r="3" spans="1:14" x14ac:dyDescent="0.25">
      <c r="A3" s="25">
        <v>45871</v>
      </c>
      <c r="B3" s="46">
        <v>3026.0709999999999</v>
      </c>
      <c r="C3" s="46">
        <v>2854.04</v>
      </c>
      <c r="D3" s="47">
        <v>5225</v>
      </c>
      <c r="E3" s="47">
        <v>4919</v>
      </c>
      <c r="F3" s="13">
        <f t="shared" si="0"/>
        <v>15811220.975</v>
      </c>
      <c r="G3" s="13">
        <f t="shared" si="0"/>
        <v>14039022.76</v>
      </c>
      <c r="H3" s="26">
        <v>46.5</v>
      </c>
      <c r="I3" s="13">
        <v>942500</v>
      </c>
      <c r="J3" s="27">
        <v>176.5</v>
      </c>
      <c r="K3" s="13">
        <v>1532000</v>
      </c>
      <c r="L3" s="13">
        <v>31000</v>
      </c>
      <c r="M3" s="13">
        <v>855000</v>
      </c>
      <c r="N3" s="13">
        <v>1550300</v>
      </c>
    </row>
    <row r="4" spans="1:14" x14ac:dyDescent="0.25">
      <c r="A4" s="25">
        <v>45872</v>
      </c>
      <c r="B4" s="46">
        <v>1700.2809999999999</v>
      </c>
      <c r="C4" s="46">
        <v>2896.0239999999999</v>
      </c>
      <c r="D4" s="47">
        <v>5225</v>
      </c>
      <c r="E4" s="47">
        <v>4919</v>
      </c>
      <c r="F4" s="13">
        <f t="shared" si="0"/>
        <v>8883968.2249999996</v>
      </c>
      <c r="G4" s="13">
        <f t="shared" si="0"/>
        <v>14245542.056</v>
      </c>
      <c r="H4" s="26">
        <v>30.25</v>
      </c>
      <c r="I4" s="13">
        <v>615000</v>
      </c>
      <c r="J4" s="27">
        <v>72</v>
      </c>
      <c r="K4" s="13">
        <v>636000</v>
      </c>
      <c r="L4" s="13">
        <v>32000</v>
      </c>
      <c r="M4" s="13">
        <v>136500</v>
      </c>
      <c r="N4" s="13">
        <v>430000</v>
      </c>
    </row>
    <row r="5" spans="1:14" x14ac:dyDescent="0.25">
      <c r="A5" s="25">
        <v>45873</v>
      </c>
      <c r="B5" s="46">
        <v>2528.1289999999999</v>
      </c>
      <c r="C5" s="46">
        <v>4046.86</v>
      </c>
      <c r="D5" s="47">
        <v>5225</v>
      </c>
      <c r="E5" s="47">
        <v>4919</v>
      </c>
      <c r="F5" s="13">
        <f t="shared" si="0"/>
        <v>13209474.025</v>
      </c>
      <c r="G5" s="13">
        <f t="shared" si="0"/>
        <v>19906504.34</v>
      </c>
      <c r="H5" s="26">
        <v>103.5</v>
      </c>
      <c r="I5" s="13">
        <v>2145500</v>
      </c>
      <c r="J5" s="27">
        <v>174</v>
      </c>
      <c r="K5" s="13">
        <v>1506000</v>
      </c>
      <c r="L5" s="13">
        <v>31000</v>
      </c>
      <c r="M5" s="13">
        <v>781400</v>
      </c>
      <c r="N5" s="13">
        <v>1259000</v>
      </c>
    </row>
    <row r="6" spans="1:14" x14ac:dyDescent="0.25">
      <c r="A6" s="25">
        <v>45874</v>
      </c>
      <c r="B6" s="46">
        <v>2242.6660000000002</v>
      </c>
      <c r="C6" s="46">
        <v>2483.0390000000002</v>
      </c>
      <c r="D6" s="47">
        <v>5225</v>
      </c>
      <c r="E6" s="47">
        <v>4919</v>
      </c>
      <c r="F6" s="13">
        <f t="shared" si="0"/>
        <v>11717929.850000001</v>
      </c>
      <c r="G6" s="13">
        <f t="shared" si="0"/>
        <v>12214068.841000002</v>
      </c>
      <c r="H6" s="26">
        <v>72</v>
      </c>
      <c r="I6" s="13">
        <v>1470900</v>
      </c>
      <c r="J6" s="27">
        <v>82</v>
      </c>
      <c r="K6" s="13">
        <v>714000</v>
      </c>
      <c r="L6" s="13">
        <v>23000</v>
      </c>
      <c r="M6" s="13">
        <v>721900</v>
      </c>
      <c r="N6" s="13">
        <v>280000</v>
      </c>
    </row>
    <row r="7" spans="1:14" x14ac:dyDescent="0.25">
      <c r="A7" s="25">
        <v>45875</v>
      </c>
      <c r="B7" s="46">
        <v>2506.087</v>
      </c>
      <c r="C7" s="46">
        <v>2913.4059999999999</v>
      </c>
      <c r="D7" s="47">
        <v>5225</v>
      </c>
      <c r="E7" s="47">
        <v>4919</v>
      </c>
      <c r="F7" s="13">
        <f t="shared" si="0"/>
        <v>13094304.574999999</v>
      </c>
      <c r="G7" s="13">
        <f t="shared" si="0"/>
        <v>14331044.114</v>
      </c>
      <c r="H7" s="26">
        <v>70.25</v>
      </c>
      <c r="I7" s="13">
        <v>1482500</v>
      </c>
      <c r="J7" s="27">
        <v>67</v>
      </c>
      <c r="K7" s="13">
        <v>581000</v>
      </c>
      <c r="L7" s="13">
        <v>64000</v>
      </c>
      <c r="M7" s="13">
        <v>940000</v>
      </c>
      <c r="N7" s="13">
        <v>391500</v>
      </c>
    </row>
    <row r="8" spans="1:14" x14ac:dyDescent="0.25">
      <c r="A8" s="25">
        <v>45876</v>
      </c>
      <c r="B8" s="46">
        <v>2238.4319999999998</v>
      </c>
      <c r="C8" s="46">
        <v>3407.4450000000002</v>
      </c>
      <c r="D8" s="47">
        <v>5225</v>
      </c>
      <c r="E8" s="47">
        <v>4919</v>
      </c>
      <c r="F8" s="13">
        <f t="shared" si="0"/>
        <v>11695807.199999999</v>
      </c>
      <c r="G8" s="13">
        <f t="shared" si="0"/>
        <v>16761221.955</v>
      </c>
      <c r="H8" s="26">
        <v>116</v>
      </c>
      <c r="I8" s="13">
        <v>2369000</v>
      </c>
      <c r="J8" s="27">
        <v>67</v>
      </c>
      <c r="K8" s="13">
        <v>581000</v>
      </c>
      <c r="L8" s="13">
        <v>127000</v>
      </c>
      <c r="M8" s="13">
        <v>880000</v>
      </c>
      <c r="N8" s="13">
        <v>631000</v>
      </c>
    </row>
    <row r="9" spans="1:14" x14ac:dyDescent="0.25">
      <c r="A9" s="25">
        <v>45877</v>
      </c>
      <c r="B9" s="46">
        <v>2158.5309999999999</v>
      </c>
      <c r="C9" s="46">
        <v>2911.625</v>
      </c>
      <c r="D9" s="47">
        <v>5225</v>
      </c>
      <c r="E9" s="47">
        <v>4919</v>
      </c>
      <c r="F9" s="13">
        <f t="shared" si="0"/>
        <v>11278324.475</v>
      </c>
      <c r="G9" s="13">
        <f t="shared" si="0"/>
        <v>14322283.375</v>
      </c>
      <c r="H9" s="26">
        <v>41.25</v>
      </c>
      <c r="I9" s="13">
        <v>785000</v>
      </c>
      <c r="J9" s="27">
        <v>100.5</v>
      </c>
      <c r="K9" s="13">
        <v>873000</v>
      </c>
      <c r="L9" s="13">
        <v>31000</v>
      </c>
      <c r="M9" s="13">
        <v>837000</v>
      </c>
      <c r="N9" s="13">
        <v>689000</v>
      </c>
    </row>
    <row r="10" spans="1:14" x14ac:dyDescent="0.25">
      <c r="A10" s="25">
        <v>45878</v>
      </c>
      <c r="B10" s="46">
        <v>2527.0079999999998</v>
      </c>
      <c r="C10" s="46">
        <v>1825.76</v>
      </c>
      <c r="D10" s="47">
        <v>5225</v>
      </c>
      <c r="E10" s="47">
        <v>4939</v>
      </c>
      <c r="F10" s="13">
        <f t="shared" si="0"/>
        <v>13203616.799999999</v>
      </c>
      <c r="G10" s="13">
        <f t="shared" si="0"/>
        <v>9017428.6400000006</v>
      </c>
      <c r="H10" s="26">
        <v>76.75</v>
      </c>
      <c r="I10" s="13">
        <v>1665500</v>
      </c>
      <c r="J10" s="27">
        <v>239</v>
      </c>
      <c r="K10" s="13">
        <v>1973000</v>
      </c>
      <c r="L10" s="13">
        <v>94000</v>
      </c>
      <c r="M10" s="13">
        <v>595500</v>
      </c>
      <c r="N10" s="13">
        <v>1284000</v>
      </c>
    </row>
    <row r="11" spans="1:14" x14ac:dyDescent="0.25">
      <c r="A11" s="25">
        <v>45879</v>
      </c>
      <c r="B11" s="46">
        <v>1660.8530000000001</v>
      </c>
      <c r="C11" s="46">
        <v>2389.8449999999998</v>
      </c>
      <c r="D11" s="47">
        <v>5225</v>
      </c>
      <c r="E11" s="47">
        <v>4939</v>
      </c>
      <c r="F11" s="13">
        <f t="shared" si="0"/>
        <v>8677956.9250000007</v>
      </c>
      <c r="G11" s="13">
        <f t="shared" si="0"/>
        <v>11803444.454999998</v>
      </c>
      <c r="H11" s="26">
        <v>60.5</v>
      </c>
      <c r="I11" s="13">
        <v>1227000</v>
      </c>
      <c r="J11" s="27">
        <v>73</v>
      </c>
      <c r="K11" s="13">
        <v>634000</v>
      </c>
      <c r="L11" s="13">
        <v>15000</v>
      </c>
      <c r="M11" s="13">
        <v>494000</v>
      </c>
      <c r="N11" s="13"/>
    </row>
    <row r="12" spans="1:14" x14ac:dyDescent="0.25">
      <c r="A12" s="25">
        <v>45880</v>
      </c>
      <c r="B12" s="46">
        <v>1940.9380000000001</v>
      </c>
      <c r="C12" s="46">
        <v>3688.0839999999998</v>
      </c>
      <c r="D12" s="47">
        <v>5225</v>
      </c>
      <c r="E12" s="47">
        <v>4939</v>
      </c>
      <c r="F12" s="13">
        <f t="shared" si="0"/>
        <v>10141401.050000001</v>
      </c>
      <c r="G12" s="13">
        <f t="shared" si="0"/>
        <v>18215446.875999998</v>
      </c>
      <c r="H12" s="26">
        <v>264</v>
      </c>
      <c r="I12" s="51">
        <v>5274000</v>
      </c>
      <c r="J12" s="27">
        <v>115.5</v>
      </c>
      <c r="K12" s="13">
        <v>1004000</v>
      </c>
      <c r="L12" s="13">
        <v>46000</v>
      </c>
      <c r="M12" s="13">
        <v>586000</v>
      </c>
      <c r="N12" s="13">
        <v>873500</v>
      </c>
    </row>
    <row r="13" spans="1:14" x14ac:dyDescent="0.25">
      <c r="A13" s="25">
        <v>45881</v>
      </c>
      <c r="B13" s="46">
        <v>1973.26</v>
      </c>
      <c r="C13" s="46">
        <v>5467.1549999999997</v>
      </c>
      <c r="D13" s="47">
        <v>5225</v>
      </c>
      <c r="E13" s="47">
        <v>4939</v>
      </c>
      <c r="F13" s="13">
        <f t="shared" si="0"/>
        <v>10310283.5</v>
      </c>
      <c r="G13" s="13">
        <f t="shared" si="0"/>
        <v>27002278.544999998</v>
      </c>
      <c r="H13" s="26">
        <v>53.25</v>
      </c>
      <c r="I13" s="13">
        <v>1016000</v>
      </c>
      <c r="J13" s="27">
        <v>76.5</v>
      </c>
      <c r="K13" s="13">
        <v>665000</v>
      </c>
      <c r="L13" s="13">
        <v>16000</v>
      </c>
      <c r="M13" s="13">
        <v>585500</v>
      </c>
      <c r="N13" s="13">
        <v>46000</v>
      </c>
    </row>
    <row r="14" spans="1:14" x14ac:dyDescent="0.25">
      <c r="A14" s="25">
        <v>45882</v>
      </c>
      <c r="B14" s="46">
        <v>1999.2159999999999</v>
      </c>
      <c r="C14" s="46">
        <v>3564.1039999999998</v>
      </c>
      <c r="D14" s="47">
        <v>5225</v>
      </c>
      <c r="E14" s="47">
        <v>4939</v>
      </c>
      <c r="F14" s="13">
        <f t="shared" si="0"/>
        <v>10445903.6</v>
      </c>
      <c r="G14" s="13">
        <f t="shared" si="0"/>
        <v>17603109.655999999</v>
      </c>
      <c r="H14" s="26">
        <v>50.75</v>
      </c>
      <c r="I14" s="13">
        <v>1008500</v>
      </c>
      <c r="J14" s="27">
        <v>64</v>
      </c>
      <c r="K14" s="13">
        <v>556000</v>
      </c>
      <c r="L14" s="13">
        <v>38000</v>
      </c>
      <c r="M14" s="13">
        <v>672000</v>
      </c>
      <c r="N14" s="13">
        <v>45000</v>
      </c>
    </row>
    <row r="15" spans="1:14" x14ac:dyDescent="0.25">
      <c r="A15" s="25">
        <v>45883</v>
      </c>
      <c r="B15" s="46">
        <v>2077.223</v>
      </c>
      <c r="C15" s="46">
        <v>4070.99</v>
      </c>
      <c r="D15" s="47">
        <v>5225</v>
      </c>
      <c r="E15" s="47">
        <v>4939</v>
      </c>
      <c r="F15" s="13">
        <f t="shared" si="0"/>
        <v>10853490.174999999</v>
      </c>
      <c r="G15" s="13">
        <f t="shared" si="0"/>
        <v>20106619.609999999</v>
      </c>
      <c r="H15" s="13">
        <v>73.5</v>
      </c>
      <c r="I15" s="13">
        <v>1523500</v>
      </c>
      <c r="J15" s="27">
        <v>43.5</v>
      </c>
      <c r="K15" s="13">
        <v>369000</v>
      </c>
      <c r="L15" s="13">
        <v>39000</v>
      </c>
      <c r="M15" s="13">
        <v>533000</v>
      </c>
      <c r="N15" s="13">
        <v>0</v>
      </c>
    </row>
    <row r="16" spans="1:14" x14ac:dyDescent="0.25">
      <c r="A16" s="25">
        <v>45884</v>
      </c>
      <c r="B16" s="46">
        <v>2349.5529999999999</v>
      </c>
      <c r="C16" s="46">
        <v>2732.6460000000002</v>
      </c>
      <c r="D16" s="47">
        <v>5225</v>
      </c>
      <c r="E16" s="47">
        <v>4939</v>
      </c>
      <c r="F16" s="13">
        <f t="shared" si="0"/>
        <v>12276414.424999999</v>
      </c>
      <c r="G16" s="13">
        <f t="shared" si="0"/>
        <v>13496538.594000001</v>
      </c>
      <c r="H16" s="26">
        <v>92</v>
      </c>
      <c r="I16" s="13">
        <v>1912500</v>
      </c>
      <c r="J16" s="27">
        <v>49.5</v>
      </c>
      <c r="K16" s="13">
        <v>421000</v>
      </c>
      <c r="L16" s="13">
        <v>105000</v>
      </c>
      <c r="M16" s="13">
        <v>701000</v>
      </c>
      <c r="N16" s="13">
        <v>76000</v>
      </c>
    </row>
    <row r="17" spans="1:14" x14ac:dyDescent="0.25">
      <c r="A17" s="25">
        <v>45885</v>
      </c>
      <c r="B17" s="46">
        <v>2026.174</v>
      </c>
      <c r="C17" s="46">
        <v>2419.8200000000002</v>
      </c>
      <c r="D17" s="47">
        <v>5225</v>
      </c>
      <c r="E17" s="47">
        <v>4939</v>
      </c>
      <c r="F17" s="13">
        <f>B17*D17</f>
        <v>10586759.15</v>
      </c>
      <c r="G17" s="13">
        <f t="shared" si="0"/>
        <v>11951490.98</v>
      </c>
      <c r="H17" s="26">
        <v>62</v>
      </c>
      <c r="I17" s="13">
        <v>1313000</v>
      </c>
      <c r="J17" s="27">
        <v>64.5</v>
      </c>
      <c r="K17" s="13">
        <v>546000</v>
      </c>
      <c r="L17" s="13">
        <v>60000</v>
      </c>
      <c r="M17" s="13">
        <v>567500</v>
      </c>
      <c r="N17" s="13">
        <v>456000</v>
      </c>
    </row>
    <row r="18" spans="1:14" x14ac:dyDescent="0.25">
      <c r="A18" s="25">
        <v>45886</v>
      </c>
      <c r="B18" s="46">
        <v>1879.69</v>
      </c>
      <c r="C18" s="46">
        <v>3349.509</v>
      </c>
      <c r="D18" s="47">
        <v>5225</v>
      </c>
      <c r="E18" s="47">
        <v>4929</v>
      </c>
      <c r="F18" s="13">
        <f t="shared" si="0"/>
        <v>9821380.25</v>
      </c>
      <c r="G18" s="13">
        <f t="shared" si="0"/>
        <v>16509729.861</v>
      </c>
      <c r="H18" s="26">
        <v>121.75</v>
      </c>
      <c r="I18" s="13">
        <v>2636000</v>
      </c>
      <c r="J18" s="12">
        <v>88.5</v>
      </c>
      <c r="K18" s="13">
        <v>767000</v>
      </c>
      <c r="L18" s="13">
        <v>41000</v>
      </c>
      <c r="M18" s="13">
        <v>386000</v>
      </c>
      <c r="N18" s="13">
        <v>250000</v>
      </c>
    </row>
    <row r="19" spans="1:14" x14ac:dyDescent="0.25">
      <c r="A19" s="25">
        <v>45887</v>
      </c>
      <c r="B19" s="46">
        <v>2510.21</v>
      </c>
      <c r="C19" s="46">
        <v>7282.6019999999999</v>
      </c>
      <c r="D19" s="47">
        <v>5225</v>
      </c>
      <c r="E19" s="47">
        <v>4929</v>
      </c>
      <c r="F19" s="13">
        <f t="shared" si="0"/>
        <v>13115847.25</v>
      </c>
      <c r="G19" s="13">
        <f t="shared" si="0"/>
        <v>35895945.258000001</v>
      </c>
      <c r="H19" s="26">
        <v>31.5</v>
      </c>
      <c r="I19" s="13">
        <v>584000</v>
      </c>
      <c r="J19" s="12">
        <v>114</v>
      </c>
      <c r="K19" s="13">
        <v>892000</v>
      </c>
      <c r="L19" s="13">
        <v>0</v>
      </c>
      <c r="M19" s="13">
        <v>556600</v>
      </c>
      <c r="N19" s="13">
        <v>563000</v>
      </c>
    </row>
    <row r="20" spans="1:14" x14ac:dyDescent="0.25">
      <c r="A20" s="25">
        <v>45888</v>
      </c>
      <c r="B20" s="46">
        <v>2565.2739999999999</v>
      </c>
      <c r="C20" s="46">
        <v>2559.3850000000002</v>
      </c>
      <c r="D20" s="47">
        <v>5225</v>
      </c>
      <c r="E20" s="47">
        <v>4929</v>
      </c>
      <c r="F20" s="13">
        <f t="shared" si="0"/>
        <v>13403556.649999999</v>
      </c>
      <c r="G20" s="13">
        <f t="shared" si="0"/>
        <v>12615208.665000001</v>
      </c>
      <c r="H20" s="26">
        <v>27.25</v>
      </c>
      <c r="I20" s="13">
        <v>507000</v>
      </c>
      <c r="J20" s="12">
        <v>91</v>
      </c>
      <c r="K20" s="13">
        <v>793000</v>
      </c>
      <c r="L20" s="13">
        <v>32000</v>
      </c>
      <c r="M20" s="13">
        <v>494000</v>
      </c>
      <c r="N20" s="13">
        <v>476000</v>
      </c>
    </row>
    <row r="21" spans="1:14" x14ac:dyDescent="0.25">
      <c r="A21" s="25">
        <v>45889</v>
      </c>
      <c r="B21" s="46">
        <v>2130.491</v>
      </c>
      <c r="C21" s="46">
        <v>6062.3159999999998</v>
      </c>
      <c r="D21" s="47">
        <v>5225</v>
      </c>
      <c r="E21" s="47">
        <v>4939</v>
      </c>
      <c r="F21" s="13">
        <f t="shared" si="0"/>
        <v>11131815.475</v>
      </c>
      <c r="G21" s="13">
        <f t="shared" si="0"/>
        <v>29941778.723999999</v>
      </c>
      <c r="H21" s="26">
        <v>91.25</v>
      </c>
      <c r="I21" s="13">
        <v>1927000</v>
      </c>
      <c r="J21" s="12">
        <v>86</v>
      </c>
      <c r="K21" s="13">
        <v>737000</v>
      </c>
      <c r="L21" s="13">
        <v>316000</v>
      </c>
      <c r="M21" s="13">
        <v>788100</v>
      </c>
      <c r="N21" s="13">
        <v>204000</v>
      </c>
    </row>
    <row r="22" spans="1:14" x14ac:dyDescent="0.25">
      <c r="A22" s="25">
        <v>45890</v>
      </c>
      <c r="B22" s="46">
        <v>2111.58</v>
      </c>
      <c r="C22" s="46">
        <v>3084.23</v>
      </c>
      <c r="D22" s="47">
        <v>5225</v>
      </c>
      <c r="E22" s="47">
        <v>4939</v>
      </c>
      <c r="F22" s="13">
        <f t="shared" si="0"/>
        <v>11033005.5</v>
      </c>
      <c r="G22" s="13">
        <f t="shared" si="0"/>
        <v>15233011.970000001</v>
      </c>
      <c r="H22" s="26">
        <v>24.5</v>
      </c>
      <c r="I22" s="13">
        <v>528000</v>
      </c>
      <c r="J22" s="12">
        <v>104</v>
      </c>
      <c r="K22" s="13">
        <v>897000</v>
      </c>
      <c r="L22" s="13">
        <v>16000</v>
      </c>
      <c r="M22" s="13">
        <v>511800</v>
      </c>
      <c r="N22" s="13">
        <v>613000</v>
      </c>
    </row>
    <row r="23" spans="1:14" x14ac:dyDescent="0.25">
      <c r="A23" s="25">
        <v>45891</v>
      </c>
      <c r="B23" s="46">
        <v>2500.4699999999998</v>
      </c>
      <c r="C23" s="46">
        <v>3069.3440000000001</v>
      </c>
      <c r="D23" s="47">
        <v>5225</v>
      </c>
      <c r="E23" s="47">
        <v>4939</v>
      </c>
      <c r="F23" s="13">
        <f t="shared" si="0"/>
        <v>13064955.749999998</v>
      </c>
      <c r="G23" s="13">
        <f t="shared" si="0"/>
        <v>15159490.016000001</v>
      </c>
      <c r="H23" s="26">
        <v>92.25</v>
      </c>
      <c r="I23" s="13">
        <v>1933500</v>
      </c>
      <c r="J23" s="12">
        <v>154</v>
      </c>
      <c r="K23" s="13">
        <v>1233000</v>
      </c>
      <c r="L23" s="13">
        <v>30000</v>
      </c>
      <c r="M23" s="13">
        <v>1233500</v>
      </c>
      <c r="N23" s="13">
        <v>977000</v>
      </c>
    </row>
    <row r="24" spans="1:14" x14ac:dyDescent="0.25">
      <c r="A24" s="25">
        <v>45892</v>
      </c>
      <c r="B24" s="46">
        <v>2076.7669999999998</v>
      </c>
      <c r="C24" s="46">
        <v>2545.65</v>
      </c>
      <c r="D24" s="47">
        <v>5225</v>
      </c>
      <c r="E24" s="47">
        <v>4939</v>
      </c>
      <c r="F24" s="13">
        <f t="shared" si="0"/>
        <v>10851107.574999999</v>
      </c>
      <c r="G24" s="13">
        <f t="shared" si="0"/>
        <v>12572965.35</v>
      </c>
      <c r="H24" s="26">
        <v>147</v>
      </c>
      <c r="I24" s="13">
        <v>2667000</v>
      </c>
      <c r="J24" s="12">
        <v>36.5</v>
      </c>
      <c r="K24" s="13">
        <v>317000</v>
      </c>
      <c r="L24" s="13">
        <v>113000</v>
      </c>
      <c r="M24" s="13">
        <v>765500</v>
      </c>
      <c r="N24" s="13">
        <v>0</v>
      </c>
    </row>
    <row r="25" spans="1:14" x14ac:dyDescent="0.25">
      <c r="A25" s="25">
        <v>45893</v>
      </c>
      <c r="B25" s="46">
        <v>1880.49</v>
      </c>
      <c r="C25" s="46">
        <v>898.00900000000001</v>
      </c>
      <c r="D25" s="47">
        <v>5225</v>
      </c>
      <c r="E25" s="47">
        <v>4939</v>
      </c>
      <c r="F25" s="13">
        <f t="shared" si="0"/>
        <v>9825560.25</v>
      </c>
      <c r="G25" s="13">
        <f t="shared" si="0"/>
        <v>4435266.4510000004</v>
      </c>
      <c r="H25" s="26">
        <v>81.75</v>
      </c>
      <c r="I25" s="13">
        <v>1784500</v>
      </c>
      <c r="J25" s="12">
        <v>82.5</v>
      </c>
      <c r="K25" s="13">
        <v>714000</v>
      </c>
      <c r="L25" s="13">
        <v>56000</v>
      </c>
      <c r="M25" s="13">
        <v>714200</v>
      </c>
      <c r="N25" s="13">
        <v>654500</v>
      </c>
    </row>
    <row r="26" spans="1:14" x14ac:dyDescent="0.25">
      <c r="A26" s="25">
        <v>45894</v>
      </c>
      <c r="B26" s="46">
        <v>2144.9929999999999</v>
      </c>
      <c r="C26" s="46">
        <v>4133.3779999999997</v>
      </c>
      <c r="D26" s="47">
        <v>5225</v>
      </c>
      <c r="E26" s="47">
        <v>4939</v>
      </c>
      <c r="F26" s="13">
        <f t="shared" si="0"/>
        <v>11207588.424999999</v>
      </c>
      <c r="G26" s="13">
        <f t="shared" si="0"/>
        <v>20414753.941999998</v>
      </c>
      <c r="H26" s="26">
        <v>108</v>
      </c>
      <c r="I26" s="13">
        <v>2268000</v>
      </c>
      <c r="J26" s="12">
        <v>157.5</v>
      </c>
      <c r="K26" s="13">
        <v>1260000</v>
      </c>
      <c r="L26" s="13">
        <v>64000</v>
      </c>
      <c r="M26" s="13">
        <v>800500</v>
      </c>
      <c r="N26" s="13">
        <v>461000</v>
      </c>
    </row>
    <row r="27" spans="1:14" x14ac:dyDescent="0.25">
      <c r="A27" s="25">
        <v>45895</v>
      </c>
      <c r="B27" s="46">
        <v>2154.58</v>
      </c>
      <c r="C27" s="46">
        <v>3439.3960000000002</v>
      </c>
      <c r="D27" s="47">
        <v>5225</v>
      </c>
      <c r="E27" s="47">
        <v>4939</v>
      </c>
      <c r="F27" s="13">
        <f t="shared" si="0"/>
        <v>11257680.5</v>
      </c>
      <c r="G27" s="13">
        <f t="shared" si="0"/>
        <v>16987176.844000001</v>
      </c>
      <c r="H27" s="26">
        <v>22.5</v>
      </c>
      <c r="I27" s="13">
        <v>430500</v>
      </c>
      <c r="J27" s="12">
        <v>15</v>
      </c>
      <c r="K27" s="13">
        <v>133000</v>
      </c>
      <c r="L27" s="13">
        <v>32000</v>
      </c>
      <c r="M27" s="13">
        <v>678500</v>
      </c>
      <c r="N27" s="13">
        <v>0</v>
      </c>
    </row>
    <row r="28" spans="1:14" x14ac:dyDescent="0.25">
      <c r="A28" s="25">
        <v>45896</v>
      </c>
      <c r="B28" s="46">
        <v>1861.1980000000001</v>
      </c>
      <c r="C28" s="46">
        <v>3279.18</v>
      </c>
      <c r="D28" s="47">
        <v>5225</v>
      </c>
      <c r="E28" s="47">
        <v>4939</v>
      </c>
      <c r="F28" s="13">
        <f t="shared" si="0"/>
        <v>9724759.5500000007</v>
      </c>
      <c r="G28" s="13">
        <f t="shared" si="0"/>
        <v>16195870.02</v>
      </c>
      <c r="H28" s="26">
        <v>69.25</v>
      </c>
      <c r="I28" s="13">
        <v>1434000</v>
      </c>
      <c r="J28" s="12">
        <v>49</v>
      </c>
      <c r="K28" s="13">
        <v>525000</v>
      </c>
      <c r="L28" s="13">
        <v>169000</v>
      </c>
      <c r="M28" s="13">
        <v>802000</v>
      </c>
      <c r="N28" s="13">
        <v>514000</v>
      </c>
    </row>
    <row r="29" spans="1:14" x14ac:dyDescent="0.25">
      <c r="A29" s="25">
        <v>45897</v>
      </c>
      <c r="B29" s="46">
        <v>1965.95</v>
      </c>
      <c r="C29" s="46">
        <v>3094.127</v>
      </c>
      <c r="D29" s="47">
        <v>5225</v>
      </c>
      <c r="E29" s="47">
        <v>4939</v>
      </c>
      <c r="F29" s="13">
        <f t="shared" si="0"/>
        <v>10272088.75</v>
      </c>
      <c r="G29" s="13">
        <f t="shared" si="0"/>
        <v>15281893.253</v>
      </c>
      <c r="H29" s="26">
        <v>71.75</v>
      </c>
      <c r="I29" s="13">
        <v>1430300</v>
      </c>
      <c r="J29" s="12">
        <v>61.5</v>
      </c>
      <c r="K29" s="13">
        <v>627000</v>
      </c>
      <c r="L29" s="13">
        <v>54000</v>
      </c>
      <c r="M29" s="13">
        <v>785000</v>
      </c>
      <c r="N29" s="13">
        <v>0</v>
      </c>
    </row>
    <row r="30" spans="1:14" x14ac:dyDescent="0.25">
      <c r="A30" s="25">
        <v>45898</v>
      </c>
      <c r="B30" s="46">
        <v>2605.9270000000001</v>
      </c>
      <c r="C30" s="46">
        <v>3713.6460000000002</v>
      </c>
      <c r="D30" s="47">
        <v>5225</v>
      </c>
      <c r="E30" s="47">
        <v>4939</v>
      </c>
      <c r="F30" s="13">
        <f t="shared" si="0"/>
        <v>13615968.575000001</v>
      </c>
      <c r="G30" s="13">
        <f t="shared" si="0"/>
        <v>18341697.594000001</v>
      </c>
      <c r="H30" s="26">
        <v>51.5</v>
      </c>
      <c r="I30" s="13">
        <v>1106000</v>
      </c>
      <c r="J30" s="12">
        <v>105</v>
      </c>
      <c r="K30" s="13">
        <v>811000</v>
      </c>
      <c r="L30" s="13">
        <v>76000</v>
      </c>
      <c r="M30" s="13">
        <v>1210000</v>
      </c>
      <c r="N30" s="13">
        <v>66500</v>
      </c>
    </row>
    <row r="31" spans="1:14" x14ac:dyDescent="0.25">
      <c r="A31" s="25">
        <v>45899</v>
      </c>
      <c r="B31" s="46">
        <v>2068.6860000000001</v>
      </c>
      <c r="C31" s="46">
        <v>2770.8270000000002</v>
      </c>
      <c r="D31" s="47">
        <v>5225</v>
      </c>
      <c r="E31" s="47">
        <v>4939</v>
      </c>
      <c r="F31" s="13">
        <f t="shared" si="0"/>
        <v>10808884.350000001</v>
      </c>
      <c r="G31" s="13">
        <f t="shared" si="0"/>
        <v>13685114.553000001</v>
      </c>
      <c r="H31" s="26">
        <v>28</v>
      </c>
      <c r="I31" s="13">
        <v>567500</v>
      </c>
      <c r="J31" s="12">
        <v>70</v>
      </c>
      <c r="K31" s="13">
        <v>609000</v>
      </c>
      <c r="L31" s="13">
        <v>53000</v>
      </c>
      <c r="M31" s="13">
        <v>992000</v>
      </c>
      <c r="N31" s="13">
        <v>305000</v>
      </c>
    </row>
    <row r="32" spans="1:14" x14ac:dyDescent="0.25">
      <c r="A32" s="25">
        <v>45900</v>
      </c>
      <c r="B32" s="46">
        <v>2159.6350000000002</v>
      </c>
      <c r="C32" s="46">
        <v>1312.6869999999999</v>
      </c>
      <c r="D32" s="47">
        <v>5225</v>
      </c>
      <c r="E32" s="47">
        <v>4939</v>
      </c>
      <c r="F32" s="13">
        <f t="shared" ref="F32:G32" si="1">B32*D32</f>
        <v>11284092.875000002</v>
      </c>
      <c r="G32" s="13">
        <f t="shared" si="1"/>
        <v>6483361.0929999994</v>
      </c>
      <c r="H32" s="26">
        <v>24.75</v>
      </c>
      <c r="I32" s="13">
        <v>505000</v>
      </c>
      <c r="J32" s="12">
        <v>82</v>
      </c>
      <c r="K32" s="13">
        <v>715000</v>
      </c>
      <c r="L32" s="13">
        <v>23000</v>
      </c>
      <c r="M32" s="13">
        <v>502500</v>
      </c>
      <c r="N32" s="13">
        <v>239500</v>
      </c>
    </row>
    <row r="33" spans="1:14" x14ac:dyDescent="0.25">
      <c r="A33" s="15"/>
      <c r="B33" s="37">
        <f>SUM(B1:B32)</f>
        <v>69655.850999999995</v>
      </c>
      <c r="C33" s="37">
        <f>SUM(C2:C32)</f>
        <v>100284.63899999997</v>
      </c>
      <c r="D33" s="38"/>
      <c r="E33" s="38"/>
      <c r="F33" s="39">
        <f>SUM(F2:F32)</f>
        <v>363951821.47500008</v>
      </c>
      <c r="G33" s="39">
        <f>SUM(G2:G32)</f>
        <v>494703278.08099991</v>
      </c>
      <c r="H33" s="39">
        <f>SUM(H2:H32)</f>
        <v>2224.5</v>
      </c>
      <c r="I33" s="39">
        <f t="shared" ref="I33" si="2">SUM(I1:I32)</f>
        <v>45437200</v>
      </c>
      <c r="J33" s="39">
        <f>SUM(J1:J32)</f>
        <v>2865</v>
      </c>
      <c r="K33" s="39">
        <f>SUM(K1:K32)</f>
        <v>24518000</v>
      </c>
      <c r="L33" s="39">
        <f>SUM(L1:L32)</f>
        <v>1859000</v>
      </c>
      <c r="M33" s="38">
        <f>SUM(M2:M32)</f>
        <v>22045000</v>
      </c>
      <c r="N33" s="38">
        <f>SUM(N2:N32)</f>
        <v>14400800</v>
      </c>
    </row>
    <row r="34" spans="1:14" x14ac:dyDescent="0.25">
      <c r="E34" t="s">
        <v>62</v>
      </c>
    </row>
    <row r="35" spans="1:14" x14ac:dyDescent="0.25">
      <c r="A35" t="s">
        <v>91</v>
      </c>
      <c r="B35">
        <v>64500</v>
      </c>
      <c r="C35">
        <v>109200</v>
      </c>
      <c r="H35">
        <v>2510</v>
      </c>
      <c r="J35">
        <v>2300</v>
      </c>
      <c r="M35" s="63">
        <v>23000000</v>
      </c>
    </row>
  </sheetData>
  <pageMargins left="0.7" right="0.7" top="0.75" bottom="0.75" header="0.3" footer="0.3"/>
  <pageSetup orientation="portrait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N35"/>
  <sheetViews>
    <sheetView workbookViewId="0">
      <selection activeCell="H22" sqref="H22"/>
    </sheetView>
  </sheetViews>
  <sheetFormatPr defaultRowHeight="15" x14ac:dyDescent="0.25"/>
  <cols>
    <col min="1" max="1" width="9.42578125" bestFit="1" customWidth="1"/>
    <col min="2" max="2" width="9.85546875" customWidth="1"/>
    <col min="3" max="3" width="10.5703125" customWidth="1"/>
    <col min="4" max="4" width="7.140625" customWidth="1"/>
    <col min="6" max="6" width="6.85546875" customWidth="1"/>
    <col min="7" max="7" width="6.7109375" customWidth="1"/>
    <col min="8" max="8" width="7.5703125" customWidth="1"/>
    <col min="9" max="9" width="10" customWidth="1"/>
    <col min="10" max="10" width="6.28515625" customWidth="1"/>
    <col min="11" max="11" width="13.140625" customWidth="1"/>
    <col min="12" max="12" width="8.85546875" customWidth="1"/>
    <col min="13" max="13" width="10.85546875" customWidth="1"/>
    <col min="14" max="14" width="10" bestFit="1" customWidth="1"/>
  </cols>
  <sheetData>
    <row r="1" spans="1:14" x14ac:dyDescent="0.25">
      <c r="A1" s="16" t="s">
        <v>92</v>
      </c>
      <c r="B1" s="17" t="s">
        <v>1</v>
      </c>
      <c r="C1" s="17" t="s">
        <v>2</v>
      </c>
      <c r="D1" s="18" t="s">
        <v>1</v>
      </c>
      <c r="E1" s="18" t="s">
        <v>2</v>
      </c>
      <c r="F1" s="19" t="s">
        <v>1</v>
      </c>
      <c r="G1" s="19" t="s">
        <v>2</v>
      </c>
      <c r="H1" s="19" t="s">
        <v>9</v>
      </c>
      <c r="I1" s="18" t="s">
        <v>10</v>
      </c>
      <c r="J1" s="16" t="s">
        <v>11</v>
      </c>
      <c r="K1" s="18" t="s">
        <v>10</v>
      </c>
      <c r="L1" s="18" t="s">
        <v>4</v>
      </c>
      <c r="M1" s="18" t="s">
        <v>67</v>
      </c>
      <c r="N1" s="18" t="s">
        <v>52</v>
      </c>
    </row>
    <row r="2" spans="1:14" x14ac:dyDescent="0.25">
      <c r="A2" s="25">
        <v>45901</v>
      </c>
      <c r="B2" s="46">
        <v>2536.6019999999999</v>
      </c>
      <c r="C2" s="46">
        <v>3562.7849999999999</v>
      </c>
      <c r="D2" s="47">
        <v>5225</v>
      </c>
      <c r="E2" s="47">
        <v>4939</v>
      </c>
      <c r="F2" s="13">
        <f t="shared" ref="F2:G31" si="0">B2*D2</f>
        <v>13253745.449999999</v>
      </c>
      <c r="G2" s="13">
        <f t="shared" si="0"/>
        <v>17596595.114999998</v>
      </c>
      <c r="H2" s="31">
        <v>23.25</v>
      </c>
      <c r="I2" s="13">
        <v>485000</v>
      </c>
      <c r="J2" s="27">
        <v>61</v>
      </c>
      <c r="K2" s="13">
        <v>528000</v>
      </c>
      <c r="L2" s="13">
        <v>8000</v>
      </c>
      <c r="M2" s="13">
        <v>672600</v>
      </c>
      <c r="N2" s="13">
        <v>221500</v>
      </c>
    </row>
    <row r="3" spans="1:14" x14ac:dyDescent="0.25">
      <c r="A3" s="25">
        <v>45902</v>
      </c>
      <c r="B3" s="46">
        <v>1754.059</v>
      </c>
      <c r="C3" s="46">
        <v>2911.8020000000001</v>
      </c>
      <c r="D3" s="47">
        <v>5185</v>
      </c>
      <c r="E3" s="47">
        <v>4939</v>
      </c>
      <c r="F3" s="13">
        <f t="shared" si="0"/>
        <v>9094795.9149999991</v>
      </c>
      <c r="G3" s="13">
        <f t="shared" si="0"/>
        <v>14381390.078</v>
      </c>
      <c r="H3" s="26">
        <v>65</v>
      </c>
      <c r="I3" s="13">
        <v>1383500</v>
      </c>
      <c r="J3" s="27">
        <v>39.5</v>
      </c>
      <c r="K3" s="13">
        <v>345000</v>
      </c>
      <c r="L3" s="13">
        <v>161000</v>
      </c>
      <c r="M3" s="13">
        <v>583000</v>
      </c>
      <c r="N3" s="13">
        <v>0</v>
      </c>
    </row>
    <row r="4" spans="1:14" x14ac:dyDescent="0.25">
      <c r="A4" s="25">
        <v>45903</v>
      </c>
      <c r="B4" s="46">
        <v>1847.027</v>
      </c>
      <c r="C4" s="46">
        <v>4978.2569999999996</v>
      </c>
      <c r="D4" s="47">
        <v>5185</v>
      </c>
      <c r="E4" s="47">
        <v>4939</v>
      </c>
      <c r="F4" s="13">
        <f t="shared" si="0"/>
        <v>9576834.995000001</v>
      </c>
      <c r="G4" s="13">
        <f t="shared" si="0"/>
        <v>24587611.322999999</v>
      </c>
      <c r="H4" s="26">
        <v>47.5</v>
      </c>
      <c r="I4" s="13">
        <v>950500</v>
      </c>
      <c r="J4" s="27">
        <v>52</v>
      </c>
      <c r="K4" s="13">
        <v>450000</v>
      </c>
      <c r="L4" s="13">
        <v>46000</v>
      </c>
      <c r="M4" s="13">
        <v>928000</v>
      </c>
      <c r="N4" s="13">
        <v>461000</v>
      </c>
    </row>
    <row r="5" spans="1:14" x14ac:dyDescent="0.25">
      <c r="A5" s="25">
        <v>45904</v>
      </c>
      <c r="B5" s="46">
        <v>1991.2629999999999</v>
      </c>
      <c r="C5" s="46">
        <v>3369.77</v>
      </c>
      <c r="D5" s="47">
        <v>5185</v>
      </c>
      <c r="E5" s="47">
        <v>4939</v>
      </c>
      <c r="F5" s="13">
        <f t="shared" si="0"/>
        <v>10324698.654999999</v>
      </c>
      <c r="G5" s="13">
        <f t="shared" si="0"/>
        <v>16643294.029999999</v>
      </c>
      <c r="H5" s="26">
        <v>53</v>
      </c>
      <c r="I5" s="13">
        <v>1136500</v>
      </c>
      <c r="J5" s="27">
        <v>52</v>
      </c>
      <c r="K5" s="13">
        <v>450000</v>
      </c>
      <c r="L5" s="13">
        <v>55000</v>
      </c>
      <c r="M5" s="13">
        <v>567000</v>
      </c>
      <c r="N5" s="13">
        <v>174000</v>
      </c>
    </row>
    <row r="6" spans="1:14" x14ac:dyDescent="0.25">
      <c r="A6" s="25">
        <v>45905</v>
      </c>
      <c r="B6" s="46">
        <v>2764.8919999999998</v>
      </c>
      <c r="C6" s="46">
        <v>2789.922</v>
      </c>
      <c r="D6" s="47">
        <v>5185</v>
      </c>
      <c r="E6" s="47">
        <v>4939</v>
      </c>
      <c r="F6" s="13">
        <f t="shared" si="0"/>
        <v>14335965.02</v>
      </c>
      <c r="G6" s="13">
        <f t="shared" si="0"/>
        <v>13779424.757999999</v>
      </c>
      <c r="H6" s="26">
        <v>47.25</v>
      </c>
      <c r="I6" s="13">
        <v>1036000</v>
      </c>
      <c r="J6" s="27">
        <v>85.5</v>
      </c>
      <c r="K6" s="13">
        <v>739000</v>
      </c>
      <c r="L6" s="13">
        <v>101000</v>
      </c>
      <c r="M6" s="13">
        <v>824500</v>
      </c>
      <c r="N6" s="13">
        <v>770000</v>
      </c>
    </row>
    <row r="7" spans="1:14" x14ac:dyDescent="0.25">
      <c r="A7" s="25">
        <v>45906</v>
      </c>
      <c r="B7" s="46">
        <v>3201.5419999999999</v>
      </c>
      <c r="C7" s="46">
        <v>3374.7640000000001</v>
      </c>
      <c r="D7" s="47">
        <v>5185</v>
      </c>
      <c r="E7" s="47">
        <v>4939</v>
      </c>
      <c r="F7" s="13">
        <f t="shared" si="0"/>
        <v>16599995.27</v>
      </c>
      <c r="G7" s="13">
        <f t="shared" si="0"/>
        <v>16667959.396</v>
      </c>
      <c r="H7" s="26">
        <v>30.25</v>
      </c>
      <c r="I7" s="13">
        <v>599000</v>
      </c>
      <c r="J7" s="27">
        <v>40</v>
      </c>
      <c r="K7" s="13">
        <v>344000</v>
      </c>
      <c r="L7" s="13">
        <v>46000</v>
      </c>
      <c r="M7" s="13">
        <v>1161000</v>
      </c>
      <c r="N7" s="13">
        <v>0</v>
      </c>
    </row>
    <row r="8" spans="1:14" x14ac:dyDescent="0.25">
      <c r="A8" s="25">
        <v>45907</v>
      </c>
      <c r="B8" s="46">
        <v>2226.6390000000001</v>
      </c>
      <c r="C8" s="46">
        <v>1312.242</v>
      </c>
      <c r="D8" s="47">
        <v>5185</v>
      </c>
      <c r="E8" s="47">
        <v>4939</v>
      </c>
      <c r="F8" s="13">
        <f t="shared" si="0"/>
        <v>11545123.215</v>
      </c>
      <c r="G8" s="13">
        <f t="shared" si="0"/>
        <v>6481163.2379999999</v>
      </c>
      <c r="H8" s="26">
        <v>75</v>
      </c>
      <c r="I8" s="13">
        <v>1615000</v>
      </c>
      <c r="J8" s="27">
        <v>27.5</v>
      </c>
      <c r="K8" s="13">
        <v>239000</v>
      </c>
      <c r="L8" s="13">
        <v>279000</v>
      </c>
      <c r="M8" s="13">
        <v>726000</v>
      </c>
      <c r="N8" s="13">
        <v>0</v>
      </c>
    </row>
    <row r="9" spans="1:14" x14ac:dyDescent="0.25">
      <c r="A9" s="25">
        <v>45908</v>
      </c>
      <c r="B9" s="46">
        <v>2348.8539999999998</v>
      </c>
      <c r="C9" s="46">
        <v>1968.7739999999999</v>
      </c>
      <c r="D9" s="47">
        <v>5185</v>
      </c>
      <c r="E9" s="47">
        <v>4939</v>
      </c>
      <c r="F9" s="13">
        <f t="shared" si="0"/>
        <v>12178807.989999998</v>
      </c>
      <c r="G9" s="13">
        <f t="shared" si="0"/>
        <v>9723774.7860000003</v>
      </c>
      <c r="H9" s="26">
        <v>49.25</v>
      </c>
      <c r="I9" s="13">
        <v>1016500</v>
      </c>
      <c r="J9" s="27">
        <v>58.6</v>
      </c>
      <c r="K9" s="13">
        <v>502000</v>
      </c>
      <c r="L9" s="13">
        <v>46000</v>
      </c>
      <c r="M9" s="13">
        <v>597500</v>
      </c>
      <c r="N9" s="13">
        <v>76000</v>
      </c>
    </row>
    <row r="10" spans="1:14" x14ac:dyDescent="0.25">
      <c r="A10" s="25">
        <v>45909</v>
      </c>
      <c r="B10" s="46">
        <v>2341.107</v>
      </c>
      <c r="C10" s="46">
        <v>5741.3320000000003</v>
      </c>
      <c r="D10" s="47">
        <v>5185</v>
      </c>
      <c r="E10" s="47">
        <v>4939</v>
      </c>
      <c r="F10" s="13">
        <f t="shared" si="0"/>
        <v>12138639.795</v>
      </c>
      <c r="G10" s="13">
        <f t="shared" si="0"/>
        <v>28356438.748000003</v>
      </c>
      <c r="H10" s="26">
        <v>95</v>
      </c>
      <c r="I10" s="13">
        <v>1473000</v>
      </c>
      <c r="J10" s="27">
        <v>36.5</v>
      </c>
      <c r="K10" s="13">
        <v>317000</v>
      </c>
      <c r="L10" s="13">
        <v>116000</v>
      </c>
      <c r="M10" s="13">
        <v>607000</v>
      </c>
      <c r="N10" s="13">
        <v>0</v>
      </c>
    </row>
    <row r="11" spans="1:14" x14ac:dyDescent="0.25">
      <c r="A11" s="25">
        <v>45910</v>
      </c>
      <c r="B11" s="46">
        <v>2385.8020000000001</v>
      </c>
      <c r="C11" s="46">
        <v>2841.73</v>
      </c>
      <c r="D11" s="47">
        <v>5185</v>
      </c>
      <c r="E11" s="47">
        <v>4939</v>
      </c>
      <c r="F11" s="13">
        <f t="shared" si="0"/>
        <v>12370383.370000001</v>
      </c>
      <c r="G11" s="13">
        <f t="shared" si="0"/>
        <v>14035304.470000001</v>
      </c>
      <c r="H11" s="26">
        <v>87.25</v>
      </c>
      <c r="I11" s="13">
        <v>1860500</v>
      </c>
      <c r="J11" s="27">
        <v>42.5</v>
      </c>
      <c r="K11" s="13">
        <v>370000</v>
      </c>
      <c r="L11" s="13">
        <v>90000</v>
      </c>
      <c r="M11" s="13">
        <v>752500</v>
      </c>
      <c r="N11" s="13">
        <v>0</v>
      </c>
    </row>
    <row r="12" spans="1:14" x14ac:dyDescent="0.25">
      <c r="A12" s="25">
        <v>45911</v>
      </c>
      <c r="B12" s="46">
        <v>2261.96</v>
      </c>
      <c r="C12" s="46">
        <v>4287.7330000000002</v>
      </c>
      <c r="D12" s="47">
        <v>5185</v>
      </c>
      <c r="E12" s="47">
        <v>4939</v>
      </c>
      <c r="F12" s="13">
        <f t="shared" si="0"/>
        <v>11728262.6</v>
      </c>
      <c r="G12" s="13">
        <f t="shared" si="0"/>
        <v>21177113.287</v>
      </c>
      <c r="H12" s="26">
        <v>70</v>
      </c>
      <c r="I12" s="51">
        <v>1492000</v>
      </c>
      <c r="J12" s="27">
        <v>33.5</v>
      </c>
      <c r="K12" s="13">
        <v>292000</v>
      </c>
      <c r="L12" s="13">
        <v>23000</v>
      </c>
      <c r="M12" s="13">
        <v>476000</v>
      </c>
      <c r="N12" s="13">
        <v>0</v>
      </c>
    </row>
    <row r="13" spans="1:14" x14ac:dyDescent="0.25">
      <c r="A13" s="25">
        <v>45912</v>
      </c>
      <c r="B13" s="46">
        <v>2670.2130000000002</v>
      </c>
      <c r="C13" s="46">
        <v>4753.2160000000003</v>
      </c>
      <c r="D13" s="47">
        <v>5185</v>
      </c>
      <c r="E13" s="47">
        <v>4939</v>
      </c>
      <c r="F13" s="13">
        <f t="shared" si="0"/>
        <v>13845054.405000001</v>
      </c>
      <c r="G13" s="13">
        <f t="shared" si="0"/>
        <v>23476133.824000001</v>
      </c>
      <c r="H13" s="26">
        <v>89</v>
      </c>
      <c r="I13" s="13">
        <v>1923000</v>
      </c>
      <c r="J13" s="27">
        <v>134.5</v>
      </c>
      <c r="K13" s="13">
        <v>963000</v>
      </c>
      <c r="L13" s="13">
        <v>15000</v>
      </c>
      <c r="M13" s="13">
        <v>868000</v>
      </c>
      <c r="N13" s="13">
        <v>0</v>
      </c>
    </row>
    <row r="14" spans="1:14" x14ac:dyDescent="0.25">
      <c r="A14" s="25">
        <v>45913</v>
      </c>
      <c r="B14" s="46">
        <v>2810.9450000000002</v>
      </c>
      <c r="C14" s="46">
        <v>3796.99</v>
      </c>
      <c r="D14" s="47">
        <v>5185</v>
      </c>
      <c r="E14" s="47">
        <v>4939</v>
      </c>
      <c r="F14" s="13">
        <f t="shared" si="0"/>
        <v>14574749.825000001</v>
      </c>
      <c r="G14" s="13">
        <f t="shared" si="0"/>
        <v>18753333.609999999</v>
      </c>
      <c r="H14" s="26">
        <v>104.25</v>
      </c>
      <c r="I14" s="13">
        <v>2291000</v>
      </c>
      <c r="J14" s="27">
        <v>24.5</v>
      </c>
      <c r="K14" s="13">
        <v>211000</v>
      </c>
      <c r="L14" s="13">
        <v>78000</v>
      </c>
      <c r="M14" s="13">
        <v>412000</v>
      </c>
      <c r="N14" s="13">
        <v>274500</v>
      </c>
    </row>
    <row r="15" spans="1:14" x14ac:dyDescent="0.25">
      <c r="A15" s="25">
        <v>45914</v>
      </c>
      <c r="B15" s="46">
        <v>2400.779</v>
      </c>
      <c r="C15" s="46">
        <v>1805.232</v>
      </c>
      <c r="D15" s="47">
        <v>5185</v>
      </c>
      <c r="E15" s="47">
        <v>4939</v>
      </c>
      <c r="F15" s="13">
        <f t="shared" si="0"/>
        <v>12448039.115</v>
      </c>
      <c r="G15" s="13">
        <f t="shared" si="0"/>
        <v>8916040.8479999993</v>
      </c>
      <c r="H15" s="13">
        <v>106</v>
      </c>
      <c r="I15" s="13">
        <v>2203000</v>
      </c>
      <c r="J15" s="27">
        <v>75.5</v>
      </c>
      <c r="K15" s="13">
        <v>663000</v>
      </c>
      <c r="L15" s="13">
        <v>53000</v>
      </c>
      <c r="M15" s="13">
        <v>606000</v>
      </c>
      <c r="N15" s="13">
        <v>545000</v>
      </c>
    </row>
    <row r="16" spans="1:14" x14ac:dyDescent="0.25">
      <c r="A16" s="25">
        <v>45915</v>
      </c>
      <c r="B16" s="46">
        <v>3372.9540000000002</v>
      </c>
      <c r="C16" s="46">
        <v>4779.3670000000002</v>
      </c>
      <c r="D16" s="47">
        <v>5185</v>
      </c>
      <c r="E16" s="47">
        <v>4939</v>
      </c>
      <c r="F16" s="13">
        <f t="shared" si="0"/>
        <v>17488766.490000002</v>
      </c>
      <c r="G16" s="13">
        <f t="shared" si="0"/>
        <v>23605293.613000002</v>
      </c>
      <c r="H16" s="26">
        <v>72.25</v>
      </c>
      <c r="I16" s="13">
        <v>1512500</v>
      </c>
      <c r="J16" s="27">
        <v>68.5</v>
      </c>
      <c r="K16" s="13">
        <v>580000</v>
      </c>
      <c r="L16" s="13">
        <v>32000</v>
      </c>
      <c r="M16" s="13">
        <v>500000</v>
      </c>
      <c r="N16" s="13">
        <v>221500</v>
      </c>
    </row>
    <row r="17" spans="1:14" x14ac:dyDescent="0.25">
      <c r="A17" s="25">
        <v>45916</v>
      </c>
      <c r="B17" s="46">
        <v>2085.4699999999998</v>
      </c>
      <c r="C17" s="46">
        <v>3035.6959999999999</v>
      </c>
      <c r="D17" s="47">
        <v>5185</v>
      </c>
      <c r="E17" s="47">
        <v>4939</v>
      </c>
      <c r="F17" s="13">
        <f>B17*D17</f>
        <v>10813161.949999999</v>
      </c>
      <c r="G17" s="13">
        <f t="shared" si="0"/>
        <v>14993302.544</v>
      </c>
      <c r="H17" s="26">
        <v>32.5</v>
      </c>
      <c r="I17" s="13">
        <v>658000</v>
      </c>
      <c r="J17" s="27">
        <v>39.5</v>
      </c>
      <c r="K17" s="13">
        <v>345000</v>
      </c>
      <c r="L17" s="13">
        <v>46000</v>
      </c>
      <c r="M17" s="13">
        <v>580000</v>
      </c>
      <c r="N17" s="13">
        <v>254000</v>
      </c>
    </row>
    <row r="18" spans="1:14" x14ac:dyDescent="0.25">
      <c r="A18" s="25">
        <v>45917</v>
      </c>
      <c r="B18" s="46">
        <v>2292.6799999999998</v>
      </c>
      <c r="C18" s="46">
        <v>3746.8240000000001</v>
      </c>
      <c r="D18" s="47">
        <v>5185</v>
      </c>
      <c r="E18" s="47">
        <v>4929</v>
      </c>
      <c r="F18" s="13">
        <f t="shared" si="0"/>
        <v>11887545.799999999</v>
      </c>
      <c r="G18" s="13">
        <f t="shared" si="0"/>
        <v>18468095.495999999</v>
      </c>
      <c r="H18" s="26">
        <v>76.25</v>
      </c>
      <c r="I18" s="13">
        <v>1513000</v>
      </c>
      <c r="J18" s="12">
        <v>101.5</v>
      </c>
      <c r="K18" s="13">
        <v>871000</v>
      </c>
      <c r="L18" s="13">
        <v>53000</v>
      </c>
      <c r="M18" s="13">
        <v>785000</v>
      </c>
      <c r="N18" s="13">
        <v>23000</v>
      </c>
    </row>
    <row r="19" spans="1:14" x14ac:dyDescent="0.25">
      <c r="A19" s="25">
        <v>45918</v>
      </c>
      <c r="B19" s="46">
        <v>2072.7530000000002</v>
      </c>
      <c r="C19" s="46">
        <v>4542.2160000000003</v>
      </c>
      <c r="D19" s="47">
        <v>5185</v>
      </c>
      <c r="E19" s="47">
        <v>4929</v>
      </c>
      <c r="F19" s="13">
        <f t="shared" si="0"/>
        <v>10747224.305000002</v>
      </c>
      <c r="G19" s="13">
        <f t="shared" si="0"/>
        <v>22388582.664000001</v>
      </c>
      <c r="H19" s="26">
        <v>55.25</v>
      </c>
      <c r="I19" s="13">
        <v>1115000</v>
      </c>
      <c r="J19" s="12">
        <v>48.5</v>
      </c>
      <c r="K19" s="13">
        <v>423000</v>
      </c>
      <c r="L19" s="13">
        <v>60000</v>
      </c>
      <c r="M19" s="13">
        <v>473000</v>
      </c>
      <c r="N19" s="13">
        <v>128000</v>
      </c>
    </row>
    <row r="20" spans="1:14" x14ac:dyDescent="0.25">
      <c r="A20" s="25">
        <v>45919</v>
      </c>
      <c r="B20" s="46">
        <v>2564.4659999999999</v>
      </c>
      <c r="C20" s="46">
        <v>2674.5360000000001</v>
      </c>
      <c r="D20" s="47">
        <v>5185</v>
      </c>
      <c r="E20" s="47">
        <v>4929</v>
      </c>
      <c r="F20" s="13">
        <f t="shared" si="0"/>
        <v>13296756.209999999</v>
      </c>
      <c r="G20" s="13">
        <f t="shared" si="0"/>
        <v>13182787.944</v>
      </c>
      <c r="H20" s="26">
        <v>32.25</v>
      </c>
      <c r="I20" s="13">
        <v>781500</v>
      </c>
      <c r="J20" s="12">
        <v>67</v>
      </c>
      <c r="K20" s="13">
        <v>581000</v>
      </c>
      <c r="L20" s="13">
        <v>54000</v>
      </c>
      <c r="M20" s="13">
        <v>837000</v>
      </c>
      <c r="N20" s="13">
        <v>613000</v>
      </c>
    </row>
    <row r="21" spans="1:14" x14ac:dyDescent="0.25">
      <c r="A21" s="25">
        <v>45920</v>
      </c>
      <c r="B21" s="46">
        <v>1678.0160000000001</v>
      </c>
      <c r="C21" s="46">
        <v>3477.136</v>
      </c>
      <c r="D21" s="47">
        <v>5185</v>
      </c>
      <c r="E21" s="47">
        <v>4939</v>
      </c>
      <c r="F21" s="13">
        <f t="shared" si="0"/>
        <v>8700512.9600000009</v>
      </c>
      <c r="G21" s="13">
        <f t="shared" si="0"/>
        <v>17173574.704</v>
      </c>
      <c r="H21" s="26">
        <v>36.25</v>
      </c>
      <c r="I21" s="13">
        <v>728500</v>
      </c>
      <c r="J21" s="12">
        <v>197.5</v>
      </c>
      <c r="K21" s="13">
        <v>1595000</v>
      </c>
      <c r="L21" s="13">
        <v>38000</v>
      </c>
      <c r="M21" s="13">
        <v>726500</v>
      </c>
      <c r="N21" s="13">
        <v>578000</v>
      </c>
    </row>
    <row r="22" spans="1:14" x14ac:dyDescent="0.25">
      <c r="A22" s="25">
        <v>45921</v>
      </c>
      <c r="B22" s="46">
        <v>2022.0830000000001</v>
      </c>
      <c r="C22" s="46">
        <v>1401.47</v>
      </c>
      <c r="D22" s="47">
        <v>5185</v>
      </c>
      <c r="E22" s="47">
        <v>4939</v>
      </c>
      <c r="F22" s="13">
        <f t="shared" si="0"/>
        <v>10484500.355</v>
      </c>
      <c r="G22" s="13">
        <f t="shared" si="0"/>
        <v>6921860.3300000001</v>
      </c>
      <c r="H22" s="26">
        <v>124.5</v>
      </c>
      <c r="I22" s="13">
        <v>2726500</v>
      </c>
      <c r="J22" s="12">
        <v>54.5</v>
      </c>
      <c r="K22" s="13">
        <v>476000</v>
      </c>
      <c r="L22" s="13">
        <v>38000</v>
      </c>
      <c r="M22" s="13">
        <v>581000</v>
      </c>
      <c r="N22" s="13">
        <v>52500</v>
      </c>
    </row>
    <row r="23" spans="1:14" x14ac:dyDescent="0.25">
      <c r="A23" s="25">
        <v>45922</v>
      </c>
      <c r="B23" s="46">
        <v>2552.9430000000002</v>
      </c>
      <c r="C23" s="46">
        <v>4675.0200000000004</v>
      </c>
      <c r="D23" s="47">
        <v>5185</v>
      </c>
      <c r="E23" s="47">
        <v>4939</v>
      </c>
      <c r="F23" s="13">
        <f t="shared" si="0"/>
        <v>13237009.455000002</v>
      </c>
      <c r="G23" s="13">
        <f t="shared" si="0"/>
        <v>23089923.780000001</v>
      </c>
      <c r="H23" s="26">
        <v>40.5</v>
      </c>
      <c r="I23" s="13">
        <v>799000</v>
      </c>
      <c r="J23" s="12">
        <v>116</v>
      </c>
      <c r="K23" s="13">
        <v>1003000</v>
      </c>
      <c r="L23" s="13">
        <v>23000</v>
      </c>
      <c r="M23" s="13">
        <v>556000</v>
      </c>
      <c r="N23" s="13">
        <v>935500</v>
      </c>
    </row>
    <row r="24" spans="1:14" x14ac:dyDescent="0.25">
      <c r="A24" s="25">
        <v>45923</v>
      </c>
      <c r="B24" s="46">
        <v>2581.6950000000002</v>
      </c>
      <c r="C24" s="46">
        <v>2834.7240000000002</v>
      </c>
      <c r="D24" s="47">
        <v>5185</v>
      </c>
      <c r="E24" s="47">
        <v>4939</v>
      </c>
      <c r="F24" s="13">
        <f t="shared" si="0"/>
        <v>13386088.575000001</v>
      </c>
      <c r="G24" s="13">
        <f t="shared" si="0"/>
        <v>14000701.836000001</v>
      </c>
      <c r="H24" s="26">
        <v>87</v>
      </c>
      <c r="I24" s="13">
        <v>1787000</v>
      </c>
      <c r="J24" s="12">
        <v>30.5</v>
      </c>
      <c r="K24" s="13">
        <v>317000</v>
      </c>
      <c r="L24" s="13">
        <v>40000</v>
      </c>
      <c r="M24" s="13">
        <v>572000</v>
      </c>
      <c r="N24" s="13">
        <v>77500</v>
      </c>
    </row>
    <row r="25" spans="1:14" x14ac:dyDescent="0.25">
      <c r="A25" s="25">
        <v>45924</v>
      </c>
      <c r="B25" s="46">
        <v>2551.7710000000002</v>
      </c>
      <c r="C25" s="46">
        <v>2486.2330000000002</v>
      </c>
      <c r="D25" s="47">
        <v>5185</v>
      </c>
      <c r="E25" s="47">
        <v>4939</v>
      </c>
      <c r="F25" s="13">
        <f t="shared" si="0"/>
        <v>13230932.635000002</v>
      </c>
      <c r="G25" s="13">
        <f t="shared" si="0"/>
        <v>12279504.787</v>
      </c>
      <c r="H25" s="26">
        <v>59</v>
      </c>
      <c r="I25" s="13">
        <v>1220500</v>
      </c>
      <c r="J25" s="12">
        <v>58</v>
      </c>
      <c r="K25" s="13">
        <v>503000</v>
      </c>
      <c r="L25" s="13">
        <v>278000</v>
      </c>
      <c r="M25" s="13">
        <v>377500</v>
      </c>
      <c r="N25" s="13">
        <v>663500</v>
      </c>
    </row>
    <row r="26" spans="1:14" x14ac:dyDescent="0.25">
      <c r="A26" s="25">
        <v>45925</v>
      </c>
      <c r="B26" s="46">
        <v>2462.6170000000002</v>
      </c>
      <c r="C26" s="46">
        <v>2964.8420000000001</v>
      </c>
      <c r="D26" s="47">
        <v>5185</v>
      </c>
      <c r="E26" s="47">
        <v>4939</v>
      </c>
      <c r="F26" s="13">
        <f t="shared" si="0"/>
        <v>12768669.145000001</v>
      </c>
      <c r="G26" s="13">
        <f t="shared" si="0"/>
        <v>14643354.638</v>
      </c>
      <c r="H26" s="26">
        <v>86</v>
      </c>
      <c r="I26" s="13">
        <v>1707500</v>
      </c>
      <c r="J26" s="12">
        <v>91.5</v>
      </c>
      <c r="K26" s="13">
        <v>792000</v>
      </c>
      <c r="L26" s="13">
        <v>16000</v>
      </c>
      <c r="M26" s="13">
        <v>435000</v>
      </c>
      <c r="N26" s="13">
        <v>204000</v>
      </c>
    </row>
    <row r="27" spans="1:14" x14ac:dyDescent="0.25">
      <c r="A27" s="25">
        <v>45926</v>
      </c>
      <c r="B27" s="46">
        <v>2249.1439999999998</v>
      </c>
      <c r="C27" s="46">
        <v>6852.1589999999997</v>
      </c>
      <c r="D27" s="47">
        <v>5185</v>
      </c>
      <c r="E27" s="47">
        <v>4939</v>
      </c>
      <c r="F27" s="13">
        <f t="shared" si="0"/>
        <v>11661811.639999999</v>
      </c>
      <c r="G27" s="13">
        <f t="shared" si="0"/>
        <v>33842813.300999999</v>
      </c>
      <c r="H27" s="26">
        <v>27.25</v>
      </c>
      <c r="I27" s="13">
        <v>548500</v>
      </c>
      <c r="J27" s="12">
        <v>52.5</v>
      </c>
      <c r="K27" s="13">
        <v>449000</v>
      </c>
      <c r="L27" s="13">
        <v>16000</v>
      </c>
      <c r="M27" s="13">
        <v>744000</v>
      </c>
      <c r="N27" s="13">
        <v>257000</v>
      </c>
    </row>
    <row r="28" spans="1:14" x14ac:dyDescent="0.25">
      <c r="A28" s="25">
        <v>45927</v>
      </c>
      <c r="B28" s="46">
        <v>2077.6660000000002</v>
      </c>
      <c r="C28" s="46">
        <v>3386.1410000000001</v>
      </c>
      <c r="D28" s="47">
        <v>5185</v>
      </c>
      <c r="E28" s="47">
        <v>4939</v>
      </c>
      <c r="F28" s="13">
        <f t="shared" si="0"/>
        <v>10772698.210000001</v>
      </c>
      <c r="G28" s="13">
        <f t="shared" si="0"/>
        <v>16724150.399</v>
      </c>
      <c r="H28" s="26">
        <v>55.5</v>
      </c>
      <c r="I28" s="13">
        <v>1072000</v>
      </c>
      <c r="J28" s="12">
        <v>67</v>
      </c>
      <c r="K28" s="13">
        <v>581000</v>
      </c>
      <c r="L28" s="13">
        <v>0</v>
      </c>
      <c r="M28" s="13">
        <v>578000</v>
      </c>
      <c r="N28" s="13">
        <v>476000</v>
      </c>
    </row>
    <row r="29" spans="1:14" x14ac:dyDescent="0.25">
      <c r="A29" s="25">
        <v>45928</v>
      </c>
      <c r="B29" s="46">
        <v>1549.693</v>
      </c>
      <c r="C29" s="46">
        <v>2769.98</v>
      </c>
      <c r="D29" s="47">
        <v>5185</v>
      </c>
      <c r="E29" s="47">
        <v>4939</v>
      </c>
      <c r="F29" s="13">
        <f t="shared" si="0"/>
        <v>8035158.2050000001</v>
      </c>
      <c r="G29" s="13">
        <f t="shared" si="0"/>
        <v>13680931.220000001</v>
      </c>
      <c r="H29" s="26">
        <v>67.25</v>
      </c>
      <c r="I29" s="13">
        <v>1450500</v>
      </c>
      <c r="J29" s="12">
        <v>70</v>
      </c>
      <c r="K29" s="13">
        <v>609000</v>
      </c>
      <c r="L29" s="13">
        <v>134000</v>
      </c>
      <c r="M29" s="13">
        <v>565000</v>
      </c>
      <c r="N29" s="13">
        <v>0</v>
      </c>
    </row>
    <row r="30" spans="1:14" x14ac:dyDescent="0.25">
      <c r="A30" s="25">
        <v>45929</v>
      </c>
      <c r="B30" s="46">
        <v>2409.1860000000001</v>
      </c>
      <c r="C30" s="46">
        <v>3837.68</v>
      </c>
      <c r="D30" s="47">
        <v>5185</v>
      </c>
      <c r="E30" s="47">
        <v>4939</v>
      </c>
      <c r="F30" s="13">
        <f t="shared" si="0"/>
        <v>12491629.41</v>
      </c>
      <c r="G30" s="13">
        <f t="shared" si="0"/>
        <v>18954301.52</v>
      </c>
      <c r="H30" s="26">
        <v>42.5</v>
      </c>
      <c r="I30" s="13">
        <v>836000</v>
      </c>
      <c r="J30" s="12">
        <v>105.5</v>
      </c>
      <c r="K30" s="13">
        <v>806000</v>
      </c>
      <c r="L30" s="13">
        <v>24000</v>
      </c>
      <c r="M30" s="13">
        <v>500000</v>
      </c>
      <c r="N30" s="13">
        <v>204000</v>
      </c>
    </row>
    <row r="31" spans="1:14" x14ac:dyDescent="0.25">
      <c r="A31" s="25">
        <v>45930</v>
      </c>
      <c r="B31" s="46">
        <v>2228.1529999999998</v>
      </c>
      <c r="C31" s="46">
        <v>4920.2520000000004</v>
      </c>
      <c r="D31" s="47">
        <v>5185</v>
      </c>
      <c r="E31" s="47">
        <v>4939</v>
      </c>
      <c r="F31" s="13">
        <f t="shared" si="0"/>
        <v>11552973.305</v>
      </c>
      <c r="G31" s="13">
        <f t="shared" si="0"/>
        <v>24301124.628000002</v>
      </c>
      <c r="H31" s="26">
        <v>58.75</v>
      </c>
      <c r="I31" s="13">
        <v>1246500</v>
      </c>
      <c r="J31" s="12">
        <v>58.5</v>
      </c>
      <c r="K31" s="13">
        <v>502000</v>
      </c>
      <c r="L31" s="13">
        <v>114000</v>
      </c>
      <c r="M31" s="13">
        <v>436500</v>
      </c>
      <c r="N31" s="13">
        <v>376500</v>
      </c>
    </row>
    <row r="32" spans="1:14" x14ac:dyDescent="0.25">
      <c r="A32" s="25" t="s">
        <v>93</v>
      </c>
      <c r="B32" s="46"/>
      <c r="C32" s="46"/>
      <c r="D32" s="47">
        <v>5185</v>
      </c>
      <c r="E32" s="47">
        <v>4939</v>
      </c>
      <c r="F32" s="13">
        <f t="shared" ref="F32:G32" si="1">B32*D32</f>
        <v>0</v>
      </c>
      <c r="G32" s="13">
        <f t="shared" si="1"/>
        <v>0</v>
      </c>
      <c r="H32" s="26"/>
      <c r="I32" s="13"/>
      <c r="J32" s="12"/>
      <c r="K32" s="13"/>
      <c r="L32" s="13"/>
      <c r="M32" s="13"/>
      <c r="N32" s="13"/>
    </row>
    <row r="33" spans="1:14" x14ac:dyDescent="0.25">
      <c r="A33" s="15"/>
      <c r="B33" s="37">
        <f>SUM(B1:B32)</f>
        <v>70292.974000000002</v>
      </c>
      <c r="C33" s="37">
        <f>SUM(C2:C32)</f>
        <v>105878.82500000001</v>
      </c>
      <c r="D33" s="38"/>
      <c r="E33" s="38"/>
      <c r="F33" s="39">
        <f>SUM(F2:F32)</f>
        <v>364570534.26999998</v>
      </c>
      <c r="G33" s="39">
        <f>SUM(G2:G32)</f>
        <v>522825880.91500002</v>
      </c>
      <c r="H33" s="39">
        <f>SUM(H2:H32)</f>
        <v>1895</v>
      </c>
      <c r="I33" s="39">
        <f t="shared" ref="I33" si="2">SUM(I1:I32)</f>
        <v>39167000</v>
      </c>
      <c r="J33" s="39">
        <f>SUM(J1:J32)</f>
        <v>1989.6</v>
      </c>
      <c r="K33" s="39">
        <f>SUM(K1:K32)</f>
        <v>16846000</v>
      </c>
      <c r="L33" s="39">
        <f>SUM(L1:L32)</f>
        <v>2083000</v>
      </c>
      <c r="M33" s="38">
        <f>SUM(M2:M32)</f>
        <v>19027600</v>
      </c>
      <c r="N33" s="38">
        <f>SUM(N2:N32)</f>
        <v>7586000</v>
      </c>
    </row>
    <row r="34" spans="1:14" x14ac:dyDescent="0.25">
      <c r="E34" t="s">
        <v>62</v>
      </c>
    </row>
    <row r="35" spans="1:14" x14ac:dyDescent="0.25">
      <c r="A35" t="s">
        <v>91</v>
      </c>
      <c r="B35">
        <v>65000</v>
      </c>
      <c r="C35">
        <v>110000</v>
      </c>
      <c r="H35">
        <v>2510</v>
      </c>
      <c r="J35">
        <v>2300</v>
      </c>
      <c r="M35" s="63">
        <v>23000000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N35"/>
  <sheetViews>
    <sheetView topLeftCell="B1" workbookViewId="0">
      <selection activeCell="K2" sqref="K2:K32"/>
    </sheetView>
  </sheetViews>
  <sheetFormatPr defaultRowHeight="15" x14ac:dyDescent="0.25"/>
  <cols>
    <col min="1" max="1" width="10.42578125" bestFit="1" customWidth="1"/>
    <col min="2" max="2" width="11.5703125" customWidth="1"/>
    <col min="3" max="3" width="11.85546875" customWidth="1"/>
    <col min="4" max="4" width="6.28515625" customWidth="1"/>
    <col min="5" max="5" width="6.7109375" customWidth="1"/>
    <col min="6" max="6" width="10.85546875" customWidth="1"/>
    <col min="7" max="7" width="10.7109375" customWidth="1"/>
    <col min="8" max="8" width="10" customWidth="1"/>
    <col min="9" max="9" width="13.28515625" customWidth="1"/>
    <col min="10" max="10" width="9" bestFit="1" customWidth="1"/>
    <col min="11" max="11" width="13.28515625" customWidth="1"/>
    <col min="12" max="12" width="12.42578125" bestFit="1" customWidth="1"/>
    <col min="13" max="13" width="10.7109375" customWidth="1"/>
    <col min="14" max="14" width="10.28515625" customWidth="1"/>
  </cols>
  <sheetData>
    <row r="1" spans="1:14" x14ac:dyDescent="0.25">
      <c r="A1" s="16" t="s">
        <v>92</v>
      </c>
      <c r="B1" s="17" t="s">
        <v>1</v>
      </c>
      <c r="C1" s="17" t="s">
        <v>2</v>
      </c>
      <c r="D1" s="18" t="s">
        <v>1</v>
      </c>
      <c r="E1" s="18" t="s">
        <v>2</v>
      </c>
      <c r="F1" s="19" t="s">
        <v>1</v>
      </c>
      <c r="G1" s="19" t="s">
        <v>2</v>
      </c>
      <c r="H1" s="19" t="s">
        <v>9</v>
      </c>
      <c r="I1" s="18" t="s">
        <v>10</v>
      </c>
      <c r="J1" s="16" t="s">
        <v>11</v>
      </c>
      <c r="K1" s="18" t="s">
        <v>10</v>
      </c>
      <c r="L1" s="18" t="s">
        <v>4</v>
      </c>
      <c r="M1" s="18" t="s">
        <v>67</v>
      </c>
      <c r="N1" s="18" t="s">
        <v>52</v>
      </c>
    </row>
    <row r="2" spans="1:14" x14ac:dyDescent="0.25">
      <c r="A2" s="25">
        <v>45931</v>
      </c>
      <c r="B2" s="46">
        <v>2214.7179999999998</v>
      </c>
      <c r="C2" s="46">
        <v>6007.6840000000002</v>
      </c>
      <c r="D2" s="47">
        <v>5185</v>
      </c>
      <c r="E2" s="47">
        <v>4939</v>
      </c>
      <c r="F2" s="13">
        <f t="shared" ref="F2:G31" si="0">B2*D2</f>
        <v>11483312.83</v>
      </c>
      <c r="G2" s="13">
        <f t="shared" si="0"/>
        <v>29671951.276000001</v>
      </c>
      <c r="H2" s="31">
        <v>79.25</v>
      </c>
      <c r="I2" s="13">
        <v>1842500</v>
      </c>
      <c r="J2" s="27">
        <v>72.5</v>
      </c>
      <c r="K2" s="13">
        <v>635000</v>
      </c>
      <c r="L2" s="13">
        <v>8000</v>
      </c>
      <c r="M2" s="13">
        <v>362000</v>
      </c>
      <c r="N2" s="13">
        <v>306000</v>
      </c>
    </row>
    <row r="3" spans="1:14" x14ac:dyDescent="0.25">
      <c r="A3" s="25">
        <v>45932</v>
      </c>
      <c r="B3" s="46">
        <v>2386.982</v>
      </c>
      <c r="C3" s="46">
        <v>4642.3599999999997</v>
      </c>
      <c r="D3" s="47">
        <v>5185</v>
      </c>
      <c r="E3" s="47">
        <v>4939</v>
      </c>
      <c r="F3" s="13">
        <f t="shared" si="0"/>
        <v>12376501.67</v>
      </c>
      <c r="G3" s="13">
        <f t="shared" si="0"/>
        <v>22928616.039999999</v>
      </c>
      <c r="H3" s="26">
        <v>80.25</v>
      </c>
      <c r="I3" s="13">
        <v>1798500</v>
      </c>
      <c r="J3" s="27">
        <v>55</v>
      </c>
      <c r="K3" s="13">
        <v>475000</v>
      </c>
      <c r="L3" s="13">
        <v>8000</v>
      </c>
      <c r="M3" s="13">
        <v>543000</v>
      </c>
      <c r="N3" s="13">
        <v>102000</v>
      </c>
    </row>
    <row r="4" spans="1:14" x14ac:dyDescent="0.25">
      <c r="A4" s="25">
        <v>45933</v>
      </c>
      <c r="B4" s="46">
        <v>2600.636</v>
      </c>
      <c r="C4" s="46">
        <v>3207.9540000000002</v>
      </c>
      <c r="D4" s="47">
        <v>5185</v>
      </c>
      <c r="E4" s="47">
        <v>4939</v>
      </c>
      <c r="F4" s="13">
        <f t="shared" si="0"/>
        <v>13484297.66</v>
      </c>
      <c r="G4" s="13">
        <f t="shared" si="0"/>
        <v>15844084.806000002</v>
      </c>
      <c r="H4" s="26">
        <v>30.5</v>
      </c>
      <c r="I4" s="13">
        <v>621500</v>
      </c>
      <c r="J4" s="27">
        <v>105</v>
      </c>
      <c r="K4" s="13">
        <v>895000</v>
      </c>
      <c r="L4" s="13">
        <v>16000</v>
      </c>
      <c r="M4" s="13">
        <v>563000</v>
      </c>
      <c r="N4" s="13">
        <v>131000</v>
      </c>
    </row>
    <row r="5" spans="1:14" x14ac:dyDescent="0.25">
      <c r="A5" s="25">
        <v>45934</v>
      </c>
      <c r="B5" s="46">
        <v>2374.6750000000002</v>
      </c>
      <c r="C5" s="46">
        <v>2754.7190000000001</v>
      </c>
      <c r="D5" s="47">
        <v>5185</v>
      </c>
      <c r="E5" s="47">
        <v>4939</v>
      </c>
      <c r="F5" s="13">
        <f t="shared" si="0"/>
        <v>12312689.875000002</v>
      </c>
      <c r="G5" s="13">
        <f t="shared" si="0"/>
        <v>13605557.141000001</v>
      </c>
      <c r="H5" s="26">
        <v>101.25</v>
      </c>
      <c r="I5" s="13">
        <v>1913500</v>
      </c>
      <c r="J5" s="27">
        <v>55.5</v>
      </c>
      <c r="K5" s="13">
        <v>474000</v>
      </c>
      <c r="L5" s="13">
        <v>71000</v>
      </c>
      <c r="M5" s="13">
        <v>1012000</v>
      </c>
      <c r="N5" s="13">
        <v>350500</v>
      </c>
    </row>
    <row r="6" spans="1:14" x14ac:dyDescent="0.25">
      <c r="A6" s="25">
        <v>45935</v>
      </c>
      <c r="B6" s="46">
        <v>1491</v>
      </c>
      <c r="C6" s="46">
        <v>1339.0360000000001</v>
      </c>
      <c r="D6" s="47">
        <v>5185</v>
      </c>
      <c r="E6" s="47">
        <v>4939</v>
      </c>
      <c r="F6" s="13">
        <f t="shared" si="0"/>
        <v>7730835</v>
      </c>
      <c r="G6" s="13">
        <f t="shared" si="0"/>
        <v>6613498.8040000005</v>
      </c>
      <c r="H6" s="26">
        <v>126.75</v>
      </c>
      <c r="I6" s="13">
        <v>2754500</v>
      </c>
      <c r="J6" s="27">
        <v>70.5</v>
      </c>
      <c r="K6" s="13">
        <v>608000</v>
      </c>
      <c r="L6" s="13">
        <v>153000</v>
      </c>
      <c r="M6" s="13">
        <v>601000</v>
      </c>
      <c r="N6" s="13">
        <v>0</v>
      </c>
    </row>
    <row r="7" spans="1:14" x14ac:dyDescent="0.25">
      <c r="A7" s="25">
        <v>45936</v>
      </c>
      <c r="B7" s="46">
        <v>2129.9430000000002</v>
      </c>
      <c r="C7" s="46">
        <v>2488.6860000000001</v>
      </c>
      <c r="D7" s="47">
        <v>5185</v>
      </c>
      <c r="E7" s="47">
        <v>4939</v>
      </c>
      <c r="F7" s="13">
        <f t="shared" si="0"/>
        <v>11043754.455000002</v>
      </c>
      <c r="G7" s="13">
        <f t="shared" si="0"/>
        <v>12291620.154000001</v>
      </c>
      <c r="H7" s="26">
        <v>86.25</v>
      </c>
      <c r="I7" s="13">
        <v>2021500</v>
      </c>
      <c r="J7" s="27">
        <v>155.5</v>
      </c>
      <c r="K7" s="13">
        <v>1146000</v>
      </c>
      <c r="L7" s="13">
        <v>116000</v>
      </c>
      <c r="M7" s="13">
        <v>449500</v>
      </c>
      <c r="N7" s="13">
        <v>408000</v>
      </c>
    </row>
    <row r="8" spans="1:14" x14ac:dyDescent="0.25">
      <c r="A8" s="25">
        <v>45937</v>
      </c>
      <c r="B8" s="46">
        <v>1958.2670000000001</v>
      </c>
      <c r="C8" s="46">
        <v>2018.4839999999999</v>
      </c>
      <c r="D8" s="47">
        <v>5185</v>
      </c>
      <c r="E8" s="47">
        <v>4939</v>
      </c>
      <c r="F8" s="13">
        <f t="shared" si="0"/>
        <v>10153614.395</v>
      </c>
      <c r="G8" s="13">
        <f t="shared" si="0"/>
        <v>9969292.4759999998</v>
      </c>
      <c r="H8" s="26">
        <v>49</v>
      </c>
      <c r="I8" s="13">
        <v>1023000</v>
      </c>
      <c r="J8" s="27">
        <v>146</v>
      </c>
      <c r="K8" s="13">
        <v>1049000</v>
      </c>
      <c r="L8" s="13">
        <v>161000</v>
      </c>
      <c r="M8" s="13">
        <v>551000</v>
      </c>
      <c r="N8" s="13">
        <v>616000</v>
      </c>
    </row>
    <row r="9" spans="1:14" x14ac:dyDescent="0.25">
      <c r="A9" s="25">
        <v>45938</v>
      </c>
      <c r="B9" s="46">
        <v>2601.701</v>
      </c>
      <c r="C9" s="46">
        <v>4049.9360000000001</v>
      </c>
      <c r="D9" s="47">
        <v>5185</v>
      </c>
      <c r="E9" s="47">
        <v>4939</v>
      </c>
      <c r="F9" s="13">
        <f t="shared" si="0"/>
        <v>13489819.685000001</v>
      </c>
      <c r="G9" s="13">
        <f t="shared" si="0"/>
        <v>20002633.903999999</v>
      </c>
      <c r="H9" s="26">
        <v>96.75</v>
      </c>
      <c r="I9" s="13">
        <v>2063000</v>
      </c>
      <c r="J9" s="27">
        <v>143</v>
      </c>
      <c r="K9" s="13">
        <v>1243000</v>
      </c>
      <c r="L9" s="13">
        <v>185000</v>
      </c>
      <c r="M9" s="13">
        <v>590000</v>
      </c>
      <c r="N9" s="13">
        <v>376500</v>
      </c>
    </row>
    <row r="10" spans="1:14" x14ac:dyDescent="0.25">
      <c r="A10" s="25">
        <v>45939</v>
      </c>
      <c r="B10" s="46">
        <v>1730.836</v>
      </c>
      <c r="C10" s="46">
        <v>3304.59</v>
      </c>
      <c r="D10" s="47">
        <v>5185</v>
      </c>
      <c r="E10" s="47">
        <v>4939</v>
      </c>
      <c r="F10" s="13">
        <f t="shared" si="0"/>
        <v>8974384.6600000001</v>
      </c>
      <c r="G10" s="13">
        <f t="shared" si="0"/>
        <v>16321370.010000002</v>
      </c>
      <c r="H10" s="26">
        <v>81</v>
      </c>
      <c r="I10" s="13">
        <v>1693500</v>
      </c>
      <c r="J10" s="27">
        <v>89</v>
      </c>
      <c r="K10" s="13">
        <v>766000</v>
      </c>
      <c r="L10" s="13">
        <v>154000</v>
      </c>
      <c r="M10" s="13">
        <v>473000</v>
      </c>
      <c r="N10" s="13">
        <v>408000</v>
      </c>
    </row>
    <row r="11" spans="1:14" x14ac:dyDescent="0.25">
      <c r="A11" s="25">
        <v>45940</v>
      </c>
      <c r="B11" s="46">
        <v>2152.5459999999998</v>
      </c>
      <c r="C11" s="46">
        <v>5763.6729999999998</v>
      </c>
      <c r="D11" s="47">
        <v>5185</v>
      </c>
      <c r="E11" s="47">
        <v>4939</v>
      </c>
      <c r="F11" s="13">
        <f t="shared" si="0"/>
        <v>11160951.01</v>
      </c>
      <c r="G11" s="13">
        <f t="shared" si="0"/>
        <v>28466780.947000001</v>
      </c>
      <c r="H11" s="26">
        <v>47</v>
      </c>
      <c r="I11" s="13">
        <v>954500</v>
      </c>
      <c r="J11" s="27">
        <v>95</v>
      </c>
      <c r="K11" s="13">
        <v>810000</v>
      </c>
      <c r="L11" s="13">
        <v>38000</v>
      </c>
      <c r="M11" s="13">
        <v>647500</v>
      </c>
      <c r="N11" s="13">
        <v>204000</v>
      </c>
    </row>
    <row r="12" spans="1:14" x14ac:dyDescent="0.25">
      <c r="A12" s="25">
        <v>45911</v>
      </c>
      <c r="B12" s="46">
        <v>2698.373</v>
      </c>
      <c r="C12" s="46">
        <v>3066.5430000000001</v>
      </c>
      <c r="D12" s="47">
        <v>5185</v>
      </c>
      <c r="E12" s="47">
        <v>4939</v>
      </c>
      <c r="F12" s="13">
        <f t="shared" si="0"/>
        <v>13991064.005000001</v>
      </c>
      <c r="G12" s="13">
        <f t="shared" si="0"/>
        <v>15145655.877</v>
      </c>
      <c r="H12" s="26">
        <v>34</v>
      </c>
      <c r="I12" s="51">
        <v>663500</v>
      </c>
      <c r="J12" s="27">
        <v>104.5</v>
      </c>
      <c r="K12" s="13">
        <v>892000</v>
      </c>
      <c r="L12" s="13">
        <v>16000</v>
      </c>
      <c r="M12" s="13">
        <v>739000</v>
      </c>
      <c r="N12" s="13">
        <v>544000</v>
      </c>
    </row>
    <row r="13" spans="1:14" x14ac:dyDescent="0.25">
      <c r="A13" s="25">
        <v>45942</v>
      </c>
      <c r="B13" s="46">
        <v>1841.8219999999999</v>
      </c>
      <c r="C13" s="46">
        <v>3158.4090000000001</v>
      </c>
      <c r="D13" s="47">
        <v>5185</v>
      </c>
      <c r="E13" s="47">
        <v>4939</v>
      </c>
      <c r="F13" s="13">
        <f t="shared" si="0"/>
        <v>9549847.0700000003</v>
      </c>
      <c r="G13" s="13">
        <f t="shared" si="0"/>
        <v>15599382.051000001</v>
      </c>
      <c r="H13" s="26">
        <v>23.75</v>
      </c>
      <c r="I13" s="13">
        <v>460500</v>
      </c>
      <c r="J13" s="27">
        <v>125.5</v>
      </c>
      <c r="K13" s="13">
        <v>959000</v>
      </c>
      <c r="L13" s="13">
        <v>146000</v>
      </c>
      <c r="M13" s="13">
        <v>781000</v>
      </c>
      <c r="N13" s="13">
        <v>170000</v>
      </c>
    </row>
    <row r="14" spans="1:14" x14ac:dyDescent="0.25">
      <c r="A14" s="25">
        <v>45943</v>
      </c>
      <c r="B14" s="46">
        <v>2184.0859999999998</v>
      </c>
      <c r="C14" s="46">
        <v>3195.683</v>
      </c>
      <c r="D14" s="47">
        <v>5185</v>
      </c>
      <c r="E14" s="47">
        <v>4939</v>
      </c>
      <c r="F14" s="13">
        <f t="shared" si="0"/>
        <v>11324485.909999998</v>
      </c>
      <c r="G14" s="13">
        <f t="shared" si="0"/>
        <v>15783478.336999999</v>
      </c>
      <c r="H14" s="26">
        <v>37.75</v>
      </c>
      <c r="I14" s="13">
        <v>798000</v>
      </c>
      <c r="J14" s="27">
        <v>129.5</v>
      </c>
      <c r="K14" s="13">
        <v>1102000</v>
      </c>
      <c r="L14" s="13">
        <v>30000</v>
      </c>
      <c r="M14" s="13">
        <v>524000</v>
      </c>
      <c r="N14" s="13">
        <v>563000</v>
      </c>
    </row>
    <row r="15" spans="1:14" x14ac:dyDescent="0.25">
      <c r="A15" s="25">
        <v>45944</v>
      </c>
      <c r="B15" s="46">
        <v>1948.9590000000001</v>
      </c>
      <c r="C15" s="46">
        <v>3701.386</v>
      </c>
      <c r="D15" s="47">
        <v>5185</v>
      </c>
      <c r="E15" s="47">
        <v>4939</v>
      </c>
      <c r="F15" s="13">
        <f t="shared" si="0"/>
        <v>10105352.415000001</v>
      </c>
      <c r="G15" s="13">
        <f t="shared" si="0"/>
        <v>18281145.454</v>
      </c>
      <c r="H15" s="13">
        <v>118.5</v>
      </c>
      <c r="I15" s="13">
        <v>2503000</v>
      </c>
      <c r="J15" s="27">
        <v>82</v>
      </c>
      <c r="K15" s="13">
        <v>715000</v>
      </c>
      <c r="L15" s="13">
        <v>146000</v>
      </c>
      <c r="M15" s="13">
        <v>458000</v>
      </c>
      <c r="N15" s="13">
        <v>644000</v>
      </c>
    </row>
    <row r="16" spans="1:14" x14ac:dyDescent="0.25">
      <c r="A16" s="25">
        <v>45945</v>
      </c>
      <c r="B16" s="46">
        <v>2312.2660000000001</v>
      </c>
      <c r="C16" s="46">
        <v>3862.3760000000002</v>
      </c>
      <c r="D16" s="47">
        <v>5185</v>
      </c>
      <c r="E16" s="47">
        <v>4939</v>
      </c>
      <c r="F16" s="13">
        <f t="shared" si="0"/>
        <v>11989099.210000001</v>
      </c>
      <c r="G16" s="13">
        <f t="shared" si="0"/>
        <v>19076275.063999999</v>
      </c>
      <c r="H16" s="26">
        <v>27.25</v>
      </c>
      <c r="I16" s="13">
        <v>589500</v>
      </c>
      <c r="J16" s="27">
        <v>37</v>
      </c>
      <c r="K16" s="13">
        <v>316000</v>
      </c>
      <c r="L16" s="13">
        <v>61000</v>
      </c>
      <c r="M16" s="13">
        <v>629000</v>
      </c>
      <c r="N16" s="13">
        <v>170000</v>
      </c>
    </row>
    <row r="17" spans="1:14" x14ac:dyDescent="0.25">
      <c r="A17" s="25">
        <v>45946</v>
      </c>
      <c r="B17" s="46">
        <v>1820.1669999999999</v>
      </c>
      <c r="C17" s="46">
        <v>4152.6970000000001</v>
      </c>
      <c r="D17" s="47">
        <v>5185</v>
      </c>
      <c r="E17" s="47">
        <v>4939</v>
      </c>
      <c r="F17" s="13">
        <f>B17*D17</f>
        <v>9437565.8949999996</v>
      </c>
      <c r="G17" s="13">
        <f t="shared" si="0"/>
        <v>20510170.482999999</v>
      </c>
      <c r="H17" s="26">
        <v>28.5</v>
      </c>
      <c r="I17" s="13">
        <v>538000</v>
      </c>
      <c r="J17" s="27">
        <v>55</v>
      </c>
      <c r="K17" s="13">
        <v>475000</v>
      </c>
      <c r="L17" s="13">
        <v>31000</v>
      </c>
      <c r="M17" s="13">
        <v>697000</v>
      </c>
      <c r="N17" s="13">
        <v>409000</v>
      </c>
    </row>
    <row r="18" spans="1:14" x14ac:dyDescent="0.25">
      <c r="A18" s="25">
        <v>45947</v>
      </c>
      <c r="B18" s="46">
        <v>2665.1950000000002</v>
      </c>
      <c r="C18" s="46">
        <v>2707.009</v>
      </c>
      <c r="D18" s="47">
        <v>5185</v>
      </c>
      <c r="E18" s="47">
        <v>4889</v>
      </c>
      <c r="F18" s="13">
        <f t="shared" si="0"/>
        <v>13819036.075000001</v>
      </c>
      <c r="G18" s="13">
        <f t="shared" si="0"/>
        <v>13234567.001</v>
      </c>
      <c r="H18" s="26">
        <v>46.75</v>
      </c>
      <c r="I18" s="13">
        <v>958000</v>
      </c>
      <c r="J18" s="12">
        <v>82</v>
      </c>
      <c r="K18" s="13">
        <v>665000</v>
      </c>
      <c r="L18" s="13">
        <v>96000</v>
      </c>
      <c r="M18" s="13">
        <v>548000</v>
      </c>
      <c r="N18" s="13">
        <v>89500</v>
      </c>
    </row>
    <row r="19" spans="1:14" x14ac:dyDescent="0.25">
      <c r="A19" s="25">
        <v>45948</v>
      </c>
      <c r="B19" s="46">
        <v>2346.9189999999999</v>
      </c>
      <c r="C19" s="46">
        <v>2785.2429999999999</v>
      </c>
      <c r="D19" s="47">
        <v>5185</v>
      </c>
      <c r="E19" s="47">
        <v>4889</v>
      </c>
      <c r="F19" s="13">
        <f t="shared" si="0"/>
        <v>12168775.014999999</v>
      </c>
      <c r="G19" s="13">
        <f t="shared" si="0"/>
        <v>13617053.026999999</v>
      </c>
      <c r="H19" s="26">
        <v>28</v>
      </c>
      <c r="I19" s="13">
        <v>561000</v>
      </c>
      <c r="J19" s="12">
        <v>134.5</v>
      </c>
      <c r="K19" s="13">
        <v>1161000</v>
      </c>
      <c r="L19" s="13">
        <v>38000</v>
      </c>
      <c r="M19" s="13">
        <v>689000</v>
      </c>
      <c r="N19" s="13">
        <v>680000</v>
      </c>
    </row>
    <row r="20" spans="1:14" x14ac:dyDescent="0.25">
      <c r="A20" s="25">
        <v>45949</v>
      </c>
      <c r="B20" s="46">
        <v>1782.7059999999999</v>
      </c>
      <c r="C20" s="46">
        <v>1897.2</v>
      </c>
      <c r="D20" s="47">
        <v>5185</v>
      </c>
      <c r="E20" s="47">
        <v>4889</v>
      </c>
      <c r="F20" s="13">
        <f t="shared" si="0"/>
        <v>9243330.6099999994</v>
      </c>
      <c r="G20" s="13">
        <f t="shared" si="0"/>
        <v>9275410.8000000007</v>
      </c>
      <c r="H20" s="26">
        <v>55</v>
      </c>
      <c r="I20" s="13">
        <v>1196500</v>
      </c>
      <c r="J20" s="12">
        <v>42.5</v>
      </c>
      <c r="K20" s="13">
        <v>423000</v>
      </c>
      <c r="L20" s="13">
        <v>208000</v>
      </c>
      <c r="M20" s="13">
        <v>728000</v>
      </c>
      <c r="N20" s="13">
        <v>221500</v>
      </c>
    </row>
    <row r="21" spans="1:14" x14ac:dyDescent="0.25">
      <c r="A21" s="25">
        <v>45950</v>
      </c>
      <c r="B21" s="46">
        <v>1865.1079999999999</v>
      </c>
      <c r="C21" s="46">
        <v>3531.9189999999999</v>
      </c>
      <c r="D21" s="47">
        <v>5185</v>
      </c>
      <c r="E21" s="47">
        <v>4889</v>
      </c>
      <c r="F21" s="13">
        <f t="shared" si="0"/>
        <v>9670584.9800000004</v>
      </c>
      <c r="G21" s="13">
        <f t="shared" si="0"/>
        <v>17267551.991</v>
      </c>
      <c r="H21" s="26">
        <v>59</v>
      </c>
      <c r="I21" s="13">
        <v>1297500</v>
      </c>
      <c r="J21" s="12">
        <v>110.5</v>
      </c>
      <c r="K21" s="13">
        <v>949000</v>
      </c>
      <c r="L21" s="13">
        <v>78000</v>
      </c>
      <c r="M21" s="13">
        <v>608000</v>
      </c>
      <c r="N21" s="13">
        <v>374000</v>
      </c>
    </row>
    <row r="22" spans="1:14" x14ac:dyDescent="0.25">
      <c r="A22" s="25">
        <v>45951</v>
      </c>
      <c r="B22" s="46">
        <v>1680.2729999999999</v>
      </c>
      <c r="C22" s="46">
        <v>2715.627</v>
      </c>
      <c r="D22" s="47">
        <v>5185</v>
      </c>
      <c r="E22" s="47">
        <v>4889</v>
      </c>
      <c r="F22" s="13">
        <f t="shared" si="0"/>
        <v>8712215.504999999</v>
      </c>
      <c r="G22" s="13">
        <f t="shared" si="0"/>
        <v>13276700.402999999</v>
      </c>
      <c r="H22" s="26">
        <v>216</v>
      </c>
      <c r="I22" s="13">
        <v>5687000</v>
      </c>
      <c r="J22" s="12">
        <v>61</v>
      </c>
      <c r="K22" s="13">
        <v>632000</v>
      </c>
      <c r="L22" s="13">
        <v>16000</v>
      </c>
      <c r="M22" s="13">
        <v>494000</v>
      </c>
      <c r="N22" s="13">
        <v>374000</v>
      </c>
    </row>
    <row r="23" spans="1:14" x14ac:dyDescent="0.25">
      <c r="A23" s="25">
        <v>45952</v>
      </c>
      <c r="B23" s="46">
        <v>1791.847</v>
      </c>
      <c r="C23" s="46">
        <v>2640.5160000000001</v>
      </c>
      <c r="D23" s="47">
        <v>5185</v>
      </c>
      <c r="E23" s="47">
        <v>4889</v>
      </c>
      <c r="F23" s="13">
        <f t="shared" si="0"/>
        <v>9290726.6950000003</v>
      </c>
      <c r="G23" s="13">
        <f t="shared" si="0"/>
        <v>12909482.723999999</v>
      </c>
      <c r="H23" s="26">
        <v>123</v>
      </c>
      <c r="I23" s="13">
        <v>3164000</v>
      </c>
      <c r="J23" s="12">
        <v>70</v>
      </c>
      <c r="K23" s="13">
        <v>609000</v>
      </c>
      <c r="L23" s="13">
        <v>30000</v>
      </c>
      <c r="M23" s="13">
        <v>522000</v>
      </c>
      <c r="N23" s="13">
        <v>496000</v>
      </c>
    </row>
    <row r="24" spans="1:14" x14ac:dyDescent="0.25">
      <c r="A24" s="25">
        <v>45953</v>
      </c>
      <c r="B24" s="46">
        <v>1756.5509999999999</v>
      </c>
      <c r="C24" s="46">
        <v>3315.598</v>
      </c>
      <c r="D24" s="47">
        <v>5185</v>
      </c>
      <c r="E24" s="47">
        <v>4889</v>
      </c>
      <c r="F24" s="13">
        <f t="shared" si="0"/>
        <v>9107716.9350000005</v>
      </c>
      <c r="G24" s="13">
        <f t="shared" si="0"/>
        <v>16209958.622</v>
      </c>
      <c r="H24" s="26">
        <v>61.75</v>
      </c>
      <c r="I24" s="13">
        <v>1331500</v>
      </c>
      <c r="J24" s="12">
        <v>48.5</v>
      </c>
      <c r="K24" s="13">
        <v>423000</v>
      </c>
      <c r="L24" s="13">
        <v>131000</v>
      </c>
      <c r="M24" s="13">
        <v>675500</v>
      </c>
      <c r="N24" s="13">
        <v>425500</v>
      </c>
    </row>
    <row r="25" spans="1:14" x14ac:dyDescent="0.25">
      <c r="A25" s="25">
        <v>45954</v>
      </c>
      <c r="B25" s="46">
        <v>3030.7570000000001</v>
      </c>
      <c r="C25" s="46">
        <v>2564.134</v>
      </c>
      <c r="D25" s="47">
        <v>5185</v>
      </c>
      <c r="E25" s="47">
        <v>4889</v>
      </c>
      <c r="F25" s="13">
        <f t="shared" si="0"/>
        <v>15714475.045</v>
      </c>
      <c r="G25" s="13">
        <f t="shared" si="0"/>
        <v>12536051.126</v>
      </c>
      <c r="H25" s="26">
        <v>83.5</v>
      </c>
      <c r="I25" s="13">
        <v>1735000</v>
      </c>
      <c r="J25" s="12">
        <v>92</v>
      </c>
      <c r="K25" s="13">
        <v>899000</v>
      </c>
      <c r="L25" s="13">
        <v>101000</v>
      </c>
      <c r="M25" s="13">
        <v>452000</v>
      </c>
      <c r="N25" s="13">
        <v>289500</v>
      </c>
    </row>
    <row r="26" spans="1:14" x14ac:dyDescent="0.25">
      <c r="A26" s="25">
        <v>45955</v>
      </c>
      <c r="B26" s="46">
        <v>2213.9070000000002</v>
      </c>
      <c r="C26" s="46">
        <v>2051.12</v>
      </c>
      <c r="D26" s="47">
        <v>5185</v>
      </c>
      <c r="E26" s="47">
        <v>4889</v>
      </c>
      <c r="F26" s="13">
        <f t="shared" si="0"/>
        <v>11479107.795</v>
      </c>
      <c r="G26" s="13">
        <f t="shared" si="0"/>
        <v>10027925.68</v>
      </c>
      <c r="H26" s="26">
        <v>98.25</v>
      </c>
      <c r="I26" s="13">
        <v>2019800</v>
      </c>
      <c r="J26" s="12">
        <v>100.5</v>
      </c>
      <c r="K26" s="13">
        <v>876000</v>
      </c>
      <c r="L26" s="13">
        <v>107000</v>
      </c>
      <c r="M26" s="13">
        <v>1375000</v>
      </c>
      <c r="N26" s="13">
        <v>504000</v>
      </c>
    </row>
    <row r="27" spans="1:14" x14ac:dyDescent="0.25">
      <c r="A27" s="25">
        <v>45956</v>
      </c>
      <c r="B27" s="46">
        <v>1590.4960000000001</v>
      </c>
      <c r="C27" s="46">
        <v>5899.0619999999999</v>
      </c>
      <c r="D27" s="47">
        <v>5185</v>
      </c>
      <c r="E27" s="47">
        <v>4889</v>
      </c>
      <c r="F27" s="13">
        <f t="shared" si="0"/>
        <v>8246721.7600000007</v>
      </c>
      <c r="G27" s="13">
        <f t="shared" si="0"/>
        <v>28840514.118000001</v>
      </c>
      <c r="H27" s="26">
        <v>64.75</v>
      </c>
      <c r="I27" s="13">
        <v>1352000</v>
      </c>
      <c r="J27" s="12">
        <v>30.5</v>
      </c>
      <c r="K27" s="13">
        <v>264000</v>
      </c>
      <c r="L27" s="13">
        <v>24000</v>
      </c>
      <c r="M27" s="13">
        <v>766000</v>
      </c>
      <c r="N27" s="13">
        <v>102000</v>
      </c>
    </row>
    <row r="28" spans="1:14" x14ac:dyDescent="0.25">
      <c r="A28" s="25">
        <v>45957</v>
      </c>
      <c r="B28" s="46">
        <v>2116.92</v>
      </c>
      <c r="C28" s="46">
        <v>7491.34</v>
      </c>
      <c r="D28" s="47">
        <v>5185</v>
      </c>
      <c r="E28" s="47">
        <v>4889</v>
      </c>
      <c r="F28" s="13">
        <f t="shared" si="0"/>
        <v>10976230.200000001</v>
      </c>
      <c r="G28" s="13">
        <f t="shared" si="0"/>
        <v>36625161.259999998</v>
      </c>
      <c r="H28" s="26">
        <v>106</v>
      </c>
      <c r="I28" s="13">
        <v>2247500</v>
      </c>
      <c r="J28" s="12">
        <v>55</v>
      </c>
      <c r="K28" s="13">
        <v>475000</v>
      </c>
      <c r="L28" s="13">
        <v>161000</v>
      </c>
      <c r="M28" s="13">
        <v>843000</v>
      </c>
      <c r="N28" s="13">
        <v>204000</v>
      </c>
    </row>
    <row r="29" spans="1:14" x14ac:dyDescent="0.25">
      <c r="A29" s="25">
        <v>45958</v>
      </c>
      <c r="B29" s="46">
        <v>2243.375</v>
      </c>
      <c r="C29" s="46">
        <v>2489.0390000000002</v>
      </c>
      <c r="D29" s="47">
        <v>5185</v>
      </c>
      <c r="E29" s="47">
        <v>4889</v>
      </c>
      <c r="F29" s="13">
        <f t="shared" si="0"/>
        <v>11631899.375</v>
      </c>
      <c r="G29" s="13">
        <f t="shared" si="0"/>
        <v>12168911.671000002</v>
      </c>
      <c r="H29" s="26">
        <v>109.75</v>
      </c>
      <c r="I29" s="13">
        <v>2297500</v>
      </c>
      <c r="J29" s="12">
        <v>55</v>
      </c>
      <c r="K29" s="13">
        <v>475000</v>
      </c>
      <c r="L29" s="13">
        <v>161000</v>
      </c>
      <c r="M29" s="13">
        <v>465500</v>
      </c>
      <c r="N29" s="13">
        <v>102000</v>
      </c>
    </row>
    <row r="30" spans="1:14" x14ac:dyDescent="0.25">
      <c r="A30" s="25">
        <v>45959</v>
      </c>
      <c r="B30" s="46">
        <v>1657.8589999999999</v>
      </c>
      <c r="C30" s="46">
        <v>3052.9259999999999</v>
      </c>
      <c r="D30" s="47">
        <v>5185</v>
      </c>
      <c r="E30" s="47">
        <v>4889</v>
      </c>
      <c r="F30" s="13">
        <f t="shared" si="0"/>
        <v>8595998.9149999991</v>
      </c>
      <c r="G30" s="13">
        <f t="shared" si="0"/>
        <v>14925755.214</v>
      </c>
      <c r="H30" s="26">
        <v>86.75</v>
      </c>
      <c r="I30" s="13">
        <v>1874000</v>
      </c>
      <c r="J30" s="12">
        <v>59</v>
      </c>
      <c r="K30" s="13">
        <v>502000</v>
      </c>
      <c r="L30" s="13">
        <v>138000</v>
      </c>
      <c r="M30" s="13">
        <v>504000</v>
      </c>
      <c r="N30" s="13">
        <v>17500</v>
      </c>
    </row>
    <row r="31" spans="1:14" x14ac:dyDescent="0.25">
      <c r="A31" s="25">
        <v>45960</v>
      </c>
      <c r="B31" s="46">
        <v>2508.4969999999998</v>
      </c>
      <c r="C31" s="46">
        <v>5025.3860000000004</v>
      </c>
      <c r="D31" s="47">
        <v>5185</v>
      </c>
      <c r="E31" s="47">
        <v>4889</v>
      </c>
      <c r="F31" s="13">
        <f t="shared" si="0"/>
        <v>13006556.944999998</v>
      </c>
      <c r="G31" s="13">
        <f t="shared" si="0"/>
        <v>24569112.154000003</v>
      </c>
      <c r="H31" s="26">
        <v>105.5</v>
      </c>
      <c r="I31" s="13">
        <v>2316500</v>
      </c>
      <c r="J31" s="12">
        <v>73</v>
      </c>
      <c r="K31" s="13">
        <v>634000</v>
      </c>
      <c r="L31" s="13">
        <v>381000</v>
      </c>
      <c r="M31" s="13">
        <v>524000</v>
      </c>
      <c r="N31" s="13">
        <v>341000</v>
      </c>
    </row>
    <row r="32" spans="1:14" x14ac:dyDescent="0.25">
      <c r="A32" s="25">
        <v>45961</v>
      </c>
      <c r="B32" s="46">
        <v>2250.7179999999998</v>
      </c>
      <c r="C32" s="46">
        <v>3658.6930000000002</v>
      </c>
      <c r="D32" s="47">
        <v>5185</v>
      </c>
      <c r="E32" s="47">
        <v>4889</v>
      </c>
      <c r="F32" s="13">
        <f t="shared" ref="F32:G32" si="1">B32*D32</f>
        <v>11669972.83</v>
      </c>
      <c r="G32" s="13">
        <f t="shared" si="1"/>
        <v>17887350.077</v>
      </c>
      <c r="H32" s="26">
        <v>54.25</v>
      </c>
      <c r="I32" s="13">
        <v>1069500</v>
      </c>
      <c r="J32" s="12">
        <v>37</v>
      </c>
      <c r="K32" s="13">
        <v>317000</v>
      </c>
      <c r="L32" s="13">
        <v>23000</v>
      </c>
      <c r="M32" s="13">
        <v>622000</v>
      </c>
      <c r="N32" s="13">
        <v>17500</v>
      </c>
    </row>
    <row r="33" spans="1:14" x14ac:dyDescent="0.25">
      <c r="A33" s="15"/>
      <c r="B33" s="37">
        <f>SUM(B1:B32)</f>
        <v>65948.104999999981</v>
      </c>
      <c r="C33" s="37">
        <f>SUM(C2:C32)</f>
        <v>108539.02800000001</v>
      </c>
      <c r="D33" s="38"/>
      <c r="E33" s="38"/>
      <c r="F33" s="39">
        <f>SUM(F2:F32)</f>
        <v>341940924.42499995</v>
      </c>
      <c r="G33" s="39">
        <f>SUM(G2:G32)</f>
        <v>533483018.69199997</v>
      </c>
      <c r="H33" s="39">
        <f>SUM(H2:H32)</f>
        <v>2346</v>
      </c>
      <c r="I33" s="39">
        <f t="shared" ref="I33" si="2">SUM(I1:I32)</f>
        <v>51345800</v>
      </c>
      <c r="J33" s="39">
        <f>SUM(J1:J32)</f>
        <v>2571.5</v>
      </c>
      <c r="K33" s="39">
        <f>SUM(K1:K32)</f>
        <v>21864000</v>
      </c>
      <c r="L33" s="39">
        <f>SUM(L1:L32)</f>
        <v>3033000</v>
      </c>
      <c r="M33" s="38">
        <f>SUM(M2:M32)</f>
        <v>19436000</v>
      </c>
      <c r="N33" s="38">
        <f>SUM(N2:N32)</f>
        <v>9640000</v>
      </c>
    </row>
    <row r="34" spans="1:14" x14ac:dyDescent="0.25">
      <c r="E34" t="s">
        <v>62</v>
      </c>
    </row>
    <row r="35" spans="1:14" x14ac:dyDescent="0.25">
      <c r="A35" t="s">
        <v>91</v>
      </c>
      <c r="B35">
        <v>65000</v>
      </c>
      <c r="C35">
        <v>110000</v>
      </c>
      <c r="H35">
        <v>2510</v>
      </c>
      <c r="J35">
        <v>2300</v>
      </c>
      <c r="M35" s="63">
        <v>23000000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N35"/>
  <sheetViews>
    <sheetView workbookViewId="0">
      <selection sqref="A1:N32"/>
    </sheetView>
  </sheetViews>
  <sheetFormatPr defaultRowHeight="15" x14ac:dyDescent="0.25"/>
  <cols>
    <col min="1" max="1" width="10.42578125" bestFit="1" customWidth="1"/>
    <col min="2" max="2" width="11.5703125" customWidth="1"/>
    <col min="3" max="3" width="11.85546875" customWidth="1"/>
    <col min="4" max="4" width="6.28515625" customWidth="1"/>
    <col min="5" max="5" width="6.7109375" customWidth="1"/>
    <col min="6" max="6" width="10.85546875" customWidth="1"/>
    <col min="7" max="7" width="10.7109375" customWidth="1"/>
    <col min="8" max="8" width="7.85546875" customWidth="1"/>
    <col min="9" max="9" width="11.140625" customWidth="1"/>
    <col min="10" max="10" width="5.7109375" customWidth="1"/>
    <col min="11" max="11" width="9.85546875" customWidth="1"/>
    <col min="12" max="12" width="9.28515625" customWidth="1"/>
    <col min="13" max="13" width="11.42578125" customWidth="1"/>
    <col min="14" max="14" width="10.28515625" customWidth="1"/>
  </cols>
  <sheetData>
    <row r="1" spans="1:14" x14ac:dyDescent="0.25">
      <c r="A1" s="16" t="s">
        <v>92</v>
      </c>
      <c r="B1" s="17" t="s">
        <v>1</v>
      </c>
      <c r="C1" s="17" t="s">
        <v>2</v>
      </c>
      <c r="D1" s="18" t="s">
        <v>1</v>
      </c>
      <c r="E1" s="18" t="s">
        <v>2</v>
      </c>
      <c r="F1" s="19" t="s">
        <v>1</v>
      </c>
      <c r="G1" s="19" t="s">
        <v>2</v>
      </c>
      <c r="H1" s="19" t="s">
        <v>9</v>
      </c>
      <c r="I1" s="18" t="s">
        <v>10</v>
      </c>
      <c r="J1" s="16" t="s">
        <v>11</v>
      </c>
      <c r="K1" s="18" t="s">
        <v>10</v>
      </c>
      <c r="L1" s="18" t="s">
        <v>4</v>
      </c>
      <c r="M1" s="18" t="s">
        <v>67</v>
      </c>
      <c r="N1" s="18" t="s">
        <v>52</v>
      </c>
    </row>
    <row r="2" spans="1:14" x14ac:dyDescent="0.25">
      <c r="A2" s="25">
        <v>45962</v>
      </c>
      <c r="B2" s="46">
        <v>2607.5810000000001</v>
      </c>
      <c r="C2" s="46">
        <v>3846.8679999999999</v>
      </c>
      <c r="D2" s="47">
        <v>5185</v>
      </c>
      <c r="E2" s="47">
        <v>4889</v>
      </c>
      <c r="F2" s="13">
        <f t="shared" ref="F2:G31" si="0">B2*D2</f>
        <v>13520307.485000001</v>
      </c>
      <c r="G2" s="13">
        <f t="shared" si="0"/>
        <v>18807337.651999999</v>
      </c>
      <c r="H2" s="31">
        <v>72</v>
      </c>
      <c r="I2" s="13">
        <v>1464500</v>
      </c>
      <c r="J2" s="27">
        <v>18</v>
      </c>
      <c r="K2" s="13">
        <v>159000</v>
      </c>
      <c r="L2" s="13">
        <v>68000</v>
      </c>
      <c r="M2" s="13">
        <v>619000</v>
      </c>
      <c r="N2" s="13">
        <v>0</v>
      </c>
    </row>
    <row r="3" spans="1:14" x14ac:dyDescent="0.25">
      <c r="A3" s="25">
        <v>45963</v>
      </c>
      <c r="B3" s="46">
        <v>2346.5160000000001</v>
      </c>
      <c r="C3" s="46">
        <v>2482.1590000000001</v>
      </c>
      <c r="D3" s="47">
        <v>5185</v>
      </c>
      <c r="E3" s="47">
        <v>4889</v>
      </c>
      <c r="F3" s="13">
        <f t="shared" si="0"/>
        <v>12166685.460000001</v>
      </c>
      <c r="G3" s="13">
        <f t="shared" si="0"/>
        <v>12135275.351</v>
      </c>
      <c r="H3" s="26">
        <v>43.75</v>
      </c>
      <c r="I3" s="13">
        <v>891000</v>
      </c>
      <c r="J3" s="27">
        <v>64.5</v>
      </c>
      <c r="K3" s="13">
        <v>502000</v>
      </c>
      <c r="L3" s="13">
        <v>81000</v>
      </c>
      <c r="M3" s="13">
        <v>604000</v>
      </c>
      <c r="N3" s="13">
        <v>0</v>
      </c>
    </row>
    <row r="4" spans="1:14" x14ac:dyDescent="0.25">
      <c r="A4" s="25">
        <v>45964</v>
      </c>
      <c r="B4" s="46">
        <v>2812.15</v>
      </c>
      <c r="C4" s="46">
        <v>4107.0929999999998</v>
      </c>
      <c r="D4" s="47">
        <v>5185</v>
      </c>
      <c r="E4" s="47">
        <v>4889</v>
      </c>
      <c r="F4" s="13">
        <f t="shared" si="0"/>
        <v>14580997.75</v>
      </c>
      <c r="G4" s="13">
        <f t="shared" si="0"/>
        <v>20079577.677000001</v>
      </c>
      <c r="H4" s="26">
        <v>51.5</v>
      </c>
      <c r="I4" s="13">
        <v>1086000</v>
      </c>
      <c r="J4" s="27">
        <v>60.5</v>
      </c>
      <c r="K4" s="13">
        <v>532000</v>
      </c>
      <c r="L4" s="13">
        <v>200000</v>
      </c>
      <c r="M4" s="13">
        <v>484000</v>
      </c>
      <c r="N4" s="13">
        <v>144000</v>
      </c>
    </row>
    <row r="5" spans="1:14" x14ac:dyDescent="0.25">
      <c r="A5" s="25">
        <v>45965</v>
      </c>
      <c r="B5" s="46">
        <v>2305.7449999999999</v>
      </c>
      <c r="C5" s="46">
        <v>3967.5569999999998</v>
      </c>
      <c r="D5" s="47">
        <v>5185</v>
      </c>
      <c r="E5" s="47">
        <v>4889</v>
      </c>
      <c r="F5" s="13">
        <f t="shared" si="0"/>
        <v>11955287.824999999</v>
      </c>
      <c r="G5" s="13">
        <f t="shared" si="0"/>
        <v>19397386.173</v>
      </c>
      <c r="H5" s="26">
        <v>44</v>
      </c>
      <c r="I5" s="13">
        <v>985000</v>
      </c>
      <c r="J5" s="27">
        <v>43</v>
      </c>
      <c r="K5" s="13">
        <v>369000</v>
      </c>
      <c r="L5" s="13">
        <v>24000</v>
      </c>
      <c r="M5" s="13">
        <v>686000</v>
      </c>
      <c r="N5" s="13">
        <v>17500</v>
      </c>
    </row>
    <row r="6" spans="1:14" x14ac:dyDescent="0.25">
      <c r="A6" s="25">
        <v>45966</v>
      </c>
      <c r="B6" s="46">
        <v>2392.6619999999998</v>
      </c>
      <c r="C6" s="46">
        <v>3949.3449999999998</v>
      </c>
      <c r="D6" s="47">
        <v>5185</v>
      </c>
      <c r="E6" s="47">
        <v>4889</v>
      </c>
      <c r="F6" s="13">
        <f t="shared" si="0"/>
        <v>12405952.469999999</v>
      </c>
      <c r="G6" s="13">
        <f t="shared" si="0"/>
        <v>19308347.704999998</v>
      </c>
      <c r="H6" s="26">
        <v>40.25</v>
      </c>
      <c r="I6" s="13">
        <v>854000</v>
      </c>
      <c r="J6" s="27">
        <v>87.5</v>
      </c>
      <c r="K6" s="13">
        <v>651000</v>
      </c>
      <c r="L6" s="13">
        <v>31000</v>
      </c>
      <c r="M6" s="13">
        <v>443000</v>
      </c>
      <c r="N6" s="13">
        <v>17500</v>
      </c>
    </row>
    <row r="7" spans="1:14" x14ac:dyDescent="0.25">
      <c r="A7" s="25">
        <v>45967</v>
      </c>
      <c r="B7" s="46">
        <v>2072.5169999999998</v>
      </c>
      <c r="C7" s="46">
        <v>5873.1239999999998</v>
      </c>
      <c r="D7" s="47">
        <v>5185</v>
      </c>
      <c r="E7" s="47">
        <v>4889</v>
      </c>
      <c r="F7" s="13">
        <f t="shared" si="0"/>
        <v>10746000.645</v>
      </c>
      <c r="G7" s="13">
        <f t="shared" si="0"/>
        <v>28713703.235999998</v>
      </c>
      <c r="H7" s="26">
        <v>44</v>
      </c>
      <c r="I7" s="13">
        <v>868500</v>
      </c>
      <c r="J7" s="27">
        <v>70.5</v>
      </c>
      <c r="K7" s="13">
        <v>608000</v>
      </c>
      <c r="L7" s="13">
        <v>86000</v>
      </c>
      <c r="M7" s="13">
        <v>496500</v>
      </c>
      <c r="N7" s="13">
        <v>17500</v>
      </c>
    </row>
    <row r="8" spans="1:14" x14ac:dyDescent="0.25">
      <c r="A8" s="25">
        <v>45968</v>
      </c>
      <c r="B8" s="46">
        <v>2279.9479999999999</v>
      </c>
      <c r="C8" s="46">
        <v>3128.6759999999999</v>
      </c>
      <c r="D8" s="47">
        <v>5185</v>
      </c>
      <c r="E8" s="47">
        <v>4889</v>
      </c>
      <c r="F8" s="13">
        <f t="shared" si="0"/>
        <v>11821530.379999999</v>
      </c>
      <c r="G8" s="13">
        <f t="shared" si="0"/>
        <v>15296096.964</v>
      </c>
      <c r="H8" s="26">
        <v>67.25</v>
      </c>
      <c r="I8" s="13">
        <v>1347000</v>
      </c>
      <c r="J8" s="27">
        <v>60.5</v>
      </c>
      <c r="K8" s="13">
        <v>529000</v>
      </c>
      <c r="L8" s="13">
        <v>226000</v>
      </c>
      <c r="M8" s="13">
        <v>704000</v>
      </c>
      <c r="N8" s="13"/>
    </row>
    <row r="9" spans="1:14" x14ac:dyDescent="0.25">
      <c r="A9" s="25">
        <v>45969</v>
      </c>
      <c r="B9" s="46">
        <v>2300.2510000000002</v>
      </c>
      <c r="C9" s="46">
        <v>3276.68</v>
      </c>
      <c r="D9" s="47">
        <v>5185</v>
      </c>
      <c r="E9" s="47">
        <v>4889</v>
      </c>
      <c r="F9" s="13">
        <f t="shared" si="0"/>
        <v>11926801.435000001</v>
      </c>
      <c r="G9" s="13">
        <f t="shared" si="0"/>
        <v>16019688.52</v>
      </c>
      <c r="H9" s="26">
        <v>33.75</v>
      </c>
      <c r="I9" s="13">
        <v>694000</v>
      </c>
      <c r="J9" s="27">
        <v>108.5</v>
      </c>
      <c r="K9" s="13">
        <v>926000</v>
      </c>
      <c r="L9" s="13">
        <v>85000</v>
      </c>
      <c r="M9" s="13">
        <v>836000</v>
      </c>
      <c r="N9" s="13">
        <v>145500</v>
      </c>
    </row>
    <row r="10" spans="1:14" x14ac:dyDescent="0.25">
      <c r="A10" s="25">
        <v>45970</v>
      </c>
      <c r="B10" s="46">
        <v>2288.797</v>
      </c>
      <c r="C10" s="46">
        <v>2569.3510000000001</v>
      </c>
      <c r="D10" s="47">
        <v>5185</v>
      </c>
      <c r="E10" s="47">
        <v>4889</v>
      </c>
      <c r="F10" s="13">
        <f t="shared" si="0"/>
        <v>11867412.445</v>
      </c>
      <c r="G10" s="13">
        <f t="shared" si="0"/>
        <v>12561557.039000001</v>
      </c>
      <c r="H10" s="26">
        <v>69.5</v>
      </c>
      <c r="I10" s="13">
        <v>1600500</v>
      </c>
      <c r="J10" s="27">
        <v>24.5</v>
      </c>
      <c r="K10" s="13">
        <v>211000</v>
      </c>
      <c r="L10" s="13">
        <v>320000</v>
      </c>
      <c r="M10" s="13">
        <v>475500</v>
      </c>
      <c r="N10" s="13">
        <v>84500</v>
      </c>
    </row>
    <row r="11" spans="1:14" x14ac:dyDescent="0.25">
      <c r="A11" s="25">
        <v>45971</v>
      </c>
      <c r="B11" s="46">
        <v>2484.7959999999998</v>
      </c>
      <c r="C11" s="46">
        <v>5255.0839999999998</v>
      </c>
      <c r="D11" s="47">
        <v>5185</v>
      </c>
      <c r="E11" s="47">
        <v>4889</v>
      </c>
      <c r="F11" s="13">
        <f t="shared" si="0"/>
        <v>12883667.26</v>
      </c>
      <c r="G11" s="13">
        <f t="shared" si="0"/>
        <v>25692105.675999999</v>
      </c>
      <c r="H11" s="26">
        <v>118.5</v>
      </c>
      <c r="I11" s="13">
        <v>2262000</v>
      </c>
      <c r="J11" s="27">
        <v>131.5</v>
      </c>
      <c r="K11" s="13">
        <v>930000</v>
      </c>
      <c r="L11" s="13">
        <v>81000</v>
      </c>
      <c r="M11" s="13">
        <v>536000</v>
      </c>
      <c r="N11" s="13"/>
    </row>
    <row r="12" spans="1:14" x14ac:dyDescent="0.25">
      <c r="A12" s="25">
        <v>45972</v>
      </c>
      <c r="B12" s="46">
        <v>2433.652</v>
      </c>
      <c r="C12" s="46">
        <v>6857.3159999999998</v>
      </c>
      <c r="D12" s="47">
        <v>5185</v>
      </c>
      <c r="E12" s="47">
        <v>4889</v>
      </c>
      <c r="F12" s="13">
        <f t="shared" si="0"/>
        <v>12618485.620000001</v>
      </c>
      <c r="G12" s="13">
        <f t="shared" si="0"/>
        <v>33525417.923999999</v>
      </c>
      <c r="H12" s="26">
        <v>34.5</v>
      </c>
      <c r="I12" s="51">
        <v>694000</v>
      </c>
      <c r="J12" s="27">
        <v>43</v>
      </c>
      <c r="K12" s="13">
        <v>369000</v>
      </c>
      <c r="L12" s="13">
        <v>16000</v>
      </c>
      <c r="M12" s="13">
        <v>576500</v>
      </c>
      <c r="N12" s="13"/>
    </row>
    <row r="13" spans="1:14" x14ac:dyDescent="0.25">
      <c r="A13" s="25">
        <v>45973</v>
      </c>
      <c r="B13" s="46">
        <v>1906.0540000000001</v>
      </c>
      <c r="C13" s="46">
        <v>3943.4920000000002</v>
      </c>
      <c r="D13" s="47">
        <v>5185</v>
      </c>
      <c r="E13" s="47">
        <v>4889</v>
      </c>
      <c r="F13" s="13">
        <f t="shared" si="0"/>
        <v>9882889.9900000002</v>
      </c>
      <c r="G13" s="13">
        <f t="shared" si="0"/>
        <v>19279732.388</v>
      </c>
      <c r="H13" s="26">
        <v>10</v>
      </c>
      <c r="I13" s="13">
        <v>199000</v>
      </c>
      <c r="J13" s="27">
        <v>90.5</v>
      </c>
      <c r="K13" s="13">
        <v>717000</v>
      </c>
      <c r="L13" s="13">
        <v>30000</v>
      </c>
      <c r="M13" s="13">
        <v>444500</v>
      </c>
      <c r="N13" s="13">
        <v>84500</v>
      </c>
    </row>
    <row r="14" spans="1:14" x14ac:dyDescent="0.25">
      <c r="A14" s="25">
        <v>45974</v>
      </c>
      <c r="B14" s="46">
        <v>2013.0139999999999</v>
      </c>
      <c r="C14" s="46">
        <v>3806.3240000000001</v>
      </c>
      <c r="D14" s="47">
        <v>5185</v>
      </c>
      <c r="E14" s="47">
        <v>4889</v>
      </c>
      <c r="F14" s="13">
        <f t="shared" si="0"/>
        <v>10437477.59</v>
      </c>
      <c r="G14" s="13">
        <f t="shared" si="0"/>
        <v>18609118.036000002</v>
      </c>
      <c r="H14" s="26">
        <v>50.5</v>
      </c>
      <c r="I14" s="13">
        <v>1012500</v>
      </c>
      <c r="J14" s="27">
        <v>55</v>
      </c>
      <c r="K14" s="13">
        <v>475000</v>
      </c>
      <c r="L14" s="13">
        <v>119000</v>
      </c>
      <c r="M14" s="13">
        <v>704000</v>
      </c>
      <c r="N14" s="13">
        <v>84500</v>
      </c>
    </row>
    <row r="15" spans="1:14" x14ac:dyDescent="0.25">
      <c r="A15" s="25">
        <v>45975</v>
      </c>
      <c r="B15" s="46">
        <v>2201.5</v>
      </c>
      <c r="C15" s="46">
        <v>6648.5820000000003</v>
      </c>
      <c r="D15" s="47">
        <v>5185</v>
      </c>
      <c r="E15" s="47">
        <v>4889</v>
      </c>
      <c r="F15" s="13">
        <f t="shared" si="0"/>
        <v>11414777.5</v>
      </c>
      <c r="G15" s="13">
        <f t="shared" si="0"/>
        <v>32504917.398000002</v>
      </c>
      <c r="H15" s="13">
        <v>56.25</v>
      </c>
      <c r="I15" s="13">
        <v>1110500</v>
      </c>
      <c r="J15" s="27">
        <v>99</v>
      </c>
      <c r="K15" s="13">
        <v>842000</v>
      </c>
      <c r="L15" s="13">
        <v>47000</v>
      </c>
      <c r="M15" s="13">
        <v>631000</v>
      </c>
      <c r="N15" s="13"/>
    </row>
    <row r="16" spans="1:14" x14ac:dyDescent="0.25">
      <c r="A16" s="25">
        <v>45976</v>
      </c>
      <c r="B16" s="46">
        <v>2320.9549999999999</v>
      </c>
      <c r="C16" s="46">
        <v>7559.7820000000002</v>
      </c>
      <c r="D16" s="47">
        <v>5185</v>
      </c>
      <c r="E16" s="47">
        <v>4889</v>
      </c>
      <c r="F16" s="13">
        <f t="shared" si="0"/>
        <v>12034151.674999999</v>
      </c>
      <c r="G16" s="13">
        <f t="shared" si="0"/>
        <v>36959774.197999999</v>
      </c>
      <c r="H16" s="26">
        <v>45.5</v>
      </c>
      <c r="I16" s="13">
        <v>858500</v>
      </c>
      <c r="J16" s="27">
        <v>61.5</v>
      </c>
      <c r="K16" s="13">
        <v>527000</v>
      </c>
      <c r="L16" s="13">
        <v>86000</v>
      </c>
      <c r="M16" s="13">
        <v>788000</v>
      </c>
      <c r="N16" s="13">
        <v>135000</v>
      </c>
    </row>
    <row r="17" spans="1:14" x14ac:dyDescent="0.25">
      <c r="A17" s="25">
        <v>45977</v>
      </c>
      <c r="B17" s="46">
        <v>1838.6130000000001</v>
      </c>
      <c r="C17" s="46">
        <v>3141.9340000000002</v>
      </c>
      <c r="D17" s="47">
        <v>5185</v>
      </c>
      <c r="E17" s="47">
        <v>4889</v>
      </c>
      <c r="F17" s="13">
        <f>B17*D17</f>
        <v>9533208.4050000012</v>
      </c>
      <c r="G17" s="13">
        <f t="shared" si="0"/>
        <v>15360915.326000001</v>
      </c>
      <c r="H17" s="26">
        <v>42</v>
      </c>
      <c r="I17" s="13">
        <v>835000</v>
      </c>
      <c r="J17" s="27">
        <v>52</v>
      </c>
      <c r="K17" s="13">
        <v>450000</v>
      </c>
      <c r="L17" s="13">
        <v>66000</v>
      </c>
      <c r="M17" s="13">
        <v>527000</v>
      </c>
      <c r="N17" s="13">
        <v>84500</v>
      </c>
    </row>
    <row r="18" spans="1:14" x14ac:dyDescent="0.25">
      <c r="A18" s="25">
        <v>45978</v>
      </c>
      <c r="B18" s="46">
        <v>2396.0929999999998</v>
      </c>
      <c r="C18" s="46">
        <v>6059.2330000000002</v>
      </c>
      <c r="D18" s="47">
        <v>5185</v>
      </c>
      <c r="E18" s="47">
        <v>4889</v>
      </c>
      <c r="F18" s="13">
        <f t="shared" si="0"/>
        <v>12423742.205</v>
      </c>
      <c r="G18" s="13">
        <f t="shared" si="0"/>
        <v>29623590.137000002</v>
      </c>
      <c r="H18" s="26">
        <v>58.5</v>
      </c>
      <c r="I18" s="13">
        <v>1176000</v>
      </c>
      <c r="J18" s="12">
        <v>67.5</v>
      </c>
      <c r="K18" s="13">
        <v>580000</v>
      </c>
      <c r="L18" s="13">
        <v>38000</v>
      </c>
      <c r="M18" s="13">
        <v>563500</v>
      </c>
      <c r="N18" s="13">
        <v>84500</v>
      </c>
    </row>
    <row r="19" spans="1:14" x14ac:dyDescent="0.25">
      <c r="A19" s="25">
        <v>45979</v>
      </c>
      <c r="B19" s="46">
        <v>2055.145</v>
      </c>
      <c r="C19" s="46">
        <v>4270.4399999999996</v>
      </c>
      <c r="D19" s="47">
        <v>5185</v>
      </c>
      <c r="E19" s="47">
        <v>4889</v>
      </c>
      <c r="F19" s="13">
        <f t="shared" si="0"/>
        <v>10655926.824999999</v>
      </c>
      <c r="G19" s="13">
        <f t="shared" si="0"/>
        <v>20878181.159999996</v>
      </c>
      <c r="H19" s="26">
        <v>85.5</v>
      </c>
      <c r="I19" s="13">
        <v>1858500</v>
      </c>
      <c r="J19" s="12">
        <v>13</v>
      </c>
      <c r="K19" s="13">
        <v>134000</v>
      </c>
      <c r="L19" s="13">
        <v>61000</v>
      </c>
      <c r="M19" s="13">
        <v>407500</v>
      </c>
      <c r="N19" s="13">
        <v>84500</v>
      </c>
    </row>
    <row r="20" spans="1:14" x14ac:dyDescent="0.25">
      <c r="A20" s="25">
        <v>45980</v>
      </c>
      <c r="B20" s="46">
        <v>2067.0320000000002</v>
      </c>
      <c r="C20" s="46">
        <v>3366.223</v>
      </c>
      <c r="D20" s="47">
        <v>5185</v>
      </c>
      <c r="E20" s="47">
        <v>4889</v>
      </c>
      <c r="F20" s="13">
        <f t="shared" si="0"/>
        <v>10717560.92</v>
      </c>
      <c r="G20" s="13">
        <f t="shared" si="0"/>
        <v>16457464.247</v>
      </c>
      <c r="H20" s="26">
        <v>33.25</v>
      </c>
      <c r="I20" s="13">
        <v>669500</v>
      </c>
      <c r="J20" s="12">
        <v>74.5</v>
      </c>
      <c r="K20" s="13">
        <v>632000</v>
      </c>
      <c r="L20" s="13">
        <v>46000</v>
      </c>
      <c r="M20" s="13">
        <v>687000</v>
      </c>
      <c r="N20" s="13"/>
    </row>
    <row r="21" spans="1:14" x14ac:dyDescent="0.25">
      <c r="A21" s="25">
        <v>45981</v>
      </c>
      <c r="B21" s="46">
        <v>2010.81</v>
      </c>
      <c r="C21" s="46">
        <v>2542.34</v>
      </c>
      <c r="D21" s="47">
        <v>5185</v>
      </c>
      <c r="E21" s="47">
        <v>4889</v>
      </c>
      <c r="F21" s="13">
        <f t="shared" si="0"/>
        <v>10426049.85</v>
      </c>
      <c r="G21" s="13">
        <f t="shared" si="0"/>
        <v>12429500.260000002</v>
      </c>
      <c r="H21" s="26">
        <v>54</v>
      </c>
      <c r="I21" s="13">
        <v>1110500</v>
      </c>
      <c r="J21" s="12">
        <v>99.5</v>
      </c>
      <c r="K21" s="13">
        <v>757000</v>
      </c>
      <c r="L21" s="13">
        <v>48000</v>
      </c>
      <c r="M21" s="13">
        <v>571000</v>
      </c>
      <c r="N21" s="13"/>
    </row>
    <row r="22" spans="1:14" x14ac:dyDescent="0.25">
      <c r="A22" s="25">
        <v>45982</v>
      </c>
      <c r="B22" s="46">
        <v>2451.2939999999999</v>
      </c>
      <c r="C22" s="46">
        <v>2167.7199999999998</v>
      </c>
      <c r="D22" s="47">
        <v>5185</v>
      </c>
      <c r="E22" s="47">
        <v>4889</v>
      </c>
      <c r="F22" s="13">
        <f t="shared" si="0"/>
        <v>12709959.389999999</v>
      </c>
      <c r="G22" s="13">
        <f t="shared" si="0"/>
        <v>10597983.079999998</v>
      </c>
      <c r="H22" s="26">
        <v>55</v>
      </c>
      <c r="I22" s="13">
        <v>1180000</v>
      </c>
      <c r="J22" s="12">
        <v>45</v>
      </c>
      <c r="K22" s="13">
        <v>399000</v>
      </c>
      <c r="L22" s="13">
        <v>39000</v>
      </c>
      <c r="M22" s="13">
        <v>814000</v>
      </c>
      <c r="N22" s="13"/>
    </row>
    <row r="23" spans="1:14" x14ac:dyDescent="0.25">
      <c r="A23" s="25">
        <v>45983</v>
      </c>
      <c r="B23" s="46">
        <v>2281.2910000000002</v>
      </c>
      <c r="C23" s="46">
        <v>1716.4549999999999</v>
      </c>
      <c r="D23" s="47">
        <v>5185</v>
      </c>
      <c r="E23" s="47">
        <v>4889</v>
      </c>
      <c r="F23" s="13">
        <f t="shared" si="0"/>
        <v>11828493.835000001</v>
      </c>
      <c r="G23" s="13">
        <f t="shared" si="0"/>
        <v>8391748.4949999992</v>
      </c>
      <c r="H23" s="26">
        <v>420.5</v>
      </c>
      <c r="I23" s="13">
        <v>7701500</v>
      </c>
      <c r="J23" s="12">
        <v>73.5</v>
      </c>
      <c r="K23" s="13">
        <v>633000</v>
      </c>
      <c r="L23" s="13">
        <v>133000</v>
      </c>
      <c r="M23" s="13">
        <v>1030000</v>
      </c>
      <c r="N23" s="13"/>
    </row>
    <row r="24" spans="1:14" x14ac:dyDescent="0.25">
      <c r="A24" s="25">
        <v>45984</v>
      </c>
      <c r="B24" s="46">
        <v>1890.2349999999999</v>
      </c>
      <c r="C24" s="46">
        <v>2301.038</v>
      </c>
      <c r="D24" s="47">
        <v>5185</v>
      </c>
      <c r="E24" s="47">
        <v>4889</v>
      </c>
      <c r="F24" s="13">
        <f t="shared" si="0"/>
        <v>9800868.4749999996</v>
      </c>
      <c r="G24" s="13">
        <f t="shared" si="0"/>
        <v>11249774.782</v>
      </c>
      <c r="H24" s="26">
        <v>77.25</v>
      </c>
      <c r="I24" s="13">
        <v>1711500</v>
      </c>
      <c r="J24" s="12">
        <v>54.5</v>
      </c>
      <c r="K24" s="13">
        <v>476000</v>
      </c>
      <c r="L24" s="13">
        <v>54000</v>
      </c>
      <c r="M24" s="13">
        <v>870000</v>
      </c>
      <c r="N24" s="13">
        <v>120000</v>
      </c>
    </row>
    <row r="25" spans="1:14" x14ac:dyDescent="0.25">
      <c r="A25" s="25">
        <v>45985</v>
      </c>
      <c r="B25" s="46">
        <v>1968.492</v>
      </c>
      <c r="C25" s="46">
        <v>2699.402</v>
      </c>
      <c r="D25" s="47">
        <v>5185</v>
      </c>
      <c r="E25" s="47">
        <v>4889</v>
      </c>
      <c r="F25" s="13">
        <f t="shared" si="0"/>
        <v>10206631.02</v>
      </c>
      <c r="G25" s="13">
        <f t="shared" si="0"/>
        <v>13197376.378</v>
      </c>
      <c r="H25" s="26">
        <v>70</v>
      </c>
      <c r="I25" s="13">
        <v>1440000</v>
      </c>
      <c r="J25" s="12">
        <v>33.5</v>
      </c>
      <c r="K25" s="13">
        <v>292000</v>
      </c>
      <c r="L25" s="13">
        <v>55000</v>
      </c>
      <c r="M25" s="13">
        <v>470000</v>
      </c>
      <c r="N25" s="13"/>
    </row>
    <row r="26" spans="1:14" x14ac:dyDescent="0.25">
      <c r="A26" s="25">
        <v>45986</v>
      </c>
      <c r="B26" s="46">
        <v>1712.133</v>
      </c>
      <c r="C26" s="46">
        <v>5998.5339999999997</v>
      </c>
      <c r="D26" s="47">
        <v>5185</v>
      </c>
      <c r="E26" s="47">
        <v>4849</v>
      </c>
      <c r="F26" s="13">
        <f t="shared" si="0"/>
        <v>8877409.6050000004</v>
      </c>
      <c r="G26" s="13">
        <f t="shared" si="0"/>
        <v>29086891.365999997</v>
      </c>
      <c r="H26" s="26">
        <v>74</v>
      </c>
      <c r="I26" s="13">
        <v>1551000</v>
      </c>
      <c r="J26" s="12">
        <v>9</v>
      </c>
      <c r="K26" s="13">
        <v>81000</v>
      </c>
      <c r="L26" s="13">
        <v>143000</v>
      </c>
      <c r="M26" s="13">
        <v>534000</v>
      </c>
      <c r="N26" s="13"/>
    </row>
    <row r="27" spans="1:14" x14ac:dyDescent="0.25">
      <c r="A27" s="25">
        <v>45987</v>
      </c>
      <c r="B27" s="46">
        <v>1797.319</v>
      </c>
      <c r="C27" s="46">
        <v>4112.152</v>
      </c>
      <c r="D27" s="47">
        <v>5185</v>
      </c>
      <c r="E27" s="47">
        <v>4849</v>
      </c>
      <c r="F27" s="13">
        <f t="shared" si="0"/>
        <v>9319099.0150000006</v>
      </c>
      <c r="G27" s="13">
        <f t="shared" si="0"/>
        <v>19939825.048</v>
      </c>
      <c r="H27" s="26">
        <v>39.75</v>
      </c>
      <c r="I27" s="13">
        <v>842000</v>
      </c>
      <c r="J27" s="12">
        <v>365.5</v>
      </c>
      <c r="K27" s="13">
        <v>317000</v>
      </c>
      <c r="L27" s="13">
        <v>70000</v>
      </c>
      <c r="M27" s="13">
        <v>545000</v>
      </c>
      <c r="N27" s="13"/>
    </row>
    <row r="28" spans="1:14" x14ac:dyDescent="0.25">
      <c r="A28" s="25">
        <v>45988</v>
      </c>
      <c r="B28" s="46">
        <v>2202.8180000000002</v>
      </c>
      <c r="C28" s="46">
        <v>5482.6049999999996</v>
      </c>
      <c r="D28" s="47">
        <v>5185</v>
      </c>
      <c r="E28" s="47">
        <v>4849</v>
      </c>
      <c r="F28" s="13">
        <f t="shared" si="0"/>
        <v>11421611.330000002</v>
      </c>
      <c r="G28" s="13">
        <f t="shared" si="0"/>
        <v>26585151.645</v>
      </c>
      <c r="H28" s="26">
        <v>24.25</v>
      </c>
      <c r="I28" s="13">
        <v>464500</v>
      </c>
      <c r="J28" s="12">
        <v>48.5</v>
      </c>
      <c r="K28" s="13">
        <v>423000</v>
      </c>
      <c r="L28" s="13">
        <v>8000</v>
      </c>
      <c r="M28" s="13">
        <v>749000</v>
      </c>
      <c r="N28" s="13"/>
    </row>
    <row r="29" spans="1:14" x14ac:dyDescent="0.25">
      <c r="A29" s="25">
        <v>45989</v>
      </c>
      <c r="B29" s="46">
        <v>2502.288</v>
      </c>
      <c r="C29" s="46">
        <v>2973.5079999999998</v>
      </c>
      <c r="D29" s="47">
        <v>5185</v>
      </c>
      <c r="E29" s="47">
        <v>4849</v>
      </c>
      <c r="F29" s="13">
        <f t="shared" si="0"/>
        <v>12974363.279999999</v>
      </c>
      <c r="G29" s="13">
        <f t="shared" si="0"/>
        <v>14418540.291999999</v>
      </c>
      <c r="H29" s="26">
        <v>27.75</v>
      </c>
      <c r="I29" s="13">
        <v>596500</v>
      </c>
      <c r="J29" s="12">
        <v>55.5</v>
      </c>
      <c r="K29" s="13">
        <v>474000</v>
      </c>
      <c r="L29" s="13">
        <v>16000</v>
      </c>
      <c r="M29" s="13">
        <v>766000</v>
      </c>
      <c r="N29" s="13"/>
    </row>
    <row r="30" spans="1:14" x14ac:dyDescent="0.25">
      <c r="A30" s="25">
        <v>45990</v>
      </c>
      <c r="B30" s="46">
        <v>2863.009</v>
      </c>
      <c r="C30" s="46">
        <v>5794.3239999999996</v>
      </c>
      <c r="D30" s="47">
        <v>5185</v>
      </c>
      <c r="E30" s="47">
        <v>4849</v>
      </c>
      <c r="F30" s="13">
        <f t="shared" si="0"/>
        <v>14844701.665000001</v>
      </c>
      <c r="G30" s="13">
        <f t="shared" si="0"/>
        <v>28096677.075999998</v>
      </c>
      <c r="H30" s="26">
        <v>30.25</v>
      </c>
      <c r="I30" s="13">
        <v>772000</v>
      </c>
      <c r="J30" s="12">
        <v>49</v>
      </c>
      <c r="K30" s="13">
        <v>422000</v>
      </c>
      <c r="L30" s="13">
        <v>8000</v>
      </c>
      <c r="M30" s="13">
        <v>971000</v>
      </c>
      <c r="N30" s="13"/>
    </row>
    <row r="31" spans="1:14" x14ac:dyDescent="0.25">
      <c r="A31" s="25">
        <v>45991</v>
      </c>
      <c r="B31" s="46">
        <v>2013.921</v>
      </c>
      <c r="C31" s="46">
        <v>3657.0390000000002</v>
      </c>
      <c r="D31" s="47">
        <v>5185</v>
      </c>
      <c r="E31" s="47">
        <v>4849</v>
      </c>
      <c r="F31" s="13">
        <f t="shared" si="0"/>
        <v>10442180.385</v>
      </c>
      <c r="G31" s="13">
        <f t="shared" si="0"/>
        <v>17732982.111000001</v>
      </c>
      <c r="H31" s="26">
        <v>34.25</v>
      </c>
      <c r="I31" s="13">
        <v>372500</v>
      </c>
      <c r="J31" s="12">
        <v>34</v>
      </c>
      <c r="K31" s="13">
        <v>291000</v>
      </c>
      <c r="L31" s="13">
        <v>0</v>
      </c>
      <c r="M31" s="13">
        <v>1129500</v>
      </c>
      <c r="N31" s="13">
        <v>22500</v>
      </c>
    </row>
    <row r="32" spans="1:14" x14ac:dyDescent="0.25">
      <c r="A32" s="25" t="s">
        <v>94</v>
      </c>
      <c r="B32" s="46"/>
      <c r="C32" s="46"/>
      <c r="D32" s="47">
        <v>5185</v>
      </c>
      <c r="E32" s="47">
        <v>4849</v>
      </c>
      <c r="F32" s="13">
        <f t="shared" ref="F32:G32" si="1">B32*D32</f>
        <v>0</v>
      </c>
      <c r="G32" s="13">
        <f t="shared" si="1"/>
        <v>0</v>
      </c>
      <c r="H32" s="26"/>
      <c r="I32" s="13"/>
      <c r="J32" s="12"/>
      <c r="K32" s="13"/>
      <c r="L32" s="13"/>
      <c r="M32" s="13"/>
      <c r="N32" s="13"/>
    </row>
    <row r="33" spans="1:14" x14ac:dyDescent="0.25">
      <c r="A33" s="15"/>
      <c r="B33" s="37">
        <f>SUM(B1:B32)</f>
        <v>66816.630999999994</v>
      </c>
      <c r="C33" s="37">
        <f>SUM(C2:C32)</f>
        <v>123554.38</v>
      </c>
      <c r="D33" s="38"/>
      <c r="E33" s="38"/>
      <c r="F33" s="39">
        <f>SUM(F2:F32)</f>
        <v>346444231.73499995</v>
      </c>
      <c r="G33" s="39">
        <f>SUM(G2:G32)</f>
        <v>602936637.34000015</v>
      </c>
      <c r="H33" s="39">
        <f>SUM(H2:H32)</f>
        <v>1907.5</v>
      </c>
      <c r="I33" s="39">
        <f t="shared" ref="I33" si="2">SUM(I1:I32)</f>
        <v>38208000</v>
      </c>
      <c r="J33" s="39">
        <f>SUM(J1:J32)</f>
        <v>2092.5</v>
      </c>
      <c r="K33" s="39">
        <f>SUM(K1:K32)</f>
        <v>14708000</v>
      </c>
      <c r="L33" s="39">
        <f>SUM(L1:L32)</f>
        <v>2285000</v>
      </c>
      <c r="M33" s="38">
        <f>SUM(M2:M32)</f>
        <v>19662500</v>
      </c>
      <c r="N33" s="38">
        <f>SUM(N2:N32)</f>
        <v>1126500</v>
      </c>
    </row>
    <row r="34" spans="1:14" x14ac:dyDescent="0.25">
      <c r="E34" t="s">
        <v>62</v>
      </c>
    </row>
    <row r="35" spans="1:14" x14ac:dyDescent="0.25">
      <c r="A35" t="s">
        <v>91</v>
      </c>
      <c r="B35">
        <v>65000</v>
      </c>
      <c r="C35">
        <v>110000</v>
      </c>
      <c r="H35">
        <v>2510</v>
      </c>
      <c r="J35">
        <v>2300</v>
      </c>
      <c r="M35" s="63">
        <v>23000000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35"/>
  <sheetViews>
    <sheetView topLeftCell="A16" workbookViewId="0">
      <selection sqref="A1:Q34"/>
    </sheetView>
  </sheetViews>
  <sheetFormatPr defaultRowHeight="15" x14ac:dyDescent="0.25"/>
  <cols>
    <col min="1" max="1" width="11.28515625" customWidth="1"/>
    <col min="2" max="2" width="13.28515625" customWidth="1"/>
    <col min="3" max="3" width="11.28515625" customWidth="1"/>
    <col min="5" max="5" width="11" customWidth="1"/>
    <col min="6" max="6" width="13.28515625" customWidth="1"/>
    <col min="7" max="7" width="14.7109375" customWidth="1"/>
    <col min="8" max="8" width="9.7109375" customWidth="1"/>
    <col min="9" max="9" width="12.140625" customWidth="1"/>
    <col min="10" max="10" width="8.5703125" customWidth="1"/>
    <col min="11" max="11" width="10.42578125" customWidth="1"/>
    <col min="12" max="12" width="8.85546875" customWidth="1"/>
    <col min="13" max="13" width="11.42578125" customWidth="1"/>
    <col min="14" max="14" width="8.85546875" customWidth="1"/>
  </cols>
  <sheetData>
    <row r="1" spans="1:16" x14ac:dyDescent="0.25">
      <c r="A1" s="16" t="s">
        <v>92</v>
      </c>
      <c r="B1" s="17" t="s">
        <v>1</v>
      </c>
      <c r="C1" s="17" t="s">
        <v>2</v>
      </c>
      <c r="D1" s="18" t="s">
        <v>1</v>
      </c>
      <c r="E1" s="18" t="s">
        <v>2</v>
      </c>
      <c r="F1" s="19" t="s">
        <v>1</v>
      </c>
      <c r="G1" s="19" t="s">
        <v>2</v>
      </c>
      <c r="H1" s="19" t="s">
        <v>9</v>
      </c>
      <c r="I1" s="18" t="s">
        <v>10</v>
      </c>
      <c r="J1" s="16" t="s">
        <v>11</v>
      </c>
      <c r="K1" s="18" t="s">
        <v>10</v>
      </c>
      <c r="L1" s="18" t="s">
        <v>4</v>
      </c>
      <c r="M1" s="18" t="s">
        <v>67</v>
      </c>
      <c r="N1" s="18" t="s">
        <v>52</v>
      </c>
      <c r="O1" s="18" t="s">
        <v>67</v>
      </c>
      <c r="P1" s="18" t="s">
        <v>52</v>
      </c>
    </row>
    <row r="2" spans="1:16" x14ac:dyDescent="0.25">
      <c r="A2" s="25" t="s">
        <v>106</v>
      </c>
      <c r="B2" s="46">
        <v>1450.3610000000001</v>
      </c>
      <c r="C2" s="46">
        <v>3074.0259999999998</v>
      </c>
      <c r="D2" s="47">
        <v>5185</v>
      </c>
      <c r="E2" s="47">
        <v>4849</v>
      </c>
      <c r="F2" s="13">
        <f t="shared" ref="F2:G31" si="0">B2*D2</f>
        <v>7520121.7850000001</v>
      </c>
      <c r="G2" s="13">
        <f t="shared" si="0"/>
        <v>14905952.073999999</v>
      </c>
      <c r="H2" s="31">
        <v>14</v>
      </c>
      <c r="I2" s="13">
        <v>280500</v>
      </c>
      <c r="J2" s="27">
        <v>66.5</v>
      </c>
      <c r="K2" s="13">
        <v>821500</v>
      </c>
      <c r="L2" s="13">
        <v>8000</v>
      </c>
      <c r="M2" s="13">
        <v>573000</v>
      </c>
      <c r="N2" s="13">
        <v>76000</v>
      </c>
      <c r="O2" s="13"/>
      <c r="P2" s="13"/>
    </row>
    <row r="3" spans="1:16" x14ac:dyDescent="0.25">
      <c r="A3" s="25" t="s">
        <v>105</v>
      </c>
      <c r="B3" s="46">
        <v>2112.5610000000001</v>
      </c>
      <c r="C3" s="46">
        <v>3454.4070000000002</v>
      </c>
      <c r="D3" s="47">
        <v>5185</v>
      </c>
      <c r="E3" s="47">
        <v>4849</v>
      </c>
      <c r="F3" s="13">
        <f t="shared" si="0"/>
        <v>10953628.785</v>
      </c>
      <c r="G3" s="13">
        <f t="shared" si="0"/>
        <v>16750419.543000001</v>
      </c>
      <c r="H3" s="26">
        <v>89</v>
      </c>
      <c r="I3" s="13">
        <v>2054000</v>
      </c>
      <c r="J3" s="27">
        <v>107.5</v>
      </c>
      <c r="K3" s="13">
        <v>926000</v>
      </c>
      <c r="L3" s="13">
        <v>61000</v>
      </c>
      <c r="M3" s="13">
        <v>951000</v>
      </c>
      <c r="N3" s="13">
        <v>152000</v>
      </c>
      <c r="O3" s="13"/>
      <c r="P3" s="13"/>
    </row>
    <row r="4" spans="1:16" x14ac:dyDescent="0.25">
      <c r="A4" s="25" t="s">
        <v>104</v>
      </c>
      <c r="B4" s="46">
        <v>1867.9659999999999</v>
      </c>
      <c r="C4" s="46">
        <v>4317.1899999999996</v>
      </c>
      <c r="D4" s="47">
        <v>5185</v>
      </c>
      <c r="E4" s="47">
        <v>4849</v>
      </c>
      <c r="F4" s="13">
        <f t="shared" si="0"/>
        <v>9685403.709999999</v>
      </c>
      <c r="G4" s="13">
        <f t="shared" si="0"/>
        <v>20934054.309999999</v>
      </c>
      <c r="H4" s="26">
        <v>93.75</v>
      </c>
      <c r="I4" s="13">
        <v>2018500</v>
      </c>
      <c r="J4" s="27">
        <v>64</v>
      </c>
      <c r="K4" s="13">
        <v>556000</v>
      </c>
      <c r="L4" s="13">
        <v>111000</v>
      </c>
      <c r="M4" s="13">
        <v>997000</v>
      </c>
      <c r="N4" s="13"/>
      <c r="O4" s="13"/>
      <c r="P4" s="13"/>
    </row>
    <row r="5" spans="1:16" x14ac:dyDescent="0.25">
      <c r="A5" s="25" t="s">
        <v>103</v>
      </c>
      <c r="B5" s="46">
        <v>1809.9190000000001</v>
      </c>
      <c r="C5" s="46">
        <v>3355.0819999999999</v>
      </c>
      <c r="D5" s="47">
        <v>5185</v>
      </c>
      <c r="E5" s="47">
        <v>4849</v>
      </c>
      <c r="F5" s="13">
        <f t="shared" si="0"/>
        <v>9384430.0150000006</v>
      </c>
      <c r="G5" s="13">
        <f t="shared" si="0"/>
        <v>16268792.617999999</v>
      </c>
      <c r="H5" s="26">
        <v>79.5</v>
      </c>
      <c r="I5" s="13">
        <v>1723000</v>
      </c>
      <c r="J5" s="27">
        <v>72</v>
      </c>
      <c r="K5" s="13">
        <v>642000</v>
      </c>
      <c r="L5" s="13">
        <v>16000</v>
      </c>
      <c r="M5" s="13">
        <v>887000</v>
      </c>
      <c r="N5" s="13">
        <v>174500</v>
      </c>
      <c r="O5" s="13"/>
      <c r="P5" s="13"/>
    </row>
    <row r="6" spans="1:16" x14ac:dyDescent="0.25">
      <c r="A6" s="25" t="s">
        <v>95</v>
      </c>
      <c r="B6" s="46">
        <v>2429.52</v>
      </c>
      <c r="C6" s="46">
        <v>3174.422</v>
      </c>
      <c r="D6" s="47">
        <v>5185</v>
      </c>
      <c r="E6" s="47">
        <v>4849</v>
      </c>
      <c r="F6" s="13">
        <f t="shared" si="0"/>
        <v>12597061.199999999</v>
      </c>
      <c r="G6" s="13">
        <f t="shared" si="0"/>
        <v>15392772.278000001</v>
      </c>
      <c r="H6" s="26">
        <v>22.5</v>
      </c>
      <c r="I6" s="13">
        <v>405500</v>
      </c>
      <c r="J6" s="27">
        <v>93</v>
      </c>
      <c r="K6" s="13">
        <v>695000</v>
      </c>
      <c r="L6" s="13">
        <v>8000</v>
      </c>
      <c r="M6" s="13">
        <v>900000</v>
      </c>
      <c r="N6" s="13"/>
      <c r="O6" s="13"/>
      <c r="P6" s="13"/>
    </row>
    <row r="7" spans="1:16" x14ac:dyDescent="0.25">
      <c r="A7" s="25" t="s">
        <v>102</v>
      </c>
      <c r="B7" s="46">
        <v>2775.3420000000001</v>
      </c>
      <c r="C7" s="46">
        <v>3409.011</v>
      </c>
      <c r="D7" s="47">
        <v>5185</v>
      </c>
      <c r="E7" s="47">
        <v>3409.011</v>
      </c>
      <c r="F7" s="13">
        <f t="shared" si="0"/>
        <v>14390148.270000001</v>
      </c>
      <c r="G7" s="13" t="s">
        <v>62</v>
      </c>
      <c r="H7" s="26">
        <v>33.25</v>
      </c>
      <c r="I7" s="13">
        <v>704500</v>
      </c>
      <c r="J7" s="27">
        <v>37.5</v>
      </c>
      <c r="K7" s="13">
        <v>312000</v>
      </c>
      <c r="L7" s="13">
        <v>23000</v>
      </c>
      <c r="M7" s="13">
        <v>973000</v>
      </c>
      <c r="N7" s="13"/>
      <c r="O7" s="13"/>
      <c r="P7" s="13"/>
    </row>
    <row r="8" spans="1:16" x14ac:dyDescent="0.25">
      <c r="A8" s="25" t="s">
        <v>101</v>
      </c>
      <c r="B8" s="46">
        <v>1797.991</v>
      </c>
      <c r="C8" s="46">
        <v>2234.1</v>
      </c>
      <c r="D8" s="47">
        <v>5185</v>
      </c>
      <c r="E8" s="47">
        <v>4889</v>
      </c>
      <c r="F8" s="13">
        <f t="shared" si="0"/>
        <v>9322583.334999999</v>
      </c>
      <c r="G8" s="13">
        <f t="shared" si="0"/>
        <v>10922514.9</v>
      </c>
      <c r="H8" s="26">
        <v>31.25</v>
      </c>
      <c r="I8" s="13">
        <v>640000</v>
      </c>
      <c r="J8" s="27">
        <v>160</v>
      </c>
      <c r="K8" s="13">
        <v>1162000</v>
      </c>
      <c r="L8" s="13">
        <v>53000</v>
      </c>
      <c r="M8" s="13">
        <v>706000</v>
      </c>
      <c r="N8" s="13"/>
      <c r="O8" s="13"/>
      <c r="P8" s="13"/>
    </row>
    <row r="9" spans="1:16" x14ac:dyDescent="0.25">
      <c r="A9" s="25" t="s">
        <v>99</v>
      </c>
      <c r="B9" s="46">
        <v>2205.9059999999999</v>
      </c>
      <c r="C9" s="46">
        <v>4054.7249999999999</v>
      </c>
      <c r="D9" s="47">
        <v>5149</v>
      </c>
      <c r="E9" s="47">
        <v>4672</v>
      </c>
      <c r="F9" s="13">
        <f t="shared" si="0"/>
        <v>11358209.993999999</v>
      </c>
      <c r="G9" s="13">
        <f t="shared" si="0"/>
        <v>18943675.199999999</v>
      </c>
      <c r="H9" s="26">
        <v>79.5</v>
      </c>
      <c r="I9" s="13">
        <v>1622500</v>
      </c>
      <c r="J9" s="27">
        <v>42</v>
      </c>
      <c r="K9" s="13">
        <v>374000</v>
      </c>
      <c r="L9" s="13">
        <v>62000</v>
      </c>
      <c r="M9" s="13">
        <v>733000</v>
      </c>
      <c r="N9" s="13"/>
      <c r="O9" s="13"/>
      <c r="P9" s="13"/>
    </row>
    <row r="10" spans="1:16" x14ac:dyDescent="0.25">
      <c r="A10" s="25" t="s">
        <v>100</v>
      </c>
      <c r="B10" s="46">
        <v>2675.4549999999999</v>
      </c>
      <c r="C10" s="46">
        <v>3409.3449999999998</v>
      </c>
      <c r="D10" s="47">
        <v>5149</v>
      </c>
      <c r="E10" s="47">
        <v>4672</v>
      </c>
      <c r="F10" s="13">
        <f t="shared" si="0"/>
        <v>13775917.795</v>
      </c>
      <c r="G10" s="13">
        <f t="shared" si="0"/>
        <v>15928459.84</v>
      </c>
      <c r="H10" s="26">
        <v>76</v>
      </c>
      <c r="I10" s="13">
        <v>1602500</v>
      </c>
      <c r="J10" s="27">
        <v>48.5</v>
      </c>
      <c r="K10" s="13">
        <v>211000</v>
      </c>
      <c r="L10" s="13">
        <v>15000</v>
      </c>
      <c r="M10" s="13">
        <v>731000</v>
      </c>
      <c r="N10" s="13"/>
      <c r="O10" s="13"/>
      <c r="P10" s="13"/>
    </row>
    <row r="11" spans="1:16" x14ac:dyDescent="0.25">
      <c r="A11" s="25" t="s">
        <v>98</v>
      </c>
      <c r="B11" s="46">
        <v>1978.7159999999999</v>
      </c>
      <c r="C11" s="46">
        <v>6336.9030000000002</v>
      </c>
      <c r="D11" s="47">
        <v>5149</v>
      </c>
      <c r="E11" s="47">
        <v>4672</v>
      </c>
      <c r="F11" s="13">
        <f t="shared" si="0"/>
        <v>10188408.684</v>
      </c>
      <c r="G11" s="13">
        <f t="shared" si="0"/>
        <v>29606010.816</v>
      </c>
      <c r="H11" s="26">
        <v>35.75</v>
      </c>
      <c r="I11" s="13">
        <v>739500</v>
      </c>
      <c r="J11" s="27">
        <v>58</v>
      </c>
      <c r="K11" s="13">
        <v>503000</v>
      </c>
      <c r="L11" s="13">
        <v>8000</v>
      </c>
      <c r="M11" s="13">
        <v>325000</v>
      </c>
      <c r="N11" s="13"/>
      <c r="O11" s="13"/>
      <c r="P11" s="13"/>
    </row>
    <row r="12" spans="1:16" x14ac:dyDescent="0.25">
      <c r="A12" s="25" t="s">
        <v>97</v>
      </c>
      <c r="B12" s="46">
        <v>2127.9989999999998</v>
      </c>
      <c r="C12" s="46">
        <v>2782.5050000000001</v>
      </c>
      <c r="D12" s="47">
        <v>5149</v>
      </c>
      <c r="E12" s="47">
        <v>4672</v>
      </c>
      <c r="F12" s="13">
        <f t="shared" si="0"/>
        <v>10957066.851</v>
      </c>
      <c r="G12" s="13">
        <f t="shared" si="0"/>
        <v>12999863.360000001</v>
      </c>
      <c r="H12" s="26">
        <v>37.75</v>
      </c>
      <c r="I12" s="51">
        <v>797500</v>
      </c>
      <c r="J12" s="27">
        <v>24</v>
      </c>
      <c r="K12" s="13">
        <v>212000</v>
      </c>
      <c r="L12" s="13">
        <v>31000</v>
      </c>
      <c r="M12" s="13">
        <v>514000</v>
      </c>
      <c r="N12" s="13">
        <v>76000</v>
      </c>
      <c r="O12" s="13"/>
      <c r="P12" s="13"/>
    </row>
    <row r="13" spans="1:16" x14ac:dyDescent="0.25">
      <c r="A13" s="25" t="s">
        <v>96</v>
      </c>
      <c r="B13" s="46">
        <v>2303.462</v>
      </c>
      <c r="C13" s="46">
        <v>9201.6059999999998</v>
      </c>
      <c r="D13" s="47">
        <v>5149</v>
      </c>
      <c r="E13" s="47">
        <v>4672</v>
      </c>
      <c r="F13" s="13">
        <f t="shared" si="0"/>
        <v>11860525.838</v>
      </c>
      <c r="G13" s="13">
        <f t="shared" si="0"/>
        <v>42989903.232000001</v>
      </c>
      <c r="H13" s="26">
        <v>48.25</v>
      </c>
      <c r="I13" s="13">
        <v>998500</v>
      </c>
      <c r="J13" s="27">
        <v>49</v>
      </c>
      <c r="K13" s="13">
        <v>425000</v>
      </c>
      <c r="L13" s="13">
        <v>94000</v>
      </c>
      <c r="M13" s="13">
        <v>716000</v>
      </c>
      <c r="N13" s="13">
        <v>76000</v>
      </c>
      <c r="O13" s="13"/>
      <c r="P13" s="13"/>
    </row>
    <row r="14" spans="1:16" x14ac:dyDescent="0.25">
      <c r="A14" s="25" t="s">
        <v>107</v>
      </c>
      <c r="B14" s="46">
        <v>2468.1239999999998</v>
      </c>
      <c r="C14" s="46">
        <v>4847.5119999999997</v>
      </c>
      <c r="D14" s="47">
        <v>5149</v>
      </c>
      <c r="E14" s="47">
        <v>4672</v>
      </c>
      <c r="F14" s="13">
        <f t="shared" si="0"/>
        <v>12708370.476</v>
      </c>
      <c r="G14" s="13" t="s">
        <v>62</v>
      </c>
      <c r="H14" s="26">
        <v>6.25</v>
      </c>
      <c r="I14" s="13">
        <v>121000</v>
      </c>
      <c r="J14" s="27">
        <v>24.5</v>
      </c>
      <c r="K14" s="13">
        <v>211000</v>
      </c>
      <c r="L14" s="13" t="s">
        <v>62</v>
      </c>
      <c r="M14" s="13">
        <v>695000</v>
      </c>
      <c r="N14" s="13"/>
      <c r="O14" s="13"/>
      <c r="P14" s="13"/>
    </row>
    <row r="15" spans="1:16" x14ac:dyDescent="0.25">
      <c r="A15" s="25" t="s">
        <v>108</v>
      </c>
      <c r="B15" s="46">
        <v>1667.789</v>
      </c>
      <c r="C15" s="46">
        <v>2786.134</v>
      </c>
      <c r="D15" s="47">
        <v>5149</v>
      </c>
      <c r="E15" s="47">
        <v>4672</v>
      </c>
      <c r="F15" s="13">
        <f t="shared" si="0"/>
        <v>8587445.5610000007</v>
      </c>
      <c r="G15" s="13">
        <f t="shared" si="0"/>
        <v>13016818.048</v>
      </c>
      <c r="H15" s="13">
        <v>21.5</v>
      </c>
      <c r="I15" s="13">
        <v>416000</v>
      </c>
      <c r="J15" s="27">
        <v>36</v>
      </c>
      <c r="K15" s="13">
        <v>575000</v>
      </c>
      <c r="L15" s="13">
        <v>16000</v>
      </c>
      <c r="M15" s="13">
        <v>480000</v>
      </c>
      <c r="N15" s="13"/>
      <c r="O15" s="13"/>
      <c r="P15" s="13"/>
    </row>
    <row r="16" spans="1:16" x14ac:dyDescent="0.25">
      <c r="A16" s="25" t="s">
        <v>109</v>
      </c>
      <c r="B16" s="46">
        <v>2108.4960000000001</v>
      </c>
      <c r="C16" s="46">
        <v>2103.1</v>
      </c>
      <c r="D16" s="47">
        <v>5149</v>
      </c>
      <c r="E16" s="47">
        <v>4672</v>
      </c>
      <c r="F16" s="13">
        <f t="shared" si="0"/>
        <v>10856645.904000001</v>
      </c>
      <c r="G16" s="13">
        <f t="shared" si="0"/>
        <v>9825683.1999999993</v>
      </c>
      <c r="H16" s="26">
        <v>66</v>
      </c>
      <c r="I16" s="13">
        <v>1393500</v>
      </c>
      <c r="J16" s="27">
        <v>66.5</v>
      </c>
      <c r="K16" s="13">
        <v>582000</v>
      </c>
      <c r="L16" s="13">
        <v>25000</v>
      </c>
      <c r="M16" s="13">
        <v>543600</v>
      </c>
      <c r="N16" s="13">
        <v>76000</v>
      </c>
      <c r="O16" s="13"/>
      <c r="P16" s="13"/>
    </row>
    <row r="17" spans="1:16" x14ac:dyDescent="0.25">
      <c r="A17" s="25" t="s">
        <v>110</v>
      </c>
      <c r="B17" s="46">
        <v>2340.4960000000001</v>
      </c>
      <c r="C17" s="46">
        <v>4542.5600000000004</v>
      </c>
      <c r="D17" s="47">
        <v>5149</v>
      </c>
      <c r="E17" s="47">
        <v>4672</v>
      </c>
      <c r="F17" s="13">
        <f>B17*D17</f>
        <v>12051213.904000001</v>
      </c>
      <c r="G17" s="13">
        <f t="shared" si="0"/>
        <v>21222840.32</v>
      </c>
      <c r="H17" s="26">
        <v>76</v>
      </c>
      <c r="I17" s="13">
        <v>1542000</v>
      </c>
      <c r="J17" s="27">
        <v>13</v>
      </c>
      <c r="K17" s="13">
        <v>105000</v>
      </c>
      <c r="L17" s="13">
        <v>45000</v>
      </c>
      <c r="M17" s="13">
        <v>593000</v>
      </c>
      <c r="N17" s="13"/>
      <c r="O17" s="13"/>
      <c r="P17" s="13"/>
    </row>
    <row r="18" spans="1:16" x14ac:dyDescent="0.25">
      <c r="A18" s="25" t="s">
        <v>111</v>
      </c>
      <c r="B18" s="46">
        <v>2119.0340000000001</v>
      </c>
      <c r="C18" s="46">
        <v>3824.4259999999999</v>
      </c>
      <c r="D18" s="47">
        <v>5149</v>
      </c>
      <c r="E18" s="47">
        <v>4672</v>
      </c>
      <c r="F18" s="13">
        <f t="shared" si="0"/>
        <v>10910906.066</v>
      </c>
      <c r="G18" s="13">
        <f t="shared" si="0"/>
        <v>17867718.272</v>
      </c>
      <c r="H18" s="26">
        <v>99</v>
      </c>
      <c r="I18" s="13">
        <v>2061000</v>
      </c>
      <c r="J18" s="12">
        <v>74</v>
      </c>
      <c r="K18" s="13">
        <v>633000</v>
      </c>
      <c r="L18" s="13">
        <v>173000</v>
      </c>
      <c r="M18" s="13">
        <v>481000</v>
      </c>
      <c r="N18" s="13"/>
      <c r="O18" s="13"/>
      <c r="P18" s="13"/>
    </row>
    <row r="19" spans="1:16" x14ac:dyDescent="0.25">
      <c r="A19" s="25" t="s">
        <v>112</v>
      </c>
      <c r="B19" s="46">
        <v>2267.2379999999998</v>
      </c>
      <c r="C19" s="46">
        <v>3555.1979999999999</v>
      </c>
      <c r="D19" s="47">
        <v>5149</v>
      </c>
      <c r="E19" s="47">
        <v>4672</v>
      </c>
      <c r="F19" s="13">
        <f t="shared" si="0"/>
        <v>11674008.461999999</v>
      </c>
      <c r="G19" s="13">
        <f t="shared" si="0"/>
        <v>16609885.056</v>
      </c>
      <c r="H19" s="26">
        <v>8</v>
      </c>
      <c r="I19" s="13">
        <v>140500</v>
      </c>
      <c r="J19" s="12">
        <v>141</v>
      </c>
      <c r="K19" s="13">
        <v>1014000</v>
      </c>
      <c r="L19" s="13"/>
      <c r="M19" s="13">
        <v>622000</v>
      </c>
      <c r="N19" s="13">
        <v>76000</v>
      </c>
      <c r="O19" s="13"/>
      <c r="P19" s="13"/>
    </row>
    <row r="20" spans="1:16" x14ac:dyDescent="0.25">
      <c r="A20" s="25" t="s">
        <v>113</v>
      </c>
      <c r="B20" s="46">
        <v>2851.6</v>
      </c>
      <c r="C20" s="46">
        <v>4438.0379999999996</v>
      </c>
      <c r="D20" s="47">
        <v>5149</v>
      </c>
      <c r="E20" s="47">
        <v>4672</v>
      </c>
      <c r="F20" s="13">
        <f t="shared" si="0"/>
        <v>14682888.4</v>
      </c>
      <c r="G20" s="13">
        <f t="shared" si="0"/>
        <v>20734513.535999998</v>
      </c>
      <c r="H20" s="26">
        <v>67.5</v>
      </c>
      <c r="I20" s="13">
        <v>1499500</v>
      </c>
      <c r="J20" s="12">
        <v>55</v>
      </c>
      <c r="K20" s="13">
        <v>475000</v>
      </c>
      <c r="L20" s="13">
        <v>148000</v>
      </c>
      <c r="M20" s="13">
        <v>820000</v>
      </c>
      <c r="N20" s="13"/>
      <c r="O20" s="13"/>
      <c r="P20" s="13"/>
    </row>
    <row r="21" spans="1:16" x14ac:dyDescent="0.25">
      <c r="A21" s="25" t="s">
        <v>114</v>
      </c>
      <c r="B21" s="46">
        <v>2714.1990000000001</v>
      </c>
      <c r="C21" s="46">
        <v>4772.2809999999999</v>
      </c>
      <c r="D21" s="47">
        <v>5149</v>
      </c>
      <c r="E21" s="47">
        <v>4672</v>
      </c>
      <c r="F21" s="13">
        <f t="shared" si="0"/>
        <v>13975410.651000001</v>
      </c>
      <c r="G21" s="13">
        <f t="shared" si="0"/>
        <v>22296096.831999999</v>
      </c>
      <c r="H21" s="26">
        <v>31.75</v>
      </c>
      <c r="I21" s="13">
        <v>633000</v>
      </c>
      <c r="J21" s="12">
        <v>107.5</v>
      </c>
      <c r="K21" s="13">
        <v>808000</v>
      </c>
      <c r="L21" s="13">
        <v>31000</v>
      </c>
      <c r="M21" s="13">
        <v>959000</v>
      </c>
      <c r="N21" s="13"/>
      <c r="O21" s="13"/>
      <c r="P21" s="13"/>
    </row>
    <row r="22" spans="1:16" x14ac:dyDescent="0.25">
      <c r="A22" s="25" t="s">
        <v>115</v>
      </c>
      <c r="B22" s="46">
        <v>1664.5540000000001</v>
      </c>
      <c r="C22" s="46">
        <v>3909.913</v>
      </c>
      <c r="D22" s="47">
        <v>5149</v>
      </c>
      <c r="E22" s="47">
        <v>4672</v>
      </c>
      <c r="F22" s="13">
        <f t="shared" si="0"/>
        <v>8570788.5460000001</v>
      </c>
      <c r="G22" s="13">
        <f t="shared" si="0"/>
        <v>18267113.535999998</v>
      </c>
      <c r="H22" s="26">
        <v>66.5</v>
      </c>
      <c r="I22" s="13">
        <v>1513000</v>
      </c>
      <c r="J22" s="12">
        <v>80</v>
      </c>
      <c r="K22" s="13">
        <v>685000</v>
      </c>
      <c r="L22" s="13">
        <v>226000</v>
      </c>
      <c r="M22" s="13">
        <v>1433400</v>
      </c>
      <c r="N22" s="13"/>
      <c r="O22" s="13"/>
      <c r="P22" s="13"/>
    </row>
    <row r="23" spans="1:16" x14ac:dyDescent="0.25">
      <c r="A23" s="25" t="s">
        <v>116</v>
      </c>
      <c r="B23" s="46">
        <v>3020.6709999999998</v>
      </c>
      <c r="C23" s="46"/>
      <c r="D23" s="47">
        <v>5149</v>
      </c>
      <c r="E23" s="47">
        <v>4672</v>
      </c>
      <c r="F23" s="13">
        <f t="shared" si="0"/>
        <v>15553434.978999998</v>
      </c>
      <c r="G23" s="13">
        <f t="shared" si="0"/>
        <v>0</v>
      </c>
      <c r="H23" s="26">
        <v>59.5</v>
      </c>
      <c r="I23" s="13">
        <v>1195500</v>
      </c>
      <c r="J23" s="12">
        <v>45.5</v>
      </c>
      <c r="K23" s="13">
        <v>398000</v>
      </c>
      <c r="L23" s="13">
        <v>38000</v>
      </c>
      <c r="M23" s="13">
        <v>907000</v>
      </c>
      <c r="N23" s="13">
        <v>76000</v>
      </c>
      <c r="O23" s="13"/>
      <c r="P23" s="13"/>
    </row>
    <row r="24" spans="1:16" x14ac:dyDescent="0.25">
      <c r="A24" s="25" t="s">
        <v>117</v>
      </c>
      <c r="B24" s="46">
        <v>5271.7749999999996</v>
      </c>
      <c r="C24" s="46">
        <v>4270.99</v>
      </c>
      <c r="D24" s="47">
        <v>5149</v>
      </c>
      <c r="E24" s="47">
        <v>4672</v>
      </c>
      <c r="F24" s="13">
        <f t="shared" si="0"/>
        <v>27144369.474999998</v>
      </c>
      <c r="G24" s="13">
        <f t="shared" si="0"/>
        <v>19954065.279999997</v>
      </c>
      <c r="H24" s="26">
        <v>56.5</v>
      </c>
      <c r="I24" s="13">
        <v>1213000</v>
      </c>
      <c r="J24" s="12">
        <v>202</v>
      </c>
      <c r="K24" s="13">
        <v>1745000</v>
      </c>
      <c r="L24" s="13">
        <v>40000</v>
      </c>
      <c r="M24" s="13">
        <v>1494000</v>
      </c>
      <c r="N24" s="13">
        <v>346000</v>
      </c>
      <c r="O24" s="13"/>
      <c r="P24" s="13"/>
    </row>
    <row r="25" spans="1:16" x14ac:dyDescent="0.25">
      <c r="A25" s="25" t="s">
        <v>118</v>
      </c>
      <c r="B25" s="46">
        <v>5077.4690000000001</v>
      </c>
      <c r="C25" s="46">
        <v>3527.971</v>
      </c>
      <c r="D25" s="47">
        <v>5149</v>
      </c>
      <c r="E25" s="47">
        <v>4672</v>
      </c>
      <c r="F25" s="13">
        <f t="shared" si="0"/>
        <v>26143887.881000001</v>
      </c>
      <c r="G25" s="13">
        <f t="shared" si="0"/>
        <v>16482680.512</v>
      </c>
      <c r="H25" s="26">
        <v>64</v>
      </c>
      <c r="I25" s="13">
        <v>1399300</v>
      </c>
      <c r="J25" s="12">
        <v>125</v>
      </c>
      <c r="K25" s="13">
        <v>1084000</v>
      </c>
      <c r="L25" s="13">
        <v>69000</v>
      </c>
      <c r="M25" s="13">
        <v>2182000</v>
      </c>
      <c r="N25" s="13">
        <v>363000</v>
      </c>
      <c r="O25" s="13"/>
      <c r="P25" s="13"/>
    </row>
    <row r="26" spans="1:16" x14ac:dyDescent="0.25">
      <c r="A26" s="25" t="s">
        <v>119</v>
      </c>
      <c r="B26" s="46">
        <v>2034.4659999999999</v>
      </c>
      <c r="C26" s="46">
        <v>1282.2349999999999</v>
      </c>
      <c r="D26" s="47">
        <v>5149</v>
      </c>
      <c r="E26" s="47">
        <v>4672</v>
      </c>
      <c r="F26" s="13">
        <f t="shared" si="0"/>
        <v>10475465.434</v>
      </c>
      <c r="G26" s="13">
        <f t="shared" si="0"/>
        <v>5990601.9199999999</v>
      </c>
      <c r="H26" s="26">
        <v>39</v>
      </c>
      <c r="I26" s="13">
        <v>820000</v>
      </c>
      <c r="J26" s="12">
        <v>48</v>
      </c>
      <c r="K26" s="13">
        <v>424000</v>
      </c>
      <c r="L26" s="13">
        <v>101000</v>
      </c>
      <c r="M26" s="13">
        <v>586000</v>
      </c>
      <c r="N26" s="13"/>
      <c r="O26" s="13"/>
      <c r="P26" s="13"/>
    </row>
    <row r="27" spans="1:16" x14ac:dyDescent="0.25">
      <c r="A27" s="25" t="s">
        <v>120</v>
      </c>
      <c r="B27" s="46">
        <v>3111.0549999999998</v>
      </c>
      <c r="C27" s="46">
        <v>5922.6090000000004</v>
      </c>
      <c r="D27" s="47">
        <v>5149</v>
      </c>
      <c r="E27" s="47">
        <v>4672</v>
      </c>
      <c r="F27" s="13">
        <f t="shared" si="0"/>
        <v>16018822.194999998</v>
      </c>
      <c r="G27" s="13">
        <f t="shared" si="0"/>
        <v>27670429.248000003</v>
      </c>
      <c r="H27" s="26">
        <v>51.5</v>
      </c>
      <c r="I27" s="13">
        <v>1101000</v>
      </c>
      <c r="J27" s="12">
        <v>49</v>
      </c>
      <c r="K27" s="13">
        <v>425000</v>
      </c>
      <c r="L27" s="13">
        <v>76000</v>
      </c>
      <c r="M27" s="13">
        <v>661000</v>
      </c>
      <c r="N27" s="13"/>
      <c r="O27" s="13"/>
      <c r="P27" s="13"/>
    </row>
    <row r="28" spans="1:16" x14ac:dyDescent="0.25">
      <c r="A28" s="25" t="s">
        <v>121</v>
      </c>
      <c r="B28" s="46">
        <v>4396.3649999999998</v>
      </c>
      <c r="C28" s="46">
        <v>2125.078</v>
      </c>
      <c r="D28" s="47">
        <v>5149</v>
      </c>
      <c r="E28" s="47">
        <v>4672</v>
      </c>
      <c r="F28" s="13">
        <f t="shared" si="0"/>
        <v>22636883.384999998</v>
      </c>
      <c r="G28" s="13">
        <f t="shared" si="0"/>
        <v>9928364.4159999993</v>
      </c>
      <c r="H28" s="26">
        <v>12</v>
      </c>
      <c r="I28" s="13">
        <v>227000</v>
      </c>
      <c r="J28" s="12">
        <v>24</v>
      </c>
      <c r="K28" s="13">
        <v>212000</v>
      </c>
      <c r="L28" s="13">
        <v>16000</v>
      </c>
      <c r="M28" s="13">
        <v>943000</v>
      </c>
      <c r="N28" s="13">
        <v>152000</v>
      </c>
      <c r="O28" s="13"/>
      <c r="P28" s="13"/>
    </row>
    <row r="29" spans="1:16" x14ac:dyDescent="0.25">
      <c r="A29" s="25" t="s">
        <v>122</v>
      </c>
      <c r="B29" s="46">
        <v>2870.9989999999998</v>
      </c>
      <c r="C29" s="46">
        <v>5641.402</v>
      </c>
      <c r="D29" s="47">
        <v>5149</v>
      </c>
      <c r="E29" s="47">
        <v>4672</v>
      </c>
      <c r="F29" s="13">
        <f t="shared" si="0"/>
        <v>14782773.851</v>
      </c>
      <c r="G29" s="13">
        <f t="shared" si="0"/>
        <v>26356630.144000001</v>
      </c>
      <c r="H29" s="26">
        <v>59</v>
      </c>
      <c r="I29" s="13">
        <v>1239000</v>
      </c>
      <c r="J29" s="12">
        <v>39.5</v>
      </c>
      <c r="K29" s="13">
        <v>345000</v>
      </c>
      <c r="L29" s="13">
        <v>188000</v>
      </c>
      <c r="M29" s="13">
        <v>1002000</v>
      </c>
      <c r="N29" s="13">
        <v>76000</v>
      </c>
      <c r="O29" s="13"/>
      <c r="P29" s="13"/>
    </row>
    <row r="30" spans="1:16" x14ac:dyDescent="0.25">
      <c r="A30" s="25" t="s">
        <v>123</v>
      </c>
      <c r="B30" s="46">
        <v>582.86900000000003</v>
      </c>
      <c r="C30" s="46">
        <v>4184.6930000000002</v>
      </c>
      <c r="D30" s="47">
        <v>5149</v>
      </c>
      <c r="E30" s="47">
        <v>4672</v>
      </c>
      <c r="F30" s="13" t="s">
        <v>62</v>
      </c>
      <c r="G30" s="13">
        <f t="shared" si="0"/>
        <v>19550885.696000002</v>
      </c>
      <c r="H30" s="26">
        <v>45.5</v>
      </c>
      <c r="I30" s="13">
        <v>968500</v>
      </c>
      <c r="J30" s="12">
        <v>86.5</v>
      </c>
      <c r="K30" s="13">
        <v>653000</v>
      </c>
      <c r="L30" s="13">
        <v>63000</v>
      </c>
      <c r="M30" s="13">
        <v>787600</v>
      </c>
      <c r="N30" s="13"/>
      <c r="O30" s="13"/>
      <c r="P30" s="13"/>
    </row>
    <row r="31" spans="1:16" x14ac:dyDescent="0.25">
      <c r="A31" s="25" t="s">
        <v>124</v>
      </c>
      <c r="B31" s="46">
        <v>663.17499999999995</v>
      </c>
      <c r="C31" s="46">
        <v>3618.6030000000001</v>
      </c>
      <c r="D31" s="47">
        <v>5149</v>
      </c>
      <c r="E31" s="47">
        <v>4672</v>
      </c>
      <c r="F31" s="13">
        <f t="shared" si="0"/>
        <v>3414688.0749999997</v>
      </c>
      <c r="G31" s="13">
        <f t="shared" si="0"/>
        <v>16906113.216000002</v>
      </c>
      <c r="H31" s="26">
        <v>77.5</v>
      </c>
      <c r="I31" s="13">
        <v>1564500</v>
      </c>
      <c r="J31" s="12">
        <v>55</v>
      </c>
      <c r="K31" s="13">
        <v>475000</v>
      </c>
      <c r="L31" s="13">
        <v>41000</v>
      </c>
      <c r="M31" s="13">
        <v>807000</v>
      </c>
      <c r="N31" s="13"/>
      <c r="O31" s="13"/>
      <c r="P31" s="13"/>
    </row>
    <row r="32" spans="1:16" x14ac:dyDescent="0.25">
      <c r="A32" s="25" t="s">
        <v>125</v>
      </c>
      <c r="B32" s="46">
        <v>3652.2710000000002</v>
      </c>
      <c r="C32" s="46">
        <v>8102.4229999999998</v>
      </c>
      <c r="D32" s="47">
        <v>5149</v>
      </c>
      <c r="E32" s="47">
        <v>4672</v>
      </c>
      <c r="F32" s="13">
        <f t="shared" ref="F32:G32" si="1">B32*D32</f>
        <v>18805543.379000001</v>
      </c>
      <c r="G32" s="13">
        <f t="shared" si="1"/>
        <v>37854520.255999997</v>
      </c>
      <c r="H32" s="26">
        <v>73.5</v>
      </c>
      <c r="I32" s="13">
        <v>1549300</v>
      </c>
      <c r="J32" s="12">
        <v>85</v>
      </c>
      <c r="K32" s="13">
        <v>740000</v>
      </c>
      <c r="L32" s="13">
        <v>54000</v>
      </c>
      <c r="M32" s="13">
        <v>1003000</v>
      </c>
      <c r="N32" s="13"/>
      <c r="O32" s="13"/>
      <c r="P32" s="13"/>
    </row>
    <row r="33" spans="1:16" x14ac:dyDescent="0.25">
      <c r="A33" s="15"/>
      <c r="B33" s="37">
        <f>SUM(B1:B32)</f>
        <v>76417.843000000008</v>
      </c>
      <c r="C33" s="37">
        <f>SUM(C2:C32)</f>
        <v>122258.488</v>
      </c>
      <c r="D33" s="38" t="s">
        <v>62</v>
      </c>
      <c r="E33" s="38" t="s">
        <v>62</v>
      </c>
      <c r="F33" s="39">
        <f>SUM(F2:F32)</f>
        <v>390987052.88600004</v>
      </c>
      <c r="G33" s="39">
        <f>SUM(G2:G32)</f>
        <v>536177377.65900004</v>
      </c>
      <c r="H33" s="39">
        <f>SUM(H2:H32)</f>
        <v>1621</v>
      </c>
      <c r="I33" s="39">
        <f t="shared" ref="I33" si="2">SUM(I1:I32)</f>
        <v>34183100</v>
      </c>
      <c r="J33" s="39">
        <f>SUM(J1:J32)</f>
        <v>2179</v>
      </c>
      <c r="K33" s="39">
        <f>SUM(K1:K32)</f>
        <v>18428500</v>
      </c>
      <c r="L33" s="39">
        <f>SUM(L1:L32)</f>
        <v>1840000</v>
      </c>
      <c r="M33" s="38">
        <f>SUM(M2:M32)</f>
        <v>26005600</v>
      </c>
      <c r="N33" s="38">
        <f>SUM(N2:N32)</f>
        <v>1719500</v>
      </c>
      <c r="O33" s="38"/>
      <c r="P33" s="38"/>
    </row>
    <row r="34" spans="1:16" x14ac:dyDescent="0.25">
      <c r="E34" t="s">
        <v>62</v>
      </c>
    </row>
    <row r="35" spans="1:16" x14ac:dyDescent="0.25">
      <c r="A35" t="s">
        <v>91</v>
      </c>
      <c r="B35">
        <v>65000</v>
      </c>
      <c r="C35">
        <v>110000</v>
      </c>
      <c r="H35">
        <v>2510</v>
      </c>
      <c r="J35">
        <v>2300</v>
      </c>
      <c r="M35" s="63">
        <v>23000000</v>
      </c>
      <c r="O35" s="63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35"/>
  <sheetViews>
    <sheetView topLeftCell="A25" workbookViewId="0">
      <selection activeCell="K33" sqref="K33"/>
    </sheetView>
  </sheetViews>
  <sheetFormatPr defaultRowHeight="15" x14ac:dyDescent="0.25"/>
  <cols>
    <col min="1" max="1" width="11.42578125" customWidth="1"/>
    <col min="2" max="2" width="14.42578125" customWidth="1"/>
    <col min="3" max="3" width="13.7109375" customWidth="1"/>
    <col min="6" max="6" width="14.7109375" customWidth="1"/>
    <col min="7" max="7" width="15.85546875" customWidth="1"/>
    <col min="9" max="9" width="13.85546875" customWidth="1"/>
    <col min="10" max="10" width="11.7109375" customWidth="1"/>
    <col min="11" max="11" width="13" customWidth="1"/>
    <col min="12" max="12" width="12.5703125" customWidth="1"/>
    <col min="13" max="13" width="11.28515625" customWidth="1"/>
    <col min="14" max="15" width="10.85546875" customWidth="1"/>
    <col min="16" max="16" width="11.140625" customWidth="1"/>
  </cols>
  <sheetData>
    <row r="1" spans="1:16" x14ac:dyDescent="0.25">
      <c r="A1" s="16" t="s">
        <v>92</v>
      </c>
      <c r="B1" s="17" t="s">
        <v>1</v>
      </c>
      <c r="C1" s="17" t="s">
        <v>2</v>
      </c>
      <c r="D1" s="18" t="s">
        <v>1</v>
      </c>
      <c r="E1" s="18" t="s">
        <v>2</v>
      </c>
      <c r="F1" s="19" t="s">
        <v>1</v>
      </c>
      <c r="G1" s="19" t="s">
        <v>2</v>
      </c>
      <c r="H1" s="19" t="s">
        <v>9</v>
      </c>
      <c r="I1" s="18" t="s">
        <v>10</v>
      </c>
      <c r="J1" s="16" t="s">
        <v>11</v>
      </c>
      <c r="K1" s="18" t="s">
        <v>10</v>
      </c>
      <c r="L1" s="18" t="s">
        <v>4</v>
      </c>
      <c r="M1" s="18" t="s">
        <v>67</v>
      </c>
      <c r="N1" s="18" t="s">
        <v>52</v>
      </c>
      <c r="O1" s="18"/>
      <c r="P1" s="18"/>
    </row>
    <row r="2" spans="1:16" x14ac:dyDescent="0.25">
      <c r="A2" s="25" t="s">
        <v>155</v>
      </c>
      <c r="B2" s="46">
        <v>1705.4780000000001</v>
      </c>
      <c r="C2" s="46">
        <v>1390.556</v>
      </c>
      <c r="D2" s="47">
        <v>5149</v>
      </c>
      <c r="E2" s="47">
        <v>4672</v>
      </c>
      <c r="F2" s="13">
        <f t="shared" ref="F2:G31" si="0">B2*D2</f>
        <v>8781506.222000001</v>
      </c>
      <c r="G2" s="13">
        <f t="shared" si="0"/>
        <v>6496677.6320000002</v>
      </c>
      <c r="H2" s="31">
        <v>48</v>
      </c>
      <c r="I2" s="13">
        <v>1015000</v>
      </c>
      <c r="J2" s="27">
        <v>113.5</v>
      </c>
      <c r="K2" s="13">
        <v>977000</v>
      </c>
      <c r="L2" s="13">
        <v>8000</v>
      </c>
      <c r="M2" s="13">
        <v>660800</v>
      </c>
      <c r="N2" s="13">
        <v>46000</v>
      </c>
      <c r="O2" s="13"/>
      <c r="P2" s="13"/>
    </row>
    <row r="3" spans="1:16" x14ac:dyDescent="0.25">
      <c r="A3" s="25" t="s">
        <v>154</v>
      </c>
      <c r="B3" s="46">
        <v>2608.2040000000002</v>
      </c>
      <c r="C3" s="46">
        <v>4822.0609999999997</v>
      </c>
      <c r="D3" s="47">
        <v>5149</v>
      </c>
      <c r="E3" s="47">
        <v>4672</v>
      </c>
      <c r="F3" s="13">
        <f t="shared" si="0"/>
        <v>13429642.396000002</v>
      </c>
      <c r="G3" s="13">
        <f t="shared" si="0"/>
        <v>22528668.991999999</v>
      </c>
      <c r="H3" s="26">
        <v>26.5</v>
      </c>
      <c r="I3" s="13">
        <v>522000</v>
      </c>
      <c r="J3" s="27">
        <v>64</v>
      </c>
      <c r="K3" s="13">
        <v>556000</v>
      </c>
      <c r="L3" s="13">
        <v>38000</v>
      </c>
      <c r="M3" s="13">
        <v>576000</v>
      </c>
      <c r="N3" s="13">
        <v>76000</v>
      </c>
      <c r="O3" s="13"/>
      <c r="P3" s="13"/>
    </row>
    <row r="4" spans="1:16" x14ac:dyDescent="0.25">
      <c r="A4" s="25" t="s">
        <v>153</v>
      </c>
      <c r="B4" s="46">
        <v>2289.3789999999999</v>
      </c>
      <c r="C4" s="46">
        <v>4265.6899999999996</v>
      </c>
      <c r="D4" s="47">
        <v>5149</v>
      </c>
      <c r="E4" s="47">
        <v>4672</v>
      </c>
      <c r="F4" s="13">
        <f t="shared" si="0"/>
        <v>11788012.470999999</v>
      </c>
      <c r="G4" s="13">
        <f t="shared" si="0"/>
        <v>19929303.68</v>
      </c>
      <c r="H4" s="26">
        <v>39.5</v>
      </c>
      <c r="I4" s="13">
        <v>778000</v>
      </c>
      <c r="J4" s="27">
        <v>96</v>
      </c>
      <c r="K4" s="13">
        <v>733000</v>
      </c>
      <c r="L4" s="13">
        <v>71000</v>
      </c>
      <c r="M4" s="13">
        <v>977000</v>
      </c>
      <c r="N4" s="13">
        <v>76000</v>
      </c>
      <c r="O4" s="13"/>
      <c r="P4" s="13"/>
    </row>
    <row r="5" spans="1:16" x14ac:dyDescent="0.25">
      <c r="A5" s="25" t="s">
        <v>152</v>
      </c>
      <c r="B5" s="46">
        <v>1902.9079999999999</v>
      </c>
      <c r="C5" s="46">
        <v>5629.4170000000004</v>
      </c>
      <c r="D5" s="47">
        <v>5149</v>
      </c>
      <c r="E5" s="47">
        <v>4672</v>
      </c>
      <c r="F5" s="13">
        <f t="shared" si="0"/>
        <v>9798073.2919999994</v>
      </c>
      <c r="G5" s="13">
        <f t="shared" si="0"/>
        <v>26300636.224000003</v>
      </c>
      <c r="H5" s="26">
        <v>144</v>
      </c>
      <c r="I5" s="13">
        <v>3248800</v>
      </c>
      <c r="J5" s="27">
        <v>79.5</v>
      </c>
      <c r="K5" s="13">
        <v>689000</v>
      </c>
      <c r="L5" s="13">
        <v>115000</v>
      </c>
      <c r="M5" s="13">
        <v>599000</v>
      </c>
      <c r="N5" s="13">
        <v>76000</v>
      </c>
      <c r="O5" s="13"/>
      <c r="P5" s="13"/>
    </row>
    <row r="6" spans="1:16" x14ac:dyDescent="0.25">
      <c r="A6" s="25" t="s">
        <v>151</v>
      </c>
      <c r="B6" s="46">
        <v>1925.0160000000001</v>
      </c>
      <c r="C6" s="46">
        <v>5339.7870000000003</v>
      </c>
      <c r="D6" s="47">
        <v>5149</v>
      </c>
      <c r="E6" s="47">
        <v>4672</v>
      </c>
      <c r="F6" s="13">
        <f t="shared" si="0"/>
        <v>9911907.3839999996</v>
      </c>
      <c r="G6" s="13">
        <f t="shared" si="0"/>
        <v>24947484.864</v>
      </c>
      <c r="H6" s="26">
        <v>89</v>
      </c>
      <c r="I6" s="13">
        <v>1682000</v>
      </c>
      <c r="J6" s="27">
        <v>24</v>
      </c>
      <c r="K6" s="13">
        <v>212000</v>
      </c>
      <c r="L6" s="13">
        <v>105000</v>
      </c>
      <c r="M6" s="13">
        <v>566000</v>
      </c>
      <c r="N6" s="13">
        <v>76000</v>
      </c>
      <c r="O6" s="13"/>
      <c r="P6" s="13"/>
    </row>
    <row r="7" spans="1:16" x14ac:dyDescent="0.25">
      <c r="A7" s="25" t="s">
        <v>150</v>
      </c>
      <c r="B7" s="46">
        <v>2105.5920000000001</v>
      </c>
      <c r="C7" s="46">
        <v>4209.8680000000004</v>
      </c>
      <c r="D7" s="47">
        <v>5149</v>
      </c>
      <c r="E7" s="47">
        <v>4672</v>
      </c>
      <c r="F7" s="13">
        <f t="shared" si="0"/>
        <v>10841693.208000001</v>
      </c>
      <c r="G7" s="13" t="s">
        <v>62</v>
      </c>
      <c r="H7" s="26">
        <v>60</v>
      </c>
      <c r="I7" s="13">
        <v>1312000</v>
      </c>
      <c r="J7" s="27">
        <v>37</v>
      </c>
      <c r="K7" s="13">
        <v>723000</v>
      </c>
      <c r="L7" s="13">
        <v>39000</v>
      </c>
      <c r="M7" s="13">
        <v>610000</v>
      </c>
      <c r="N7" s="13"/>
      <c r="O7" s="13"/>
      <c r="P7" s="13"/>
    </row>
    <row r="8" spans="1:16" x14ac:dyDescent="0.25">
      <c r="A8" s="25" t="s">
        <v>149</v>
      </c>
      <c r="B8" s="46">
        <v>1696.0719999999999</v>
      </c>
      <c r="C8" s="46">
        <v>4074.16</v>
      </c>
      <c r="D8" s="47">
        <v>5149</v>
      </c>
      <c r="E8" s="47">
        <v>4672</v>
      </c>
      <c r="F8" s="13">
        <f t="shared" si="0"/>
        <v>8733074.7280000001</v>
      </c>
      <c r="G8" s="13">
        <f t="shared" si="0"/>
        <v>19034475.52</v>
      </c>
      <c r="H8" s="26">
        <v>227.5</v>
      </c>
      <c r="I8" s="13">
        <v>4792500</v>
      </c>
      <c r="J8" s="27">
        <v>27</v>
      </c>
      <c r="K8" s="13">
        <v>240000</v>
      </c>
      <c r="L8" s="13">
        <v>162000</v>
      </c>
      <c r="M8" s="13">
        <v>697000</v>
      </c>
      <c r="N8" s="13"/>
      <c r="O8" s="13"/>
      <c r="P8" s="13"/>
    </row>
    <row r="9" spans="1:16" x14ac:dyDescent="0.25">
      <c r="A9" s="25" t="s">
        <v>148</v>
      </c>
      <c r="B9" s="46">
        <v>1988.845</v>
      </c>
      <c r="C9" s="46">
        <v>5311.1450000000004</v>
      </c>
      <c r="D9" s="47">
        <v>5149</v>
      </c>
      <c r="E9" s="47">
        <v>4672</v>
      </c>
      <c r="F9" s="13">
        <f t="shared" si="0"/>
        <v>10240562.904999999</v>
      </c>
      <c r="G9" s="13">
        <f t="shared" si="0"/>
        <v>24813669.440000001</v>
      </c>
      <c r="H9" s="26">
        <v>106</v>
      </c>
      <c r="I9" s="13">
        <v>2243500</v>
      </c>
      <c r="J9" s="27">
        <v>21</v>
      </c>
      <c r="K9" s="13">
        <v>187000</v>
      </c>
      <c r="L9" s="13">
        <v>117000</v>
      </c>
      <c r="M9" s="13">
        <v>414000</v>
      </c>
      <c r="N9" s="13"/>
      <c r="O9" s="13"/>
      <c r="P9" s="13"/>
    </row>
    <row r="10" spans="1:16" x14ac:dyDescent="0.25">
      <c r="A10" s="25" t="s">
        <v>147</v>
      </c>
      <c r="B10" s="46">
        <v>2213.4870000000001</v>
      </c>
      <c r="C10" s="46">
        <v>5584.21</v>
      </c>
      <c r="D10" s="47">
        <v>5149</v>
      </c>
      <c r="E10" s="47">
        <v>4672</v>
      </c>
      <c r="F10" s="13">
        <f t="shared" si="0"/>
        <v>11397244.563000001</v>
      </c>
      <c r="G10" s="13">
        <f t="shared" si="0"/>
        <v>26089429.120000001</v>
      </c>
      <c r="H10" s="26">
        <v>31</v>
      </c>
      <c r="I10" s="13">
        <v>759500</v>
      </c>
      <c r="J10" s="27">
        <v>67.5</v>
      </c>
      <c r="K10" s="13">
        <v>603500</v>
      </c>
      <c r="L10" s="13">
        <v>23000</v>
      </c>
      <c r="M10" s="13">
        <v>630000</v>
      </c>
      <c r="N10" s="13">
        <v>152000</v>
      </c>
      <c r="O10" s="13"/>
      <c r="P10" s="13"/>
    </row>
    <row r="11" spans="1:16" x14ac:dyDescent="0.25">
      <c r="A11" s="25" t="s">
        <v>146</v>
      </c>
      <c r="B11" s="46">
        <v>2489.8780000000002</v>
      </c>
      <c r="C11" s="46">
        <v>2038.45</v>
      </c>
      <c r="D11" s="47">
        <v>5149</v>
      </c>
      <c r="E11" s="47">
        <v>4672</v>
      </c>
      <c r="F11" s="13">
        <f t="shared" si="0"/>
        <v>12820381.822000001</v>
      </c>
      <c r="G11" s="13">
        <f t="shared" si="0"/>
        <v>9523638.4000000004</v>
      </c>
      <c r="H11" s="26">
        <v>59.5</v>
      </c>
      <c r="I11" s="13">
        <v>1224000</v>
      </c>
      <c r="J11" s="27">
        <v>74.5</v>
      </c>
      <c r="K11" s="13">
        <v>635000</v>
      </c>
      <c r="L11" s="13">
        <v>91000</v>
      </c>
      <c r="M11" s="13">
        <v>386000</v>
      </c>
      <c r="N11" s="13"/>
      <c r="O11" s="13"/>
      <c r="P11" s="13"/>
    </row>
    <row r="12" spans="1:16" x14ac:dyDescent="0.25">
      <c r="A12" s="25" t="s">
        <v>145</v>
      </c>
      <c r="B12" s="46">
        <v>1675.655</v>
      </c>
      <c r="C12" s="46">
        <v>2031.096</v>
      </c>
      <c r="D12" s="47">
        <v>5149</v>
      </c>
      <c r="E12" s="47">
        <v>4672</v>
      </c>
      <c r="F12" s="13">
        <f t="shared" si="0"/>
        <v>8627947.5950000007</v>
      </c>
      <c r="G12" s="13">
        <f t="shared" si="0"/>
        <v>9489280.5120000001</v>
      </c>
      <c r="H12" s="26">
        <v>52</v>
      </c>
      <c r="I12" s="51">
        <v>1092500</v>
      </c>
      <c r="J12" s="27">
        <v>50</v>
      </c>
      <c r="K12" s="13">
        <v>421000</v>
      </c>
      <c r="L12" s="13">
        <v>16000</v>
      </c>
      <c r="M12" s="13">
        <v>417000</v>
      </c>
      <c r="N12" s="13">
        <v>76000</v>
      </c>
      <c r="O12" s="13"/>
      <c r="P12" s="13"/>
    </row>
    <row r="13" spans="1:16" x14ac:dyDescent="0.25">
      <c r="A13" s="25" t="s">
        <v>144</v>
      </c>
      <c r="B13" s="46">
        <v>2537.5720000000001</v>
      </c>
      <c r="C13" s="46">
        <v>3944.0039999999999</v>
      </c>
      <c r="D13" s="47">
        <v>5149</v>
      </c>
      <c r="E13" s="47">
        <v>4672</v>
      </c>
      <c r="F13" s="13">
        <f t="shared" si="0"/>
        <v>13065958.228</v>
      </c>
      <c r="G13" s="13">
        <f t="shared" si="0"/>
        <v>18426386.688000001</v>
      </c>
      <c r="H13" s="26">
        <v>60</v>
      </c>
      <c r="I13" s="13">
        <v>1447000</v>
      </c>
      <c r="J13" s="27">
        <v>36.5</v>
      </c>
      <c r="K13" s="13">
        <v>317000</v>
      </c>
      <c r="L13" s="13">
        <v>66000</v>
      </c>
      <c r="M13" s="13">
        <v>566000</v>
      </c>
      <c r="N13" s="13">
        <v>76000</v>
      </c>
      <c r="O13" s="13"/>
      <c r="P13" s="13"/>
    </row>
    <row r="14" spans="1:16" x14ac:dyDescent="0.25">
      <c r="A14" s="25" t="s">
        <v>143</v>
      </c>
      <c r="B14" s="46">
        <v>2184.0214999999998</v>
      </c>
      <c r="C14" s="46">
        <v>5139.2060000000001</v>
      </c>
      <c r="D14" s="47">
        <v>5249</v>
      </c>
      <c r="E14" s="47">
        <v>4845</v>
      </c>
      <c r="F14" s="13">
        <f t="shared" si="0"/>
        <v>11463928.853499999</v>
      </c>
      <c r="G14" s="13" t="s">
        <v>62</v>
      </c>
      <c r="H14" s="26">
        <v>59</v>
      </c>
      <c r="I14" s="13">
        <v>1211500</v>
      </c>
      <c r="J14" s="27">
        <v>92.5</v>
      </c>
      <c r="K14" s="13">
        <v>706000</v>
      </c>
      <c r="L14" s="13">
        <v>48000</v>
      </c>
      <c r="M14" s="13">
        <v>881000</v>
      </c>
      <c r="N14" s="13">
        <v>76000</v>
      </c>
      <c r="O14" s="13"/>
      <c r="P14" s="13"/>
    </row>
    <row r="15" spans="1:16" x14ac:dyDescent="0.25">
      <c r="A15" s="25" t="s">
        <v>142</v>
      </c>
      <c r="B15" s="46">
        <v>3071.2159999999999</v>
      </c>
      <c r="C15" s="46">
        <v>3878.9050000000002</v>
      </c>
      <c r="D15" s="47">
        <v>5249</v>
      </c>
      <c r="E15" s="47">
        <v>4845</v>
      </c>
      <c r="F15" s="13">
        <f t="shared" si="0"/>
        <v>16120812.784</v>
      </c>
      <c r="G15" s="13">
        <f t="shared" si="0"/>
        <v>18793294.725000001</v>
      </c>
      <c r="H15" s="13">
        <v>78.5</v>
      </c>
      <c r="I15" s="13">
        <v>1693000</v>
      </c>
      <c r="J15" s="27">
        <v>43</v>
      </c>
      <c r="K15" s="13">
        <v>369000</v>
      </c>
      <c r="L15" s="13">
        <v>62000</v>
      </c>
      <c r="M15" s="13">
        <v>819000</v>
      </c>
      <c r="N15" s="13"/>
      <c r="O15" s="13"/>
      <c r="P15" s="13"/>
    </row>
    <row r="16" spans="1:16" x14ac:dyDescent="0.25">
      <c r="A16" s="25" t="s">
        <v>141</v>
      </c>
      <c r="B16" s="46">
        <v>1323.056</v>
      </c>
      <c r="C16" s="46">
        <v>1759.145</v>
      </c>
      <c r="D16" s="47">
        <v>5249</v>
      </c>
      <c r="E16" s="47">
        <v>4845</v>
      </c>
      <c r="F16" s="13">
        <f t="shared" si="0"/>
        <v>6944720.9440000001</v>
      </c>
      <c r="G16" s="13">
        <f t="shared" si="0"/>
        <v>8523057.5250000004</v>
      </c>
      <c r="H16" s="26">
        <v>48.5</v>
      </c>
      <c r="I16" s="13">
        <v>933000</v>
      </c>
      <c r="J16" s="27">
        <v>24.5</v>
      </c>
      <c r="K16" s="13">
        <v>211000</v>
      </c>
      <c r="L16" s="13">
        <v>92000</v>
      </c>
      <c r="M16" s="13">
        <v>685000</v>
      </c>
      <c r="N16" s="13"/>
      <c r="O16" s="13"/>
      <c r="P16" s="13"/>
    </row>
    <row r="17" spans="1:16" x14ac:dyDescent="0.25">
      <c r="A17" s="25" t="s">
        <v>140</v>
      </c>
      <c r="B17" s="46">
        <v>1362.6420000000001</v>
      </c>
      <c r="C17" s="46">
        <v>1610.4960000000001</v>
      </c>
      <c r="D17" s="47">
        <v>5249</v>
      </c>
      <c r="E17" s="47">
        <v>4845</v>
      </c>
      <c r="F17" s="13">
        <f>B17*D17</f>
        <v>7152507.858</v>
      </c>
      <c r="G17" s="13">
        <f t="shared" si="0"/>
        <v>7802853.1200000001</v>
      </c>
      <c r="H17" s="26">
        <v>135.25</v>
      </c>
      <c r="I17" s="13">
        <v>1931500</v>
      </c>
      <c r="J17" s="27">
        <v>18.5</v>
      </c>
      <c r="K17" s="13">
        <v>158000</v>
      </c>
      <c r="L17" s="13">
        <v>16000</v>
      </c>
      <c r="M17" s="13">
        <v>609300</v>
      </c>
      <c r="N17" s="13"/>
      <c r="O17" s="13"/>
      <c r="P17" s="13"/>
    </row>
    <row r="18" spans="1:16" x14ac:dyDescent="0.25">
      <c r="A18" s="25" t="s">
        <v>139</v>
      </c>
      <c r="B18" s="46">
        <v>1946.231</v>
      </c>
      <c r="C18" s="46">
        <v>2833.5250000000001</v>
      </c>
      <c r="D18" s="47">
        <v>5249</v>
      </c>
      <c r="E18" s="47">
        <v>4845</v>
      </c>
      <c r="F18" s="13">
        <f t="shared" si="0"/>
        <v>10215766.518999999</v>
      </c>
      <c r="G18" s="13">
        <f t="shared" si="0"/>
        <v>13728428.625</v>
      </c>
      <c r="H18" s="26">
        <v>43.5</v>
      </c>
      <c r="I18" s="13">
        <v>1303500</v>
      </c>
      <c r="J18" s="12">
        <v>44</v>
      </c>
      <c r="K18" s="13">
        <v>368000</v>
      </c>
      <c r="L18" s="13">
        <v>94000</v>
      </c>
      <c r="M18" s="13">
        <v>431000</v>
      </c>
      <c r="N18" s="13">
        <v>135000</v>
      </c>
      <c r="O18" s="13"/>
      <c r="P18" s="13"/>
    </row>
    <row r="19" spans="1:16" x14ac:dyDescent="0.25">
      <c r="A19" s="25" t="s">
        <v>138</v>
      </c>
      <c r="B19" s="46">
        <v>2307.777</v>
      </c>
      <c r="C19" s="46">
        <v>2658.0329999999999</v>
      </c>
      <c r="D19" s="47">
        <v>5249</v>
      </c>
      <c r="E19" s="47">
        <v>4845</v>
      </c>
      <c r="F19" s="13">
        <f t="shared" si="0"/>
        <v>12113521.472999999</v>
      </c>
      <c r="G19" s="13">
        <f t="shared" si="0"/>
        <v>12878169.885</v>
      </c>
      <c r="H19" s="26">
        <v>63.5</v>
      </c>
      <c r="I19" s="13">
        <v>1320500</v>
      </c>
      <c r="J19" s="12"/>
      <c r="K19" s="13" t="s">
        <v>62</v>
      </c>
      <c r="L19" s="13">
        <v>460000</v>
      </c>
      <c r="M19" s="13">
        <v>509000</v>
      </c>
      <c r="N19" s="13"/>
      <c r="O19" s="13"/>
      <c r="P19" s="13"/>
    </row>
    <row r="20" spans="1:16" x14ac:dyDescent="0.25">
      <c r="A20" s="25" t="s">
        <v>137</v>
      </c>
      <c r="B20" s="46">
        <v>3803.38</v>
      </c>
      <c r="C20" s="46">
        <v>4871.143</v>
      </c>
      <c r="D20" s="47">
        <v>5249</v>
      </c>
      <c r="E20" s="47">
        <v>4845</v>
      </c>
      <c r="F20" s="13">
        <f t="shared" si="0"/>
        <v>19963941.620000001</v>
      </c>
      <c r="G20" s="13">
        <f t="shared" si="0"/>
        <v>23600687.835000001</v>
      </c>
      <c r="H20" s="26">
        <v>42.5</v>
      </c>
      <c r="I20" s="13">
        <v>789000</v>
      </c>
      <c r="J20" s="12">
        <v>63.5</v>
      </c>
      <c r="K20" s="13">
        <v>557000</v>
      </c>
      <c r="L20" s="13">
        <v>54000</v>
      </c>
      <c r="M20" s="13">
        <v>623000</v>
      </c>
      <c r="N20" s="13"/>
      <c r="O20" s="13"/>
      <c r="P20" s="13"/>
    </row>
    <row r="21" spans="1:16" x14ac:dyDescent="0.25">
      <c r="A21" s="25" t="s">
        <v>136</v>
      </c>
      <c r="B21" s="46">
        <v>3366.37</v>
      </c>
      <c r="C21" s="46">
        <v>6268.598</v>
      </c>
      <c r="D21" s="47">
        <v>5249</v>
      </c>
      <c r="E21" s="47">
        <v>4845</v>
      </c>
      <c r="F21" s="13">
        <f t="shared" si="0"/>
        <v>17670076.129999999</v>
      </c>
      <c r="G21" s="13">
        <f t="shared" si="0"/>
        <v>30371357.309999999</v>
      </c>
      <c r="H21" s="26">
        <v>65</v>
      </c>
      <c r="I21" s="13">
        <v>1462000</v>
      </c>
      <c r="J21" s="12">
        <v>34</v>
      </c>
      <c r="K21" s="13">
        <v>291000</v>
      </c>
      <c r="L21" s="13">
        <v>139000</v>
      </c>
      <c r="M21" s="13">
        <v>499000</v>
      </c>
      <c r="N21" s="13"/>
      <c r="O21" s="13"/>
      <c r="P21" s="13"/>
    </row>
    <row r="22" spans="1:16" x14ac:dyDescent="0.25">
      <c r="A22" s="25" t="s">
        <v>135</v>
      </c>
      <c r="B22" s="46">
        <v>2795.326</v>
      </c>
      <c r="C22" s="46">
        <v>3151.2130000000002</v>
      </c>
      <c r="D22" s="47">
        <v>5249</v>
      </c>
      <c r="E22" s="47">
        <v>4845</v>
      </c>
      <c r="F22" s="13">
        <f t="shared" si="0"/>
        <v>14672666.174000001</v>
      </c>
      <c r="G22" s="13">
        <f t="shared" si="0"/>
        <v>15267626.985000001</v>
      </c>
      <c r="H22" s="26">
        <v>39</v>
      </c>
      <c r="I22" s="13">
        <v>751500</v>
      </c>
      <c r="J22" s="12">
        <v>125.5</v>
      </c>
      <c r="K22" s="13">
        <v>885000</v>
      </c>
      <c r="L22" s="13">
        <v>83000</v>
      </c>
      <c r="M22" s="13">
        <v>791000</v>
      </c>
      <c r="N22" s="13"/>
      <c r="O22" s="13"/>
      <c r="P22" s="13"/>
    </row>
    <row r="23" spans="1:16" x14ac:dyDescent="0.25">
      <c r="A23" s="25" t="s">
        <v>134</v>
      </c>
      <c r="B23" s="46">
        <v>2712.9070000000002</v>
      </c>
      <c r="C23" s="46">
        <v>2213.17</v>
      </c>
      <c r="D23" s="47">
        <v>5249</v>
      </c>
      <c r="E23" s="47">
        <v>4845</v>
      </c>
      <c r="F23" s="13">
        <f t="shared" si="0"/>
        <v>14240048.843</v>
      </c>
      <c r="G23" s="13">
        <f t="shared" si="0"/>
        <v>10722808.65</v>
      </c>
      <c r="H23" s="26">
        <v>69</v>
      </c>
      <c r="I23" s="13">
        <v>1606300</v>
      </c>
      <c r="J23" s="12">
        <v>80.5</v>
      </c>
      <c r="K23" s="13">
        <v>674000</v>
      </c>
      <c r="L23" s="13">
        <v>93000</v>
      </c>
      <c r="M23" s="13">
        <v>761000</v>
      </c>
      <c r="N23" s="13">
        <v>76000</v>
      </c>
      <c r="O23" s="13"/>
      <c r="P23" s="13"/>
    </row>
    <row r="24" spans="1:16" x14ac:dyDescent="0.25">
      <c r="A24" s="25" t="s">
        <v>133</v>
      </c>
      <c r="B24" s="46">
        <v>2109.65</v>
      </c>
      <c r="C24" s="46">
        <v>4255.893</v>
      </c>
      <c r="D24" s="47">
        <v>5249</v>
      </c>
      <c r="E24" s="47">
        <v>4845</v>
      </c>
      <c r="F24" s="13">
        <f t="shared" si="0"/>
        <v>11073552.85</v>
      </c>
      <c r="G24" s="13">
        <f t="shared" si="0"/>
        <v>20619801.585000001</v>
      </c>
      <c r="H24" s="26">
        <v>39</v>
      </c>
      <c r="I24" s="13">
        <v>811500</v>
      </c>
      <c r="J24" s="12">
        <v>484</v>
      </c>
      <c r="K24" s="13">
        <v>3774000</v>
      </c>
      <c r="L24" s="13">
        <v>88000</v>
      </c>
      <c r="M24" s="13">
        <v>648500</v>
      </c>
      <c r="N24" s="13"/>
      <c r="O24" s="13"/>
      <c r="P24" s="13"/>
    </row>
    <row r="25" spans="1:16" x14ac:dyDescent="0.25">
      <c r="A25" s="25" t="s">
        <v>132</v>
      </c>
      <c r="B25" s="46">
        <v>2228.0479999999998</v>
      </c>
      <c r="C25" s="46">
        <v>2309.3200000000002</v>
      </c>
      <c r="D25" s="47">
        <v>5249</v>
      </c>
      <c r="E25" s="47">
        <v>4845</v>
      </c>
      <c r="F25" s="13">
        <f t="shared" si="0"/>
        <v>11695023.952</v>
      </c>
      <c r="G25" s="13">
        <f t="shared" si="0"/>
        <v>11188655.4</v>
      </c>
      <c r="H25" s="26">
        <v>152</v>
      </c>
      <c r="I25" s="13">
        <v>3221800</v>
      </c>
      <c r="J25" s="12">
        <v>87</v>
      </c>
      <c r="K25" s="13">
        <v>730000</v>
      </c>
      <c r="L25" s="13">
        <v>46000</v>
      </c>
      <c r="M25" s="13">
        <v>698500</v>
      </c>
      <c r="N25" s="13">
        <v>206000</v>
      </c>
      <c r="O25" s="13"/>
      <c r="P25" s="13"/>
    </row>
    <row r="26" spans="1:16" x14ac:dyDescent="0.25">
      <c r="A26" s="25" t="s">
        <v>131</v>
      </c>
      <c r="B26" s="46">
        <v>1750.4449999999999</v>
      </c>
      <c r="C26" s="46">
        <v>3036.7869999999998</v>
      </c>
      <c r="D26" s="47">
        <v>5249</v>
      </c>
      <c r="E26" s="47">
        <v>4845</v>
      </c>
      <c r="F26" s="13">
        <f t="shared" si="0"/>
        <v>9188085.8049999997</v>
      </c>
      <c r="G26" s="13">
        <f t="shared" si="0"/>
        <v>14713233.014999999</v>
      </c>
      <c r="H26" s="26">
        <v>28</v>
      </c>
      <c r="I26" s="13">
        <v>724000</v>
      </c>
      <c r="J26" s="12">
        <v>38</v>
      </c>
      <c r="K26" s="13">
        <v>230000</v>
      </c>
      <c r="L26" s="13"/>
      <c r="M26" s="13">
        <v>649500</v>
      </c>
      <c r="N26" s="13"/>
      <c r="O26" s="13"/>
      <c r="P26" s="13"/>
    </row>
    <row r="27" spans="1:16" x14ac:dyDescent="0.25">
      <c r="A27" s="25" t="s">
        <v>128</v>
      </c>
      <c r="B27" s="46">
        <v>2682.672</v>
      </c>
      <c r="C27" s="46">
        <v>5992.6080000000002</v>
      </c>
      <c r="D27" s="47">
        <v>5249</v>
      </c>
      <c r="E27" s="47">
        <v>4845</v>
      </c>
      <c r="F27" s="13">
        <f t="shared" si="0"/>
        <v>14081345.328</v>
      </c>
      <c r="G27" s="13">
        <f t="shared" si="0"/>
        <v>29034185.760000002</v>
      </c>
      <c r="H27" s="26">
        <v>46</v>
      </c>
      <c r="I27" s="13">
        <v>986500</v>
      </c>
      <c r="J27" s="12">
        <v>90</v>
      </c>
      <c r="K27" s="13">
        <v>755000</v>
      </c>
      <c r="L27" s="13">
        <v>51000</v>
      </c>
      <c r="M27" s="13">
        <v>503000</v>
      </c>
      <c r="N27" s="13"/>
      <c r="O27" s="13"/>
      <c r="P27" s="13"/>
    </row>
    <row r="28" spans="1:16" x14ac:dyDescent="0.25">
      <c r="A28" s="25" t="s">
        <v>130</v>
      </c>
      <c r="B28" s="46">
        <v>2564.0390000000002</v>
      </c>
      <c r="C28" s="46">
        <v>3737.569</v>
      </c>
      <c r="D28" s="47">
        <v>5249</v>
      </c>
      <c r="E28" s="47">
        <v>4845</v>
      </c>
      <c r="F28" s="13">
        <f t="shared" si="0"/>
        <v>13458640.711000001</v>
      </c>
      <c r="G28" s="13">
        <f t="shared" si="0"/>
        <v>18108521.805</v>
      </c>
      <c r="H28" s="26">
        <v>5</v>
      </c>
      <c r="I28" s="13">
        <v>117000</v>
      </c>
      <c r="J28" s="12">
        <v>39</v>
      </c>
      <c r="K28" s="13">
        <v>346000</v>
      </c>
      <c r="L28" s="13">
        <v>25000</v>
      </c>
      <c r="M28" s="13">
        <v>466000</v>
      </c>
      <c r="N28" s="13">
        <v>102000</v>
      </c>
      <c r="O28" s="13"/>
      <c r="P28" s="13"/>
    </row>
    <row r="29" spans="1:16" x14ac:dyDescent="0.25">
      <c r="A29" s="25" t="s">
        <v>129</v>
      </c>
      <c r="B29" s="46">
        <v>2312.4810000000002</v>
      </c>
      <c r="C29" s="46">
        <v>6504.94</v>
      </c>
      <c r="D29" s="47">
        <v>5249</v>
      </c>
      <c r="E29" s="47">
        <v>4845</v>
      </c>
      <c r="F29" s="13">
        <f t="shared" si="0"/>
        <v>12138212.769000001</v>
      </c>
      <c r="G29" s="13">
        <f t="shared" si="0"/>
        <v>31516434.299999997</v>
      </c>
      <c r="H29" s="26">
        <v>61.5</v>
      </c>
      <c r="I29" s="13">
        <v>1336500</v>
      </c>
      <c r="J29" s="12">
        <v>75</v>
      </c>
      <c r="K29" s="13">
        <v>542000</v>
      </c>
      <c r="L29" s="13">
        <v>15000</v>
      </c>
      <c r="M29" s="13">
        <v>545000</v>
      </c>
      <c r="N29" s="13">
        <v>102000</v>
      </c>
      <c r="O29" s="13"/>
      <c r="P29" s="13"/>
    </row>
    <row r="30" spans="1:16" x14ac:dyDescent="0.25">
      <c r="A30" s="25" t="s">
        <v>156</v>
      </c>
      <c r="B30" s="46">
        <v>1775.6969999999999</v>
      </c>
      <c r="C30" s="46">
        <v>3871.63</v>
      </c>
      <c r="D30" s="47">
        <v>5249</v>
      </c>
      <c r="E30" s="47">
        <v>4845</v>
      </c>
      <c r="F30" s="13" t="s">
        <v>62</v>
      </c>
      <c r="G30" s="13">
        <f t="shared" si="0"/>
        <v>18758047.350000001</v>
      </c>
      <c r="H30" s="26">
        <v>53</v>
      </c>
      <c r="I30" s="13">
        <v>1057000</v>
      </c>
      <c r="J30" s="12">
        <v>39.5</v>
      </c>
      <c r="K30" s="13">
        <v>345000</v>
      </c>
      <c r="L30" s="13">
        <v>24000</v>
      </c>
      <c r="M30" s="13">
        <v>941000</v>
      </c>
      <c r="N30" s="13"/>
      <c r="O30" s="13"/>
      <c r="P30" s="13"/>
    </row>
    <row r="31" spans="1:16" x14ac:dyDescent="0.25">
      <c r="A31" s="25" t="s">
        <v>127</v>
      </c>
      <c r="B31" s="46">
        <v>2372.4639999999999</v>
      </c>
      <c r="C31" s="46">
        <v>3428.46</v>
      </c>
      <c r="D31" s="47">
        <v>5249</v>
      </c>
      <c r="E31" s="47">
        <v>4845</v>
      </c>
      <c r="F31" s="13">
        <f t="shared" si="0"/>
        <v>12453063.536</v>
      </c>
      <c r="G31" s="13">
        <f t="shared" si="0"/>
        <v>16610888.699999999</v>
      </c>
      <c r="H31" s="26">
        <v>48</v>
      </c>
      <c r="I31" s="13">
        <v>1089800</v>
      </c>
      <c r="J31" s="12">
        <v>58.5</v>
      </c>
      <c r="K31" s="13">
        <v>555000</v>
      </c>
      <c r="L31" s="13">
        <v>101000</v>
      </c>
      <c r="M31" s="13">
        <v>668000</v>
      </c>
      <c r="N31" s="13"/>
      <c r="O31" s="13"/>
      <c r="P31" s="13"/>
    </row>
    <row r="32" spans="1:16" x14ac:dyDescent="0.25">
      <c r="A32" s="25" t="s">
        <v>126</v>
      </c>
      <c r="B32" s="46">
        <v>2226.4369999999999</v>
      </c>
      <c r="C32" s="46">
        <v>3359.2260000000001</v>
      </c>
      <c r="D32" s="47">
        <v>5249</v>
      </c>
      <c r="E32" s="47">
        <v>4845</v>
      </c>
      <c r="F32" s="13">
        <f t="shared" ref="F32:G32" si="1">B32*D32</f>
        <v>11686567.812999999</v>
      </c>
      <c r="G32" s="13">
        <f t="shared" si="1"/>
        <v>16275449.970000001</v>
      </c>
      <c r="H32" s="26">
        <v>51</v>
      </c>
      <c r="I32" s="13">
        <v>1158300</v>
      </c>
      <c r="J32" s="12">
        <v>52</v>
      </c>
      <c r="K32" s="13">
        <v>451000</v>
      </c>
      <c r="L32" s="13">
        <v>183000</v>
      </c>
      <c r="M32" s="13">
        <v>656500</v>
      </c>
      <c r="N32" s="13">
        <v>72000</v>
      </c>
      <c r="O32" s="13"/>
      <c r="P32" s="13"/>
    </row>
    <row r="33" spans="1:16" x14ac:dyDescent="0.25">
      <c r="A33" s="15"/>
      <c r="B33" s="37">
        <f>SUM(B1:B32)</f>
        <v>70032.945500000002</v>
      </c>
      <c r="C33" s="37">
        <f>SUM(C2:C32)</f>
        <v>119520.31099999999</v>
      </c>
      <c r="D33" s="38" t="s">
        <v>62</v>
      </c>
      <c r="E33" s="38" t="s">
        <v>62</v>
      </c>
      <c r="F33" s="39">
        <f>SUM(F2:F32)</f>
        <v>355768488.77650011</v>
      </c>
      <c r="G33" s="39">
        <f>SUM(G2:G32)</f>
        <v>526093153.61699998</v>
      </c>
      <c r="H33" s="39">
        <f>SUM(H2:H32)</f>
        <v>2070.25</v>
      </c>
      <c r="I33" s="39">
        <f t="shared" ref="I33" si="2">SUM(I1:I32)</f>
        <v>43621000</v>
      </c>
      <c r="J33" s="39">
        <f>SUM(J1:J32)</f>
        <v>2179.5</v>
      </c>
      <c r="K33" s="39" t="s">
        <v>62</v>
      </c>
      <c r="L33" s="39">
        <f>SUM(L1:L32)</f>
        <v>2525000</v>
      </c>
      <c r="M33" s="38">
        <v>19854000</v>
      </c>
      <c r="N33" s="38">
        <f>SUM(N2:N32)</f>
        <v>1423000</v>
      </c>
      <c r="O33" s="38"/>
      <c r="P33" s="38"/>
    </row>
    <row r="34" spans="1:16" x14ac:dyDescent="0.25">
      <c r="E34" t="s">
        <v>62</v>
      </c>
    </row>
    <row r="35" spans="1:16" x14ac:dyDescent="0.25">
      <c r="A35" t="s">
        <v>91</v>
      </c>
      <c r="B35">
        <v>71500</v>
      </c>
      <c r="C35">
        <v>101500</v>
      </c>
      <c r="H35">
        <v>1830</v>
      </c>
      <c r="J35">
        <v>4310</v>
      </c>
      <c r="L35">
        <v>3500000</v>
      </c>
      <c r="M35" s="63">
        <v>20800000</v>
      </c>
      <c r="O35" s="63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35"/>
  <sheetViews>
    <sheetView topLeftCell="A7" workbookViewId="0">
      <selection sqref="A1:N1"/>
    </sheetView>
  </sheetViews>
  <sheetFormatPr defaultRowHeight="15" x14ac:dyDescent="0.25"/>
  <cols>
    <col min="1" max="1" width="10.7109375" customWidth="1"/>
    <col min="2" max="2" width="11.140625" customWidth="1"/>
    <col min="3" max="3" width="12" customWidth="1"/>
    <col min="6" max="6" width="14.85546875" customWidth="1"/>
    <col min="7" max="7" width="15.28515625" customWidth="1"/>
    <col min="8" max="8" width="9.85546875" customWidth="1"/>
    <col min="9" max="9" width="13.42578125" customWidth="1"/>
    <col min="11" max="11" width="10.85546875" customWidth="1"/>
    <col min="12" max="12" width="12.28515625" customWidth="1"/>
    <col min="13" max="13" width="11.85546875" customWidth="1"/>
    <col min="14" max="14" width="11.42578125" customWidth="1"/>
  </cols>
  <sheetData>
    <row r="1" spans="1:16" x14ac:dyDescent="0.25">
      <c r="A1" s="16" t="s">
        <v>92</v>
      </c>
      <c r="B1" s="17" t="s">
        <v>1</v>
      </c>
      <c r="C1" s="17" t="s">
        <v>2</v>
      </c>
      <c r="D1" s="18" t="s">
        <v>1</v>
      </c>
      <c r="E1" s="18" t="s">
        <v>2</v>
      </c>
      <c r="F1" s="19" t="s">
        <v>1</v>
      </c>
      <c r="G1" s="19" t="s">
        <v>2</v>
      </c>
      <c r="H1" s="19" t="s">
        <v>9</v>
      </c>
      <c r="I1" s="18" t="s">
        <v>10</v>
      </c>
      <c r="J1" s="16" t="s">
        <v>11</v>
      </c>
      <c r="K1" s="18" t="s">
        <v>10</v>
      </c>
      <c r="L1" s="18" t="s">
        <v>4</v>
      </c>
      <c r="M1" s="18" t="s">
        <v>67</v>
      </c>
      <c r="N1" s="18" t="s">
        <v>52</v>
      </c>
      <c r="O1" s="18"/>
      <c r="P1" s="18"/>
    </row>
    <row r="2" spans="1:16" x14ac:dyDescent="0.25">
      <c r="A2" s="25" t="s">
        <v>157</v>
      </c>
      <c r="B2" s="46">
        <v>1682.319</v>
      </c>
      <c r="C2" s="46">
        <v>3904.9830000000002</v>
      </c>
      <c r="D2" s="47">
        <v>5299</v>
      </c>
      <c r="E2" s="47">
        <v>4845</v>
      </c>
      <c r="F2" s="13">
        <f t="shared" ref="F2:G31" si="0">B2*D2</f>
        <v>8914608.3809999991</v>
      </c>
      <c r="G2" s="13">
        <f t="shared" si="0"/>
        <v>18919642.635000002</v>
      </c>
      <c r="H2" s="31">
        <v>78.5</v>
      </c>
      <c r="I2" s="13">
        <v>1684500</v>
      </c>
      <c r="J2" s="27">
        <v>36</v>
      </c>
      <c r="K2" s="13">
        <v>318000</v>
      </c>
      <c r="L2" s="13">
        <v>111000</v>
      </c>
      <c r="M2" s="13">
        <v>451800</v>
      </c>
      <c r="N2" s="13">
        <v>102000</v>
      </c>
      <c r="O2" s="13"/>
      <c r="P2" s="13"/>
    </row>
    <row r="3" spans="1:16" x14ac:dyDescent="0.25">
      <c r="A3" s="25" t="s">
        <v>158</v>
      </c>
      <c r="B3" s="46">
        <v>2201.1010000000001</v>
      </c>
      <c r="C3" s="46">
        <v>5210.1859999999997</v>
      </c>
      <c r="D3" s="47">
        <v>5299</v>
      </c>
      <c r="E3" s="47">
        <v>4845</v>
      </c>
      <c r="F3" s="13">
        <f t="shared" si="0"/>
        <v>11663634.199000001</v>
      </c>
      <c r="G3" s="13">
        <f t="shared" si="0"/>
        <v>25243351.169999998</v>
      </c>
      <c r="H3" s="26">
        <v>43</v>
      </c>
      <c r="I3" s="13">
        <v>1362500</v>
      </c>
      <c r="J3" s="27">
        <v>34</v>
      </c>
      <c r="K3" s="13">
        <v>292000</v>
      </c>
      <c r="L3" s="13">
        <v>126000</v>
      </c>
      <c r="M3" s="13">
        <v>644000</v>
      </c>
      <c r="N3" s="13">
        <v>23000</v>
      </c>
      <c r="O3" s="13"/>
      <c r="P3" s="13"/>
    </row>
    <row r="4" spans="1:16" x14ac:dyDescent="0.25">
      <c r="A4" s="25" t="s">
        <v>159</v>
      </c>
      <c r="B4" s="46">
        <v>2736.4949999999999</v>
      </c>
      <c r="C4" s="46">
        <v>4171.8739999999998</v>
      </c>
      <c r="D4" s="47">
        <v>5299</v>
      </c>
      <c r="E4" s="47">
        <v>4845</v>
      </c>
      <c r="F4" s="13">
        <f t="shared" si="0"/>
        <v>14500687.004999999</v>
      </c>
      <c r="G4" s="13">
        <f t="shared" si="0"/>
        <v>20212729.529999997</v>
      </c>
      <c r="H4" s="26">
        <v>88</v>
      </c>
      <c r="I4" s="13">
        <v>1789000</v>
      </c>
      <c r="J4" s="27">
        <v>24.5</v>
      </c>
      <c r="K4" s="13">
        <v>211000</v>
      </c>
      <c r="L4" s="13">
        <v>60000</v>
      </c>
      <c r="M4" s="13">
        <v>346000</v>
      </c>
      <c r="N4" s="13"/>
      <c r="O4" s="13"/>
      <c r="P4" s="13"/>
    </row>
    <row r="5" spans="1:16" x14ac:dyDescent="0.25">
      <c r="A5" s="25" t="s">
        <v>160</v>
      </c>
      <c r="B5" s="46">
        <v>2779.884</v>
      </c>
      <c r="C5" s="46">
        <v>6592.5069999999996</v>
      </c>
      <c r="D5" s="47">
        <v>5299</v>
      </c>
      <c r="E5" s="47">
        <v>4845</v>
      </c>
      <c r="F5" s="13">
        <f t="shared" si="0"/>
        <v>14730605.316</v>
      </c>
      <c r="G5" s="13">
        <f t="shared" si="0"/>
        <v>31940696.414999999</v>
      </c>
      <c r="H5" s="26">
        <v>55.5</v>
      </c>
      <c r="I5" s="13">
        <v>1147500</v>
      </c>
      <c r="J5" s="27">
        <v>66.5</v>
      </c>
      <c r="K5" s="13">
        <v>585000</v>
      </c>
      <c r="L5" s="13">
        <v>81000</v>
      </c>
      <c r="M5" s="13">
        <v>514000</v>
      </c>
      <c r="N5" s="13">
        <v>135000</v>
      </c>
      <c r="O5" s="13"/>
      <c r="P5" s="13"/>
    </row>
    <row r="6" spans="1:16" x14ac:dyDescent="0.25">
      <c r="A6" s="25" t="s">
        <v>161</v>
      </c>
      <c r="B6" s="46">
        <v>1694.4269999999999</v>
      </c>
      <c r="C6" s="46">
        <v>1403.876</v>
      </c>
      <c r="D6" s="47">
        <v>5299</v>
      </c>
      <c r="E6" s="47">
        <v>4845</v>
      </c>
      <c r="F6" s="13">
        <f t="shared" si="0"/>
        <v>8978768.6730000004</v>
      </c>
      <c r="G6" s="13">
        <f t="shared" si="0"/>
        <v>6801779.2199999997</v>
      </c>
      <c r="H6" s="26">
        <v>69.5</v>
      </c>
      <c r="I6" s="13">
        <v>1486500</v>
      </c>
      <c r="J6" s="27">
        <v>74</v>
      </c>
      <c r="K6" s="13">
        <v>632000</v>
      </c>
      <c r="L6" s="13">
        <v>61000</v>
      </c>
      <c r="M6" s="13">
        <v>440000</v>
      </c>
      <c r="N6" s="13"/>
      <c r="O6" s="13"/>
      <c r="P6" s="13"/>
    </row>
    <row r="7" spans="1:16" x14ac:dyDescent="0.25">
      <c r="A7" s="25" t="s">
        <v>162</v>
      </c>
      <c r="B7" s="46">
        <v>3043.8119999999999</v>
      </c>
      <c r="C7" s="46">
        <v>4427.598</v>
      </c>
      <c r="D7" s="47">
        <v>5299</v>
      </c>
      <c r="E7" s="47">
        <v>4845</v>
      </c>
      <c r="F7" s="13">
        <f t="shared" si="0"/>
        <v>16129159.787999999</v>
      </c>
      <c r="G7" s="13">
        <v>21451712</v>
      </c>
      <c r="H7" s="26">
        <v>50</v>
      </c>
      <c r="I7" s="13">
        <v>954500</v>
      </c>
      <c r="J7" s="27">
        <v>93.5</v>
      </c>
      <c r="K7" s="13">
        <v>790000</v>
      </c>
      <c r="L7" s="13">
        <v>89000</v>
      </c>
      <c r="M7" s="13">
        <v>728000</v>
      </c>
      <c r="N7" s="13">
        <v>397500</v>
      </c>
      <c r="O7" s="13"/>
      <c r="P7" s="13"/>
    </row>
    <row r="8" spans="1:16" x14ac:dyDescent="0.25">
      <c r="A8" s="25" t="s">
        <v>163</v>
      </c>
      <c r="B8" s="46">
        <v>2426.6</v>
      </c>
      <c r="C8" s="46">
        <v>6405.8389999999999</v>
      </c>
      <c r="D8" s="47">
        <v>5299</v>
      </c>
      <c r="E8" s="47">
        <v>4845</v>
      </c>
      <c r="F8" s="13">
        <f t="shared" si="0"/>
        <v>12858553.4</v>
      </c>
      <c r="G8" s="13">
        <f t="shared" si="0"/>
        <v>31036289.954999998</v>
      </c>
      <c r="H8" s="26">
        <v>89</v>
      </c>
      <c r="I8" s="13">
        <v>1927500</v>
      </c>
      <c r="J8" s="27">
        <v>31.5</v>
      </c>
      <c r="K8" s="13">
        <v>256000</v>
      </c>
      <c r="L8" s="13">
        <v>124000</v>
      </c>
      <c r="M8" s="13">
        <v>1009000</v>
      </c>
      <c r="N8" s="13"/>
      <c r="O8" s="13"/>
      <c r="P8" s="13"/>
    </row>
    <row r="9" spans="1:16" x14ac:dyDescent="0.25">
      <c r="A9" s="25" t="s">
        <v>164</v>
      </c>
      <c r="B9" s="46">
        <v>2465.3200000000002</v>
      </c>
      <c r="C9" s="46">
        <v>3258.886</v>
      </c>
      <c r="D9" s="47">
        <v>5299</v>
      </c>
      <c r="E9" s="47">
        <v>4845</v>
      </c>
      <c r="F9" s="13">
        <f t="shared" si="0"/>
        <v>13063730.680000002</v>
      </c>
      <c r="G9" s="13">
        <f t="shared" si="0"/>
        <v>15789302.67</v>
      </c>
      <c r="H9" s="26">
        <v>74</v>
      </c>
      <c r="I9" s="13">
        <v>1534500</v>
      </c>
      <c r="J9" s="27">
        <v>59</v>
      </c>
      <c r="K9" s="13">
        <v>502000</v>
      </c>
      <c r="L9" s="13">
        <v>96000</v>
      </c>
      <c r="M9" s="13">
        <v>822500</v>
      </c>
      <c r="N9" s="13"/>
      <c r="O9" s="13"/>
      <c r="P9" s="13"/>
    </row>
    <row r="10" spans="1:16" x14ac:dyDescent="0.25">
      <c r="A10" s="25" t="s">
        <v>165</v>
      </c>
      <c r="B10" s="46">
        <v>2883.0880000000002</v>
      </c>
      <c r="C10" s="46">
        <v>4601.1019999999999</v>
      </c>
      <c r="D10" s="47">
        <v>5299</v>
      </c>
      <c r="E10" s="47">
        <v>4845</v>
      </c>
      <c r="F10" s="13">
        <f t="shared" si="0"/>
        <v>15277483.312000001</v>
      </c>
      <c r="G10" s="13">
        <f t="shared" si="0"/>
        <v>22292339.189999998</v>
      </c>
      <c r="H10" s="26">
        <v>65</v>
      </c>
      <c r="I10" s="13">
        <v>1424500</v>
      </c>
      <c r="J10" s="27">
        <v>104.5</v>
      </c>
      <c r="K10" s="13">
        <v>892000</v>
      </c>
      <c r="L10" s="13">
        <v>194000</v>
      </c>
      <c r="M10" s="13">
        <v>496000</v>
      </c>
      <c r="N10" s="13">
        <v>306000</v>
      </c>
      <c r="O10" s="13"/>
      <c r="P10" s="13"/>
    </row>
    <row r="11" spans="1:16" x14ac:dyDescent="0.25">
      <c r="A11" s="25" t="s">
        <v>166</v>
      </c>
      <c r="B11" s="46">
        <v>3330.6590000000001</v>
      </c>
      <c r="C11" s="46">
        <v>4922.9870000000001</v>
      </c>
      <c r="D11" s="47">
        <v>5299</v>
      </c>
      <c r="E11" s="47">
        <v>4845</v>
      </c>
      <c r="F11" s="13">
        <f t="shared" si="0"/>
        <v>17649162.041000001</v>
      </c>
      <c r="G11" s="13">
        <f t="shared" si="0"/>
        <v>23851872.015000001</v>
      </c>
      <c r="H11" s="26">
        <v>72</v>
      </c>
      <c r="I11" s="13">
        <v>1737400</v>
      </c>
      <c r="J11" s="27">
        <v>100.5</v>
      </c>
      <c r="K11" s="13">
        <v>923000</v>
      </c>
      <c r="L11" s="13">
        <v>178000</v>
      </c>
      <c r="M11" s="13">
        <v>539500</v>
      </c>
      <c r="N11" s="13"/>
      <c r="O11" s="13"/>
      <c r="P11" s="13"/>
    </row>
    <row r="12" spans="1:16" x14ac:dyDescent="0.25">
      <c r="A12" s="25" t="s">
        <v>167</v>
      </c>
      <c r="B12" s="46">
        <v>2533.8380000000002</v>
      </c>
      <c r="C12" s="46">
        <v>3841.5819999999999</v>
      </c>
      <c r="D12" s="47">
        <v>5299</v>
      </c>
      <c r="E12" s="47">
        <v>4845</v>
      </c>
      <c r="F12" s="13">
        <f t="shared" si="0"/>
        <v>13426807.562000001</v>
      </c>
      <c r="G12" s="13">
        <f t="shared" si="0"/>
        <v>18612464.789999999</v>
      </c>
      <c r="H12" s="26">
        <v>55</v>
      </c>
      <c r="I12" s="51">
        <v>1229000</v>
      </c>
      <c r="J12" s="27">
        <v>79.5</v>
      </c>
      <c r="K12" s="13">
        <v>687000</v>
      </c>
      <c r="L12" s="13">
        <v>33000</v>
      </c>
      <c r="M12" s="13">
        <v>700500</v>
      </c>
      <c r="N12" s="13">
        <v>17500</v>
      </c>
      <c r="O12" s="13"/>
      <c r="P12" s="13"/>
    </row>
    <row r="13" spans="1:16" x14ac:dyDescent="0.25">
      <c r="A13" s="25" t="s">
        <v>168</v>
      </c>
      <c r="B13" s="46">
        <v>2196.6489999999999</v>
      </c>
      <c r="C13" s="46">
        <v>3599.11</v>
      </c>
      <c r="D13" s="47">
        <v>5299</v>
      </c>
      <c r="E13" s="47">
        <v>4790</v>
      </c>
      <c r="F13" s="13">
        <f t="shared" si="0"/>
        <v>11640043.050999999</v>
      </c>
      <c r="G13" s="13">
        <f t="shared" si="0"/>
        <v>17239736.900000002</v>
      </c>
      <c r="H13" s="26">
        <v>23.5</v>
      </c>
      <c r="I13" s="13">
        <v>452500</v>
      </c>
      <c r="J13" s="27">
        <v>81.5</v>
      </c>
      <c r="K13" s="13">
        <v>716000</v>
      </c>
      <c r="L13" s="13">
        <v>39000</v>
      </c>
      <c r="M13" s="13">
        <v>481000</v>
      </c>
      <c r="N13" s="13">
        <v>110500</v>
      </c>
      <c r="O13" s="13"/>
      <c r="P13" s="13"/>
    </row>
    <row r="14" spans="1:16" x14ac:dyDescent="0.25">
      <c r="A14" s="25" t="s">
        <v>169</v>
      </c>
      <c r="B14" s="46">
        <v>2476.2669999999998</v>
      </c>
      <c r="C14" s="46">
        <v>3704.172</v>
      </c>
      <c r="D14" s="47">
        <v>5299</v>
      </c>
      <c r="E14" s="47">
        <v>4790</v>
      </c>
      <c r="F14" s="13">
        <f t="shared" si="0"/>
        <v>13121738.832999999</v>
      </c>
      <c r="G14" s="13">
        <v>17946713</v>
      </c>
      <c r="H14" s="26">
        <v>57.5</v>
      </c>
      <c r="I14" s="13">
        <v>1342500</v>
      </c>
      <c r="J14" s="27">
        <v>52</v>
      </c>
      <c r="K14" s="13">
        <v>451000</v>
      </c>
      <c r="L14" s="13">
        <v>23000</v>
      </c>
      <c r="M14" s="13">
        <v>739500</v>
      </c>
      <c r="N14" s="13">
        <v>432000</v>
      </c>
      <c r="O14" s="13"/>
      <c r="P14" s="13"/>
    </row>
    <row r="15" spans="1:16" x14ac:dyDescent="0.25">
      <c r="A15" s="25" t="s">
        <v>170</v>
      </c>
      <c r="B15" s="46">
        <v>2989.2809999999999</v>
      </c>
      <c r="C15" s="46">
        <v>1984.0419999999999</v>
      </c>
      <c r="D15" s="47">
        <v>5299</v>
      </c>
      <c r="E15" s="47">
        <v>4790</v>
      </c>
      <c r="F15" s="13">
        <f t="shared" si="0"/>
        <v>15840200.018999999</v>
      </c>
      <c r="G15" s="13">
        <f t="shared" si="0"/>
        <v>9503561.1799999997</v>
      </c>
      <c r="H15" s="13">
        <v>48</v>
      </c>
      <c r="I15" s="13">
        <v>1010000</v>
      </c>
      <c r="J15" s="27">
        <v>45.5</v>
      </c>
      <c r="K15" s="13">
        <v>398000</v>
      </c>
      <c r="L15" s="13">
        <v>98000</v>
      </c>
      <c r="M15" s="13">
        <v>742000</v>
      </c>
      <c r="N15" s="13">
        <v>102000</v>
      </c>
      <c r="O15" s="13"/>
      <c r="P15" s="13"/>
    </row>
    <row r="16" spans="1:16" x14ac:dyDescent="0.25">
      <c r="A16" s="25" t="s">
        <v>171</v>
      </c>
      <c r="B16" s="46">
        <v>1683.4179999999999</v>
      </c>
      <c r="C16" s="46">
        <v>2339.5479999999998</v>
      </c>
      <c r="D16" s="47">
        <v>5299</v>
      </c>
      <c r="E16" s="47">
        <v>4790</v>
      </c>
      <c r="F16" s="13">
        <f t="shared" si="0"/>
        <v>8920431.9819999989</v>
      </c>
      <c r="G16" s="13">
        <f t="shared" si="0"/>
        <v>11206434.919999998</v>
      </c>
      <c r="H16" s="26">
        <v>41</v>
      </c>
      <c r="I16" s="13">
        <v>795000</v>
      </c>
      <c r="J16" s="27">
        <v>67.5</v>
      </c>
      <c r="K16" s="13">
        <v>581000</v>
      </c>
      <c r="L16" s="13">
        <v>15000</v>
      </c>
      <c r="M16" s="13">
        <v>482500</v>
      </c>
      <c r="N16" s="13"/>
      <c r="O16" s="13"/>
      <c r="P16" s="13"/>
    </row>
    <row r="17" spans="1:16" x14ac:dyDescent="0.25">
      <c r="A17" s="25" t="s">
        <v>172</v>
      </c>
      <c r="B17" s="46">
        <v>2548.5680000000002</v>
      </c>
      <c r="C17" s="46">
        <v>2911.27</v>
      </c>
      <c r="D17" s="47">
        <v>5299</v>
      </c>
      <c r="E17" s="47">
        <v>4790</v>
      </c>
      <c r="F17" s="13">
        <f>B17*D17</f>
        <v>13504861.832</v>
      </c>
      <c r="G17" s="13">
        <f t="shared" si="0"/>
        <v>13944983.300000001</v>
      </c>
      <c r="H17" s="26">
        <v>59.5</v>
      </c>
      <c r="I17" s="13">
        <v>1642100</v>
      </c>
      <c r="J17" s="27">
        <v>106</v>
      </c>
      <c r="K17" s="13">
        <v>725000</v>
      </c>
      <c r="L17" s="13">
        <v>145000</v>
      </c>
      <c r="M17" s="13">
        <v>515000</v>
      </c>
      <c r="N17" s="13">
        <v>102000</v>
      </c>
      <c r="O17" s="13"/>
      <c r="P17" s="13"/>
    </row>
    <row r="18" spans="1:16" x14ac:dyDescent="0.25">
      <c r="A18" s="25" t="s">
        <v>173</v>
      </c>
      <c r="B18" s="46">
        <v>2177.6799999999998</v>
      </c>
      <c r="C18" s="46">
        <v>4244.9279999999999</v>
      </c>
      <c r="D18" s="47">
        <v>5299</v>
      </c>
      <c r="E18" s="47">
        <v>4790</v>
      </c>
      <c r="F18" s="13">
        <f t="shared" si="0"/>
        <v>11539526.319999998</v>
      </c>
      <c r="G18" s="13">
        <f t="shared" si="0"/>
        <v>20333205.120000001</v>
      </c>
      <c r="H18" s="26">
        <v>77</v>
      </c>
      <c r="I18" s="13">
        <v>1513000</v>
      </c>
      <c r="J18" s="12">
        <v>33</v>
      </c>
      <c r="K18" s="13">
        <v>398000</v>
      </c>
      <c r="L18" s="13">
        <v>16000</v>
      </c>
      <c r="M18" s="13">
        <v>413500</v>
      </c>
      <c r="N18" s="13">
        <v>174000</v>
      </c>
      <c r="O18" s="13"/>
      <c r="P18" s="13"/>
    </row>
    <row r="19" spans="1:16" x14ac:dyDescent="0.25">
      <c r="A19" s="25" t="s">
        <v>174</v>
      </c>
      <c r="B19" s="46">
        <v>2352.2109999999998</v>
      </c>
      <c r="C19" s="46">
        <v>2366.6469999999999</v>
      </c>
      <c r="D19" s="47">
        <v>5299</v>
      </c>
      <c r="E19" s="47">
        <v>4790</v>
      </c>
      <c r="F19" s="13">
        <f t="shared" si="0"/>
        <v>12464366.089</v>
      </c>
      <c r="G19" s="13">
        <f t="shared" si="0"/>
        <v>11336239.129999999</v>
      </c>
      <c r="H19" s="26">
        <v>113.25</v>
      </c>
      <c r="I19" s="13">
        <v>2482000</v>
      </c>
      <c r="J19" s="12">
        <v>94</v>
      </c>
      <c r="K19" s="13">
        <v>622000</v>
      </c>
      <c r="L19" s="13">
        <v>198000</v>
      </c>
      <c r="M19" s="13">
        <v>426000</v>
      </c>
      <c r="N19" s="13">
        <v>148000</v>
      </c>
      <c r="O19" s="13"/>
      <c r="P19" s="13"/>
    </row>
    <row r="20" spans="1:16" x14ac:dyDescent="0.25">
      <c r="A20" s="25" t="s">
        <v>175</v>
      </c>
      <c r="B20" s="46">
        <v>2086.3960000000002</v>
      </c>
      <c r="C20" s="46">
        <v>3189.7139999999999</v>
      </c>
      <c r="D20" s="47">
        <v>5299</v>
      </c>
      <c r="E20" s="47">
        <v>4790</v>
      </c>
      <c r="F20" s="13">
        <f t="shared" si="0"/>
        <v>11055812.404000001</v>
      </c>
      <c r="G20" s="13">
        <f t="shared" si="0"/>
        <v>15278730.060000001</v>
      </c>
      <c r="H20" s="26">
        <v>49</v>
      </c>
      <c r="I20" s="13">
        <v>1017500</v>
      </c>
      <c r="J20" s="12">
        <v>30</v>
      </c>
      <c r="K20" s="13">
        <v>265000</v>
      </c>
      <c r="L20" s="13">
        <v>93000</v>
      </c>
      <c r="M20" s="13">
        <v>357000</v>
      </c>
      <c r="N20" s="13"/>
      <c r="O20" s="13"/>
      <c r="P20" s="13"/>
    </row>
    <row r="21" spans="1:16" x14ac:dyDescent="0.25">
      <c r="A21" s="25" t="s">
        <v>176</v>
      </c>
      <c r="B21" s="46">
        <v>3110.2489999999998</v>
      </c>
      <c r="C21" s="46">
        <v>3460.75</v>
      </c>
      <c r="D21" s="47">
        <v>5299</v>
      </c>
      <c r="E21" s="47">
        <v>4790</v>
      </c>
      <c r="F21" s="13">
        <f t="shared" si="0"/>
        <v>16481209.450999999</v>
      </c>
      <c r="G21" s="13">
        <f t="shared" si="0"/>
        <v>16576992.5</v>
      </c>
      <c r="H21" s="26">
        <v>63.25</v>
      </c>
      <c r="I21" s="13">
        <v>1312000</v>
      </c>
      <c r="J21" s="12">
        <v>24.5</v>
      </c>
      <c r="K21" s="13">
        <v>211000</v>
      </c>
      <c r="L21" s="13">
        <v>99000</v>
      </c>
      <c r="M21" s="13">
        <v>566000</v>
      </c>
      <c r="N21" s="13">
        <v>35000</v>
      </c>
      <c r="O21" s="13"/>
      <c r="P21" s="13"/>
    </row>
    <row r="22" spans="1:16" x14ac:dyDescent="0.25">
      <c r="A22" s="25" t="s">
        <v>177</v>
      </c>
      <c r="B22" s="46">
        <v>2402.6129999999998</v>
      </c>
      <c r="C22" s="46">
        <v>1361.117</v>
      </c>
      <c r="D22" s="47">
        <v>5299</v>
      </c>
      <c r="E22" s="47">
        <v>4790</v>
      </c>
      <c r="F22" s="13">
        <f t="shared" si="0"/>
        <v>12731446.286999999</v>
      </c>
      <c r="G22" s="13">
        <f t="shared" si="0"/>
        <v>6519750.4299999997</v>
      </c>
      <c r="H22" s="26">
        <v>42.75</v>
      </c>
      <c r="I22" s="13">
        <v>861500</v>
      </c>
      <c r="J22" s="12">
        <v>61.5</v>
      </c>
      <c r="K22" s="13">
        <v>528000</v>
      </c>
      <c r="L22" s="13">
        <v>30000</v>
      </c>
      <c r="M22" s="13">
        <v>586000</v>
      </c>
      <c r="N22" s="13">
        <v>280000</v>
      </c>
      <c r="O22" s="13"/>
      <c r="P22" s="13"/>
    </row>
    <row r="23" spans="1:16" x14ac:dyDescent="0.25">
      <c r="A23" s="25" t="s">
        <v>178</v>
      </c>
      <c r="B23" s="46">
        <v>1866.6869999999999</v>
      </c>
      <c r="C23" s="46">
        <v>1739.434</v>
      </c>
      <c r="D23" s="47">
        <v>5299</v>
      </c>
      <c r="E23" s="47">
        <v>4790</v>
      </c>
      <c r="F23" s="13">
        <f t="shared" si="0"/>
        <v>9891574.4129999988</v>
      </c>
      <c r="G23" s="13">
        <f t="shared" si="0"/>
        <v>8331888.8599999994</v>
      </c>
      <c r="H23" s="26">
        <v>85.75</v>
      </c>
      <c r="I23" s="13">
        <v>1895000</v>
      </c>
      <c r="J23" s="12">
        <v>43.5</v>
      </c>
      <c r="K23" s="13">
        <v>368000</v>
      </c>
      <c r="L23" s="13">
        <v>153000</v>
      </c>
      <c r="M23" s="13">
        <v>598000</v>
      </c>
      <c r="N23" s="13"/>
      <c r="O23" s="13"/>
      <c r="P23" s="13"/>
    </row>
    <row r="24" spans="1:16" x14ac:dyDescent="0.25">
      <c r="A24" s="25" t="s">
        <v>179</v>
      </c>
      <c r="B24" s="46">
        <v>2457.8339999999998</v>
      </c>
      <c r="C24" s="46">
        <v>4221.308</v>
      </c>
      <c r="D24" s="47">
        <v>5299</v>
      </c>
      <c r="E24" s="47">
        <v>4790</v>
      </c>
      <c r="F24" s="13">
        <f t="shared" si="0"/>
        <v>13024062.365999999</v>
      </c>
      <c r="G24" s="13">
        <f t="shared" si="0"/>
        <v>20220065.32</v>
      </c>
      <c r="H24" s="26">
        <v>46.5</v>
      </c>
      <c r="I24" s="13">
        <v>959500</v>
      </c>
      <c r="J24" s="12">
        <v>61.5</v>
      </c>
      <c r="K24" s="13">
        <v>528000</v>
      </c>
      <c r="L24" s="13">
        <v>54000</v>
      </c>
      <c r="M24" s="13">
        <v>489000</v>
      </c>
      <c r="N24" s="13"/>
      <c r="O24" s="13"/>
      <c r="P24" s="13"/>
    </row>
    <row r="25" spans="1:16" x14ac:dyDescent="0.25">
      <c r="A25" s="25" t="s">
        <v>180</v>
      </c>
      <c r="B25" s="46">
        <v>2106.1959999999999</v>
      </c>
      <c r="C25" s="46">
        <v>7029.74</v>
      </c>
      <c r="D25" s="47">
        <v>5299</v>
      </c>
      <c r="E25" s="47">
        <v>4790</v>
      </c>
      <c r="F25" s="13">
        <f t="shared" si="0"/>
        <v>11160732.604</v>
      </c>
      <c r="G25" s="13">
        <f t="shared" si="0"/>
        <v>33672454.600000001</v>
      </c>
      <c r="H25" s="26">
        <v>122.75</v>
      </c>
      <c r="I25" s="13">
        <v>2701500</v>
      </c>
      <c r="J25" s="12">
        <v>46</v>
      </c>
      <c r="K25" s="13">
        <v>397000</v>
      </c>
      <c r="L25" s="13">
        <v>218000</v>
      </c>
      <c r="M25" s="13">
        <v>674000</v>
      </c>
      <c r="N25" s="13"/>
      <c r="O25" s="13"/>
      <c r="P25" s="13"/>
    </row>
    <row r="26" spans="1:16" x14ac:dyDescent="0.25">
      <c r="A26" s="25" t="s">
        <v>181</v>
      </c>
      <c r="B26" s="46">
        <v>2248.9679999999998</v>
      </c>
      <c r="C26" s="46">
        <v>3340.7020000000002</v>
      </c>
      <c r="D26" s="47">
        <v>5299</v>
      </c>
      <c r="E26" s="47">
        <v>4790</v>
      </c>
      <c r="F26" s="13">
        <f t="shared" si="0"/>
        <v>11917281.432</v>
      </c>
      <c r="G26" s="13">
        <f t="shared" si="0"/>
        <v>16001962.580000002</v>
      </c>
      <c r="H26" s="26">
        <v>21.25</v>
      </c>
      <c r="I26" s="13">
        <v>548500</v>
      </c>
      <c r="J26" s="12">
        <v>36</v>
      </c>
      <c r="K26" s="13">
        <v>318000</v>
      </c>
      <c r="L26" s="13">
        <v>23000</v>
      </c>
      <c r="M26" s="13">
        <v>656000</v>
      </c>
      <c r="N26" s="13"/>
      <c r="O26" s="13"/>
      <c r="P26" s="13"/>
    </row>
    <row r="27" spans="1:16" x14ac:dyDescent="0.25">
      <c r="A27" s="25" t="s">
        <v>182</v>
      </c>
      <c r="B27" s="46">
        <v>2080.654</v>
      </c>
      <c r="C27" s="46">
        <v>6503.7730000000001</v>
      </c>
      <c r="D27" s="47">
        <v>5299</v>
      </c>
      <c r="E27" s="47">
        <v>4790</v>
      </c>
      <c r="F27" s="13">
        <f t="shared" si="0"/>
        <v>11025385.546</v>
      </c>
      <c r="G27" s="13">
        <f t="shared" si="0"/>
        <v>31153072.670000002</v>
      </c>
      <c r="H27" s="26">
        <v>46.75</v>
      </c>
      <c r="I27" s="13">
        <v>977000</v>
      </c>
      <c r="J27" s="12">
        <v>112</v>
      </c>
      <c r="K27" s="13">
        <v>858000</v>
      </c>
      <c r="L27" s="13">
        <v>15000</v>
      </c>
      <c r="M27" s="13">
        <v>588000</v>
      </c>
      <c r="N27" s="13">
        <v>117000</v>
      </c>
      <c r="O27" s="13"/>
      <c r="P27" s="13"/>
    </row>
    <row r="28" spans="1:16" x14ac:dyDescent="0.25">
      <c r="A28" s="25" t="s">
        <v>183</v>
      </c>
      <c r="B28" s="46">
        <v>2443.482</v>
      </c>
      <c r="C28" s="46">
        <v>2722.634</v>
      </c>
      <c r="D28" s="47">
        <v>5299</v>
      </c>
      <c r="E28" s="47">
        <v>4790</v>
      </c>
      <c r="F28" s="13">
        <f t="shared" si="0"/>
        <v>12948011.118000001</v>
      </c>
      <c r="G28" s="13">
        <f t="shared" si="0"/>
        <v>13041416.859999999</v>
      </c>
      <c r="H28" s="26">
        <v>39.25</v>
      </c>
      <c r="I28" s="13">
        <v>834000</v>
      </c>
      <c r="J28" s="12">
        <v>60</v>
      </c>
      <c r="K28" s="13">
        <v>528000</v>
      </c>
      <c r="L28" s="13">
        <v>84000</v>
      </c>
      <c r="M28" s="13">
        <v>550000</v>
      </c>
      <c r="N28" s="13">
        <v>618000</v>
      </c>
      <c r="O28" s="13"/>
      <c r="P28" s="13"/>
    </row>
    <row r="29" spans="1:16" x14ac:dyDescent="0.25">
      <c r="A29" s="25" t="s">
        <v>184</v>
      </c>
      <c r="B29" s="46">
        <v>2311.3870000000002</v>
      </c>
      <c r="C29" s="46">
        <v>6528.8720000000003</v>
      </c>
      <c r="D29" s="47">
        <v>5299</v>
      </c>
      <c r="E29" s="47">
        <v>4790</v>
      </c>
      <c r="F29" s="13">
        <f t="shared" si="0"/>
        <v>12248039.713000001</v>
      </c>
      <c r="G29" s="13">
        <f t="shared" si="0"/>
        <v>31273296.880000003</v>
      </c>
      <c r="H29" s="26">
        <v>127.5</v>
      </c>
      <c r="I29" s="13">
        <v>2806500</v>
      </c>
      <c r="J29" s="12">
        <v>77.5</v>
      </c>
      <c r="K29" s="13">
        <v>656000</v>
      </c>
      <c r="L29" s="13">
        <v>54000</v>
      </c>
      <c r="M29" s="13">
        <v>472500</v>
      </c>
      <c r="N29" s="13">
        <v>84500</v>
      </c>
      <c r="O29" s="13"/>
      <c r="P29" s="13"/>
    </row>
    <row r="30" spans="1:16" x14ac:dyDescent="0.25">
      <c r="A30" s="25"/>
      <c r="B30" s="46"/>
      <c r="C30" s="46"/>
      <c r="D30" s="47"/>
      <c r="E30" s="47"/>
      <c r="F30" s="13" t="s">
        <v>62</v>
      </c>
      <c r="G30" s="13">
        <f t="shared" si="0"/>
        <v>0</v>
      </c>
      <c r="H30" s="26"/>
      <c r="I30" s="13"/>
      <c r="J30" s="12"/>
      <c r="K30" s="13"/>
      <c r="L30" s="13"/>
      <c r="M30" s="13"/>
      <c r="N30" s="13"/>
      <c r="O30" s="13"/>
      <c r="P30" s="13"/>
    </row>
    <row r="31" spans="1:16" x14ac:dyDescent="0.25">
      <c r="A31" s="25"/>
      <c r="B31" s="46"/>
      <c r="C31" s="46"/>
      <c r="D31" s="47"/>
      <c r="E31" s="47"/>
      <c r="F31" s="13">
        <f t="shared" si="0"/>
        <v>0</v>
      </c>
      <c r="G31" s="13">
        <f t="shared" si="0"/>
        <v>0</v>
      </c>
      <c r="H31" s="26"/>
      <c r="I31" s="13"/>
      <c r="J31" s="12"/>
      <c r="K31" s="13"/>
      <c r="L31" s="13"/>
      <c r="M31" s="13"/>
      <c r="N31" s="13"/>
      <c r="O31" s="13"/>
      <c r="P31" s="13"/>
    </row>
    <row r="32" spans="1:16" x14ac:dyDescent="0.25">
      <c r="A32" s="25"/>
      <c r="B32" s="46"/>
      <c r="C32" s="46"/>
      <c r="D32" s="47"/>
      <c r="E32" s="47"/>
      <c r="F32" s="13">
        <f t="shared" ref="F32:G32" si="1">B32*D32</f>
        <v>0</v>
      </c>
      <c r="G32" s="13">
        <f t="shared" si="1"/>
        <v>0</v>
      </c>
      <c r="H32" s="26"/>
      <c r="I32" s="13"/>
      <c r="J32" s="12"/>
      <c r="K32" s="13"/>
      <c r="L32" s="13"/>
      <c r="M32" s="13"/>
      <c r="N32" s="13"/>
      <c r="O32" s="13"/>
      <c r="P32" s="13"/>
    </row>
    <row r="33" spans="1:16" x14ac:dyDescent="0.25">
      <c r="A33" s="15"/>
      <c r="B33" s="37">
        <f>SUM(B2:B32)</f>
        <v>67316.083000000013</v>
      </c>
      <c r="C33" s="37">
        <f>SUM(C2:C32)</f>
        <v>109989.18100000001</v>
      </c>
      <c r="D33" s="38" t="s">
        <v>62</v>
      </c>
      <c r="E33" s="38" t="s">
        <v>62</v>
      </c>
      <c r="F33" s="39">
        <f>SUM(F2:F32)</f>
        <v>356707923.81699997</v>
      </c>
      <c r="G33" s="39">
        <f>SUM(G2:G32)</f>
        <v>529732683.9000001</v>
      </c>
      <c r="H33" s="39"/>
      <c r="I33" s="39">
        <f t="shared" ref="I33" si="2">SUM(I1:I32)</f>
        <v>39427500</v>
      </c>
      <c r="J33" s="39">
        <f>SUM(J1:J32)</f>
        <v>1735.5</v>
      </c>
      <c r="K33" s="39"/>
      <c r="L33" s="39">
        <f>SUM(L1:L32)</f>
        <v>2510000</v>
      </c>
      <c r="M33" s="38">
        <f>SUM(M2:M32)</f>
        <v>16027300</v>
      </c>
      <c r="N33" s="38">
        <f>SUM(N2:N32)</f>
        <v>3184000</v>
      </c>
      <c r="O33" s="38"/>
      <c r="P33" s="38"/>
    </row>
    <row r="34" spans="1:16" x14ac:dyDescent="0.25">
      <c r="E34" t="s">
        <v>62</v>
      </c>
    </row>
    <row r="35" spans="1:16" x14ac:dyDescent="0.25">
      <c r="A35" t="s">
        <v>91</v>
      </c>
      <c r="B35">
        <v>71500</v>
      </c>
      <c r="C35">
        <v>101500</v>
      </c>
      <c r="H35">
        <v>1830</v>
      </c>
      <c r="J35">
        <v>4310</v>
      </c>
      <c r="L35">
        <v>3500000</v>
      </c>
      <c r="M35" s="63">
        <v>20800000</v>
      </c>
      <c r="O35" s="63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DFD4-F929-4A14-B573-38BD42B95BCD}">
  <dimension ref="A1:O35"/>
  <sheetViews>
    <sheetView workbookViewId="0">
      <selection activeCell="H4" sqref="H4"/>
    </sheetView>
  </sheetViews>
  <sheetFormatPr defaultRowHeight="15" x14ac:dyDescent="0.25"/>
  <cols>
    <col min="1" max="1" width="10.7109375" style="70" bestFit="1" customWidth="1"/>
    <col min="2" max="2" width="9.85546875" style="70" customWidth="1"/>
    <col min="3" max="3" width="11.85546875" style="70" customWidth="1"/>
    <col min="4" max="4" width="10.28515625" style="70" customWidth="1"/>
    <col min="5" max="5" width="9.140625" style="70"/>
    <col min="6" max="6" width="13.42578125" style="70" customWidth="1"/>
    <col min="7" max="7" width="13.5703125" style="70" customWidth="1"/>
    <col min="8" max="8" width="9.140625" style="70"/>
    <col min="9" max="9" width="12.28515625" style="70" customWidth="1"/>
    <col min="10" max="10" width="9.140625" style="70"/>
    <col min="11" max="11" width="13" style="70" customWidth="1"/>
    <col min="12" max="12" width="13.85546875" style="70" customWidth="1"/>
    <col min="13" max="13" width="13.5703125" style="70" customWidth="1"/>
    <col min="14" max="14" width="12.7109375" style="70" customWidth="1"/>
    <col min="15" max="15" width="9.140625" style="70"/>
  </cols>
  <sheetData>
    <row r="1" spans="1:14" x14ac:dyDescent="0.25">
      <c r="A1" s="69" t="s">
        <v>92</v>
      </c>
      <c r="B1" s="69" t="s">
        <v>1</v>
      </c>
      <c r="C1" s="69" t="s">
        <v>2</v>
      </c>
      <c r="D1" s="69" t="s">
        <v>1</v>
      </c>
      <c r="E1" s="69" t="s">
        <v>2</v>
      </c>
      <c r="F1" s="69" t="s">
        <v>1</v>
      </c>
      <c r="G1" s="69" t="s">
        <v>2</v>
      </c>
      <c r="H1" s="69" t="s">
        <v>9</v>
      </c>
      <c r="I1" s="69" t="s">
        <v>10</v>
      </c>
      <c r="J1" s="69" t="s">
        <v>11</v>
      </c>
      <c r="K1" s="69" t="s">
        <v>10</v>
      </c>
      <c r="L1" s="69" t="s">
        <v>4</v>
      </c>
      <c r="M1" s="69" t="s">
        <v>67</v>
      </c>
      <c r="N1" s="69" t="s">
        <v>52</v>
      </c>
    </row>
    <row r="2" spans="1:14" x14ac:dyDescent="0.25">
      <c r="A2" s="71">
        <v>46082</v>
      </c>
      <c r="B2" s="64">
        <v>1653.0940000000001</v>
      </c>
      <c r="C2" s="64">
        <v>3579.1729999999998</v>
      </c>
      <c r="D2" s="64">
        <v>5299</v>
      </c>
      <c r="E2" s="64">
        <v>4790</v>
      </c>
      <c r="F2" s="64">
        <f>D2*B2</f>
        <v>8759745.1060000006</v>
      </c>
      <c r="G2" s="64">
        <f>E2*C2</f>
        <v>17144238.669999998</v>
      </c>
      <c r="H2" s="64">
        <v>21.5</v>
      </c>
      <c r="I2" s="65">
        <v>433500</v>
      </c>
      <c r="J2" s="65">
        <v>61.5</v>
      </c>
      <c r="K2" s="65">
        <v>530000</v>
      </c>
      <c r="L2" s="65">
        <v>55000</v>
      </c>
      <c r="M2" s="67">
        <v>643000</v>
      </c>
      <c r="N2" s="65">
        <v>137000</v>
      </c>
    </row>
    <row r="3" spans="1:14" x14ac:dyDescent="0.25">
      <c r="A3" s="71">
        <v>46083</v>
      </c>
      <c r="B3" s="64">
        <v>2510.3780000000002</v>
      </c>
      <c r="C3" s="64">
        <v>6361.5020000000004</v>
      </c>
      <c r="D3" s="64">
        <v>5299</v>
      </c>
      <c r="E3" s="64">
        <v>4790</v>
      </c>
      <c r="F3" s="64">
        <f t="shared" ref="F3:F32" si="0">D3*B3</f>
        <v>13302493.022000002</v>
      </c>
      <c r="G3" s="64">
        <f t="shared" ref="G3:G32" si="1">E3*C3</f>
        <v>30471594.580000002</v>
      </c>
      <c r="H3" s="64">
        <v>77.5</v>
      </c>
      <c r="I3" s="66">
        <v>1562000</v>
      </c>
      <c r="J3" s="66">
        <v>86.5</v>
      </c>
      <c r="K3" s="66">
        <v>742000</v>
      </c>
      <c r="L3" s="66">
        <v>266000</v>
      </c>
      <c r="M3" s="68">
        <v>1010500</v>
      </c>
      <c r="N3" s="66">
        <v>83000</v>
      </c>
    </row>
    <row r="4" spans="1:14" x14ac:dyDescent="0.25">
      <c r="A4" s="71">
        <v>46084</v>
      </c>
      <c r="B4" s="64">
        <v>2535.9209999999998</v>
      </c>
      <c r="C4" s="64">
        <v>4491.2709999999997</v>
      </c>
      <c r="D4" s="64">
        <v>5299</v>
      </c>
      <c r="E4" s="64">
        <v>4790</v>
      </c>
      <c r="F4" s="64">
        <f t="shared" si="0"/>
        <v>13437845.378999999</v>
      </c>
      <c r="G4" s="64">
        <f t="shared" si="1"/>
        <v>21513188.09</v>
      </c>
      <c r="H4" s="64">
        <v>67</v>
      </c>
      <c r="I4" s="65">
        <v>2599000</v>
      </c>
      <c r="J4" s="65"/>
      <c r="K4" s="65">
        <v>398000</v>
      </c>
      <c r="L4" s="65">
        <v>183000</v>
      </c>
      <c r="M4" s="67">
        <v>1269000</v>
      </c>
      <c r="N4" s="65">
        <v>53000</v>
      </c>
    </row>
    <row r="5" spans="1:14" x14ac:dyDescent="0.25">
      <c r="A5" s="71">
        <v>46085</v>
      </c>
      <c r="B5" s="64">
        <v>2138.8719999999998</v>
      </c>
      <c r="C5" s="64">
        <v>3254.4839999999999</v>
      </c>
      <c r="D5" s="64">
        <v>5299</v>
      </c>
      <c r="E5" s="64">
        <v>4790</v>
      </c>
      <c r="F5" s="64">
        <f t="shared" si="0"/>
        <v>11333882.727999998</v>
      </c>
      <c r="G5" s="64">
        <f t="shared" si="1"/>
        <v>15588978.359999999</v>
      </c>
      <c r="H5" s="64">
        <v>61.25</v>
      </c>
      <c r="I5" s="66">
        <v>1441500</v>
      </c>
      <c r="J5" s="66">
        <v>27</v>
      </c>
      <c r="K5" s="66">
        <v>240000</v>
      </c>
      <c r="L5" s="66">
        <v>36000</v>
      </c>
      <c r="M5" s="68">
        <v>636000</v>
      </c>
      <c r="N5" s="66">
        <v>84000</v>
      </c>
    </row>
    <row r="6" spans="1:14" x14ac:dyDescent="0.25">
      <c r="A6" s="71">
        <v>46086</v>
      </c>
      <c r="B6" s="64">
        <v>2033.9079999999999</v>
      </c>
      <c r="C6" s="64">
        <v>1836.4110000000001</v>
      </c>
      <c r="D6" s="64">
        <v>5299</v>
      </c>
      <c r="E6" s="64">
        <v>4790</v>
      </c>
      <c r="F6" s="64">
        <f t="shared" si="0"/>
        <v>10777678.491999999</v>
      </c>
      <c r="G6" s="64">
        <f t="shared" si="1"/>
        <v>8796408.6899999995</v>
      </c>
      <c r="H6" s="64">
        <v>66</v>
      </c>
      <c r="I6" s="65">
        <v>1520000</v>
      </c>
      <c r="J6" s="65">
        <v>49</v>
      </c>
      <c r="K6" s="65">
        <v>8000</v>
      </c>
      <c r="L6" s="65">
        <v>422000</v>
      </c>
      <c r="M6" s="67">
        <v>592000</v>
      </c>
      <c r="N6" s="65">
        <v>158000</v>
      </c>
    </row>
    <row r="7" spans="1:14" x14ac:dyDescent="0.25">
      <c r="A7" s="71">
        <v>46087</v>
      </c>
      <c r="B7" s="64">
        <v>2255.2730000000001</v>
      </c>
      <c r="C7" s="64">
        <v>3509.018</v>
      </c>
      <c r="D7" s="64">
        <v>5299</v>
      </c>
      <c r="E7" s="64">
        <v>4790</v>
      </c>
      <c r="F7" s="64">
        <f t="shared" si="0"/>
        <v>11950691.627</v>
      </c>
      <c r="G7" s="64">
        <f t="shared" si="1"/>
        <v>16808196.219999999</v>
      </c>
      <c r="H7" s="64"/>
      <c r="I7" s="66">
        <v>1481500</v>
      </c>
      <c r="J7" s="66"/>
      <c r="K7" s="66">
        <v>895000</v>
      </c>
      <c r="L7" s="66">
        <v>92000</v>
      </c>
      <c r="M7" s="68">
        <v>573000</v>
      </c>
      <c r="N7" s="66">
        <v>0</v>
      </c>
    </row>
    <row r="8" spans="1:14" x14ac:dyDescent="0.25">
      <c r="A8" s="71">
        <v>46088</v>
      </c>
      <c r="B8" s="64">
        <v>2208.8029999999999</v>
      </c>
      <c r="C8" s="64">
        <v>1988.4680000000001</v>
      </c>
      <c r="D8" s="64">
        <v>5299</v>
      </c>
      <c r="E8" s="64">
        <v>4790</v>
      </c>
      <c r="F8" s="64">
        <f t="shared" si="0"/>
        <v>11704447.096999999</v>
      </c>
      <c r="G8" s="64">
        <f t="shared" si="1"/>
        <v>9524761.7200000007</v>
      </c>
      <c r="H8" s="64"/>
      <c r="I8" s="65">
        <v>903500</v>
      </c>
      <c r="J8" s="65"/>
      <c r="K8" s="65">
        <v>575000</v>
      </c>
      <c r="L8" s="65">
        <v>61000</v>
      </c>
      <c r="M8" s="67">
        <v>714000</v>
      </c>
      <c r="N8" s="65">
        <v>0</v>
      </c>
    </row>
    <row r="9" spans="1:14" x14ac:dyDescent="0.25">
      <c r="A9" s="71">
        <v>46089</v>
      </c>
      <c r="B9" s="64">
        <v>1006.347</v>
      </c>
      <c r="C9" s="64">
        <v>1958.78</v>
      </c>
      <c r="D9" s="64">
        <v>5299</v>
      </c>
      <c r="E9" s="64">
        <v>4790</v>
      </c>
      <c r="F9" s="64">
        <f t="shared" si="0"/>
        <v>5332632.7529999996</v>
      </c>
      <c r="G9" s="64">
        <f t="shared" si="1"/>
        <v>9382556.1999999993</v>
      </c>
      <c r="H9" s="64">
        <v>56.5</v>
      </c>
      <c r="I9" s="66">
        <v>1099000</v>
      </c>
      <c r="J9" s="66">
        <v>56</v>
      </c>
      <c r="K9" s="66">
        <v>389000</v>
      </c>
      <c r="L9" s="66">
        <v>115000</v>
      </c>
      <c r="M9" s="68">
        <v>487000</v>
      </c>
      <c r="N9" s="66">
        <v>0</v>
      </c>
    </row>
    <row r="10" spans="1:14" x14ac:dyDescent="0.25">
      <c r="A10" s="71">
        <v>46090</v>
      </c>
      <c r="B10" s="64">
        <v>1826.3620000000001</v>
      </c>
      <c r="C10" s="64">
        <v>5007.0749999999998</v>
      </c>
      <c r="D10" s="64">
        <v>5299</v>
      </c>
      <c r="E10" s="64">
        <v>4790</v>
      </c>
      <c r="F10" s="64">
        <f t="shared" si="0"/>
        <v>9677892.2379999999</v>
      </c>
      <c r="G10" s="64">
        <f t="shared" si="1"/>
        <v>23983889.25</v>
      </c>
      <c r="H10" s="64">
        <v>90.25</v>
      </c>
      <c r="I10" s="65">
        <v>1937500</v>
      </c>
      <c r="J10" s="65">
        <v>46</v>
      </c>
      <c r="K10" s="65">
        <v>398000</v>
      </c>
      <c r="L10" s="65">
        <v>31000</v>
      </c>
      <c r="M10" s="67">
        <v>412000</v>
      </c>
      <c r="N10" s="65">
        <v>0</v>
      </c>
    </row>
    <row r="11" spans="1:14" x14ac:dyDescent="0.25">
      <c r="A11" s="71">
        <v>46091</v>
      </c>
      <c r="B11" s="64">
        <v>1656.8630000000001</v>
      </c>
      <c r="C11" s="64">
        <v>3057.5740000000001</v>
      </c>
      <c r="D11" s="64">
        <v>5299</v>
      </c>
      <c r="E11" s="64">
        <v>4790</v>
      </c>
      <c r="F11" s="64">
        <f t="shared" si="0"/>
        <v>8779717.0370000005</v>
      </c>
      <c r="G11" s="64">
        <f t="shared" si="1"/>
        <v>14645779.460000001</v>
      </c>
      <c r="H11" s="64">
        <v>41.75</v>
      </c>
      <c r="I11" s="66">
        <v>844000</v>
      </c>
      <c r="J11" s="66">
        <v>62</v>
      </c>
      <c r="K11" s="66">
        <v>527000</v>
      </c>
      <c r="L11" s="66">
        <v>79000</v>
      </c>
      <c r="M11" s="68">
        <v>429500</v>
      </c>
      <c r="N11" s="66">
        <v>29000</v>
      </c>
    </row>
    <row r="12" spans="1:14" x14ac:dyDescent="0.25">
      <c r="A12" s="71">
        <v>46092</v>
      </c>
      <c r="B12" s="64">
        <v>2417.0929999999998</v>
      </c>
      <c r="C12" s="64">
        <v>2996.9229999999998</v>
      </c>
      <c r="D12" s="64">
        <v>5299</v>
      </c>
      <c r="E12" s="64">
        <v>4790</v>
      </c>
      <c r="F12" s="64">
        <f t="shared" si="0"/>
        <v>12808175.807</v>
      </c>
      <c r="G12" s="64">
        <f t="shared" si="1"/>
        <v>14355261.169999998</v>
      </c>
      <c r="H12" s="64">
        <v>32.75</v>
      </c>
      <c r="I12" s="65">
        <v>664000</v>
      </c>
      <c r="J12" s="65"/>
      <c r="K12" s="65">
        <v>422000</v>
      </c>
      <c r="L12" s="65">
        <v>31000</v>
      </c>
      <c r="M12" s="67">
        <v>519000</v>
      </c>
      <c r="N12" s="65">
        <v>0</v>
      </c>
    </row>
    <row r="13" spans="1:14" x14ac:dyDescent="0.25">
      <c r="A13" s="71">
        <v>46093</v>
      </c>
      <c r="B13" s="64">
        <v>1925.1610000000001</v>
      </c>
      <c r="C13" s="64">
        <v>4468.1869999999999</v>
      </c>
      <c r="D13" s="64">
        <v>5299</v>
      </c>
      <c r="E13" s="64">
        <v>4790</v>
      </c>
      <c r="F13" s="64">
        <f t="shared" si="0"/>
        <v>10201428.139</v>
      </c>
      <c r="G13" s="64">
        <f t="shared" si="1"/>
        <v>21402615.73</v>
      </c>
      <c r="H13" s="64">
        <v>35.5</v>
      </c>
      <c r="I13" s="66">
        <v>844500</v>
      </c>
      <c r="J13" s="66">
        <v>18</v>
      </c>
      <c r="K13" s="66">
        <v>159000</v>
      </c>
      <c r="L13" s="66">
        <v>15000</v>
      </c>
      <c r="M13" s="68">
        <v>463000</v>
      </c>
      <c r="N13" s="66">
        <v>0</v>
      </c>
    </row>
    <row r="14" spans="1:14" x14ac:dyDescent="0.25">
      <c r="A14" s="71">
        <v>46094</v>
      </c>
      <c r="B14" s="64">
        <v>2354.721</v>
      </c>
      <c r="C14" s="64">
        <v>3523.5120000000002</v>
      </c>
      <c r="D14" s="64">
        <v>5299</v>
      </c>
      <c r="E14" s="64">
        <v>4790</v>
      </c>
      <c r="F14" s="64">
        <f t="shared" si="0"/>
        <v>12477666.579</v>
      </c>
      <c r="G14" s="64">
        <f t="shared" si="1"/>
        <v>16877622.48</v>
      </c>
      <c r="H14" s="64">
        <v>40.5</v>
      </c>
      <c r="I14" s="65">
        <v>1299000</v>
      </c>
      <c r="J14" s="65">
        <v>55</v>
      </c>
      <c r="K14" s="65">
        <v>470000</v>
      </c>
      <c r="L14" s="65">
        <v>24000</v>
      </c>
      <c r="M14" s="67">
        <v>750000</v>
      </c>
      <c r="N14" s="65">
        <v>206500</v>
      </c>
    </row>
    <row r="15" spans="1:14" x14ac:dyDescent="0.25">
      <c r="A15" s="71">
        <v>46095</v>
      </c>
      <c r="B15" s="64">
        <v>2428.1990000000001</v>
      </c>
      <c r="C15" s="64">
        <v>3884.3220000000001</v>
      </c>
      <c r="D15" s="64">
        <v>5399</v>
      </c>
      <c r="E15" s="64">
        <v>4790</v>
      </c>
      <c r="F15" s="64">
        <f t="shared" si="0"/>
        <v>13109846.401000001</v>
      </c>
      <c r="G15" s="64">
        <f t="shared" si="1"/>
        <v>18605902.379999999</v>
      </c>
      <c r="H15" s="64">
        <v>63.5</v>
      </c>
      <c r="I15" s="66">
        <v>1263500</v>
      </c>
      <c r="J15" s="66">
        <v>86.5</v>
      </c>
      <c r="K15" s="66">
        <v>737000</v>
      </c>
      <c r="L15" s="66">
        <v>75000</v>
      </c>
      <c r="M15" s="68">
        <v>695000</v>
      </c>
      <c r="N15" s="66">
        <v>0</v>
      </c>
    </row>
    <row r="16" spans="1:14" x14ac:dyDescent="0.25">
      <c r="A16" s="71">
        <v>46096</v>
      </c>
      <c r="B16" s="64">
        <v>1790.867</v>
      </c>
      <c r="C16" s="64">
        <v>2010.231</v>
      </c>
      <c r="D16" s="64">
        <v>5399</v>
      </c>
      <c r="E16" s="64">
        <v>5180</v>
      </c>
      <c r="F16" s="64">
        <f t="shared" si="0"/>
        <v>9668890.9330000002</v>
      </c>
      <c r="G16" s="64">
        <f t="shared" si="1"/>
        <v>10412996.58</v>
      </c>
      <c r="H16" s="64">
        <v>37</v>
      </c>
      <c r="I16" s="65">
        <v>714000</v>
      </c>
      <c r="J16" s="65">
        <v>52</v>
      </c>
      <c r="K16" s="65">
        <v>450000</v>
      </c>
      <c r="L16" s="65">
        <v>98000</v>
      </c>
      <c r="M16" s="67">
        <v>512000</v>
      </c>
      <c r="N16" s="65">
        <v>0</v>
      </c>
    </row>
    <row r="17" spans="1:14" x14ac:dyDescent="0.25">
      <c r="A17" s="71">
        <v>46097</v>
      </c>
      <c r="B17" s="64">
        <v>2630.0360000000001</v>
      </c>
      <c r="C17" s="64">
        <v>3542.9360000000001</v>
      </c>
      <c r="D17" s="64">
        <v>5399</v>
      </c>
      <c r="E17" s="64">
        <v>5180</v>
      </c>
      <c r="F17" s="64">
        <f t="shared" si="0"/>
        <v>14199564.364</v>
      </c>
      <c r="G17" s="64">
        <f t="shared" si="1"/>
        <v>18352408.48</v>
      </c>
      <c r="H17" s="64">
        <v>82.75</v>
      </c>
      <c r="I17" s="66">
        <v>1789500</v>
      </c>
      <c r="J17" s="66">
        <v>40</v>
      </c>
      <c r="K17" s="66">
        <v>344000</v>
      </c>
      <c r="L17" s="66">
        <v>61000</v>
      </c>
      <c r="M17" s="68">
        <v>780000</v>
      </c>
      <c r="N17" s="66">
        <v>54500</v>
      </c>
    </row>
    <row r="18" spans="1:14" x14ac:dyDescent="0.25">
      <c r="A18" s="71">
        <v>46098</v>
      </c>
      <c r="B18" s="64">
        <v>1132.971</v>
      </c>
      <c r="C18" s="64">
        <v>2466.9279999999999</v>
      </c>
      <c r="D18" s="64">
        <v>5399</v>
      </c>
      <c r="E18" s="64">
        <v>5180</v>
      </c>
      <c r="F18" s="64">
        <f t="shared" si="0"/>
        <v>6116910.4290000005</v>
      </c>
      <c r="G18" s="64">
        <f t="shared" si="1"/>
        <v>12778687.039999999</v>
      </c>
      <c r="H18" s="64">
        <v>35.549999999999997</v>
      </c>
      <c r="I18" s="65">
        <v>761000</v>
      </c>
      <c r="J18" s="65">
        <v>58</v>
      </c>
      <c r="K18" s="65">
        <v>503000</v>
      </c>
      <c r="L18" s="65">
        <v>8000</v>
      </c>
      <c r="M18" s="67">
        <v>554000</v>
      </c>
      <c r="N18" s="65">
        <v>0</v>
      </c>
    </row>
    <row r="19" spans="1:14" x14ac:dyDescent="0.25">
      <c r="A19" s="71">
        <v>46099</v>
      </c>
      <c r="B19" s="64">
        <v>1634.34</v>
      </c>
      <c r="C19" s="64">
        <v>4709.9750000000004</v>
      </c>
      <c r="D19" s="64">
        <v>5399</v>
      </c>
      <c r="E19" s="64">
        <v>5180</v>
      </c>
      <c r="F19" s="64">
        <f t="shared" si="0"/>
        <v>8823801.6600000001</v>
      </c>
      <c r="G19" s="64">
        <f t="shared" si="1"/>
        <v>24397670.500000004</v>
      </c>
      <c r="H19" s="64">
        <v>69</v>
      </c>
      <c r="I19" s="66">
        <v>1411500</v>
      </c>
      <c r="J19" s="66">
        <v>49</v>
      </c>
      <c r="K19" s="66">
        <v>422000</v>
      </c>
      <c r="L19" s="66">
        <v>98000</v>
      </c>
      <c r="M19" s="68">
        <v>406000</v>
      </c>
      <c r="N19" s="66">
        <v>0</v>
      </c>
    </row>
    <row r="20" spans="1:14" x14ac:dyDescent="0.25">
      <c r="A20" s="71">
        <v>46100</v>
      </c>
      <c r="B20" s="64">
        <v>1961.999</v>
      </c>
      <c r="C20" s="64">
        <v>2175.8029999999999</v>
      </c>
      <c r="D20" s="64">
        <v>5399</v>
      </c>
      <c r="E20" s="64">
        <v>5180</v>
      </c>
      <c r="F20" s="64">
        <f t="shared" si="0"/>
        <v>10592832.601</v>
      </c>
      <c r="G20" s="64">
        <f t="shared" si="1"/>
        <v>11270659.539999999</v>
      </c>
      <c r="H20" s="64">
        <v>102</v>
      </c>
      <c r="I20" s="65">
        <v>2173000</v>
      </c>
      <c r="J20" s="65">
        <v>50.5</v>
      </c>
      <c r="K20" s="65">
        <v>416000</v>
      </c>
      <c r="L20" s="65">
        <v>53000</v>
      </c>
      <c r="M20" s="67">
        <v>494000</v>
      </c>
      <c r="N20" s="65">
        <v>0</v>
      </c>
    </row>
    <row r="21" spans="1:14" x14ac:dyDescent="0.25">
      <c r="A21" s="71">
        <v>46101</v>
      </c>
      <c r="B21" s="64">
        <v>2012.24</v>
      </c>
      <c r="C21" s="64">
        <v>5754.491</v>
      </c>
      <c r="D21" s="64">
        <v>5399</v>
      </c>
      <c r="E21" s="64">
        <v>5180</v>
      </c>
      <c r="F21" s="64">
        <f t="shared" si="0"/>
        <v>10864083.76</v>
      </c>
      <c r="G21" s="64">
        <f t="shared" si="1"/>
        <v>29808263.379999999</v>
      </c>
      <c r="H21" s="64">
        <v>63</v>
      </c>
      <c r="I21" s="66">
        <v>1266500</v>
      </c>
      <c r="J21" s="64">
        <v>86</v>
      </c>
      <c r="K21" s="66">
        <v>988000</v>
      </c>
      <c r="L21" s="66">
        <v>32000</v>
      </c>
      <c r="M21" s="68">
        <v>556400</v>
      </c>
      <c r="N21" s="66">
        <v>0</v>
      </c>
    </row>
    <row r="22" spans="1:14" x14ac:dyDescent="0.25">
      <c r="A22" s="71">
        <v>46102</v>
      </c>
      <c r="B22" s="64">
        <v>3067.623</v>
      </c>
      <c r="C22" s="64">
        <v>2253.134</v>
      </c>
      <c r="D22" s="64">
        <v>5399</v>
      </c>
      <c r="E22" s="64">
        <v>5180</v>
      </c>
      <c r="F22" s="64">
        <f t="shared" si="0"/>
        <v>16562096.577</v>
      </c>
      <c r="G22" s="64">
        <f t="shared" si="1"/>
        <v>11671234.119999999</v>
      </c>
      <c r="H22" s="64">
        <v>238.75</v>
      </c>
      <c r="I22" s="65">
        <v>4933000</v>
      </c>
      <c r="J22" s="64">
        <v>62.5</v>
      </c>
      <c r="K22" s="65">
        <v>345000</v>
      </c>
      <c r="L22" s="65">
        <v>53000</v>
      </c>
      <c r="M22" s="67">
        <v>1060800</v>
      </c>
      <c r="N22" s="65">
        <v>0</v>
      </c>
    </row>
    <row r="23" spans="1:14" x14ac:dyDescent="0.25">
      <c r="A23" s="71">
        <v>46103</v>
      </c>
      <c r="B23" s="64">
        <v>1972.123</v>
      </c>
      <c r="C23" s="64">
        <v>1527.087</v>
      </c>
      <c r="D23" s="64">
        <v>5399</v>
      </c>
      <c r="E23" s="64">
        <v>5180</v>
      </c>
      <c r="F23" s="64">
        <f t="shared" si="0"/>
        <v>10647492.077</v>
      </c>
      <c r="G23" s="64">
        <f t="shared" si="1"/>
        <v>7910310.6600000001</v>
      </c>
      <c r="H23" s="64">
        <v>47</v>
      </c>
      <c r="I23" s="66">
        <v>1850000</v>
      </c>
      <c r="J23" s="64">
        <v>21.5</v>
      </c>
      <c r="K23" s="66">
        <v>186000</v>
      </c>
      <c r="L23" s="66">
        <v>88000</v>
      </c>
      <c r="M23" s="68">
        <v>548000</v>
      </c>
      <c r="N23" s="66">
        <v>75500</v>
      </c>
    </row>
    <row r="24" spans="1:14" x14ac:dyDescent="0.25">
      <c r="A24" s="71">
        <v>46104</v>
      </c>
      <c r="B24" s="64">
        <v>2557.5740000000001</v>
      </c>
      <c r="C24" s="64">
        <v>2893.2689999999998</v>
      </c>
      <c r="D24" s="64">
        <v>5399</v>
      </c>
      <c r="E24" s="64">
        <v>5180</v>
      </c>
      <c r="F24" s="64">
        <f t="shared" si="0"/>
        <v>13808342.026000001</v>
      </c>
      <c r="G24" s="64">
        <f t="shared" si="1"/>
        <v>14987133.419999998</v>
      </c>
      <c r="H24" s="64">
        <v>59.5</v>
      </c>
      <c r="I24" s="65">
        <v>1511100</v>
      </c>
      <c r="J24" s="64">
        <v>85.5</v>
      </c>
      <c r="K24" s="65">
        <v>739000</v>
      </c>
      <c r="L24" s="65">
        <v>16000</v>
      </c>
      <c r="M24" s="67">
        <v>542000</v>
      </c>
      <c r="N24" s="65">
        <v>0</v>
      </c>
    </row>
    <row r="25" spans="1:14" x14ac:dyDescent="0.25">
      <c r="A25" s="71">
        <v>46105</v>
      </c>
      <c r="B25" s="64">
        <v>2208.348</v>
      </c>
      <c r="C25" s="64">
        <v>4971.6329999999998</v>
      </c>
      <c r="D25" s="64">
        <v>5399</v>
      </c>
      <c r="E25" s="64">
        <v>5180</v>
      </c>
      <c r="F25" s="64">
        <f t="shared" si="0"/>
        <v>11922870.852</v>
      </c>
      <c r="G25" s="64">
        <f t="shared" si="1"/>
        <v>25753058.939999998</v>
      </c>
      <c r="H25" s="64">
        <v>82.5</v>
      </c>
      <c r="I25" s="66">
        <v>1707500</v>
      </c>
      <c r="J25" s="64">
        <v>74.5</v>
      </c>
      <c r="K25" s="66">
        <v>633000</v>
      </c>
      <c r="L25" s="66">
        <v>118000</v>
      </c>
      <c r="M25" s="68">
        <v>590000</v>
      </c>
      <c r="N25" s="66">
        <v>0</v>
      </c>
    </row>
    <row r="26" spans="1:14" x14ac:dyDescent="0.25">
      <c r="A26" s="71">
        <v>46106</v>
      </c>
      <c r="B26" s="64">
        <v>2321.8130000000001</v>
      </c>
      <c r="C26" s="64">
        <v>1953.337</v>
      </c>
      <c r="D26" s="64">
        <v>5399</v>
      </c>
      <c r="E26" s="64">
        <v>5180</v>
      </c>
      <c r="F26" s="64">
        <f t="shared" si="0"/>
        <v>12535468.387</v>
      </c>
      <c r="G26" s="64">
        <f t="shared" si="1"/>
        <v>10118285.66</v>
      </c>
      <c r="H26" s="64"/>
      <c r="I26" s="65">
        <v>475500</v>
      </c>
      <c r="J26" s="64"/>
      <c r="K26" s="65">
        <v>580000</v>
      </c>
      <c r="L26" s="65">
        <v>106000</v>
      </c>
      <c r="M26" s="67">
        <v>522000</v>
      </c>
      <c r="N26" s="65">
        <v>75500</v>
      </c>
    </row>
    <row r="27" spans="1:14" x14ac:dyDescent="0.25">
      <c r="A27" s="71">
        <v>46107</v>
      </c>
      <c r="B27" s="64">
        <v>2079.3510000000001</v>
      </c>
      <c r="C27" s="64">
        <v>4437.6099999999997</v>
      </c>
      <c r="D27" s="64">
        <v>5399</v>
      </c>
      <c r="E27" s="64">
        <v>5180</v>
      </c>
      <c r="F27" s="64">
        <f t="shared" si="0"/>
        <v>11226416.049000001</v>
      </c>
      <c r="G27" s="64">
        <f t="shared" si="1"/>
        <v>22986819.799999997</v>
      </c>
      <c r="H27" s="64">
        <v>70</v>
      </c>
      <c r="I27" s="66">
        <v>1636000</v>
      </c>
      <c r="J27" s="64">
        <v>43</v>
      </c>
      <c r="K27" s="66">
        <v>474000</v>
      </c>
      <c r="L27" s="66">
        <v>8000</v>
      </c>
      <c r="M27" s="68">
        <v>676500</v>
      </c>
      <c r="N27" s="66">
        <v>75500</v>
      </c>
    </row>
    <row r="28" spans="1:14" x14ac:dyDescent="0.25">
      <c r="A28" s="71">
        <v>46108</v>
      </c>
      <c r="B28" s="64">
        <v>2645.855</v>
      </c>
      <c r="C28" s="64">
        <v>3865.5129999999999</v>
      </c>
      <c r="D28" s="64">
        <v>5399</v>
      </c>
      <c r="E28" s="64">
        <v>5180</v>
      </c>
      <c r="F28" s="64">
        <f t="shared" si="0"/>
        <v>14284971.145</v>
      </c>
      <c r="G28" s="64">
        <f t="shared" si="1"/>
        <v>20023357.34</v>
      </c>
      <c r="H28" s="64">
        <v>32.75</v>
      </c>
      <c r="I28" s="65">
        <v>765000</v>
      </c>
      <c r="J28" s="64">
        <v>46</v>
      </c>
      <c r="K28" s="65">
        <v>397000</v>
      </c>
      <c r="L28" s="65">
        <v>0</v>
      </c>
      <c r="M28" s="67">
        <v>596000</v>
      </c>
      <c r="N28" s="65">
        <v>75500</v>
      </c>
    </row>
    <row r="29" spans="1:14" x14ac:dyDescent="0.25">
      <c r="A29" s="71">
        <v>46109</v>
      </c>
      <c r="B29" s="64">
        <v>3317.002</v>
      </c>
      <c r="C29" s="64">
        <v>2818.3789999999999</v>
      </c>
      <c r="D29" s="64">
        <v>5475</v>
      </c>
      <c r="E29" s="64">
        <v>5180</v>
      </c>
      <c r="F29" s="64">
        <f t="shared" si="0"/>
        <v>18160585.949999999</v>
      </c>
      <c r="G29" s="64">
        <f t="shared" si="1"/>
        <v>14599203.219999999</v>
      </c>
      <c r="H29" s="64">
        <v>43</v>
      </c>
      <c r="I29" s="66">
        <v>872000</v>
      </c>
      <c r="J29" s="64">
        <v>24</v>
      </c>
      <c r="K29" s="66">
        <v>212000</v>
      </c>
      <c r="L29" s="66">
        <v>93000</v>
      </c>
      <c r="M29" s="68">
        <v>1192000</v>
      </c>
      <c r="N29" s="66">
        <v>75500</v>
      </c>
    </row>
    <row r="30" spans="1:14" x14ac:dyDescent="0.25">
      <c r="A30" s="71">
        <v>46110</v>
      </c>
      <c r="B30" s="64">
        <v>1928.1110000000001</v>
      </c>
      <c r="C30" s="64">
        <v>4674.6940000000004</v>
      </c>
      <c r="D30" s="64">
        <v>5475</v>
      </c>
      <c r="E30" s="64">
        <v>5180</v>
      </c>
      <c r="F30" s="64">
        <f t="shared" si="0"/>
        <v>10556407.725000001</v>
      </c>
      <c r="G30" s="64">
        <f t="shared" si="1"/>
        <v>24214914.920000002</v>
      </c>
      <c r="H30" s="64">
        <v>44.5</v>
      </c>
      <c r="I30" s="65">
        <v>1001000</v>
      </c>
      <c r="J30" s="64">
        <v>37</v>
      </c>
      <c r="K30" s="65">
        <v>316000</v>
      </c>
      <c r="L30" s="65">
        <v>8000</v>
      </c>
      <c r="M30" s="67">
        <v>891000</v>
      </c>
      <c r="N30" s="65">
        <v>125000</v>
      </c>
    </row>
    <row r="31" spans="1:14" x14ac:dyDescent="0.25">
      <c r="A31" s="71">
        <v>46111</v>
      </c>
      <c r="B31" s="64">
        <v>2273.105</v>
      </c>
      <c r="C31" s="64">
        <v>4175.6949999999997</v>
      </c>
      <c r="D31" s="64">
        <v>5475</v>
      </c>
      <c r="E31" s="64">
        <v>5180</v>
      </c>
      <c r="F31" s="64">
        <f t="shared" si="0"/>
        <v>12445249.875</v>
      </c>
      <c r="G31" s="64">
        <f t="shared" si="1"/>
        <v>21630100.099999998</v>
      </c>
      <c r="H31" s="64">
        <v>51.25</v>
      </c>
      <c r="I31" s="64">
        <v>1001500</v>
      </c>
      <c r="J31" s="64">
        <v>54</v>
      </c>
      <c r="K31" s="64">
        <v>477000</v>
      </c>
      <c r="L31" s="64">
        <v>8000</v>
      </c>
      <c r="M31" s="64">
        <v>424000</v>
      </c>
      <c r="N31" s="64">
        <v>0</v>
      </c>
    </row>
    <row r="32" spans="1:14" x14ac:dyDescent="0.25">
      <c r="A32" s="71">
        <v>46112</v>
      </c>
      <c r="B32" s="64">
        <v>2452.7570000000001</v>
      </c>
      <c r="C32" s="64">
        <v>6710.0739999999996</v>
      </c>
      <c r="D32" s="64">
        <v>5475</v>
      </c>
      <c r="E32" s="64">
        <v>5180</v>
      </c>
      <c r="F32" s="64">
        <f t="shared" si="0"/>
        <v>13428844.575000001</v>
      </c>
      <c r="G32" s="64">
        <f t="shared" si="1"/>
        <v>34758183.32</v>
      </c>
      <c r="H32" s="64"/>
      <c r="I32" s="64">
        <v>2636000</v>
      </c>
      <c r="J32" s="64"/>
      <c r="K32" s="64"/>
      <c r="L32" s="64"/>
      <c r="M32" s="64">
        <v>493000</v>
      </c>
      <c r="N32" s="64"/>
    </row>
    <row r="33" spans="1:14" x14ac:dyDescent="0.25">
      <c r="A33" s="64" t="s">
        <v>3</v>
      </c>
      <c r="B33" s="64">
        <f>SUM(B2:B32)</f>
        <v>66937.11</v>
      </c>
      <c r="C33" s="64">
        <f t="shared" ref="C33:N33" si="2">SUM(C2:C32)</f>
        <v>110857.489</v>
      </c>
      <c r="D33" s="64"/>
      <c r="E33" s="64"/>
      <c r="F33" s="64">
        <f t="shared" si="2"/>
        <v>359498971.38999999</v>
      </c>
      <c r="G33" s="64">
        <f t="shared" si="2"/>
        <v>554774280.0200001</v>
      </c>
      <c r="H33" s="64">
        <f t="shared" si="2"/>
        <v>1712.55</v>
      </c>
      <c r="I33" s="64">
        <f t="shared" si="2"/>
        <v>44396600</v>
      </c>
      <c r="J33" s="64">
        <f t="shared" si="2"/>
        <v>1331</v>
      </c>
      <c r="K33" s="64">
        <f t="shared" si="2"/>
        <v>13972000</v>
      </c>
      <c r="L33" s="64">
        <f t="shared" si="2"/>
        <v>2333000</v>
      </c>
      <c r="M33" s="64">
        <f t="shared" si="2"/>
        <v>20030700</v>
      </c>
      <c r="N33" s="64">
        <f t="shared" si="2"/>
        <v>1307500</v>
      </c>
    </row>
    <row r="35" spans="1:14" x14ac:dyDescent="0.25">
      <c r="A35" s="70" t="s">
        <v>185</v>
      </c>
      <c r="B35" s="70">
        <v>71500</v>
      </c>
      <c r="C35" s="70">
        <v>101500</v>
      </c>
      <c r="J35" s="70">
        <v>4310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86177-7A65-4F93-B94D-BCC4A3096B03}">
  <dimension ref="A1:N33"/>
  <sheetViews>
    <sheetView tabSelected="1" workbookViewId="0">
      <selection activeCell="K16" sqref="K16"/>
    </sheetView>
  </sheetViews>
  <sheetFormatPr defaultRowHeight="15" x14ac:dyDescent="0.25"/>
  <cols>
    <col min="1" max="1" width="14.42578125" customWidth="1"/>
    <col min="2" max="2" width="8" bestFit="1" customWidth="1"/>
    <col min="3" max="3" width="9" bestFit="1" customWidth="1"/>
    <col min="6" max="7" width="12.5703125" bestFit="1" customWidth="1"/>
    <col min="8" max="8" width="9.5703125" style="79" customWidth="1"/>
    <col min="9" max="9" width="11.5703125" bestFit="1" customWidth="1"/>
    <col min="10" max="10" width="8.28515625" style="79" customWidth="1"/>
    <col min="11" max="11" width="11.5703125" bestFit="1" customWidth="1"/>
    <col min="12" max="12" width="10.5703125" bestFit="1" customWidth="1"/>
    <col min="13" max="13" width="11.5703125" bestFit="1" customWidth="1"/>
    <col min="14" max="14" width="10.5703125" bestFit="1" customWidth="1"/>
  </cols>
  <sheetData>
    <row r="1" spans="1:14" x14ac:dyDescent="0.25">
      <c r="A1" s="80" t="s">
        <v>186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  <row r="2" spans="1:14" x14ac:dyDescent="0.25">
      <c r="A2" s="69" t="s">
        <v>92</v>
      </c>
      <c r="B2" s="69" t="s">
        <v>1</v>
      </c>
      <c r="C2" s="69" t="s">
        <v>2</v>
      </c>
      <c r="D2" s="69" t="s">
        <v>1</v>
      </c>
      <c r="E2" s="69" t="s">
        <v>2</v>
      </c>
      <c r="F2" s="69" t="s">
        <v>1</v>
      </c>
      <c r="G2" s="69" t="s">
        <v>2</v>
      </c>
      <c r="H2" s="73" t="s">
        <v>9</v>
      </c>
      <c r="I2" s="69" t="s">
        <v>10</v>
      </c>
      <c r="J2" s="73" t="s">
        <v>11</v>
      </c>
      <c r="K2" s="69" t="s">
        <v>10</v>
      </c>
      <c r="L2" s="69" t="s">
        <v>4</v>
      </c>
      <c r="M2" s="69" t="s">
        <v>67</v>
      </c>
      <c r="N2" s="69" t="s">
        <v>52</v>
      </c>
    </row>
    <row r="3" spans="1:14" x14ac:dyDescent="0.25">
      <c r="A3" s="71">
        <v>46113</v>
      </c>
      <c r="B3" s="64">
        <f>'[1]Fuel Mvt-2025-2026-PMS ....'!H289</f>
        <v>2629.29</v>
      </c>
      <c r="C3" s="64">
        <f>'[1]Fuel Mvt-2025-2026-AGO'!H289</f>
        <v>2769.2049999999999</v>
      </c>
      <c r="D3" s="64">
        <f>'[1]Fuel Mvt-2025-2026-PMS ....'!M289</f>
        <v>5475</v>
      </c>
      <c r="E3" s="64">
        <f>'[1]Fuel Mvt-2025-2026-AGO'!M289</f>
        <v>5180</v>
      </c>
      <c r="F3" s="64">
        <f t="shared" ref="F3:G32" si="0">D3*B3</f>
        <v>14395362.75</v>
      </c>
      <c r="G3" s="64">
        <f t="shared" si="0"/>
        <v>14344481.9</v>
      </c>
      <c r="H3" s="77">
        <v>55</v>
      </c>
      <c r="I3" s="65">
        <f>'[1]General Sales Sumary'!D286</f>
        <v>1210000</v>
      </c>
      <c r="J3" s="74">
        <v>42</v>
      </c>
      <c r="K3" s="65">
        <f>'[1]General Sales Sumary'!G286</f>
        <v>371000</v>
      </c>
      <c r="L3" s="65">
        <f>'[1]General Sales Sumary'!E286</f>
        <v>58000</v>
      </c>
      <c r="M3" s="67">
        <v>768500</v>
      </c>
      <c r="N3" s="65">
        <f>'[1]General Sales Sumary'!F286</f>
        <v>0</v>
      </c>
    </row>
    <row r="4" spans="1:14" x14ac:dyDescent="0.25">
      <c r="A4" s="71">
        <v>46114</v>
      </c>
      <c r="B4" s="64">
        <f>'[1]Fuel Mvt-2025-2026-PMS ....'!H290</f>
        <v>2675.8009999999999</v>
      </c>
      <c r="C4" s="64">
        <f>'[1]Fuel Mvt-2025-2026-AGO'!H290</f>
        <v>3798.43</v>
      </c>
      <c r="D4" s="64">
        <f>'[1]Fuel Mvt-2025-2026-PMS ....'!M290</f>
        <v>5475</v>
      </c>
      <c r="E4" s="64">
        <f>'[1]Fuel Mvt-2025-2026-AGO'!M290</f>
        <v>5180</v>
      </c>
      <c r="F4" s="64">
        <f t="shared" si="0"/>
        <v>14650010.475</v>
      </c>
      <c r="G4" s="64">
        <f t="shared" si="0"/>
        <v>19675867.399999999</v>
      </c>
      <c r="H4" s="77">
        <v>52.25</v>
      </c>
      <c r="I4" s="65">
        <f>'[1]General Sales Sumary'!D287</f>
        <v>1087000</v>
      </c>
      <c r="J4" s="74">
        <v>46.5</v>
      </c>
      <c r="K4" s="65">
        <f>'[1]General Sales Sumary'!G287</f>
        <v>392000</v>
      </c>
      <c r="L4" s="65">
        <f>'[1]General Sales Sumary'!E287</f>
        <v>141000</v>
      </c>
      <c r="M4" s="67">
        <v>879000</v>
      </c>
      <c r="N4" s="65">
        <f>'[1]General Sales Sumary'!F287</f>
        <v>0</v>
      </c>
    </row>
    <row r="5" spans="1:14" x14ac:dyDescent="0.25">
      <c r="A5" s="71">
        <v>46115</v>
      </c>
      <c r="B5" s="64">
        <f>'[1]Fuel Mvt-2025-2026-PMS ....'!H291</f>
        <v>2747.4319999999998</v>
      </c>
      <c r="C5" s="64">
        <f>'[1]Fuel Mvt-2025-2026-AGO'!H291</f>
        <v>4032.183</v>
      </c>
      <c r="D5" s="64">
        <f>'[1]Fuel Mvt-2025-2026-PMS ....'!M291</f>
        <v>5475</v>
      </c>
      <c r="E5" s="64">
        <f>'[1]Fuel Mvt-2025-2026-AGO'!M291</f>
        <v>5180</v>
      </c>
      <c r="F5" s="64">
        <f t="shared" si="0"/>
        <v>15042190.199999999</v>
      </c>
      <c r="G5" s="64">
        <f t="shared" si="0"/>
        <v>20886707.940000001</v>
      </c>
      <c r="H5" s="77">
        <v>91</v>
      </c>
      <c r="I5" s="65">
        <f>'[1]General Sales Sumary'!D288</f>
        <v>2010500</v>
      </c>
      <c r="J5" s="75">
        <v>58.5</v>
      </c>
      <c r="K5" s="65">
        <f>'[1]General Sales Sumary'!G288</f>
        <v>477000</v>
      </c>
      <c r="L5" s="65">
        <f>'[1]General Sales Sumary'!E288</f>
        <v>31000</v>
      </c>
      <c r="M5" s="67">
        <v>1097000</v>
      </c>
      <c r="N5" s="65">
        <f>'[1]General Sales Sumary'!F288</f>
        <v>0</v>
      </c>
    </row>
    <row r="6" spans="1:14" x14ac:dyDescent="0.25">
      <c r="A6" s="71">
        <v>46116</v>
      </c>
      <c r="B6" s="64">
        <f>'[1]Fuel Mvt-2025-2026-PMS ....'!H292</f>
        <v>2758.549</v>
      </c>
      <c r="C6" s="64">
        <f>'[1]Fuel Mvt-2025-2026-AGO'!H292</f>
        <v>3149.3409999999999</v>
      </c>
      <c r="D6" s="64">
        <f>'[1]Fuel Mvt-2025-2026-PMS ....'!M292</f>
        <v>5499</v>
      </c>
      <c r="E6" s="64">
        <f>'[1]Fuel Mvt-2025-2026-AGO'!M292</f>
        <v>5180</v>
      </c>
      <c r="F6" s="64">
        <f t="shared" si="0"/>
        <v>15169260.950999999</v>
      </c>
      <c r="G6" s="64">
        <f t="shared" si="0"/>
        <v>16313586.379999999</v>
      </c>
      <c r="H6" s="77">
        <v>30</v>
      </c>
      <c r="I6" s="65">
        <f>'[1]General Sales Sumary'!D289</f>
        <v>610000</v>
      </c>
      <c r="J6" s="74">
        <v>61</v>
      </c>
      <c r="K6" s="65">
        <f>'[1]General Sales Sumary'!G289</f>
        <v>531000</v>
      </c>
      <c r="L6" s="65">
        <f>'[1]General Sales Sumary'!E289</f>
        <v>41000</v>
      </c>
      <c r="M6" s="67">
        <v>771500</v>
      </c>
      <c r="N6" s="65">
        <f>'[1]General Sales Sumary'!F289</f>
        <v>0</v>
      </c>
    </row>
    <row r="7" spans="1:14" x14ac:dyDescent="0.25">
      <c r="A7" s="71">
        <v>46117</v>
      </c>
      <c r="B7" s="64">
        <f>'[1]Fuel Mvt-2025-2026-PMS ....'!H293</f>
        <v>1830.6210000000001</v>
      </c>
      <c r="C7" s="64">
        <f>'[1]Fuel Mvt-2025-2026-AGO'!H293</f>
        <v>764.39499999999998</v>
      </c>
      <c r="D7" s="64">
        <f>'[1]Fuel Mvt-2025-2026-PMS ....'!M293</f>
        <v>5499</v>
      </c>
      <c r="E7" s="64">
        <f>'[1]Fuel Mvt-2025-2026-AGO'!M293</f>
        <v>5180</v>
      </c>
      <c r="F7" s="64">
        <f t="shared" si="0"/>
        <v>10066584.879000001</v>
      </c>
      <c r="G7" s="64">
        <f t="shared" si="0"/>
        <v>3959566.1</v>
      </c>
      <c r="H7" s="77">
        <v>29.25</v>
      </c>
      <c r="I7" s="65">
        <f>'[1]General Sales Sumary'!D290</f>
        <v>650000</v>
      </c>
      <c r="J7" s="75">
        <v>31.5</v>
      </c>
      <c r="K7" s="65">
        <f>'[1]General Sales Sumary'!G290</f>
        <v>316000</v>
      </c>
      <c r="L7" s="65">
        <f>'[1]General Sales Sumary'!E290</f>
        <v>30000</v>
      </c>
      <c r="M7" s="67">
        <v>691500</v>
      </c>
      <c r="N7" s="65">
        <f>'[1]General Sales Sumary'!F290</f>
        <v>0</v>
      </c>
    </row>
    <row r="8" spans="1:14" x14ac:dyDescent="0.25">
      <c r="A8" s="71">
        <v>46118</v>
      </c>
      <c r="B8" s="64">
        <f>'[1]Fuel Mvt-2025-2026-PMS ....'!H294</f>
        <v>2461.2330000000002</v>
      </c>
      <c r="C8" s="64">
        <f>'[1]Fuel Mvt-2025-2026-AGO'!H294</f>
        <v>2804.92</v>
      </c>
      <c r="D8" s="64">
        <f>'[1]Fuel Mvt-2025-2026-PMS ....'!M294</f>
        <v>5499</v>
      </c>
      <c r="E8" s="64">
        <f>'[1]Fuel Mvt-2025-2026-AGO'!M294</f>
        <v>5180</v>
      </c>
      <c r="F8" s="64">
        <f t="shared" si="0"/>
        <v>13534320.267000001</v>
      </c>
      <c r="G8" s="64">
        <f t="shared" si="0"/>
        <v>14529485.6</v>
      </c>
      <c r="H8" s="77">
        <v>45.25</v>
      </c>
      <c r="I8" s="65">
        <f>'[1]General Sales Sumary'!D291</f>
        <v>1259000</v>
      </c>
      <c r="J8" s="74">
        <v>55.5</v>
      </c>
      <c r="K8" s="65">
        <f>'[1]General Sales Sumary'!G291</f>
        <v>477000</v>
      </c>
      <c r="L8" s="65">
        <f>'[1]General Sales Sumary'!E291</f>
        <v>39000</v>
      </c>
      <c r="M8" s="67">
        <v>697000</v>
      </c>
      <c r="N8" s="65">
        <f>'[1]General Sales Sumary'!F291</f>
        <v>0</v>
      </c>
    </row>
    <row r="9" spans="1:14" x14ac:dyDescent="0.25">
      <c r="A9" s="71">
        <v>46119</v>
      </c>
      <c r="B9" s="64">
        <f>'[1]Fuel Mvt-2025-2026-PMS ....'!H295</f>
        <v>2575.6320000000001</v>
      </c>
      <c r="C9" s="64">
        <f>'[1]Fuel Mvt-2025-2026-AGO'!H295</f>
        <v>7130.8090000000002</v>
      </c>
      <c r="D9" s="64">
        <f>'[1]Fuel Mvt-2025-2026-PMS ....'!M295</f>
        <v>5499</v>
      </c>
      <c r="E9" s="64">
        <f>'[1]Fuel Mvt-2025-2026-AGO'!M295</f>
        <v>5180</v>
      </c>
      <c r="F9" s="64">
        <f t="shared" si="0"/>
        <v>14163400.368000001</v>
      </c>
      <c r="G9" s="64">
        <f t="shared" si="0"/>
        <v>36937590.619999997</v>
      </c>
      <c r="H9" s="77">
        <v>87.75</v>
      </c>
      <c r="I9" s="65">
        <f>'[1]General Sales Sumary'!D292</f>
        <v>1734000</v>
      </c>
      <c r="J9" s="75">
        <v>112</v>
      </c>
      <c r="K9" s="65">
        <f>'[1]General Sales Sumary'!G292</f>
        <v>999000</v>
      </c>
      <c r="L9" s="65">
        <f>'[1]General Sales Sumary'!E292</f>
        <v>209000</v>
      </c>
      <c r="M9" s="67">
        <v>656500</v>
      </c>
      <c r="N9" s="65">
        <f>'[1]General Sales Sumary'!F292</f>
        <v>75500</v>
      </c>
    </row>
    <row r="10" spans="1:14" x14ac:dyDescent="0.25">
      <c r="A10" s="71">
        <v>46120</v>
      </c>
      <c r="B10" s="64">
        <f>'[1]Fuel Mvt-2025-2026-PMS ....'!H296</f>
        <v>1528.13</v>
      </c>
      <c r="C10" s="64">
        <f>'[1]Fuel Mvt-2025-2026-AGO'!H296</f>
        <v>2822.59</v>
      </c>
      <c r="D10" s="64">
        <f>'[1]Fuel Mvt-2025-2026-PMS ....'!M296</f>
        <v>5499</v>
      </c>
      <c r="E10" s="64">
        <f>'[1]Fuel Mvt-2025-2026-AGO'!M296</f>
        <v>5180</v>
      </c>
      <c r="F10" s="64">
        <f t="shared" si="0"/>
        <v>8403186.870000001</v>
      </c>
      <c r="G10" s="64">
        <f t="shared" si="0"/>
        <v>14621016.200000001</v>
      </c>
      <c r="H10" s="77">
        <v>70</v>
      </c>
      <c r="I10" s="65">
        <f>'[1]General Sales Sumary'!D293</f>
        <v>1474500</v>
      </c>
      <c r="J10" s="76">
        <v>43</v>
      </c>
      <c r="K10" s="65">
        <f>'[1]General Sales Sumary'!G293</f>
        <v>407000</v>
      </c>
      <c r="L10" s="65">
        <f>'[1]General Sales Sumary'!E293</f>
        <v>49000</v>
      </c>
      <c r="M10" s="67">
        <v>534000</v>
      </c>
      <c r="N10" s="65">
        <f>'[1]General Sales Sumary'!F293</f>
        <v>231000</v>
      </c>
    </row>
    <row r="11" spans="1:14" x14ac:dyDescent="0.25">
      <c r="A11" s="71">
        <v>46121</v>
      </c>
      <c r="B11" s="64">
        <f>'[1]Fuel Mvt-2025-2026-PMS ....'!H297</f>
        <v>1218.6949999999999</v>
      </c>
      <c r="C11" s="64">
        <f>'[1]Fuel Mvt-2025-2026-AGO'!H297</f>
        <v>4001.6610000000001</v>
      </c>
      <c r="D11" s="64">
        <f>'[1]Fuel Mvt-2025-2026-PMS ....'!M297</f>
        <v>5510</v>
      </c>
      <c r="E11" s="64">
        <f>'[1]Fuel Mvt-2025-2026-AGO'!M297</f>
        <v>5180</v>
      </c>
      <c r="F11" s="64">
        <f t="shared" si="0"/>
        <v>6715009.4499999993</v>
      </c>
      <c r="G11" s="64">
        <f t="shared" si="0"/>
        <v>20728603.98</v>
      </c>
      <c r="H11" s="77">
        <v>42.75</v>
      </c>
      <c r="I11" s="65">
        <f>'[1]General Sales Sumary'!D294</f>
        <v>907000</v>
      </c>
      <c r="J11" s="76">
        <v>24</v>
      </c>
      <c r="K11" s="65">
        <f>'[1]General Sales Sumary'!G294</f>
        <v>310000</v>
      </c>
      <c r="L11" s="65">
        <f>'[1]General Sales Sumary'!E294</f>
        <v>58000</v>
      </c>
      <c r="M11" s="67">
        <v>363000</v>
      </c>
      <c r="N11" s="65">
        <f>'[1]General Sales Sumary'!F294</f>
        <v>75500</v>
      </c>
    </row>
    <row r="12" spans="1:14" x14ac:dyDescent="0.25">
      <c r="A12" s="71">
        <v>46122</v>
      </c>
      <c r="B12" s="64">
        <f>'[1]Fuel Mvt-2025-2026-PMS ....'!H298</f>
        <v>6.3849999999999998</v>
      </c>
      <c r="C12" s="64">
        <f>'[1]Fuel Mvt-2025-2026-AGO'!H298</f>
        <v>2868.6849999999999</v>
      </c>
      <c r="D12" s="64">
        <f>'[1]Fuel Mvt-2025-2026-PMS ....'!M298</f>
        <v>5510</v>
      </c>
      <c r="E12" s="64">
        <f>'[1]Fuel Mvt-2025-2026-AGO'!M298</f>
        <v>5180</v>
      </c>
      <c r="F12" s="64">
        <f t="shared" si="0"/>
        <v>35181.35</v>
      </c>
      <c r="G12" s="64">
        <f t="shared" si="0"/>
        <v>14859788.299999999</v>
      </c>
      <c r="H12" s="77">
        <v>95.25</v>
      </c>
      <c r="I12" s="65">
        <f>'[1]General Sales Sumary'!D295</f>
        <v>2221500</v>
      </c>
      <c r="J12" s="74">
        <v>30</v>
      </c>
      <c r="K12" s="65">
        <f>'[1]General Sales Sumary'!G295</f>
        <v>310000</v>
      </c>
      <c r="L12" s="65">
        <f>'[1]General Sales Sumary'!E295</f>
        <v>107000</v>
      </c>
      <c r="M12" s="67">
        <v>411000</v>
      </c>
      <c r="N12" s="65">
        <f>'[1]General Sales Sumary'!F295</f>
        <v>0</v>
      </c>
    </row>
    <row r="13" spans="1:14" x14ac:dyDescent="0.25">
      <c r="A13" s="71">
        <v>46123</v>
      </c>
      <c r="B13" s="64">
        <f>'[1]Fuel Mvt-2025-2026-PMS ....'!H299</f>
        <v>2811.4850000000001</v>
      </c>
      <c r="C13" s="64">
        <f>'[1]Fuel Mvt-2025-2026-AGO'!H299</f>
        <v>3295.181</v>
      </c>
      <c r="D13" s="64">
        <f>'[1]Fuel Mvt-2025-2026-PMS ....'!M299</f>
        <v>5510</v>
      </c>
      <c r="E13" s="64">
        <f>'[1]Fuel Mvt-2025-2026-AGO'!M299</f>
        <v>5250</v>
      </c>
      <c r="F13" s="64">
        <f t="shared" si="0"/>
        <v>15491282.350000001</v>
      </c>
      <c r="G13" s="64">
        <f t="shared" si="0"/>
        <v>17299700.25</v>
      </c>
      <c r="H13" s="77">
        <v>13.75</v>
      </c>
      <c r="I13" s="65">
        <f>'[1]General Sales Sumary'!D296</f>
        <v>361500</v>
      </c>
      <c r="J13" s="75">
        <v>25</v>
      </c>
      <c r="K13" s="65">
        <f>'[1]General Sales Sumary'!G296</f>
        <v>229000</v>
      </c>
      <c r="L13" s="65">
        <f>'[1]General Sales Sumary'!E296</f>
        <v>24000</v>
      </c>
      <c r="M13" s="67">
        <v>829000</v>
      </c>
      <c r="N13" s="65">
        <f>'[1]General Sales Sumary'!F296</f>
        <v>0</v>
      </c>
    </row>
    <row r="14" spans="1:14" x14ac:dyDescent="0.25">
      <c r="A14" s="71">
        <v>46124</v>
      </c>
      <c r="B14" s="64">
        <f>'[1]Fuel Mvt-2025-2026-PMS ....'!H300</f>
        <v>3009.587</v>
      </c>
      <c r="C14" s="64">
        <f>'[1]Fuel Mvt-2025-2026-AGO'!H300</f>
        <v>2782.808</v>
      </c>
      <c r="D14" s="64">
        <f>'[1]Fuel Mvt-2025-2026-PMS ....'!M300</f>
        <v>5510</v>
      </c>
      <c r="E14" s="64">
        <f>'[1]Fuel Mvt-2025-2026-AGO'!M300</f>
        <v>5250</v>
      </c>
      <c r="F14" s="64">
        <f t="shared" si="0"/>
        <v>16582824.369999999</v>
      </c>
      <c r="G14" s="64">
        <f t="shared" si="0"/>
        <v>14609742</v>
      </c>
      <c r="H14" s="77">
        <v>69.25</v>
      </c>
      <c r="I14" s="65">
        <f>'[1]General Sales Sumary'!D297</f>
        <v>1456800</v>
      </c>
      <c r="J14" s="74">
        <v>86</v>
      </c>
      <c r="K14" s="65">
        <f>'[1]General Sales Sumary'!G297</f>
        <v>832000</v>
      </c>
      <c r="L14" s="65">
        <f>'[1]General Sales Sumary'!E297</f>
        <v>158000</v>
      </c>
      <c r="M14" s="67">
        <v>635000</v>
      </c>
      <c r="N14" s="65">
        <f>'[1]General Sales Sumary'!F297</f>
        <v>0</v>
      </c>
    </row>
    <row r="15" spans="1:14" x14ac:dyDescent="0.25">
      <c r="A15" s="71">
        <v>46125</v>
      </c>
      <c r="B15" s="64">
        <f>'[1]Fuel Mvt-2025-2026-PMS ....'!H301</f>
        <v>564.50300000000004</v>
      </c>
      <c r="C15" s="64">
        <f>'[1]Fuel Mvt-2025-2026-AGO'!H301</f>
        <v>5133.6970000000001</v>
      </c>
      <c r="D15" s="64">
        <f>'[1]Fuel Mvt-2025-2026-PMS ....'!M301</f>
        <v>5510</v>
      </c>
      <c r="E15" s="64">
        <f>'[1]Fuel Mvt-2025-2026-AGO'!M301</f>
        <v>5250</v>
      </c>
      <c r="F15" s="64">
        <f t="shared" si="0"/>
        <v>3110411.5300000003</v>
      </c>
      <c r="G15" s="64">
        <f t="shared" si="0"/>
        <v>26951909.25</v>
      </c>
      <c r="H15" s="77">
        <v>69</v>
      </c>
      <c r="I15" s="65">
        <f>'[1]General Sales Sumary'!D298</f>
        <v>1387500</v>
      </c>
      <c r="J15" s="75">
        <v>72.5</v>
      </c>
      <c r="K15" s="65">
        <f>'[1]General Sales Sumary'!G298</f>
        <v>785000</v>
      </c>
      <c r="L15" s="65">
        <f>'[1]General Sales Sumary'!E298</f>
        <v>16000</v>
      </c>
      <c r="M15" s="67">
        <v>344000</v>
      </c>
      <c r="N15" s="65">
        <f>'[1]General Sales Sumary'!F298</f>
        <v>0</v>
      </c>
    </row>
    <row r="16" spans="1:14" x14ac:dyDescent="0.25">
      <c r="A16" s="71">
        <v>46126</v>
      </c>
      <c r="B16" s="64">
        <f>'[1]Fuel Mvt-2025-2026-PMS ....'!H302</f>
        <v>2614.4319999999998</v>
      </c>
      <c r="C16" s="64">
        <f>'[1]Fuel Mvt-2025-2026-AGO'!H302</f>
        <v>4516.5330000000004</v>
      </c>
      <c r="D16" s="64">
        <f>'[1]Fuel Mvt-2025-2026-PMS ....'!M302</f>
        <v>5510</v>
      </c>
      <c r="E16" s="64">
        <f>'[1]Fuel Mvt-2025-2026-AGO'!M302</f>
        <v>5250</v>
      </c>
      <c r="F16" s="64">
        <f t="shared" si="0"/>
        <v>14405520.319999998</v>
      </c>
      <c r="G16" s="64">
        <f t="shared" si="0"/>
        <v>23711798.250000004</v>
      </c>
      <c r="H16" s="77">
        <v>76</v>
      </c>
      <c r="I16" s="65">
        <f>'[1]General Sales Sumary'!D299</f>
        <v>1732500</v>
      </c>
      <c r="J16" s="74">
        <v>18</v>
      </c>
      <c r="K16" s="65">
        <f>'[1]General Sales Sumary'!G299</f>
        <v>186000</v>
      </c>
      <c r="L16" s="65">
        <f>'[1]General Sales Sumary'!E299</f>
        <v>112000</v>
      </c>
      <c r="M16" s="67">
        <v>544000</v>
      </c>
      <c r="N16" s="65">
        <f>'[1]General Sales Sumary'!F299</f>
        <v>75500</v>
      </c>
    </row>
    <row r="17" spans="1:14" x14ac:dyDescent="0.25">
      <c r="A17" s="71">
        <v>46127</v>
      </c>
      <c r="B17" s="64">
        <f>'[1]Fuel Mvt-2025-2026-PMS ....'!H303</f>
        <v>2261.8409999999999</v>
      </c>
      <c r="C17" s="64">
        <f>'[1]Fuel Mvt-2025-2026-AGO'!H303</f>
        <v>2485.9659999999999</v>
      </c>
      <c r="D17" s="64">
        <f>'[1]Fuel Mvt-2025-2026-PMS ....'!M303</f>
        <v>5510</v>
      </c>
      <c r="E17" s="64">
        <f>'[1]Fuel Mvt-2025-2026-AGO'!M303</f>
        <v>5250</v>
      </c>
      <c r="F17" s="64">
        <f t="shared" si="0"/>
        <v>12462743.91</v>
      </c>
      <c r="G17" s="64">
        <f t="shared" si="0"/>
        <v>13051321.5</v>
      </c>
      <c r="H17" s="77">
        <v>99.75</v>
      </c>
      <c r="I17" s="65">
        <f>'[1]General Sales Sumary'!D300</f>
        <v>2031500</v>
      </c>
      <c r="J17" s="75">
        <v>12</v>
      </c>
      <c r="K17" s="65">
        <f>'[1]General Sales Sumary'!G300</f>
        <v>177000</v>
      </c>
      <c r="L17" s="65">
        <f>'[1]General Sales Sumary'!E300</f>
        <v>121000</v>
      </c>
      <c r="M17" s="67">
        <v>526000</v>
      </c>
      <c r="N17" s="65">
        <f>'[1]General Sales Sumary'!F300</f>
        <v>0</v>
      </c>
    </row>
    <row r="18" spans="1:14" x14ac:dyDescent="0.25">
      <c r="A18" s="71">
        <v>46128</v>
      </c>
      <c r="B18" s="64">
        <f>'[1]Fuel Mvt-2025-2026-PMS ....'!H304</f>
        <v>2012.8209999999999</v>
      </c>
      <c r="C18" s="64">
        <f>'[1]Fuel Mvt-2025-2026-AGO'!H304</f>
        <v>30</v>
      </c>
      <c r="D18" s="64">
        <f>'[1]Fuel Mvt-2025-2026-PMS ....'!M304</f>
        <v>5510</v>
      </c>
      <c r="E18" s="64">
        <f>'[1]Fuel Mvt-2025-2026-AGO'!M304</f>
        <v>5250</v>
      </c>
      <c r="F18" s="64">
        <f t="shared" si="0"/>
        <v>11090643.709999999</v>
      </c>
      <c r="G18" s="64">
        <f t="shared" si="0"/>
        <v>157500</v>
      </c>
      <c r="H18" s="77">
        <v>85.25</v>
      </c>
      <c r="I18" s="65">
        <f>'[1]General Sales Sumary'!D301</f>
        <v>1776000</v>
      </c>
      <c r="J18" s="74">
        <v>44</v>
      </c>
      <c r="K18" s="65">
        <f>'[1]General Sales Sumary'!G301</f>
        <v>407000</v>
      </c>
      <c r="L18" s="65">
        <f>'[1]General Sales Sumary'!E301</f>
        <v>85000</v>
      </c>
      <c r="M18" s="67">
        <v>407000</v>
      </c>
      <c r="N18" s="65">
        <f>'[1]General Sales Sumary'!F301</f>
        <v>0</v>
      </c>
    </row>
    <row r="19" spans="1:14" x14ac:dyDescent="0.25">
      <c r="A19" s="71">
        <v>46129</v>
      </c>
      <c r="B19" s="64">
        <f>'[1]Fuel Mvt-2025-2026-PMS ....'!H305</f>
        <v>2029.5309999999999</v>
      </c>
      <c r="C19" s="64">
        <f>'[1]Fuel Mvt-2025-2026-AGO'!H305</f>
        <v>57.19</v>
      </c>
      <c r="D19" s="64">
        <f>'[1]Fuel Mvt-2025-2026-PMS ....'!M305</f>
        <v>5510</v>
      </c>
      <c r="E19" s="64">
        <f>'[1]Fuel Mvt-2025-2026-AGO'!M305</f>
        <v>5250</v>
      </c>
      <c r="F19" s="64">
        <f t="shared" si="0"/>
        <v>11182715.810000001</v>
      </c>
      <c r="G19" s="64">
        <f t="shared" si="0"/>
        <v>300247.5</v>
      </c>
      <c r="H19" s="77">
        <v>49</v>
      </c>
      <c r="I19" s="65">
        <f>'[1]General Sales Sumary'!D302</f>
        <v>1027500</v>
      </c>
      <c r="J19" s="75">
        <v>66.5</v>
      </c>
      <c r="K19" s="65">
        <f>'[1]General Sales Sumary'!G302</f>
        <v>675000</v>
      </c>
      <c r="L19" s="65">
        <f>'[1]General Sales Sumary'!E302</f>
        <v>104000</v>
      </c>
      <c r="M19" s="67">
        <v>513000</v>
      </c>
      <c r="N19" s="65">
        <f>'[1]General Sales Sumary'!F302</f>
        <v>28000</v>
      </c>
    </row>
    <row r="20" spans="1:14" x14ac:dyDescent="0.25">
      <c r="A20" s="71">
        <v>46130</v>
      </c>
      <c r="B20" s="64">
        <f>'[1]Fuel Mvt-2025-2026-PMS ....'!H306</f>
        <v>2308.6529999999998</v>
      </c>
      <c r="C20" s="64">
        <f>'[1]Fuel Mvt-2025-2026-AGO'!H306</f>
        <v>2675.2170000000001</v>
      </c>
      <c r="D20" s="64">
        <f>'[1]Fuel Mvt-2025-2026-PMS ....'!M306</f>
        <v>5510</v>
      </c>
      <c r="E20" s="64">
        <f>'[1]Fuel Mvt-2025-2026-AGO'!M306</f>
        <v>5250</v>
      </c>
      <c r="F20" s="64">
        <f t="shared" si="0"/>
        <v>12720678.029999999</v>
      </c>
      <c r="G20" s="64">
        <f t="shared" si="0"/>
        <v>14044889.25</v>
      </c>
      <c r="H20" s="77">
        <v>35.5</v>
      </c>
      <c r="I20" s="65">
        <f>'[1]General Sales Sumary'!D303</f>
        <v>561000</v>
      </c>
      <c r="J20" s="74">
        <v>18.5</v>
      </c>
      <c r="K20" s="65">
        <f>'[1]General Sales Sumary'!G303</f>
        <v>177000</v>
      </c>
      <c r="L20" s="65">
        <f>'[1]General Sales Sumary'!E303</f>
        <v>41000</v>
      </c>
      <c r="M20" s="67">
        <v>685000</v>
      </c>
      <c r="N20" s="65">
        <f>'[1]General Sales Sumary'!F303</f>
        <v>0</v>
      </c>
    </row>
    <row r="21" spans="1:14" x14ac:dyDescent="0.25">
      <c r="A21" s="71">
        <v>46131</v>
      </c>
      <c r="B21" s="64">
        <f>'[1]Fuel Mvt-2025-2026-PMS ....'!H307</f>
        <v>2914.08</v>
      </c>
      <c r="C21" s="64">
        <f>'[1]Fuel Mvt-2025-2026-AGO'!H307</f>
        <v>3115.2249999999999</v>
      </c>
      <c r="D21" s="64">
        <f>'[1]Fuel Mvt-2025-2026-PMS ....'!M307</f>
        <v>5510</v>
      </c>
      <c r="E21" s="64">
        <f>'[1]Fuel Mvt-2025-2026-AGO'!M307</f>
        <v>5250</v>
      </c>
      <c r="F21" s="64">
        <f t="shared" si="0"/>
        <v>16056580.799999999</v>
      </c>
      <c r="G21" s="64">
        <f t="shared" si="0"/>
        <v>16354931.25</v>
      </c>
      <c r="H21" s="77">
        <v>112</v>
      </c>
      <c r="I21" s="65">
        <f>'[1]General Sales Sumary'!D304</f>
        <v>2401500</v>
      </c>
      <c r="J21" s="77">
        <v>42.5</v>
      </c>
      <c r="K21" s="65">
        <f>'[1]General Sales Sumary'!G304</f>
        <v>425000</v>
      </c>
      <c r="L21" s="65">
        <f>'[1]General Sales Sumary'!E304</f>
        <v>73000</v>
      </c>
      <c r="M21" s="67">
        <v>421500</v>
      </c>
      <c r="N21" s="65">
        <f>'[1]General Sales Sumary'!F304</f>
        <v>105500</v>
      </c>
    </row>
    <row r="22" spans="1:14" x14ac:dyDescent="0.25">
      <c r="A22" s="71">
        <v>46132</v>
      </c>
      <c r="B22" s="64">
        <f>'[1]Fuel Mvt-2025-2026-PMS ....'!H308</f>
        <v>1730.568</v>
      </c>
      <c r="C22" s="64">
        <f>'[1]Fuel Mvt-2025-2026-AGO'!H308</f>
        <v>3367.614</v>
      </c>
      <c r="D22" s="64">
        <f>'[1]Fuel Mvt-2025-2026-PMS ....'!M308</f>
        <v>5510</v>
      </c>
      <c r="E22" s="64">
        <f>'[1]Fuel Mvt-2025-2026-AGO'!M308</f>
        <v>5250</v>
      </c>
      <c r="F22" s="64">
        <f t="shared" si="0"/>
        <v>9535429.6799999997</v>
      </c>
      <c r="G22" s="64">
        <f t="shared" si="0"/>
        <v>17679973.5</v>
      </c>
      <c r="H22" s="77">
        <v>105.5</v>
      </c>
      <c r="I22" s="65">
        <f>'[1]General Sales Sumary'!D305</f>
        <v>2192500</v>
      </c>
      <c r="J22" s="77">
        <v>36.5</v>
      </c>
      <c r="K22" s="65">
        <f>'[1]General Sales Sumary'!G305</f>
        <v>303000</v>
      </c>
      <c r="L22" s="65">
        <f>'[1]General Sales Sumary'!E305</f>
        <v>105000</v>
      </c>
      <c r="M22" s="67">
        <v>402000</v>
      </c>
      <c r="N22" s="65">
        <f>'[1]General Sales Sumary'!F305</f>
        <v>0</v>
      </c>
    </row>
    <row r="23" spans="1:14" x14ac:dyDescent="0.25">
      <c r="A23" s="71">
        <v>46133</v>
      </c>
      <c r="B23" s="64">
        <f>'[1]Fuel Mvt-2025-2026-PMS ....'!H309</f>
        <v>353.66199999999998</v>
      </c>
      <c r="C23" s="64">
        <f>'[1]Fuel Mvt-2025-2026-AGO'!H309</f>
        <v>978.81</v>
      </c>
      <c r="D23" s="64">
        <f>'[1]Fuel Mvt-2025-2026-PMS ....'!M309</f>
        <v>5510</v>
      </c>
      <c r="E23" s="64">
        <f>'[1]Fuel Mvt-2025-2026-AGO'!M309</f>
        <v>5250</v>
      </c>
      <c r="F23" s="64">
        <f t="shared" si="0"/>
        <v>1948677.6199999999</v>
      </c>
      <c r="G23" s="64">
        <f t="shared" si="0"/>
        <v>5138752.5</v>
      </c>
      <c r="H23" s="77">
        <v>89.5</v>
      </c>
      <c r="I23" s="65">
        <f>'[1]General Sales Sumary'!D306</f>
        <v>1897000</v>
      </c>
      <c r="J23" s="77">
        <v>85.5</v>
      </c>
      <c r="K23" s="65">
        <f>'[1]General Sales Sumary'!G306</f>
        <v>732000</v>
      </c>
      <c r="L23" s="65">
        <f>'[1]General Sales Sumary'!E306</f>
        <v>16000</v>
      </c>
      <c r="M23" s="67">
        <v>424000</v>
      </c>
      <c r="N23" s="65">
        <f>'[1]General Sales Sumary'!F306</f>
        <v>58000</v>
      </c>
    </row>
    <row r="24" spans="1:14" x14ac:dyDescent="0.25">
      <c r="A24" s="71">
        <v>46134</v>
      </c>
      <c r="B24" s="64">
        <f>'[1]Fuel Mvt-2025-2026-PMS ....'!H310</f>
        <v>3473.0970000000002</v>
      </c>
      <c r="C24" s="64">
        <f>'[1]Fuel Mvt-2025-2026-AGO'!H310</f>
        <v>0</v>
      </c>
      <c r="D24" s="64">
        <f>'[1]Fuel Mvt-2025-2026-PMS ....'!M310</f>
        <v>5510</v>
      </c>
      <c r="E24" s="64">
        <f>'[1]Fuel Mvt-2025-2026-AGO'!M310</f>
        <v>5250</v>
      </c>
      <c r="F24" s="64">
        <f t="shared" si="0"/>
        <v>19136764.470000003</v>
      </c>
      <c r="G24" s="64">
        <f t="shared" si="0"/>
        <v>0</v>
      </c>
      <c r="H24" s="77">
        <v>48.25</v>
      </c>
      <c r="I24" s="65">
        <f>'[1]General Sales Sumary'!D307</f>
        <v>1003000</v>
      </c>
      <c r="J24" s="77">
        <v>43</v>
      </c>
      <c r="K24" s="65">
        <f>'[1]General Sales Sumary'!G307</f>
        <v>416000</v>
      </c>
      <c r="L24" s="65">
        <f>'[1]General Sales Sumary'!E307</f>
        <v>87000</v>
      </c>
      <c r="M24" s="67">
        <v>555000</v>
      </c>
      <c r="N24" s="65">
        <f>'[1]General Sales Sumary'!F307</f>
        <v>0</v>
      </c>
    </row>
    <row r="25" spans="1:14" x14ac:dyDescent="0.25">
      <c r="A25" s="71">
        <v>46135</v>
      </c>
      <c r="B25" s="64">
        <f>'[1]Fuel Mvt-2025-2026-PMS ....'!H311</f>
        <v>544.95399999999995</v>
      </c>
      <c r="C25" s="64">
        <f>'[1]Fuel Mvt-2025-2026-AGO'!H311</f>
        <v>0</v>
      </c>
      <c r="D25" s="64">
        <f>'[1]Fuel Mvt-2025-2026-PMS ....'!M311</f>
        <v>5510</v>
      </c>
      <c r="E25" s="64">
        <f>'[1]Fuel Mvt-2025-2026-AGO'!M311</f>
        <v>5299</v>
      </c>
      <c r="F25" s="64">
        <f t="shared" si="0"/>
        <v>3002696.5399999996</v>
      </c>
      <c r="G25" s="64">
        <f t="shared" si="0"/>
        <v>0</v>
      </c>
      <c r="H25" s="77">
        <v>33.75</v>
      </c>
      <c r="I25" s="65">
        <f>'[1]General Sales Sumary'!D308</f>
        <v>666500</v>
      </c>
      <c r="J25" s="77">
        <v>33.5</v>
      </c>
      <c r="K25" s="65">
        <f>'[1]General Sales Sumary'!G308</f>
        <v>333000</v>
      </c>
      <c r="L25" s="65">
        <f>'[1]General Sales Sumary'!E308</f>
        <v>39000</v>
      </c>
      <c r="M25" s="67">
        <v>541000</v>
      </c>
      <c r="N25" s="65">
        <f>'[1]General Sales Sumary'!F308</f>
        <v>84500</v>
      </c>
    </row>
    <row r="26" spans="1:14" x14ac:dyDescent="0.25">
      <c r="A26" s="71">
        <v>46136</v>
      </c>
      <c r="B26" s="64">
        <f>'[1]Fuel Mvt-2025-2026-PMS ....'!H312</f>
        <v>4575.7569999999996</v>
      </c>
      <c r="C26" s="64">
        <f>'[1]Fuel Mvt-2025-2026-AGO'!H312</f>
        <v>6724.1369999999997</v>
      </c>
      <c r="D26" s="64">
        <f>'[1]Fuel Mvt-2025-2026-PMS ....'!M312</f>
        <v>5510</v>
      </c>
      <c r="E26" s="64">
        <f>'[1]Fuel Mvt-2025-2026-AGO'!M312</f>
        <v>5299</v>
      </c>
      <c r="F26" s="64">
        <f t="shared" si="0"/>
        <v>25212421.069999997</v>
      </c>
      <c r="G26" s="64">
        <f t="shared" si="0"/>
        <v>35631201.963</v>
      </c>
      <c r="H26" s="77">
        <v>76.5</v>
      </c>
      <c r="I26" s="65">
        <f>'[1]General Sales Sumary'!D309</f>
        <v>1556000</v>
      </c>
      <c r="J26" s="77">
        <v>73.5</v>
      </c>
      <c r="K26" s="65">
        <f>'[1]General Sales Sumary'!G309</f>
        <v>655000</v>
      </c>
      <c r="L26" s="65">
        <f>'[1]General Sales Sumary'!E309</f>
        <v>123000</v>
      </c>
      <c r="M26" s="67">
        <v>589000</v>
      </c>
      <c r="N26" s="65">
        <f>'[1]General Sales Sumary'!F309</f>
        <v>0</v>
      </c>
    </row>
    <row r="27" spans="1:14" x14ac:dyDescent="0.25">
      <c r="A27" s="71">
        <v>46137</v>
      </c>
      <c r="B27" s="64">
        <f>'[1]Fuel Mvt-2025-2026-PMS ....'!H313</f>
        <v>201.94399999999999</v>
      </c>
      <c r="C27" s="64">
        <f>'[1]Fuel Mvt-2025-2026-AGO'!H313</f>
        <v>624.31799999999998</v>
      </c>
      <c r="D27" s="64">
        <f>'[1]Fuel Mvt-2025-2026-PMS ....'!M313</f>
        <v>5510</v>
      </c>
      <c r="E27" s="64">
        <f>'[1]Fuel Mvt-2025-2026-AGO'!M313</f>
        <v>5299</v>
      </c>
      <c r="F27" s="64">
        <f t="shared" si="0"/>
        <v>1112711.44</v>
      </c>
      <c r="G27" s="64">
        <f t="shared" si="0"/>
        <v>3308261.0819999999</v>
      </c>
      <c r="H27" s="77">
        <v>25</v>
      </c>
      <c r="I27" s="65">
        <f>'[1]General Sales Sumary'!D310</f>
        <v>468000</v>
      </c>
      <c r="J27" s="77">
        <v>27</v>
      </c>
      <c r="K27" s="65">
        <f>'[1]General Sales Sumary'!G310</f>
        <v>278000</v>
      </c>
      <c r="L27" s="65">
        <f>'[1]General Sales Sumary'!E310</f>
        <v>31000</v>
      </c>
      <c r="M27" s="67">
        <v>578500</v>
      </c>
      <c r="N27" s="65">
        <f>'[1]General Sales Sumary'!F310</f>
        <v>58000</v>
      </c>
    </row>
    <row r="28" spans="1:14" x14ac:dyDescent="0.25">
      <c r="A28" s="71">
        <v>46138</v>
      </c>
      <c r="B28" s="64">
        <f>'[1]Fuel Mvt-2025-2026-PMS ....'!H314</f>
        <v>52.091000000000001</v>
      </c>
      <c r="C28" s="64">
        <f>'[1]Fuel Mvt-2025-2026-AGO'!H314</f>
        <v>1840.56</v>
      </c>
      <c r="D28" s="64">
        <f>'[1]Fuel Mvt-2025-2026-PMS ....'!M314</f>
        <v>5510</v>
      </c>
      <c r="E28" s="64">
        <f>'[1]Fuel Mvt-2025-2026-AGO'!M314</f>
        <v>5299</v>
      </c>
      <c r="F28" s="64">
        <f t="shared" si="0"/>
        <v>287021.41000000003</v>
      </c>
      <c r="G28" s="64">
        <f t="shared" si="0"/>
        <v>9753127.4399999995</v>
      </c>
      <c r="H28" s="77">
        <v>15</v>
      </c>
      <c r="I28" s="65">
        <f>'[1]General Sales Sumary'!D311</f>
        <v>285000</v>
      </c>
      <c r="J28" s="77">
        <v>77.5</v>
      </c>
      <c r="K28" s="65">
        <f>'[1]General Sales Sumary'!G311</f>
        <v>652500</v>
      </c>
      <c r="L28" s="65">
        <f>'[1]General Sales Sumary'!E311</f>
        <v>16000</v>
      </c>
      <c r="M28" s="67">
        <v>416000</v>
      </c>
      <c r="N28" s="65">
        <f>'[1]General Sales Sumary'!F311</f>
        <v>105500</v>
      </c>
    </row>
    <row r="29" spans="1:14" x14ac:dyDescent="0.25">
      <c r="A29" s="71">
        <v>46139</v>
      </c>
      <c r="B29" s="64">
        <f>'[1]Fuel Mvt-2025-2026-PMS ....'!H315</f>
        <v>61.731999999999999</v>
      </c>
      <c r="C29" s="64">
        <f>'[1]Fuel Mvt-2025-2026-AGO'!H315</f>
        <v>12367.369000000001</v>
      </c>
      <c r="D29" s="64">
        <f>'[1]Fuel Mvt-2025-2026-PMS ....'!M315</f>
        <v>5510</v>
      </c>
      <c r="E29" s="64">
        <f>'[1]Fuel Mvt-2025-2026-AGO'!M315</f>
        <v>5299</v>
      </c>
      <c r="F29" s="64">
        <f t="shared" si="0"/>
        <v>340143.32</v>
      </c>
      <c r="G29" s="64">
        <f t="shared" si="0"/>
        <v>65534688.331</v>
      </c>
      <c r="H29" s="77">
        <v>37.25</v>
      </c>
      <c r="I29" s="65">
        <f>'[1]General Sales Sumary'!D312</f>
        <v>729000</v>
      </c>
      <c r="J29" s="77">
        <v>61</v>
      </c>
      <c r="K29" s="65">
        <f>'[1]General Sales Sumary'!G312</f>
        <v>592000</v>
      </c>
      <c r="L29" s="65">
        <f>'[1]General Sales Sumary'!E312</f>
        <v>166000</v>
      </c>
      <c r="M29" s="67">
        <v>511000</v>
      </c>
      <c r="N29" s="65">
        <f>'[1]General Sales Sumary'!F312</f>
        <v>21000</v>
      </c>
    </row>
    <row r="30" spans="1:14" x14ac:dyDescent="0.25">
      <c r="A30" s="71">
        <v>46140</v>
      </c>
      <c r="B30" s="64">
        <f>'[1]Fuel Mvt-2025-2026-PMS ....'!H316</f>
        <v>7525.8109999999997</v>
      </c>
      <c r="C30" s="64">
        <f>'[1]Fuel Mvt-2025-2026-AGO'!H316</f>
        <v>7096.9639999999999</v>
      </c>
      <c r="D30" s="64">
        <f>'[1]Fuel Mvt-2025-2026-PMS ....'!M316</f>
        <v>5510</v>
      </c>
      <c r="E30" s="64">
        <f>'[1]Fuel Mvt-2025-2026-AGO'!M316</f>
        <v>5299</v>
      </c>
      <c r="F30" s="64">
        <f t="shared" si="0"/>
        <v>41467218.609999999</v>
      </c>
      <c r="G30" s="64">
        <f t="shared" si="0"/>
        <v>37606812.236000001</v>
      </c>
      <c r="H30" s="77">
        <v>41.75</v>
      </c>
      <c r="I30" s="65">
        <f>'[1]General Sales Sumary'!D313</f>
        <v>891000</v>
      </c>
      <c r="J30" s="77">
        <v>24.5</v>
      </c>
      <c r="K30" s="65">
        <f>'[1]General Sales Sumary'!G313</f>
        <v>235500</v>
      </c>
      <c r="L30" s="65">
        <f>'[1]General Sales Sumary'!E313</f>
        <v>91000</v>
      </c>
      <c r="M30" s="67">
        <v>452000</v>
      </c>
      <c r="N30" s="65">
        <f>'[1]General Sales Sumary'!F313</f>
        <v>0</v>
      </c>
    </row>
    <row r="31" spans="1:14" x14ac:dyDescent="0.25">
      <c r="A31" s="71">
        <v>46141</v>
      </c>
      <c r="B31" s="64">
        <f>'[1]Fuel Mvt-2025-2026-PMS ....'!H317</f>
        <v>3267.73</v>
      </c>
      <c r="C31" s="64">
        <f>'[1]Fuel Mvt-2025-2026-AGO'!H317</f>
        <v>7969.4949999999999</v>
      </c>
      <c r="D31" s="64">
        <f>'[1]Fuel Mvt-2025-2026-PMS ....'!M317</f>
        <v>5510</v>
      </c>
      <c r="E31" s="64">
        <f>'[1]Fuel Mvt-2025-2026-AGO'!M317</f>
        <v>5299</v>
      </c>
      <c r="F31" s="64">
        <f t="shared" si="0"/>
        <v>18005192.300000001</v>
      </c>
      <c r="G31" s="64">
        <f t="shared" si="0"/>
        <v>42230354.005000003</v>
      </c>
      <c r="H31" s="77">
        <v>34</v>
      </c>
      <c r="I31" s="65">
        <f>'[1]General Sales Sumary'!D314</f>
        <v>1117500</v>
      </c>
      <c r="J31" s="77">
        <v>59</v>
      </c>
      <c r="K31" s="65">
        <f>'[1]General Sales Sumary'!G314</f>
        <v>321000</v>
      </c>
      <c r="L31" s="65">
        <f>'[1]General Sales Sumary'!E314</f>
        <v>116000</v>
      </c>
      <c r="M31" s="67">
        <v>425000</v>
      </c>
      <c r="N31" s="65">
        <f>'[1]General Sales Sumary'!F314</f>
        <v>105500</v>
      </c>
    </row>
    <row r="32" spans="1:14" x14ac:dyDescent="0.25">
      <c r="A32" s="71">
        <v>46142</v>
      </c>
      <c r="B32" s="64">
        <f>'[1]Fuel Mvt-2025-2026-PMS ....'!H318</f>
        <v>5889.7939999999999</v>
      </c>
      <c r="C32" s="64">
        <f>'[1]Fuel Mvt-2025-2026-AGO'!H318</f>
        <v>9372.4639999999999</v>
      </c>
      <c r="D32" s="64">
        <f>'[1]Fuel Mvt-2025-2026-PMS ....'!M318</f>
        <v>5510</v>
      </c>
      <c r="E32" s="64">
        <f>'[1]Fuel Mvt-2025-2026-AGO'!M318</f>
        <v>5299</v>
      </c>
      <c r="F32" s="64">
        <f t="shared" si="0"/>
        <v>32452764.939999998</v>
      </c>
      <c r="G32" s="64">
        <f t="shared" si="0"/>
        <v>49664686.736000001</v>
      </c>
      <c r="H32" s="77">
        <v>327.5</v>
      </c>
      <c r="I32" s="65">
        <f>'[1]General Sales Sumary'!D315</f>
        <v>6897000</v>
      </c>
      <c r="J32" s="77">
        <v>67</v>
      </c>
      <c r="K32" s="65">
        <f>'[1]General Sales Sumary'!G315</f>
        <v>648000</v>
      </c>
      <c r="L32" s="65">
        <f>'[1]General Sales Sumary'!E315</f>
        <v>111000</v>
      </c>
      <c r="M32" s="67">
        <v>759000</v>
      </c>
      <c r="N32" s="65">
        <f>'[1]General Sales Sumary'!F315</f>
        <v>0</v>
      </c>
    </row>
    <row r="33" spans="1:14" x14ac:dyDescent="0.25">
      <c r="A33" s="72" t="s">
        <v>3</v>
      </c>
      <c r="B33" s="72">
        <f>SUM(B3:B32)</f>
        <v>68635.841000000015</v>
      </c>
      <c r="C33" s="72">
        <f>SUM(C3:C32)</f>
        <v>108575.76699999999</v>
      </c>
      <c r="D33" s="72"/>
      <c r="E33" s="72"/>
      <c r="F33" s="72">
        <f t="shared" ref="F33:N33" si="1">SUM(F3:F32)</f>
        <v>377778949.79000008</v>
      </c>
      <c r="G33" s="72">
        <f t="shared" si="1"/>
        <v>569886591.46299994</v>
      </c>
      <c r="H33" s="78">
        <f t="shared" si="1"/>
        <v>2042</v>
      </c>
      <c r="I33" s="72">
        <f t="shared" si="1"/>
        <v>43601800</v>
      </c>
      <c r="J33" s="78">
        <f t="shared" si="1"/>
        <v>1477</v>
      </c>
      <c r="K33" s="72">
        <f t="shared" si="1"/>
        <v>13649000</v>
      </c>
      <c r="L33" s="72">
        <f t="shared" si="1"/>
        <v>2398000</v>
      </c>
      <c r="M33" s="72">
        <f t="shared" si="1"/>
        <v>17426000</v>
      </c>
      <c r="N33" s="72">
        <f t="shared" si="1"/>
        <v>1023500</v>
      </c>
    </row>
  </sheetData>
  <protectedRanges>
    <protectedRange sqref="J10:J11" name="Range1_3"/>
  </protectedRanges>
  <mergeCells count="1">
    <mergeCell ref="A1:N1"/>
  </mergeCells>
  <pageMargins left="0.7" right="0.7" top="0.75" bottom="0.75" header="0.3" footer="0.3"/>
  <ignoredErrors>
    <ignoredError sqref="I3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JAN . 2024</vt:lpstr>
      <vt:lpstr>SEP.2023 (2)</vt:lpstr>
      <vt:lpstr>SEMPT 2022</vt:lpstr>
      <vt:lpstr>OCT 2022</vt:lpstr>
      <vt:lpstr>NOV.2022</vt:lpstr>
      <vt:lpstr>DEC.2022</vt:lpstr>
      <vt:lpstr>JAN 2023</vt:lpstr>
      <vt:lpstr>JUNE 2023</vt:lpstr>
      <vt:lpstr>JULY 2023</vt:lpstr>
      <vt:lpstr>AUGUST 2023</vt:lpstr>
      <vt:lpstr>SEP.2023</vt:lpstr>
      <vt:lpstr>OCT 2023</vt:lpstr>
      <vt:lpstr>NOV.2023</vt:lpstr>
      <vt:lpstr>DEC.2023</vt:lpstr>
      <vt:lpstr>FEB.2024</vt:lpstr>
      <vt:lpstr>MARCH.34</vt:lpstr>
      <vt:lpstr>APRIL .24</vt:lpstr>
      <vt:lpstr>MAY.2024</vt:lpstr>
      <vt:lpstr>JUNE.2024</vt:lpstr>
      <vt:lpstr>JULY.2024</vt:lpstr>
      <vt:lpstr>AUG.2024</vt:lpstr>
      <vt:lpstr>SEP.2024</vt:lpstr>
      <vt:lpstr>OCT.2024</vt:lpstr>
      <vt:lpstr>NOV.2024</vt:lpstr>
      <vt:lpstr>DEC.2024</vt:lpstr>
      <vt:lpstr>JAN.2025</vt:lpstr>
      <vt:lpstr>FEB.2025</vt:lpstr>
      <vt:lpstr>MARCH.2025</vt:lpstr>
      <vt:lpstr>APIRL.2025</vt:lpstr>
      <vt:lpstr>MAY.2025</vt:lpstr>
      <vt:lpstr>JUNE.2025</vt:lpstr>
      <vt:lpstr>JULY.2025</vt:lpstr>
      <vt:lpstr>AUG.2025</vt:lpstr>
      <vt:lpstr>SEP.2025</vt:lpstr>
      <vt:lpstr>OCT.2025</vt:lpstr>
      <vt:lpstr>NOV.2025</vt:lpstr>
      <vt:lpstr>DEC 2025</vt:lpstr>
      <vt:lpstr>JAN 2026</vt:lpstr>
      <vt:lpstr>FEB 2026</vt:lpstr>
      <vt:lpstr>MAR 2026</vt:lpstr>
      <vt:lpstr>APRIL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Asher Gad</cp:lastModifiedBy>
  <cp:lastPrinted>2025-08-14T12:45:41Z</cp:lastPrinted>
  <dcterms:created xsi:type="dcterms:W3CDTF">2021-07-22T05:01:23Z</dcterms:created>
  <dcterms:modified xsi:type="dcterms:W3CDTF">2026-05-07T06:36:12Z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30ed1b-e95f-40b5-af89-828263f287a7_Enabled">
    <vt:lpwstr>true</vt:lpwstr>
  </property>
  <property fmtid="{D5CDD505-2E9C-101B-9397-08002B2CF9AE}" pid="3" name="MSIP_Label_2b30ed1b-e95f-40b5-af89-828263f287a7_SetDate">
    <vt:lpwstr>2022-05-18T06:59:50Z</vt:lpwstr>
  </property>
  <property fmtid="{D5CDD505-2E9C-101B-9397-08002B2CF9AE}" pid="4" name="MSIP_Label_2b30ed1b-e95f-40b5-af89-828263f287a7_Method">
    <vt:lpwstr>Privileged</vt:lpwstr>
  </property>
  <property fmtid="{D5CDD505-2E9C-101B-9397-08002B2CF9AE}" pid="5" name="MSIP_Label_2b30ed1b-e95f-40b5-af89-828263f287a7_Name">
    <vt:lpwstr>2b30ed1b-e95f-40b5-af89-828263f287a7</vt:lpwstr>
  </property>
  <property fmtid="{D5CDD505-2E9C-101B-9397-08002B2CF9AE}" pid="6" name="MSIP_Label_2b30ed1b-e95f-40b5-af89-828263f287a7_SiteId">
    <vt:lpwstr>329e91b0-e21f-48fb-a071-456717ecc28e</vt:lpwstr>
  </property>
  <property fmtid="{D5CDD505-2E9C-101B-9397-08002B2CF9AE}" pid="7" name="MSIP_Label_2b30ed1b-e95f-40b5-af89-828263f287a7_ActionId">
    <vt:lpwstr>49009ac1-2eec-45ab-8ac1-d6ff4f1aa3db</vt:lpwstr>
  </property>
  <property fmtid="{D5CDD505-2E9C-101B-9397-08002B2CF9AE}" pid="8" name="MSIP_Label_2b30ed1b-e95f-40b5-af89-828263f287a7_ContentBits">
    <vt:lpwstr>0</vt:lpwstr>
  </property>
</Properties>
</file>