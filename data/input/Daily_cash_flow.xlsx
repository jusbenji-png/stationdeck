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TAL RWIZI\Desktop\Daily Data\May 2026\"/>
    </mc:Choice>
  </mc:AlternateContent>
  <xr:revisionPtr revIDLastSave="0" documentId="13_ncr:1_{D2B13517-2F84-4A4D-952B-236774488EA4}" xr6:coauthVersionLast="47" xr6:coauthVersionMax="47" xr10:uidLastSave="{00000000-0000-0000-0000-000000000000}"/>
  <bookViews>
    <workbookView xWindow="-120" yWindow="-120" windowWidth="19440" windowHeight="14040" activeTab="1" xr2:uid="{00000000-000D-0000-FFFF-FFFF00000000}"/>
  </bookViews>
  <sheets>
    <sheet name="Chart1" sheetId="6" r:id="rId1"/>
    <sheet name="CASH FLOW" sheetId="2" r:id="rId2"/>
    <sheet name="Sheet2" sheetId="5" r:id="rId3"/>
    <sheet name="Sheet1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'CASH FLOW'!$A$3:$Q$3</definedName>
    <definedName name="_xlnm._FilterDatabase" localSheetId="3" hidden="1">Sheet1!$A$1:$E$56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7" i="2" l="1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56" i="2"/>
  <c r="J827" i="2" l="1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26" i="2"/>
  <c r="J796" i="2" l="1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795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I856" i="2"/>
  <c r="L857" i="2"/>
  <c r="L858" i="2"/>
  <c r="L859" i="2"/>
  <c r="L860" i="2"/>
  <c r="L861" i="2"/>
  <c r="L862" i="2"/>
  <c r="L863" i="2"/>
  <c r="L864" i="2"/>
  <c r="L865" i="2"/>
  <c r="L866" i="2"/>
  <c r="L879" i="2"/>
  <c r="L880" i="2"/>
  <c r="L881" i="2"/>
  <c r="L882" i="2"/>
  <c r="L883" i="2"/>
  <c r="L884" i="2"/>
  <c r="L885" i="2"/>
  <c r="L886" i="2"/>
  <c r="L856" i="2"/>
  <c r="K857" i="2"/>
  <c r="K858" i="2"/>
  <c r="K859" i="2"/>
  <c r="K860" i="2"/>
  <c r="K861" i="2"/>
  <c r="K862" i="2"/>
  <c r="K863" i="2"/>
  <c r="K864" i="2"/>
  <c r="K865" i="2"/>
  <c r="K866" i="2"/>
  <c r="K879" i="2"/>
  <c r="K880" i="2"/>
  <c r="K881" i="2"/>
  <c r="K882" i="2"/>
  <c r="K883" i="2"/>
  <c r="K884" i="2"/>
  <c r="K885" i="2"/>
  <c r="K886" i="2"/>
  <c r="K856" i="2"/>
  <c r="I857" i="2"/>
  <c r="I858" i="2"/>
  <c r="I859" i="2"/>
  <c r="I860" i="2"/>
  <c r="I861" i="2"/>
  <c r="I862" i="2"/>
  <c r="I863" i="2"/>
  <c r="I864" i="2"/>
  <c r="I865" i="2"/>
  <c r="I866" i="2"/>
  <c r="I880" i="2"/>
  <c r="I881" i="2"/>
  <c r="I882" i="2"/>
  <c r="I883" i="2"/>
  <c r="I884" i="2"/>
  <c r="I885" i="2"/>
  <c r="I88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56" i="2"/>
  <c r="C857" i="2"/>
  <c r="C858" i="2"/>
  <c r="C859" i="2"/>
  <c r="C860" i="2"/>
  <c r="C861" i="2"/>
  <c r="C862" i="2"/>
  <c r="C863" i="2"/>
  <c r="C864" i="2"/>
  <c r="C865" i="2"/>
  <c r="C866" i="2"/>
  <c r="C880" i="2"/>
  <c r="C881" i="2"/>
  <c r="C882" i="2"/>
  <c r="C883" i="2"/>
  <c r="C884" i="2"/>
  <c r="C885" i="2"/>
  <c r="C886" i="2"/>
  <c r="C856" i="2"/>
  <c r="B857" i="2"/>
  <c r="B858" i="2"/>
  <c r="B859" i="2"/>
  <c r="B860" i="2"/>
  <c r="B861" i="2"/>
  <c r="B862" i="2"/>
  <c r="B863" i="2"/>
  <c r="B864" i="2"/>
  <c r="B865" i="2"/>
  <c r="B866" i="2"/>
  <c r="B880" i="2"/>
  <c r="B881" i="2"/>
  <c r="B882" i="2"/>
  <c r="B883" i="2"/>
  <c r="B884" i="2"/>
  <c r="B885" i="2"/>
  <c r="B886" i="2"/>
  <c r="B856" i="2"/>
  <c r="C842" i="2"/>
  <c r="B842" i="2"/>
  <c r="I852" i="2"/>
  <c r="I851" i="2"/>
  <c r="I850" i="2"/>
  <c r="I849" i="2"/>
  <c r="I848" i="2"/>
  <c r="I847" i="2"/>
  <c r="I846" i="2"/>
  <c r="I845" i="2"/>
  <c r="L851" i="2"/>
  <c r="L850" i="2"/>
  <c r="L849" i="2"/>
  <c r="L848" i="2"/>
  <c r="L847" i="2"/>
  <c r="L846" i="2"/>
  <c r="L845" i="2"/>
  <c r="K852" i="2"/>
  <c r="K851" i="2"/>
  <c r="K850" i="2"/>
  <c r="K849" i="2"/>
  <c r="K848" i="2"/>
  <c r="K847" i="2"/>
  <c r="K846" i="2"/>
  <c r="K845" i="2"/>
  <c r="B853" i="2" l="1"/>
  <c r="B852" i="2"/>
  <c r="B851" i="2"/>
  <c r="B850" i="2"/>
  <c r="B849" i="2"/>
  <c r="B848" i="2"/>
  <c r="C852" i="2"/>
  <c r="C851" i="2"/>
  <c r="C850" i="2"/>
  <c r="C849" i="2"/>
  <c r="C848" i="2"/>
  <c r="C847" i="2"/>
  <c r="C846" i="2"/>
  <c r="C845" i="2"/>
  <c r="B846" i="2"/>
  <c r="B847" i="2"/>
  <c r="B845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53" i="2"/>
  <c r="K854" i="2"/>
  <c r="K855" i="2"/>
  <c r="K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52" i="2"/>
  <c r="L853" i="2"/>
  <c r="L854" i="2"/>
  <c r="L855" i="2"/>
  <c r="L826" i="2"/>
  <c r="B855" i="2"/>
  <c r="C855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53" i="2"/>
  <c r="I854" i="2"/>
  <c r="I855" i="2"/>
  <c r="I826" i="2"/>
  <c r="B854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3" i="2"/>
  <c r="C844" i="2"/>
  <c r="C853" i="2"/>
  <c r="C854" i="2"/>
  <c r="C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3" i="2"/>
  <c r="B844" i="2"/>
  <c r="B826" i="2"/>
  <c r="F4" i="2" l="1"/>
  <c r="G4" i="2"/>
  <c r="AL4" i="2"/>
  <c r="F5" i="2"/>
  <c r="G5" i="2"/>
  <c r="AL5" i="2"/>
  <c r="F6" i="2"/>
  <c r="G6" i="2"/>
  <c r="AL6" i="2"/>
  <c r="F7" i="2"/>
  <c r="G7" i="2"/>
  <c r="AL7" i="2"/>
  <c r="F8" i="2"/>
  <c r="G8" i="2"/>
  <c r="AL8" i="2"/>
  <c r="F9" i="2"/>
  <c r="G9" i="2"/>
  <c r="AL9" i="2"/>
  <c r="F10" i="2"/>
  <c r="G10" i="2"/>
  <c r="AL10" i="2"/>
  <c r="F11" i="2"/>
  <c r="G11" i="2"/>
  <c r="AL11" i="2"/>
  <c r="F12" i="2"/>
  <c r="G12" i="2"/>
  <c r="AL12" i="2"/>
  <c r="F13" i="2"/>
  <c r="G13" i="2"/>
  <c r="AL13" i="2"/>
  <c r="F14" i="2"/>
  <c r="G14" i="2"/>
  <c r="AL14" i="2"/>
  <c r="F15" i="2"/>
  <c r="G15" i="2"/>
  <c r="AL15" i="2"/>
  <c r="F16" i="2"/>
  <c r="G16" i="2"/>
  <c r="AL16" i="2"/>
  <c r="F17" i="2"/>
  <c r="G17" i="2"/>
  <c r="AL17" i="2"/>
  <c r="F18" i="2"/>
  <c r="G18" i="2"/>
  <c r="AL18" i="2"/>
  <c r="F19" i="2"/>
  <c r="G19" i="2"/>
  <c r="AL19" i="2"/>
  <c r="F20" i="2"/>
  <c r="G20" i="2"/>
  <c r="AL20" i="2"/>
  <c r="F21" i="2"/>
  <c r="G21" i="2"/>
  <c r="AL21" i="2"/>
  <c r="F22" i="2"/>
  <c r="G22" i="2"/>
  <c r="AL22" i="2"/>
  <c r="F23" i="2"/>
  <c r="G23" i="2"/>
  <c r="AL23" i="2"/>
  <c r="F24" i="2"/>
  <c r="G24" i="2"/>
  <c r="Q24" i="2" s="1"/>
  <c r="AL24" i="2"/>
  <c r="F25" i="2"/>
  <c r="Q25" i="2" s="1"/>
  <c r="G25" i="2"/>
  <c r="AL25" i="2"/>
  <c r="F26" i="2"/>
  <c r="G26" i="2"/>
  <c r="AL26" i="2"/>
  <c r="F27" i="2"/>
  <c r="G27" i="2"/>
  <c r="AL27" i="2"/>
  <c r="F28" i="2"/>
  <c r="G28" i="2"/>
  <c r="AL28" i="2"/>
  <c r="F29" i="2"/>
  <c r="G29" i="2"/>
  <c r="AL29" i="2"/>
  <c r="F30" i="2"/>
  <c r="G30" i="2"/>
  <c r="AL30" i="2"/>
  <c r="F31" i="2"/>
  <c r="G31" i="2"/>
  <c r="AL31" i="2"/>
  <c r="F32" i="2"/>
  <c r="G32" i="2"/>
  <c r="AL32" i="2"/>
  <c r="F33" i="2"/>
  <c r="G33" i="2"/>
  <c r="AL33" i="2"/>
  <c r="F34" i="2"/>
  <c r="G34" i="2"/>
  <c r="AL34" i="2"/>
  <c r="F35" i="2"/>
  <c r="G35" i="2"/>
  <c r="AL35" i="2"/>
  <c r="F36" i="2"/>
  <c r="G36" i="2"/>
  <c r="AL36" i="2"/>
  <c r="F37" i="2"/>
  <c r="G37" i="2"/>
  <c r="AL37" i="2"/>
  <c r="F38" i="2"/>
  <c r="G38" i="2"/>
  <c r="AL38" i="2"/>
  <c r="F39" i="2"/>
  <c r="G39" i="2"/>
  <c r="AL39" i="2"/>
  <c r="F40" i="2"/>
  <c r="G40" i="2"/>
  <c r="AL40" i="2"/>
  <c r="F41" i="2"/>
  <c r="G41" i="2"/>
  <c r="AL41" i="2"/>
  <c r="F42" i="2"/>
  <c r="G42" i="2"/>
  <c r="AL42" i="2"/>
  <c r="F43" i="2"/>
  <c r="G43" i="2"/>
  <c r="AL43" i="2"/>
  <c r="F44" i="2"/>
  <c r="G44" i="2"/>
  <c r="AL44" i="2"/>
  <c r="F45" i="2"/>
  <c r="G45" i="2"/>
  <c r="AL45" i="2"/>
  <c r="F46" i="2"/>
  <c r="G46" i="2"/>
  <c r="AL46" i="2"/>
  <c r="F47" i="2"/>
  <c r="G47" i="2"/>
  <c r="Q47" i="2" s="1"/>
  <c r="AL47" i="2"/>
  <c r="F48" i="2"/>
  <c r="G48" i="2"/>
  <c r="AL48" i="2"/>
  <c r="F49" i="2"/>
  <c r="G49" i="2"/>
  <c r="AL49" i="2"/>
  <c r="F50" i="2"/>
  <c r="G50" i="2"/>
  <c r="AL50" i="2"/>
  <c r="F51" i="2"/>
  <c r="G51" i="2"/>
  <c r="AL51" i="2"/>
  <c r="F52" i="2"/>
  <c r="G52" i="2"/>
  <c r="AL52" i="2"/>
  <c r="F53" i="2"/>
  <c r="G53" i="2"/>
  <c r="AL53" i="2"/>
  <c r="F54" i="2"/>
  <c r="G54" i="2"/>
  <c r="AL54" i="2"/>
  <c r="F55" i="2"/>
  <c r="G55" i="2"/>
  <c r="AL55" i="2"/>
  <c r="F56" i="2"/>
  <c r="G56" i="2"/>
  <c r="AL56" i="2"/>
  <c r="F57" i="2"/>
  <c r="G57" i="2"/>
  <c r="AL57" i="2"/>
  <c r="F58" i="2"/>
  <c r="G58" i="2"/>
  <c r="AL58" i="2"/>
  <c r="F59" i="2"/>
  <c r="G59" i="2"/>
  <c r="AL59" i="2"/>
  <c r="F60" i="2"/>
  <c r="G60" i="2"/>
  <c r="AL60" i="2"/>
  <c r="F61" i="2"/>
  <c r="G61" i="2"/>
  <c r="AL61" i="2"/>
  <c r="F62" i="2"/>
  <c r="G62" i="2"/>
  <c r="AL62" i="2"/>
  <c r="F63" i="2"/>
  <c r="G63" i="2"/>
  <c r="AL63" i="2"/>
  <c r="F64" i="2"/>
  <c r="G64" i="2"/>
  <c r="AL64" i="2"/>
  <c r="F65" i="2"/>
  <c r="G65" i="2"/>
  <c r="AL65" i="2"/>
  <c r="F66" i="2"/>
  <c r="G66" i="2"/>
  <c r="AL66" i="2"/>
  <c r="F67" i="2"/>
  <c r="G67" i="2"/>
  <c r="AL67" i="2"/>
  <c r="F68" i="2"/>
  <c r="G68" i="2"/>
  <c r="AL68" i="2"/>
  <c r="F69" i="2"/>
  <c r="Q69" i="2" s="1"/>
  <c r="G69" i="2"/>
  <c r="AL69" i="2"/>
  <c r="F70" i="2"/>
  <c r="G70" i="2"/>
  <c r="AL70" i="2"/>
  <c r="F71" i="2"/>
  <c r="G71" i="2"/>
  <c r="AL71" i="2"/>
  <c r="F72" i="2"/>
  <c r="G72" i="2"/>
  <c r="AL72" i="2"/>
  <c r="F73" i="2"/>
  <c r="G73" i="2"/>
  <c r="AL73" i="2"/>
  <c r="F74" i="2"/>
  <c r="G74" i="2"/>
  <c r="AL74" i="2"/>
  <c r="F75" i="2"/>
  <c r="G75" i="2"/>
  <c r="AL75" i="2"/>
  <c r="F76" i="2"/>
  <c r="G76" i="2"/>
  <c r="AL76" i="2"/>
  <c r="F77" i="2"/>
  <c r="G77" i="2"/>
  <c r="AL77" i="2"/>
  <c r="F78" i="2"/>
  <c r="G78" i="2"/>
  <c r="AL78" i="2"/>
  <c r="F79" i="2"/>
  <c r="G79" i="2"/>
  <c r="AL79" i="2"/>
  <c r="F80" i="2"/>
  <c r="G80" i="2"/>
  <c r="AL80" i="2"/>
  <c r="F81" i="2"/>
  <c r="G81" i="2"/>
  <c r="AL81" i="2"/>
  <c r="F82" i="2"/>
  <c r="G82" i="2"/>
  <c r="AL82" i="2"/>
  <c r="F83" i="2"/>
  <c r="G83" i="2"/>
  <c r="AL83" i="2"/>
  <c r="F84" i="2"/>
  <c r="G84" i="2"/>
  <c r="AL84" i="2"/>
  <c r="F85" i="2"/>
  <c r="Q85" i="2" s="1"/>
  <c r="G85" i="2"/>
  <c r="AL85" i="2"/>
  <c r="F86" i="2"/>
  <c r="G86" i="2"/>
  <c r="AL86" i="2"/>
  <c r="F87" i="2"/>
  <c r="G87" i="2"/>
  <c r="AL87" i="2"/>
  <c r="F88" i="2"/>
  <c r="G88" i="2"/>
  <c r="AL88" i="2"/>
  <c r="F89" i="2"/>
  <c r="Q89" i="2" s="1"/>
  <c r="G89" i="2"/>
  <c r="AL89" i="2"/>
  <c r="F90" i="2"/>
  <c r="G90" i="2"/>
  <c r="AL90" i="2"/>
  <c r="F91" i="2"/>
  <c r="Q91" i="2" s="1"/>
  <c r="G91" i="2"/>
  <c r="AL91" i="2"/>
  <c r="F92" i="2"/>
  <c r="G92" i="2"/>
  <c r="AL92" i="2"/>
  <c r="F93" i="2"/>
  <c r="G93" i="2"/>
  <c r="AL93" i="2"/>
  <c r="F94" i="2"/>
  <c r="G94" i="2"/>
  <c r="AL94" i="2"/>
  <c r="F95" i="2"/>
  <c r="G95" i="2"/>
  <c r="AL95" i="2"/>
  <c r="F96" i="2"/>
  <c r="G96" i="2"/>
  <c r="AL96" i="2"/>
  <c r="F97" i="2"/>
  <c r="G97" i="2"/>
  <c r="AL97" i="2"/>
  <c r="F98" i="2"/>
  <c r="G98" i="2"/>
  <c r="AL98" i="2"/>
  <c r="F99" i="2"/>
  <c r="G99" i="2"/>
  <c r="AL99" i="2"/>
  <c r="F100" i="2"/>
  <c r="G100" i="2"/>
  <c r="AL100" i="2"/>
  <c r="F101" i="2"/>
  <c r="G101" i="2"/>
  <c r="AL101" i="2"/>
  <c r="F102" i="2"/>
  <c r="G102" i="2"/>
  <c r="AL102" i="2"/>
  <c r="F103" i="2"/>
  <c r="G103" i="2"/>
  <c r="AL103" i="2"/>
  <c r="F104" i="2"/>
  <c r="G104" i="2"/>
  <c r="AL104" i="2"/>
  <c r="F105" i="2"/>
  <c r="Q105" i="2" s="1"/>
  <c r="G105" i="2"/>
  <c r="AL105" i="2"/>
  <c r="F106" i="2"/>
  <c r="G106" i="2"/>
  <c r="AL106" i="2"/>
  <c r="F107" i="2"/>
  <c r="Q107" i="2" s="1"/>
  <c r="Y107" i="2" s="1"/>
  <c r="G107" i="2"/>
  <c r="AL107" i="2"/>
  <c r="F108" i="2"/>
  <c r="G108" i="2"/>
  <c r="AL108" i="2"/>
  <c r="F109" i="2"/>
  <c r="G109" i="2"/>
  <c r="AL109" i="2"/>
  <c r="F110" i="2"/>
  <c r="G110" i="2"/>
  <c r="AL110" i="2"/>
  <c r="F111" i="2"/>
  <c r="G111" i="2"/>
  <c r="AL111" i="2"/>
  <c r="F112" i="2"/>
  <c r="G112" i="2"/>
  <c r="AL112" i="2"/>
  <c r="F113" i="2"/>
  <c r="G113" i="2"/>
  <c r="AL113" i="2"/>
  <c r="F114" i="2"/>
  <c r="G114" i="2"/>
  <c r="AL114" i="2"/>
  <c r="F115" i="2"/>
  <c r="Q115" i="2" s="1"/>
  <c r="G115" i="2"/>
  <c r="AL115" i="2"/>
  <c r="F116" i="2"/>
  <c r="G116" i="2"/>
  <c r="Q116" i="2" s="1"/>
  <c r="Y116" i="2" s="1"/>
  <c r="AL116" i="2"/>
  <c r="F117" i="2"/>
  <c r="G117" i="2"/>
  <c r="AL117" i="2"/>
  <c r="F118" i="2"/>
  <c r="G118" i="2"/>
  <c r="Q118" i="2" s="1"/>
  <c r="AL118" i="2"/>
  <c r="F119" i="2"/>
  <c r="G119" i="2"/>
  <c r="AL119" i="2"/>
  <c r="F120" i="2"/>
  <c r="G120" i="2"/>
  <c r="AL120" i="2"/>
  <c r="F121" i="2"/>
  <c r="G121" i="2"/>
  <c r="AL121" i="2"/>
  <c r="F122" i="2"/>
  <c r="G122" i="2"/>
  <c r="AL122" i="2"/>
  <c r="F123" i="2"/>
  <c r="G123" i="2"/>
  <c r="AL123" i="2"/>
  <c r="F124" i="2"/>
  <c r="G124" i="2"/>
  <c r="AL124" i="2"/>
  <c r="F125" i="2"/>
  <c r="Q125" i="2" s="1"/>
  <c r="G125" i="2"/>
  <c r="AL125" i="2"/>
  <c r="F126" i="2"/>
  <c r="G126" i="2"/>
  <c r="AL126" i="2"/>
  <c r="F127" i="2"/>
  <c r="G127" i="2"/>
  <c r="AL127" i="2"/>
  <c r="F128" i="2"/>
  <c r="G128" i="2"/>
  <c r="AL128" i="2"/>
  <c r="F129" i="2"/>
  <c r="G129" i="2"/>
  <c r="AL129" i="2"/>
  <c r="F130" i="2"/>
  <c r="G130" i="2"/>
  <c r="AL130" i="2"/>
  <c r="F131" i="2"/>
  <c r="G131" i="2"/>
  <c r="AL131" i="2"/>
  <c r="F132" i="2"/>
  <c r="G132" i="2"/>
  <c r="Q132" i="2" s="1"/>
  <c r="AL132" i="2"/>
  <c r="F133" i="2"/>
  <c r="G133" i="2"/>
  <c r="AL133" i="2"/>
  <c r="F134" i="2"/>
  <c r="G134" i="2"/>
  <c r="AL134" i="2"/>
  <c r="F135" i="2"/>
  <c r="G135" i="2"/>
  <c r="AL135" i="2"/>
  <c r="F136" i="2"/>
  <c r="G136" i="2"/>
  <c r="AL136" i="2"/>
  <c r="F137" i="2"/>
  <c r="G137" i="2"/>
  <c r="AL137" i="2"/>
  <c r="F138" i="2"/>
  <c r="G138" i="2"/>
  <c r="AL138" i="2"/>
  <c r="F139" i="2"/>
  <c r="G139" i="2"/>
  <c r="AL139" i="2"/>
  <c r="F140" i="2"/>
  <c r="G140" i="2"/>
  <c r="AL140" i="2"/>
  <c r="F141" i="2"/>
  <c r="G141" i="2"/>
  <c r="AL141" i="2"/>
  <c r="F142" i="2"/>
  <c r="G142" i="2"/>
  <c r="AL142" i="2"/>
  <c r="F143" i="2"/>
  <c r="G143" i="2"/>
  <c r="AL143" i="2"/>
  <c r="F144" i="2"/>
  <c r="G144" i="2"/>
  <c r="Q144" i="2" s="1"/>
  <c r="AL144" i="2"/>
  <c r="F145" i="2"/>
  <c r="G145" i="2"/>
  <c r="AL145" i="2"/>
  <c r="F146" i="2"/>
  <c r="G146" i="2"/>
  <c r="AL146" i="2"/>
  <c r="F147" i="2"/>
  <c r="G147" i="2"/>
  <c r="AL147" i="2"/>
  <c r="F148" i="2"/>
  <c r="G148" i="2"/>
  <c r="AL148" i="2"/>
  <c r="F149" i="2"/>
  <c r="G149" i="2"/>
  <c r="AL149" i="2"/>
  <c r="F150" i="2"/>
  <c r="G150" i="2"/>
  <c r="Q150" i="2" s="1"/>
  <c r="AL150" i="2"/>
  <c r="F151" i="2"/>
  <c r="G151" i="2"/>
  <c r="AL151" i="2"/>
  <c r="F152" i="2"/>
  <c r="G152" i="2"/>
  <c r="AL152" i="2"/>
  <c r="F153" i="2"/>
  <c r="G153" i="2"/>
  <c r="AL153" i="2"/>
  <c r="F154" i="2"/>
  <c r="G154" i="2"/>
  <c r="AL154" i="2"/>
  <c r="F155" i="2"/>
  <c r="G155" i="2"/>
  <c r="AL155" i="2"/>
  <c r="F156" i="2"/>
  <c r="G156" i="2"/>
  <c r="AL156" i="2"/>
  <c r="F157" i="2"/>
  <c r="Q157" i="2" s="1"/>
  <c r="Y157" i="2" s="1"/>
  <c r="G157" i="2"/>
  <c r="AL157" i="2"/>
  <c r="F158" i="2"/>
  <c r="G158" i="2"/>
  <c r="AL158" i="2"/>
  <c r="F159" i="2"/>
  <c r="G159" i="2"/>
  <c r="AL159" i="2"/>
  <c r="F160" i="2"/>
  <c r="G160" i="2"/>
  <c r="AL160" i="2"/>
  <c r="F161" i="2"/>
  <c r="G161" i="2"/>
  <c r="AL161" i="2"/>
  <c r="F162" i="2"/>
  <c r="G162" i="2"/>
  <c r="AL162" i="2"/>
  <c r="F163" i="2"/>
  <c r="G163" i="2"/>
  <c r="AL163" i="2"/>
  <c r="F164" i="2"/>
  <c r="G164" i="2"/>
  <c r="AL164" i="2"/>
  <c r="F165" i="2"/>
  <c r="G165" i="2"/>
  <c r="AL165" i="2"/>
  <c r="F166" i="2"/>
  <c r="G166" i="2"/>
  <c r="AL166" i="2"/>
  <c r="F167" i="2"/>
  <c r="G167" i="2"/>
  <c r="AL167" i="2"/>
  <c r="F168" i="2"/>
  <c r="G168" i="2"/>
  <c r="AL168" i="2"/>
  <c r="F169" i="2"/>
  <c r="Q169" i="2" s="1"/>
  <c r="G169" i="2"/>
  <c r="AL169" i="2"/>
  <c r="F170" i="2"/>
  <c r="G170" i="2"/>
  <c r="AL170" i="2"/>
  <c r="F171" i="2"/>
  <c r="G171" i="2"/>
  <c r="AL171" i="2"/>
  <c r="F172" i="2"/>
  <c r="G172" i="2"/>
  <c r="AL172" i="2"/>
  <c r="F173" i="2"/>
  <c r="Q173" i="2" s="1"/>
  <c r="G173" i="2"/>
  <c r="AL173" i="2"/>
  <c r="F174" i="2"/>
  <c r="G174" i="2"/>
  <c r="AL174" i="2"/>
  <c r="F175" i="2"/>
  <c r="G175" i="2"/>
  <c r="AL175" i="2"/>
  <c r="F176" i="2"/>
  <c r="G176" i="2"/>
  <c r="AL176" i="2"/>
  <c r="F177" i="2"/>
  <c r="G177" i="2"/>
  <c r="AL177" i="2"/>
  <c r="F178" i="2"/>
  <c r="G178" i="2"/>
  <c r="AL178" i="2"/>
  <c r="F179" i="2"/>
  <c r="G179" i="2"/>
  <c r="AL179" i="2"/>
  <c r="F180" i="2"/>
  <c r="G180" i="2"/>
  <c r="AL180" i="2"/>
  <c r="F181" i="2"/>
  <c r="G181" i="2"/>
  <c r="AL181" i="2"/>
  <c r="F182" i="2"/>
  <c r="G182" i="2"/>
  <c r="AL182" i="2"/>
  <c r="F183" i="2"/>
  <c r="G183" i="2"/>
  <c r="AL183" i="2"/>
  <c r="F184" i="2"/>
  <c r="G184" i="2"/>
  <c r="AL184" i="2"/>
  <c r="F185" i="2"/>
  <c r="G185" i="2"/>
  <c r="AL185" i="2"/>
  <c r="F186" i="2"/>
  <c r="G186" i="2"/>
  <c r="AL186" i="2"/>
  <c r="F187" i="2"/>
  <c r="G187" i="2"/>
  <c r="AL187" i="2"/>
  <c r="F188" i="2"/>
  <c r="G188" i="2"/>
  <c r="AL188" i="2"/>
  <c r="F189" i="2"/>
  <c r="G189" i="2"/>
  <c r="AL189" i="2"/>
  <c r="F190" i="2"/>
  <c r="G190" i="2"/>
  <c r="AL190" i="2"/>
  <c r="F191" i="2"/>
  <c r="G191" i="2"/>
  <c r="AL191" i="2"/>
  <c r="F192" i="2"/>
  <c r="G192" i="2"/>
  <c r="AL192" i="2"/>
  <c r="F193" i="2"/>
  <c r="G193" i="2"/>
  <c r="AL193" i="2"/>
  <c r="F194" i="2"/>
  <c r="G194" i="2"/>
  <c r="AL194" i="2"/>
  <c r="F195" i="2"/>
  <c r="G195" i="2"/>
  <c r="AL195" i="2"/>
  <c r="F196" i="2"/>
  <c r="G196" i="2"/>
  <c r="AL196" i="2"/>
  <c r="F197" i="2"/>
  <c r="G197" i="2"/>
  <c r="AL197" i="2"/>
  <c r="F198" i="2"/>
  <c r="G198" i="2"/>
  <c r="Q198" i="2" s="1"/>
  <c r="Y198" i="2" s="1"/>
  <c r="AL198" i="2"/>
  <c r="F199" i="2"/>
  <c r="G199" i="2"/>
  <c r="AL199" i="2"/>
  <c r="F200" i="2"/>
  <c r="G200" i="2"/>
  <c r="AL200" i="2"/>
  <c r="F201" i="2"/>
  <c r="G201" i="2"/>
  <c r="Q201" i="2" s="1"/>
  <c r="AL201" i="2"/>
  <c r="F202" i="2"/>
  <c r="G202" i="2"/>
  <c r="AL202" i="2"/>
  <c r="F203" i="2"/>
  <c r="G203" i="2"/>
  <c r="AL203" i="2"/>
  <c r="F204" i="2"/>
  <c r="G204" i="2"/>
  <c r="AL204" i="2"/>
  <c r="F205" i="2"/>
  <c r="G205" i="2"/>
  <c r="AL205" i="2"/>
  <c r="F206" i="2"/>
  <c r="G206" i="2"/>
  <c r="AL206" i="2"/>
  <c r="F207" i="2"/>
  <c r="G207" i="2"/>
  <c r="AL207" i="2"/>
  <c r="F208" i="2"/>
  <c r="Q208" i="2" s="1"/>
  <c r="Y208" i="2" s="1"/>
  <c r="G208" i="2"/>
  <c r="AL208" i="2"/>
  <c r="F209" i="2"/>
  <c r="G209" i="2"/>
  <c r="AL209" i="2"/>
  <c r="F210" i="2"/>
  <c r="Q210" i="2" s="1"/>
  <c r="G210" i="2"/>
  <c r="AL210" i="2"/>
  <c r="F211" i="2"/>
  <c r="G211" i="2"/>
  <c r="AL211" i="2"/>
  <c r="F212" i="2"/>
  <c r="Q212" i="2" s="1"/>
  <c r="G212" i="2"/>
  <c r="AL212" i="2"/>
  <c r="F213" i="2"/>
  <c r="G213" i="2"/>
  <c r="AL213" i="2"/>
  <c r="F214" i="2"/>
  <c r="G214" i="2"/>
  <c r="AL214" i="2"/>
  <c r="F215" i="2"/>
  <c r="G215" i="2"/>
  <c r="AL215" i="2"/>
  <c r="F216" i="2"/>
  <c r="Q216" i="2" s="1"/>
  <c r="G216" i="2"/>
  <c r="AL216" i="2"/>
  <c r="F217" i="2"/>
  <c r="G217" i="2"/>
  <c r="AL217" i="2"/>
  <c r="F218" i="2"/>
  <c r="G218" i="2"/>
  <c r="AL218" i="2"/>
  <c r="F219" i="2"/>
  <c r="G219" i="2"/>
  <c r="AL219" i="2"/>
  <c r="F220" i="2"/>
  <c r="G220" i="2"/>
  <c r="AL220" i="2"/>
  <c r="F221" i="2"/>
  <c r="G221" i="2"/>
  <c r="AL221" i="2"/>
  <c r="F222" i="2"/>
  <c r="G222" i="2"/>
  <c r="AL222" i="2"/>
  <c r="F223" i="2"/>
  <c r="G223" i="2"/>
  <c r="AL223" i="2"/>
  <c r="F224" i="2"/>
  <c r="G224" i="2"/>
  <c r="AL224" i="2"/>
  <c r="F225" i="2"/>
  <c r="G225" i="2"/>
  <c r="AL225" i="2"/>
  <c r="F226" i="2"/>
  <c r="G226" i="2"/>
  <c r="AL226" i="2"/>
  <c r="F227" i="2"/>
  <c r="G227" i="2"/>
  <c r="AL227" i="2"/>
  <c r="F228" i="2"/>
  <c r="G228" i="2"/>
  <c r="AL228" i="2"/>
  <c r="F229" i="2"/>
  <c r="G229" i="2"/>
  <c r="AL229" i="2"/>
  <c r="F230" i="2"/>
  <c r="Q230" i="2" s="1"/>
  <c r="G230" i="2"/>
  <c r="AL230" i="2"/>
  <c r="F231" i="2"/>
  <c r="G231" i="2"/>
  <c r="AL231" i="2"/>
  <c r="F232" i="2"/>
  <c r="G232" i="2"/>
  <c r="AL232" i="2"/>
  <c r="F233" i="2"/>
  <c r="G233" i="2"/>
  <c r="AL233" i="2"/>
  <c r="F234" i="2"/>
  <c r="G234" i="2"/>
  <c r="AL234" i="2"/>
  <c r="F235" i="2"/>
  <c r="G235" i="2"/>
  <c r="AL235" i="2"/>
  <c r="F236" i="2"/>
  <c r="G236" i="2"/>
  <c r="AL236" i="2"/>
  <c r="F237" i="2"/>
  <c r="G237" i="2"/>
  <c r="AL237" i="2"/>
  <c r="F238" i="2"/>
  <c r="G238" i="2"/>
  <c r="AL238" i="2"/>
  <c r="F239" i="2"/>
  <c r="G239" i="2"/>
  <c r="AL239" i="2"/>
  <c r="F240" i="2"/>
  <c r="G240" i="2"/>
  <c r="AL240" i="2"/>
  <c r="F241" i="2"/>
  <c r="G241" i="2"/>
  <c r="AL241" i="2"/>
  <c r="F242" i="2"/>
  <c r="G242" i="2"/>
  <c r="AL242" i="2"/>
  <c r="F243" i="2"/>
  <c r="G243" i="2"/>
  <c r="AL243" i="2"/>
  <c r="F244" i="2"/>
  <c r="G244" i="2"/>
  <c r="AL244" i="2"/>
  <c r="F245" i="2"/>
  <c r="G245" i="2"/>
  <c r="AL245" i="2"/>
  <c r="F246" i="2"/>
  <c r="Q246" i="2" s="1"/>
  <c r="Y246" i="2" s="1"/>
  <c r="G246" i="2"/>
  <c r="AL246" i="2"/>
  <c r="F247" i="2"/>
  <c r="G247" i="2"/>
  <c r="AL247" i="2"/>
  <c r="F248" i="2"/>
  <c r="G248" i="2"/>
  <c r="AL248" i="2"/>
  <c r="F249" i="2"/>
  <c r="G249" i="2"/>
  <c r="AL249" i="2"/>
  <c r="F250" i="2"/>
  <c r="G250" i="2"/>
  <c r="AL250" i="2"/>
  <c r="F251" i="2"/>
  <c r="G251" i="2"/>
  <c r="AL251" i="2"/>
  <c r="F252" i="2"/>
  <c r="G252" i="2"/>
  <c r="Q252" i="2"/>
  <c r="AL252" i="2"/>
  <c r="F253" i="2"/>
  <c r="G253" i="2"/>
  <c r="AL253" i="2"/>
  <c r="F254" i="2"/>
  <c r="G254" i="2"/>
  <c r="AL254" i="2"/>
  <c r="F255" i="2"/>
  <c r="G255" i="2"/>
  <c r="AL255" i="2"/>
  <c r="F256" i="2"/>
  <c r="G256" i="2"/>
  <c r="AL256" i="2"/>
  <c r="F257" i="2"/>
  <c r="G257" i="2"/>
  <c r="AL257" i="2"/>
  <c r="F258" i="2"/>
  <c r="G258" i="2"/>
  <c r="AL258" i="2"/>
  <c r="F259" i="2"/>
  <c r="G259" i="2"/>
  <c r="AL259" i="2"/>
  <c r="F260" i="2"/>
  <c r="G260" i="2"/>
  <c r="AL260" i="2"/>
  <c r="F261" i="2"/>
  <c r="G261" i="2"/>
  <c r="AL261" i="2"/>
  <c r="F262" i="2"/>
  <c r="G262" i="2"/>
  <c r="Q262" i="2" s="1"/>
  <c r="AL262" i="2"/>
  <c r="F263" i="2"/>
  <c r="G263" i="2"/>
  <c r="AL263" i="2"/>
  <c r="F264" i="2"/>
  <c r="G264" i="2"/>
  <c r="AL264" i="2"/>
  <c r="F265" i="2"/>
  <c r="Q265" i="2" s="1"/>
  <c r="G265" i="2"/>
  <c r="AL265" i="2"/>
  <c r="F266" i="2"/>
  <c r="G266" i="2"/>
  <c r="AL266" i="2"/>
  <c r="F267" i="2"/>
  <c r="G267" i="2"/>
  <c r="AL267" i="2"/>
  <c r="F268" i="2"/>
  <c r="G268" i="2"/>
  <c r="AL268" i="2"/>
  <c r="F269" i="2"/>
  <c r="G269" i="2"/>
  <c r="AL269" i="2"/>
  <c r="F270" i="2"/>
  <c r="G270" i="2"/>
  <c r="AL270" i="2"/>
  <c r="F271" i="2"/>
  <c r="G271" i="2"/>
  <c r="AL271" i="2"/>
  <c r="F272" i="2"/>
  <c r="G272" i="2"/>
  <c r="AL272" i="2"/>
  <c r="F273" i="2"/>
  <c r="G273" i="2"/>
  <c r="AL273" i="2"/>
  <c r="F274" i="2"/>
  <c r="G274" i="2"/>
  <c r="AL274" i="2"/>
  <c r="F275" i="2"/>
  <c r="G275" i="2"/>
  <c r="AL275" i="2"/>
  <c r="F276" i="2"/>
  <c r="G276" i="2"/>
  <c r="AL276" i="2"/>
  <c r="F277" i="2"/>
  <c r="G277" i="2"/>
  <c r="AL277" i="2"/>
  <c r="F278" i="2"/>
  <c r="G278" i="2"/>
  <c r="AL278" i="2"/>
  <c r="F279" i="2"/>
  <c r="G279" i="2"/>
  <c r="AL279" i="2"/>
  <c r="F280" i="2"/>
  <c r="G280" i="2"/>
  <c r="AL280" i="2"/>
  <c r="F281" i="2"/>
  <c r="G281" i="2"/>
  <c r="AL281" i="2"/>
  <c r="F282" i="2"/>
  <c r="G282" i="2"/>
  <c r="AL282" i="2"/>
  <c r="F283" i="2"/>
  <c r="G283" i="2"/>
  <c r="AL283" i="2"/>
  <c r="F284" i="2"/>
  <c r="G284" i="2"/>
  <c r="AL284" i="2"/>
  <c r="F285" i="2"/>
  <c r="G285" i="2"/>
  <c r="AL285" i="2"/>
  <c r="F286" i="2"/>
  <c r="G286" i="2"/>
  <c r="AL286" i="2"/>
  <c r="F287" i="2"/>
  <c r="Q287" i="2" s="1"/>
  <c r="G287" i="2"/>
  <c r="AL287" i="2"/>
  <c r="F288" i="2"/>
  <c r="G288" i="2"/>
  <c r="AL288" i="2"/>
  <c r="F289" i="2"/>
  <c r="G289" i="2"/>
  <c r="AL289" i="2"/>
  <c r="F290" i="2"/>
  <c r="G290" i="2"/>
  <c r="AL290" i="2"/>
  <c r="F291" i="2"/>
  <c r="G291" i="2"/>
  <c r="AL291" i="2"/>
  <c r="F292" i="2"/>
  <c r="G292" i="2"/>
  <c r="AL292" i="2"/>
  <c r="F293" i="2"/>
  <c r="Q293" i="2" s="1"/>
  <c r="G293" i="2"/>
  <c r="AL293" i="2"/>
  <c r="F294" i="2"/>
  <c r="G294" i="2"/>
  <c r="Q294" i="2" s="1"/>
  <c r="AL294" i="2"/>
  <c r="F295" i="2"/>
  <c r="G295" i="2"/>
  <c r="AL295" i="2"/>
  <c r="F296" i="2"/>
  <c r="G296" i="2"/>
  <c r="AL296" i="2"/>
  <c r="F297" i="2"/>
  <c r="G297" i="2"/>
  <c r="AL297" i="2"/>
  <c r="F298" i="2"/>
  <c r="G298" i="2"/>
  <c r="AL298" i="2"/>
  <c r="F299" i="2"/>
  <c r="G299" i="2"/>
  <c r="AL299" i="2"/>
  <c r="F300" i="2"/>
  <c r="G300" i="2"/>
  <c r="AL300" i="2"/>
  <c r="F301" i="2"/>
  <c r="G301" i="2"/>
  <c r="AL301" i="2"/>
  <c r="F302" i="2"/>
  <c r="G302" i="2"/>
  <c r="AL302" i="2"/>
  <c r="F303" i="2"/>
  <c r="G303" i="2"/>
  <c r="AL303" i="2"/>
  <c r="F304" i="2"/>
  <c r="G304" i="2"/>
  <c r="AL304" i="2"/>
  <c r="F305" i="2"/>
  <c r="Q305" i="2" s="1"/>
  <c r="G305" i="2"/>
  <c r="AL305" i="2"/>
  <c r="F306" i="2"/>
  <c r="G306" i="2"/>
  <c r="AL306" i="2"/>
  <c r="F307" i="2"/>
  <c r="G307" i="2"/>
  <c r="AL307" i="2"/>
  <c r="F308" i="2"/>
  <c r="G308" i="2"/>
  <c r="AL308" i="2"/>
  <c r="F309" i="2"/>
  <c r="Q309" i="2" s="1"/>
  <c r="G309" i="2"/>
  <c r="AL309" i="2"/>
  <c r="F310" i="2"/>
  <c r="G310" i="2"/>
  <c r="AL310" i="2"/>
  <c r="F311" i="2"/>
  <c r="G311" i="2"/>
  <c r="AL311" i="2"/>
  <c r="F312" i="2"/>
  <c r="G312" i="2"/>
  <c r="AL312" i="2"/>
  <c r="F313" i="2"/>
  <c r="G313" i="2"/>
  <c r="AL313" i="2"/>
  <c r="F314" i="2"/>
  <c r="G314" i="2"/>
  <c r="AL314" i="2"/>
  <c r="F315" i="2"/>
  <c r="G315" i="2"/>
  <c r="AL315" i="2"/>
  <c r="F316" i="2"/>
  <c r="G316" i="2"/>
  <c r="AL316" i="2"/>
  <c r="F317" i="2"/>
  <c r="G317" i="2"/>
  <c r="AL317" i="2"/>
  <c r="F318" i="2"/>
  <c r="G318" i="2"/>
  <c r="Q318" i="2" s="1"/>
  <c r="AL318" i="2"/>
  <c r="F319" i="2"/>
  <c r="G319" i="2"/>
  <c r="AL319" i="2"/>
  <c r="F320" i="2"/>
  <c r="G320" i="2"/>
  <c r="AL320" i="2"/>
  <c r="F321" i="2"/>
  <c r="G321" i="2"/>
  <c r="AL321" i="2"/>
  <c r="F322" i="2"/>
  <c r="G322" i="2"/>
  <c r="AL322" i="2"/>
  <c r="F323" i="2"/>
  <c r="G323" i="2"/>
  <c r="AL323" i="2"/>
  <c r="F324" i="2"/>
  <c r="G324" i="2"/>
  <c r="AL324" i="2"/>
  <c r="F325" i="2"/>
  <c r="G325" i="2"/>
  <c r="AL325" i="2"/>
  <c r="F326" i="2"/>
  <c r="G326" i="2"/>
  <c r="AL326" i="2"/>
  <c r="F327" i="2"/>
  <c r="G327" i="2"/>
  <c r="AL327" i="2"/>
  <c r="F328" i="2"/>
  <c r="G328" i="2"/>
  <c r="AL328" i="2"/>
  <c r="F329" i="2"/>
  <c r="G329" i="2"/>
  <c r="AL329" i="2"/>
  <c r="F330" i="2"/>
  <c r="G330" i="2"/>
  <c r="AL330" i="2"/>
  <c r="F331" i="2"/>
  <c r="G331" i="2"/>
  <c r="AL331" i="2"/>
  <c r="F332" i="2"/>
  <c r="G332" i="2"/>
  <c r="AL332" i="2"/>
  <c r="F333" i="2"/>
  <c r="G333" i="2"/>
  <c r="AL333" i="2"/>
  <c r="F334" i="2"/>
  <c r="G334" i="2"/>
  <c r="Q334" i="2" s="1"/>
  <c r="Y334" i="2" s="1"/>
  <c r="AL334" i="2"/>
  <c r="F335" i="2"/>
  <c r="G335" i="2"/>
  <c r="AL335" i="2"/>
  <c r="F336" i="2"/>
  <c r="G336" i="2"/>
  <c r="AL336" i="2"/>
  <c r="F337" i="2"/>
  <c r="Q337" i="2" s="1"/>
  <c r="Y337" i="2" s="1"/>
  <c r="G337" i="2"/>
  <c r="AL337" i="2"/>
  <c r="F338" i="2"/>
  <c r="G338" i="2"/>
  <c r="AL338" i="2"/>
  <c r="F339" i="2"/>
  <c r="G339" i="2"/>
  <c r="AL339" i="2"/>
  <c r="F340" i="2"/>
  <c r="G340" i="2"/>
  <c r="AL340" i="2"/>
  <c r="F341" i="2"/>
  <c r="G341" i="2"/>
  <c r="AL341" i="2"/>
  <c r="F342" i="2"/>
  <c r="G342" i="2"/>
  <c r="AL342" i="2"/>
  <c r="F343" i="2"/>
  <c r="G343" i="2"/>
  <c r="AL343" i="2"/>
  <c r="F344" i="2"/>
  <c r="G344" i="2"/>
  <c r="AL344" i="2"/>
  <c r="F345" i="2"/>
  <c r="G345" i="2"/>
  <c r="AL345" i="2"/>
  <c r="F346" i="2"/>
  <c r="G346" i="2"/>
  <c r="AL346" i="2"/>
  <c r="F347" i="2"/>
  <c r="G347" i="2"/>
  <c r="AL347" i="2"/>
  <c r="F348" i="2"/>
  <c r="G348" i="2"/>
  <c r="AL348" i="2"/>
  <c r="F349" i="2"/>
  <c r="Q349" i="2" s="1"/>
  <c r="G349" i="2"/>
  <c r="AL349" i="2"/>
  <c r="F350" i="2"/>
  <c r="G350" i="2"/>
  <c r="AL350" i="2"/>
  <c r="F351" i="2"/>
  <c r="Q351" i="2" s="1"/>
  <c r="G351" i="2"/>
  <c r="AL351" i="2"/>
  <c r="F352" i="2"/>
  <c r="G352" i="2"/>
  <c r="AL352" i="2"/>
  <c r="F353" i="2"/>
  <c r="Q353" i="2" s="1"/>
  <c r="Y353" i="2" s="1"/>
  <c r="G353" i="2"/>
  <c r="AL353" i="2"/>
  <c r="F354" i="2"/>
  <c r="G354" i="2"/>
  <c r="AL354" i="2"/>
  <c r="F355" i="2"/>
  <c r="G355" i="2"/>
  <c r="AL355" i="2"/>
  <c r="F356" i="2"/>
  <c r="G356" i="2"/>
  <c r="AL356" i="2"/>
  <c r="F357" i="2"/>
  <c r="Q357" i="2" s="1"/>
  <c r="G357" i="2"/>
  <c r="AL357" i="2"/>
  <c r="F358" i="2"/>
  <c r="G358" i="2"/>
  <c r="AL358" i="2"/>
  <c r="F359" i="2"/>
  <c r="G359" i="2"/>
  <c r="AL359" i="2"/>
  <c r="F360" i="2"/>
  <c r="G360" i="2"/>
  <c r="AL360" i="2"/>
  <c r="F361" i="2"/>
  <c r="G361" i="2"/>
  <c r="AL361" i="2"/>
  <c r="F362" i="2"/>
  <c r="G362" i="2"/>
  <c r="Q362" i="2" s="1"/>
  <c r="AL362" i="2"/>
  <c r="F363" i="2"/>
  <c r="G363" i="2"/>
  <c r="AL363" i="2"/>
  <c r="F364" i="2"/>
  <c r="G364" i="2"/>
  <c r="AL364" i="2"/>
  <c r="F365" i="2"/>
  <c r="G365" i="2"/>
  <c r="AL365" i="2"/>
  <c r="F366" i="2"/>
  <c r="G366" i="2"/>
  <c r="AL366" i="2"/>
  <c r="F367" i="2"/>
  <c r="G367" i="2"/>
  <c r="AL367" i="2"/>
  <c r="F368" i="2"/>
  <c r="G368" i="2"/>
  <c r="AL368" i="2"/>
  <c r="F369" i="2"/>
  <c r="G369" i="2"/>
  <c r="AL369" i="2"/>
  <c r="F370" i="2"/>
  <c r="G370" i="2"/>
  <c r="AL370" i="2"/>
  <c r="F371" i="2"/>
  <c r="G371" i="2"/>
  <c r="AL371" i="2"/>
  <c r="F372" i="2"/>
  <c r="G372" i="2"/>
  <c r="AL372" i="2"/>
  <c r="F373" i="2"/>
  <c r="G373" i="2"/>
  <c r="AL373" i="2"/>
  <c r="F374" i="2"/>
  <c r="G374" i="2"/>
  <c r="AL374" i="2"/>
  <c r="F375" i="2"/>
  <c r="G375" i="2"/>
  <c r="AL375" i="2"/>
  <c r="F376" i="2"/>
  <c r="G376" i="2"/>
  <c r="AL376" i="2"/>
  <c r="F377" i="2"/>
  <c r="G377" i="2"/>
  <c r="AL377" i="2"/>
  <c r="F378" i="2"/>
  <c r="G378" i="2"/>
  <c r="Q378" i="2" s="1"/>
  <c r="AL378" i="2"/>
  <c r="F379" i="2"/>
  <c r="G379" i="2"/>
  <c r="AL379" i="2"/>
  <c r="F380" i="2"/>
  <c r="G380" i="2"/>
  <c r="AL380" i="2"/>
  <c r="F381" i="2"/>
  <c r="G381" i="2"/>
  <c r="AL381" i="2"/>
  <c r="F382" i="2"/>
  <c r="G382" i="2"/>
  <c r="AL382" i="2"/>
  <c r="F383" i="2"/>
  <c r="G383" i="2"/>
  <c r="AL383" i="2"/>
  <c r="F384" i="2"/>
  <c r="G384" i="2"/>
  <c r="AL384" i="2"/>
  <c r="F385" i="2"/>
  <c r="Q385" i="2" s="1"/>
  <c r="Y385" i="2" s="1"/>
  <c r="G385" i="2"/>
  <c r="AL385" i="2"/>
  <c r="F386" i="2"/>
  <c r="G386" i="2"/>
  <c r="Q386" i="2" s="1"/>
  <c r="AL386" i="2"/>
  <c r="F387" i="2"/>
  <c r="G387" i="2"/>
  <c r="AL387" i="2"/>
  <c r="F388" i="2"/>
  <c r="G388" i="2"/>
  <c r="AL388" i="2"/>
  <c r="F389" i="2"/>
  <c r="G389" i="2"/>
  <c r="AL389" i="2"/>
  <c r="F390" i="2"/>
  <c r="G390" i="2"/>
  <c r="AL390" i="2"/>
  <c r="F391" i="2"/>
  <c r="G391" i="2"/>
  <c r="AL391" i="2"/>
  <c r="F392" i="2"/>
  <c r="G392" i="2"/>
  <c r="AL392" i="2"/>
  <c r="F393" i="2"/>
  <c r="G393" i="2"/>
  <c r="AL393" i="2"/>
  <c r="F394" i="2"/>
  <c r="G394" i="2"/>
  <c r="AL394" i="2"/>
  <c r="F395" i="2"/>
  <c r="G395" i="2"/>
  <c r="AL395" i="2"/>
  <c r="F396" i="2"/>
  <c r="G396" i="2"/>
  <c r="AL396" i="2"/>
  <c r="F397" i="2"/>
  <c r="G397" i="2"/>
  <c r="AL397" i="2"/>
  <c r="F398" i="2"/>
  <c r="G398" i="2"/>
  <c r="AL398" i="2"/>
  <c r="F399" i="2"/>
  <c r="G399" i="2"/>
  <c r="AL399" i="2"/>
  <c r="F400" i="2"/>
  <c r="G400" i="2"/>
  <c r="AL400" i="2"/>
  <c r="F401" i="2"/>
  <c r="G401" i="2"/>
  <c r="AL401" i="2"/>
  <c r="F402" i="2"/>
  <c r="G402" i="2"/>
  <c r="Q402" i="2" s="1"/>
  <c r="Y402" i="2" s="1"/>
  <c r="AL402" i="2"/>
  <c r="F403" i="2"/>
  <c r="G403" i="2"/>
  <c r="AL403" i="2"/>
  <c r="F404" i="2"/>
  <c r="G404" i="2"/>
  <c r="AL404" i="2"/>
  <c r="F405" i="2"/>
  <c r="G405" i="2"/>
  <c r="AL405" i="2"/>
  <c r="F406" i="2"/>
  <c r="G406" i="2"/>
  <c r="AL406" i="2"/>
  <c r="F407" i="2"/>
  <c r="G407" i="2"/>
  <c r="AL407" i="2"/>
  <c r="F408" i="2"/>
  <c r="G408" i="2"/>
  <c r="AL408" i="2"/>
  <c r="F409" i="2"/>
  <c r="G409" i="2"/>
  <c r="AL409" i="2"/>
  <c r="F410" i="2"/>
  <c r="G410" i="2"/>
  <c r="AL410" i="2"/>
  <c r="F411" i="2"/>
  <c r="G411" i="2"/>
  <c r="AL411" i="2"/>
  <c r="F412" i="2"/>
  <c r="G412" i="2"/>
  <c r="AL412" i="2"/>
  <c r="F413" i="2"/>
  <c r="G413" i="2"/>
  <c r="AL413" i="2"/>
  <c r="F414" i="2"/>
  <c r="G414" i="2"/>
  <c r="AL414" i="2"/>
  <c r="F415" i="2"/>
  <c r="G415" i="2"/>
  <c r="AL415" i="2"/>
  <c r="F416" i="2"/>
  <c r="G416" i="2"/>
  <c r="AL416" i="2"/>
  <c r="F417" i="2"/>
  <c r="G417" i="2"/>
  <c r="AL417" i="2"/>
  <c r="F418" i="2"/>
  <c r="G418" i="2"/>
  <c r="AL418" i="2"/>
  <c r="F419" i="2"/>
  <c r="G419" i="2"/>
  <c r="AL419" i="2"/>
  <c r="F420" i="2"/>
  <c r="G420" i="2"/>
  <c r="AL420" i="2"/>
  <c r="F421" i="2"/>
  <c r="G421" i="2"/>
  <c r="AL421" i="2"/>
  <c r="F422" i="2"/>
  <c r="G422" i="2"/>
  <c r="AL422" i="2"/>
  <c r="F423" i="2"/>
  <c r="G423" i="2"/>
  <c r="Q423" i="2"/>
  <c r="AL423" i="2"/>
  <c r="F424" i="2"/>
  <c r="G424" i="2"/>
  <c r="AL424" i="2"/>
  <c r="F425" i="2"/>
  <c r="G425" i="2"/>
  <c r="AL425" i="2"/>
  <c r="F426" i="2"/>
  <c r="G426" i="2"/>
  <c r="AL426" i="2"/>
  <c r="F427" i="2"/>
  <c r="G427" i="2"/>
  <c r="Q427" i="2" s="1"/>
  <c r="AL427" i="2"/>
  <c r="F428" i="2"/>
  <c r="G428" i="2"/>
  <c r="AL428" i="2"/>
  <c r="F429" i="2"/>
  <c r="G429" i="2"/>
  <c r="AL429" i="2"/>
  <c r="F430" i="2"/>
  <c r="G430" i="2"/>
  <c r="AL430" i="2"/>
  <c r="F431" i="2"/>
  <c r="G431" i="2"/>
  <c r="AL431" i="2"/>
  <c r="F432" i="2"/>
  <c r="G432" i="2"/>
  <c r="AL432" i="2"/>
  <c r="F433" i="2"/>
  <c r="G433" i="2"/>
  <c r="AL433" i="2"/>
  <c r="F434" i="2"/>
  <c r="G434" i="2"/>
  <c r="AL434" i="2"/>
  <c r="F435" i="2"/>
  <c r="G435" i="2"/>
  <c r="AL435" i="2"/>
  <c r="F436" i="2"/>
  <c r="G436" i="2"/>
  <c r="AL436" i="2"/>
  <c r="F437" i="2"/>
  <c r="G437" i="2"/>
  <c r="AL437" i="2"/>
  <c r="F438" i="2"/>
  <c r="G438" i="2"/>
  <c r="AL438" i="2"/>
  <c r="F439" i="2"/>
  <c r="G439" i="2"/>
  <c r="AL439" i="2"/>
  <c r="F440" i="2"/>
  <c r="G440" i="2"/>
  <c r="AL440" i="2"/>
  <c r="F441" i="2"/>
  <c r="G441" i="2"/>
  <c r="AL441" i="2"/>
  <c r="F442" i="2"/>
  <c r="G442" i="2"/>
  <c r="AL442" i="2"/>
  <c r="F443" i="2"/>
  <c r="G443" i="2"/>
  <c r="AL443" i="2"/>
  <c r="F444" i="2"/>
  <c r="G444" i="2"/>
  <c r="AL444" i="2"/>
  <c r="F445" i="2"/>
  <c r="G445" i="2"/>
  <c r="AL445" i="2"/>
  <c r="F446" i="2"/>
  <c r="G446" i="2"/>
  <c r="AL446" i="2"/>
  <c r="F447" i="2"/>
  <c r="G447" i="2"/>
  <c r="AL447" i="2"/>
  <c r="F448" i="2"/>
  <c r="G448" i="2"/>
  <c r="AL448" i="2"/>
  <c r="F449" i="2"/>
  <c r="G449" i="2"/>
  <c r="AL449" i="2"/>
  <c r="F450" i="2"/>
  <c r="Q450" i="2" s="1"/>
  <c r="G450" i="2"/>
  <c r="AL450" i="2"/>
  <c r="F451" i="2"/>
  <c r="G451" i="2"/>
  <c r="AL451" i="2"/>
  <c r="F452" i="2"/>
  <c r="G452" i="2"/>
  <c r="AL452" i="2"/>
  <c r="F453" i="2"/>
  <c r="G453" i="2"/>
  <c r="AL453" i="2"/>
  <c r="F454" i="2"/>
  <c r="G454" i="2"/>
  <c r="AL454" i="2"/>
  <c r="F455" i="2"/>
  <c r="G455" i="2"/>
  <c r="Q455" i="2" s="1"/>
  <c r="Y455" i="2" s="1"/>
  <c r="AL455" i="2"/>
  <c r="F456" i="2"/>
  <c r="G456" i="2"/>
  <c r="AL456" i="2"/>
  <c r="F457" i="2"/>
  <c r="G457" i="2"/>
  <c r="AL457" i="2"/>
  <c r="F458" i="2"/>
  <c r="G458" i="2"/>
  <c r="AL458" i="2"/>
  <c r="F459" i="2"/>
  <c r="G459" i="2"/>
  <c r="AL459" i="2"/>
  <c r="F460" i="2"/>
  <c r="G460" i="2"/>
  <c r="AL460" i="2"/>
  <c r="F461" i="2"/>
  <c r="G461" i="2"/>
  <c r="AL461" i="2"/>
  <c r="F462" i="2"/>
  <c r="G462" i="2"/>
  <c r="AL462" i="2"/>
  <c r="F463" i="2"/>
  <c r="G463" i="2"/>
  <c r="AL463" i="2"/>
  <c r="F464" i="2"/>
  <c r="G464" i="2"/>
  <c r="Q464" i="2"/>
  <c r="AL464" i="2"/>
  <c r="F465" i="2"/>
  <c r="G465" i="2"/>
  <c r="AL465" i="2"/>
  <c r="F466" i="2"/>
  <c r="G466" i="2"/>
  <c r="AL466" i="2"/>
  <c r="F467" i="2"/>
  <c r="G467" i="2"/>
  <c r="AL467" i="2"/>
  <c r="F468" i="2"/>
  <c r="G468" i="2"/>
  <c r="AL468" i="2"/>
  <c r="F469" i="2"/>
  <c r="G469" i="2"/>
  <c r="AL469" i="2"/>
  <c r="F470" i="2"/>
  <c r="G470" i="2"/>
  <c r="AL470" i="2"/>
  <c r="F471" i="2"/>
  <c r="G471" i="2"/>
  <c r="AL471" i="2"/>
  <c r="F472" i="2"/>
  <c r="G472" i="2"/>
  <c r="Q472" i="2" s="1"/>
  <c r="AL472" i="2"/>
  <c r="F473" i="2"/>
  <c r="G473" i="2"/>
  <c r="AL473" i="2"/>
  <c r="F474" i="2"/>
  <c r="G474" i="2"/>
  <c r="AL474" i="2"/>
  <c r="F475" i="2"/>
  <c r="Q475" i="2" s="1"/>
  <c r="Y475" i="2" s="1"/>
  <c r="G475" i="2"/>
  <c r="AL475" i="2"/>
  <c r="F476" i="2"/>
  <c r="G476" i="2"/>
  <c r="AL476" i="2"/>
  <c r="F477" i="2"/>
  <c r="G477" i="2"/>
  <c r="AL477" i="2"/>
  <c r="F478" i="2"/>
  <c r="G478" i="2"/>
  <c r="AL478" i="2"/>
  <c r="F479" i="2"/>
  <c r="Q479" i="2" s="1"/>
  <c r="G479" i="2"/>
  <c r="AL479" i="2"/>
  <c r="F480" i="2"/>
  <c r="G480" i="2"/>
  <c r="AL480" i="2"/>
  <c r="F481" i="2"/>
  <c r="G481" i="2"/>
  <c r="AL481" i="2"/>
  <c r="F482" i="2"/>
  <c r="G482" i="2"/>
  <c r="AL482" i="2"/>
  <c r="F483" i="2"/>
  <c r="G483" i="2"/>
  <c r="AL483" i="2"/>
  <c r="F484" i="2"/>
  <c r="G484" i="2"/>
  <c r="AL484" i="2"/>
  <c r="F485" i="2"/>
  <c r="G485" i="2"/>
  <c r="AL485" i="2"/>
  <c r="F486" i="2"/>
  <c r="G486" i="2"/>
  <c r="AL486" i="2"/>
  <c r="F487" i="2"/>
  <c r="G487" i="2"/>
  <c r="AL487" i="2"/>
  <c r="F488" i="2"/>
  <c r="G488" i="2"/>
  <c r="AL488" i="2"/>
  <c r="F489" i="2"/>
  <c r="G489" i="2"/>
  <c r="AL489" i="2"/>
  <c r="F490" i="2"/>
  <c r="G490" i="2"/>
  <c r="AL490" i="2"/>
  <c r="F491" i="2"/>
  <c r="G491" i="2"/>
  <c r="AL491" i="2"/>
  <c r="F492" i="2"/>
  <c r="G492" i="2"/>
  <c r="AL492" i="2"/>
  <c r="F493" i="2"/>
  <c r="G493" i="2"/>
  <c r="AL493" i="2"/>
  <c r="F494" i="2"/>
  <c r="G494" i="2"/>
  <c r="AL494" i="2"/>
  <c r="F495" i="2"/>
  <c r="G495" i="2"/>
  <c r="AL495" i="2"/>
  <c r="F496" i="2"/>
  <c r="G496" i="2"/>
  <c r="AL496" i="2"/>
  <c r="F497" i="2"/>
  <c r="G497" i="2"/>
  <c r="AL497" i="2"/>
  <c r="F498" i="2"/>
  <c r="G498" i="2"/>
  <c r="AL498" i="2"/>
  <c r="F499" i="2"/>
  <c r="G499" i="2"/>
  <c r="AL499" i="2"/>
  <c r="F500" i="2"/>
  <c r="G500" i="2"/>
  <c r="AL500" i="2"/>
  <c r="F501" i="2"/>
  <c r="G501" i="2"/>
  <c r="AL501" i="2"/>
  <c r="F502" i="2"/>
  <c r="G502" i="2"/>
  <c r="AL502" i="2"/>
  <c r="F503" i="2"/>
  <c r="G503" i="2"/>
  <c r="AL503" i="2"/>
  <c r="F504" i="2"/>
  <c r="G504" i="2"/>
  <c r="AL504" i="2"/>
  <c r="F505" i="2"/>
  <c r="G505" i="2"/>
  <c r="AL505" i="2"/>
  <c r="F506" i="2"/>
  <c r="G506" i="2"/>
  <c r="AL506" i="2"/>
  <c r="F507" i="2"/>
  <c r="G507" i="2"/>
  <c r="AL507" i="2"/>
  <c r="F508" i="2"/>
  <c r="G508" i="2"/>
  <c r="AL508" i="2"/>
  <c r="F509" i="2"/>
  <c r="G509" i="2"/>
  <c r="AL509" i="2"/>
  <c r="F510" i="2"/>
  <c r="G510" i="2"/>
  <c r="AL510" i="2"/>
  <c r="F511" i="2"/>
  <c r="G511" i="2"/>
  <c r="AL511" i="2"/>
  <c r="F512" i="2"/>
  <c r="G512" i="2"/>
  <c r="AL512" i="2"/>
  <c r="F513" i="2"/>
  <c r="G513" i="2"/>
  <c r="AL513" i="2"/>
  <c r="F514" i="2"/>
  <c r="G514" i="2"/>
  <c r="AL514" i="2"/>
  <c r="F515" i="2"/>
  <c r="Q515" i="2" s="1"/>
  <c r="G515" i="2"/>
  <c r="AL515" i="2"/>
  <c r="F516" i="2"/>
  <c r="G516" i="2"/>
  <c r="AL516" i="2"/>
  <c r="F517" i="2"/>
  <c r="G517" i="2"/>
  <c r="AL517" i="2"/>
  <c r="F518" i="2"/>
  <c r="G518" i="2"/>
  <c r="AL518" i="2"/>
  <c r="F519" i="2"/>
  <c r="G519" i="2"/>
  <c r="AL519" i="2"/>
  <c r="F520" i="2"/>
  <c r="G520" i="2"/>
  <c r="AL520" i="2"/>
  <c r="F521" i="2"/>
  <c r="G521" i="2"/>
  <c r="AL521" i="2"/>
  <c r="F522" i="2"/>
  <c r="G522" i="2"/>
  <c r="AL522" i="2"/>
  <c r="F523" i="2"/>
  <c r="Q523" i="2" s="1"/>
  <c r="G523" i="2"/>
  <c r="AL523" i="2"/>
  <c r="F524" i="2"/>
  <c r="G524" i="2"/>
  <c r="AL524" i="2"/>
  <c r="F525" i="2"/>
  <c r="G525" i="2"/>
  <c r="AL525" i="2"/>
  <c r="F526" i="2"/>
  <c r="G526" i="2"/>
  <c r="AL526" i="2"/>
  <c r="F527" i="2"/>
  <c r="G527" i="2"/>
  <c r="AL527" i="2"/>
  <c r="F528" i="2"/>
  <c r="G528" i="2"/>
  <c r="Q528" i="2" s="1"/>
  <c r="AL528" i="2"/>
  <c r="F529" i="2"/>
  <c r="G529" i="2"/>
  <c r="AL529" i="2"/>
  <c r="F530" i="2"/>
  <c r="G530" i="2"/>
  <c r="AL530" i="2"/>
  <c r="F531" i="2"/>
  <c r="G531" i="2"/>
  <c r="AL531" i="2"/>
  <c r="F532" i="2"/>
  <c r="G532" i="2"/>
  <c r="AL532" i="2"/>
  <c r="F533" i="2"/>
  <c r="G533" i="2"/>
  <c r="AL533" i="2"/>
  <c r="F534" i="2"/>
  <c r="G534" i="2"/>
  <c r="AL534" i="2"/>
  <c r="F535" i="2"/>
  <c r="G535" i="2"/>
  <c r="AL535" i="2"/>
  <c r="F536" i="2"/>
  <c r="G536" i="2"/>
  <c r="AL536" i="2"/>
  <c r="F537" i="2"/>
  <c r="Q537" i="2" s="1"/>
  <c r="Y537" i="2" s="1"/>
  <c r="G537" i="2"/>
  <c r="AL537" i="2"/>
  <c r="F538" i="2"/>
  <c r="G538" i="2"/>
  <c r="AL538" i="2"/>
  <c r="F539" i="2"/>
  <c r="Q539" i="2" s="1"/>
  <c r="G539" i="2"/>
  <c r="AL539" i="2"/>
  <c r="F540" i="2"/>
  <c r="G540" i="2"/>
  <c r="AL540" i="2"/>
  <c r="F541" i="2"/>
  <c r="G541" i="2"/>
  <c r="AL541" i="2"/>
  <c r="F542" i="2"/>
  <c r="G542" i="2"/>
  <c r="AL542" i="2"/>
  <c r="F543" i="2"/>
  <c r="G543" i="2"/>
  <c r="AL543" i="2"/>
  <c r="F544" i="2"/>
  <c r="G544" i="2"/>
  <c r="Q544" i="2" s="1"/>
  <c r="AL544" i="2"/>
  <c r="F545" i="2"/>
  <c r="G545" i="2"/>
  <c r="AL545" i="2"/>
  <c r="F546" i="2"/>
  <c r="G546" i="2"/>
  <c r="AL546" i="2"/>
  <c r="F547" i="2"/>
  <c r="G547" i="2"/>
  <c r="AL547" i="2"/>
  <c r="F548" i="2"/>
  <c r="G548" i="2"/>
  <c r="Q548" i="2" s="1"/>
  <c r="AL548" i="2"/>
  <c r="F549" i="2"/>
  <c r="G549" i="2"/>
  <c r="AL549" i="2"/>
  <c r="F550" i="2"/>
  <c r="G550" i="2"/>
  <c r="AL550" i="2"/>
  <c r="F551" i="2"/>
  <c r="Q551" i="2" s="1"/>
  <c r="G551" i="2"/>
  <c r="AL551" i="2"/>
  <c r="F552" i="2"/>
  <c r="G552" i="2"/>
  <c r="AL552" i="2"/>
  <c r="F553" i="2"/>
  <c r="G553" i="2"/>
  <c r="AL553" i="2"/>
  <c r="F554" i="2"/>
  <c r="G554" i="2"/>
  <c r="F555" i="2"/>
  <c r="G555" i="2"/>
  <c r="AL555" i="2"/>
  <c r="F556" i="2"/>
  <c r="G556" i="2"/>
  <c r="AL556" i="2"/>
  <c r="F557" i="2"/>
  <c r="G557" i="2"/>
  <c r="AL557" i="2"/>
  <c r="F558" i="2"/>
  <c r="G558" i="2"/>
  <c r="AL558" i="2"/>
  <c r="F559" i="2"/>
  <c r="G559" i="2"/>
  <c r="Q559" i="2" s="1"/>
  <c r="AL559" i="2"/>
  <c r="F560" i="2"/>
  <c r="G560" i="2"/>
  <c r="AL560" i="2"/>
  <c r="F561" i="2"/>
  <c r="G561" i="2"/>
  <c r="AL561" i="2"/>
  <c r="F562" i="2"/>
  <c r="G562" i="2"/>
  <c r="AL562" i="2"/>
  <c r="F563" i="2"/>
  <c r="G563" i="2"/>
  <c r="AL563" i="2"/>
  <c r="F564" i="2"/>
  <c r="G564" i="2"/>
  <c r="AL564" i="2"/>
  <c r="F565" i="2"/>
  <c r="G565" i="2"/>
  <c r="AL565" i="2"/>
  <c r="F566" i="2"/>
  <c r="G566" i="2"/>
  <c r="AL566" i="2"/>
  <c r="F567" i="2"/>
  <c r="G567" i="2"/>
  <c r="AL567" i="2"/>
  <c r="F568" i="2"/>
  <c r="G568" i="2"/>
  <c r="AL568" i="2"/>
  <c r="F569" i="2"/>
  <c r="G569" i="2"/>
  <c r="AL569" i="2"/>
  <c r="F570" i="2"/>
  <c r="G570" i="2"/>
  <c r="AL570" i="2"/>
  <c r="F571" i="2"/>
  <c r="G571" i="2"/>
  <c r="AL571" i="2"/>
  <c r="F572" i="2"/>
  <c r="G572" i="2"/>
  <c r="AL572" i="2"/>
  <c r="F573" i="2"/>
  <c r="G573" i="2"/>
  <c r="AL573" i="2"/>
  <c r="F574" i="2"/>
  <c r="G574" i="2"/>
  <c r="AL574" i="2"/>
  <c r="F575" i="2"/>
  <c r="G575" i="2"/>
  <c r="Q575" i="2" s="1"/>
  <c r="AL575" i="2"/>
  <c r="F576" i="2"/>
  <c r="G576" i="2"/>
  <c r="AL576" i="2"/>
  <c r="F577" i="2"/>
  <c r="G577" i="2"/>
  <c r="AL577" i="2"/>
  <c r="F578" i="2"/>
  <c r="Q578" i="2" s="1"/>
  <c r="G578" i="2"/>
  <c r="AL578" i="2"/>
  <c r="F579" i="2"/>
  <c r="G579" i="2"/>
  <c r="AL579" i="2"/>
  <c r="F580" i="2"/>
  <c r="G580" i="2"/>
  <c r="AL580" i="2"/>
  <c r="F581" i="2"/>
  <c r="G581" i="2"/>
  <c r="AL581" i="2"/>
  <c r="F582" i="2"/>
  <c r="G582" i="2"/>
  <c r="AL582" i="2"/>
  <c r="F583" i="2"/>
  <c r="G583" i="2"/>
  <c r="AL583" i="2"/>
  <c r="F584" i="2"/>
  <c r="G584" i="2"/>
  <c r="AL584" i="2"/>
  <c r="F585" i="2"/>
  <c r="G585" i="2"/>
  <c r="AL585" i="2"/>
  <c r="F586" i="2"/>
  <c r="Q586" i="2" s="1"/>
  <c r="G586" i="2"/>
  <c r="AL586" i="2"/>
  <c r="F587" i="2"/>
  <c r="G587" i="2"/>
  <c r="AL587" i="2"/>
  <c r="F588" i="2"/>
  <c r="G588" i="2"/>
  <c r="AL588" i="2"/>
  <c r="F589" i="2"/>
  <c r="G589" i="2"/>
  <c r="AL589" i="2"/>
  <c r="F590" i="2"/>
  <c r="G590" i="2"/>
  <c r="AL590" i="2"/>
  <c r="F591" i="2"/>
  <c r="G591" i="2"/>
  <c r="AL591" i="2"/>
  <c r="F592" i="2"/>
  <c r="G592" i="2"/>
  <c r="AL592" i="2"/>
  <c r="F593" i="2"/>
  <c r="G593" i="2"/>
  <c r="AL593" i="2"/>
  <c r="F594" i="2"/>
  <c r="Q594" i="2" s="1"/>
  <c r="Y594" i="2" s="1"/>
  <c r="G594" i="2"/>
  <c r="AL594" i="2"/>
  <c r="F595" i="2"/>
  <c r="G595" i="2"/>
  <c r="AL595" i="2"/>
  <c r="F596" i="2"/>
  <c r="G596" i="2"/>
  <c r="AL596" i="2"/>
  <c r="F597" i="2"/>
  <c r="G597" i="2"/>
  <c r="AL597" i="2"/>
  <c r="F598" i="2"/>
  <c r="G598" i="2"/>
  <c r="AL598" i="2"/>
  <c r="F599" i="2"/>
  <c r="G599" i="2"/>
  <c r="AL599" i="2"/>
  <c r="F600" i="2"/>
  <c r="G600" i="2"/>
  <c r="AL600" i="2"/>
  <c r="F601" i="2"/>
  <c r="G601" i="2"/>
  <c r="AL601" i="2"/>
  <c r="F602" i="2"/>
  <c r="G602" i="2"/>
  <c r="AL602" i="2"/>
  <c r="F603" i="2"/>
  <c r="G603" i="2"/>
  <c r="AL603" i="2"/>
  <c r="F604" i="2"/>
  <c r="G604" i="2"/>
  <c r="AL604" i="2"/>
  <c r="F605" i="2"/>
  <c r="G605" i="2"/>
  <c r="AL605" i="2"/>
  <c r="F606" i="2"/>
  <c r="Q606" i="2" s="1"/>
  <c r="G606" i="2"/>
  <c r="AL606" i="2"/>
  <c r="F607" i="2"/>
  <c r="G607" i="2"/>
  <c r="AL607" i="2"/>
  <c r="F608" i="2"/>
  <c r="G608" i="2"/>
  <c r="AL608" i="2"/>
  <c r="F609" i="2"/>
  <c r="G609" i="2"/>
  <c r="AL609" i="2"/>
  <c r="F610" i="2"/>
  <c r="G610" i="2"/>
  <c r="AL610" i="2"/>
  <c r="F611" i="2"/>
  <c r="G611" i="2"/>
  <c r="AL611" i="2"/>
  <c r="F612" i="2"/>
  <c r="G612" i="2"/>
  <c r="AL612" i="2"/>
  <c r="F613" i="2"/>
  <c r="G613" i="2"/>
  <c r="AL613" i="2"/>
  <c r="F614" i="2"/>
  <c r="G614" i="2"/>
  <c r="AL614" i="2"/>
  <c r="F615" i="2"/>
  <c r="G615" i="2"/>
  <c r="AL615" i="2"/>
  <c r="F616" i="2"/>
  <c r="G616" i="2"/>
  <c r="Q616" i="2"/>
  <c r="AL616" i="2"/>
  <c r="F617" i="2"/>
  <c r="G617" i="2"/>
  <c r="AL617" i="2"/>
  <c r="F618" i="2"/>
  <c r="G618" i="2"/>
  <c r="AL618" i="2"/>
  <c r="F619" i="2"/>
  <c r="G619" i="2"/>
  <c r="AL619" i="2"/>
  <c r="F620" i="2"/>
  <c r="G620" i="2"/>
  <c r="AL620" i="2"/>
  <c r="F621" i="2"/>
  <c r="G621" i="2"/>
  <c r="AL621" i="2"/>
  <c r="F622" i="2"/>
  <c r="G622" i="2"/>
  <c r="AL622" i="2"/>
  <c r="F623" i="2"/>
  <c r="G623" i="2"/>
  <c r="AL623" i="2"/>
  <c r="F624" i="2"/>
  <c r="G624" i="2"/>
  <c r="Q624" i="2" s="1"/>
  <c r="AL624" i="2"/>
  <c r="F625" i="2"/>
  <c r="G625" i="2"/>
  <c r="AL625" i="2"/>
  <c r="F626" i="2"/>
  <c r="G626" i="2"/>
  <c r="AL626" i="2"/>
  <c r="F627" i="2"/>
  <c r="G627" i="2"/>
  <c r="AL627" i="2"/>
  <c r="F628" i="2"/>
  <c r="G628" i="2"/>
  <c r="AL628" i="2"/>
  <c r="F629" i="2"/>
  <c r="G629" i="2"/>
  <c r="AL629" i="2"/>
  <c r="F630" i="2"/>
  <c r="G630" i="2"/>
  <c r="AL630" i="2"/>
  <c r="F631" i="2"/>
  <c r="Q631" i="2" s="1"/>
  <c r="Y631" i="2" s="1"/>
  <c r="G631" i="2"/>
  <c r="AL631" i="2"/>
  <c r="F632" i="2"/>
  <c r="G632" i="2"/>
  <c r="AL632" i="2"/>
  <c r="F633" i="2"/>
  <c r="G633" i="2"/>
  <c r="AL633" i="2"/>
  <c r="F634" i="2"/>
  <c r="G634" i="2"/>
  <c r="AL634" i="2"/>
  <c r="F635" i="2"/>
  <c r="G635" i="2"/>
  <c r="AL635" i="2"/>
  <c r="F636" i="2"/>
  <c r="G636" i="2"/>
  <c r="AL636" i="2"/>
  <c r="F637" i="2"/>
  <c r="G637" i="2"/>
  <c r="AL637" i="2"/>
  <c r="F638" i="2"/>
  <c r="G638" i="2"/>
  <c r="AL638" i="2"/>
  <c r="F639" i="2"/>
  <c r="G639" i="2"/>
  <c r="AL639" i="2"/>
  <c r="F640" i="2"/>
  <c r="G640" i="2"/>
  <c r="AL640" i="2"/>
  <c r="F641" i="2"/>
  <c r="G641" i="2"/>
  <c r="AL641" i="2"/>
  <c r="F642" i="2"/>
  <c r="G642" i="2"/>
  <c r="AL642" i="2"/>
  <c r="F643" i="2"/>
  <c r="G643" i="2"/>
  <c r="AL643" i="2"/>
  <c r="F644" i="2"/>
  <c r="G644" i="2"/>
  <c r="Q644" i="2" s="1"/>
  <c r="AL644" i="2"/>
  <c r="F645" i="2"/>
  <c r="G645" i="2"/>
  <c r="AL645" i="2"/>
  <c r="F646" i="2"/>
  <c r="G646" i="2"/>
  <c r="AL646" i="2"/>
  <c r="F647" i="2"/>
  <c r="Q647" i="2" s="1"/>
  <c r="Y647" i="2" s="1"/>
  <c r="G647" i="2"/>
  <c r="AL647" i="2"/>
  <c r="F648" i="2"/>
  <c r="G648" i="2"/>
  <c r="Q648" i="2" s="1"/>
  <c r="AL648" i="2"/>
  <c r="F649" i="2"/>
  <c r="G649" i="2"/>
  <c r="AL649" i="2"/>
  <c r="F650" i="2"/>
  <c r="G650" i="2"/>
  <c r="Q650" i="2" s="1"/>
  <c r="AL650" i="2"/>
  <c r="F651" i="2"/>
  <c r="Q651" i="2" s="1"/>
  <c r="G651" i="2"/>
  <c r="AL651" i="2"/>
  <c r="F652" i="2"/>
  <c r="G652" i="2"/>
  <c r="AL652" i="2"/>
  <c r="F653" i="2"/>
  <c r="G653" i="2"/>
  <c r="AL653" i="2"/>
  <c r="F654" i="2"/>
  <c r="G654" i="2"/>
  <c r="AL654" i="2"/>
  <c r="F655" i="2"/>
  <c r="G655" i="2"/>
  <c r="AL655" i="2"/>
  <c r="F656" i="2"/>
  <c r="G656" i="2"/>
  <c r="AL656" i="2"/>
  <c r="F657" i="2"/>
  <c r="G657" i="2"/>
  <c r="AL657" i="2"/>
  <c r="F658" i="2"/>
  <c r="G658" i="2"/>
  <c r="AL658" i="2"/>
  <c r="F659" i="2"/>
  <c r="G659" i="2"/>
  <c r="AL659" i="2"/>
  <c r="F660" i="2"/>
  <c r="G660" i="2"/>
  <c r="AL660" i="2"/>
  <c r="F661" i="2"/>
  <c r="G661" i="2"/>
  <c r="AL661" i="2"/>
  <c r="F662" i="2"/>
  <c r="G662" i="2"/>
  <c r="AL662" i="2"/>
  <c r="F663" i="2"/>
  <c r="G663" i="2"/>
  <c r="AL663" i="2"/>
  <c r="F664" i="2"/>
  <c r="G664" i="2"/>
  <c r="AL664" i="2"/>
  <c r="F665" i="2"/>
  <c r="Q665" i="2" s="1"/>
  <c r="G665" i="2"/>
  <c r="AL665" i="2"/>
  <c r="F666" i="2"/>
  <c r="G666" i="2"/>
  <c r="AL666" i="2"/>
  <c r="F667" i="2"/>
  <c r="G667" i="2"/>
  <c r="AL667" i="2"/>
  <c r="F668" i="2"/>
  <c r="G668" i="2"/>
  <c r="Q668" i="2" s="1"/>
  <c r="Y668" i="2" s="1"/>
  <c r="AL668" i="2"/>
  <c r="F669" i="2"/>
  <c r="G669" i="2"/>
  <c r="Q669" i="2"/>
  <c r="Y669" i="2" s="1"/>
  <c r="AL669" i="2"/>
  <c r="F670" i="2"/>
  <c r="G670" i="2"/>
  <c r="AL670" i="2"/>
  <c r="F671" i="2"/>
  <c r="G671" i="2"/>
  <c r="AL671" i="2"/>
  <c r="F672" i="2"/>
  <c r="Q672" i="2" s="1"/>
  <c r="G672" i="2"/>
  <c r="AL672" i="2"/>
  <c r="F673" i="2"/>
  <c r="G673" i="2"/>
  <c r="AL673" i="2"/>
  <c r="F674" i="2"/>
  <c r="G674" i="2"/>
  <c r="AL674" i="2"/>
  <c r="F675" i="2"/>
  <c r="G675" i="2"/>
  <c r="AL675" i="2"/>
  <c r="F676" i="2"/>
  <c r="G676" i="2"/>
  <c r="AL676" i="2"/>
  <c r="F677" i="2"/>
  <c r="G677" i="2"/>
  <c r="AL677" i="2"/>
  <c r="F678" i="2"/>
  <c r="G678" i="2"/>
  <c r="AL678" i="2"/>
  <c r="F679" i="2"/>
  <c r="G679" i="2"/>
  <c r="AL679" i="2"/>
  <c r="F680" i="2"/>
  <c r="Q680" i="2" s="1"/>
  <c r="G680" i="2"/>
  <c r="AL680" i="2"/>
  <c r="F681" i="2"/>
  <c r="G681" i="2"/>
  <c r="AL681" i="2"/>
  <c r="F682" i="2"/>
  <c r="G682" i="2"/>
  <c r="AL682" i="2"/>
  <c r="F683" i="2"/>
  <c r="G683" i="2"/>
  <c r="AL683" i="2"/>
  <c r="F684" i="2"/>
  <c r="G684" i="2"/>
  <c r="AL684" i="2"/>
  <c r="F685" i="2"/>
  <c r="G685" i="2"/>
  <c r="AL685" i="2"/>
  <c r="F686" i="2"/>
  <c r="G686" i="2"/>
  <c r="AL686" i="2"/>
  <c r="F687" i="2"/>
  <c r="G687" i="2"/>
  <c r="AL687" i="2"/>
  <c r="F688" i="2"/>
  <c r="Q688" i="2" s="1"/>
  <c r="G688" i="2"/>
  <c r="AL688" i="2"/>
  <c r="F689" i="2"/>
  <c r="G689" i="2"/>
  <c r="Q689" i="2" s="1"/>
  <c r="Y689" i="2" s="1"/>
  <c r="AL689" i="2"/>
  <c r="F690" i="2"/>
  <c r="G690" i="2"/>
  <c r="AL690" i="2"/>
  <c r="F691" i="2"/>
  <c r="G691" i="2"/>
  <c r="AL691" i="2"/>
  <c r="F692" i="2"/>
  <c r="G692" i="2"/>
  <c r="AL692" i="2"/>
  <c r="F693" i="2"/>
  <c r="G693" i="2"/>
  <c r="AL693" i="2"/>
  <c r="F694" i="2"/>
  <c r="G694" i="2"/>
  <c r="AL694" i="2"/>
  <c r="F695" i="2"/>
  <c r="G695" i="2"/>
  <c r="AL695" i="2"/>
  <c r="F696" i="2"/>
  <c r="G696" i="2"/>
  <c r="AL696" i="2"/>
  <c r="F697" i="2"/>
  <c r="G697" i="2"/>
  <c r="AL697" i="2"/>
  <c r="F698" i="2"/>
  <c r="G698" i="2"/>
  <c r="AL698" i="2"/>
  <c r="F699" i="2"/>
  <c r="G699" i="2"/>
  <c r="AL699" i="2"/>
  <c r="F700" i="2"/>
  <c r="G700" i="2"/>
  <c r="AL700" i="2"/>
  <c r="F701" i="2"/>
  <c r="G701" i="2"/>
  <c r="AL701" i="2"/>
  <c r="F702" i="2"/>
  <c r="G702" i="2"/>
  <c r="AL702" i="2"/>
  <c r="F703" i="2"/>
  <c r="G703" i="2"/>
  <c r="AL703" i="2"/>
  <c r="F704" i="2"/>
  <c r="G704" i="2"/>
  <c r="AL704" i="2"/>
  <c r="F705" i="2"/>
  <c r="G705" i="2"/>
  <c r="AL705" i="2"/>
  <c r="F706" i="2"/>
  <c r="G706" i="2"/>
  <c r="AL706" i="2"/>
  <c r="F707" i="2"/>
  <c r="G707" i="2"/>
  <c r="AL707" i="2"/>
  <c r="F708" i="2"/>
  <c r="G708" i="2"/>
  <c r="AL708" i="2"/>
  <c r="F709" i="2"/>
  <c r="G709" i="2"/>
  <c r="AL709" i="2"/>
  <c r="F710" i="2"/>
  <c r="G710" i="2"/>
  <c r="AL710" i="2"/>
  <c r="F711" i="2"/>
  <c r="G711" i="2"/>
  <c r="AL711" i="2"/>
  <c r="F712" i="2"/>
  <c r="Q712" i="2" s="1"/>
  <c r="G712" i="2"/>
  <c r="AL712" i="2"/>
  <c r="F713" i="2"/>
  <c r="G713" i="2"/>
  <c r="AL713" i="2"/>
  <c r="F714" i="2"/>
  <c r="G714" i="2"/>
  <c r="AL714" i="2"/>
  <c r="F715" i="2"/>
  <c r="G715" i="2"/>
  <c r="AL715" i="2"/>
  <c r="F716" i="2"/>
  <c r="G716" i="2"/>
  <c r="AL716" i="2"/>
  <c r="F717" i="2"/>
  <c r="G717" i="2"/>
  <c r="AL717" i="2"/>
  <c r="F718" i="2"/>
  <c r="G718" i="2"/>
  <c r="AL718" i="2"/>
  <c r="F719" i="2"/>
  <c r="G719" i="2"/>
  <c r="AL719" i="2"/>
  <c r="F720" i="2"/>
  <c r="G720" i="2"/>
  <c r="AL720" i="2"/>
  <c r="F721" i="2"/>
  <c r="G721" i="2"/>
  <c r="AL721" i="2"/>
  <c r="F722" i="2"/>
  <c r="G722" i="2"/>
  <c r="AL722" i="2"/>
  <c r="F723" i="2"/>
  <c r="G723" i="2"/>
  <c r="AL723" i="2"/>
  <c r="F724" i="2"/>
  <c r="G724" i="2"/>
  <c r="AL724" i="2"/>
  <c r="F725" i="2"/>
  <c r="G725" i="2"/>
  <c r="AL725" i="2"/>
  <c r="F726" i="2"/>
  <c r="G726" i="2"/>
  <c r="AL726" i="2"/>
  <c r="F727" i="2"/>
  <c r="G727" i="2"/>
  <c r="AL727" i="2"/>
  <c r="F728" i="2"/>
  <c r="Q728" i="2" s="1"/>
  <c r="G728" i="2"/>
  <c r="AL728" i="2"/>
  <c r="F729" i="2"/>
  <c r="G729" i="2"/>
  <c r="AL729" i="2"/>
  <c r="F730" i="2"/>
  <c r="G730" i="2"/>
  <c r="AL730" i="2"/>
  <c r="F731" i="2"/>
  <c r="G731" i="2"/>
  <c r="AL731" i="2"/>
  <c r="F732" i="2"/>
  <c r="G732" i="2"/>
  <c r="AL732" i="2"/>
  <c r="F733" i="2"/>
  <c r="G733" i="2"/>
  <c r="AL733" i="2"/>
  <c r="F734" i="2"/>
  <c r="G734" i="2"/>
  <c r="AL734" i="2"/>
  <c r="F735" i="2"/>
  <c r="G735" i="2"/>
  <c r="AL735" i="2"/>
  <c r="F736" i="2"/>
  <c r="G736" i="2"/>
  <c r="AL736" i="2"/>
  <c r="F737" i="2"/>
  <c r="G737" i="2"/>
  <c r="AL737" i="2"/>
  <c r="F738" i="2"/>
  <c r="G738" i="2"/>
  <c r="AL738" i="2"/>
  <c r="F739" i="2"/>
  <c r="G739" i="2"/>
  <c r="AL739" i="2"/>
  <c r="F740" i="2"/>
  <c r="G740" i="2"/>
  <c r="AL740" i="2"/>
  <c r="F741" i="2"/>
  <c r="G741" i="2"/>
  <c r="AL741" i="2"/>
  <c r="F742" i="2"/>
  <c r="G742" i="2"/>
  <c r="AL742" i="2"/>
  <c r="F743" i="2"/>
  <c r="G743" i="2"/>
  <c r="AL743" i="2"/>
  <c r="F744" i="2"/>
  <c r="Q744" i="2" s="1"/>
  <c r="G744" i="2"/>
  <c r="AL744" i="2"/>
  <c r="F745" i="2"/>
  <c r="G745" i="2"/>
  <c r="AL745" i="2"/>
  <c r="F746" i="2"/>
  <c r="G746" i="2"/>
  <c r="AL746" i="2"/>
  <c r="F747" i="2"/>
  <c r="G747" i="2"/>
  <c r="AL747" i="2"/>
  <c r="F748" i="2"/>
  <c r="G748" i="2"/>
  <c r="AL748" i="2"/>
  <c r="F749" i="2"/>
  <c r="G749" i="2"/>
  <c r="AL749" i="2"/>
  <c r="F750" i="2"/>
  <c r="G750" i="2"/>
  <c r="AL750" i="2"/>
  <c r="F751" i="2"/>
  <c r="G751" i="2"/>
  <c r="AL751" i="2"/>
  <c r="F752" i="2"/>
  <c r="G752" i="2"/>
  <c r="AL752" i="2"/>
  <c r="F753" i="2"/>
  <c r="G753" i="2"/>
  <c r="AL753" i="2"/>
  <c r="F754" i="2"/>
  <c r="G754" i="2"/>
  <c r="AL754" i="2"/>
  <c r="F755" i="2"/>
  <c r="G755" i="2"/>
  <c r="AL755" i="2"/>
  <c r="F756" i="2"/>
  <c r="G756" i="2"/>
  <c r="AL756" i="2"/>
  <c r="F757" i="2"/>
  <c r="G757" i="2"/>
  <c r="AL757" i="2"/>
  <c r="F758" i="2"/>
  <c r="G758" i="2"/>
  <c r="AL758" i="2"/>
  <c r="F759" i="2"/>
  <c r="G759" i="2"/>
  <c r="AL759" i="2"/>
  <c r="F760" i="2"/>
  <c r="G760" i="2"/>
  <c r="AL760" i="2"/>
  <c r="F761" i="2"/>
  <c r="G761" i="2"/>
  <c r="AL761" i="2"/>
  <c r="F762" i="2"/>
  <c r="G762" i="2"/>
  <c r="AL762" i="2"/>
  <c r="F763" i="2"/>
  <c r="G763" i="2"/>
  <c r="AL763" i="2"/>
  <c r="F764" i="2"/>
  <c r="G764" i="2"/>
  <c r="AL764" i="2"/>
  <c r="F765" i="2"/>
  <c r="G765" i="2"/>
  <c r="AL765" i="2"/>
  <c r="F766" i="2"/>
  <c r="Q766" i="2" s="1"/>
  <c r="G766" i="2"/>
  <c r="AL766" i="2"/>
  <c r="F767" i="2"/>
  <c r="G767" i="2"/>
  <c r="AL767" i="2"/>
  <c r="F768" i="2"/>
  <c r="Q768" i="2" s="1"/>
  <c r="G768" i="2"/>
  <c r="AL768" i="2"/>
  <c r="F769" i="2"/>
  <c r="G769" i="2"/>
  <c r="AL769" i="2"/>
  <c r="F770" i="2"/>
  <c r="G770" i="2"/>
  <c r="AL770" i="2"/>
  <c r="F771" i="2"/>
  <c r="G771" i="2"/>
  <c r="AL771" i="2"/>
  <c r="F772" i="2"/>
  <c r="G772" i="2"/>
  <c r="AL772" i="2"/>
  <c r="F773" i="2"/>
  <c r="G773" i="2"/>
  <c r="AL773" i="2"/>
  <c r="F774" i="2"/>
  <c r="G774" i="2"/>
  <c r="AL774" i="2"/>
  <c r="F775" i="2"/>
  <c r="G775" i="2"/>
  <c r="AL775" i="2"/>
  <c r="F776" i="2"/>
  <c r="Q776" i="2" s="1"/>
  <c r="G776" i="2"/>
  <c r="AL776" i="2"/>
  <c r="F777" i="2"/>
  <c r="G777" i="2"/>
  <c r="AL777" i="2"/>
  <c r="F778" i="2"/>
  <c r="G778" i="2"/>
  <c r="AL778" i="2"/>
  <c r="F779" i="2"/>
  <c r="G779" i="2"/>
  <c r="AL779" i="2"/>
  <c r="F780" i="2"/>
  <c r="G780" i="2"/>
  <c r="AL780" i="2"/>
  <c r="F781" i="2"/>
  <c r="G781" i="2"/>
  <c r="AL781" i="2"/>
  <c r="F782" i="2"/>
  <c r="Q782" i="2" s="1"/>
  <c r="G782" i="2"/>
  <c r="AL782" i="2"/>
  <c r="F783" i="2"/>
  <c r="G783" i="2"/>
  <c r="AL783" i="2"/>
  <c r="F784" i="2"/>
  <c r="G784" i="2"/>
  <c r="AL784" i="2"/>
  <c r="F785" i="2"/>
  <c r="G785" i="2"/>
  <c r="AL785" i="2"/>
  <c r="F786" i="2"/>
  <c r="Q786" i="2" s="1"/>
  <c r="G786" i="2"/>
  <c r="AL786" i="2"/>
  <c r="F787" i="2"/>
  <c r="G787" i="2"/>
  <c r="AL787" i="2"/>
  <c r="F788" i="2"/>
  <c r="G788" i="2"/>
  <c r="AL788" i="2"/>
  <c r="F789" i="2"/>
  <c r="G789" i="2"/>
  <c r="Q789" i="2" s="1"/>
  <c r="AL789" i="2"/>
  <c r="F790" i="2"/>
  <c r="G790" i="2"/>
  <c r="AL790" i="2"/>
  <c r="F791" i="2"/>
  <c r="G791" i="2"/>
  <c r="AL791" i="2"/>
  <c r="F792" i="2"/>
  <c r="G792" i="2"/>
  <c r="AL792" i="2"/>
  <c r="F793" i="2"/>
  <c r="G793" i="2"/>
  <c r="AL793" i="2"/>
  <c r="F794" i="2"/>
  <c r="G794" i="2"/>
  <c r="AL794" i="2"/>
  <c r="F795" i="2"/>
  <c r="G795" i="2"/>
  <c r="AL795" i="2"/>
  <c r="F796" i="2"/>
  <c r="G796" i="2"/>
  <c r="AL796" i="2"/>
  <c r="F797" i="2"/>
  <c r="G797" i="2"/>
  <c r="AL797" i="2"/>
  <c r="F798" i="2"/>
  <c r="G798" i="2"/>
  <c r="AL798" i="2"/>
  <c r="F799" i="2"/>
  <c r="G799" i="2"/>
  <c r="AL799" i="2"/>
  <c r="F800" i="2"/>
  <c r="G800" i="2"/>
  <c r="AL800" i="2"/>
  <c r="F801" i="2"/>
  <c r="G801" i="2"/>
  <c r="AL801" i="2"/>
  <c r="F802" i="2"/>
  <c r="G802" i="2"/>
  <c r="AL802" i="2"/>
  <c r="F803" i="2"/>
  <c r="G803" i="2"/>
  <c r="AL803" i="2"/>
  <c r="F804" i="2"/>
  <c r="G804" i="2"/>
  <c r="AL804" i="2"/>
  <c r="F805" i="2"/>
  <c r="G805" i="2"/>
  <c r="AL805" i="2"/>
  <c r="F806" i="2"/>
  <c r="G806" i="2"/>
  <c r="AL806" i="2"/>
  <c r="F807" i="2"/>
  <c r="G807" i="2"/>
  <c r="AL807" i="2"/>
  <c r="F808" i="2"/>
  <c r="G808" i="2"/>
  <c r="AL808" i="2"/>
  <c r="F809" i="2"/>
  <c r="G809" i="2"/>
  <c r="AL809" i="2"/>
  <c r="F810" i="2"/>
  <c r="G810" i="2"/>
  <c r="AL810" i="2"/>
  <c r="F811" i="2"/>
  <c r="G811" i="2"/>
  <c r="AL811" i="2"/>
  <c r="F812" i="2"/>
  <c r="G812" i="2"/>
  <c r="AL812" i="2"/>
  <c r="F813" i="2"/>
  <c r="G813" i="2"/>
  <c r="AL813" i="2"/>
  <c r="F814" i="2"/>
  <c r="G814" i="2"/>
  <c r="AL814" i="2"/>
  <c r="F815" i="2"/>
  <c r="G815" i="2"/>
  <c r="AL815" i="2"/>
  <c r="F816" i="2"/>
  <c r="G816" i="2"/>
  <c r="AL816" i="2"/>
  <c r="F817" i="2"/>
  <c r="G817" i="2"/>
  <c r="AL817" i="2"/>
  <c r="F818" i="2"/>
  <c r="G818" i="2"/>
  <c r="AL818" i="2"/>
  <c r="F819" i="2"/>
  <c r="G819" i="2"/>
  <c r="AL819" i="2"/>
  <c r="F820" i="2"/>
  <c r="G820" i="2"/>
  <c r="Q820" i="2" s="1"/>
  <c r="AL820" i="2"/>
  <c r="F821" i="2"/>
  <c r="G821" i="2"/>
  <c r="AL821" i="2"/>
  <c r="F822" i="2"/>
  <c r="G822" i="2"/>
  <c r="AL822" i="2"/>
  <c r="F823" i="2"/>
  <c r="G823" i="2"/>
  <c r="AL823" i="2"/>
  <c r="F824" i="2"/>
  <c r="G824" i="2"/>
  <c r="AL824" i="2"/>
  <c r="F825" i="2"/>
  <c r="G825" i="2"/>
  <c r="AL825" i="2"/>
  <c r="F826" i="2"/>
  <c r="G826" i="2"/>
  <c r="AL826" i="2"/>
  <c r="F827" i="2"/>
  <c r="G827" i="2"/>
  <c r="AL827" i="2"/>
  <c r="F828" i="2"/>
  <c r="G828" i="2"/>
  <c r="AL828" i="2"/>
  <c r="F829" i="2"/>
  <c r="G829" i="2"/>
  <c r="AL829" i="2"/>
  <c r="F830" i="2"/>
  <c r="G830" i="2"/>
  <c r="AL830" i="2"/>
  <c r="F831" i="2"/>
  <c r="G831" i="2"/>
  <c r="AL831" i="2"/>
  <c r="F832" i="2"/>
  <c r="G832" i="2"/>
  <c r="AL832" i="2"/>
  <c r="F833" i="2"/>
  <c r="G833" i="2"/>
  <c r="AL833" i="2"/>
  <c r="F834" i="2"/>
  <c r="G834" i="2"/>
  <c r="AL834" i="2"/>
  <c r="F835" i="2"/>
  <c r="G835" i="2"/>
  <c r="AL835" i="2"/>
  <c r="F836" i="2"/>
  <c r="G836" i="2"/>
  <c r="AL836" i="2"/>
  <c r="F837" i="2"/>
  <c r="G837" i="2"/>
  <c r="AL837" i="2"/>
  <c r="F838" i="2"/>
  <c r="G838" i="2"/>
  <c r="AL838" i="2"/>
  <c r="F839" i="2"/>
  <c r="G839" i="2"/>
  <c r="AL839" i="2"/>
  <c r="F840" i="2"/>
  <c r="G840" i="2"/>
  <c r="AL840" i="2"/>
  <c r="F841" i="2"/>
  <c r="G841" i="2"/>
  <c r="AL841" i="2"/>
  <c r="F842" i="2"/>
  <c r="G842" i="2"/>
  <c r="AL842" i="2"/>
  <c r="F843" i="2"/>
  <c r="G843" i="2"/>
  <c r="AL843" i="2"/>
  <c r="F844" i="2"/>
  <c r="G844" i="2"/>
  <c r="AL844" i="2"/>
  <c r="F845" i="2"/>
  <c r="G845" i="2"/>
  <c r="AL845" i="2"/>
  <c r="F846" i="2"/>
  <c r="G846" i="2"/>
  <c r="AL846" i="2"/>
  <c r="F847" i="2"/>
  <c r="G847" i="2"/>
  <c r="AL847" i="2"/>
  <c r="F848" i="2"/>
  <c r="G848" i="2"/>
  <c r="AL848" i="2"/>
  <c r="F849" i="2"/>
  <c r="G849" i="2"/>
  <c r="AL849" i="2"/>
  <c r="F850" i="2"/>
  <c r="G850" i="2"/>
  <c r="AL850" i="2"/>
  <c r="F851" i="2"/>
  <c r="G851" i="2"/>
  <c r="AL851" i="2"/>
  <c r="F852" i="2"/>
  <c r="G852" i="2"/>
  <c r="AL852" i="2"/>
  <c r="F853" i="2"/>
  <c r="G853" i="2"/>
  <c r="AL853" i="2"/>
  <c r="F854" i="2"/>
  <c r="G854" i="2"/>
  <c r="AL854" i="2"/>
  <c r="F855" i="2"/>
  <c r="G855" i="2"/>
  <c r="AL855" i="2"/>
  <c r="F856" i="2"/>
  <c r="G856" i="2"/>
  <c r="AL856" i="2"/>
  <c r="F857" i="2"/>
  <c r="G857" i="2"/>
  <c r="AL857" i="2"/>
  <c r="F858" i="2"/>
  <c r="G858" i="2"/>
  <c r="AL858" i="2"/>
  <c r="F859" i="2"/>
  <c r="G859" i="2"/>
  <c r="AL859" i="2"/>
  <c r="F860" i="2"/>
  <c r="G860" i="2"/>
  <c r="AL860" i="2"/>
  <c r="F861" i="2"/>
  <c r="G861" i="2"/>
  <c r="AL861" i="2"/>
  <c r="F862" i="2"/>
  <c r="G862" i="2"/>
  <c r="AL862" i="2"/>
  <c r="F863" i="2"/>
  <c r="G863" i="2"/>
  <c r="AL863" i="2"/>
  <c r="F864" i="2"/>
  <c r="G864" i="2"/>
  <c r="AL864" i="2"/>
  <c r="F865" i="2"/>
  <c r="G865" i="2"/>
  <c r="AL865" i="2"/>
  <c r="F866" i="2"/>
  <c r="G866" i="2"/>
  <c r="AL866" i="2"/>
  <c r="F867" i="2"/>
  <c r="G867" i="2"/>
  <c r="AL867" i="2"/>
  <c r="F868" i="2"/>
  <c r="G868" i="2"/>
  <c r="AL868" i="2"/>
  <c r="F869" i="2"/>
  <c r="G869" i="2"/>
  <c r="AL869" i="2"/>
  <c r="F870" i="2"/>
  <c r="G870" i="2"/>
  <c r="AL870" i="2"/>
  <c r="F871" i="2"/>
  <c r="G871" i="2"/>
  <c r="AL871" i="2"/>
  <c r="F872" i="2"/>
  <c r="G872" i="2"/>
  <c r="AL872" i="2"/>
  <c r="F873" i="2"/>
  <c r="G873" i="2"/>
  <c r="AL873" i="2"/>
  <c r="F874" i="2"/>
  <c r="G874" i="2"/>
  <c r="Q874" i="2" s="1"/>
  <c r="Y874" i="2" s="1"/>
  <c r="AL874" i="2"/>
  <c r="F875" i="2"/>
  <c r="G875" i="2"/>
  <c r="AL875" i="2"/>
  <c r="F876" i="2"/>
  <c r="G876" i="2"/>
  <c r="AL876" i="2"/>
  <c r="F877" i="2"/>
  <c r="G877" i="2"/>
  <c r="AL877" i="2"/>
  <c r="F878" i="2"/>
  <c r="G878" i="2"/>
  <c r="AL878" i="2"/>
  <c r="F879" i="2"/>
  <c r="G879" i="2"/>
  <c r="AL879" i="2"/>
  <c r="F880" i="2"/>
  <c r="G880" i="2"/>
  <c r="AL880" i="2"/>
  <c r="F881" i="2"/>
  <c r="G881" i="2"/>
  <c r="AL881" i="2"/>
  <c r="F882" i="2"/>
  <c r="G882" i="2"/>
  <c r="AL882" i="2"/>
  <c r="F883" i="2"/>
  <c r="G883" i="2"/>
  <c r="AL883" i="2"/>
  <c r="F884" i="2"/>
  <c r="G884" i="2"/>
  <c r="Q884" i="2" s="1"/>
  <c r="AL884" i="2"/>
  <c r="F885" i="2"/>
  <c r="G885" i="2"/>
  <c r="AL885" i="2"/>
  <c r="F886" i="2"/>
  <c r="G886" i="2"/>
  <c r="AL886" i="2"/>
  <c r="F887" i="2"/>
  <c r="G887" i="2"/>
  <c r="AL887" i="2"/>
  <c r="F888" i="2"/>
  <c r="G888" i="2"/>
  <c r="Q888" i="2" s="1"/>
  <c r="Y888" i="2" s="1"/>
  <c r="AL888" i="2"/>
  <c r="F889" i="2"/>
  <c r="G889" i="2"/>
  <c r="AL889" i="2"/>
  <c r="F890" i="2"/>
  <c r="G890" i="2"/>
  <c r="AL890" i="2"/>
  <c r="F891" i="2"/>
  <c r="G891" i="2"/>
  <c r="AL891" i="2"/>
  <c r="F892" i="2"/>
  <c r="G892" i="2"/>
  <c r="AL892" i="2"/>
  <c r="F893" i="2"/>
  <c r="G893" i="2"/>
  <c r="AL893" i="2"/>
  <c r="F894" i="2"/>
  <c r="G894" i="2"/>
  <c r="AL894" i="2"/>
  <c r="F895" i="2"/>
  <c r="G895" i="2"/>
  <c r="AL895" i="2"/>
  <c r="F896" i="2"/>
  <c r="G896" i="2"/>
  <c r="AL896" i="2"/>
  <c r="F897" i="2"/>
  <c r="G897" i="2"/>
  <c r="AL897" i="2"/>
  <c r="F898" i="2"/>
  <c r="G898" i="2"/>
  <c r="AL898" i="2"/>
  <c r="F899" i="2"/>
  <c r="Q899" i="2" s="1"/>
  <c r="Y899" i="2" s="1"/>
  <c r="G899" i="2"/>
  <c r="AL899" i="2"/>
  <c r="F900" i="2"/>
  <c r="G900" i="2"/>
  <c r="Q900" i="2" s="1"/>
  <c r="AL900" i="2"/>
  <c r="F901" i="2"/>
  <c r="G901" i="2"/>
  <c r="AL901" i="2"/>
  <c r="F902" i="2"/>
  <c r="G902" i="2"/>
  <c r="AL902" i="2"/>
  <c r="F903" i="2"/>
  <c r="G903" i="2"/>
  <c r="AL903" i="2"/>
  <c r="F904" i="2"/>
  <c r="G904" i="2"/>
  <c r="Q904" i="2" s="1"/>
  <c r="Y904" i="2" s="1"/>
  <c r="AL904" i="2"/>
  <c r="F905" i="2"/>
  <c r="G905" i="2"/>
  <c r="AL905" i="2"/>
  <c r="F906" i="2"/>
  <c r="G906" i="2"/>
  <c r="AL906" i="2"/>
  <c r="F907" i="2"/>
  <c r="G907" i="2"/>
  <c r="AL907" i="2"/>
  <c r="F908" i="2"/>
  <c r="G908" i="2"/>
  <c r="Q908" i="2" s="1"/>
  <c r="AL908" i="2"/>
  <c r="F909" i="2"/>
  <c r="Q909" i="2" s="1"/>
  <c r="Y909" i="2" s="1"/>
  <c r="G909" i="2"/>
  <c r="AL909" i="2"/>
  <c r="F910" i="2"/>
  <c r="G910" i="2"/>
  <c r="AL910" i="2"/>
  <c r="F911" i="2"/>
  <c r="G911" i="2"/>
  <c r="AL911" i="2"/>
  <c r="F912" i="2"/>
  <c r="G912" i="2"/>
  <c r="AL912" i="2"/>
  <c r="F913" i="2"/>
  <c r="G913" i="2"/>
  <c r="AL913" i="2"/>
  <c r="F914" i="2"/>
  <c r="G914" i="2"/>
  <c r="AL914" i="2"/>
  <c r="F915" i="2"/>
  <c r="Q915" i="2" s="1"/>
  <c r="Y915" i="2" s="1"/>
  <c r="G915" i="2"/>
  <c r="AL915" i="2"/>
  <c r="F916" i="2"/>
  <c r="G916" i="2"/>
  <c r="AL916" i="2"/>
  <c r="F917" i="2"/>
  <c r="G917" i="2"/>
  <c r="AL917" i="2"/>
  <c r="F918" i="2"/>
  <c r="G918" i="2"/>
  <c r="AL918" i="2"/>
  <c r="F919" i="2"/>
  <c r="G919" i="2"/>
  <c r="AL919" i="2"/>
  <c r="F920" i="2"/>
  <c r="G920" i="2"/>
  <c r="Q920" i="2" s="1"/>
  <c r="Y920" i="2" s="1"/>
  <c r="AL920" i="2"/>
  <c r="F921" i="2"/>
  <c r="G921" i="2"/>
  <c r="AL921" i="2"/>
  <c r="F922" i="2"/>
  <c r="G922" i="2"/>
  <c r="Q922" i="2" s="1"/>
  <c r="Y922" i="2" s="1"/>
  <c r="AL922" i="2"/>
  <c r="F923" i="2"/>
  <c r="G923" i="2"/>
  <c r="AL923" i="2"/>
  <c r="F924" i="2"/>
  <c r="G924" i="2"/>
  <c r="AL924" i="2"/>
  <c r="F925" i="2"/>
  <c r="G925" i="2"/>
  <c r="AL925" i="2"/>
  <c r="F926" i="2"/>
  <c r="G926" i="2"/>
  <c r="AL926" i="2"/>
  <c r="F927" i="2"/>
  <c r="G927" i="2"/>
  <c r="AL927" i="2"/>
  <c r="F928" i="2"/>
  <c r="G928" i="2"/>
  <c r="AL928" i="2"/>
  <c r="F929" i="2"/>
  <c r="G929" i="2"/>
  <c r="AL929" i="2"/>
  <c r="F930" i="2"/>
  <c r="G930" i="2"/>
  <c r="AL930" i="2"/>
  <c r="F931" i="2"/>
  <c r="G931" i="2"/>
  <c r="AL931" i="2"/>
  <c r="F932" i="2"/>
  <c r="G932" i="2"/>
  <c r="AL932" i="2"/>
  <c r="F933" i="2"/>
  <c r="G933" i="2"/>
  <c r="AL933" i="2"/>
  <c r="F934" i="2"/>
  <c r="G934" i="2"/>
  <c r="AL934" i="2"/>
  <c r="F935" i="2"/>
  <c r="G935" i="2"/>
  <c r="AL935" i="2"/>
  <c r="F936" i="2"/>
  <c r="G936" i="2"/>
  <c r="AL936" i="2"/>
  <c r="F937" i="2"/>
  <c r="G937" i="2"/>
  <c r="AL937" i="2"/>
  <c r="F938" i="2"/>
  <c r="G938" i="2"/>
  <c r="AL938" i="2"/>
  <c r="F939" i="2"/>
  <c r="G939" i="2"/>
  <c r="AL939" i="2"/>
  <c r="F940" i="2"/>
  <c r="G940" i="2"/>
  <c r="AL940" i="2"/>
  <c r="F941" i="2"/>
  <c r="G941" i="2"/>
  <c r="AL941" i="2"/>
  <c r="F942" i="2"/>
  <c r="G942" i="2"/>
  <c r="AL942" i="2"/>
  <c r="F943" i="2"/>
  <c r="G943" i="2"/>
  <c r="AL943" i="2"/>
  <c r="F944" i="2"/>
  <c r="G944" i="2"/>
  <c r="AL944" i="2"/>
  <c r="F945" i="2"/>
  <c r="G945" i="2"/>
  <c r="AL945" i="2"/>
  <c r="F946" i="2"/>
  <c r="G946" i="2"/>
  <c r="Q946" i="2" s="1"/>
  <c r="AL946" i="2"/>
  <c r="F947" i="2"/>
  <c r="G947" i="2"/>
  <c r="AL947" i="2"/>
  <c r="F948" i="2"/>
  <c r="G948" i="2"/>
  <c r="AL948" i="2"/>
  <c r="F949" i="2"/>
  <c r="G949" i="2"/>
  <c r="Q949" i="2" s="1"/>
  <c r="AL949" i="2"/>
  <c r="F950" i="2"/>
  <c r="G950" i="2"/>
  <c r="AL950" i="2"/>
  <c r="F951" i="2"/>
  <c r="G951" i="2"/>
  <c r="AL951" i="2"/>
  <c r="F952" i="2"/>
  <c r="G952" i="2"/>
  <c r="AL952" i="2"/>
  <c r="F953" i="2"/>
  <c r="G953" i="2"/>
  <c r="AL953" i="2"/>
  <c r="F954" i="2"/>
  <c r="G954" i="2"/>
  <c r="AL954" i="2"/>
  <c r="F955" i="2"/>
  <c r="G955" i="2"/>
  <c r="AL955" i="2"/>
  <c r="F956" i="2"/>
  <c r="G956" i="2"/>
  <c r="Q956" i="2" s="1"/>
  <c r="Y956" i="2" s="1"/>
  <c r="AL956" i="2"/>
  <c r="F957" i="2"/>
  <c r="G957" i="2"/>
  <c r="AL957" i="2"/>
  <c r="F958" i="2"/>
  <c r="G958" i="2"/>
  <c r="AL958" i="2"/>
  <c r="F959" i="2"/>
  <c r="G959" i="2"/>
  <c r="AL959" i="2"/>
  <c r="F960" i="2"/>
  <c r="G960" i="2"/>
  <c r="AL960" i="2"/>
  <c r="F961" i="2"/>
  <c r="G961" i="2"/>
  <c r="Q961" i="2" s="1"/>
  <c r="AL961" i="2"/>
  <c r="F962" i="2"/>
  <c r="G962" i="2"/>
  <c r="AL962" i="2"/>
  <c r="F963" i="2"/>
  <c r="G963" i="2"/>
  <c r="AL963" i="2"/>
  <c r="F964" i="2"/>
  <c r="G964" i="2"/>
  <c r="AL964" i="2"/>
  <c r="F965" i="2"/>
  <c r="G965" i="2"/>
  <c r="AL965" i="2"/>
  <c r="F966" i="2"/>
  <c r="G966" i="2"/>
  <c r="AL966" i="2"/>
  <c r="F967" i="2"/>
  <c r="Q967" i="2" s="1"/>
  <c r="Y967" i="2" s="1"/>
  <c r="G967" i="2"/>
  <c r="AL967" i="2"/>
  <c r="F968" i="2"/>
  <c r="G968" i="2"/>
  <c r="AL968" i="2"/>
  <c r="F969" i="2"/>
  <c r="G969" i="2"/>
  <c r="AL969" i="2"/>
  <c r="Q876" i="2" l="1"/>
  <c r="Q883" i="2"/>
  <c r="Y883" i="2" s="1"/>
  <c r="Q877" i="2"/>
  <c r="Q875" i="2"/>
  <c r="Y875" i="2" s="1"/>
  <c r="Q866" i="2"/>
  <c r="Q862" i="2"/>
  <c r="AQ862" i="2" s="1"/>
  <c r="AS862" i="2" s="1"/>
  <c r="Q858" i="2"/>
  <c r="Q842" i="2"/>
  <c r="Y842" i="2" s="1"/>
  <c r="Q840" i="2"/>
  <c r="Y840" i="2" s="1"/>
  <c r="Q854" i="2"/>
  <c r="Y854" i="2" s="1"/>
  <c r="Q850" i="2"/>
  <c r="Y850" i="2" s="1"/>
  <c r="Q849" i="2"/>
  <c r="AQ849" i="2" s="1"/>
  <c r="AS849" i="2" s="1"/>
  <c r="AQ551" i="2"/>
  <c r="AS551" i="2" s="1"/>
  <c r="AQ479" i="2"/>
  <c r="AS479" i="2" s="1"/>
  <c r="Q297" i="2"/>
  <c r="Q261" i="2"/>
  <c r="Q220" i="2"/>
  <c r="Y220" i="2" s="1"/>
  <c r="Q65" i="2"/>
  <c r="Q965" i="2"/>
  <c r="Q964" i="2"/>
  <c r="Q959" i="2"/>
  <c r="Q954" i="2"/>
  <c r="Q953" i="2"/>
  <c r="Q948" i="2"/>
  <c r="Q945" i="2"/>
  <c r="AQ945" i="2" s="1"/>
  <c r="AS945" i="2" s="1"/>
  <c r="Q940" i="2"/>
  <c r="Q938" i="2"/>
  <c r="Q937" i="2"/>
  <c r="Q936" i="2"/>
  <c r="Q819" i="2"/>
  <c r="Y819" i="2" s="1"/>
  <c r="Q818" i="2"/>
  <c r="Y818" i="2" s="1"/>
  <c r="Q690" i="2"/>
  <c r="Y690" i="2" s="1"/>
  <c r="Q588" i="2"/>
  <c r="Q580" i="2"/>
  <c r="Q509" i="2"/>
  <c r="Q500" i="2"/>
  <c r="Q408" i="2"/>
  <c r="Y408" i="2" s="1"/>
  <c r="Q399" i="2"/>
  <c r="Q312" i="2"/>
  <c r="Q202" i="2"/>
  <c r="Q197" i="2"/>
  <c r="Q71" i="2"/>
  <c r="Q27" i="2"/>
  <c r="Q817" i="2"/>
  <c r="AQ817" i="2" s="1"/>
  <c r="AS817" i="2" s="1"/>
  <c r="Q800" i="2"/>
  <c r="Q793" i="2"/>
  <c r="Q784" i="2"/>
  <c r="Q747" i="2"/>
  <c r="Y747" i="2" s="1"/>
  <c r="Q755" i="2"/>
  <c r="Y755" i="2" s="1"/>
  <c r="Q753" i="2"/>
  <c r="Y753" i="2" s="1"/>
  <c r="Q749" i="2"/>
  <c r="Y749" i="2" s="1"/>
  <c r="Q754" i="2"/>
  <c r="Y754" i="2" s="1"/>
  <c r="Q748" i="2"/>
  <c r="Y748" i="2" s="1"/>
  <c r="Q746" i="2"/>
  <c r="AQ746" i="2" s="1"/>
  <c r="AS746" i="2" s="1"/>
  <c r="Q760" i="2"/>
  <c r="Y760" i="2" s="1"/>
  <c r="Q736" i="2"/>
  <c r="Q725" i="2"/>
  <c r="Y725" i="2" s="1"/>
  <c r="Q723" i="2"/>
  <c r="AQ723" i="2" s="1"/>
  <c r="AS723" i="2" s="1"/>
  <c r="Q717" i="2"/>
  <c r="Y717" i="2" s="1"/>
  <c r="Q715" i="2"/>
  <c r="Q709" i="2"/>
  <c r="Q706" i="2"/>
  <c r="Q705" i="2"/>
  <c r="Y705" i="2" s="1"/>
  <c r="Q700" i="2"/>
  <c r="Y700" i="2" s="1"/>
  <c r="Q697" i="2"/>
  <c r="Q695" i="2"/>
  <c r="Y695" i="2" s="1"/>
  <c r="Q693" i="2"/>
  <c r="Y693" i="2" s="1"/>
  <c r="Q692" i="2"/>
  <c r="Q691" i="2"/>
  <c r="Q685" i="2"/>
  <c r="Y685" i="2" s="1"/>
  <c r="Q683" i="2"/>
  <c r="Y683" i="2" s="1"/>
  <c r="Q661" i="2"/>
  <c r="Q657" i="2"/>
  <c r="Y657" i="2" s="1"/>
  <c r="Q652" i="2"/>
  <c r="Q645" i="2"/>
  <c r="Q641" i="2"/>
  <c r="Y641" i="2" s="1"/>
  <c r="Q640" i="2"/>
  <c r="AQ640" i="2" s="1"/>
  <c r="AS640" i="2" s="1"/>
  <c r="Q634" i="2"/>
  <c r="Y634" i="2" s="1"/>
  <c r="Q632" i="2"/>
  <c r="Q621" i="2"/>
  <c r="Q619" i="2"/>
  <c r="Y619" i="2" s="1"/>
  <c r="Q617" i="2"/>
  <c r="AQ617" i="2" s="1"/>
  <c r="AS617" i="2" s="1"/>
  <c r="Q592" i="2"/>
  <c r="Y592" i="2" s="1"/>
  <c r="Q590" i="2"/>
  <c r="Q584" i="2"/>
  <c r="Q574" i="2"/>
  <c r="Q573" i="2"/>
  <c r="Y573" i="2" s="1"/>
  <c r="Q568" i="2"/>
  <c r="AQ559" i="2"/>
  <c r="AS559" i="2" s="1"/>
  <c r="Q552" i="2"/>
  <c r="Y552" i="2" s="1"/>
  <c r="Q541" i="2"/>
  <c r="Q536" i="2"/>
  <c r="Y536" i="2" s="1"/>
  <c r="Q535" i="2"/>
  <c r="Q532" i="2"/>
  <c r="AQ532" i="2" s="1"/>
  <c r="AS532" i="2" s="1"/>
  <c r="Q518" i="2"/>
  <c r="Q517" i="2"/>
  <c r="Q514" i="2"/>
  <c r="Y514" i="2" s="1"/>
  <c r="Q512" i="2"/>
  <c r="AQ512" i="2" s="1"/>
  <c r="AS512" i="2" s="1"/>
  <c r="Q510" i="2"/>
  <c r="AQ510" i="2" s="1"/>
  <c r="AS510" i="2" s="1"/>
  <c r="Q503" i="2"/>
  <c r="AQ503" i="2" s="1"/>
  <c r="AS503" i="2" s="1"/>
  <c r="Q496" i="2"/>
  <c r="AQ496" i="2" s="1"/>
  <c r="AS496" i="2" s="1"/>
  <c r="Q495" i="2"/>
  <c r="Q484" i="2"/>
  <c r="Y479" i="2"/>
  <c r="Q466" i="2"/>
  <c r="Y466" i="2" s="1"/>
  <c r="Q470" i="2"/>
  <c r="Y470" i="2" s="1"/>
  <c r="Q469" i="2"/>
  <c r="AQ469" i="2" s="1"/>
  <c r="AS469" i="2" s="1"/>
  <c r="Q465" i="2"/>
  <c r="Y465" i="2" s="1"/>
  <c r="Q461" i="2"/>
  <c r="Q443" i="2"/>
  <c r="Q439" i="2"/>
  <c r="Y439" i="2" s="1"/>
  <c r="Q438" i="2"/>
  <c r="Q437" i="2"/>
  <c r="Q436" i="2"/>
  <c r="Q434" i="2"/>
  <c r="Y434" i="2" s="1"/>
  <c r="Q433" i="2"/>
  <c r="Q424" i="2"/>
  <c r="Y424" i="2" s="1"/>
  <c r="Q420" i="2"/>
  <c r="Y420" i="2" s="1"/>
  <c r="Q417" i="2"/>
  <c r="AQ417" i="2" s="1"/>
  <c r="AS417" i="2" s="1"/>
  <c r="Q412" i="2"/>
  <c r="Q410" i="2"/>
  <c r="Q404" i="2"/>
  <c r="Y404" i="2" s="1"/>
  <c r="Q394" i="2"/>
  <c r="Y394" i="2" s="1"/>
  <c r="Q393" i="2"/>
  <c r="Y393" i="2" s="1"/>
  <c r="Q383" i="2"/>
  <c r="Q382" i="2"/>
  <c r="AQ382" i="2" s="1"/>
  <c r="AS382" i="2" s="1"/>
  <c r="Q379" i="2"/>
  <c r="Q377" i="2"/>
  <c r="Q375" i="2"/>
  <c r="AQ375" i="2" s="1"/>
  <c r="AS375" i="2" s="1"/>
  <c r="Q373" i="2"/>
  <c r="Y373" i="2" s="1"/>
  <c r="Q370" i="2"/>
  <c r="Y370" i="2" s="1"/>
  <c r="Q359" i="2"/>
  <c r="Q358" i="2"/>
  <c r="Q346" i="2"/>
  <c r="Y346" i="2" s="1"/>
  <c r="Q338" i="2"/>
  <c r="Q332" i="2"/>
  <c r="Q331" i="2"/>
  <c r="Q330" i="2"/>
  <c r="Q326" i="2"/>
  <c r="Q320" i="2"/>
  <c r="Q317" i="2"/>
  <c r="Q314" i="2"/>
  <c r="Q310" i="2"/>
  <c r="Q307" i="2"/>
  <c r="Q303" i="2"/>
  <c r="Q290" i="2"/>
  <c r="Q285" i="2"/>
  <c r="Q282" i="2"/>
  <c r="Q280" i="2"/>
  <c r="Q277" i="2"/>
  <c r="Q274" i="2"/>
  <c r="Q273" i="2"/>
  <c r="Q271" i="2"/>
  <c r="Y271" i="2" s="1"/>
  <c r="Q266" i="2"/>
  <c r="Q248" i="2"/>
  <c r="AQ248" i="2" s="1"/>
  <c r="AS248" i="2" s="1"/>
  <c r="Q238" i="2"/>
  <c r="Y238" i="2" s="1"/>
  <c r="Q236" i="2"/>
  <c r="AQ236" i="2" s="1"/>
  <c r="AS236" i="2" s="1"/>
  <c r="Q240" i="2"/>
  <c r="Y240" i="2" s="1"/>
  <c r="Q234" i="2"/>
  <c r="Y234" i="2" s="1"/>
  <c r="Q232" i="2"/>
  <c r="AQ232" i="2" s="1"/>
  <c r="AS232" i="2" s="1"/>
  <c r="Q229" i="2"/>
  <c r="Y229" i="2" s="1"/>
  <c r="Q228" i="2"/>
  <c r="Q226" i="2"/>
  <c r="Q214" i="2"/>
  <c r="Y214" i="2" s="1"/>
  <c r="Q205" i="2"/>
  <c r="Y205" i="2" s="1"/>
  <c r="Q204" i="2"/>
  <c r="Y204" i="2" s="1"/>
  <c r="Q191" i="2"/>
  <c r="AQ191" i="2" s="1"/>
  <c r="AS191" i="2" s="1"/>
  <c r="Q187" i="2"/>
  <c r="Y187" i="2" s="1"/>
  <c r="Q185" i="2"/>
  <c r="Y185" i="2" s="1"/>
  <c r="Q181" i="2"/>
  <c r="Y181" i="2" s="1"/>
  <c r="Q179" i="2"/>
  <c r="Q174" i="2"/>
  <c r="Y174" i="2" s="1"/>
  <c r="Q167" i="2"/>
  <c r="Y167" i="2" s="1"/>
  <c r="Q156" i="2"/>
  <c r="AQ156" i="2" s="1"/>
  <c r="AS156" i="2" s="1"/>
  <c r="Q145" i="2"/>
  <c r="Q140" i="2"/>
  <c r="Q137" i="2"/>
  <c r="Y137" i="2" s="1"/>
  <c r="Q136" i="2"/>
  <c r="Y136" i="2" s="1"/>
  <c r="Q130" i="2"/>
  <c r="AQ130" i="2" s="1"/>
  <c r="AS130" i="2" s="1"/>
  <c r="Q129" i="2"/>
  <c r="Q128" i="2"/>
  <c r="AQ128" i="2" s="1"/>
  <c r="AS128" i="2" s="1"/>
  <c r="Q127" i="2"/>
  <c r="AQ127" i="2" s="1"/>
  <c r="AS127" i="2" s="1"/>
  <c r="Q121" i="2"/>
  <c r="Y121" i="2" s="1"/>
  <c r="Q119" i="2"/>
  <c r="AQ119" i="2" s="1"/>
  <c r="AS119" i="2" s="1"/>
  <c r="Q104" i="2"/>
  <c r="Q101" i="2"/>
  <c r="Q98" i="2"/>
  <c r="Y98" i="2" s="1"/>
  <c r="Q97" i="2"/>
  <c r="AQ97" i="2" s="1"/>
  <c r="AS97" i="2" s="1"/>
  <c r="Q96" i="2"/>
  <c r="Y96" i="2" s="1"/>
  <c r="Q88" i="2"/>
  <c r="AQ88" i="2" s="1"/>
  <c r="AS88" i="2" s="1"/>
  <c r="Q87" i="2"/>
  <c r="Q83" i="2"/>
  <c r="Y83" i="2" s="1"/>
  <c r="Q76" i="2"/>
  <c r="Y76" i="2" s="1"/>
  <c r="Q74" i="2"/>
  <c r="AQ74" i="2" s="1"/>
  <c r="AS74" i="2" s="1"/>
  <c r="Q67" i="2"/>
  <c r="AQ67" i="2" s="1"/>
  <c r="AS67" i="2" s="1"/>
  <c r="Q63" i="2"/>
  <c r="Y63" i="2" s="1"/>
  <c r="Q59" i="2"/>
  <c r="Y59" i="2" s="1"/>
  <c r="Q58" i="2"/>
  <c r="Y58" i="2" s="1"/>
  <c r="Q52" i="2"/>
  <c r="Q45" i="2"/>
  <c r="Y45" i="2" s="1"/>
  <c r="Q37" i="2"/>
  <c r="Q35" i="2"/>
  <c r="Q28" i="2"/>
  <c r="AQ28" i="2" s="1"/>
  <c r="AS28" i="2" s="1"/>
  <c r="Q23" i="2"/>
  <c r="AQ23" i="2" s="1"/>
  <c r="AS23" i="2" s="1"/>
  <c r="Q21" i="2"/>
  <c r="Q19" i="2"/>
  <c r="Y19" i="2" s="1"/>
  <c r="AQ936" i="2"/>
  <c r="AS936" i="2" s="1"/>
  <c r="AQ854" i="2"/>
  <c r="AS854" i="2" s="1"/>
  <c r="AQ786" i="2"/>
  <c r="AS786" i="2" s="1"/>
  <c r="AQ782" i="2"/>
  <c r="AS782" i="2" s="1"/>
  <c r="AQ766" i="2"/>
  <c r="AS766" i="2" s="1"/>
  <c r="AQ665" i="2"/>
  <c r="AS665" i="2" s="1"/>
  <c r="Q969" i="2"/>
  <c r="Q963" i="2"/>
  <c r="Y963" i="2" s="1"/>
  <c r="Q955" i="2"/>
  <c r="Y955" i="2" s="1"/>
  <c r="Q951" i="2"/>
  <c r="Y951" i="2" s="1"/>
  <c r="Q943" i="2"/>
  <c r="Y943" i="2" s="1"/>
  <c r="Q941" i="2"/>
  <c r="Q935" i="2"/>
  <c r="Y935" i="2" s="1"/>
  <c r="Q933" i="2"/>
  <c r="Q932" i="2"/>
  <c r="Q931" i="2"/>
  <c r="Y931" i="2" s="1"/>
  <c r="Q930" i="2"/>
  <c r="Q929" i="2"/>
  <c r="Q927" i="2"/>
  <c r="Y927" i="2" s="1"/>
  <c r="Q924" i="2"/>
  <c r="Q919" i="2"/>
  <c r="Q918" i="2"/>
  <c r="AQ918" i="2" s="1"/>
  <c r="AS918" i="2" s="1"/>
  <c r="Q914" i="2"/>
  <c r="Q913" i="2"/>
  <c r="AQ913" i="2" s="1"/>
  <c r="AS913" i="2" s="1"/>
  <c r="Q910" i="2"/>
  <c r="AQ910" i="2" s="1"/>
  <c r="AS910" i="2" s="1"/>
  <c r="Q906" i="2"/>
  <c r="AQ906" i="2" s="1"/>
  <c r="AS906" i="2" s="1"/>
  <c r="Q902" i="2"/>
  <c r="Q897" i="2"/>
  <c r="Y897" i="2" s="1"/>
  <c r="Q894" i="2"/>
  <c r="Q889" i="2"/>
  <c r="AQ889" i="2" s="1"/>
  <c r="AS889" i="2" s="1"/>
  <c r="Q886" i="2"/>
  <c r="AQ886" i="2" s="1"/>
  <c r="AS886" i="2" s="1"/>
  <c r="Q882" i="2"/>
  <c r="Y882" i="2" s="1"/>
  <c r="Q878" i="2"/>
  <c r="Q869" i="2"/>
  <c r="Y869" i="2" s="1"/>
  <c r="Q867" i="2"/>
  <c r="Y867" i="2" s="1"/>
  <c r="Q860" i="2"/>
  <c r="AQ860" i="2" s="1"/>
  <c r="AS860" i="2" s="1"/>
  <c r="Q853" i="2"/>
  <c r="Q852" i="2"/>
  <c r="Y852" i="2" s="1"/>
  <c r="Q851" i="2"/>
  <c r="Y851" i="2" s="1"/>
  <c r="Q844" i="2"/>
  <c r="Y844" i="2" s="1"/>
  <c r="Q838" i="2"/>
  <c r="AQ838" i="2" s="1"/>
  <c r="AS838" i="2" s="1"/>
  <c r="Q834" i="2"/>
  <c r="Y834" i="2" s="1"/>
  <c r="Q831" i="2"/>
  <c r="Q830" i="2"/>
  <c r="Y830" i="2" s="1"/>
  <c r="Q825" i="2"/>
  <c r="AQ825" i="2" s="1"/>
  <c r="AS825" i="2" s="1"/>
  <c r="Q813" i="2"/>
  <c r="Y813" i="2" s="1"/>
  <c r="Q810" i="2"/>
  <c r="Y810" i="2" s="1"/>
  <c r="Q805" i="2"/>
  <c r="Q804" i="2"/>
  <c r="Y804" i="2" s="1"/>
  <c r="Q803" i="2"/>
  <c r="Y803" i="2" s="1"/>
  <c r="Q802" i="2"/>
  <c r="Y802" i="2" s="1"/>
  <c r="Q798" i="2"/>
  <c r="Q794" i="2"/>
  <c r="Y794" i="2" s="1"/>
  <c r="Q787" i="2"/>
  <c r="Y787" i="2" s="1"/>
  <c r="Q779" i="2"/>
  <c r="AQ779" i="2" s="1"/>
  <c r="AS779" i="2" s="1"/>
  <c r="Q778" i="2"/>
  <c r="Y778" i="2" s="1"/>
  <c r="Q777" i="2"/>
  <c r="AQ777" i="2" s="1"/>
  <c r="AS777" i="2" s="1"/>
  <c r="Q775" i="2"/>
  <c r="Y775" i="2" s="1"/>
  <c r="Q773" i="2"/>
  <c r="Y773" i="2" s="1"/>
  <c r="Q772" i="2"/>
  <c r="AQ772" i="2" s="1"/>
  <c r="AS772" i="2" s="1"/>
  <c r="Q765" i="2"/>
  <c r="Y765" i="2" s="1"/>
  <c r="Q763" i="2"/>
  <c r="Q762" i="2"/>
  <c r="Y762" i="2" s="1"/>
  <c r="Q761" i="2"/>
  <c r="AQ761" i="2" s="1"/>
  <c r="AS761" i="2" s="1"/>
  <c r="Q752" i="2"/>
  <c r="AQ752" i="2" s="1"/>
  <c r="AS752" i="2" s="1"/>
  <c r="Q750" i="2"/>
  <c r="AQ750" i="2" s="1"/>
  <c r="AS750" i="2" s="1"/>
  <c r="Q743" i="2"/>
  <c r="Y743" i="2" s="1"/>
  <c r="Q740" i="2"/>
  <c r="Y740" i="2" s="1"/>
  <c r="Q737" i="2"/>
  <c r="Y737" i="2" s="1"/>
  <c r="Q733" i="2"/>
  <c r="Y733" i="2" s="1"/>
  <c r="Q731" i="2"/>
  <c r="Y731" i="2" s="1"/>
  <c r="Q730" i="2"/>
  <c r="AQ730" i="2" s="1"/>
  <c r="AS730" i="2" s="1"/>
  <c r="Q729" i="2"/>
  <c r="AQ729" i="2" s="1"/>
  <c r="AS729" i="2" s="1"/>
  <c r="Q721" i="2"/>
  <c r="Y721" i="2" s="1"/>
  <c r="Q720" i="2"/>
  <c r="AQ720" i="2" s="1"/>
  <c r="AS720" i="2" s="1"/>
  <c r="Q718" i="2"/>
  <c r="Q714" i="2"/>
  <c r="Y714" i="2" s="1"/>
  <c r="Q704" i="2"/>
  <c r="Y704" i="2" s="1"/>
  <c r="Q701" i="2"/>
  <c r="Y701" i="2" s="1"/>
  <c r="Q699" i="2"/>
  <c r="Y699" i="2" s="1"/>
  <c r="Q698" i="2"/>
  <c r="AQ698" i="2" s="1"/>
  <c r="AS698" i="2" s="1"/>
  <c r="Q696" i="2"/>
  <c r="Y696" i="2" s="1"/>
  <c r="Q682" i="2"/>
  <c r="Y682" i="2" s="1"/>
  <c r="Q681" i="2"/>
  <c r="Y681" i="2" s="1"/>
  <c r="Q677" i="2"/>
  <c r="Y677" i="2" s="1"/>
  <c r="Q676" i="2"/>
  <c r="AQ676" i="2" s="1"/>
  <c r="AS676" i="2" s="1"/>
  <c r="Q675" i="2"/>
  <c r="AQ675" i="2" s="1"/>
  <c r="AS675" i="2" s="1"/>
  <c r="Q674" i="2"/>
  <c r="Y674" i="2" s="1"/>
  <c r="Q673" i="2"/>
  <c r="Y673" i="2" s="1"/>
  <c r="Q671" i="2"/>
  <c r="Y671" i="2" s="1"/>
  <c r="Q667" i="2"/>
  <c r="AQ667" i="2" s="1"/>
  <c r="AS667" i="2" s="1"/>
  <c r="Q666" i="2"/>
  <c r="Y666" i="2" s="1"/>
  <c r="Q664" i="2"/>
  <c r="Q656" i="2"/>
  <c r="AQ656" i="2" s="1"/>
  <c r="AS656" i="2" s="1"/>
  <c r="Q654" i="2"/>
  <c r="AQ654" i="2" s="1"/>
  <c r="AS654" i="2" s="1"/>
  <c r="Q653" i="2"/>
  <c r="AQ653" i="2" s="1"/>
  <c r="AS653" i="2" s="1"/>
  <c r="Q639" i="2"/>
  <c r="Q636" i="2"/>
  <c r="Y636" i="2" s="1"/>
  <c r="Q635" i="2"/>
  <c r="AQ635" i="2" s="1"/>
  <c r="AS635" i="2" s="1"/>
  <c r="Q629" i="2"/>
  <c r="Q625" i="2"/>
  <c r="Y625" i="2" s="1"/>
  <c r="Q622" i="2"/>
  <c r="AQ622" i="2" s="1"/>
  <c r="AS622" i="2" s="1"/>
  <c r="Q615" i="2"/>
  <c r="AQ615" i="2" s="1"/>
  <c r="AS615" i="2" s="1"/>
  <c r="Q613" i="2"/>
  <c r="Y613" i="2" s="1"/>
  <c r="Q612" i="2"/>
  <c r="AQ612" i="2" s="1"/>
  <c r="AS612" i="2" s="1"/>
  <c r="Q611" i="2"/>
  <c r="AQ611" i="2" s="1"/>
  <c r="AS611" i="2" s="1"/>
  <c r="Q610" i="2"/>
  <c r="Y610" i="2" s="1"/>
  <c r="Q608" i="2"/>
  <c r="AQ608" i="2" s="1"/>
  <c r="AS608" i="2" s="1"/>
  <c r="Q607" i="2"/>
  <c r="Y607" i="2" s="1"/>
  <c r="Q605" i="2"/>
  <c r="Y605" i="2" s="1"/>
  <c r="Q603" i="2"/>
  <c r="Y603" i="2" s="1"/>
  <c r="Q602" i="2"/>
  <c r="Q600" i="2"/>
  <c r="Q599" i="2"/>
  <c r="Y599" i="2" s="1"/>
  <c r="Q597" i="2"/>
  <c r="Y597" i="2" s="1"/>
  <c r="Q591" i="2"/>
  <c r="Y591" i="2" s="1"/>
  <c r="Q585" i="2"/>
  <c r="Y585" i="2" s="1"/>
  <c r="Q581" i="2"/>
  <c r="Y581" i="2" s="1"/>
  <c r="Q579" i="2"/>
  <c r="Y579" i="2" s="1"/>
  <c r="Q569" i="2"/>
  <c r="Y569" i="2" s="1"/>
  <c r="Q567" i="2"/>
  <c r="Q566" i="2"/>
  <c r="Y566" i="2" s="1"/>
  <c r="Q561" i="2"/>
  <c r="Q560" i="2"/>
  <c r="Y560" i="2" s="1"/>
  <c r="Q556" i="2"/>
  <c r="AQ556" i="2" s="1"/>
  <c r="AS556" i="2" s="1"/>
  <c r="Q555" i="2"/>
  <c r="Y555" i="2" s="1"/>
  <c r="Q550" i="2"/>
  <c r="AQ550" i="2" s="1"/>
  <c r="AS550" i="2" s="1"/>
  <c r="Q543" i="2"/>
  <c r="Q534" i="2"/>
  <c r="Y534" i="2" s="1"/>
  <c r="Q533" i="2"/>
  <c r="AQ533" i="2" s="1"/>
  <c r="AS533" i="2" s="1"/>
  <c r="Q531" i="2"/>
  <c r="Y531" i="2" s="1"/>
  <c r="Q529" i="2"/>
  <c r="Y529" i="2" s="1"/>
  <c r="Q526" i="2"/>
  <c r="Y526" i="2" s="1"/>
  <c r="AQ379" i="2"/>
  <c r="AS379" i="2" s="1"/>
  <c r="Q516" i="2"/>
  <c r="AQ516" i="2" s="1"/>
  <c r="AS516" i="2" s="1"/>
  <c r="Q507" i="2"/>
  <c r="Y507" i="2" s="1"/>
  <c r="Q506" i="2"/>
  <c r="Q505" i="2"/>
  <c r="Y505" i="2" s="1"/>
  <c r="Q499" i="2"/>
  <c r="Y499" i="2" s="1"/>
  <c r="Q491" i="2"/>
  <c r="Y491" i="2" s="1"/>
  <c r="Q490" i="2"/>
  <c r="Q489" i="2"/>
  <c r="Y489" i="2" s="1"/>
  <c r="Q488" i="2"/>
  <c r="Y488" i="2" s="1"/>
  <c r="Q485" i="2"/>
  <c r="Q482" i="2"/>
  <c r="Y482" i="2" s="1"/>
  <c r="Q480" i="2"/>
  <c r="AQ480" i="2" s="1"/>
  <c r="AS480" i="2" s="1"/>
  <c r="Q477" i="2"/>
  <c r="Q459" i="2"/>
  <c r="Y459" i="2" s="1"/>
  <c r="Q457" i="2"/>
  <c r="Y457" i="2" s="1"/>
  <c r="Q456" i="2"/>
  <c r="Y456" i="2" s="1"/>
  <c r="Q454" i="2"/>
  <c r="Y454" i="2" s="1"/>
  <c r="Q452" i="2"/>
  <c r="Q451" i="2"/>
  <c r="Y451" i="2" s="1"/>
  <c r="Q449" i="2"/>
  <c r="Y449" i="2" s="1"/>
  <c r="Q447" i="2"/>
  <c r="Q446" i="2"/>
  <c r="Y446" i="2" s="1"/>
  <c r="Q445" i="2"/>
  <c r="AQ445" i="2" s="1"/>
  <c r="AS445" i="2" s="1"/>
  <c r="Q444" i="2"/>
  <c r="Y444" i="2" s="1"/>
  <c r="Q441" i="2"/>
  <c r="Y441" i="2" s="1"/>
  <c r="Q431" i="2"/>
  <c r="Y431" i="2" s="1"/>
  <c r="Q429" i="2"/>
  <c r="Y429" i="2" s="1"/>
  <c r="Q428" i="2"/>
  <c r="AQ428" i="2" s="1"/>
  <c r="AS428" i="2" s="1"/>
  <c r="Q421" i="2"/>
  <c r="Y421" i="2" s="1"/>
  <c r="Q419" i="2"/>
  <c r="Y419" i="2" s="1"/>
  <c r="Q418" i="2"/>
  <c r="Y418" i="2" s="1"/>
  <c r="Q415" i="2"/>
  <c r="Y415" i="2" s="1"/>
  <c r="Q414" i="2"/>
  <c r="Y414" i="2" s="1"/>
  <c r="Q413" i="2"/>
  <c r="AQ413" i="2" s="1"/>
  <c r="AS413" i="2" s="1"/>
  <c r="Q407" i="2"/>
  <c r="Y407" i="2" s="1"/>
  <c r="Q406" i="2"/>
  <c r="Y406" i="2" s="1"/>
  <c r="Q403" i="2"/>
  <c r="Y403" i="2" s="1"/>
  <c r="Q398" i="2"/>
  <c r="Y398" i="2" s="1"/>
  <c r="Q397" i="2"/>
  <c r="AQ397" i="2" s="1"/>
  <c r="AS397" i="2" s="1"/>
  <c r="Q391" i="2"/>
  <c r="Y391" i="2" s="1"/>
  <c r="Q388" i="2"/>
  <c r="Y388" i="2" s="1"/>
  <c r="Q387" i="2"/>
  <c r="AQ387" i="2" s="1"/>
  <c r="AS387" i="2" s="1"/>
  <c r="Q369" i="2"/>
  <c r="Y369" i="2" s="1"/>
  <c r="Q367" i="2"/>
  <c r="AQ367" i="2" s="1"/>
  <c r="AS367" i="2" s="1"/>
  <c r="Q365" i="2"/>
  <c r="Y365" i="2" s="1"/>
  <c r="Q361" i="2"/>
  <c r="Y361" i="2" s="1"/>
  <c r="Q354" i="2"/>
  <c r="Y354" i="2" s="1"/>
  <c r="Q345" i="2"/>
  <c r="Y345" i="2" s="1"/>
  <c r="Q343" i="2"/>
  <c r="AQ343" i="2" s="1"/>
  <c r="AS343" i="2" s="1"/>
  <c r="Q342" i="2"/>
  <c r="AQ342" i="2" s="1"/>
  <c r="AS342" i="2" s="1"/>
  <c r="Q341" i="2"/>
  <c r="Y341" i="2" s="1"/>
  <c r="Q340" i="2"/>
  <c r="Y340" i="2" s="1"/>
  <c r="Q329" i="2"/>
  <c r="AQ329" i="2" s="1"/>
  <c r="AS329" i="2" s="1"/>
  <c r="Q325" i="2"/>
  <c r="Q322" i="2"/>
  <c r="Q319" i="2"/>
  <c r="Q311" i="2"/>
  <c r="Q308" i="2"/>
  <c r="AQ308" i="2" s="1"/>
  <c r="AS308" i="2" s="1"/>
  <c r="Q306" i="2"/>
  <c r="Q304" i="2"/>
  <c r="Y304" i="2" s="1"/>
  <c r="Q300" i="2"/>
  <c r="Y300" i="2" s="1"/>
  <c r="Q299" i="2"/>
  <c r="Y299" i="2" s="1"/>
  <c r="Q298" i="2"/>
  <c r="AQ298" i="2" s="1"/>
  <c r="AS298" i="2" s="1"/>
  <c r="Q296" i="2"/>
  <c r="Q286" i="2"/>
  <c r="Q284" i="2"/>
  <c r="Q281" i="2"/>
  <c r="Y281" i="2" s="1"/>
  <c r="Q278" i="2"/>
  <c r="Q276" i="2"/>
  <c r="Q275" i="2"/>
  <c r="Q272" i="2"/>
  <c r="Y272" i="2" s="1"/>
  <c r="Q270" i="2"/>
  <c r="AQ351" i="2"/>
  <c r="AS351" i="2" s="1"/>
  <c r="AQ273" i="2"/>
  <c r="AS273" i="2" s="1"/>
  <c r="AQ265" i="2"/>
  <c r="AS265" i="2" s="1"/>
  <c r="AQ230" i="2"/>
  <c r="AS230" i="2" s="1"/>
  <c r="AQ167" i="2"/>
  <c r="AS167" i="2" s="1"/>
  <c r="Q268" i="2"/>
  <c r="AQ268" i="2" s="1"/>
  <c r="AS268" i="2" s="1"/>
  <c r="Q267" i="2"/>
  <c r="Y267" i="2" s="1"/>
  <c r="Q264" i="2"/>
  <c r="AQ264" i="2" s="1"/>
  <c r="AS264" i="2" s="1"/>
  <c r="Q254" i="2"/>
  <c r="Q253" i="2"/>
  <c r="AQ253" i="2" s="1"/>
  <c r="AS253" i="2" s="1"/>
  <c r="Q250" i="2"/>
  <c r="AQ250" i="2" s="1"/>
  <c r="AS250" i="2" s="1"/>
  <c r="Q247" i="2"/>
  <c r="AQ247" i="2" s="1"/>
  <c r="AS247" i="2" s="1"/>
  <c r="Q245" i="2"/>
  <c r="Y245" i="2" s="1"/>
  <c r="Q243" i="2"/>
  <c r="Y243" i="2" s="1"/>
  <c r="Q239" i="2"/>
  <c r="AQ239" i="2" s="1"/>
  <c r="AS239" i="2" s="1"/>
  <c r="Q237" i="2"/>
  <c r="AQ237" i="2" s="1"/>
  <c r="AS237" i="2" s="1"/>
  <c r="Q235" i="2"/>
  <c r="Y235" i="2" s="1"/>
  <c r="Q231" i="2"/>
  <c r="Y231" i="2" s="1"/>
  <c r="Q227" i="2"/>
  <c r="Q224" i="2"/>
  <c r="Y224" i="2" s="1"/>
  <c r="Q221" i="2"/>
  <c r="Y221" i="2" s="1"/>
  <c r="Q219" i="2"/>
  <c r="Y219" i="2" s="1"/>
  <c r="Q215" i="2"/>
  <c r="AQ215" i="2" s="1"/>
  <c r="AS215" i="2" s="1"/>
  <c r="Q213" i="2"/>
  <c r="Y213" i="2" s="1"/>
  <c r="Q211" i="2"/>
  <c r="Y211" i="2" s="1"/>
  <c r="Q209" i="2"/>
  <c r="Y209" i="2" s="1"/>
  <c r="Q206" i="2"/>
  <c r="Y206" i="2" s="1"/>
  <c r="Q203" i="2"/>
  <c r="Y203" i="2" s="1"/>
  <c r="Q199" i="2"/>
  <c r="Y199" i="2" s="1"/>
  <c r="Q193" i="2"/>
  <c r="Y193" i="2" s="1"/>
  <c r="Q190" i="2"/>
  <c r="Y190" i="2" s="1"/>
  <c r="Q188" i="2"/>
  <c r="AQ188" i="2" s="1"/>
  <c r="AS188" i="2" s="1"/>
  <c r="Q186" i="2"/>
  <c r="AQ186" i="2" s="1"/>
  <c r="AS186" i="2" s="1"/>
  <c r="Q183" i="2"/>
  <c r="Q176" i="2"/>
  <c r="AQ176" i="2" s="1"/>
  <c r="AS176" i="2" s="1"/>
  <c r="Q172" i="2"/>
  <c r="Y172" i="2" s="1"/>
  <c r="Q171" i="2"/>
  <c r="Y171" i="2" s="1"/>
  <c r="Q170" i="2"/>
  <c r="AQ170" i="2" s="1"/>
  <c r="AS170" i="2" s="1"/>
  <c r="Q168" i="2"/>
  <c r="Y168" i="2" s="1"/>
  <c r="Q166" i="2"/>
  <c r="AQ166" i="2" s="1"/>
  <c r="AS166" i="2" s="1"/>
  <c r="Q164" i="2"/>
  <c r="AQ164" i="2" s="1"/>
  <c r="AS164" i="2" s="1"/>
  <c r="Q158" i="2"/>
  <c r="AQ158" i="2" s="1"/>
  <c r="AS158" i="2" s="1"/>
  <c r="Q155" i="2"/>
  <c r="AQ155" i="2" s="1"/>
  <c r="AS155" i="2" s="1"/>
  <c r="Q152" i="2"/>
  <c r="Y152" i="2" s="1"/>
  <c r="Q151" i="2"/>
  <c r="Y151" i="2" s="1"/>
  <c r="Q148" i="2"/>
  <c r="AQ148" i="2" s="1"/>
  <c r="AS148" i="2" s="1"/>
  <c r="Q147" i="2"/>
  <c r="Y147" i="2" s="1"/>
  <c r="Q146" i="2"/>
  <c r="Y146" i="2" s="1"/>
  <c r="Q142" i="2"/>
  <c r="AQ142" i="2" s="1"/>
  <c r="AS142" i="2" s="1"/>
  <c r="Q139" i="2"/>
  <c r="Y139" i="2" s="1"/>
  <c r="Q138" i="2"/>
  <c r="Y138" i="2" s="1"/>
  <c r="Q135" i="2"/>
  <c r="Y135" i="2" s="1"/>
  <c r="Q134" i="2"/>
  <c r="Y134" i="2" s="1"/>
  <c r="Q131" i="2"/>
  <c r="Y131" i="2" s="1"/>
  <c r="Q126" i="2"/>
  <c r="Y126" i="2" s="1"/>
  <c r="Q124" i="2"/>
  <c r="Y124" i="2" s="1"/>
  <c r="Q123" i="2"/>
  <c r="Y123" i="2" s="1"/>
  <c r="Q122" i="2"/>
  <c r="AQ122" i="2" s="1"/>
  <c r="AS122" i="2" s="1"/>
  <c r="Q120" i="2"/>
  <c r="Y120" i="2" s="1"/>
  <c r="Q114" i="2"/>
  <c r="Y114" i="2" s="1"/>
  <c r="Q108" i="2"/>
  <c r="AQ108" i="2" s="1"/>
  <c r="AS108" i="2" s="1"/>
  <c r="Q99" i="2"/>
  <c r="Y99" i="2" s="1"/>
  <c r="Q92" i="2"/>
  <c r="AQ92" i="2" s="1"/>
  <c r="AS92" i="2" s="1"/>
  <c r="Q84" i="2"/>
  <c r="AQ84" i="2" s="1"/>
  <c r="AS84" i="2" s="1"/>
  <c r="Q82" i="2"/>
  <c r="Y82" i="2" s="1"/>
  <c r="Q81" i="2"/>
  <c r="Q75" i="2"/>
  <c r="AQ75" i="2" s="1"/>
  <c r="AS75" i="2" s="1"/>
  <c r="Q73" i="2"/>
  <c r="Y73" i="2" s="1"/>
  <c r="Q68" i="2"/>
  <c r="AQ68" i="2" s="1"/>
  <c r="AS68" i="2" s="1"/>
  <c r="Q61" i="2"/>
  <c r="Y61" i="2" s="1"/>
  <c r="Q57" i="2"/>
  <c r="AQ57" i="2" s="1"/>
  <c r="AS57" i="2" s="1"/>
  <c r="Q55" i="2"/>
  <c r="AQ55" i="2" s="1"/>
  <c r="AS55" i="2" s="1"/>
  <c r="Q51" i="2"/>
  <c r="Y51" i="2" s="1"/>
  <c r="Q50" i="2"/>
  <c r="Y50" i="2" s="1"/>
  <c r="Q49" i="2"/>
  <c r="AQ49" i="2" s="1"/>
  <c r="AS49" i="2" s="1"/>
  <c r="Q43" i="2"/>
  <c r="AQ43" i="2" s="1"/>
  <c r="AS43" i="2" s="1"/>
  <c r="Q36" i="2"/>
  <c r="AQ36" i="2" s="1"/>
  <c r="AS36" i="2" s="1"/>
  <c r="Q34" i="2"/>
  <c r="Y34" i="2" s="1"/>
  <c r="Q33" i="2"/>
  <c r="Y33" i="2" s="1"/>
  <c r="Q20" i="2"/>
  <c r="Q11" i="2"/>
  <c r="Q18" i="2"/>
  <c r="Y18" i="2" s="1"/>
  <c r="Q17" i="2"/>
  <c r="AQ17" i="2" s="1"/>
  <c r="AS17" i="2" s="1"/>
  <c r="Q15" i="2"/>
  <c r="AQ15" i="2" s="1"/>
  <c r="AS15" i="2" s="1"/>
  <c r="Q12" i="2"/>
  <c r="Q9" i="2"/>
  <c r="Y9" i="2" s="1"/>
  <c r="Q7" i="2"/>
  <c r="AQ7" i="2" s="1"/>
  <c r="AS7" i="2" s="1"/>
  <c r="Q5" i="2"/>
  <c r="Y5" i="2" s="1"/>
  <c r="AQ897" i="2"/>
  <c r="AS897" i="2" s="1"/>
  <c r="AQ472" i="2"/>
  <c r="AS472" i="2" s="1"/>
  <c r="AQ140" i="2"/>
  <c r="AS140" i="2" s="1"/>
  <c r="AQ755" i="2"/>
  <c r="AS755" i="2" s="1"/>
  <c r="AQ584" i="2"/>
  <c r="AS584" i="2" s="1"/>
  <c r="AQ52" i="2"/>
  <c r="AS52" i="2" s="1"/>
  <c r="AQ902" i="2"/>
  <c r="AS902" i="2" s="1"/>
  <c r="AQ878" i="2"/>
  <c r="AS878" i="2" s="1"/>
  <c r="AQ718" i="2"/>
  <c r="AS718" i="2" s="1"/>
  <c r="AQ606" i="2"/>
  <c r="AS606" i="2" s="1"/>
  <c r="AQ580" i="2"/>
  <c r="AS580" i="2" s="1"/>
  <c r="AQ798" i="2"/>
  <c r="AS798" i="2" s="1"/>
  <c r="AQ434" i="2"/>
  <c r="AS434" i="2" s="1"/>
  <c r="AQ276" i="2"/>
  <c r="AS276" i="2" s="1"/>
  <c r="AQ219" i="2"/>
  <c r="AS219" i="2" s="1"/>
  <c r="AQ206" i="2"/>
  <c r="AS206" i="2" s="1"/>
  <c r="AQ183" i="2"/>
  <c r="AS183" i="2" s="1"/>
  <c r="AQ717" i="2"/>
  <c r="AS717" i="2" s="1"/>
  <c r="AQ915" i="2"/>
  <c r="AS915" i="2" s="1"/>
  <c r="Y766" i="2"/>
  <c r="AQ537" i="2"/>
  <c r="AS537" i="2" s="1"/>
  <c r="AQ208" i="2"/>
  <c r="AS208" i="2" s="1"/>
  <c r="Y878" i="2"/>
  <c r="Y379" i="2"/>
  <c r="Y308" i="2"/>
  <c r="AQ246" i="2"/>
  <c r="AS246" i="2" s="1"/>
  <c r="Y503" i="2"/>
  <c r="AQ238" i="2"/>
  <c r="AS238" i="2" s="1"/>
  <c r="Y902" i="2"/>
  <c r="AQ107" i="2"/>
  <c r="AS107" i="2" s="1"/>
  <c r="AQ82" i="2"/>
  <c r="AS82" i="2" s="1"/>
  <c r="Y510" i="2"/>
  <c r="Y472" i="2"/>
  <c r="AQ454" i="2"/>
  <c r="AS454" i="2" s="1"/>
  <c r="AQ424" i="2"/>
  <c r="AS424" i="2" s="1"/>
  <c r="Y825" i="2"/>
  <c r="AQ634" i="2"/>
  <c r="AS634" i="2" s="1"/>
  <c r="Y617" i="2"/>
  <c r="Y906" i="2"/>
  <c r="AQ768" i="2"/>
  <c r="AS768" i="2" s="1"/>
  <c r="Y768" i="2"/>
  <c r="AQ763" i="2"/>
  <c r="AS763" i="2" s="1"/>
  <c r="Y763" i="2"/>
  <c r="AQ882" i="2"/>
  <c r="AS882" i="2" s="1"/>
  <c r="AQ765" i="2"/>
  <c r="AS765" i="2" s="1"/>
  <c r="AQ624" i="2"/>
  <c r="AS624" i="2" s="1"/>
  <c r="Y624" i="2"/>
  <c r="Y667" i="2"/>
  <c r="AQ914" i="2"/>
  <c r="AS914" i="2" s="1"/>
  <c r="Y914" i="2"/>
  <c r="AQ850" i="2"/>
  <c r="AS850" i="2" s="1"/>
  <c r="AQ677" i="2"/>
  <c r="AS677" i="2" s="1"/>
  <c r="Y621" i="2"/>
  <c r="AQ621" i="2"/>
  <c r="AS621" i="2" s="1"/>
  <c r="Y964" i="2"/>
  <c r="AQ964" i="2"/>
  <c r="AS964" i="2" s="1"/>
  <c r="AQ651" i="2"/>
  <c r="AS651" i="2" s="1"/>
  <c r="Y651" i="2"/>
  <c r="Y436" i="2"/>
  <c r="AQ436" i="2"/>
  <c r="AS436" i="2" s="1"/>
  <c r="Y653" i="2"/>
  <c r="Y784" i="2"/>
  <c r="AQ784" i="2"/>
  <c r="AS784" i="2" s="1"/>
  <c r="AQ305" i="2"/>
  <c r="AS305" i="2" s="1"/>
  <c r="Y305" i="2"/>
  <c r="Q944" i="2"/>
  <c r="AQ944" i="2" s="1"/>
  <c r="AS944" i="2" s="1"/>
  <c r="Q939" i="2"/>
  <c r="Y939" i="2" s="1"/>
  <c r="Q928" i="2"/>
  <c r="Q923" i="2"/>
  <c r="Y923" i="2" s="1"/>
  <c r="Q921" i="2"/>
  <c r="AQ921" i="2" s="1"/>
  <c r="AS921" i="2" s="1"/>
  <c r="Q917" i="2"/>
  <c r="Q898" i="2"/>
  <c r="Q896" i="2"/>
  <c r="Q891" i="2"/>
  <c r="Y891" i="2" s="1"/>
  <c r="Q885" i="2"/>
  <c r="Q859" i="2"/>
  <c r="Y859" i="2" s="1"/>
  <c r="Q857" i="2"/>
  <c r="Y817" i="2"/>
  <c r="Q806" i="2"/>
  <c r="Q785" i="2"/>
  <c r="Q781" i="2"/>
  <c r="Q757" i="2"/>
  <c r="Q732" i="2"/>
  <c r="Y732" i="2" s="1"/>
  <c r="Q703" i="2"/>
  <c r="Y703" i="2" s="1"/>
  <c r="Q609" i="2"/>
  <c r="Y609" i="2" s="1"/>
  <c r="Q604" i="2"/>
  <c r="Y604" i="2" s="1"/>
  <c r="Y575" i="2"/>
  <c r="AQ575" i="2"/>
  <c r="AS575" i="2" s="1"/>
  <c r="Q549" i="2"/>
  <c r="Y549" i="2" s="1"/>
  <c r="Q363" i="2"/>
  <c r="AQ363" i="2" s="1"/>
  <c r="AS363" i="2" s="1"/>
  <c r="AQ922" i="2"/>
  <c r="AS922" i="2" s="1"/>
  <c r="AQ899" i="2"/>
  <c r="AS899" i="2" s="1"/>
  <c r="AQ818" i="2"/>
  <c r="AS818" i="2" s="1"/>
  <c r="Y786" i="2"/>
  <c r="Y718" i="2"/>
  <c r="AQ691" i="2"/>
  <c r="AS691" i="2" s="1"/>
  <c r="Y691" i="2"/>
  <c r="AQ647" i="2"/>
  <c r="AS647" i="2" s="1"/>
  <c r="Y606" i="2"/>
  <c r="Y584" i="2"/>
  <c r="AQ526" i="2"/>
  <c r="AS526" i="2" s="1"/>
  <c r="AQ412" i="2"/>
  <c r="AS412" i="2" s="1"/>
  <c r="Y412" i="2"/>
  <c r="AQ373" i="2"/>
  <c r="AS373" i="2" s="1"/>
  <c r="AQ370" i="2"/>
  <c r="AS370" i="2" s="1"/>
  <c r="Y297" i="2"/>
  <c r="AQ297" i="2"/>
  <c r="AS297" i="2" s="1"/>
  <c r="AQ931" i="2"/>
  <c r="AS931" i="2" s="1"/>
  <c r="AQ927" i="2"/>
  <c r="AS927" i="2" s="1"/>
  <c r="Y910" i="2"/>
  <c r="Q962" i="2"/>
  <c r="Q957" i="2"/>
  <c r="Q925" i="2"/>
  <c r="Y925" i="2" s="1"/>
  <c r="AQ920" i="2"/>
  <c r="AS920" i="2" s="1"/>
  <c r="Q916" i="2"/>
  <c r="Q895" i="2"/>
  <c r="AQ888" i="2"/>
  <c r="AS888" i="2" s="1"/>
  <c r="Y886" i="2"/>
  <c r="Q873" i="2"/>
  <c r="AQ873" i="2" s="1"/>
  <c r="AS873" i="2" s="1"/>
  <c r="Q868" i="2"/>
  <c r="AQ868" i="2" s="1"/>
  <c r="AS868" i="2" s="1"/>
  <c r="Q861" i="2"/>
  <c r="Y861" i="2" s="1"/>
  <c r="AQ851" i="2"/>
  <c r="AS851" i="2" s="1"/>
  <c r="Q826" i="2"/>
  <c r="Q821" i="2"/>
  <c r="Y821" i="2" s="1"/>
  <c r="Q812" i="2"/>
  <c r="AQ812" i="2" s="1"/>
  <c r="AS812" i="2" s="1"/>
  <c r="Q808" i="2"/>
  <c r="Y808" i="2" s="1"/>
  <c r="Q797" i="2"/>
  <c r="Y797" i="2" s="1"/>
  <c r="Y782" i="2"/>
  <c r="Q780" i="2"/>
  <c r="Y780" i="2" s="1"/>
  <c r="Q769" i="2"/>
  <c r="Y769" i="2" s="1"/>
  <c r="Q756" i="2"/>
  <c r="Y756" i="2" s="1"/>
  <c r="Q741" i="2"/>
  <c r="Q734" i="2"/>
  <c r="Q716" i="2"/>
  <c r="Q707" i="2"/>
  <c r="AQ707" i="2" s="1"/>
  <c r="AS707" i="2" s="1"/>
  <c r="AQ690" i="2"/>
  <c r="AS690" i="2" s="1"/>
  <c r="Q638" i="2"/>
  <c r="Q553" i="2"/>
  <c r="Y553" i="2" s="1"/>
  <c r="AQ548" i="2"/>
  <c r="AS548" i="2" s="1"/>
  <c r="Y548" i="2"/>
  <c r="AQ536" i="2"/>
  <c r="AS536" i="2" s="1"/>
  <c r="Y532" i="2"/>
  <c r="Y523" i="2"/>
  <c r="AQ523" i="2"/>
  <c r="AS523" i="2" s="1"/>
  <c r="Q513" i="2"/>
  <c r="AQ513" i="2" s="1"/>
  <c r="AS513" i="2" s="1"/>
  <c r="Q504" i="2"/>
  <c r="Y496" i="2"/>
  <c r="AQ450" i="2"/>
  <c r="AS450" i="2" s="1"/>
  <c r="Y450" i="2"/>
  <c r="AQ438" i="2"/>
  <c r="AS438" i="2" s="1"/>
  <c r="Y438" i="2"/>
  <c r="Y399" i="2"/>
  <c r="AQ399" i="2"/>
  <c r="AS399" i="2" s="1"/>
  <c r="Y115" i="2"/>
  <c r="AQ115" i="2"/>
  <c r="AS115" i="2" s="1"/>
  <c r="Q879" i="2"/>
  <c r="Y879" i="2" s="1"/>
  <c r="AQ874" i="2"/>
  <c r="AS874" i="2" s="1"/>
  <c r="Q863" i="2"/>
  <c r="Y863" i="2" s="1"/>
  <c r="Q788" i="2"/>
  <c r="Y788" i="2" s="1"/>
  <c r="Q738" i="2"/>
  <c r="AQ733" i="2"/>
  <c r="AS733" i="2" s="1"/>
  <c r="Q724" i="2"/>
  <c r="AQ724" i="2" s="1"/>
  <c r="AS724" i="2" s="1"/>
  <c r="Q684" i="2"/>
  <c r="Y675" i="2"/>
  <c r="Y661" i="2"/>
  <c r="AQ661" i="2"/>
  <c r="AS661" i="2" s="1"/>
  <c r="Q658" i="2"/>
  <c r="Y658" i="2" s="1"/>
  <c r="Q642" i="2"/>
  <c r="AQ642" i="2" s="1"/>
  <c r="AS642" i="2" s="1"/>
  <c r="Y635" i="2"/>
  <c r="Q628" i="2"/>
  <c r="AQ909" i="2"/>
  <c r="AS909" i="2" s="1"/>
  <c r="AQ610" i="2"/>
  <c r="AS610" i="2" s="1"/>
  <c r="AQ588" i="2"/>
  <c r="AS588" i="2" s="1"/>
  <c r="Y588" i="2"/>
  <c r="AQ484" i="2"/>
  <c r="AS484" i="2" s="1"/>
  <c r="Y484" i="2"/>
  <c r="Q947" i="2"/>
  <c r="Y947" i="2" s="1"/>
  <c r="Q911" i="2"/>
  <c r="Y911" i="2" s="1"/>
  <c r="Q907" i="2"/>
  <c r="Y907" i="2" s="1"/>
  <c r="Q901" i="2"/>
  <c r="Q890" i="2"/>
  <c r="Q881" i="2"/>
  <c r="AQ881" i="2" s="1"/>
  <c r="AS881" i="2" s="1"/>
  <c r="Q872" i="2"/>
  <c r="Y872" i="2" s="1"/>
  <c r="Q870" i="2"/>
  <c r="Q845" i="2"/>
  <c r="AQ840" i="2"/>
  <c r="AS840" i="2" s="1"/>
  <c r="Y838" i="2"/>
  <c r="Q836" i="2"/>
  <c r="Q827" i="2"/>
  <c r="Y827" i="2" s="1"/>
  <c r="Q801" i="2"/>
  <c r="Q796" i="2"/>
  <c r="Q792" i="2"/>
  <c r="AQ792" i="2" s="1"/>
  <c r="AS792" i="2" s="1"/>
  <c r="Q790" i="2"/>
  <c r="Q770" i="2"/>
  <c r="Y770" i="2" s="1"/>
  <c r="Q764" i="2"/>
  <c r="Y764" i="2" s="1"/>
  <c r="Q745" i="2"/>
  <c r="AQ688" i="2"/>
  <c r="AS688" i="2" s="1"/>
  <c r="Y688" i="2"/>
  <c r="AQ685" i="2"/>
  <c r="AS685" i="2" s="1"/>
  <c r="Q679" i="2"/>
  <c r="AQ669" i="2"/>
  <c r="AS669" i="2" s="1"/>
  <c r="Y665" i="2"/>
  <c r="Q663" i="2"/>
  <c r="Y663" i="2" s="1"/>
  <c r="Q649" i="2"/>
  <c r="Q637" i="2"/>
  <c r="Y615" i="2"/>
  <c r="Q486" i="2"/>
  <c r="AQ423" i="2"/>
  <c r="AS423" i="2" s="1"/>
  <c r="Y423" i="2"/>
  <c r="Y386" i="2"/>
  <c r="AQ386" i="2"/>
  <c r="AS386" i="2" s="1"/>
  <c r="AQ359" i="2"/>
  <c r="AS359" i="2" s="1"/>
  <c r="Y359" i="2"/>
  <c r="Q905" i="2"/>
  <c r="AQ894" i="2"/>
  <c r="AS894" i="2" s="1"/>
  <c r="Y894" i="2"/>
  <c r="Q809" i="2"/>
  <c r="AQ715" i="2"/>
  <c r="AS715" i="2" s="1"/>
  <c r="Y715" i="2"/>
  <c r="Q708" i="2"/>
  <c r="AQ495" i="2"/>
  <c r="AS495" i="2" s="1"/>
  <c r="Y495" i="2"/>
  <c r="AQ418" i="2"/>
  <c r="AS418" i="2" s="1"/>
  <c r="Y338" i="2"/>
  <c r="AQ338" i="2"/>
  <c r="AS338" i="2" s="1"/>
  <c r="Q893" i="2"/>
  <c r="Q865" i="2"/>
  <c r="Q848" i="2"/>
  <c r="Q846" i="2"/>
  <c r="Q835" i="2"/>
  <c r="Y835" i="2" s="1"/>
  <c r="Q833" i="2"/>
  <c r="AQ833" i="2" s="1"/>
  <c r="AS833" i="2" s="1"/>
  <c r="Q829" i="2"/>
  <c r="Q814" i="2"/>
  <c r="AQ668" i="2"/>
  <c r="AS668" i="2" s="1"/>
  <c r="Q660" i="2"/>
  <c r="AQ660" i="2" s="1"/>
  <c r="AS660" i="2" s="1"/>
  <c r="Q620" i="2"/>
  <c r="Q618" i="2"/>
  <c r="AQ618" i="2" s="1"/>
  <c r="AS618" i="2" s="1"/>
  <c r="Q595" i="2"/>
  <c r="AQ595" i="2" s="1"/>
  <c r="AS595" i="2" s="1"/>
  <c r="Y580" i="2"/>
  <c r="Q563" i="2"/>
  <c r="Q540" i="2"/>
  <c r="Y540" i="2" s="1"/>
  <c r="Q527" i="2"/>
  <c r="Q511" i="2"/>
  <c r="Q481" i="2"/>
  <c r="Y481" i="2" s="1"/>
  <c r="Q474" i="2"/>
  <c r="AQ474" i="2" s="1"/>
  <c r="AS474" i="2" s="1"/>
  <c r="Q401" i="2"/>
  <c r="Y401" i="2" s="1"/>
  <c r="AQ394" i="2"/>
  <c r="AS394" i="2" s="1"/>
  <c r="Q384" i="2"/>
  <c r="Y307" i="2"/>
  <c r="AQ307" i="2"/>
  <c r="AS307" i="2" s="1"/>
  <c r="Y254" i="2"/>
  <c r="AQ254" i="2"/>
  <c r="AS254" i="2" s="1"/>
  <c r="AQ132" i="2"/>
  <c r="AS132" i="2" s="1"/>
  <c r="Y132" i="2"/>
  <c r="Y92" i="2"/>
  <c r="Y528" i="2"/>
  <c r="AQ528" i="2"/>
  <c r="AS528" i="2" s="1"/>
  <c r="Y512" i="2"/>
  <c r="AQ500" i="2"/>
  <c r="AS500" i="2" s="1"/>
  <c r="Y500" i="2"/>
  <c r="AQ402" i="2"/>
  <c r="AS402" i="2" s="1"/>
  <c r="Y362" i="2"/>
  <c r="AQ362" i="2"/>
  <c r="AS362" i="2" s="1"/>
  <c r="AQ332" i="2"/>
  <c r="AS332" i="2" s="1"/>
  <c r="Y332" i="2"/>
  <c r="Q892" i="2"/>
  <c r="AQ892" i="2" s="1"/>
  <c r="AS892" i="2" s="1"/>
  <c r="Q871" i="2"/>
  <c r="Y871" i="2" s="1"/>
  <c r="Q847" i="2"/>
  <c r="AQ847" i="2" s="1"/>
  <c r="AS847" i="2" s="1"/>
  <c r="Q843" i="2"/>
  <c r="Y843" i="2" s="1"/>
  <c r="Q841" i="2"/>
  <c r="AQ841" i="2" s="1"/>
  <c r="AS841" i="2" s="1"/>
  <c r="Q839" i="2"/>
  <c r="AQ839" i="2" s="1"/>
  <c r="AS839" i="2" s="1"/>
  <c r="Q837" i="2"/>
  <c r="Q828" i="2"/>
  <c r="AQ828" i="2" s="1"/>
  <c r="AS828" i="2" s="1"/>
  <c r="Q824" i="2"/>
  <c r="Y824" i="2" s="1"/>
  <c r="Q822" i="2"/>
  <c r="Q815" i="2"/>
  <c r="AQ815" i="2" s="1"/>
  <c r="AS815" i="2" s="1"/>
  <c r="Q811" i="2"/>
  <c r="Q795" i="2"/>
  <c r="Q771" i="2"/>
  <c r="Q767" i="2"/>
  <c r="AQ767" i="2" s="1"/>
  <c r="AS767" i="2" s="1"/>
  <c r="Q759" i="2"/>
  <c r="Y759" i="2" s="1"/>
  <c r="Q739" i="2"/>
  <c r="AQ739" i="2" s="1"/>
  <c r="AS739" i="2" s="1"/>
  <c r="Q727" i="2"/>
  <c r="Y727" i="2" s="1"/>
  <c r="Q722" i="2"/>
  <c r="Q713" i="2"/>
  <c r="AQ713" i="2" s="1"/>
  <c r="AS713" i="2" s="1"/>
  <c r="Q711" i="2"/>
  <c r="Q702" i="2"/>
  <c r="Q686" i="2"/>
  <c r="Q670" i="2"/>
  <c r="Q627" i="2"/>
  <c r="AQ591" i="2"/>
  <c r="AS591" i="2" s="1"/>
  <c r="Q572" i="2"/>
  <c r="AQ572" i="2" s="1"/>
  <c r="AS572" i="2" s="1"/>
  <c r="Q520" i="2"/>
  <c r="Q502" i="2"/>
  <c r="Q487" i="2"/>
  <c r="AQ487" i="2" s="1"/>
  <c r="AS487" i="2" s="1"/>
  <c r="AQ482" i="2"/>
  <c r="AS482" i="2" s="1"/>
  <c r="Q463" i="2"/>
  <c r="AQ457" i="2"/>
  <c r="AS457" i="2" s="1"/>
  <c r="Q411" i="2"/>
  <c r="Y411" i="2" s="1"/>
  <c r="AQ408" i="2"/>
  <c r="AS408" i="2" s="1"/>
  <c r="Q291" i="2"/>
  <c r="Y291" i="2" s="1"/>
  <c r="Y253" i="2"/>
  <c r="AQ466" i="2"/>
  <c r="AS466" i="2" s="1"/>
  <c r="Y464" i="2"/>
  <c r="AQ464" i="2"/>
  <c r="AS464" i="2" s="1"/>
  <c r="Y413" i="2"/>
  <c r="Y378" i="2"/>
  <c r="AQ378" i="2"/>
  <c r="AS378" i="2" s="1"/>
  <c r="AQ193" i="2"/>
  <c r="AS193" i="2" s="1"/>
  <c r="AQ190" i="2"/>
  <c r="AS190" i="2" s="1"/>
  <c r="AQ131" i="2"/>
  <c r="AS131" i="2" s="1"/>
  <c r="AQ98" i="2"/>
  <c r="AS98" i="2" s="1"/>
  <c r="Q659" i="2"/>
  <c r="Y659" i="2" s="1"/>
  <c r="Q643" i="2"/>
  <c r="Q633" i="2"/>
  <c r="AQ633" i="2" s="1"/>
  <c r="AS633" i="2" s="1"/>
  <c r="Q626" i="2"/>
  <c r="Y626" i="2" s="1"/>
  <c r="Q601" i="2"/>
  <c r="Q596" i="2"/>
  <c r="AQ596" i="2" s="1"/>
  <c r="AS596" i="2" s="1"/>
  <c r="Q589" i="2"/>
  <c r="Y589" i="2" s="1"/>
  <c r="Q571" i="2"/>
  <c r="AQ571" i="2" s="1"/>
  <c r="AS571" i="2" s="1"/>
  <c r="AQ505" i="2"/>
  <c r="AS505" i="2" s="1"/>
  <c r="Q473" i="2"/>
  <c r="Y473" i="2" s="1"/>
  <c r="Q471" i="2"/>
  <c r="AQ471" i="2" s="1"/>
  <c r="AS471" i="2" s="1"/>
  <c r="Q435" i="2"/>
  <c r="Y435" i="2" s="1"/>
  <c r="Q313" i="2"/>
  <c r="AQ151" i="2"/>
  <c r="AS151" i="2" s="1"/>
  <c r="AQ76" i="2"/>
  <c r="AS76" i="2" s="1"/>
  <c r="AQ20" i="2"/>
  <c r="AS20" i="2" s="1"/>
  <c r="Y20" i="2"/>
  <c r="Q430" i="2"/>
  <c r="Y430" i="2" s="1"/>
  <c r="Q366" i="2"/>
  <c r="Y366" i="2" s="1"/>
  <c r="Q315" i="2"/>
  <c r="Y275" i="2"/>
  <c r="AQ275" i="2"/>
  <c r="AS275" i="2" s="1"/>
  <c r="AQ252" i="2"/>
  <c r="AS252" i="2" s="1"/>
  <c r="Y252" i="2"/>
  <c r="Q582" i="2"/>
  <c r="Y582" i="2" s="1"/>
  <c r="Q576" i="2"/>
  <c r="Y576" i="2" s="1"/>
  <c r="Q564" i="2"/>
  <c r="AQ564" i="2" s="1"/>
  <c r="AS564" i="2" s="1"/>
  <c r="Q557" i="2"/>
  <c r="Y557" i="2" s="1"/>
  <c r="Q547" i="2"/>
  <c r="Q545" i="2"/>
  <c r="Y545" i="2" s="1"/>
  <c r="Q497" i="2"/>
  <c r="AQ497" i="2" s="1"/>
  <c r="AS497" i="2" s="1"/>
  <c r="Q493" i="2"/>
  <c r="AQ493" i="2" s="1"/>
  <c r="AS493" i="2" s="1"/>
  <c r="Q483" i="2"/>
  <c r="Y483" i="2" s="1"/>
  <c r="Q468" i="2"/>
  <c r="AQ468" i="2" s="1"/>
  <c r="AS468" i="2" s="1"/>
  <c r="Q442" i="2"/>
  <c r="Q440" i="2"/>
  <c r="Y440" i="2" s="1"/>
  <c r="Q425" i="2"/>
  <c r="Y425" i="2" s="1"/>
  <c r="Q422" i="2"/>
  <c r="Q409" i="2"/>
  <c r="Q395" i="2"/>
  <c r="Q389" i="2"/>
  <c r="AQ389" i="2" s="1"/>
  <c r="AS389" i="2" s="1"/>
  <c r="Q381" i="2"/>
  <c r="Q374" i="2"/>
  <c r="Q347" i="2"/>
  <c r="Q302" i="2"/>
  <c r="Y302" i="2" s="1"/>
  <c r="Q288" i="2"/>
  <c r="Y288" i="2" s="1"/>
  <c r="Q283" i="2"/>
  <c r="Y283" i="2" s="1"/>
  <c r="Q279" i="2"/>
  <c r="AQ279" i="2" s="1"/>
  <c r="AS279" i="2" s="1"/>
  <c r="Q241" i="2"/>
  <c r="AQ241" i="2" s="1"/>
  <c r="AS241" i="2" s="1"/>
  <c r="Q222" i="2"/>
  <c r="Y222" i="2" s="1"/>
  <c r="Q218" i="2"/>
  <c r="AQ218" i="2" s="1"/>
  <c r="AS218" i="2" s="1"/>
  <c r="Q184" i="2"/>
  <c r="Y184" i="2" s="1"/>
  <c r="AQ181" i="2"/>
  <c r="AS181" i="2" s="1"/>
  <c r="Q175" i="2"/>
  <c r="AQ157" i="2"/>
  <c r="AS157" i="2" s="1"/>
  <c r="Q141" i="2"/>
  <c r="Q109" i="2"/>
  <c r="Y109" i="2" s="1"/>
  <c r="Q100" i="2"/>
  <c r="Y100" i="2" s="1"/>
  <c r="Q80" i="2"/>
  <c r="Q64" i="2"/>
  <c r="Q60" i="2"/>
  <c r="Q53" i="2"/>
  <c r="AQ53" i="2" s="1"/>
  <c r="AS53" i="2" s="1"/>
  <c r="Q48" i="2"/>
  <c r="Q44" i="2"/>
  <c r="Q39" i="2"/>
  <c r="AQ39" i="2" s="1"/>
  <c r="AS39" i="2" s="1"/>
  <c r="Q29" i="2"/>
  <c r="Y29" i="2" s="1"/>
  <c r="Q13" i="2"/>
  <c r="Y276" i="2"/>
  <c r="Q258" i="2"/>
  <c r="AQ258" i="2" s="1"/>
  <c r="AS258" i="2" s="1"/>
  <c r="AQ221" i="2"/>
  <c r="AS221" i="2" s="1"/>
  <c r="Y68" i="2"/>
  <c r="AQ337" i="2"/>
  <c r="AS337" i="2" s="1"/>
  <c r="Q333" i="2"/>
  <c r="Q301" i="2"/>
  <c r="Y301" i="2" s="1"/>
  <c r="Y155" i="2"/>
  <c r="Q153" i="2"/>
  <c r="Y153" i="2" s="1"/>
  <c r="Y140" i="2"/>
  <c r="Q111" i="2"/>
  <c r="Y111" i="2" s="1"/>
  <c r="Y97" i="2"/>
  <c r="Q93" i="2"/>
  <c r="Y93" i="2" s="1"/>
  <c r="Q77" i="2"/>
  <c r="AQ77" i="2" s="1"/>
  <c r="AS77" i="2" s="1"/>
  <c r="Q41" i="2"/>
  <c r="Y41" i="2" s="1"/>
  <c r="Q31" i="2"/>
  <c r="Y31" i="2" s="1"/>
  <c r="Q583" i="2"/>
  <c r="Y583" i="2" s="1"/>
  <c r="Q577" i="2"/>
  <c r="Q558" i="2"/>
  <c r="Q525" i="2"/>
  <c r="Y525" i="2" s="1"/>
  <c r="Q521" i="2"/>
  <c r="Y521" i="2" s="1"/>
  <c r="Q519" i="2"/>
  <c r="Y519" i="2" s="1"/>
  <c r="Q498" i="2"/>
  <c r="AQ498" i="2" s="1"/>
  <c r="AS498" i="2" s="1"/>
  <c r="Q467" i="2"/>
  <c r="Q458" i="2"/>
  <c r="Y458" i="2" s="1"/>
  <c r="Q432" i="2"/>
  <c r="AQ432" i="2" s="1"/>
  <c r="AS432" i="2" s="1"/>
  <c r="Q396" i="2"/>
  <c r="Y396" i="2" s="1"/>
  <c r="Q390" i="2"/>
  <c r="Y390" i="2" s="1"/>
  <c r="Q371" i="2"/>
  <c r="AQ371" i="2" s="1"/>
  <c r="AS371" i="2" s="1"/>
  <c r="Q364" i="2"/>
  <c r="AQ364" i="2" s="1"/>
  <c r="AS364" i="2" s="1"/>
  <c r="Q355" i="2"/>
  <c r="Q348" i="2"/>
  <c r="AQ348" i="2" s="1"/>
  <c r="AS348" i="2" s="1"/>
  <c r="Q339" i="2"/>
  <c r="Q335" i="2"/>
  <c r="Q328" i="2"/>
  <c r="Y328" i="2" s="1"/>
  <c r="Q323" i="2"/>
  <c r="Y323" i="2" s="1"/>
  <c r="Q316" i="2"/>
  <c r="AQ316" i="2" s="1"/>
  <c r="AS316" i="2" s="1"/>
  <c r="Q269" i="2"/>
  <c r="AQ269" i="2" s="1"/>
  <c r="AS269" i="2" s="1"/>
  <c r="Q200" i="2"/>
  <c r="AQ200" i="2" s="1"/>
  <c r="AS200" i="2" s="1"/>
  <c r="Q196" i="2"/>
  <c r="AQ196" i="2" s="1"/>
  <c r="AS196" i="2" s="1"/>
  <c r="Q194" i="2"/>
  <c r="Q178" i="2"/>
  <c r="Y178" i="2" s="1"/>
  <c r="Q79" i="2"/>
  <c r="AQ79" i="2" s="1"/>
  <c r="AS79" i="2" s="1"/>
  <c r="Q72" i="2"/>
  <c r="Y72" i="2" s="1"/>
  <c r="Q40" i="2"/>
  <c r="Y40" i="2" s="1"/>
  <c r="Q14" i="2"/>
  <c r="Q10" i="2"/>
  <c r="Y10" i="2" s="1"/>
  <c r="Q350" i="2"/>
  <c r="AQ350" i="2" s="1"/>
  <c r="AS350" i="2" s="1"/>
  <c r="Q244" i="2"/>
  <c r="AQ244" i="2" s="1"/>
  <c r="AS244" i="2" s="1"/>
  <c r="Q163" i="2"/>
  <c r="Q106" i="2"/>
  <c r="Y106" i="2" s="1"/>
  <c r="Q56" i="2"/>
  <c r="AQ56" i="2" s="1"/>
  <c r="AS56" i="2" s="1"/>
  <c r="Q259" i="2"/>
  <c r="AQ259" i="2" s="1"/>
  <c r="AS259" i="2" s="1"/>
  <c r="Q182" i="2"/>
  <c r="Y182" i="2" s="1"/>
  <c r="Q177" i="2"/>
  <c r="Y177" i="2" s="1"/>
  <c r="Q160" i="2"/>
  <c r="Y160" i="2" s="1"/>
  <c r="Q112" i="2"/>
  <c r="Y112" i="2" s="1"/>
  <c r="Q42" i="2"/>
  <c r="Y42" i="2" s="1"/>
  <c r="Q32" i="2"/>
  <c r="Q6" i="2"/>
  <c r="AQ6" i="2" s="1"/>
  <c r="AS6" i="2" s="1"/>
  <c r="Q4" i="2"/>
  <c r="AQ954" i="2"/>
  <c r="AS954" i="2" s="1"/>
  <c r="Y954" i="2"/>
  <c r="Y959" i="2"/>
  <c r="AQ959" i="2"/>
  <c r="AS959" i="2" s="1"/>
  <c r="AQ962" i="2"/>
  <c r="AS962" i="2" s="1"/>
  <c r="Y962" i="2"/>
  <c r="Y957" i="2"/>
  <c r="AQ957" i="2"/>
  <c r="AS957" i="2" s="1"/>
  <c r="AQ930" i="2"/>
  <c r="AS930" i="2" s="1"/>
  <c r="Y930" i="2"/>
  <c r="AQ895" i="2"/>
  <c r="AS895" i="2" s="1"/>
  <c r="Y895" i="2"/>
  <c r="AQ871" i="2"/>
  <c r="AS871" i="2" s="1"/>
  <c r="Y828" i="2"/>
  <c r="Q960" i="2"/>
  <c r="Q816" i="2"/>
  <c r="Y792" i="2"/>
  <c r="Y709" i="2"/>
  <c r="AQ709" i="2"/>
  <c r="AS709" i="2" s="1"/>
  <c r="AQ697" i="2"/>
  <c r="AS697" i="2" s="1"/>
  <c r="Y697" i="2"/>
  <c r="Y645" i="2"/>
  <c r="AQ645" i="2"/>
  <c r="AS645" i="2" s="1"/>
  <c r="Y639" i="2"/>
  <c r="AQ639" i="2"/>
  <c r="AS639" i="2" s="1"/>
  <c r="Y941" i="2"/>
  <c r="AQ941" i="2"/>
  <c r="AS941" i="2" s="1"/>
  <c r="Q887" i="2"/>
  <c r="AQ806" i="2"/>
  <c r="AS806" i="2" s="1"/>
  <c r="Y806" i="2"/>
  <c r="AQ961" i="2"/>
  <c r="AS961" i="2" s="1"/>
  <c r="Y961" i="2"/>
  <c r="Y940" i="2"/>
  <c r="AQ940" i="2"/>
  <c r="AS940" i="2" s="1"/>
  <c r="AQ938" i="2"/>
  <c r="AS938" i="2" s="1"/>
  <c r="Y938" i="2"/>
  <c r="Y936" i="2"/>
  <c r="AQ919" i="2"/>
  <c r="AS919" i="2" s="1"/>
  <c r="Y919" i="2"/>
  <c r="Q903" i="2"/>
  <c r="Q832" i="2"/>
  <c r="AQ813" i="2"/>
  <c r="AS813" i="2" s="1"/>
  <c r="Y800" i="2"/>
  <c r="AQ800" i="2"/>
  <c r="AS800" i="2" s="1"/>
  <c r="AQ663" i="2"/>
  <c r="AS663" i="2" s="1"/>
  <c r="Y815" i="2"/>
  <c r="Y706" i="2"/>
  <c r="AQ706" i="2"/>
  <c r="AS706" i="2" s="1"/>
  <c r="Y965" i="2"/>
  <c r="AQ965" i="2"/>
  <c r="AS965" i="2" s="1"/>
  <c r="AQ955" i="2"/>
  <c r="AS955" i="2" s="1"/>
  <c r="Y948" i="2"/>
  <c r="AQ948" i="2"/>
  <c r="AS948" i="2" s="1"/>
  <c r="AQ946" i="2"/>
  <c r="AS946" i="2" s="1"/>
  <c r="Y946" i="2"/>
  <c r="AQ925" i="2"/>
  <c r="AS925" i="2" s="1"/>
  <c r="AQ904" i="2"/>
  <c r="AS904" i="2" s="1"/>
  <c r="Y900" i="2"/>
  <c r="AQ900" i="2"/>
  <c r="AS900" i="2" s="1"/>
  <c r="Q864" i="2"/>
  <c r="AQ831" i="2"/>
  <c r="AS831" i="2" s="1"/>
  <c r="Y831" i="2"/>
  <c r="AQ736" i="2"/>
  <c r="AS736" i="2" s="1"/>
  <c r="Y736" i="2"/>
  <c r="Y730" i="2"/>
  <c r="Y680" i="2"/>
  <c r="AQ680" i="2"/>
  <c r="AS680" i="2" s="1"/>
  <c r="AQ672" i="2"/>
  <c r="AS672" i="2" s="1"/>
  <c r="Y672" i="2"/>
  <c r="Y949" i="2"/>
  <c r="AQ949" i="2"/>
  <c r="AS949" i="2" s="1"/>
  <c r="Y884" i="2"/>
  <c r="AQ884" i="2"/>
  <c r="AS884" i="2" s="1"/>
  <c r="Q968" i="2"/>
  <c r="Q952" i="2"/>
  <c r="AQ939" i="2"/>
  <c r="AS939" i="2" s="1"/>
  <c r="AQ935" i="2"/>
  <c r="AS935" i="2" s="1"/>
  <c r="Y916" i="2"/>
  <c r="AQ916" i="2"/>
  <c r="AS916" i="2" s="1"/>
  <c r="Y908" i="2"/>
  <c r="AQ908" i="2"/>
  <c r="AS908" i="2" s="1"/>
  <c r="Q880" i="2"/>
  <c r="Q823" i="2"/>
  <c r="AQ793" i="2"/>
  <c r="AS793" i="2" s="1"/>
  <c r="Y793" i="2"/>
  <c r="Y744" i="2"/>
  <c r="AQ744" i="2"/>
  <c r="AS744" i="2" s="1"/>
  <c r="AQ708" i="2"/>
  <c r="AS708" i="2" s="1"/>
  <c r="Y708" i="2"/>
  <c r="AQ644" i="2"/>
  <c r="AS644" i="2" s="1"/>
  <c r="Y644" i="2"/>
  <c r="Y602" i="2"/>
  <c r="AQ602" i="2"/>
  <c r="AS602" i="2" s="1"/>
  <c r="AQ969" i="2"/>
  <c r="AS969" i="2" s="1"/>
  <c r="Y969" i="2"/>
  <c r="AQ953" i="2"/>
  <c r="AS953" i="2" s="1"/>
  <c r="Y953" i="2"/>
  <c r="AQ951" i="2"/>
  <c r="AS951" i="2" s="1"/>
  <c r="Y924" i="2"/>
  <c r="AQ924" i="2"/>
  <c r="AS924" i="2" s="1"/>
  <c r="Y652" i="2"/>
  <c r="AQ652" i="2"/>
  <c r="AS652" i="2" s="1"/>
  <c r="Y650" i="2"/>
  <c r="AQ650" i="2"/>
  <c r="AS650" i="2" s="1"/>
  <c r="Y616" i="2"/>
  <c r="AQ616" i="2"/>
  <c r="AS616" i="2" s="1"/>
  <c r="Y578" i="2"/>
  <c r="AQ578" i="2"/>
  <c r="AS578" i="2" s="1"/>
  <c r="Y932" i="2"/>
  <c r="AQ932" i="2"/>
  <c r="AS932" i="2" s="1"/>
  <c r="AQ967" i="2"/>
  <c r="AS967" i="2" s="1"/>
  <c r="Y933" i="2"/>
  <c r="AQ933" i="2"/>
  <c r="AS933" i="2" s="1"/>
  <c r="Y746" i="2"/>
  <c r="Y716" i="2"/>
  <c r="AQ716" i="2"/>
  <c r="AS716" i="2" s="1"/>
  <c r="AQ956" i="2"/>
  <c r="AS956" i="2" s="1"/>
  <c r="AQ947" i="2"/>
  <c r="AS947" i="2" s="1"/>
  <c r="AQ943" i="2"/>
  <c r="AS943" i="2" s="1"/>
  <c r="Q912" i="2"/>
  <c r="Q855" i="2"/>
  <c r="Y820" i="2"/>
  <c r="AQ820" i="2"/>
  <c r="AS820" i="2" s="1"/>
  <c r="Y812" i="2"/>
  <c r="AQ773" i="2"/>
  <c r="AS773" i="2" s="1"/>
  <c r="Y595" i="2"/>
  <c r="AQ937" i="2"/>
  <c r="AS937" i="2" s="1"/>
  <c r="AQ929" i="2"/>
  <c r="AS929" i="2" s="1"/>
  <c r="Y776" i="2"/>
  <c r="AQ776" i="2"/>
  <c r="AS776" i="2" s="1"/>
  <c r="AQ683" i="2"/>
  <c r="AS683" i="2" s="1"/>
  <c r="Y676" i="2"/>
  <c r="Y648" i="2"/>
  <c r="AQ648" i="2"/>
  <c r="AS648" i="2" s="1"/>
  <c r="AQ567" i="2"/>
  <c r="AS567" i="2" s="1"/>
  <c r="Y567" i="2"/>
  <c r="AQ540" i="2"/>
  <c r="AS540" i="2" s="1"/>
  <c r="AQ19" i="2"/>
  <c r="AS19" i="2" s="1"/>
  <c r="AQ923" i="2"/>
  <c r="AS923" i="2" s="1"/>
  <c r="Q807" i="2"/>
  <c r="Y805" i="2"/>
  <c r="AQ805" i="2"/>
  <c r="AS805" i="2" s="1"/>
  <c r="AQ803" i="2"/>
  <c r="AS803" i="2" s="1"/>
  <c r="Y798" i="2"/>
  <c r="Q783" i="2"/>
  <c r="AQ754" i="2"/>
  <c r="AS754" i="2" s="1"/>
  <c r="AQ714" i="2"/>
  <c r="AS714" i="2" s="1"/>
  <c r="AQ700" i="2"/>
  <c r="AS700" i="2" s="1"/>
  <c r="AQ695" i="2"/>
  <c r="AS695" i="2" s="1"/>
  <c r="AQ693" i="2"/>
  <c r="AS693" i="2" s="1"/>
  <c r="Q655" i="2"/>
  <c r="Y632" i="2"/>
  <c r="AQ632" i="2"/>
  <c r="AS632" i="2" s="1"/>
  <c r="AQ607" i="2"/>
  <c r="AS607" i="2" s="1"/>
  <c r="Y559" i="2"/>
  <c r="AQ555" i="2"/>
  <c r="AS555" i="2" s="1"/>
  <c r="Y544" i="2"/>
  <c r="AQ544" i="2"/>
  <c r="AS544" i="2" s="1"/>
  <c r="Y518" i="2"/>
  <c r="AQ518" i="2"/>
  <c r="AS518" i="2" s="1"/>
  <c r="Y364" i="2"/>
  <c r="Q966" i="2"/>
  <c r="Q958" i="2"/>
  <c r="Q950" i="2"/>
  <c r="Q942" i="2"/>
  <c r="Q934" i="2"/>
  <c r="Q926" i="2"/>
  <c r="Y789" i="2"/>
  <c r="AQ789" i="2"/>
  <c r="AS789" i="2" s="1"/>
  <c r="Q751" i="2"/>
  <c r="Y728" i="2"/>
  <c r="AQ728" i="2"/>
  <c r="AS728" i="2" s="1"/>
  <c r="AQ628" i="2"/>
  <c r="AS628" i="2" s="1"/>
  <c r="Y628" i="2"/>
  <c r="Q623" i="2"/>
  <c r="Y600" i="2"/>
  <c r="AQ600" i="2"/>
  <c r="AS600" i="2" s="1"/>
  <c r="AQ594" i="2"/>
  <c r="AS594" i="2" s="1"/>
  <c r="AQ592" i="2"/>
  <c r="AS592" i="2" s="1"/>
  <c r="AQ585" i="2"/>
  <c r="AS585" i="2" s="1"/>
  <c r="AQ581" i="2"/>
  <c r="AS581" i="2" s="1"/>
  <c r="Y551" i="2"/>
  <c r="Y515" i="2"/>
  <c r="AQ515" i="2"/>
  <c r="AS515" i="2" s="1"/>
  <c r="AQ794" i="2"/>
  <c r="AS794" i="2" s="1"/>
  <c r="Q791" i="2"/>
  <c r="AQ747" i="2"/>
  <c r="AS747" i="2" s="1"/>
  <c r="AQ740" i="2"/>
  <c r="AS740" i="2" s="1"/>
  <c r="Q735" i="2"/>
  <c r="Y712" i="2"/>
  <c r="AQ712" i="2"/>
  <c r="AS712" i="2" s="1"/>
  <c r="Y633" i="2"/>
  <c r="AQ619" i="2"/>
  <c r="AS619" i="2" s="1"/>
  <c r="AQ579" i="2"/>
  <c r="AS579" i="2" s="1"/>
  <c r="AQ574" i="2"/>
  <c r="AS574" i="2" s="1"/>
  <c r="Y574" i="2"/>
  <c r="AQ568" i="2"/>
  <c r="AS568" i="2" s="1"/>
  <c r="Y568" i="2"/>
  <c r="AQ566" i="2"/>
  <c r="AS566" i="2" s="1"/>
  <c r="Y539" i="2"/>
  <c r="AQ539" i="2"/>
  <c r="AS539" i="2" s="1"/>
  <c r="Q719" i="2"/>
  <c r="AQ671" i="2"/>
  <c r="AS671" i="2" s="1"/>
  <c r="AQ631" i="2"/>
  <c r="AS631" i="2" s="1"/>
  <c r="Y608" i="2"/>
  <c r="Q587" i="2"/>
  <c r="Y572" i="2"/>
  <c r="AQ535" i="2"/>
  <c r="AS535" i="2" s="1"/>
  <c r="Y535" i="2"/>
  <c r="Y533" i="2"/>
  <c r="AQ517" i="2"/>
  <c r="AS517" i="2" s="1"/>
  <c r="Y517" i="2"/>
  <c r="Y474" i="2"/>
  <c r="Y590" i="2"/>
  <c r="AQ590" i="2"/>
  <c r="AS590" i="2" s="1"/>
  <c r="AQ519" i="2"/>
  <c r="AS519" i="2" s="1"/>
  <c r="Y417" i="2"/>
  <c r="Y945" i="2"/>
  <c r="Y937" i="2"/>
  <c r="Y929" i="2"/>
  <c r="AQ802" i="2"/>
  <c r="AS802" i="2" s="1"/>
  <c r="Q799" i="2"/>
  <c r="AQ699" i="2"/>
  <c r="AS699" i="2" s="1"/>
  <c r="AQ692" i="2"/>
  <c r="AS692" i="2" s="1"/>
  <c r="Y692" i="2"/>
  <c r="Q687" i="2"/>
  <c r="Y664" i="2"/>
  <c r="AQ664" i="2"/>
  <c r="AS664" i="2" s="1"/>
  <c r="AQ658" i="2"/>
  <c r="AS658" i="2" s="1"/>
  <c r="AQ604" i="2"/>
  <c r="AS604" i="2" s="1"/>
  <c r="AQ597" i="2"/>
  <c r="AS597" i="2" s="1"/>
  <c r="Y586" i="2"/>
  <c r="AQ586" i="2"/>
  <c r="AS586" i="2" s="1"/>
  <c r="Q565" i="2"/>
  <c r="AQ461" i="2"/>
  <c r="AS461" i="2" s="1"/>
  <c r="Y461" i="2"/>
  <c r="AQ541" i="2"/>
  <c r="AS541" i="2" s="1"/>
  <c r="Y541" i="2"/>
  <c r="AQ509" i="2"/>
  <c r="AS509" i="2" s="1"/>
  <c r="Y509" i="2"/>
  <c r="Y487" i="2"/>
  <c r="Q478" i="2"/>
  <c r="AQ470" i="2"/>
  <c r="AS470" i="2" s="1"/>
  <c r="AQ429" i="2"/>
  <c r="AS429" i="2" s="1"/>
  <c r="AQ425" i="2"/>
  <c r="AS425" i="2" s="1"/>
  <c r="AQ420" i="2"/>
  <c r="AS420" i="2" s="1"/>
  <c r="Y343" i="2"/>
  <c r="Y516" i="2"/>
  <c r="AQ485" i="2"/>
  <c r="AS485" i="2" s="1"/>
  <c r="Y485" i="2"/>
  <c r="AQ475" i="2"/>
  <c r="AS475" i="2" s="1"/>
  <c r="AQ427" i="2"/>
  <c r="AS427" i="2" s="1"/>
  <c r="Y427" i="2"/>
  <c r="AQ383" i="2"/>
  <c r="AS383" i="2" s="1"/>
  <c r="Y383" i="2"/>
  <c r="AQ284" i="2"/>
  <c r="AS284" i="2" s="1"/>
  <c r="Y284" i="2"/>
  <c r="Y490" i="2"/>
  <c r="AQ490" i="2"/>
  <c r="AS490" i="2" s="1"/>
  <c r="AQ477" i="2"/>
  <c r="AS477" i="2" s="1"/>
  <c r="Y477" i="2"/>
  <c r="Y331" i="2"/>
  <c r="AQ331" i="2"/>
  <c r="AS331" i="2" s="1"/>
  <c r="Q494" i="2"/>
  <c r="Y433" i="2"/>
  <c r="AQ433" i="2"/>
  <c r="AS433" i="2" s="1"/>
  <c r="Y261" i="2"/>
  <c r="AQ261" i="2"/>
  <c r="AS261" i="2" s="1"/>
  <c r="AQ212" i="2"/>
  <c r="AS212" i="2" s="1"/>
  <c r="Y212" i="2"/>
  <c r="AQ737" i="2"/>
  <c r="AS737" i="2" s="1"/>
  <c r="AQ705" i="2"/>
  <c r="AS705" i="2" s="1"/>
  <c r="AQ689" i="2"/>
  <c r="AS689" i="2" s="1"/>
  <c r="AQ673" i="2"/>
  <c r="AS673" i="2" s="1"/>
  <c r="AQ657" i="2"/>
  <c r="AS657" i="2" s="1"/>
  <c r="AQ641" i="2"/>
  <c r="AS641" i="2" s="1"/>
  <c r="Q501" i="2"/>
  <c r="Q453" i="2"/>
  <c r="Y447" i="2"/>
  <c r="AQ447" i="2"/>
  <c r="AS447" i="2" s="1"/>
  <c r="Q405" i="2"/>
  <c r="AQ290" i="2"/>
  <c r="AS290" i="2" s="1"/>
  <c r="Y290" i="2"/>
  <c r="Q774" i="2"/>
  <c r="Q758" i="2"/>
  <c r="Q742" i="2"/>
  <c r="Q726" i="2"/>
  <c r="Q710" i="2"/>
  <c r="Q694" i="2"/>
  <c r="Q678" i="2"/>
  <c r="Q662" i="2"/>
  <c r="Q646" i="2"/>
  <c r="Q630" i="2"/>
  <c r="Q614" i="2"/>
  <c r="Q598" i="2"/>
  <c r="Q593" i="2"/>
  <c r="AQ552" i="2"/>
  <c r="AS552" i="2" s="1"/>
  <c r="AQ549" i="2"/>
  <c r="AS549" i="2" s="1"/>
  <c r="Q542" i="2"/>
  <c r="Y506" i="2"/>
  <c r="AQ506" i="2"/>
  <c r="AS506" i="2" s="1"/>
  <c r="Y493" i="2"/>
  <c r="AQ465" i="2"/>
  <c r="AS465" i="2" s="1"/>
  <c r="Q462" i="2"/>
  <c r="Y428" i="2"/>
  <c r="AQ410" i="2"/>
  <c r="AS410" i="2" s="1"/>
  <c r="Y410" i="2"/>
  <c r="AQ404" i="2"/>
  <c r="AS404" i="2" s="1"/>
  <c r="AQ294" i="2"/>
  <c r="AS294" i="2" s="1"/>
  <c r="Y294" i="2"/>
  <c r="Y232" i="2"/>
  <c r="Y469" i="2"/>
  <c r="Y452" i="2"/>
  <c r="AQ452" i="2"/>
  <c r="AS452" i="2" s="1"/>
  <c r="AQ421" i="2"/>
  <c r="AS421" i="2" s="1"/>
  <c r="Y325" i="2"/>
  <c r="AQ325" i="2"/>
  <c r="AS325" i="2" s="1"/>
  <c r="Q570" i="2"/>
  <c r="Q562" i="2"/>
  <c r="Q554" i="2"/>
  <c r="Q546" i="2"/>
  <c r="Q538" i="2"/>
  <c r="Q522" i="2"/>
  <c r="Y513" i="2"/>
  <c r="AQ455" i="2"/>
  <c r="AS455" i="2" s="1"/>
  <c r="Q416" i="2"/>
  <c r="Y387" i="2"/>
  <c r="Y377" i="2"/>
  <c r="AQ377" i="2"/>
  <c r="AS377" i="2" s="1"/>
  <c r="Y375" i="2"/>
  <c r="AQ358" i="2"/>
  <c r="AS358" i="2" s="1"/>
  <c r="Y358" i="2"/>
  <c r="Q356" i="2"/>
  <c r="Y333" i="2"/>
  <c r="AQ333" i="2"/>
  <c r="AS333" i="2" s="1"/>
  <c r="Y329" i="2"/>
  <c r="Y319" i="2"/>
  <c r="AQ319" i="2"/>
  <c r="AS319" i="2" s="1"/>
  <c r="AQ314" i="2"/>
  <c r="AS314" i="2" s="1"/>
  <c r="Y314" i="2"/>
  <c r="Y310" i="2"/>
  <c r="AQ310" i="2"/>
  <c r="AS310" i="2" s="1"/>
  <c r="AQ306" i="2"/>
  <c r="AS306" i="2" s="1"/>
  <c r="Y306" i="2"/>
  <c r="Y273" i="2"/>
  <c r="Y269" i="2"/>
  <c r="Y265" i="2"/>
  <c r="Y236" i="2"/>
  <c r="AQ202" i="2"/>
  <c r="AS202" i="2" s="1"/>
  <c r="Y202" i="2"/>
  <c r="AQ199" i="2"/>
  <c r="AS199" i="2" s="1"/>
  <c r="AQ153" i="2"/>
  <c r="AS153" i="2" s="1"/>
  <c r="Y296" i="2"/>
  <c r="AQ296" i="2"/>
  <c r="AS296" i="2" s="1"/>
  <c r="Y279" i="2"/>
  <c r="AQ222" i="2"/>
  <c r="AS222" i="2" s="1"/>
  <c r="Y218" i="2"/>
  <c r="AQ134" i="2"/>
  <c r="AS134" i="2" s="1"/>
  <c r="AQ419" i="2"/>
  <c r="AS419" i="2" s="1"/>
  <c r="AQ415" i="2"/>
  <c r="AS415" i="2" s="1"/>
  <c r="Q400" i="2"/>
  <c r="AQ398" i="2"/>
  <c r="AS398" i="2" s="1"/>
  <c r="AQ385" i="2"/>
  <c r="AS385" i="2" s="1"/>
  <c r="Y382" i="2"/>
  <c r="Y367" i="2"/>
  <c r="Y318" i="2"/>
  <c r="AQ318" i="2"/>
  <c r="AS318" i="2" s="1"/>
  <c r="Y309" i="2"/>
  <c r="AQ309" i="2"/>
  <c r="AS309" i="2" s="1"/>
  <c r="AQ285" i="2"/>
  <c r="AS285" i="2" s="1"/>
  <c r="Y285" i="2"/>
  <c r="AQ271" i="2"/>
  <c r="AS271" i="2" s="1"/>
  <c r="AQ240" i="2"/>
  <c r="AS240" i="2" s="1"/>
  <c r="AQ226" i="2"/>
  <c r="AS226" i="2" s="1"/>
  <c r="Y226" i="2"/>
  <c r="Y191" i="2"/>
  <c r="AQ187" i="2"/>
  <c r="AS187" i="2" s="1"/>
  <c r="AQ330" i="2"/>
  <c r="AS330" i="2" s="1"/>
  <c r="Y330" i="2"/>
  <c r="AQ326" i="2"/>
  <c r="AS326" i="2" s="1"/>
  <c r="Y326" i="2"/>
  <c r="AQ322" i="2"/>
  <c r="AS322" i="2" s="1"/>
  <c r="Y322" i="2"/>
  <c r="Y293" i="2"/>
  <c r="AQ293" i="2"/>
  <c r="AS293" i="2" s="1"/>
  <c r="AQ266" i="2"/>
  <c r="AS266" i="2" s="1"/>
  <c r="Y266" i="2"/>
  <c r="AQ262" i="2"/>
  <c r="AS262" i="2" s="1"/>
  <c r="Y262" i="2"/>
  <c r="AQ197" i="2"/>
  <c r="AS197" i="2" s="1"/>
  <c r="Y197" i="2"/>
  <c r="Q530" i="2"/>
  <c r="Q448" i="2"/>
  <c r="AQ443" i="2"/>
  <c r="AS443" i="2" s="1"/>
  <c r="Y443" i="2"/>
  <c r="AQ437" i="2"/>
  <c r="AS437" i="2" s="1"/>
  <c r="Y437" i="2"/>
  <c r="AQ403" i="2"/>
  <c r="AS403" i="2" s="1"/>
  <c r="Q392" i="2"/>
  <c r="Q380" i="2"/>
  <c r="Y351" i="2"/>
  <c r="Y320" i="2"/>
  <c r="AQ320" i="2"/>
  <c r="AS320" i="2" s="1"/>
  <c r="Y287" i="2"/>
  <c r="AQ287" i="2"/>
  <c r="AS287" i="2" s="1"/>
  <c r="AQ282" i="2"/>
  <c r="AS282" i="2" s="1"/>
  <c r="Y282" i="2"/>
  <c r="Y278" i="2"/>
  <c r="AQ278" i="2"/>
  <c r="AS278" i="2" s="1"/>
  <c r="AQ274" i="2"/>
  <c r="AS274" i="2" s="1"/>
  <c r="Y274" i="2"/>
  <c r="Y270" i="2"/>
  <c r="AQ270" i="2"/>
  <c r="AS270" i="2" s="1"/>
  <c r="Y244" i="2"/>
  <c r="Q242" i="2"/>
  <c r="AQ209" i="2"/>
  <c r="AS209" i="2" s="1"/>
  <c r="AQ182" i="2"/>
  <c r="AS182" i="2" s="1"/>
  <c r="Q524" i="2"/>
  <c r="Q508" i="2"/>
  <c r="Q492" i="2"/>
  <c r="Q476" i="2"/>
  <c r="Q460" i="2"/>
  <c r="Q426" i="2"/>
  <c r="AQ374" i="2"/>
  <c r="AS374" i="2" s="1"/>
  <c r="Y374" i="2"/>
  <c r="Y357" i="2"/>
  <c r="AQ357" i="2"/>
  <c r="AS357" i="2" s="1"/>
  <c r="Y315" i="2"/>
  <c r="AQ315" i="2"/>
  <c r="AS315" i="2" s="1"/>
  <c r="Y311" i="2"/>
  <c r="AQ311" i="2"/>
  <c r="AS311" i="2" s="1"/>
  <c r="Y264" i="2"/>
  <c r="Y239" i="2"/>
  <c r="AQ235" i="2"/>
  <c r="AS235" i="2" s="1"/>
  <c r="AQ451" i="2"/>
  <c r="AS451" i="2" s="1"/>
  <c r="Q376" i="2"/>
  <c r="Q372" i="2"/>
  <c r="Y349" i="2"/>
  <c r="AQ349" i="2"/>
  <c r="AS349" i="2" s="1"/>
  <c r="AQ317" i="2"/>
  <c r="AS317" i="2" s="1"/>
  <c r="Y317" i="2"/>
  <c r="Y303" i="2"/>
  <c r="AQ303" i="2"/>
  <c r="AS303" i="2" s="1"/>
  <c r="Y286" i="2"/>
  <c r="AQ286" i="2"/>
  <c r="AS286" i="2" s="1"/>
  <c r="Y277" i="2"/>
  <c r="AQ277" i="2"/>
  <c r="AS277" i="2" s="1"/>
  <c r="Y227" i="2"/>
  <c r="AQ227" i="2"/>
  <c r="AS227" i="2" s="1"/>
  <c r="Q251" i="2"/>
  <c r="AQ243" i="2"/>
  <c r="AS243" i="2" s="1"/>
  <c r="Y230" i="2"/>
  <c r="AQ228" i="2"/>
  <c r="AS228" i="2" s="1"/>
  <c r="Y228" i="2"/>
  <c r="Y215" i="2"/>
  <c r="AQ147" i="2"/>
  <c r="AS147" i="2" s="1"/>
  <c r="AQ145" i="2"/>
  <c r="AS145" i="2" s="1"/>
  <c r="Y145" i="2"/>
  <c r="Y74" i="2"/>
  <c r="Y169" i="2"/>
  <c r="AQ169" i="2"/>
  <c r="AS169" i="2" s="1"/>
  <c r="AQ114" i="2"/>
  <c r="AS114" i="2" s="1"/>
  <c r="AQ369" i="2"/>
  <c r="AS369" i="2" s="1"/>
  <c r="AQ361" i="2"/>
  <c r="AS361" i="2" s="1"/>
  <c r="AQ353" i="2"/>
  <c r="AS353" i="2" s="1"/>
  <c r="AQ345" i="2"/>
  <c r="AS345" i="2" s="1"/>
  <c r="Y312" i="2"/>
  <c r="AQ312" i="2"/>
  <c r="AS312" i="2" s="1"/>
  <c r="Y280" i="2"/>
  <c r="AQ280" i="2"/>
  <c r="AS280" i="2" s="1"/>
  <c r="Y250" i="2"/>
  <c r="Y247" i="2"/>
  <c r="AQ234" i="2"/>
  <c r="AS234" i="2" s="1"/>
  <c r="Y216" i="2"/>
  <c r="AQ216" i="2"/>
  <c r="AS216" i="2" s="1"/>
  <c r="AQ203" i="2"/>
  <c r="AS203" i="2" s="1"/>
  <c r="Y183" i="2"/>
  <c r="AQ135" i="2"/>
  <c r="AS135" i="2" s="1"/>
  <c r="Y71" i="2"/>
  <c r="AQ71" i="2"/>
  <c r="AS71" i="2" s="1"/>
  <c r="Y67" i="2"/>
  <c r="AQ65" i="2"/>
  <c r="AS65" i="2" s="1"/>
  <c r="Y65" i="2"/>
  <c r="AQ179" i="2"/>
  <c r="AS179" i="2" s="1"/>
  <c r="Y179" i="2"/>
  <c r="AQ168" i="2"/>
  <c r="AS168" i="2" s="1"/>
  <c r="Y150" i="2"/>
  <c r="AQ150" i="2"/>
  <c r="AS150" i="2" s="1"/>
  <c r="AQ146" i="2"/>
  <c r="AS146" i="2" s="1"/>
  <c r="AQ144" i="2"/>
  <c r="AS144" i="2" s="1"/>
  <c r="Y144" i="2"/>
  <c r="AQ104" i="2"/>
  <c r="AS104" i="2" s="1"/>
  <c r="Y104" i="2"/>
  <c r="AQ89" i="2"/>
  <c r="AS89" i="2" s="1"/>
  <c r="Y89" i="2"/>
  <c r="Q368" i="2"/>
  <c r="Q360" i="2"/>
  <c r="Q352" i="2"/>
  <c r="Q344" i="2"/>
  <c r="Q336" i="2"/>
  <c r="Y248" i="2"/>
  <c r="AQ229" i="2"/>
  <c r="AS229" i="2" s="1"/>
  <c r="AQ172" i="2"/>
  <c r="AS172" i="2" s="1"/>
  <c r="Y166" i="2"/>
  <c r="Y125" i="2"/>
  <c r="AQ125" i="2"/>
  <c r="AS125" i="2" s="1"/>
  <c r="Y119" i="2"/>
  <c r="Q327" i="2"/>
  <c r="Q324" i="2"/>
  <c r="Q321" i="2"/>
  <c r="Q295" i="2"/>
  <c r="Q292" i="2"/>
  <c r="Q289" i="2"/>
  <c r="Q263" i="2"/>
  <c r="Q260" i="2"/>
  <c r="Q257" i="2"/>
  <c r="AQ106" i="2"/>
  <c r="AS106" i="2" s="1"/>
  <c r="Y88" i="2"/>
  <c r="Y11" i="2"/>
  <c r="AQ11" i="2"/>
  <c r="AS11" i="2" s="1"/>
  <c r="AQ9" i="2"/>
  <c r="AS9" i="2" s="1"/>
  <c r="AQ334" i="2"/>
  <c r="AS334" i="2" s="1"/>
  <c r="Y170" i="2"/>
  <c r="Y128" i="2"/>
  <c r="Y118" i="2"/>
  <c r="AQ118" i="2"/>
  <c r="Y101" i="2"/>
  <c r="AQ101" i="2"/>
  <c r="AS101" i="2" s="1"/>
  <c r="Y13" i="2"/>
  <c r="AQ13" i="2"/>
  <c r="AS13" i="2" s="1"/>
  <c r="Q256" i="2"/>
  <c r="Q161" i="2"/>
  <c r="Q143" i="2"/>
  <c r="AQ139" i="2"/>
  <c r="AS139" i="2" s="1"/>
  <c r="AQ120" i="2"/>
  <c r="AS120" i="2" s="1"/>
  <c r="Q95" i="2"/>
  <c r="Y77" i="2"/>
  <c r="Y23" i="2"/>
  <c r="AQ210" i="2"/>
  <c r="AS210" i="2" s="1"/>
  <c r="Y210" i="2"/>
  <c r="Y186" i="2"/>
  <c r="Y122" i="2"/>
  <c r="Y27" i="2"/>
  <c r="AQ27" i="2"/>
  <c r="AS27" i="2" s="1"/>
  <c r="AQ25" i="2"/>
  <c r="AS25" i="2" s="1"/>
  <c r="Y25" i="2"/>
  <c r="Y7" i="2"/>
  <c r="Q225" i="2"/>
  <c r="AQ220" i="2"/>
  <c r="AS220" i="2" s="1"/>
  <c r="Y200" i="2"/>
  <c r="Y173" i="2"/>
  <c r="AQ173" i="2"/>
  <c r="AS173" i="2" s="1"/>
  <c r="AQ160" i="2"/>
  <c r="AS160" i="2" s="1"/>
  <c r="AQ129" i="2"/>
  <c r="AS129" i="2" s="1"/>
  <c r="Y129" i="2"/>
  <c r="AQ112" i="2"/>
  <c r="AS112" i="2" s="1"/>
  <c r="Q110" i="2"/>
  <c r="AQ50" i="2"/>
  <c r="AS50" i="2" s="1"/>
  <c r="Q255" i="2"/>
  <c r="AQ245" i="2"/>
  <c r="AS245" i="2" s="1"/>
  <c r="Q223" i="2"/>
  <c r="AQ213" i="2"/>
  <c r="AS213" i="2" s="1"/>
  <c r="Y201" i="2"/>
  <c r="AQ201" i="2"/>
  <c r="AS201" i="2" s="1"/>
  <c r="Q162" i="2"/>
  <c r="AQ136" i="2"/>
  <c r="AS136" i="2" s="1"/>
  <c r="Y87" i="2"/>
  <c r="AQ87" i="2"/>
  <c r="AS87" i="2" s="1"/>
  <c r="Y158" i="2"/>
  <c r="AQ105" i="2"/>
  <c r="AS105" i="2" s="1"/>
  <c r="Y105" i="2"/>
  <c r="Q103" i="2"/>
  <c r="Y91" i="2"/>
  <c r="AQ91" i="2"/>
  <c r="AS91" i="2" s="1"/>
  <c r="Y55" i="2"/>
  <c r="AQ40" i="2"/>
  <c r="AS40" i="2" s="1"/>
  <c r="AQ33" i="2"/>
  <c r="AS33" i="2" s="1"/>
  <c r="AQ24" i="2"/>
  <c r="AS24" i="2" s="1"/>
  <c r="Y24" i="2"/>
  <c r="Y75" i="2"/>
  <c r="Y15" i="2"/>
  <c r="Q207" i="2"/>
  <c r="AQ198" i="2"/>
  <c r="AS198" i="2" s="1"/>
  <c r="Q195" i="2"/>
  <c r="Q192" i="2"/>
  <c r="Q189" i="2"/>
  <c r="Q180" i="2"/>
  <c r="Q159" i="2"/>
  <c r="Q154" i="2"/>
  <c r="Q113" i="2"/>
  <c r="Y79" i="2"/>
  <c r="Y17" i="2"/>
  <c r="Q249" i="2"/>
  <c r="Q233" i="2"/>
  <c r="Q217" i="2"/>
  <c r="Y142" i="2"/>
  <c r="AQ124" i="2"/>
  <c r="AS124" i="2" s="1"/>
  <c r="AQ116" i="2"/>
  <c r="AS116" i="2" s="1"/>
  <c r="Q94" i="2"/>
  <c r="AQ41" i="2"/>
  <c r="AS41" i="2" s="1"/>
  <c r="Y85" i="2"/>
  <c r="AQ85" i="2"/>
  <c r="AS85" i="2" s="1"/>
  <c r="Q66" i="2"/>
  <c r="Q62" i="2"/>
  <c r="Q54" i="2"/>
  <c r="Y21" i="2"/>
  <c r="AQ21" i="2"/>
  <c r="AS21" i="2" s="1"/>
  <c r="Y69" i="2"/>
  <c r="AQ69" i="2"/>
  <c r="AS69" i="2" s="1"/>
  <c r="Q46" i="2"/>
  <c r="Q38" i="2"/>
  <c r="AQ5" i="2"/>
  <c r="AS5" i="2" s="1"/>
  <c r="Q86" i="2"/>
  <c r="Y47" i="2"/>
  <c r="AQ47" i="2"/>
  <c r="AS47" i="2" s="1"/>
  <c r="Q30" i="2"/>
  <c r="Q22" i="2"/>
  <c r="Q90" i="2"/>
  <c r="AQ72" i="2"/>
  <c r="AS72" i="2" s="1"/>
  <c r="Y49" i="2"/>
  <c r="Y43" i="2"/>
  <c r="Y35" i="2"/>
  <c r="AQ35" i="2"/>
  <c r="AS35" i="2" s="1"/>
  <c r="Q26" i="2"/>
  <c r="Q16" i="2"/>
  <c r="Y6" i="2"/>
  <c r="Q165" i="2"/>
  <c r="Q149" i="2"/>
  <c r="Q133" i="2"/>
  <c r="Q117" i="2"/>
  <c r="Q102" i="2"/>
  <c r="Q78" i="2"/>
  <c r="Q70" i="2"/>
  <c r="Y52" i="2"/>
  <c r="Y37" i="2"/>
  <c r="AQ37" i="2"/>
  <c r="AS37" i="2" s="1"/>
  <c r="Q8" i="2"/>
  <c r="Y876" i="2" l="1"/>
  <c r="AQ876" i="2"/>
  <c r="AS876" i="2" s="1"/>
  <c r="Y877" i="2"/>
  <c r="AQ877" i="2"/>
  <c r="AS877" i="2" s="1"/>
  <c r="Y866" i="2"/>
  <c r="AQ866" i="2"/>
  <c r="AS866" i="2" s="1"/>
  <c r="Y858" i="2"/>
  <c r="AQ858" i="2"/>
  <c r="AS858" i="2" s="1"/>
  <c r="Y853" i="2"/>
  <c r="AQ853" i="2"/>
  <c r="AS853" i="2" s="1"/>
  <c r="AQ836" i="2"/>
  <c r="AS836" i="2" s="1"/>
  <c r="Y836" i="2"/>
  <c r="Y868" i="2"/>
  <c r="AQ879" i="2"/>
  <c r="AS879" i="2" s="1"/>
  <c r="AQ863" i="2"/>
  <c r="AS863" i="2" s="1"/>
  <c r="Y860" i="2"/>
  <c r="Y862" i="2"/>
  <c r="AQ842" i="2"/>
  <c r="AS842" i="2" s="1"/>
  <c r="AQ859" i="2"/>
  <c r="AS859" i="2" s="1"/>
  <c r="Y849" i="2"/>
  <c r="AQ883" i="2"/>
  <c r="AS883" i="2" s="1"/>
  <c r="AQ875" i="2"/>
  <c r="AS875" i="2" s="1"/>
  <c r="AQ869" i="2"/>
  <c r="AS869" i="2" s="1"/>
  <c r="AQ867" i="2"/>
  <c r="AS867" i="2" s="1"/>
  <c r="AQ852" i="2"/>
  <c r="AS852" i="2" s="1"/>
  <c r="AQ830" i="2"/>
  <c r="AS830" i="2" s="1"/>
  <c r="Y847" i="2"/>
  <c r="Y839" i="2"/>
  <c r="Y833" i="2"/>
  <c r="AQ844" i="2"/>
  <c r="AS844" i="2" s="1"/>
  <c r="AQ834" i="2"/>
  <c r="AS834" i="2" s="1"/>
  <c r="AQ827" i="2"/>
  <c r="AS827" i="2" s="1"/>
  <c r="AQ819" i="2"/>
  <c r="AS819" i="2" s="1"/>
  <c r="AQ808" i="2"/>
  <c r="AS808" i="2" s="1"/>
  <c r="AQ810" i="2"/>
  <c r="AS810" i="2" s="1"/>
  <c r="AQ787" i="2"/>
  <c r="AS787" i="2" s="1"/>
  <c r="AQ775" i="2"/>
  <c r="AS775" i="2" s="1"/>
  <c r="AQ769" i="2"/>
  <c r="AS769" i="2" s="1"/>
  <c r="AQ778" i="2"/>
  <c r="AS778" i="2" s="1"/>
  <c r="Y777" i="2"/>
  <c r="Y772" i="2"/>
  <c r="AQ770" i="2"/>
  <c r="AS770" i="2" s="1"/>
  <c r="Y779" i="2"/>
  <c r="AQ762" i="2"/>
  <c r="AS762" i="2" s="1"/>
  <c r="AQ760" i="2"/>
  <c r="AS760" i="2" s="1"/>
  <c r="AQ753" i="2"/>
  <c r="AS753" i="2" s="1"/>
  <c r="AQ748" i="2"/>
  <c r="AS748" i="2" s="1"/>
  <c r="Y750" i="2"/>
  <c r="AQ749" i="2"/>
  <c r="AS749" i="2" s="1"/>
  <c r="AQ759" i="2"/>
  <c r="AS759" i="2" s="1"/>
  <c r="AQ756" i="2"/>
  <c r="AS756" i="2" s="1"/>
  <c r="Y752" i="2"/>
  <c r="AQ743" i="2"/>
  <c r="AS743" i="2" s="1"/>
  <c r="Y761" i="2"/>
  <c r="AQ731" i="2"/>
  <c r="AS731" i="2" s="1"/>
  <c r="AQ725" i="2"/>
  <c r="AS725" i="2" s="1"/>
  <c r="Y729" i="2"/>
  <c r="AQ727" i="2"/>
  <c r="AS727" i="2" s="1"/>
  <c r="Y724" i="2"/>
  <c r="Y723" i="2"/>
  <c r="AQ721" i="2"/>
  <c r="AS721" i="2" s="1"/>
  <c r="Y720" i="2"/>
  <c r="Y713" i="2"/>
  <c r="AQ704" i="2"/>
  <c r="AS704" i="2" s="1"/>
  <c r="AQ703" i="2"/>
  <c r="AS703" i="2" s="1"/>
  <c r="AQ701" i="2"/>
  <c r="AS701" i="2" s="1"/>
  <c r="Y698" i="2"/>
  <c r="AQ696" i="2"/>
  <c r="AS696" i="2" s="1"/>
  <c r="AQ682" i="2"/>
  <c r="AS682" i="2" s="1"/>
  <c r="AQ681" i="2"/>
  <c r="AS681" i="2" s="1"/>
  <c r="AQ674" i="2"/>
  <c r="AS674" i="2" s="1"/>
  <c r="AQ666" i="2"/>
  <c r="AS666" i="2" s="1"/>
  <c r="AQ659" i="2"/>
  <c r="AS659" i="2" s="1"/>
  <c r="Y656" i="2"/>
  <c r="Y654" i="2"/>
  <c r="Y640" i="2"/>
  <c r="AQ636" i="2"/>
  <c r="AS636" i="2" s="1"/>
  <c r="AQ625" i="2"/>
  <c r="AS625" i="2" s="1"/>
  <c r="AQ609" i="2"/>
  <c r="AS609" i="2" s="1"/>
  <c r="Y622" i="2"/>
  <c r="Y618" i="2"/>
  <c r="AQ613" i="2"/>
  <c r="AS613" i="2" s="1"/>
  <c r="Y612" i="2"/>
  <c r="Y611" i="2"/>
  <c r="AQ605" i="2"/>
  <c r="AS605" i="2" s="1"/>
  <c r="AQ603" i="2"/>
  <c r="AS603" i="2" s="1"/>
  <c r="AQ599" i="2"/>
  <c r="AS599" i="2" s="1"/>
  <c r="AQ589" i="2"/>
  <c r="AS589" i="2" s="1"/>
  <c r="AQ583" i="2"/>
  <c r="AS583" i="2" s="1"/>
  <c r="AQ582" i="2"/>
  <c r="AS582" i="2" s="1"/>
  <c r="AQ573" i="2"/>
  <c r="AS573" i="2" s="1"/>
  <c r="AQ569" i="2"/>
  <c r="AS569" i="2" s="1"/>
  <c r="Y564" i="2"/>
  <c r="AQ560" i="2"/>
  <c r="AS560" i="2" s="1"/>
  <c r="Y556" i="2"/>
  <c r="Y550" i="2"/>
  <c r="AQ531" i="2"/>
  <c r="AS531" i="2" s="1"/>
  <c r="AQ529" i="2"/>
  <c r="AS529" i="2" s="1"/>
  <c r="AQ525" i="2"/>
  <c r="AS525" i="2" s="1"/>
  <c r="AQ514" i="2"/>
  <c r="AS514" i="2" s="1"/>
  <c r="AQ499" i="2"/>
  <c r="AS499" i="2" s="1"/>
  <c r="AQ507" i="2"/>
  <c r="AS507" i="2" s="1"/>
  <c r="Y498" i="2"/>
  <c r="AQ488" i="2"/>
  <c r="AS488" i="2" s="1"/>
  <c r="AQ481" i="2"/>
  <c r="AS481" i="2" s="1"/>
  <c r="Y480" i="2"/>
  <c r="AQ483" i="2"/>
  <c r="AS483" i="2" s="1"/>
  <c r="Y471" i="2"/>
  <c r="AQ459" i="2"/>
  <c r="AS459" i="2" s="1"/>
  <c r="AQ458" i="2"/>
  <c r="AS458" i="2" s="1"/>
  <c r="AQ449" i="2"/>
  <c r="AS449" i="2" s="1"/>
  <c r="Y445" i="2"/>
  <c r="AQ444" i="2"/>
  <c r="AS444" i="2" s="1"/>
  <c r="AQ441" i="2"/>
  <c r="AS441" i="2" s="1"/>
  <c r="AQ439" i="2"/>
  <c r="AS439" i="2" s="1"/>
  <c r="Y432" i="2"/>
  <c r="AQ431" i="2"/>
  <c r="AS431" i="2" s="1"/>
  <c r="AQ414" i="2"/>
  <c r="AS414" i="2" s="1"/>
  <c r="AQ411" i="2"/>
  <c r="AS411" i="2" s="1"/>
  <c r="AQ407" i="2"/>
  <c r="AS407" i="2" s="1"/>
  <c r="AQ406" i="2"/>
  <c r="AS406" i="2" s="1"/>
  <c r="AQ401" i="2"/>
  <c r="AS401" i="2" s="1"/>
  <c r="Y397" i="2"/>
  <c r="AQ393" i="2"/>
  <c r="AS393" i="2" s="1"/>
  <c r="AQ391" i="2"/>
  <c r="AS391" i="2" s="1"/>
  <c r="AQ388" i="2"/>
  <c r="AS388" i="2" s="1"/>
  <c r="AQ366" i="2"/>
  <c r="AS366" i="2" s="1"/>
  <c r="AQ365" i="2"/>
  <c r="AS365" i="2" s="1"/>
  <c r="Y363" i="2"/>
  <c r="AQ354" i="2"/>
  <c r="AS354" i="2" s="1"/>
  <c r="Y348" i="2"/>
  <c r="AQ346" i="2"/>
  <c r="AS346" i="2" s="1"/>
  <c r="Y342" i="2"/>
  <c r="AQ341" i="2"/>
  <c r="AS341" i="2" s="1"/>
  <c r="AQ340" i="2"/>
  <c r="AS340" i="2" s="1"/>
  <c r="AQ328" i="2"/>
  <c r="AS328" i="2" s="1"/>
  <c r="AQ323" i="2"/>
  <c r="AS323" i="2" s="1"/>
  <c r="Y316" i="2"/>
  <c r="AQ304" i="2"/>
  <c r="AS304" i="2" s="1"/>
  <c r="AQ302" i="2"/>
  <c r="AS302" i="2" s="1"/>
  <c r="AQ301" i="2"/>
  <c r="AS301" i="2" s="1"/>
  <c r="AQ300" i="2"/>
  <c r="AS300" i="2" s="1"/>
  <c r="AQ299" i="2"/>
  <c r="AS299" i="2" s="1"/>
  <c r="Y298" i="2"/>
  <c r="Y259" i="2"/>
  <c r="AQ291" i="2"/>
  <c r="AS291" i="2" s="1"/>
  <c r="AQ288" i="2"/>
  <c r="AS288" i="2" s="1"/>
  <c r="AQ281" i="2"/>
  <c r="AS281" i="2" s="1"/>
  <c r="AQ272" i="2"/>
  <c r="AS272" i="2" s="1"/>
  <c r="Y268" i="2"/>
  <c r="AQ267" i="2"/>
  <c r="AS267" i="2" s="1"/>
  <c r="Y258" i="2"/>
  <c r="Y237" i="2"/>
  <c r="AQ231" i="2"/>
  <c r="AS231" i="2" s="1"/>
  <c r="AQ224" i="2"/>
  <c r="AS224" i="2" s="1"/>
  <c r="AQ214" i="2"/>
  <c r="AS214" i="2" s="1"/>
  <c r="AQ211" i="2"/>
  <c r="AS211" i="2" s="1"/>
  <c r="AQ204" i="2"/>
  <c r="AS204" i="2" s="1"/>
  <c r="AQ205" i="2"/>
  <c r="AS205" i="2" s="1"/>
  <c r="Y196" i="2"/>
  <c r="Y188" i="2"/>
  <c r="AQ184" i="2"/>
  <c r="AS184" i="2" s="1"/>
  <c r="AQ185" i="2"/>
  <c r="AS185" i="2" s="1"/>
  <c r="Y176" i="2"/>
  <c r="AQ174" i="2"/>
  <c r="AS174" i="2" s="1"/>
  <c r="AQ171" i="2"/>
  <c r="AS171" i="2" s="1"/>
  <c r="Y164" i="2"/>
  <c r="Y156" i="2"/>
  <c r="AQ152" i="2"/>
  <c r="AS152" i="2" s="1"/>
  <c r="Y148" i="2"/>
  <c r="AQ138" i="2"/>
  <c r="AS138" i="2" s="1"/>
  <c r="AQ137" i="2"/>
  <c r="AS137" i="2" s="1"/>
  <c r="Y130" i="2"/>
  <c r="Y127" i="2"/>
  <c r="AQ126" i="2"/>
  <c r="AS126" i="2" s="1"/>
  <c r="AQ123" i="2"/>
  <c r="AS123" i="2" s="1"/>
  <c r="AQ121" i="2"/>
  <c r="AS121" i="2" s="1"/>
  <c r="AQ111" i="2"/>
  <c r="AS111" i="2" s="1"/>
  <c r="Y108" i="2"/>
  <c r="AQ100" i="2"/>
  <c r="AS100" i="2" s="1"/>
  <c r="AQ99" i="2"/>
  <c r="AS99" i="2" s="1"/>
  <c r="AQ96" i="2"/>
  <c r="AS96" i="2" s="1"/>
  <c r="AQ83" i="2"/>
  <c r="AS83" i="2" s="1"/>
  <c r="AQ73" i="2"/>
  <c r="AS73" i="2" s="1"/>
  <c r="AQ63" i="2"/>
  <c r="AS63" i="2" s="1"/>
  <c r="AQ61" i="2"/>
  <c r="AS61" i="2" s="1"/>
  <c r="AQ58" i="2"/>
  <c r="AS58" i="2" s="1"/>
  <c r="AQ59" i="2"/>
  <c r="AS59" i="2" s="1"/>
  <c r="Y57" i="2"/>
  <c r="Y56" i="2"/>
  <c r="AQ51" i="2"/>
  <c r="AS51" i="2" s="1"/>
  <c r="AQ45" i="2"/>
  <c r="AS45" i="2" s="1"/>
  <c r="Y36" i="2"/>
  <c r="AQ34" i="2"/>
  <c r="AS34" i="2" s="1"/>
  <c r="AQ31" i="2"/>
  <c r="AS31" i="2" s="1"/>
  <c r="AQ29" i="2"/>
  <c r="AS29" i="2" s="1"/>
  <c r="Y28" i="2"/>
  <c r="AQ283" i="2"/>
  <c r="AS283" i="2" s="1"/>
  <c r="Y241" i="2"/>
  <c r="AQ557" i="2"/>
  <c r="AS557" i="2" s="1"/>
  <c r="Y350" i="2"/>
  <c r="AQ396" i="2"/>
  <c r="AS396" i="2" s="1"/>
  <c r="Y841" i="2"/>
  <c r="Y571" i="2"/>
  <c r="AQ430" i="2"/>
  <c r="AS430" i="2" s="1"/>
  <c r="AQ18" i="2"/>
  <c r="AS18" i="2" s="1"/>
  <c r="AQ489" i="2"/>
  <c r="AS489" i="2" s="1"/>
  <c r="Y913" i="2"/>
  <c r="AQ804" i="2"/>
  <c r="AS804" i="2" s="1"/>
  <c r="AQ963" i="2"/>
  <c r="AS963" i="2" s="1"/>
  <c r="AQ491" i="2"/>
  <c r="AS491" i="2" s="1"/>
  <c r="AQ534" i="2"/>
  <c r="AS534" i="2" s="1"/>
  <c r="Y918" i="2"/>
  <c r="Y84" i="2"/>
  <c r="Y889" i="2"/>
  <c r="AQ446" i="2"/>
  <c r="AS446" i="2" s="1"/>
  <c r="AQ543" i="2"/>
  <c r="AS543" i="2" s="1"/>
  <c r="Y543" i="2"/>
  <c r="Y629" i="2"/>
  <c r="AQ629" i="2"/>
  <c r="AS629" i="2" s="1"/>
  <c r="AQ456" i="2"/>
  <c r="AS456" i="2" s="1"/>
  <c r="AQ561" i="2"/>
  <c r="AS561" i="2" s="1"/>
  <c r="Y561" i="2"/>
  <c r="AQ12" i="2"/>
  <c r="AS12" i="2" s="1"/>
  <c r="Y12" i="2"/>
  <c r="AQ109" i="2"/>
  <c r="AS109" i="2" s="1"/>
  <c r="Y389" i="2"/>
  <c r="AQ824" i="2"/>
  <c r="AS824" i="2" s="1"/>
  <c r="Y944" i="2"/>
  <c r="AQ780" i="2"/>
  <c r="AS780" i="2" s="1"/>
  <c r="AQ435" i="2"/>
  <c r="AS435" i="2" s="1"/>
  <c r="Y660" i="2"/>
  <c r="Y39" i="2"/>
  <c r="AQ93" i="2"/>
  <c r="AS93" i="2" s="1"/>
  <c r="Y739" i="2"/>
  <c r="Y892" i="2"/>
  <c r="AQ788" i="2"/>
  <c r="AS788" i="2" s="1"/>
  <c r="AQ861" i="2"/>
  <c r="AS861" i="2" s="1"/>
  <c r="AQ42" i="2"/>
  <c r="AS42" i="2" s="1"/>
  <c r="Y468" i="2"/>
  <c r="AQ891" i="2"/>
  <c r="AS891" i="2" s="1"/>
  <c r="AQ390" i="2"/>
  <c r="AS390" i="2" s="1"/>
  <c r="Y596" i="2"/>
  <c r="AQ626" i="2"/>
  <c r="AS626" i="2" s="1"/>
  <c r="Y881" i="2"/>
  <c r="Y642" i="2"/>
  <c r="AQ821" i="2"/>
  <c r="AS821" i="2" s="1"/>
  <c r="AQ911" i="2"/>
  <c r="AS911" i="2" s="1"/>
  <c r="Y767" i="2"/>
  <c r="Y497" i="2"/>
  <c r="AQ178" i="2"/>
  <c r="AS178" i="2" s="1"/>
  <c r="Y53" i="2"/>
  <c r="AQ10" i="2"/>
  <c r="AS10" i="2" s="1"/>
  <c r="AQ177" i="2"/>
  <c r="AS177" i="2" s="1"/>
  <c r="AQ797" i="2"/>
  <c r="AS797" i="2" s="1"/>
  <c r="AQ473" i="2"/>
  <c r="AS473" i="2" s="1"/>
  <c r="AQ843" i="2"/>
  <c r="AS843" i="2" s="1"/>
  <c r="AQ872" i="2"/>
  <c r="AS872" i="2" s="1"/>
  <c r="AQ335" i="2"/>
  <c r="AS335" i="2" s="1"/>
  <c r="Y335" i="2"/>
  <c r="Y577" i="2"/>
  <c r="AQ577" i="2"/>
  <c r="AS577" i="2" s="1"/>
  <c r="AQ175" i="2"/>
  <c r="AS175" i="2" s="1"/>
  <c r="Y175" i="2"/>
  <c r="AQ422" i="2"/>
  <c r="AS422" i="2" s="1"/>
  <c r="Y422" i="2"/>
  <c r="AQ463" i="2"/>
  <c r="AS463" i="2" s="1"/>
  <c r="Y463" i="2"/>
  <c r="AQ822" i="2"/>
  <c r="AS822" i="2" s="1"/>
  <c r="Y822" i="2"/>
  <c r="AQ511" i="2"/>
  <c r="AS511" i="2" s="1"/>
  <c r="Y511" i="2"/>
  <c r="AQ846" i="2"/>
  <c r="AS846" i="2" s="1"/>
  <c r="Y846" i="2"/>
  <c r="Y901" i="2"/>
  <c r="AQ901" i="2"/>
  <c r="AS901" i="2" s="1"/>
  <c r="AQ734" i="2"/>
  <c r="AS734" i="2" s="1"/>
  <c r="Y734" i="2"/>
  <c r="Y917" i="2"/>
  <c r="AQ917" i="2"/>
  <c r="AS917" i="2" s="1"/>
  <c r="Y14" i="2"/>
  <c r="AQ14" i="2"/>
  <c r="AS14" i="2" s="1"/>
  <c r="Y194" i="2"/>
  <c r="AQ194" i="2"/>
  <c r="AS194" i="2" s="1"/>
  <c r="AQ339" i="2"/>
  <c r="AS339" i="2" s="1"/>
  <c r="Y339" i="2"/>
  <c r="Y60" i="2"/>
  <c r="AQ60" i="2"/>
  <c r="AS60" i="2" s="1"/>
  <c r="AQ643" i="2"/>
  <c r="AS643" i="2" s="1"/>
  <c r="Y643" i="2"/>
  <c r="AQ627" i="2"/>
  <c r="AS627" i="2" s="1"/>
  <c r="Y627" i="2"/>
  <c r="AQ527" i="2"/>
  <c r="AS527" i="2" s="1"/>
  <c r="Y527" i="2"/>
  <c r="Y620" i="2"/>
  <c r="AQ620" i="2"/>
  <c r="Y848" i="2"/>
  <c r="AQ848" i="2"/>
  <c r="AS848" i="2" s="1"/>
  <c r="AQ905" i="2"/>
  <c r="AS905" i="2" s="1"/>
  <c r="Y905" i="2"/>
  <c r="Y486" i="2"/>
  <c r="AQ486" i="2"/>
  <c r="AS486" i="2" s="1"/>
  <c r="Y679" i="2"/>
  <c r="AQ679" i="2"/>
  <c r="AS679" i="2" s="1"/>
  <c r="AQ835" i="2"/>
  <c r="AS835" i="2" s="1"/>
  <c r="Y504" i="2"/>
  <c r="AQ504" i="2"/>
  <c r="AS504" i="2" s="1"/>
  <c r="Y741" i="2"/>
  <c r="AQ741" i="2"/>
  <c r="AS741" i="2" s="1"/>
  <c r="Y467" i="2"/>
  <c r="AQ467" i="2"/>
  <c r="AS467" i="2" s="1"/>
  <c r="AQ64" i="2"/>
  <c r="AS64" i="2" s="1"/>
  <c r="Y64" i="2"/>
  <c r="AQ347" i="2"/>
  <c r="AS347" i="2" s="1"/>
  <c r="Y347" i="2"/>
  <c r="Y547" i="2"/>
  <c r="AQ547" i="2"/>
  <c r="AS547" i="2" s="1"/>
  <c r="AQ545" i="2"/>
  <c r="AS545" i="2" s="1"/>
  <c r="AQ670" i="2"/>
  <c r="AS670" i="2" s="1"/>
  <c r="Y670" i="2"/>
  <c r="AQ384" i="2"/>
  <c r="AS384" i="2" s="1"/>
  <c r="Y384" i="2"/>
  <c r="AQ865" i="2"/>
  <c r="AS865" i="2" s="1"/>
  <c r="Y865" i="2"/>
  <c r="AQ790" i="2"/>
  <c r="AS790" i="2" s="1"/>
  <c r="Y790" i="2"/>
  <c r="Y738" i="2"/>
  <c r="AQ738" i="2"/>
  <c r="AS738" i="2" s="1"/>
  <c r="AQ826" i="2"/>
  <c r="AS826" i="2" s="1"/>
  <c r="Y826" i="2"/>
  <c r="AQ857" i="2"/>
  <c r="AS857" i="2" s="1"/>
  <c r="Y857" i="2"/>
  <c r="AQ355" i="2"/>
  <c r="AS355" i="2" s="1"/>
  <c r="Y355" i="2"/>
  <c r="AQ80" i="2"/>
  <c r="AS80" i="2" s="1"/>
  <c r="Y80" i="2"/>
  <c r="AQ686" i="2"/>
  <c r="AS686" i="2" s="1"/>
  <c r="Y686" i="2"/>
  <c r="Y837" i="2"/>
  <c r="AQ837" i="2"/>
  <c r="AS837" i="2" s="1"/>
  <c r="Y563" i="2"/>
  <c r="AQ563" i="2"/>
  <c r="AS563" i="2" s="1"/>
  <c r="Y893" i="2"/>
  <c r="AQ893" i="2"/>
  <c r="AS893" i="2" s="1"/>
  <c r="Y845" i="2"/>
  <c r="AQ845" i="2"/>
  <c r="AS845" i="2" s="1"/>
  <c r="AQ764" i="2"/>
  <c r="AS764" i="2" s="1"/>
  <c r="Y684" i="2"/>
  <c r="AQ684" i="2"/>
  <c r="AS684" i="2" s="1"/>
  <c r="AQ638" i="2"/>
  <c r="AS638" i="2" s="1"/>
  <c r="Y638" i="2"/>
  <c r="AQ553" i="2"/>
  <c r="AS553" i="2" s="1"/>
  <c r="AQ928" i="2"/>
  <c r="AS928" i="2" s="1"/>
  <c r="Y928" i="2"/>
  <c r="Y371" i="2"/>
  <c r="AQ732" i="2"/>
  <c r="AS732" i="2" s="1"/>
  <c r="Y707" i="2"/>
  <c r="AQ907" i="2"/>
  <c r="AS907" i="2" s="1"/>
  <c r="Y873" i="2"/>
  <c r="Y921" i="2"/>
  <c r="AQ32" i="2"/>
  <c r="AS32" i="2" s="1"/>
  <c r="Y32" i="2"/>
  <c r="AQ381" i="2"/>
  <c r="AS381" i="2" s="1"/>
  <c r="Y381" i="2"/>
  <c r="AQ440" i="2"/>
  <c r="AS440" i="2" s="1"/>
  <c r="Y502" i="2"/>
  <c r="AQ502" i="2"/>
  <c r="AS502" i="2" s="1"/>
  <c r="AQ702" i="2"/>
  <c r="AS702" i="2" s="1"/>
  <c r="Y702" i="2"/>
  <c r="AQ771" i="2"/>
  <c r="AS771" i="2" s="1"/>
  <c r="Y771" i="2"/>
  <c r="AQ576" i="2"/>
  <c r="AS576" i="2" s="1"/>
  <c r="AQ814" i="2"/>
  <c r="AS814" i="2" s="1"/>
  <c r="Y814" i="2"/>
  <c r="AQ809" i="2"/>
  <c r="AS809" i="2" s="1"/>
  <c r="Y809" i="2"/>
  <c r="Y637" i="2"/>
  <c r="AQ637" i="2"/>
  <c r="AS637" i="2" s="1"/>
  <c r="Y796" i="2"/>
  <c r="AQ796" i="2"/>
  <c r="AS796" i="2" s="1"/>
  <c r="AQ870" i="2"/>
  <c r="AS870" i="2" s="1"/>
  <c r="Y870" i="2"/>
  <c r="Y885" i="2"/>
  <c r="AQ885" i="2"/>
  <c r="AS885" i="2" s="1"/>
  <c r="AQ163" i="2"/>
  <c r="AS163" i="2" s="1"/>
  <c r="Y163" i="2"/>
  <c r="Y313" i="2"/>
  <c r="AQ313" i="2"/>
  <c r="AS313" i="2" s="1"/>
  <c r="Y520" i="2"/>
  <c r="AQ520" i="2"/>
  <c r="AS520" i="2" s="1"/>
  <c r="Y711" i="2"/>
  <c r="AQ711" i="2"/>
  <c r="AS711" i="2" s="1"/>
  <c r="Y795" i="2"/>
  <c r="AQ795" i="2"/>
  <c r="AS795" i="2" s="1"/>
  <c r="Y829" i="2"/>
  <c r="AQ829" i="2"/>
  <c r="AS829" i="2" s="1"/>
  <c r="AQ649" i="2"/>
  <c r="AS649" i="2" s="1"/>
  <c r="Y649" i="2"/>
  <c r="AQ745" i="2"/>
  <c r="AS745" i="2" s="1"/>
  <c r="Y745" i="2"/>
  <c r="AQ801" i="2"/>
  <c r="AS801" i="2" s="1"/>
  <c r="Y801" i="2"/>
  <c r="Y757" i="2"/>
  <c r="AQ757" i="2"/>
  <c r="AS757" i="2" s="1"/>
  <c r="Y44" i="2"/>
  <c r="AQ44" i="2"/>
  <c r="AS44" i="2" s="1"/>
  <c r="Y141" i="2"/>
  <c r="AQ141" i="2"/>
  <c r="AS141" i="2" s="1"/>
  <c r="AQ395" i="2"/>
  <c r="AS395" i="2" s="1"/>
  <c r="Y395" i="2"/>
  <c r="AQ601" i="2"/>
  <c r="AS601" i="2" s="1"/>
  <c r="Y601" i="2"/>
  <c r="AQ521" i="2"/>
  <c r="AS521" i="2" s="1"/>
  <c r="AQ811" i="2"/>
  <c r="AS811" i="2" s="1"/>
  <c r="Y811" i="2"/>
  <c r="Y781" i="2"/>
  <c r="AQ781" i="2"/>
  <c r="AS781" i="2" s="1"/>
  <c r="Y896" i="2"/>
  <c r="AQ896" i="2"/>
  <c r="AS896" i="2" s="1"/>
  <c r="AQ558" i="2"/>
  <c r="AS558" i="2" s="1"/>
  <c r="Y558" i="2"/>
  <c r="AQ48" i="2"/>
  <c r="AS48" i="2" s="1"/>
  <c r="Y48" i="2"/>
  <c r="Y409" i="2"/>
  <c r="AQ409" i="2"/>
  <c r="AS409" i="2" s="1"/>
  <c r="Y722" i="2"/>
  <c r="AQ722" i="2"/>
  <c r="AS722" i="2" s="1"/>
  <c r="Y890" i="2"/>
  <c r="AQ890" i="2"/>
  <c r="AS890" i="2" s="1"/>
  <c r="AQ785" i="2"/>
  <c r="AS785" i="2" s="1"/>
  <c r="Y785" i="2"/>
  <c r="Y898" i="2"/>
  <c r="AQ898" i="2"/>
  <c r="AS898" i="2" s="1"/>
  <c r="AQ4" i="2"/>
  <c r="AS4" i="2" s="1"/>
  <c r="Y4" i="2"/>
  <c r="Y94" i="2"/>
  <c r="AQ94" i="2"/>
  <c r="AS94" i="2" s="1"/>
  <c r="Y356" i="2"/>
  <c r="AQ356" i="2"/>
  <c r="AS356" i="2" s="1"/>
  <c r="Y623" i="2"/>
  <c r="AQ623" i="2"/>
  <c r="AS623" i="2" s="1"/>
  <c r="AQ903" i="2"/>
  <c r="AS903" i="2" s="1"/>
  <c r="Y903" i="2"/>
  <c r="Y30" i="2"/>
  <c r="AQ30" i="2"/>
  <c r="AS30" i="2" s="1"/>
  <c r="Y38" i="2"/>
  <c r="AQ38" i="2"/>
  <c r="AS38" i="2" s="1"/>
  <c r="AQ249" i="2"/>
  <c r="AS249" i="2" s="1"/>
  <c r="Y249" i="2"/>
  <c r="Y103" i="2"/>
  <c r="AQ103" i="2"/>
  <c r="AS103" i="2" s="1"/>
  <c r="AQ257" i="2"/>
  <c r="AS257" i="2" s="1"/>
  <c r="Y257" i="2"/>
  <c r="Y327" i="2"/>
  <c r="AQ327" i="2"/>
  <c r="AS327" i="2" s="1"/>
  <c r="Y344" i="2"/>
  <c r="AQ344" i="2"/>
  <c r="AS344" i="2" s="1"/>
  <c r="Y380" i="2"/>
  <c r="AQ380" i="2"/>
  <c r="AS380" i="2" s="1"/>
  <c r="AQ400" i="2"/>
  <c r="AS400" i="2" s="1"/>
  <c r="Y400" i="2"/>
  <c r="Y522" i="2"/>
  <c r="AQ522" i="2"/>
  <c r="AS522" i="2" s="1"/>
  <c r="AQ593" i="2"/>
  <c r="AS593" i="2" s="1"/>
  <c r="Y593" i="2"/>
  <c r="AQ710" i="2"/>
  <c r="AS710" i="2" s="1"/>
  <c r="Y710" i="2"/>
  <c r="AQ565" i="2"/>
  <c r="AS565" i="2" s="1"/>
  <c r="Y565" i="2"/>
  <c r="Y735" i="2"/>
  <c r="AQ735" i="2"/>
  <c r="AS735" i="2" s="1"/>
  <c r="Y952" i="2"/>
  <c r="AQ952" i="2"/>
  <c r="AS952" i="2" s="1"/>
  <c r="Y816" i="2"/>
  <c r="AQ816" i="2"/>
  <c r="AS816" i="2" s="1"/>
  <c r="Y154" i="2"/>
  <c r="AQ154" i="2"/>
  <c r="AS154" i="2" s="1"/>
  <c r="Y223" i="2"/>
  <c r="AQ223" i="2"/>
  <c r="AS223" i="2" s="1"/>
  <c r="AQ260" i="2"/>
  <c r="AS260" i="2" s="1"/>
  <c r="Y260" i="2"/>
  <c r="Y352" i="2"/>
  <c r="AQ352" i="2"/>
  <c r="AS352" i="2" s="1"/>
  <c r="AQ448" i="2"/>
  <c r="AS448" i="2" s="1"/>
  <c r="Y448" i="2"/>
  <c r="AQ416" i="2"/>
  <c r="AS416" i="2" s="1"/>
  <c r="Y416" i="2"/>
  <c r="AQ598" i="2"/>
  <c r="AS598" i="2" s="1"/>
  <c r="Y598" i="2"/>
  <c r="AQ726" i="2"/>
  <c r="AS726" i="2" s="1"/>
  <c r="Y726" i="2"/>
  <c r="AQ855" i="2"/>
  <c r="AS855" i="2" s="1"/>
  <c r="Y855" i="2"/>
  <c r="Y880" i="2"/>
  <c r="AQ880" i="2"/>
  <c r="AS880" i="2" s="1"/>
  <c r="Y968" i="2"/>
  <c r="AQ968" i="2"/>
  <c r="AS968" i="2" s="1"/>
  <c r="Y864" i="2"/>
  <c r="AQ864" i="2"/>
  <c r="AS864" i="2" s="1"/>
  <c r="Y832" i="2"/>
  <c r="AQ832" i="2"/>
  <c r="AS832" i="2" s="1"/>
  <c r="AQ887" i="2"/>
  <c r="AS887" i="2" s="1"/>
  <c r="Y887" i="2"/>
  <c r="Y960" i="2"/>
  <c r="AQ960" i="2"/>
  <c r="AS960" i="2" s="1"/>
  <c r="AQ783" i="2"/>
  <c r="AS783" i="2" s="1"/>
  <c r="Y783" i="2"/>
  <c r="Y263" i="2"/>
  <c r="AQ263" i="2"/>
  <c r="AS263" i="2" s="1"/>
  <c r="Y360" i="2"/>
  <c r="AQ360" i="2"/>
  <c r="AS360" i="2" s="1"/>
  <c r="AQ426" i="2"/>
  <c r="AS426" i="2" s="1"/>
  <c r="Y426" i="2"/>
  <c r="Y530" i="2"/>
  <c r="AQ530" i="2"/>
  <c r="AS530" i="2" s="1"/>
  <c r="Y538" i="2"/>
  <c r="AQ538" i="2"/>
  <c r="AS538" i="2" s="1"/>
  <c r="AQ614" i="2"/>
  <c r="AS614" i="2" s="1"/>
  <c r="Y614" i="2"/>
  <c r="AQ742" i="2"/>
  <c r="AS742" i="2" s="1"/>
  <c r="Y742" i="2"/>
  <c r="AQ453" i="2"/>
  <c r="AS453" i="2" s="1"/>
  <c r="Y453" i="2"/>
  <c r="Y494" i="2"/>
  <c r="AQ494" i="2"/>
  <c r="AS494" i="2" s="1"/>
  <c r="AQ926" i="2"/>
  <c r="AS926" i="2" s="1"/>
  <c r="Y926" i="2"/>
  <c r="AQ823" i="2"/>
  <c r="AS823" i="2" s="1"/>
  <c r="Y823" i="2"/>
  <c r="Y256" i="2"/>
  <c r="AQ256" i="2"/>
  <c r="AS256" i="2" s="1"/>
  <c r="Y70" i="2"/>
  <c r="AQ70" i="2"/>
  <c r="AS70" i="2" s="1"/>
  <c r="Y46" i="2"/>
  <c r="AQ46" i="2"/>
  <c r="AS46" i="2" s="1"/>
  <c r="Y78" i="2"/>
  <c r="AQ78" i="2"/>
  <c r="AS78" i="2" s="1"/>
  <c r="Y26" i="2"/>
  <c r="AQ26" i="2"/>
  <c r="AS26" i="2" s="1"/>
  <c r="AQ225" i="2"/>
  <c r="AS225" i="2" s="1"/>
  <c r="Y225" i="2"/>
  <c r="AQ143" i="2"/>
  <c r="AS143" i="2" s="1"/>
  <c r="Y143" i="2"/>
  <c r="Y289" i="2"/>
  <c r="AQ289" i="2"/>
  <c r="AS289" i="2" s="1"/>
  <c r="Y368" i="2"/>
  <c r="AQ368" i="2"/>
  <c r="AS368" i="2" s="1"/>
  <c r="AQ460" i="2"/>
  <c r="AS460" i="2" s="1"/>
  <c r="Y460" i="2"/>
  <c r="AQ392" i="2"/>
  <c r="AS392" i="2" s="1"/>
  <c r="Y392" i="2"/>
  <c r="Y546" i="2"/>
  <c r="AQ546" i="2"/>
  <c r="AS546" i="2" s="1"/>
  <c r="AQ630" i="2"/>
  <c r="AS630" i="2" s="1"/>
  <c r="Y630" i="2"/>
  <c r="AQ758" i="2"/>
  <c r="AS758" i="2" s="1"/>
  <c r="Y758" i="2"/>
  <c r="AQ405" i="2"/>
  <c r="AS405" i="2" s="1"/>
  <c r="Y405" i="2"/>
  <c r="Y687" i="2"/>
  <c r="AQ687" i="2"/>
  <c r="AS687" i="2" s="1"/>
  <c r="AQ934" i="2"/>
  <c r="AS934" i="2" s="1"/>
  <c r="Y934" i="2"/>
  <c r="Y655" i="2"/>
  <c r="AQ655" i="2"/>
  <c r="AS655" i="2" s="1"/>
  <c r="Y22" i="2"/>
  <c r="AQ22" i="2"/>
  <c r="AS22" i="2" s="1"/>
  <c r="AQ113" i="2"/>
  <c r="AS113" i="2" s="1"/>
  <c r="Y113" i="2"/>
  <c r="AQ251" i="2"/>
  <c r="AS251" i="2" s="1"/>
  <c r="Y251" i="2"/>
  <c r="AQ524" i="2"/>
  <c r="AS524" i="2" s="1"/>
  <c r="Y524" i="2"/>
  <c r="AQ694" i="2"/>
  <c r="AS694" i="2" s="1"/>
  <c r="Y694" i="2"/>
  <c r="Y207" i="2"/>
  <c r="AQ207" i="2"/>
  <c r="AS207" i="2" s="1"/>
  <c r="Y102" i="2"/>
  <c r="AQ102" i="2"/>
  <c r="AS102" i="2" s="1"/>
  <c r="AQ161" i="2"/>
  <c r="AS161" i="2" s="1"/>
  <c r="Y161" i="2"/>
  <c r="AQ646" i="2"/>
  <c r="AS646" i="2" s="1"/>
  <c r="Y646" i="2"/>
  <c r="Y587" i="2"/>
  <c r="AQ587" i="2"/>
  <c r="AS587" i="2" s="1"/>
  <c r="Y719" i="2"/>
  <c r="AQ719" i="2"/>
  <c r="AS719" i="2" s="1"/>
  <c r="AQ791" i="2"/>
  <c r="AS791" i="2" s="1"/>
  <c r="Y791" i="2"/>
  <c r="AQ942" i="2"/>
  <c r="AS942" i="2" s="1"/>
  <c r="Y942" i="2"/>
  <c r="AQ807" i="2"/>
  <c r="AS807" i="2" s="1"/>
  <c r="Y807" i="2"/>
  <c r="Y165" i="2"/>
  <c r="AQ165" i="2"/>
  <c r="AS165" i="2" s="1"/>
  <c r="Y110" i="2"/>
  <c r="AQ110" i="2"/>
  <c r="AS110" i="2" s="1"/>
  <c r="Y336" i="2"/>
  <c r="AQ336" i="2"/>
  <c r="AS336" i="2" s="1"/>
  <c r="AQ16" i="2"/>
  <c r="AS16" i="2" s="1"/>
  <c r="Y16" i="2"/>
  <c r="AQ159" i="2"/>
  <c r="AS159" i="2" s="1"/>
  <c r="Y159" i="2"/>
  <c r="Y62" i="2"/>
  <c r="AQ62" i="2"/>
  <c r="AS62" i="2" s="1"/>
  <c r="AQ180" i="2"/>
  <c r="AS180" i="2" s="1"/>
  <c r="Y180" i="2"/>
  <c r="Y117" i="2"/>
  <c r="AQ117" i="2"/>
  <c r="AS117" i="2" s="1"/>
  <c r="Y66" i="2"/>
  <c r="AQ66" i="2"/>
  <c r="AS66" i="2" s="1"/>
  <c r="Y189" i="2"/>
  <c r="AQ189" i="2"/>
  <c r="AS189" i="2" s="1"/>
  <c r="Y255" i="2"/>
  <c r="AQ255" i="2"/>
  <c r="AS255" i="2" s="1"/>
  <c r="AQ292" i="2"/>
  <c r="AS292" i="2" s="1"/>
  <c r="Y292" i="2"/>
  <c r="Y372" i="2"/>
  <c r="AQ372" i="2"/>
  <c r="AS372" i="2" s="1"/>
  <c r="AQ476" i="2"/>
  <c r="AS476" i="2" s="1"/>
  <c r="Y476" i="2"/>
  <c r="AQ242" i="2"/>
  <c r="AS242" i="2" s="1"/>
  <c r="Y242" i="2"/>
  <c r="Y554" i="2"/>
  <c r="AQ542" i="2"/>
  <c r="AS542" i="2" s="1"/>
  <c r="Y542" i="2"/>
  <c r="AQ774" i="2"/>
  <c r="AS774" i="2" s="1"/>
  <c r="Y774" i="2"/>
  <c r="AQ8" i="2"/>
  <c r="AS8" i="2" s="1"/>
  <c r="Y8" i="2"/>
  <c r="Y133" i="2"/>
  <c r="AQ133" i="2"/>
  <c r="AS133" i="2" s="1"/>
  <c r="Y86" i="2"/>
  <c r="AQ86" i="2"/>
  <c r="AS86" i="2" s="1"/>
  <c r="AQ192" i="2"/>
  <c r="AS192" i="2" s="1"/>
  <c r="Y192" i="2"/>
  <c r="AQ162" i="2"/>
  <c r="AS162" i="2" s="1"/>
  <c r="Y162" i="2"/>
  <c r="Y295" i="2"/>
  <c r="AQ295" i="2"/>
  <c r="AS295" i="2" s="1"/>
  <c r="Y376" i="2"/>
  <c r="AQ376" i="2"/>
  <c r="AS376" i="2" s="1"/>
  <c r="AQ492" i="2"/>
  <c r="AS492" i="2" s="1"/>
  <c r="Y492" i="2"/>
  <c r="Y562" i="2"/>
  <c r="AQ562" i="2"/>
  <c r="AS562" i="2" s="1"/>
  <c r="Y462" i="2"/>
  <c r="AQ462" i="2"/>
  <c r="AS462" i="2" s="1"/>
  <c r="AQ662" i="2"/>
  <c r="AS662" i="2" s="1"/>
  <c r="Y662" i="2"/>
  <c r="AQ501" i="2"/>
  <c r="AS501" i="2" s="1"/>
  <c r="Y501" i="2"/>
  <c r="AQ799" i="2"/>
  <c r="AS799" i="2" s="1"/>
  <c r="Y799" i="2"/>
  <c r="Y751" i="2"/>
  <c r="AQ751" i="2"/>
  <c r="AS751" i="2" s="1"/>
  <c r="AQ950" i="2"/>
  <c r="AS950" i="2" s="1"/>
  <c r="Y950" i="2"/>
  <c r="AQ233" i="2"/>
  <c r="AS233" i="2" s="1"/>
  <c r="Y233" i="2"/>
  <c r="AQ324" i="2"/>
  <c r="AS324" i="2" s="1"/>
  <c r="Y324" i="2"/>
  <c r="AQ966" i="2"/>
  <c r="AS966" i="2" s="1"/>
  <c r="Y966" i="2"/>
  <c r="Y54" i="2"/>
  <c r="AQ54" i="2"/>
  <c r="AS54" i="2" s="1"/>
  <c r="Y149" i="2"/>
  <c r="AQ149" i="2"/>
  <c r="AS149" i="2" s="1"/>
  <c r="Y90" i="2"/>
  <c r="AQ90" i="2"/>
  <c r="AS90" i="2" s="1"/>
  <c r="AQ217" i="2"/>
  <c r="AS217" i="2" s="1"/>
  <c r="Y217" i="2"/>
  <c r="AQ195" i="2"/>
  <c r="AS195" i="2" s="1"/>
  <c r="Y195" i="2"/>
  <c r="Y95" i="2"/>
  <c r="AQ95" i="2"/>
  <c r="AS95" i="2" s="1"/>
  <c r="AQ321" i="2"/>
  <c r="AS321" i="2" s="1"/>
  <c r="Y321" i="2"/>
  <c r="AQ508" i="2"/>
  <c r="AS508" i="2" s="1"/>
  <c r="Y508" i="2"/>
  <c r="Y570" i="2"/>
  <c r="AQ570" i="2"/>
  <c r="AS570" i="2" s="1"/>
  <c r="AQ678" i="2"/>
  <c r="AS678" i="2" s="1"/>
  <c r="Y678" i="2"/>
  <c r="Y478" i="2"/>
  <c r="AQ478" i="2"/>
  <c r="AS478" i="2" s="1"/>
  <c r="AQ958" i="2"/>
  <c r="AS958" i="2" s="1"/>
  <c r="Y958" i="2"/>
  <c r="Y912" i="2"/>
  <c r="AQ912" i="2"/>
  <c r="AS912" i="2" s="1"/>
  <c r="AQ81" i="2"/>
  <c r="AS81" i="2" s="1"/>
  <c r="Y81" i="2"/>
  <c r="Y442" i="2"/>
  <c r="AQ442" i="2"/>
  <c r="AS442" i="2" s="1"/>
  <c r="AL554" i="2"/>
  <c r="AQ554" i="2" s="1"/>
  <c r="AS554" i="2" s="1"/>
  <c r="Q856" i="2"/>
  <c r="AQ856" i="2" s="1"/>
  <c r="AS856" i="2" s="1"/>
  <c r="Y856" i="2" l="1"/>
</calcChain>
</file>

<file path=xl/sharedStrings.xml><?xml version="1.0" encoding="utf-8"?>
<sst xmlns="http://schemas.openxmlformats.org/spreadsheetml/2006/main" count="242" uniqueCount="131">
  <si>
    <t>DATE</t>
  </si>
  <si>
    <t>PMS</t>
  </si>
  <si>
    <t>AGO</t>
  </si>
  <si>
    <t>TOTAL</t>
  </si>
  <si>
    <t>TBA (UGX)</t>
  </si>
  <si>
    <t>FUEL SALES VOL</t>
  </si>
  <si>
    <t>FUEL SALES UGX</t>
  </si>
  <si>
    <t>LUBES SALES</t>
  </si>
  <si>
    <t>LPG SALES</t>
  </si>
  <si>
    <t>Ltrs</t>
  </si>
  <si>
    <t>UGX</t>
  </si>
  <si>
    <t>KGS</t>
  </si>
  <si>
    <t>FUEL Prices</t>
  </si>
  <si>
    <t>EXPENSES</t>
  </si>
  <si>
    <t>INVOICES</t>
  </si>
  <si>
    <t>OTHER INCOMES</t>
  </si>
  <si>
    <t>UMEME</t>
  </si>
  <si>
    <t>WATER</t>
  </si>
  <si>
    <t>SECURITY</t>
  </si>
  <si>
    <t>STATIONARY</t>
  </si>
  <si>
    <t>GENERATOR</t>
  </si>
  <si>
    <t>MEALS</t>
  </si>
  <si>
    <t>TRANSPORT</t>
  </si>
  <si>
    <t>SALARIES</t>
  </si>
  <si>
    <t>SANITARY</t>
  </si>
  <si>
    <t>AIRTIME</t>
  </si>
  <si>
    <t>MISC.</t>
  </si>
  <si>
    <t>SHOP SALES</t>
  </si>
  <si>
    <t>TYRE</t>
  </si>
  <si>
    <t>OTHER STOCK PURCHASES</t>
  </si>
  <si>
    <t>TBA</t>
  </si>
  <si>
    <t>LPG ACC.</t>
  </si>
  <si>
    <t>SHOP PURCHASE</t>
  </si>
  <si>
    <t>C          A          S          H                    O          U          T</t>
  </si>
  <si>
    <t>TOTAL 
EXPENSES</t>
  </si>
  <si>
    <t>PLUS CARD CREDITS</t>
  </si>
  <si>
    <t>PLUS CARD SALES</t>
  </si>
  <si>
    <t>VISA</t>
  </si>
  <si>
    <t>AIRTEL PAY</t>
  </si>
  <si>
    <t>MOMO PAY</t>
  </si>
  <si>
    <t>PAYEMENT</t>
  </si>
  <si>
    <t>SHOP PACKAGING</t>
  </si>
  <si>
    <t>CASH TO BANK</t>
  </si>
  <si>
    <t>Delta</t>
  </si>
  <si>
    <t>ACTUAL CASH
 BANKED</t>
  </si>
  <si>
    <t>OTHERS</t>
  </si>
  <si>
    <t>T       O       T       A       L                           S       A       L       E       S</t>
  </si>
  <si>
    <t>C   A   S   H   L   E   S   S       S   A   L   E   S</t>
  </si>
  <si>
    <t>OTHER E-PAYMENTS</t>
  </si>
  <si>
    <t>TOTAL  CASH</t>
  </si>
  <si>
    <t>DEBTORS
(Credit Sales)</t>
  </si>
  <si>
    <t>-</t>
  </si>
  <si>
    <t>=</t>
  </si>
  <si>
    <t>Q5000 T1</t>
  </si>
  <si>
    <t>MOTOR T1</t>
  </si>
  <si>
    <t>Q5000 T4</t>
  </si>
  <si>
    <t>Q7000 T1</t>
  </si>
  <si>
    <t>Q7000 T4</t>
  </si>
  <si>
    <t>Q9000 T1</t>
  </si>
  <si>
    <t>Q9000 T4</t>
  </si>
  <si>
    <t>FLUIDMATIC D2 T5</t>
  </si>
  <si>
    <t>FLUIDE IID T0.5</t>
  </si>
  <si>
    <t>FLUIDE IID T1</t>
  </si>
  <si>
    <t>FLUIDE IID P20</t>
  </si>
  <si>
    <t>FLUIDMATIC D3 T1</t>
  </si>
  <si>
    <t>COOLANT T1</t>
  </si>
  <si>
    <t>HBF4 T0.25</t>
  </si>
  <si>
    <t>BAJAJ BOXER T1</t>
  </si>
  <si>
    <t>HI-PERF 2T T0.5</t>
  </si>
  <si>
    <t>MULTIS EP 2 1KG</t>
  </si>
  <si>
    <t>AZOLLA ZS 32 P20</t>
  </si>
  <si>
    <t>AZOLLA ZS 46 P20</t>
  </si>
  <si>
    <t xml:space="preserve">AZOLLA ZS 68 20L </t>
  </si>
  <si>
    <t>TRAX. AXLE 7 85W90 T5</t>
  </si>
  <si>
    <t>TRAX. AXLE 7 85W140 T5</t>
  </si>
  <si>
    <t>EP 85W140 T5</t>
  </si>
  <si>
    <t>EP 85W140 P20</t>
  </si>
  <si>
    <t>EP 85W90 P20</t>
  </si>
  <si>
    <t>EP 85W90 T5</t>
  </si>
  <si>
    <t>MOTOR T4</t>
  </si>
  <si>
    <t>MULTIS EP 2 18KG (Per kg)</t>
  </si>
  <si>
    <t>MULTIS EP 3 18KG (Per kg)</t>
  </si>
  <si>
    <t>Item Name</t>
  </si>
  <si>
    <t>MOTOR 208L</t>
  </si>
  <si>
    <t>Q5000 208L</t>
  </si>
  <si>
    <t>EP 85W90 208L</t>
  </si>
  <si>
    <t>AZOLLA ZS 32 208L</t>
  </si>
  <si>
    <t>AZOLLA ZS 46 208L</t>
  </si>
  <si>
    <t>AZOLLA ZS 68 208L</t>
  </si>
  <si>
    <t>MOTOR OIL</t>
  </si>
  <si>
    <t>QUARTZ</t>
  </si>
  <si>
    <t>CATEGORY</t>
  </si>
  <si>
    <t>RUBIA</t>
  </si>
  <si>
    <t>4400 208L</t>
  </si>
  <si>
    <t>4400 P20</t>
  </si>
  <si>
    <t>4400 T5</t>
  </si>
  <si>
    <t>FLEET T5</t>
  </si>
  <si>
    <t>G 6200 T1</t>
  </si>
  <si>
    <t>G 6200 T5</t>
  </si>
  <si>
    <t>G 6200 P20</t>
  </si>
  <si>
    <t>G 6200 208L</t>
  </si>
  <si>
    <t>SX T1</t>
  </si>
  <si>
    <t>SX T5</t>
  </si>
  <si>
    <t>S P20</t>
  </si>
  <si>
    <t>S 208L</t>
  </si>
  <si>
    <t>TIR7400 T1</t>
  </si>
  <si>
    <t>TIR7400 T5</t>
  </si>
  <si>
    <t>TIR7400 P20</t>
  </si>
  <si>
    <t>TIR7400 208L</t>
  </si>
  <si>
    <t>XT T1</t>
  </si>
  <si>
    <t>XT T5</t>
  </si>
  <si>
    <t>XT P20</t>
  </si>
  <si>
    <t>XT 208L</t>
  </si>
  <si>
    <t>GREASE</t>
  </si>
  <si>
    <t>2 WHEELERS</t>
  </si>
  <si>
    <t>HYDRAULIC</t>
  </si>
  <si>
    <t>OTHER</t>
  </si>
  <si>
    <t>ATF</t>
  </si>
  <si>
    <t>Selling Price</t>
  </si>
  <si>
    <t>Cost Price</t>
  </si>
  <si>
    <t>Unit</t>
  </si>
  <si>
    <t>Pcs</t>
  </si>
  <si>
    <t>Litres</t>
  </si>
  <si>
    <t>MTF</t>
  </si>
  <si>
    <t xml:space="preserve"> </t>
  </si>
  <si>
    <t>RTT</t>
  </si>
  <si>
    <t>79.5 kg</t>
  </si>
  <si>
    <t>*</t>
  </si>
  <si>
    <t>CF</t>
  </si>
  <si>
    <t>DAI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</si>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</sst>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\ _€_-;\-* #,##0.00\ _€_-;_-* &quot;-&quot;??\ _€_-;_-@_-"/>
    <numFmt numFmtId="167" formatCode="_-* #,##0\ _€_-;\-* #,##0\ _€_-;_-* &quot;-&quot;??\ _€_-;_-@_-"/>
    <numFmt numFmtId="168" formatCode="_-* #,##0.00\ _F_-;\-* #,##0.00\ _F_-;_-* &quot;-&quot;??\ _F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600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</cellStyleXfs>
  <cellXfs count="58">
    <xf numFmtId="0" fontId="0" fillId="0" borderId="0" xfId="0"/>
    <xf numFmtId="165" fontId="0" fillId="0" borderId="0" xfId="1" applyNumberFormat="1" applyFont="1"/>
    <xf numFmtId="0" fontId="2" fillId="0" borderId="0" xfId="0" applyFont="1"/>
    <xf numFmtId="43" fontId="0" fillId="0" borderId="0" xfId="1" applyFont="1"/>
    <xf numFmtId="165" fontId="0" fillId="12" borderId="0" xfId="0" applyNumberFormat="1" applyFill="1"/>
    <xf numFmtId="165" fontId="0" fillId="13" borderId="0" xfId="1" applyNumberFormat="1" applyFont="1" applyFill="1"/>
    <xf numFmtId="0" fontId="5" fillId="0" borderId="1" xfId="0" applyFont="1" applyBorder="1"/>
    <xf numFmtId="165" fontId="5" fillId="0" borderId="1" xfId="1" applyNumberFormat="1" applyFont="1" applyBorder="1"/>
    <xf numFmtId="165" fontId="6" fillId="11" borderId="5" xfId="1" applyNumberFormat="1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165" fontId="5" fillId="2" borderId="1" xfId="1" applyNumberFormat="1" applyFont="1" applyFill="1" applyBorder="1"/>
    <xf numFmtId="43" fontId="5" fillId="2" borderId="1" xfId="1" applyFont="1" applyFill="1" applyBorder="1"/>
    <xf numFmtId="165" fontId="5" fillId="11" borderId="1" xfId="1" applyNumberFormat="1" applyFont="1" applyFill="1" applyBorder="1"/>
    <xf numFmtId="0" fontId="5" fillId="7" borderId="1" xfId="0" applyFont="1" applyFill="1" applyBorder="1"/>
    <xf numFmtId="0" fontId="7" fillId="0" borderId="1" xfId="0" applyFont="1" applyBorder="1"/>
    <xf numFmtId="0" fontId="5" fillId="7" borderId="8" xfId="0" applyFont="1" applyFill="1" applyBorder="1" applyAlignment="1">
      <alignment wrapText="1"/>
    </xf>
    <xf numFmtId="0" fontId="5" fillId="7" borderId="8" xfId="0" applyFont="1" applyFill="1" applyBorder="1"/>
    <xf numFmtId="165" fontId="5" fillId="0" borderId="0" xfId="1" applyNumberFormat="1" applyFont="1"/>
    <xf numFmtId="165" fontId="6" fillId="13" borderId="1" xfId="1" applyNumberFormat="1" applyFont="1" applyFill="1" applyBorder="1"/>
    <xf numFmtId="165" fontId="5" fillId="15" borderId="1" xfId="1" applyNumberFormat="1" applyFont="1" applyFill="1" applyBorder="1"/>
    <xf numFmtId="0" fontId="6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2" fillId="16" borderId="0" xfId="0" applyFont="1" applyFill="1"/>
    <xf numFmtId="167" fontId="10" fillId="14" borderId="9" xfId="2" applyNumberFormat="1" applyFont="1" applyFill="1" applyBorder="1" applyAlignment="1">
      <alignment horizontal="justify"/>
    </xf>
    <xf numFmtId="167" fontId="10" fillId="14" borderId="11" xfId="2" applyNumberFormat="1" applyFont="1" applyFill="1" applyBorder="1" applyAlignment="1">
      <alignment horizontal="justify"/>
    </xf>
    <xf numFmtId="167" fontId="10" fillId="14" borderId="10" xfId="2" applyNumberFormat="1" applyFont="1" applyFill="1" applyBorder="1" applyAlignment="1"/>
    <xf numFmtId="167" fontId="10" fillId="0" borderId="9" xfId="2" applyNumberFormat="1" applyFont="1" applyFill="1" applyBorder="1" applyAlignment="1">
      <alignment horizontal="justify"/>
    </xf>
    <xf numFmtId="167" fontId="10" fillId="0" borderId="11" xfId="2" applyNumberFormat="1" applyFont="1" applyFill="1" applyBorder="1" applyAlignment="1">
      <alignment horizontal="justify"/>
    </xf>
    <xf numFmtId="167" fontId="10" fillId="17" borderId="10" xfId="2" applyNumberFormat="1" applyFont="1" applyFill="1" applyBorder="1" applyAlignment="1"/>
    <xf numFmtId="167" fontId="10" fillId="18" borderId="10" xfId="2" applyNumberFormat="1" applyFont="1" applyFill="1" applyBorder="1" applyAlignment="1"/>
    <xf numFmtId="167" fontId="10" fillId="17" borderId="10" xfId="3" applyNumberFormat="1" applyFont="1" applyFill="1" applyBorder="1" applyAlignment="1"/>
    <xf numFmtId="167" fontId="10" fillId="18" borderId="10" xfId="3" applyNumberFormat="1" applyFont="1" applyFill="1" applyBorder="1" applyAlignment="1"/>
    <xf numFmtId="165" fontId="5" fillId="15" borderId="1" xfId="1" applyNumberFormat="1" applyFont="1" applyFill="1" applyBorder="1" applyProtection="1"/>
    <xf numFmtId="165" fontId="5" fillId="14" borderId="1" xfId="1" applyNumberFormat="1" applyFont="1" applyFill="1" applyBorder="1"/>
    <xf numFmtId="165" fontId="7" fillId="9" borderId="1" xfId="1" applyNumberFormat="1" applyFont="1" applyFill="1" applyBorder="1"/>
    <xf numFmtId="15" fontId="2" fillId="0" borderId="0" xfId="0" quotePrefix="1" applyNumberFormat="1" applyFont="1"/>
    <xf numFmtId="15" fontId="5" fillId="0" borderId="1" xfId="0" applyNumberFormat="1" applyFont="1" applyBorder="1"/>
    <xf numFmtId="15" fontId="5" fillId="2" borderId="1" xfId="0" applyNumberFormat="1" applyFont="1" applyFill="1" applyBorder="1"/>
    <xf numFmtId="15" fontId="0" fillId="0" borderId="0" xfId="0" applyNumberFormat="1"/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5" fontId="6" fillId="12" borderId="2" xfId="0" applyNumberFormat="1" applyFont="1" applyFill="1" applyBorder="1" applyAlignment="1">
      <alignment horizontal="center" wrapText="1"/>
    </xf>
    <xf numFmtId="165" fontId="6" fillId="12" borderId="3" xfId="0" applyNumberFormat="1" applyFont="1" applyFill="1" applyBorder="1" applyAlignment="1">
      <alignment horizontal="center"/>
    </xf>
    <xf numFmtId="165" fontId="5" fillId="10" borderId="4" xfId="1" applyNumberFormat="1" applyFont="1" applyFill="1" applyBorder="1" applyAlignment="1">
      <alignment horizontal="center"/>
    </xf>
    <xf numFmtId="165" fontId="5" fillId="10" borderId="5" xfId="1" applyNumberFormat="1" applyFont="1" applyFill="1" applyBorder="1" applyAlignment="1">
      <alignment horizontal="center"/>
    </xf>
    <xf numFmtId="165" fontId="5" fillId="10" borderId="6" xfId="1" applyNumberFormat="1" applyFont="1" applyFill="1" applyBorder="1" applyAlignment="1">
      <alignment horizontal="center"/>
    </xf>
    <xf numFmtId="164" fontId="3" fillId="5" borderId="7" xfId="1" applyNumberFormat="1" applyFont="1" applyFill="1" applyBorder="1" applyAlignment="1">
      <alignment horizontal="center"/>
    </xf>
    <xf numFmtId="165" fontId="6" fillId="8" borderId="4" xfId="1" applyNumberFormat="1" applyFont="1" applyFill="1" applyBorder="1" applyAlignment="1">
      <alignment horizontal="center"/>
    </xf>
    <xf numFmtId="165" fontId="6" fillId="8" borderId="5" xfId="1" applyNumberFormat="1" applyFont="1" applyFill="1" applyBorder="1" applyAlignment="1">
      <alignment horizontal="center"/>
    </xf>
    <xf numFmtId="165" fontId="6" fillId="8" borderId="6" xfId="1" applyNumberFormat="1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3" fillId="9" borderId="7" xfId="1" applyNumberFormat="1" applyFont="1" applyFill="1" applyBorder="1" applyAlignment="1">
      <alignment horizontal="center"/>
    </xf>
  </cellXfs>
  <cellStyles count="4">
    <cellStyle name="Comma" xfId="1" builtinId="3"/>
    <cellStyle name="Comma 2 2" xfId="3" xr:uid="{00000000-0005-0000-0000-000001000000}"/>
    <cellStyle name="Comma 2 4" xfId="2" xr:uid="{00000000-0005-0000-0000-000002000000}"/>
    <cellStyle name="Normal" xfId="0" builtinId="0"/>
  </cellStyles>
  <dxfs count="2"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2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FLOW'!$B$1</c:f>
              <c:strCache>
                <c:ptCount val="1"/>
                <c:pt idx="0">
                  <c:v> T       O       T       A       L                           S       A       L       E       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FLOW'!$B$2:$B$969</c:f>
              <c:numCache>
                <c:formatCode>_-* #,##0_-;\-* #,##0_-;_-* "-"??_-;_-@_-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1928.5250000000001</c:v>
                </c:pt>
                <c:pt idx="3">
                  <c:v>1209</c:v>
                </c:pt>
                <c:pt idx="4">
                  <c:v>1494.0540000000001</c:v>
                </c:pt>
                <c:pt idx="5">
                  <c:v>1862</c:v>
                </c:pt>
                <c:pt idx="6">
                  <c:v>1760.559</c:v>
                </c:pt>
                <c:pt idx="7">
                  <c:v>1962.634</c:v>
                </c:pt>
                <c:pt idx="8">
                  <c:v>1837.4970000000001</c:v>
                </c:pt>
                <c:pt idx="9">
                  <c:v>1421.269</c:v>
                </c:pt>
                <c:pt idx="10">
                  <c:v>1841.923</c:v>
                </c:pt>
                <c:pt idx="11">
                  <c:v>1326.65</c:v>
                </c:pt>
                <c:pt idx="12">
                  <c:v>1455.623</c:v>
                </c:pt>
                <c:pt idx="13">
                  <c:v>1519.9349999999999</c:v>
                </c:pt>
                <c:pt idx="14">
                  <c:v>1646.4359999999999</c:v>
                </c:pt>
                <c:pt idx="15">
                  <c:v>1592.125</c:v>
                </c:pt>
                <c:pt idx="16">
                  <c:v>1526.819</c:v>
                </c:pt>
                <c:pt idx="17">
                  <c:v>1428.5740000000001</c:v>
                </c:pt>
                <c:pt idx="18">
                  <c:v>1583.662</c:v>
                </c:pt>
                <c:pt idx="19">
                  <c:v>1661.35</c:v>
                </c:pt>
                <c:pt idx="20">
                  <c:v>1716.799</c:v>
                </c:pt>
                <c:pt idx="21">
                  <c:v>1541.2360000000001</c:v>
                </c:pt>
                <c:pt idx="22">
                  <c:v>1655.1320000000001</c:v>
                </c:pt>
                <c:pt idx="23">
                  <c:v>1800.5150000000001</c:v>
                </c:pt>
                <c:pt idx="24">
                  <c:v>1376.5519999999999</c:v>
                </c:pt>
                <c:pt idx="25">
                  <c:v>1639.2449999999999</c:v>
                </c:pt>
                <c:pt idx="26">
                  <c:v>1534.5070000000001</c:v>
                </c:pt>
                <c:pt idx="27">
                  <c:v>1500.15</c:v>
                </c:pt>
                <c:pt idx="28">
                  <c:v>1551.6320000000001</c:v>
                </c:pt>
                <c:pt idx="29">
                  <c:v>1719.538</c:v>
                </c:pt>
                <c:pt idx="30">
                  <c:v>1637.3530000000001</c:v>
                </c:pt>
                <c:pt idx="31">
                  <c:v>1786.7660000000001</c:v>
                </c:pt>
                <c:pt idx="32">
                  <c:v>1529.556</c:v>
                </c:pt>
                <c:pt idx="33">
                  <c:v>1822.0820000000001</c:v>
                </c:pt>
                <c:pt idx="34">
                  <c:v>1572.3</c:v>
                </c:pt>
                <c:pt idx="35">
                  <c:v>2334.8710000000001</c:v>
                </c:pt>
                <c:pt idx="36">
                  <c:v>2785.931</c:v>
                </c:pt>
                <c:pt idx="37">
                  <c:v>2590.7440000000001</c:v>
                </c:pt>
                <c:pt idx="38">
                  <c:v>3445.15</c:v>
                </c:pt>
                <c:pt idx="39">
                  <c:v>1643.896</c:v>
                </c:pt>
                <c:pt idx="40">
                  <c:v>1481.0609999999999</c:v>
                </c:pt>
                <c:pt idx="41">
                  <c:v>1586.3789999999999</c:v>
                </c:pt>
                <c:pt idx="42">
                  <c:v>1845.6189999999999</c:v>
                </c:pt>
                <c:pt idx="43">
                  <c:v>1795.5</c:v>
                </c:pt>
                <c:pt idx="44">
                  <c:v>1420.0650000000001</c:v>
                </c:pt>
                <c:pt idx="45">
                  <c:v>1711.1510000000001</c:v>
                </c:pt>
                <c:pt idx="46">
                  <c:v>1755.02</c:v>
                </c:pt>
                <c:pt idx="47">
                  <c:v>1445.213</c:v>
                </c:pt>
                <c:pt idx="48">
                  <c:v>1429.84</c:v>
                </c:pt>
                <c:pt idx="49">
                  <c:v>1697.3620000000001</c:v>
                </c:pt>
                <c:pt idx="50">
                  <c:v>1718.1120000000001</c:v>
                </c:pt>
                <c:pt idx="51">
                  <c:v>1608.2080000000001</c:v>
                </c:pt>
                <c:pt idx="52">
                  <c:v>2049.96</c:v>
                </c:pt>
                <c:pt idx="53">
                  <c:v>1947.37</c:v>
                </c:pt>
                <c:pt idx="54">
                  <c:v>1556.355</c:v>
                </c:pt>
                <c:pt idx="55">
                  <c:v>1623.509</c:v>
                </c:pt>
                <c:pt idx="56">
                  <c:v>1872.299</c:v>
                </c:pt>
                <c:pt idx="57">
                  <c:v>2318.6019999999999</c:v>
                </c:pt>
                <c:pt idx="58">
                  <c:v>1448.002</c:v>
                </c:pt>
                <c:pt idx="59">
                  <c:v>1908.6079999999999</c:v>
                </c:pt>
                <c:pt idx="60">
                  <c:v>1583.6949999999999</c:v>
                </c:pt>
                <c:pt idx="61">
                  <c:v>1002.303</c:v>
                </c:pt>
                <c:pt idx="62">
                  <c:v>1614.047</c:v>
                </c:pt>
                <c:pt idx="63">
                  <c:v>1829.9880000000001</c:v>
                </c:pt>
                <c:pt idx="64">
                  <c:v>1780.6479999999999</c:v>
                </c:pt>
                <c:pt idx="65">
                  <c:v>1873.203</c:v>
                </c:pt>
                <c:pt idx="66">
                  <c:v>1804.9860000000001</c:v>
                </c:pt>
                <c:pt idx="67">
                  <c:v>1425.93</c:v>
                </c:pt>
                <c:pt idx="68">
                  <c:v>1324</c:v>
                </c:pt>
                <c:pt idx="69">
                  <c:v>1703.18</c:v>
                </c:pt>
                <c:pt idx="70">
                  <c:v>1766.539</c:v>
                </c:pt>
                <c:pt idx="71">
                  <c:v>1616.4549999999999</c:v>
                </c:pt>
                <c:pt idx="72">
                  <c:v>1463.376</c:v>
                </c:pt>
                <c:pt idx="73">
                  <c:v>1686.98</c:v>
                </c:pt>
                <c:pt idx="74">
                  <c:v>1432.2360000000001</c:v>
                </c:pt>
                <c:pt idx="75">
                  <c:v>1463.539</c:v>
                </c:pt>
                <c:pt idx="76">
                  <c:v>1333.7360000000001</c:v>
                </c:pt>
                <c:pt idx="77">
                  <c:v>1553.0730000000001</c:v>
                </c:pt>
                <c:pt idx="78">
                  <c:v>2146.7310000000002</c:v>
                </c:pt>
                <c:pt idx="79">
                  <c:v>1632.2</c:v>
                </c:pt>
                <c:pt idx="80">
                  <c:v>1589.0519999999999</c:v>
                </c:pt>
                <c:pt idx="81">
                  <c:v>1692.1790000000001</c:v>
                </c:pt>
                <c:pt idx="82">
                  <c:v>1928.664</c:v>
                </c:pt>
                <c:pt idx="83">
                  <c:v>2038.048</c:v>
                </c:pt>
                <c:pt idx="84">
                  <c:v>1960.06</c:v>
                </c:pt>
                <c:pt idx="85">
                  <c:v>2230.1170000000002</c:v>
                </c:pt>
                <c:pt idx="86">
                  <c:v>1262.432</c:v>
                </c:pt>
                <c:pt idx="87">
                  <c:v>1458.931</c:v>
                </c:pt>
                <c:pt idx="88">
                  <c:v>1703.6379999999999</c:v>
                </c:pt>
                <c:pt idx="89">
                  <c:v>1431.3920000000001</c:v>
                </c:pt>
                <c:pt idx="90">
                  <c:v>2214.6019999999999</c:v>
                </c:pt>
                <c:pt idx="91">
                  <c:v>2013.0260000000001</c:v>
                </c:pt>
                <c:pt idx="92">
                  <c:v>2230</c:v>
                </c:pt>
                <c:pt idx="93">
                  <c:v>1590</c:v>
                </c:pt>
                <c:pt idx="94">
                  <c:v>1662.0329999999999</c:v>
                </c:pt>
                <c:pt idx="95">
                  <c:v>1918.992</c:v>
                </c:pt>
                <c:pt idx="96">
                  <c:v>1502.432</c:v>
                </c:pt>
                <c:pt idx="97">
                  <c:v>1249.6510000000001</c:v>
                </c:pt>
                <c:pt idx="98">
                  <c:v>1404.808</c:v>
                </c:pt>
                <c:pt idx="99">
                  <c:v>1448.423</c:v>
                </c:pt>
                <c:pt idx="100">
                  <c:v>1426.5229999999999</c:v>
                </c:pt>
                <c:pt idx="101">
                  <c:v>1411.9090000000001</c:v>
                </c:pt>
                <c:pt idx="102">
                  <c:v>1658.6410000000001</c:v>
                </c:pt>
                <c:pt idx="103">
                  <c:v>1487.8520000000001</c:v>
                </c:pt>
                <c:pt idx="104">
                  <c:v>1652</c:v>
                </c:pt>
                <c:pt idx="105">
                  <c:v>1481.9490000000001</c:v>
                </c:pt>
                <c:pt idx="106">
                  <c:v>867.87599999999998</c:v>
                </c:pt>
                <c:pt idx="107">
                  <c:v>936.40899999999999</c:v>
                </c:pt>
                <c:pt idx="108">
                  <c:v>1731.7260000000001</c:v>
                </c:pt>
                <c:pt idx="109">
                  <c:v>1383.989</c:v>
                </c:pt>
                <c:pt idx="110">
                  <c:v>1619.546</c:v>
                </c:pt>
                <c:pt idx="111">
                  <c:v>1784.18</c:v>
                </c:pt>
                <c:pt idx="112">
                  <c:v>1853.385</c:v>
                </c:pt>
                <c:pt idx="113">
                  <c:v>1184.171</c:v>
                </c:pt>
                <c:pt idx="114">
                  <c:v>1121.452</c:v>
                </c:pt>
                <c:pt idx="115">
                  <c:v>1450.1610000000001</c:v>
                </c:pt>
                <c:pt idx="116">
                  <c:v>1454.069</c:v>
                </c:pt>
                <c:pt idx="117">
                  <c:v>1357</c:v>
                </c:pt>
                <c:pt idx="118">
                  <c:v>1756.53</c:v>
                </c:pt>
                <c:pt idx="119">
                  <c:v>1733.7539999999999</c:v>
                </c:pt>
                <c:pt idx="120">
                  <c:v>1038.1289999999999</c:v>
                </c:pt>
                <c:pt idx="121">
                  <c:v>1333.4649999999999</c:v>
                </c:pt>
                <c:pt idx="122">
                  <c:v>1318.1189999999999</c:v>
                </c:pt>
                <c:pt idx="123">
                  <c:v>1815.943</c:v>
                </c:pt>
                <c:pt idx="124">
                  <c:v>1617.444</c:v>
                </c:pt>
                <c:pt idx="125">
                  <c:v>1496.4770000000001</c:v>
                </c:pt>
                <c:pt idx="126">
                  <c:v>1723.9</c:v>
                </c:pt>
                <c:pt idx="127">
                  <c:v>1588</c:v>
                </c:pt>
                <c:pt idx="128">
                  <c:v>1255.25</c:v>
                </c:pt>
                <c:pt idx="129">
                  <c:v>1433.242</c:v>
                </c:pt>
                <c:pt idx="130">
                  <c:v>1465.76</c:v>
                </c:pt>
                <c:pt idx="131">
                  <c:v>1822.662</c:v>
                </c:pt>
                <c:pt idx="132">
                  <c:v>1591.8779999999999</c:v>
                </c:pt>
                <c:pt idx="133">
                  <c:v>1582.4970000000001</c:v>
                </c:pt>
                <c:pt idx="134">
                  <c:v>2151.634</c:v>
                </c:pt>
                <c:pt idx="135">
                  <c:v>1424</c:v>
                </c:pt>
                <c:pt idx="136">
                  <c:v>1606.6389999999999</c:v>
                </c:pt>
                <c:pt idx="137">
                  <c:v>1516.58</c:v>
                </c:pt>
                <c:pt idx="138">
                  <c:v>1490.8140000000001</c:v>
                </c:pt>
                <c:pt idx="139">
                  <c:v>1365.8610000000001</c:v>
                </c:pt>
                <c:pt idx="140">
                  <c:v>2281.0239999999999</c:v>
                </c:pt>
                <c:pt idx="141">
                  <c:v>1827.4690000000001</c:v>
                </c:pt>
                <c:pt idx="142">
                  <c:v>1377.625</c:v>
                </c:pt>
                <c:pt idx="143">
                  <c:v>1519.7370000000001</c:v>
                </c:pt>
                <c:pt idx="144">
                  <c:v>1274.6679999999999</c:v>
                </c:pt>
                <c:pt idx="145">
                  <c:v>1512.0630000000001</c:v>
                </c:pt>
                <c:pt idx="146">
                  <c:v>1752.9580000000001</c:v>
                </c:pt>
                <c:pt idx="147">
                  <c:v>1928.8589999999999</c:v>
                </c:pt>
                <c:pt idx="148">
                  <c:v>1984.431</c:v>
                </c:pt>
                <c:pt idx="149">
                  <c:v>1773.2429999999999</c:v>
                </c:pt>
                <c:pt idx="150">
                  <c:v>2388.1709999999998</c:v>
                </c:pt>
                <c:pt idx="151">
                  <c:v>1964.413</c:v>
                </c:pt>
                <c:pt idx="152">
                  <c:v>1484.674</c:v>
                </c:pt>
                <c:pt idx="153">
                  <c:v>1734.4849999999999</c:v>
                </c:pt>
                <c:pt idx="154">
                  <c:v>2076.3229999999999</c:v>
                </c:pt>
                <c:pt idx="155">
                  <c:v>2063.3620000000001</c:v>
                </c:pt>
                <c:pt idx="156">
                  <c:v>1443.5719999999999</c:v>
                </c:pt>
                <c:pt idx="157">
                  <c:v>1444.7940000000001</c:v>
                </c:pt>
                <c:pt idx="158">
                  <c:v>1796.23</c:v>
                </c:pt>
                <c:pt idx="159">
                  <c:v>0</c:v>
                </c:pt>
                <c:pt idx="160">
                  <c:v>1906.848</c:v>
                </c:pt>
                <c:pt idx="161">
                  <c:v>2501.6289999999999</c:v>
                </c:pt>
                <c:pt idx="162">
                  <c:v>1825.7329999999999</c:v>
                </c:pt>
                <c:pt idx="163">
                  <c:v>1395.0160000000001</c:v>
                </c:pt>
                <c:pt idx="164">
                  <c:v>1677.36</c:v>
                </c:pt>
                <c:pt idx="165">
                  <c:v>1801.126</c:v>
                </c:pt>
                <c:pt idx="166">
                  <c:v>1643.566</c:v>
                </c:pt>
                <c:pt idx="167">
                  <c:v>1920.8789999999999</c:v>
                </c:pt>
                <c:pt idx="168">
                  <c:v>1996.453</c:v>
                </c:pt>
                <c:pt idx="169">
                  <c:v>2150.48</c:v>
                </c:pt>
                <c:pt idx="170">
                  <c:v>1771.8050000000001</c:v>
                </c:pt>
                <c:pt idx="171">
                  <c:v>2018.84</c:v>
                </c:pt>
                <c:pt idx="172">
                  <c:v>1714.0429999999999</c:v>
                </c:pt>
                <c:pt idx="173">
                  <c:v>1659.83</c:v>
                </c:pt>
                <c:pt idx="174">
                  <c:v>1033.2940000000001</c:v>
                </c:pt>
                <c:pt idx="175">
                  <c:v>2024.7260000000001</c:v>
                </c:pt>
                <c:pt idx="176">
                  <c:v>1958.575</c:v>
                </c:pt>
                <c:pt idx="177">
                  <c:v>1716.373</c:v>
                </c:pt>
                <c:pt idx="178">
                  <c:v>2013.152</c:v>
                </c:pt>
                <c:pt idx="179">
                  <c:v>1534.951</c:v>
                </c:pt>
                <c:pt idx="180">
                  <c:v>1776.3530000000001</c:v>
                </c:pt>
                <c:pt idx="181">
                  <c:v>1914.9549999999999</c:v>
                </c:pt>
                <c:pt idx="182">
                  <c:v>1723.4929999999999</c:v>
                </c:pt>
                <c:pt idx="183">
                  <c:v>2173.203</c:v>
                </c:pt>
                <c:pt idx="184">
                  <c:v>1562.539</c:v>
                </c:pt>
                <c:pt idx="185">
                  <c:v>1679.1659999999999</c:v>
                </c:pt>
                <c:pt idx="186">
                  <c:v>1667.383</c:v>
                </c:pt>
                <c:pt idx="187">
                  <c:v>1534.85</c:v>
                </c:pt>
                <c:pt idx="188">
                  <c:v>2094.0140000000001</c:v>
                </c:pt>
                <c:pt idx="189">
                  <c:v>2402.04</c:v>
                </c:pt>
                <c:pt idx="190">
                  <c:v>1725.7260000000001</c:v>
                </c:pt>
                <c:pt idx="191">
                  <c:v>1891.2439999999999</c:v>
                </c:pt>
                <c:pt idx="192">
                  <c:v>1991.4760000000001</c:v>
                </c:pt>
                <c:pt idx="193">
                  <c:v>1613.5429999999999</c:v>
                </c:pt>
                <c:pt idx="194">
                  <c:v>1953.4580000000001</c:v>
                </c:pt>
                <c:pt idx="195">
                  <c:v>1781.0309999999999</c:v>
                </c:pt>
                <c:pt idx="196">
                  <c:v>2304.1289999999999</c:v>
                </c:pt>
                <c:pt idx="197">
                  <c:v>2455.4650000000001</c:v>
                </c:pt>
                <c:pt idx="198">
                  <c:v>1717.41</c:v>
                </c:pt>
                <c:pt idx="199">
                  <c:v>1922.7560000000001</c:v>
                </c:pt>
                <c:pt idx="200">
                  <c:v>1259.252</c:v>
                </c:pt>
                <c:pt idx="201">
                  <c:v>1389.146</c:v>
                </c:pt>
                <c:pt idx="202">
                  <c:v>1866.229</c:v>
                </c:pt>
                <c:pt idx="203">
                  <c:v>2252.5970000000002</c:v>
                </c:pt>
                <c:pt idx="204">
                  <c:v>1890.4079999999999</c:v>
                </c:pt>
                <c:pt idx="205">
                  <c:v>1475.607</c:v>
                </c:pt>
                <c:pt idx="206">
                  <c:v>1732.2349999999999</c:v>
                </c:pt>
                <c:pt idx="207">
                  <c:v>1514.117</c:v>
                </c:pt>
                <c:pt idx="208">
                  <c:v>1771.6120000000001</c:v>
                </c:pt>
                <c:pt idx="209">
                  <c:v>1841.04</c:v>
                </c:pt>
                <c:pt idx="210">
                  <c:v>2126.0990000000002</c:v>
                </c:pt>
                <c:pt idx="211">
                  <c:v>2290.88</c:v>
                </c:pt>
                <c:pt idx="212">
                  <c:v>1662.66</c:v>
                </c:pt>
                <c:pt idx="213">
                  <c:v>1616.049</c:v>
                </c:pt>
                <c:pt idx="214">
                  <c:v>1347.9490000000001</c:v>
                </c:pt>
                <c:pt idx="215">
                  <c:v>1432.5129999999999</c:v>
                </c:pt>
                <c:pt idx="216">
                  <c:v>1502.278</c:v>
                </c:pt>
                <c:pt idx="217">
                  <c:v>1593.211</c:v>
                </c:pt>
                <c:pt idx="218">
                  <c:v>2195.5740000000001</c:v>
                </c:pt>
                <c:pt idx="219">
                  <c:v>1548.92</c:v>
                </c:pt>
                <c:pt idx="220">
                  <c:v>1816.165</c:v>
                </c:pt>
                <c:pt idx="221">
                  <c:v>1703.5440000000001</c:v>
                </c:pt>
                <c:pt idx="222">
                  <c:v>1610.278</c:v>
                </c:pt>
                <c:pt idx="223">
                  <c:v>1889.5150000000001</c:v>
                </c:pt>
                <c:pt idx="224">
                  <c:v>2183.2399999999998</c:v>
                </c:pt>
                <c:pt idx="225">
                  <c:v>2459.41</c:v>
                </c:pt>
                <c:pt idx="226">
                  <c:v>1633.0160000000001</c:v>
                </c:pt>
                <c:pt idx="227">
                  <c:v>1890.624</c:v>
                </c:pt>
                <c:pt idx="228">
                  <c:v>1967.856</c:v>
                </c:pt>
                <c:pt idx="229">
                  <c:v>2007.4829999999999</c:v>
                </c:pt>
                <c:pt idx="230">
                  <c:v>1463.384</c:v>
                </c:pt>
                <c:pt idx="231">
                  <c:v>2037.5640000000001</c:v>
                </c:pt>
                <c:pt idx="232">
                  <c:v>2035.2619999999999</c:v>
                </c:pt>
                <c:pt idx="233">
                  <c:v>1889.5360000000001</c:v>
                </c:pt>
                <c:pt idx="234">
                  <c:v>2061.9670000000001</c:v>
                </c:pt>
                <c:pt idx="235">
                  <c:v>1764.82</c:v>
                </c:pt>
                <c:pt idx="236">
                  <c:v>1718.2550000000001</c:v>
                </c:pt>
                <c:pt idx="237">
                  <c:v>1940.1469999999999</c:v>
                </c:pt>
                <c:pt idx="238">
                  <c:v>2331.6590000000001</c:v>
                </c:pt>
                <c:pt idx="239">
                  <c:v>1943.2349999999999</c:v>
                </c:pt>
                <c:pt idx="240">
                  <c:v>1475.73</c:v>
                </c:pt>
                <c:pt idx="241">
                  <c:v>2066.6489999999999</c:v>
                </c:pt>
                <c:pt idx="242">
                  <c:v>2377.962</c:v>
                </c:pt>
                <c:pt idx="243">
                  <c:v>2595.797</c:v>
                </c:pt>
                <c:pt idx="244">
                  <c:v>2031.32</c:v>
                </c:pt>
                <c:pt idx="245">
                  <c:v>2364.1689999999999</c:v>
                </c:pt>
                <c:pt idx="246">
                  <c:v>2370.6419999999998</c:v>
                </c:pt>
                <c:pt idx="247">
                  <c:v>1374.0239999999999</c:v>
                </c:pt>
                <c:pt idx="248">
                  <c:v>1662.2049999999999</c:v>
                </c:pt>
                <c:pt idx="249">
                  <c:v>2115.1709999999998</c:v>
                </c:pt>
                <c:pt idx="250">
                  <c:v>1825.6780000000001</c:v>
                </c:pt>
                <c:pt idx="251">
                  <c:v>1798.5160000000001</c:v>
                </c:pt>
                <c:pt idx="252">
                  <c:v>2027.17</c:v>
                </c:pt>
                <c:pt idx="253">
                  <c:v>2391.3409999999999</c:v>
                </c:pt>
                <c:pt idx="254">
                  <c:v>1442.367</c:v>
                </c:pt>
                <c:pt idx="255">
                  <c:v>1689.17</c:v>
                </c:pt>
                <c:pt idx="256">
                  <c:v>1740.3440000000001</c:v>
                </c:pt>
                <c:pt idx="257">
                  <c:v>1667.498</c:v>
                </c:pt>
                <c:pt idx="258">
                  <c:v>1661.5029999999999</c:v>
                </c:pt>
                <c:pt idx="259">
                  <c:v>2000.212</c:v>
                </c:pt>
                <c:pt idx="260">
                  <c:v>2384.4319999999998</c:v>
                </c:pt>
                <c:pt idx="261">
                  <c:v>2057.0990000000002</c:v>
                </c:pt>
                <c:pt idx="262">
                  <c:v>2211.4580000000001</c:v>
                </c:pt>
                <c:pt idx="263">
                  <c:v>2391.0509999999999</c:v>
                </c:pt>
                <c:pt idx="264">
                  <c:v>1751.0070000000001</c:v>
                </c:pt>
                <c:pt idx="265">
                  <c:v>1944.1780000000001</c:v>
                </c:pt>
                <c:pt idx="266">
                  <c:v>2330.2220000000002</c:v>
                </c:pt>
                <c:pt idx="267">
                  <c:v>1885.046</c:v>
                </c:pt>
                <c:pt idx="268">
                  <c:v>1873.673</c:v>
                </c:pt>
                <c:pt idx="269">
                  <c:v>2254.665</c:v>
                </c:pt>
                <c:pt idx="270">
                  <c:v>1669.14</c:v>
                </c:pt>
                <c:pt idx="271">
                  <c:v>1904.7639999999999</c:v>
                </c:pt>
                <c:pt idx="272">
                  <c:v>1954.712</c:v>
                </c:pt>
                <c:pt idx="273">
                  <c:v>2549.6970000000001</c:v>
                </c:pt>
                <c:pt idx="274">
                  <c:v>2465.232</c:v>
                </c:pt>
                <c:pt idx="275">
                  <c:v>1620.489</c:v>
                </c:pt>
                <c:pt idx="276">
                  <c:v>1746.4369999999999</c:v>
                </c:pt>
                <c:pt idx="277">
                  <c:v>2301.777</c:v>
                </c:pt>
                <c:pt idx="278">
                  <c:v>2222.0349999999999</c:v>
                </c:pt>
                <c:pt idx="279">
                  <c:v>1747.1690000000001</c:v>
                </c:pt>
                <c:pt idx="280">
                  <c:v>1951.5730000000001</c:v>
                </c:pt>
                <c:pt idx="281">
                  <c:v>1739.84</c:v>
                </c:pt>
                <c:pt idx="282">
                  <c:v>1440.53</c:v>
                </c:pt>
                <c:pt idx="283">
                  <c:v>1651.377</c:v>
                </c:pt>
                <c:pt idx="284">
                  <c:v>2024.3679999999999</c:v>
                </c:pt>
                <c:pt idx="285">
                  <c:v>1900.56</c:v>
                </c:pt>
                <c:pt idx="286">
                  <c:v>1786.548</c:v>
                </c:pt>
                <c:pt idx="287">
                  <c:v>2052.1149999999998</c:v>
                </c:pt>
                <c:pt idx="288">
                  <c:v>2176.9450000000002</c:v>
                </c:pt>
                <c:pt idx="289">
                  <c:v>1761.4480000000001</c:v>
                </c:pt>
                <c:pt idx="290">
                  <c:v>2138.8539999999998</c:v>
                </c:pt>
                <c:pt idx="291">
                  <c:v>2170.85</c:v>
                </c:pt>
                <c:pt idx="292">
                  <c:v>2369.3719999999998</c:v>
                </c:pt>
                <c:pt idx="293">
                  <c:v>1835.297</c:v>
                </c:pt>
                <c:pt idx="294">
                  <c:v>2318.4270000000001</c:v>
                </c:pt>
                <c:pt idx="295">
                  <c:v>2633.152</c:v>
                </c:pt>
                <c:pt idx="296">
                  <c:v>1832.578</c:v>
                </c:pt>
                <c:pt idx="297">
                  <c:v>2047.0029999999999</c:v>
                </c:pt>
                <c:pt idx="298">
                  <c:v>1811.1010000000001</c:v>
                </c:pt>
                <c:pt idx="299">
                  <c:v>1907.5309999999999</c:v>
                </c:pt>
                <c:pt idx="300">
                  <c:v>2517.0100000000002</c:v>
                </c:pt>
                <c:pt idx="301">
                  <c:v>2850.92</c:v>
                </c:pt>
                <c:pt idx="302">
                  <c:v>2439.06</c:v>
                </c:pt>
                <c:pt idx="303">
                  <c:v>0</c:v>
                </c:pt>
                <c:pt idx="304">
                  <c:v>1559.854</c:v>
                </c:pt>
                <c:pt idx="305">
                  <c:v>1699.22</c:v>
                </c:pt>
                <c:pt idx="306">
                  <c:v>1945.1780000000001</c:v>
                </c:pt>
                <c:pt idx="307">
                  <c:v>1848.068</c:v>
                </c:pt>
                <c:pt idx="308">
                  <c:v>2390.114</c:v>
                </c:pt>
                <c:pt idx="309">
                  <c:v>2049.23</c:v>
                </c:pt>
                <c:pt idx="310">
                  <c:v>1506.4749999999999</c:v>
                </c:pt>
                <c:pt idx="311">
                  <c:v>2118.2199999999998</c:v>
                </c:pt>
                <c:pt idx="312">
                  <c:v>2078.2370000000001</c:v>
                </c:pt>
                <c:pt idx="313">
                  <c:v>1864.4690000000001</c:v>
                </c:pt>
                <c:pt idx="314">
                  <c:v>1742.5250000000001</c:v>
                </c:pt>
                <c:pt idx="315">
                  <c:v>2133.1410000000001</c:v>
                </c:pt>
                <c:pt idx="316">
                  <c:v>1901.83</c:v>
                </c:pt>
                <c:pt idx="317">
                  <c:v>1506.0329999999999</c:v>
                </c:pt>
                <c:pt idx="318">
                  <c:v>1837.6279999999999</c:v>
                </c:pt>
                <c:pt idx="319">
                  <c:v>1693.155</c:v>
                </c:pt>
                <c:pt idx="320">
                  <c:v>1772.1079999999999</c:v>
                </c:pt>
                <c:pt idx="321">
                  <c:v>1762.011</c:v>
                </c:pt>
                <c:pt idx="322">
                  <c:v>1872.5329999999999</c:v>
                </c:pt>
                <c:pt idx="323">
                  <c:v>2255.1170000000002</c:v>
                </c:pt>
                <c:pt idx="324">
                  <c:v>1375.29</c:v>
                </c:pt>
                <c:pt idx="325">
                  <c:v>1868.2159999999999</c:v>
                </c:pt>
                <c:pt idx="326">
                  <c:v>1939.1569999999999</c:v>
                </c:pt>
                <c:pt idx="327">
                  <c:v>1563.135</c:v>
                </c:pt>
                <c:pt idx="328">
                  <c:v>1803.356</c:v>
                </c:pt>
                <c:pt idx="329">
                  <c:v>1720.1469999999999</c:v>
                </c:pt>
                <c:pt idx="330">
                  <c:v>1703.0519999999999</c:v>
                </c:pt>
                <c:pt idx="331">
                  <c:v>1444.567</c:v>
                </c:pt>
                <c:pt idx="332">
                  <c:v>2170.65</c:v>
                </c:pt>
                <c:pt idx="333">
                  <c:v>1687.51</c:v>
                </c:pt>
                <c:pt idx="334">
                  <c:v>1950.1990000000001</c:v>
                </c:pt>
                <c:pt idx="335">
                  <c:v>1923.3920000000001</c:v>
                </c:pt>
                <c:pt idx="336">
                  <c:v>1766.6510000000001</c:v>
                </c:pt>
                <c:pt idx="337">
                  <c:v>1836.8979999999999</c:v>
                </c:pt>
                <c:pt idx="338">
                  <c:v>1752.2170000000001</c:v>
                </c:pt>
                <c:pt idx="339">
                  <c:v>1549.203</c:v>
                </c:pt>
                <c:pt idx="340">
                  <c:v>2308.355</c:v>
                </c:pt>
                <c:pt idx="341">
                  <c:v>1932.1469999999999</c:v>
                </c:pt>
                <c:pt idx="342">
                  <c:v>1812.4649999999999</c:v>
                </c:pt>
                <c:pt idx="343">
                  <c:v>2387.1930000000002</c:v>
                </c:pt>
                <c:pt idx="344">
                  <c:v>1931.9880000000001</c:v>
                </c:pt>
                <c:pt idx="345">
                  <c:v>1679.55</c:v>
                </c:pt>
                <c:pt idx="346">
                  <c:v>2558.5059999999999</c:v>
                </c:pt>
                <c:pt idx="347">
                  <c:v>2001.106</c:v>
                </c:pt>
                <c:pt idx="348">
                  <c:v>1812.99</c:v>
                </c:pt>
                <c:pt idx="349">
                  <c:v>2627.5169999999998</c:v>
                </c:pt>
                <c:pt idx="350">
                  <c:v>2868.8330000000001</c:v>
                </c:pt>
                <c:pt idx="351">
                  <c:v>2239.8389999999999</c:v>
                </c:pt>
                <c:pt idx="352">
                  <c:v>1958.9659999999999</c:v>
                </c:pt>
                <c:pt idx="353">
                  <c:v>1597.595</c:v>
                </c:pt>
                <c:pt idx="354">
                  <c:v>1971.038</c:v>
                </c:pt>
                <c:pt idx="355">
                  <c:v>2075.9940000000001</c:v>
                </c:pt>
                <c:pt idx="356">
                  <c:v>2070.2469999999998</c:v>
                </c:pt>
                <c:pt idx="357">
                  <c:v>2784.3330000000001</c:v>
                </c:pt>
                <c:pt idx="358">
                  <c:v>2812.56</c:v>
                </c:pt>
                <c:pt idx="359">
                  <c:v>2449.7399999999998</c:v>
                </c:pt>
                <c:pt idx="360">
                  <c:v>3603</c:v>
                </c:pt>
                <c:pt idx="361">
                  <c:v>5447.21</c:v>
                </c:pt>
                <c:pt idx="362">
                  <c:v>1490.3989999999999</c:v>
                </c:pt>
                <c:pt idx="363">
                  <c:v>2521.4960000000001</c:v>
                </c:pt>
                <c:pt idx="364">
                  <c:v>3541.6080000000002</c:v>
                </c:pt>
                <c:pt idx="365">
                  <c:v>3393.6370000000002</c:v>
                </c:pt>
                <c:pt idx="366">
                  <c:v>2500.4650000000001</c:v>
                </c:pt>
                <c:pt idx="367">
                  <c:v>2572.29</c:v>
                </c:pt>
                <c:pt idx="368">
                  <c:v>2914.34</c:v>
                </c:pt>
                <c:pt idx="369">
                  <c:v>1640.548</c:v>
                </c:pt>
                <c:pt idx="370">
                  <c:v>1867.702</c:v>
                </c:pt>
                <c:pt idx="371">
                  <c:v>2209.8240000000001</c:v>
                </c:pt>
                <c:pt idx="372">
                  <c:v>2097.2620000000002</c:v>
                </c:pt>
                <c:pt idx="373">
                  <c:v>1730.3610000000001</c:v>
                </c:pt>
                <c:pt idx="374">
                  <c:v>2086.3939999999998</c:v>
                </c:pt>
                <c:pt idx="375">
                  <c:v>1954.6479999999999</c:v>
                </c:pt>
                <c:pt idx="376">
                  <c:v>1715.058</c:v>
                </c:pt>
                <c:pt idx="377">
                  <c:v>1767.6079999999999</c:v>
                </c:pt>
                <c:pt idx="378">
                  <c:v>1955.99</c:v>
                </c:pt>
                <c:pt idx="379">
                  <c:v>1616.2739999999999</c:v>
                </c:pt>
                <c:pt idx="380">
                  <c:v>1649.817</c:v>
                </c:pt>
                <c:pt idx="381">
                  <c:v>1799.752</c:v>
                </c:pt>
                <c:pt idx="382">
                  <c:v>1329.9929999999999</c:v>
                </c:pt>
                <c:pt idx="383">
                  <c:v>1203.462</c:v>
                </c:pt>
                <c:pt idx="384">
                  <c:v>1179.6500000000001</c:v>
                </c:pt>
                <c:pt idx="385">
                  <c:v>1703.895</c:v>
                </c:pt>
                <c:pt idx="386">
                  <c:v>1499.2650000000001</c:v>
                </c:pt>
                <c:pt idx="387">
                  <c:v>1239.2059999999999</c:v>
                </c:pt>
                <c:pt idx="388">
                  <c:v>1675.184</c:v>
                </c:pt>
                <c:pt idx="389">
                  <c:v>1753.134</c:v>
                </c:pt>
                <c:pt idx="390">
                  <c:v>1181.492</c:v>
                </c:pt>
                <c:pt idx="391">
                  <c:v>1510.7360000000001</c:v>
                </c:pt>
                <c:pt idx="392">
                  <c:v>1841.81</c:v>
                </c:pt>
                <c:pt idx="393">
                  <c:v>2215.4899999999998</c:v>
                </c:pt>
                <c:pt idx="394">
                  <c:v>1807.6110000000001</c:v>
                </c:pt>
                <c:pt idx="395">
                  <c:v>2201.5169999999998</c:v>
                </c:pt>
                <c:pt idx="396">
                  <c:v>1788.4359999999999</c:v>
                </c:pt>
                <c:pt idx="397">
                  <c:v>2220.5149999999999</c:v>
                </c:pt>
                <c:pt idx="398">
                  <c:v>1818.5940000000001</c:v>
                </c:pt>
                <c:pt idx="399">
                  <c:v>2083.058</c:v>
                </c:pt>
                <c:pt idx="400">
                  <c:v>3002.261</c:v>
                </c:pt>
                <c:pt idx="401">
                  <c:v>2121.4090000000001</c:v>
                </c:pt>
                <c:pt idx="402">
                  <c:v>2046.8789999999999</c:v>
                </c:pt>
                <c:pt idx="403">
                  <c:v>2233.4290000000001</c:v>
                </c:pt>
                <c:pt idx="404">
                  <c:v>1744</c:v>
                </c:pt>
                <c:pt idx="405">
                  <c:v>1986.873</c:v>
                </c:pt>
                <c:pt idx="406">
                  <c:v>1669.079</c:v>
                </c:pt>
                <c:pt idx="407">
                  <c:v>1816.3109999999999</c:v>
                </c:pt>
                <c:pt idx="408">
                  <c:v>1194.6679999999999</c:v>
                </c:pt>
                <c:pt idx="409">
                  <c:v>0</c:v>
                </c:pt>
                <c:pt idx="410">
                  <c:v>2357.5509999999999</c:v>
                </c:pt>
                <c:pt idx="411">
                  <c:v>1836.4159999999999</c:v>
                </c:pt>
                <c:pt idx="412">
                  <c:v>1819.797</c:v>
                </c:pt>
                <c:pt idx="413">
                  <c:v>1880.8219999999999</c:v>
                </c:pt>
                <c:pt idx="414">
                  <c:v>1869.93</c:v>
                </c:pt>
                <c:pt idx="415">
                  <c:v>1679.0550000000001</c:v>
                </c:pt>
                <c:pt idx="416">
                  <c:v>2148.08</c:v>
                </c:pt>
                <c:pt idx="417">
                  <c:v>1984.144</c:v>
                </c:pt>
                <c:pt idx="418">
                  <c:v>1911.425</c:v>
                </c:pt>
                <c:pt idx="419">
                  <c:v>1572.77</c:v>
                </c:pt>
                <c:pt idx="420">
                  <c:v>1957.3440000000001</c:v>
                </c:pt>
                <c:pt idx="421">
                  <c:v>1768.5519999999999</c:v>
                </c:pt>
                <c:pt idx="422">
                  <c:v>1310.0719999999999</c:v>
                </c:pt>
                <c:pt idx="423">
                  <c:v>1973.175</c:v>
                </c:pt>
                <c:pt idx="424">
                  <c:v>913.71400000000006</c:v>
                </c:pt>
                <c:pt idx="425">
                  <c:v>455.34</c:v>
                </c:pt>
                <c:pt idx="426">
                  <c:v>2261.8000000000002</c:v>
                </c:pt>
                <c:pt idx="427">
                  <c:v>1805.0119999999999</c:v>
                </c:pt>
                <c:pt idx="428">
                  <c:v>2134.1219999999998</c:v>
                </c:pt>
                <c:pt idx="429">
                  <c:v>1629.6089999999999</c:v>
                </c:pt>
                <c:pt idx="430">
                  <c:v>2075.8200000000002</c:v>
                </c:pt>
                <c:pt idx="431">
                  <c:v>2057.0970000000002</c:v>
                </c:pt>
                <c:pt idx="432">
                  <c:v>1276.287</c:v>
                </c:pt>
                <c:pt idx="433">
                  <c:v>1762.2249999999999</c:v>
                </c:pt>
                <c:pt idx="434">
                  <c:v>2251.0230000000001</c:v>
                </c:pt>
                <c:pt idx="435">
                  <c:v>1918.5450000000001</c:v>
                </c:pt>
                <c:pt idx="436">
                  <c:v>1671.981</c:v>
                </c:pt>
                <c:pt idx="437">
                  <c:v>1870.23</c:v>
                </c:pt>
                <c:pt idx="438">
                  <c:v>1812.26</c:v>
                </c:pt>
                <c:pt idx="439">
                  <c:v>1936.4860000000001</c:v>
                </c:pt>
                <c:pt idx="440">
                  <c:v>1595</c:v>
                </c:pt>
                <c:pt idx="441">
                  <c:v>1980.04</c:v>
                </c:pt>
                <c:pt idx="442">
                  <c:v>2254.712</c:v>
                </c:pt>
                <c:pt idx="443">
                  <c:v>1675.922</c:v>
                </c:pt>
                <c:pt idx="444">
                  <c:v>1850.3130000000001</c:v>
                </c:pt>
                <c:pt idx="445">
                  <c:v>1679.19</c:v>
                </c:pt>
                <c:pt idx="446">
                  <c:v>1809.1769999999999</c:v>
                </c:pt>
                <c:pt idx="447">
                  <c:v>1791.3209999999999</c:v>
                </c:pt>
                <c:pt idx="448">
                  <c:v>2414.2359999999999</c:v>
                </c:pt>
                <c:pt idx="449">
                  <c:v>2240.8200000000002</c:v>
                </c:pt>
                <c:pt idx="450">
                  <c:v>1515.85</c:v>
                </c:pt>
                <c:pt idx="451">
                  <c:v>2014.16</c:v>
                </c:pt>
                <c:pt idx="452">
                  <c:v>1449.3820000000001</c:v>
                </c:pt>
                <c:pt idx="453">
                  <c:v>1745.6089999999999</c:v>
                </c:pt>
                <c:pt idx="454">
                  <c:v>1731.1669999999999</c:v>
                </c:pt>
                <c:pt idx="455">
                  <c:v>1982.741</c:v>
                </c:pt>
                <c:pt idx="456">
                  <c:v>2210.9299999999998</c:v>
                </c:pt>
                <c:pt idx="457">
                  <c:v>1953.8579999999999</c:v>
                </c:pt>
                <c:pt idx="458">
                  <c:v>2046.614</c:v>
                </c:pt>
                <c:pt idx="459">
                  <c:v>2110.1170000000002</c:v>
                </c:pt>
                <c:pt idx="460">
                  <c:v>1546.2429999999999</c:v>
                </c:pt>
                <c:pt idx="461">
                  <c:v>2030.251</c:v>
                </c:pt>
                <c:pt idx="462">
                  <c:v>2280.4699999999998</c:v>
                </c:pt>
                <c:pt idx="463">
                  <c:v>1822.3030000000001</c:v>
                </c:pt>
                <c:pt idx="464">
                  <c:v>1749.578</c:v>
                </c:pt>
                <c:pt idx="465">
                  <c:v>1512.701</c:v>
                </c:pt>
                <c:pt idx="466">
                  <c:v>1824.3679999999999</c:v>
                </c:pt>
                <c:pt idx="467">
                  <c:v>1567.4280000000001</c:v>
                </c:pt>
                <c:pt idx="468">
                  <c:v>2136.652</c:v>
                </c:pt>
                <c:pt idx="469">
                  <c:v>1916.152</c:v>
                </c:pt>
                <c:pt idx="470">
                  <c:v>2133.5949999999998</c:v>
                </c:pt>
                <c:pt idx="471">
                  <c:v>1473.9849999999999</c:v>
                </c:pt>
                <c:pt idx="472">
                  <c:v>1928.415</c:v>
                </c:pt>
                <c:pt idx="473">
                  <c:v>2038.386</c:v>
                </c:pt>
                <c:pt idx="474">
                  <c:v>2127.8380000000002</c:v>
                </c:pt>
                <c:pt idx="475">
                  <c:v>2468.5100000000002</c:v>
                </c:pt>
                <c:pt idx="476">
                  <c:v>2144.1790000000001</c:v>
                </c:pt>
                <c:pt idx="477">
                  <c:v>2656.55</c:v>
                </c:pt>
                <c:pt idx="478">
                  <c:v>828.71699999999998</c:v>
                </c:pt>
                <c:pt idx="479">
                  <c:v>0</c:v>
                </c:pt>
                <c:pt idx="480">
                  <c:v>1704.6120000000001</c:v>
                </c:pt>
                <c:pt idx="481">
                  <c:v>1415.7070000000001</c:v>
                </c:pt>
                <c:pt idx="482">
                  <c:v>1694.0989999999999</c:v>
                </c:pt>
                <c:pt idx="483">
                  <c:v>1884.0730000000001</c:v>
                </c:pt>
                <c:pt idx="484">
                  <c:v>2529.163</c:v>
                </c:pt>
                <c:pt idx="485">
                  <c:v>1647.7929999999999</c:v>
                </c:pt>
                <c:pt idx="486">
                  <c:v>1723.3989999999999</c:v>
                </c:pt>
                <c:pt idx="487">
                  <c:v>2009.31</c:v>
                </c:pt>
                <c:pt idx="488">
                  <c:v>1825.056</c:v>
                </c:pt>
                <c:pt idx="489">
                  <c:v>1979.971</c:v>
                </c:pt>
                <c:pt idx="490">
                  <c:v>1895.1780000000001</c:v>
                </c:pt>
                <c:pt idx="491">
                  <c:v>1921.44</c:v>
                </c:pt>
                <c:pt idx="492">
                  <c:v>1816.2829999999999</c:v>
                </c:pt>
                <c:pt idx="493">
                  <c:v>1993.883</c:v>
                </c:pt>
                <c:pt idx="494">
                  <c:v>1631.5319999999999</c:v>
                </c:pt>
                <c:pt idx="495">
                  <c:v>1849.106</c:v>
                </c:pt>
                <c:pt idx="496">
                  <c:v>2287.85</c:v>
                </c:pt>
                <c:pt idx="497">
                  <c:v>2197.9079999999999</c:v>
                </c:pt>
                <c:pt idx="498">
                  <c:v>2281.7739999999999</c:v>
                </c:pt>
                <c:pt idx="499">
                  <c:v>2117.9989999999998</c:v>
                </c:pt>
                <c:pt idx="500">
                  <c:v>1959.308</c:v>
                </c:pt>
                <c:pt idx="501">
                  <c:v>1881.2460000000001</c:v>
                </c:pt>
                <c:pt idx="502">
                  <c:v>1478.8219999999999</c:v>
                </c:pt>
                <c:pt idx="503">
                  <c:v>1860.54</c:v>
                </c:pt>
                <c:pt idx="504">
                  <c:v>2081.14</c:v>
                </c:pt>
                <c:pt idx="505">
                  <c:v>2050.37</c:v>
                </c:pt>
                <c:pt idx="506">
                  <c:v>1733.902</c:v>
                </c:pt>
                <c:pt idx="507">
                  <c:v>2360.627</c:v>
                </c:pt>
                <c:pt idx="508">
                  <c:v>2605.9050000000002</c:v>
                </c:pt>
                <c:pt idx="509">
                  <c:v>4344.7330000000002</c:v>
                </c:pt>
                <c:pt idx="510">
                  <c:v>2552.4380000000001</c:v>
                </c:pt>
                <c:pt idx="511">
                  <c:v>6777.1440000000002</c:v>
                </c:pt>
                <c:pt idx="512">
                  <c:v>5390.1530000000002</c:v>
                </c:pt>
                <c:pt idx="513">
                  <c:v>2261.64</c:v>
                </c:pt>
                <c:pt idx="514">
                  <c:v>0</c:v>
                </c:pt>
                <c:pt idx="515">
                  <c:v>0</c:v>
                </c:pt>
                <c:pt idx="516">
                  <c:v>7681.15</c:v>
                </c:pt>
                <c:pt idx="517">
                  <c:v>3285.529</c:v>
                </c:pt>
                <c:pt idx="518">
                  <c:v>4066.7739999999999</c:v>
                </c:pt>
                <c:pt idx="519">
                  <c:v>4496.1859999999997</c:v>
                </c:pt>
                <c:pt idx="520">
                  <c:v>5963.2240000000002</c:v>
                </c:pt>
                <c:pt idx="521">
                  <c:v>3652.982</c:v>
                </c:pt>
                <c:pt idx="522">
                  <c:v>3059.3040000000001</c:v>
                </c:pt>
                <c:pt idx="523">
                  <c:v>3336.9540000000002</c:v>
                </c:pt>
                <c:pt idx="524">
                  <c:v>3356.252</c:v>
                </c:pt>
                <c:pt idx="525">
                  <c:v>3219.2710000000002</c:v>
                </c:pt>
                <c:pt idx="526">
                  <c:v>3116.7240000000002</c:v>
                </c:pt>
                <c:pt idx="527">
                  <c:v>2086.2950000000001</c:v>
                </c:pt>
                <c:pt idx="528">
                  <c:v>2485.2759999999998</c:v>
                </c:pt>
                <c:pt idx="529">
                  <c:v>3102.5439999999999</c:v>
                </c:pt>
                <c:pt idx="530">
                  <c:v>881.90099999999995</c:v>
                </c:pt>
                <c:pt idx="531">
                  <c:v>2681.7460000000001</c:v>
                </c:pt>
                <c:pt idx="532">
                  <c:v>3015.7930000000001</c:v>
                </c:pt>
                <c:pt idx="533">
                  <c:v>2375.11</c:v>
                </c:pt>
                <c:pt idx="534">
                  <c:v>1704.635</c:v>
                </c:pt>
                <c:pt idx="535">
                  <c:v>2236.0419999999999</c:v>
                </c:pt>
                <c:pt idx="536">
                  <c:v>2014.799</c:v>
                </c:pt>
                <c:pt idx="537">
                  <c:v>1929.664</c:v>
                </c:pt>
                <c:pt idx="538">
                  <c:v>2087.5</c:v>
                </c:pt>
                <c:pt idx="539">
                  <c:v>2576.527</c:v>
                </c:pt>
                <c:pt idx="540">
                  <c:v>2434.1019999999999</c:v>
                </c:pt>
                <c:pt idx="541">
                  <c:v>1978.63</c:v>
                </c:pt>
                <c:pt idx="542">
                  <c:v>2349.23</c:v>
                </c:pt>
                <c:pt idx="543">
                  <c:v>2417.7809999999999</c:v>
                </c:pt>
                <c:pt idx="544">
                  <c:v>2480.8470000000002</c:v>
                </c:pt>
                <c:pt idx="545">
                  <c:v>2433.5659999999998</c:v>
                </c:pt>
                <c:pt idx="546">
                  <c:v>2996.4090000000001</c:v>
                </c:pt>
                <c:pt idx="547">
                  <c:v>3328.9520000000002</c:v>
                </c:pt>
                <c:pt idx="548">
                  <c:v>2917.5790000000002</c:v>
                </c:pt>
                <c:pt idx="549">
                  <c:v>3538.35</c:v>
                </c:pt>
                <c:pt idx="550">
                  <c:v>1173.489</c:v>
                </c:pt>
                <c:pt idx="551">
                  <c:v>2872.9169999999999</c:v>
                </c:pt>
                <c:pt idx="552">
                  <c:v>3131.91</c:v>
                </c:pt>
                <c:pt idx="553">
                  <c:v>3605.9270000000001</c:v>
                </c:pt>
                <c:pt idx="554">
                  <c:v>3416.5889999999999</c:v>
                </c:pt>
                <c:pt idx="555">
                  <c:v>2372.6570000000002</c:v>
                </c:pt>
                <c:pt idx="556">
                  <c:v>2855.3090000000002</c:v>
                </c:pt>
                <c:pt idx="557">
                  <c:v>3737.165</c:v>
                </c:pt>
                <c:pt idx="558">
                  <c:v>2491.7710000000002</c:v>
                </c:pt>
                <c:pt idx="559">
                  <c:v>2942.8130000000001</c:v>
                </c:pt>
                <c:pt idx="560">
                  <c:v>3143.6509999999998</c:v>
                </c:pt>
                <c:pt idx="561">
                  <c:v>2758.998</c:v>
                </c:pt>
                <c:pt idx="562">
                  <c:v>2521.0129999999999</c:v>
                </c:pt>
                <c:pt idx="563">
                  <c:v>2791.6909999999998</c:v>
                </c:pt>
                <c:pt idx="564">
                  <c:v>2964.1190000000001</c:v>
                </c:pt>
                <c:pt idx="565">
                  <c:v>2263.9850000000001</c:v>
                </c:pt>
                <c:pt idx="566">
                  <c:v>2468.92</c:v>
                </c:pt>
                <c:pt idx="567">
                  <c:v>2919.3090000000002</c:v>
                </c:pt>
                <c:pt idx="568">
                  <c:v>2838.2530000000002</c:v>
                </c:pt>
                <c:pt idx="569">
                  <c:v>2245.5889999999999</c:v>
                </c:pt>
                <c:pt idx="570">
                  <c:v>3016.9830000000002</c:v>
                </c:pt>
                <c:pt idx="571">
                  <c:v>2410.5309999999999</c:v>
                </c:pt>
                <c:pt idx="572">
                  <c:v>2213.12</c:v>
                </c:pt>
                <c:pt idx="573">
                  <c:v>2586.2800000000002</c:v>
                </c:pt>
                <c:pt idx="574">
                  <c:v>3032.6709999999998</c:v>
                </c:pt>
                <c:pt idx="575">
                  <c:v>2719.1010000000001</c:v>
                </c:pt>
                <c:pt idx="576">
                  <c:v>2511.6480000000001</c:v>
                </c:pt>
                <c:pt idx="577">
                  <c:v>2419.4520000000002</c:v>
                </c:pt>
                <c:pt idx="578">
                  <c:v>2251.1350000000002</c:v>
                </c:pt>
                <c:pt idx="579">
                  <c:v>2158.4989999999998</c:v>
                </c:pt>
                <c:pt idx="580">
                  <c:v>2762.7240000000002</c:v>
                </c:pt>
                <c:pt idx="581">
                  <c:v>4085.4879999999998</c:v>
                </c:pt>
                <c:pt idx="582">
                  <c:v>3026.0709999999999</c:v>
                </c:pt>
                <c:pt idx="583">
                  <c:v>1700.2809999999999</c:v>
                </c:pt>
                <c:pt idx="584">
                  <c:v>2528.12</c:v>
                </c:pt>
                <c:pt idx="585">
                  <c:v>2242.6660000000002</c:v>
                </c:pt>
                <c:pt idx="586">
                  <c:v>2506.087</c:v>
                </c:pt>
                <c:pt idx="587">
                  <c:v>2238.4319999999998</c:v>
                </c:pt>
                <c:pt idx="588">
                  <c:v>2158.5309999999999</c:v>
                </c:pt>
                <c:pt idx="589">
                  <c:v>2527.0079999999998</c:v>
                </c:pt>
                <c:pt idx="590">
                  <c:v>1660.8530000000001</c:v>
                </c:pt>
                <c:pt idx="591">
                  <c:v>1940.9380000000001</c:v>
                </c:pt>
                <c:pt idx="592">
                  <c:v>1973.26</c:v>
                </c:pt>
                <c:pt idx="593">
                  <c:v>1999.2159999999999</c:v>
                </c:pt>
                <c:pt idx="594">
                  <c:v>2077.223</c:v>
                </c:pt>
                <c:pt idx="595">
                  <c:v>2349.5529999999999</c:v>
                </c:pt>
                <c:pt idx="596">
                  <c:v>2026.174</c:v>
                </c:pt>
                <c:pt idx="597">
                  <c:v>1879.694</c:v>
                </c:pt>
                <c:pt idx="598">
                  <c:v>2510.21</c:v>
                </c:pt>
                <c:pt idx="599">
                  <c:v>2565.2739999999999</c:v>
                </c:pt>
                <c:pt idx="600">
                  <c:v>2130.491</c:v>
                </c:pt>
                <c:pt idx="601">
                  <c:v>2111.5859999999998</c:v>
                </c:pt>
                <c:pt idx="602">
                  <c:v>2500.4960000000001</c:v>
                </c:pt>
                <c:pt idx="603">
                  <c:v>2076.9969999999998</c:v>
                </c:pt>
                <c:pt idx="604">
                  <c:v>1880.49</c:v>
                </c:pt>
                <c:pt idx="605">
                  <c:v>2144.9929999999999</c:v>
                </c:pt>
                <c:pt idx="606">
                  <c:v>2154.58</c:v>
                </c:pt>
                <c:pt idx="607">
                  <c:v>1861.1969999999999</c:v>
                </c:pt>
                <c:pt idx="608">
                  <c:v>1965.9559999999999</c:v>
                </c:pt>
                <c:pt idx="609">
                  <c:v>2605.9270000000001</c:v>
                </c:pt>
                <c:pt idx="610">
                  <c:v>2068.6860000000001</c:v>
                </c:pt>
                <c:pt idx="611">
                  <c:v>2159.6350000000002</c:v>
                </c:pt>
                <c:pt idx="612">
                  <c:v>2536.6019999999999</c:v>
                </c:pt>
                <c:pt idx="613">
                  <c:v>1754.059</c:v>
                </c:pt>
                <c:pt idx="614">
                  <c:v>1847.027</c:v>
                </c:pt>
                <c:pt idx="615">
                  <c:v>1991.2629999999999</c:v>
                </c:pt>
                <c:pt idx="616">
                  <c:v>2764.8919999999998</c:v>
                </c:pt>
                <c:pt idx="617">
                  <c:v>3201.5419999999999</c:v>
                </c:pt>
                <c:pt idx="618">
                  <c:v>2226.6390000000001</c:v>
                </c:pt>
                <c:pt idx="619">
                  <c:v>2348.8539999999998</c:v>
                </c:pt>
                <c:pt idx="620">
                  <c:v>2341.1089999999999</c:v>
                </c:pt>
                <c:pt idx="621">
                  <c:v>2385.8020000000001</c:v>
                </c:pt>
                <c:pt idx="622">
                  <c:v>2261.96</c:v>
                </c:pt>
                <c:pt idx="623">
                  <c:v>2670.2130000000002</c:v>
                </c:pt>
                <c:pt idx="624">
                  <c:v>2810.9450000000002</c:v>
                </c:pt>
                <c:pt idx="625">
                  <c:v>2400.779</c:v>
                </c:pt>
                <c:pt idx="626">
                  <c:v>3372.9540000000002</c:v>
                </c:pt>
                <c:pt idx="627">
                  <c:v>2085.4699999999998</c:v>
                </c:pt>
                <c:pt idx="628">
                  <c:v>2292.6799999999998</c:v>
                </c:pt>
                <c:pt idx="629">
                  <c:v>2072.3490000000002</c:v>
                </c:pt>
                <c:pt idx="630">
                  <c:v>2564.4659999999999</c:v>
                </c:pt>
                <c:pt idx="631">
                  <c:v>1678.0160000000001</c:v>
                </c:pt>
                <c:pt idx="632">
                  <c:v>2022.0830000000001</c:v>
                </c:pt>
                <c:pt idx="633">
                  <c:v>2552.9430000000002</c:v>
                </c:pt>
                <c:pt idx="634">
                  <c:v>2581.6950000000002</c:v>
                </c:pt>
                <c:pt idx="635">
                  <c:v>2551.7710000000002</c:v>
                </c:pt>
                <c:pt idx="636">
                  <c:v>2462.6170000000002</c:v>
                </c:pt>
                <c:pt idx="637">
                  <c:v>2249.1439999999998</c:v>
                </c:pt>
                <c:pt idx="638">
                  <c:v>2077.6660000000002</c:v>
                </c:pt>
                <c:pt idx="639">
                  <c:v>1549.693</c:v>
                </c:pt>
                <c:pt idx="640">
                  <c:v>2409.1860000000001</c:v>
                </c:pt>
                <c:pt idx="641">
                  <c:v>2228.1529999999998</c:v>
                </c:pt>
                <c:pt idx="642">
                  <c:v>2214.7179999999998</c:v>
                </c:pt>
                <c:pt idx="643">
                  <c:v>2386.982</c:v>
                </c:pt>
                <c:pt idx="644">
                  <c:v>2600.636</c:v>
                </c:pt>
                <c:pt idx="645">
                  <c:v>2374.6750000000002</c:v>
                </c:pt>
                <c:pt idx="646">
                  <c:v>1491</c:v>
                </c:pt>
                <c:pt idx="647">
                  <c:v>2129.6350000000002</c:v>
                </c:pt>
                <c:pt idx="648">
                  <c:v>1958.2670000000001</c:v>
                </c:pt>
                <c:pt idx="649">
                  <c:v>2601.701</c:v>
                </c:pt>
                <c:pt idx="650">
                  <c:v>1730.836</c:v>
                </c:pt>
                <c:pt idx="651">
                  <c:v>2152.5459999999998</c:v>
                </c:pt>
                <c:pt idx="652">
                  <c:v>2698.373</c:v>
                </c:pt>
                <c:pt idx="653">
                  <c:v>1840.8219999999999</c:v>
                </c:pt>
                <c:pt idx="654">
                  <c:v>2184.0859999999998</c:v>
                </c:pt>
                <c:pt idx="655">
                  <c:v>1948.9590000000001</c:v>
                </c:pt>
                <c:pt idx="656">
                  <c:v>2312.2660000000001</c:v>
                </c:pt>
                <c:pt idx="657">
                  <c:v>1820.1669999999999</c:v>
                </c:pt>
                <c:pt idx="658">
                  <c:v>2665.1950000000002</c:v>
                </c:pt>
                <c:pt idx="659">
                  <c:v>2346.9189999999999</c:v>
                </c:pt>
                <c:pt idx="660">
                  <c:v>1782.7059999999999</c:v>
                </c:pt>
                <c:pt idx="661">
                  <c:v>1865.1079999999999</c:v>
                </c:pt>
                <c:pt idx="662">
                  <c:v>1680.2729999999999</c:v>
                </c:pt>
                <c:pt idx="663">
                  <c:v>1791.847</c:v>
                </c:pt>
                <c:pt idx="664">
                  <c:v>1756.5509999999999</c:v>
                </c:pt>
                <c:pt idx="665">
                  <c:v>3030.7570000000001</c:v>
                </c:pt>
                <c:pt idx="666">
                  <c:v>2213.9070000000002</c:v>
                </c:pt>
                <c:pt idx="667">
                  <c:v>1590.4960000000001</c:v>
                </c:pt>
                <c:pt idx="668">
                  <c:v>2116.92</c:v>
                </c:pt>
                <c:pt idx="669">
                  <c:v>2243.375</c:v>
                </c:pt>
                <c:pt idx="670">
                  <c:v>1657.8589999999999</c:v>
                </c:pt>
                <c:pt idx="671">
                  <c:v>2508.4969999999998</c:v>
                </c:pt>
                <c:pt idx="672">
                  <c:v>2250.7179999999998</c:v>
                </c:pt>
                <c:pt idx="673">
                  <c:v>2607.5810000000001</c:v>
                </c:pt>
                <c:pt idx="674">
                  <c:v>2346.5160000000001</c:v>
                </c:pt>
                <c:pt idx="675">
                  <c:v>2812.15</c:v>
                </c:pt>
                <c:pt idx="676">
                  <c:v>2305.7449999999999</c:v>
                </c:pt>
                <c:pt idx="677">
                  <c:v>2322.6619999999998</c:v>
                </c:pt>
                <c:pt idx="678">
                  <c:v>2072.5169999999998</c:v>
                </c:pt>
                <c:pt idx="679">
                  <c:v>2279.9479999999999</c:v>
                </c:pt>
                <c:pt idx="680">
                  <c:v>2300.2510000000002</c:v>
                </c:pt>
                <c:pt idx="681">
                  <c:v>2288.797</c:v>
                </c:pt>
                <c:pt idx="682">
                  <c:v>2484.7959999999998</c:v>
                </c:pt>
                <c:pt idx="683">
                  <c:v>2433.652</c:v>
                </c:pt>
                <c:pt idx="684">
                  <c:v>1906.05</c:v>
                </c:pt>
                <c:pt idx="685">
                  <c:v>2013.0139999999999</c:v>
                </c:pt>
                <c:pt idx="686">
                  <c:v>2201.5</c:v>
                </c:pt>
                <c:pt idx="687">
                  <c:v>2320.9549999999999</c:v>
                </c:pt>
                <c:pt idx="688">
                  <c:v>1838.6130000000001</c:v>
                </c:pt>
                <c:pt idx="689">
                  <c:v>2396.0929999999998</c:v>
                </c:pt>
                <c:pt idx="690">
                  <c:v>2055.145</c:v>
                </c:pt>
                <c:pt idx="691">
                  <c:v>2067.0320000000002</c:v>
                </c:pt>
                <c:pt idx="692">
                  <c:v>2010.81</c:v>
                </c:pt>
                <c:pt idx="693">
                  <c:v>2451.2939999999999</c:v>
                </c:pt>
                <c:pt idx="694">
                  <c:v>2281.2910000000002</c:v>
                </c:pt>
                <c:pt idx="695">
                  <c:v>1890.2349999999999</c:v>
                </c:pt>
                <c:pt idx="696">
                  <c:v>1968.492</c:v>
                </c:pt>
                <c:pt idx="697">
                  <c:v>1712.133</c:v>
                </c:pt>
                <c:pt idx="698">
                  <c:v>1797.319</c:v>
                </c:pt>
                <c:pt idx="699">
                  <c:v>2202.8180000000002</c:v>
                </c:pt>
                <c:pt idx="700">
                  <c:v>2502.288</c:v>
                </c:pt>
                <c:pt idx="701">
                  <c:v>2863.009</c:v>
                </c:pt>
                <c:pt idx="702">
                  <c:v>2013.921</c:v>
                </c:pt>
                <c:pt idx="703">
                  <c:v>1450.3610000000001</c:v>
                </c:pt>
                <c:pt idx="704">
                  <c:v>2112.5610000000001</c:v>
                </c:pt>
                <c:pt idx="705">
                  <c:v>1867.9659999999999</c:v>
                </c:pt>
                <c:pt idx="706">
                  <c:v>1809.9190000000001</c:v>
                </c:pt>
                <c:pt idx="707">
                  <c:v>2429.52</c:v>
                </c:pt>
                <c:pt idx="708">
                  <c:v>2775.3420000000001</c:v>
                </c:pt>
                <c:pt idx="709">
                  <c:v>1797.991</c:v>
                </c:pt>
                <c:pt idx="710">
                  <c:v>2205.9059999999999</c:v>
                </c:pt>
                <c:pt idx="711">
                  <c:v>2675.4549999999999</c:v>
                </c:pt>
                <c:pt idx="712">
                  <c:v>1978.7159999999999</c:v>
                </c:pt>
                <c:pt idx="713">
                  <c:v>2127.9989999999998</c:v>
                </c:pt>
                <c:pt idx="714">
                  <c:v>2303.462</c:v>
                </c:pt>
                <c:pt idx="715">
                  <c:v>2468.1239999999998</c:v>
                </c:pt>
                <c:pt idx="716">
                  <c:v>1667.789</c:v>
                </c:pt>
                <c:pt idx="717">
                  <c:v>2108.4960000000001</c:v>
                </c:pt>
                <c:pt idx="718">
                  <c:v>2340.4960000000001</c:v>
                </c:pt>
                <c:pt idx="719">
                  <c:v>2119.0340000000001</c:v>
                </c:pt>
                <c:pt idx="720">
                  <c:v>2267.2379999999998</c:v>
                </c:pt>
                <c:pt idx="721">
                  <c:v>2851.6</c:v>
                </c:pt>
                <c:pt idx="722">
                  <c:v>2714.1990000000001</c:v>
                </c:pt>
                <c:pt idx="723">
                  <c:v>1664.5540000000001</c:v>
                </c:pt>
                <c:pt idx="724">
                  <c:v>3020.6709999999998</c:v>
                </c:pt>
                <c:pt idx="725">
                  <c:v>5271.7749999999996</c:v>
                </c:pt>
                <c:pt idx="726">
                  <c:v>5077.4690000000001</c:v>
                </c:pt>
                <c:pt idx="727">
                  <c:v>2034.4659999999999</c:v>
                </c:pt>
                <c:pt idx="728">
                  <c:v>3111.0549999999998</c:v>
                </c:pt>
                <c:pt idx="729">
                  <c:v>4396.3649999999998</c:v>
                </c:pt>
                <c:pt idx="730">
                  <c:v>2870.9989999999998</c:v>
                </c:pt>
                <c:pt idx="731">
                  <c:v>582.86900000000003</c:v>
                </c:pt>
                <c:pt idx="732">
                  <c:v>663.17499999999995</c:v>
                </c:pt>
                <c:pt idx="733">
                  <c:v>3672.2710000000002</c:v>
                </c:pt>
                <c:pt idx="734">
                  <c:v>1705.4780000000001</c:v>
                </c:pt>
                <c:pt idx="735">
                  <c:v>2608.2040000000002</c:v>
                </c:pt>
                <c:pt idx="736">
                  <c:v>2289.3789999999999</c:v>
                </c:pt>
                <c:pt idx="737">
                  <c:v>1902.9079999999999</c:v>
                </c:pt>
                <c:pt idx="738">
                  <c:v>1925.0160000000001</c:v>
                </c:pt>
                <c:pt idx="739">
                  <c:v>2105.5920000000001</c:v>
                </c:pt>
                <c:pt idx="740">
                  <c:v>1696.0719999999999</c:v>
                </c:pt>
                <c:pt idx="741">
                  <c:v>1988.845</c:v>
                </c:pt>
                <c:pt idx="742">
                  <c:v>2213.4870000000001</c:v>
                </c:pt>
                <c:pt idx="743">
                  <c:v>2489.8780000000002</c:v>
                </c:pt>
                <c:pt idx="744">
                  <c:v>1675.655</c:v>
                </c:pt>
                <c:pt idx="745">
                  <c:v>2537.5720000000001</c:v>
                </c:pt>
                <c:pt idx="746">
                  <c:v>2184.0214999999998</c:v>
                </c:pt>
                <c:pt idx="747">
                  <c:v>3071.2159999999999</c:v>
                </c:pt>
                <c:pt idx="748">
                  <c:v>1323.056</c:v>
                </c:pt>
                <c:pt idx="749">
                  <c:v>1362.6420000000001</c:v>
                </c:pt>
                <c:pt idx="750">
                  <c:v>1946.231</c:v>
                </c:pt>
                <c:pt idx="751">
                  <c:v>2307.777</c:v>
                </c:pt>
                <c:pt idx="752">
                  <c:v>3803.38</c:v>
                </c:pt>
                <c:pt idx="753">
                  <c:v>3366.37</c:v>
                </c:pt>
                <c:pt idx="754">
                  <c:v>2795.326</c:v>
                </c:pt>
                <c:pt idx="755">
                  <c:v>2712.9070000000002</c:v>
                </c:pt>
                <c:pt idx="756">
                  <c:v>2109.65</c:v>
                </c:pt>
                <c:pt idx="757">
                  <c:v>2228.0479999999998</c:v>
                </c:pt>
                <c:pt idx="758">
                  <c:v>1750.4449999999999</c:v>
                </c:pt>
                <c:pt idx="759">
                  <c:v>2682.672</c:v>
                </c:pt>
                <c:pt idx="760">
                  <c:v>2564.0390000000002</c:v>
                </c:pt>
                <c:pt idx="761">
                  <c:v>2312.4810000000002</c:v>
                </c:pt>
                <c:pt idx="762">
                  <c:v>1775.6969999999999</c:v>
                </c:pt>
                <c:pt idx="763">
                  <c:v>2372.4639999999999</c:v>
                </c:pt>
                <c:pt idx="764">
                  <c:v>2226.4369999999999</c:v>
                </c:pt>
                <c:pt idx="765">
                  <c:v>1682.319</c:v>
                </c:pt>
                <c:pt idx="766">
                  <c:v>2201.1010000000001</c:v>
                </c:pt>
                <c:pt idx="767">
                  <c:v>2736.4949999999999</c:v>
                </c:pt>
                <c:pt idx="768">
                  <c:v>2779.884</c:v>
                </c:pt>
                <c:pt idx="769">
                  <c:v>1694.4269999999999</c:v>
                </c:pt>
                <c:pt idx="770">
                  <c:v>3043.8119999999999</c:v>
                </c:pt>
                <c:pt idx="771">
                  <c:v>2426.6</c:v>
                </c:pt>
                <c:pt idx="772">
                  <c:v>2565.3200000000002</c:v>
                </c:pt>
                <c:pt idx="773">
                  <c:v>2883.0880000000002</c:v>
                </c:pt>
                <c:pt idx="774">
                  <c:v>3330.6590000000001</c:v>
                </c:pt>
                <c:pt idx="775">
                  <c:v>2533.8380000000002</c:v>
                </c:pt>
                <c:pt idx="776">
                  <c:v>2196.6489999999999</c:v>
                </c:pt>
                <c:pt idx="777">
                  <c:v>2476.2669999999998</c:v>
                </c:pt>
                <c:pt idx="778">
                  <c:v>2989.2809999999999</c:v>
                </c:pt>
                <c:pt idx="779">
                  <c:v>1683.4179999999999</c:v>
                </c:pt>
                <c:pt idx="780">
                  <c:v>2548.567</c:v>
                </c:pt>
                <c:pt idx="781">
                  <c:v>2177.6799999999998</c:v>
                </c:pt>
                <c:pt idx="782">
                  <c:v>2352.2109999999998</c:v>
                </c:pt>
                <c:pt idx="783">
                  <c:v>2086.3960000000002</c:v>
                </c:pt>
                <c:pt idx="784">
                  <c:v>3110.2489999999998</c:v>
                </c:pt>
                <c:pt idx="785">
                  <c:v>2402.6129999999998</c:v>
                </c:pt>
                <c:pt idx="786">
                  <c:v>1866.6869999999999</c:v>
                </c:pt>
                <c:pt idx="787">
                  <c:v>2457.8339999999998</c:v>
                </c:pt>
                <c:pt idx="788">
                  <c:v>2106.1959999999999</c:v>
                </c:pt>
                <c:pt idx="789">
                  <c:v>2248.9679999999998</c:v>
                </c:pt>
                <c:pt idx="790">
                  <c:v>2080.654</c:v>
                </c:pt>
                <c:pt idx="791">
                  <c:v>2443.482</c:v>
                </c:pt>
                <c:pt idx="792">
                  <c:v>2311.3870000000002</c:v>
                </c:pt>
                <c:pt idx="793">
                  <c:v>1653.0940000000001</c:v>
                </c:pt>
                <c:pt idx="794">
                  <c:v>2510.3780000000002</c:v>
                </c:pt>
                <c:pt idx="795">
                  <c:v>2535.9209999999998</c:v>
                </c:pt>
                <c:pt idx="796">
                  <c:v>2138.8719999999998</c:v>
                </c:pt>
                <c:pt idx="797">
                  <c:v>2033.9079999999999</c:v>
                </c:pt>
                <c:pt idx="798">
                  <c:v>2255.2730000000001</c:v>
                </c:pt>
                <c:pt idx="799">
                  <c:v>2208.8029999999999</c:v>
                </c:pt>
                <c:pt idx="800">
                  <c:v>1006.347</c:v>
                </c:pt>
                <c:pt idx="801">
                  <c:v>1826.3620000000001</c:v>
                </c:pt>
                <c:pt idx="802">
                  <c:v>1656.8630000000001</c:v>
                </c:pt>
                <c:pt idx="803">
                  <c:v>2417.0929999999998</c:v>
                </c:pt>
                <c:pt idx="804">
                  <c:v>1925.1610000000001</c:v>
                </c:pt>
                <c:pt idx="805">
                  <c:v>2354.721</c:v>
                </c:pt>
                <c:pt idx="806">
                  <c:v>2428.1990000000001</c:v>
                </c:pt>
                <c:pt idx="807">
                  <c:v>1790.867</c:v>
                </c:pt>
                <c:pt idx="808">
                  <c:v>2630.0360000000001</c:v>
                </c:pt>
                <c:pt idx="809">
                  <c:v>1152.971</c:v>
                </c:pt>
                <c:pt idx="810">
                  <c:v>1634.34</c:v>
                </c:pt>
                <c:pt idx="811">
                  <c:v>1961.999</c:v>
                </c:pt>
                <c:pt idx="812">
                  <c:v>2012.24</c:v>
                </c:pt>
                <c:pt idx="813">
                  <c:v>3067.623</c:v>
                </c:pt>
                <c:pt idx="814">
                  <c:v>1972.123</c:v>
                </c:pt>
                <c:pt idx="815">
                  <c:v>2557.5740000000001</c:v>
                </c:pt>
                <c:pt idx="816">
                  <c:v>2208.348</c:v>
                </c:pt>
                <c:pt idx="817">
                  <c:v>2321.8130000000001</c:v>
                </c:pt>
                <c:pt idx="818">
                  <c:v>2079.3510000000001</c:v>
                </c:pt>
                <c:pt idx="819">
                  <c:v>2645.855</c:v>
                </c:pt>
                <c:pt idx="820">
                  <c:v>3317.002</c:v>
                </c:pt>
                <c:pt idx="821">
                  <c:v>1928.1110000000001</c:v>
                </c:pt>
                <c:pt idx="822">
                  <c:v>2273.105</c:v>
                </c:pt>
                <c:pt idx="823">
                  <c:v>2452.7570000000001</c:v>
                </c:pt>
                <c:pt idx="824">
                  <c:v>2629.29</c:v>
                </c:pt>
                <c:pt idx="825">
                  <c:v>2675.8009999999999</c:v>
                </c:pt>
                <c:pt idx="826">
                  <c:v>2747.4319999999998</c:v>
                </c:pt>
                <c:pt idx="827">
                  <c:v>2758.549</c:v>
                </c:pt>
                <c:pt idx="828">
                  <c:v>1830.6210000000001</c:v>
                </c:pt>
                <c:pt idx="829">
                  <c:v>2461.2330000000002</c:v>
                </c:pt>
                <c:pt idx="830">
                  <c:v>2575.6320000000001</c:v>
                </c:pt>
                <c:pt idx="831">
                  <c:v>1528.13</c:v>
                </c:pt>
                <c:pt idx="832">
                  <c:v>1218.6949999999999</c:v>
                </c:pt>
                <c:pt idx="833">
                  <c:v>6.3849999999999998</c:v>
                </c:pt>
                <c:pt idx="834">
                  <c:v>2811.4850000000001</c:v>
                </c:pt>
                <c:pt idx="835">
                  <c:v>3009.587</c:v>
                </c:pt>
                <c:pt idx="836">
                  <c:v>564.50300000000004</c:v>
                </c:pt>
                <c:pt idx="837">
                  <c:v>2614.4319999999998</c:v>
                </c:pt>
                <c:pt idx="838">
                  <c:v>2261.8409999999999</c:v>
                </c:pt>
                <c:pt idx="839">
                  <c:v>2012.8209999999999</c:v>
                </c:pt>
                <c:pt idx="840">
                  <c:v>2029.5309999999999</c:v>
                </c:pt>
                <c:pt idx="841">
                  <c:v>2308.6529999999998</c:v>
                </c:pt>
                <c:pt idx="842">
                  <c:v>2914.08</c:v>
                </c:pt>
                <c:pt idx="843">
                  <c:v>1730.568</c:v>
                </c:pt>
                <c:pt idx="844">
                  <c:v>353.66199999999998</c:v>
                </c:pt>
                <c:pt idx="845">
                  <c:v>3473.0970000000002</c:v>
                </c:pt>
                <c:pt idx="846">
                  <c:v>544.95399999999995</c:v>
                </c:pt>
                <c:pt idx="847">
                  <c:v>4575.7569999999996</c:v>
                </c:pt>
                <c:pt idx="848">
                  <c:v>201.94399999999999</c:v>
                </c:pt>
                <c:pt idx="849">
                  <c:v>52.091000000000001</c:v>
                </c:pt>
                <c:pt idx="850">
                  <c:v>61.731999999999999</c:v>
                </c:pt>
                <c:pt idx="851">
                  <c:v>7525.8109999999997</c:v>
                </c:pt>
                <c:pt idx="852">
                  <c:v>3267.73</c:v>
                </c:pt>
                <c:pt idx="853">
                  <c:v>5889.7939999999999</c:v>
                </c:pt>
                <c:pt idx="854">
                  <c:v>9551.7829999999994</c:v>
                </c:pt>
                <c:pt idx="855">
                  <c:v>560</c:v>
                </c:pt>
                <c:pt idx="856">
                  <c:v>4803.1000000000004</c:v>
                </c:pt>
                <c:pt idx="857">
                  <c:v>3906.36</c:v>
                </c:pt>
                <c:pt idx="858">
                  <c:v>1830.519</c:v>
                </c:pt>
                <c:pt idx="859">
                  <c:v>4931.884</c:v>
                </c:pt>
                <c:pt idx="860">
                  <c:v>1610.7809999999999</c:v>
                </c:pt>
                <c:pt idx="861">
                  <c:v>1399.2170000000001</c:v>
                </c:pt>
                <c:pt idx="862">
                  <c:v>4843.116</c:v>
                </c:pt>
                <c:pt idx="863">
                  <c:v>2370.0349999999999</c:v>
                </c:pt>
                <c:pt idx="864">
                  <c:v>2618.6610000000001</c:v>
                </c:pt>
                <c:pt idx="865">
                  <c:v>3529.0740000000001</c:v>
                </c:pt>
                <c:pt idx="866">
                  <c:v>572.86699999999996</c:v>
                </c:pt>
                <c:pt idx="867">
                  <c:v>1518.9349999999999</c:v>
                </c:pt>
                <c:pt idx="868">
                  <c:v>13257.366</c:v>
                </c:pt>
                <c:pt idx="869">
                  <c:v>8204.7849999999999</c:v>
                </c:pt>
                <c:pt idx="870">
                  <c:v>1742.4780000000001</c:v>
                </c:pt>
                <c:pt idx="871">
                  <c:v>1359.82</c:v>
                </c:pt>
                <c:pt idx="872">
                  <c:v>705.35</c:v>
                </c:pt>
                <c:pt idx="873">
                  <c:v>0</c:v>
                </c:pt>
                <c:pt idx="874">
                  <c:v>4289.0219999999999</c:v>
                </c:pt>
                <c:pt idx="875">
                  <c:v>0</c:v>
                </c:pt>
                <c:pt idx="876">
                  <c:v>4236.5559999999996</c:v>
                </c:pt>
                <c:pt idx="877">
                  <c:v>1126.913</c:v>
                </c:pt>
                <c:pt idx="878">
                  <c:v>3188.357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3-4675-8CF1-E99C3E7C4480}"/>
            </c:ext>
          </c:extLst>
        </c:ser>
        <c:ser>
          <c:idx val="1"/>
          <c:order val="1"/>
          <c:tx>
            <c:strRef>
              <c:f>'CASH FLOW'!$C$1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FLOW'!$C$2:$C$969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1764.653</c:v>
                </c:pt>
                <c:pt idx="3">
                  <c:v>2758.681</c:v>
                </c:pt>
                <c:pt idx="4">
                  <c:v>4976.3900000000003</c:v>
                </c:pt>
                <c:pt idx="5">
                  <c:v>1516.6969999999999</c:v>
                </c:pt>
                <c:pt idx="6">
                  <c:v>2595.4589999999998</c:v>
                </c:pt>
                <c:pt idx="7">
                  <c:v>5125.9589999999998</c:v>
                </c:pt>
                <c:pt idx="8">
                  <c:v>3981.462</c:v>
                </c:pt>
                <c:pt idx="9">
                  <c:v>2045.4259999999999</c:v>
                </c:pt>
                <c:pt idx="10">
                  <c:v>3894.7310000000002</c:v>
                </c:pt>
                <c:pt idx="11">
                  <c:v>4199.2049999999999</c:v>
                </c:pt>
                <c:pt idx="12">
                  <c:v>2002.0930000000001</c:v>
                </c:pt>
                <c:pt idx="13">
                  <c:v>1375.6010000000001</c:v>
                </c:pt>
                <c:pt idx="14">
                  <c:v>6993.4089999999997</c:v>
                </c:pt>
                <c:pt idx="15">
                  <c:v>915.01400000000001</c:v>
                </c:pt>
                <c:pt idx="16">
                  <c:v>2453.5349999999999</c:v>
                </c:pt>
                <c:pt idx="17">
                  <c:v>4664.1940000000004</c:v>
                </c:pt>
                <c:pt idx="18">
                  <c:v>1093.2280000000001</c:v>
                </c:pt>
                <c:pt idx="19">
                  <c:v>3487</c:v>
                </c:pt>
                <c:pt idx="20">
                  <c:v>1871.5630000000001</c:v>
                </c:pt>
                <c:pt idx="21">
                  <c:v>3199.55</c:v>
                </c:pt>
                <c:pt idx="22">
                  <c:v>3418.94</c:v>
                </c:pt>
                <c:pt idx="23">
                  <c:v>1666.704</c:v>
                </c:pt>
                <c:pt idx="24">
                  <c:v>2560.076</c:v>
                </c:pt>
                <c:pt idx="25">
                  <c:v>3225.3440000000001</c:v>
                </c:pt>
                <c:pt idx="26">
                  <c:v>3430.0419999999999</c:v>
                </c:pt>
                <c:pt idx="27">
                  <c:v>2578.6179999999999</c:v>
                </c:pt>
                <c:pt idx="28">
                  <c:v>6593.3249999999998</c:v>
                </c:pt>
                <c:pt idx="29">
                  <c:v>2737.2640000000001</c:v>
                </c:pt>
                <c:pt idx="30">
                  <c:v>2515.4299999999998</c:v>
                </c:pt>
                <c:pt idx="31">
                  <c:v>7925.7839999999997</c:v>
                </c:pt>
                <c:pt idx="32">
                  <c:v>4909.6930000000002</c:v>
                </c:pt>
                <c:pt idx="33">
                  <c:v>3771.5160000000001</c:v>
                </c:pt>
                <c:pt idx="34">
                  <c:v>4716.174</c:v>
                </c:pt>
                <c:pt idx="35">
                  <c:v>2353.5100000000002</c:v>
                </c:pt>
                <c:pt idx="36">
                  <c:v>2744.277</c:v>
                </c:pt>
                <c:pt idx="37">
                  <c:v>1765.72</c:v>
                </c:pt>
                <c:pt idx="38">
                  <c:v>9595.2340000000004</c:v>
                </c:pt>
                <c:pt idx="39">
                  <c:v>3145.616</c:v>
                </c:pt>
                <c:pt idx="40">
                  <c:v>1908.2439999999999</c:v>
                </c:pt>
                <c:pt idx="41">
                  <c:v>3817.7040000000002</c:v>
                </c:pt>
                <c:pt idx="42">
                  <c:v>1273.9880000000001</c:v>
                </c:pt>
                <c:pt idx="43">
                  <c:v>2032.373</c:v>
                </c:pt>
                <c:pt idx="44">
                  <c:v>4736.7139999999999</c:v>
                </c:pt>
                <c:pt idx="45">
                  <c:v>5930.0630000000001</c:v>
                </c:pt>
                <c:pt idx="46">
                  <c:v>2332.4560000000001</c:v>
                </c:pt>
                <c:pt idx="47">
                  <c:v>4593.3720000000003</c:v>
                </c:pt>
                <c:pt idx="48">
                  <c:v>3556.194</c:v>
                </c:pt>
                <c:pt idx="49">
                  <c:v>4532.6750000000002</c:v>
                </c:pt>
                <c:pt idx="50">
                  <c:v>1828.8219999999999</c:v>
                </c:pt>
                <c:pt idx="51">
                  <c:v>1758.07</c:v>
                </c:pt>
                <c:pt idx="52">
                  <c:v>3943.39</c:v>
                </c:pt>
                <c:pt idx="53">
                  <c:v>3604.55</c:v>
                </c:pt>
                <c:pt idx="54">
                  <c:v>2152.0039999999999</c:v>
                </c:pt>
                <c:pt idx="55">
                  <c:v>3471.6619999999998</c:v>
                </c:pt>
                <c:pt idx="56">
                  <c:v>1959.002</c:v>
                </c:pt>
                <c:pt idx="57">
                  <c:v>2529.5830000000001</c:v>
                </c:pt>
                <c:pt idx="58">
                  <c:v>2080.7220000000002</c:v>
                </c:pt>
                <c:pt idx="59">
                  <c:v>5550.1229999999996</c:v>
                </c:pt>
                <c:pt idx="60">
                  <c:v>2637.5</c:v>
                </c:pt>
                <c:pt idx="61">
                  <c:v>3023.55</c:v>
                </c:pt>
                <c:pt idx="62">
                  <c:v>2831.018</c:v>
                </c:pt>
                <c:pt idx="63">
                  <c:v>2137.1970000000001</c:v>
                </c:pt>
                <c:pt idx="64">
                  <c:v>4242.4960000000001</c:v>
                </c:pt>
                <c:pt idx="65">
                  <c:v>2999.99</c:v>
                </c:pt>
                <c:pt idx="66">
                  <c:v>2769.7260000000001</c:v>
                </c:pt>
                <c:pt idx="67">
                  <c:v>6503.67</c:v>
                </c:pt>
                <c:pt idx="68">
                  <c:v>1490</c:v>
                </c:pt>
                <c:pt idx="69">
                  <c:v>1359.173</c:v>
                </c:pt>
                <c:pt idx="70">
                  <c:v>1946.3520000000001</c:v>
                </c:pt>
                <c:pt idx="71">
                  <c:v>730.48</c:v>
                </c:pt>
                <c:pt idx="72">
                  <c:v>3313.8</c:v>
                </c:pt>
                <c:pt idx="73">
                  <c:v>3126.57</c:v>
                </c:pt>
                <c:pt idx="74">
                  <c:v>2579.2280000000001</c:v>
                </c:pt>
                <c:pt idx="75">
                  <c:v>3513.9769999999999</c:v>
                </c:pt>
                <c:pt idx="76">
                  <c:v>3135.87</c:v>
                </c:pt>
                <c:pt idx="77">
                  <c:v>2842.3220000000001</c:v>
                </c:pt>
                <c:pt idx="78">
                  <c:v>1970.42</c:v>
                </c:pt>
                <c:pt idx="79">
                  <c:v>1280.9839999999999</c:v>
                </c:pt>
                <c:pt idx="80">
                  <c:v>3783.172</c:v>
                </c:pt>
                <c:pt idx="81">
                  <c:v>2595.5949999999998</c:v>
                </c:pt>
                <c:pt idx="82">
                  <c:v>5228.7179999999998</c:v>
                </c:pt>
                <c:pt idx="83">
                  <c:v>2458.5770000000002</c:v>
                </c:pt>
                <c:pt idx="84">
                  <c:v>3288.2420000000002</c:v>
                </c:pt>
                <c:pt idx="85">
                  <c:v>1201.7919999999999</c:v>
                </c:pt>
                <c:pt idx="86">
                  <c:v>1455.96</c:v>
                </c:pt>
                <c:pt idx="87">
                  <c:v>2692.3409999999999</c:v>
                </c:pt>
                <c:pt idx="88">
                  <c:v>3691.221</c:v>
                </c:pt>
                <c:pt idx="89">
                  <c:v>3255.386</c:v>
                </c:pt>
                <c:pt idx="90">
                  <c:v>2048.16</c:v>
                </c:pt>
                <c:pt idx="91">
                  <c:v>4049.2109999999998</c:v>
                </c:pt>
                <c:pt idx="92">
                  <c:v>1355</c:v>
                </c:pt>
                <c:pt idx="93">
                  <c:v>979</c:v>
                </c:pt>
                <c:pt idx="94">
                  <c:v>3987.2809999999999</c:v>
                </c:pt>
                <c:pt idx="95">
                  <c:v>2768.6089999999999</c:v>
                </c:pt>
                <c:pt idx="96">
                  <c:v>2004.8440000000001</c:v>
                </c:pt>
                <c:pt idx="97">
                  <c:v>7115.2550000000001</c:v>
                </c:pt>
                <c:pt idx="98">
                  <c:v>2978.165</c:v>
                </c:pt>
                <c:pt idx="99">
                  <c:v>1523.1659999999999</c:v>
                </c:pt>
                <c:pt idx="100">
                  <c:v>1483.1420000000001</c:v>
                </c:pt>
                <c:pt idx="101">
                  <c:v>4467.152</c:v>
                </c:pt>
                <c:pt idx="102">
                  <c:v>2577</c:v>
                </c:pt>
                <c:pt idx="103">
                  <c:v>2046.348</c:v>
                </c:pt>
                <c:pt idx="104">
                  <c:v>2541.5140000000001</c:v>
                </c:pt>
                <c:pt idx="105">
                  <c:v>2024.366</c:v>
                </c:pt>
                <c:pt idx="106">
                  <c:v>5004.4530000000004</c:v>
                </c:pt>
                <c:pt idx="107">
                  <c:v>2283.8020000000001</c:v>
                </c:pt>
                <c:pt idx="108">
                  <c:v>3314.9119999999998</c:v>
                </c:pt>
                <c:pt idx="109">
                  <c:v>3000.6010000000001</c:v>
                </c:pt>
                <c:pt idx="110">
                  <c:v>2215.895</c:v>
                </c:pt>
                <c:pt idx="111">
                  <c:v>2960.6460000000002</c:v>
                </c:pt>
                <c:pt idx="112">
                  <c:v>2943.701</c:v>
                </c:pt>
                <c:pt idx="113">
                  <c:v>1420.9169999999999</c:v>
                </c:pt>
                <c:pt idx="114">
                  <c:v>1440.722</c:v>
                </c:pt>
                <c:pt idx="115">
                  <c:v>2672.797</c:v>
                </c:pt>
                <c:pt idx="116">
                  <c:v>2255.998</c:v>
                </c:pt>
                <c:pt idx="117">
                  <c:v>3283.335</c:v>
                </c:pt>
                <c:pt idx="118">
                  <c:v>3954</c:v>
                </c:pt>
                <c:pt idx="119">
                  <c:v>3225.5509999999999</c:v>
                </c:pt>
                <c:pt idx="120">
                  <c:v>0</c:v>
                </c:pt>
                <c:pt idx="121">
                  <c:v>4692.6499999999996</c:v>
                </c:pt>
                <c:pt idx="122">
                  <c:v>6562.15</c:v>
                </c:pt>
                <c:pt idx="123">
                  <c:v>3508.49</c:v>
                </c:pt>
                <c:pt idx="124">
                  <c:v>5537.4570000000003</c:v>
                </c:pt>
                <c:pt idx="125">
                  <c:v>2714.5160000000001</c:v>
                </c:pt>
                <c:pt idx="126">
                  <c:v>3292.1860000000001</c:v>
                </c:pt>
                <c:pt idx="127">
                  <c:v>1340.02</c:v>
                </c:pt>
                <c:pt idx="128">
                  <c:v>1873.03</c:v>
                </c:pt>
                <c:pt idx="129">
                  <c:v>3964.38</c:v>
                </c:pt>
                <c:pt idx="130">
                  <c:v>2897.7249999999999</c:v>
                </c:pt>
                <c:pt idx="131">
                  <c:v>4980.8440000000001</c:v>
                </c:pt>
                <c:pt idx="132">
                  <c:v>3867.665</c:v>
                </c:pt>
                <c:pt idx="133">
                  <c:v>4878.9319999999998</c:v>
                </c:pt>
                <c:pt idx="134">
                  <c:v>2661.6329999999998</c:v>
                </c:pt>
                <c:pt idx="135">
                  <c:v>3171.4349999999999</c:v>
                </c:pt>
                <c:pt idx="136">
                  <c:v>3727.5479999999998</c:v>
                </c:pt>
                <c:pt idx="137">
                  <c:v>2653</c:v>
                </c:pt>
                <c:pt idx="138">
                  <c:v>2548.9180000000001</c:v>
                </c:pt>
                <c:pt idx="139">
                  <c:v>2973.788</c:v>
                </c:pt>
                <c:pt idx="140">
                  <c:v>5644.0280000000002</c:v>
                </c:pt>
                <c:pt idx="141">
                  <c:v>1867.6890000000001</c:v>
                </c:pt>
                <c:pt idx="142">
                  <c:v>1421.5450000000001</c:v>
                </c:pt>
                <c:pt idx="143">
                  <c:v>2817.9639999999999</c:v>
                </c:pt>
                <c:pt idx="144">
                  <c:v>2663.3470000000002</c:v>
                </c:pt>
                <c:pt idx="145">
                  <c:v>2786.9349999999999</c:v>
                </c:pt>
                <c:pt idx="146">
                  <c:v>2597.2570000000001</c:v>
                </c:pt>
                <c:pt idx="147">
                  <c:v>3303.1129999999998</c:v>
                </c:pt>
                <c:pt idx="148">
                  <c:v>3325.0819999999999</c:v>
                </c:pt>
                <c:pt idx="149">
                  <c:v>3826.03</c:v>
                </c:pt>
                <c:pt idx="150">
                  <c:v>3534.5309999999999</c:v>
                </c:pt>
                <c:pt idx="151">
                  <c:v>4231.9880000000003</c:v>
                </c:pt>
                <c:pt idx="152">
                  <c:v>3197.511</c:v>
                </c:pt>
                <c:pt idx="153">
                  <c:v>6224.07</c:v>
                </c:pt>
                <c:pt idx="154">
                  <c:v>4403.201</c:v>
                </c:pt>
                <c:pt idx="155">
                  <c:v>2678.3690000000001</c:v>
                </c:pt>
                <c:pt idx="156">
                  <c:v>2396.6329999999998</c:v>
                </c:pt>
                <c:pt idx="157">
                  <c:v>4875.2</c:v>
                </c:pt>
                <c:pt idx="158">
                  <c:v>4893.5659999999998</c:v>
                </c:pt>
                <c:pt idx="159">
                  <c:v>3666.6</c:v>
                </c:pt>
                <c:pt idx="160">
                  <c:v>5466.7380000000003</c:v>
                </c:pt>
                <c:pt idx="161">
                  <c:v>3756.7469999999998</c:v>
                </c:pt>
                <c:pt idx="162">
                  <c:v>3534.5610000000001</c:v>
                </c:pt>
                <c:pt idx="163">
                  <c:v>2569.0680000000002</c:v>
                </c:pt>
                <c:pt idx="164">
                  <c:v>2487</c:v>
                </c:pt>
                <c:pt idx="165">
                  <c:v>3808.1959999999999</c:v>
                </c:pt>
                <c:pt idx="166">
                  <c:v>3594.223</c:v>
                </c:pt>
                <c:pt idx="167">
                  <c:v>7295.951</c:v>
                </c:pt>
                <c:pt idx="168">
                  <c:v>3435.5549999999998</c:v>
                </c:pt>
                <c:pt idx="169">
                  <c:v>3720.134</c:v>
                </c:pt>
                <c:pt idx="170">
                  <c:v>1737.1220000000001</c:v>
                </c:pt>
                <c:pt idx="171">
                  <c:v>3865.7339999999999</c:v>
                </c:pt>
                <c:pt idx="172">
                  <c:v>3354.3820000000001</c:v>
                </c:pt>
                <c:pt idx="173">
                  <c:v>6374.6450000000004</c:v>
                </c:pt>
                <c:pt idx="174">
                  <c:v>3026.7060000000001</c:v>
                </c:pt>
                <c:pt idx="175">
                  <c:v>3523.7130000000002</c:v>
                </c:pt>
                <c:pt idx="176">
                  <c:v>3687.1</c:v>
                </c:pt>
                <c:pt idx="177">
                  <c:v>3229.3159999999998</c:v>
                </c:pt>
                <c:pt idx="178">
                  <c:v>3088.18</c:v>
                </c:pt>
                <c:pt idx="179">
                  <c:v>4653.2460000000001</c:v>
                </c:pt>
                <c:pt idx="180">
                  <c:v>3503.02</c:v>
                </c:pt>
                <c:pt idx="181">
                  <c:v>4094.5639999999999</c:v>
                </c:pt>
                <c:pt idx="182">
                  <c:v>4661.4589999999998</c:v>
                </c:pt>
                <c:pt idx="183">
                  <c:v>3109.136</c:v>
                </c:pt>
                <c:pt idx="184">
                  <c:v>1698.9169999999999</c:v>
                </c:pt>
                <c:pt idx="185">
                  <c:v>5866.2860000000001</c:v>
                </c:pt>
                <c:pt idx="186">
                  <c:v>2905.518</c:v>
                </c:pt>
                <c:pt idx="187">
                  <c:v>3939.056</c:v>
                </c:pt>
                <c:pt idx="188">
                  <c:v>4718.192</c:v>
                </c:pt>
                <c:pt idx="189">
                  <c:v>4298.75</c:v>
                </c:pt>
                <c:pt idx="190">
                  <c:v>2313.4769999999999</c:v>
                </c:pt>
                <c:pt idx="191">
                  <c:v>3179.777</c:v>
                </c:pt>
                <c:pt idx="192">
                  <c:v>3712.8960000000002</c:v>
                </c:pt>
                <c:pt idx="193">
                  <c:v>3757.8330000000001</c:v>
                </c:pt>
                <c:pt idx="194">
                  <c:v>3221.5120000000002</c:v>
                </c:pt>
                <c:pt idx="195">
                  <c:v>2676.85</c:v>
                </c:pt>
                <c:pt idx="196">
                  <c:v>5415.326</c:v>
                </c:pt>
                <c:pt idx="197">
                  <c:v>5030.5630000000001</c:v>
                </c:pt>
                <c:pt idx="198">
                  <c:v>3292.348</c:v>
                </c:pt>
                <c:pt idx="199">
                  <c:v>4401.6019999999999</c:v>
                </c:pt>
                <c:pt idx="200">
                  <c:v>2023.2149999999999</c:v>
                </c:pt>
                <c:pt idx="201">
                  <c:v>3312.7089999999998</c:v>
                </c:pt>
                <c:pt idx="202">
                  <c:v>3487.433</c:v>
                </c:pt>
                <c:pt idx="203">
                  <c:v>1299.174</c:v>
                </c:pt>
                <c:pt idx="204">
                  <c:v>3303.4070000000002</c:v>
                </c:pt>
                <c:pt idx="205">
                  <c:v>2662.614</c:v>
                </c:pt>
                <c:pt idx="206">
                  <c:v>4417.9520000000002</c:v>
                </c:pt>
                <c:pt idx="207">
                  <c:v>3046.183</c:v>
                </c:pt>
                <c:pt idx="208">
                  <c:v>3365.2510000000002</c:v>
                </c:pt>
                <c:pt idx="209">
                  <c:v>3501.1590000000001</c:v>
                </c:pt>
                <c:pt idx="210">
                  <c:v>5209.5150000000003</c:v>
                </c:pt>
                <c:pt idx="211">
                  <c:v>3677.5439999999999</c:v>
                </c:pt>
                <c:pt idx="212">
                  <c:v>2500.0590000000002</c:v>
                </c:pt>
                <c:pt idx="213">
                  <c:v>3781.6120000000001</c:v>
                </c:pt>
                <c:pt idx="214">
                  <c:v>3736.212</c:v>
                </c:pt>
                <c:pt idx="215">
                  <c:v>4173.2640000000001</c:v>
                </c:pt>
                <c:pt idx="216">
                  <c:v>5234.4380000000001</c:v>
                </c:pt>
                <c:pt idx="217">
                  <c:v>6049.4970000000003</c:v>
                </c:pt>
                <c:pt idx="218">
                  <c:v>5099.8770000000004</c:v>
                </c:pt>
                <c:pt idx="219">
                  <c:v>1999.7170000000001</c:v>
                </c:pt>
                <c:pt idx="220">
                  <c:v>2066.04</c:v>
                </c:pt>
                <c:pt idx="221">
                  <c:v>2677.7840000000001</c:v>
                </c:pt>
                <c:pt idx="222">
                  <c:v>3684.1640000000002</c:v>
                </c:pt>
                <c:pt idx="223">
                  <c:v>4697.826</c:v>
                </c:pt>
                <c:pt idx="224">
                  <c:v>4569.866</c:v>
                </c:pt>
                <c:pt idx="225">
                  <c:v>3359.8760000000002</c:v>
                </c:pt>
                <c:pt idx="226">
                  <c:v>3071.087</c:v>
                </c:pt>
                <c:pt idx="227">
                  <c:v>4445.527</c:v>
                </c:pt>
                <c:pt idx="228">
                  <c:v>3807.402</c:v>
                </c:pt>
                <c:pt idx="229">
                  <c:v>4163.9269999999997</c:v>
                </c:pt>
                <c:pt idx="230">
                  <c:v>3719.3220000000001</c:v>
                </c:pt>
                <c:pt idx="231">
                  <c:v>3508.944</c:v>
                </c:pt>
                <c:pt idx="232">
                  <c:v>2345.7469999999998</c:v>
                </c:pt>
                <c:pt idx="233">
                  <c:v>1917.1510000000001</c:v>
                </c:pt>
                <c:pt idx="234">
                  <c:v>3263.1480000000001</c:v>
                </c:pt>
                <c:pt idx="235">
                  <c:v>2780.81</c:v>
                </c:pt>
                <c:pt idx="236">
                  <c:v>3843.884</c:v>
                </c:pt>
                <c:pt idx="237">
                  <c:v>4804.3739999999998</c:v>
                </c:pt>
                <c:pt idx="238">
                  <c:v>4210.1090000000004</c:v>
                </c:pt>
                <c:pt idx="239">
                  <c:v>3002.2089999999998</c:v>
                </c:pt>
                <c:pt idx="240">
                  <c:v>2653.5</c:v>
                </c:pt>
                <c:pt idx="241">
                  <c:v>4668.8100000000004</c:v>
                </c:pt>
                <c:pt idx="242">
                  <c:v>5891.893</c:v>
                </c:pt>
                <c:pt idx="243">
                  <c:v>2616.2150000000001</c:v>
                </c:pt>
                <c:pt idx="244">
                  <c:v>4702.7870000000003</c:v>
                </c:pt>
                <c:pt idx="245">
                  <c:v>4099.7830000000004</c:v>
                </c:pt>
                <c:pt idx="246">
                  <c:v>3316.9650000000001</c:v>
                </c:pt>
                <c:pt idx="247">
                  <c:v>2504.38</c:v>
                </c:pt>
                <c:pt idx="248">
                  <c:v>3524.739</c:v>
                </c:pt>
                <c:pt idx="249">
                  <c:v>4700.5389999999998</c:v>
                </c:pt>
                <c:pt idx="250">
                  <c:v>3477.1889999999999</c:v>
                </c:pt>
                <c:pt idx="251">
                  <c:v>3870.3049999999998</c:v>
                </c:pt>
                <c:pt idx="252">
                  <c:v>3424.6759999999999</c:v>
                </c:pt>
                <c:pt idx="253">
                  <c:v>1742.279</c:v>
                </c:pt>
                <c:pt idx="254">
                  <c:v>2725.2689999999998</c:v>
                </c:pt>
                <c:pt idx="255">
                  <c:v>3369.5160000000001</c:v>
                </c:pt>
                <c:pt idx="256">
                  <c:v>2859.6019999999999</c:v>
                </c:pt>
                <c:pt idx="257">
                  <c:v>3676.3589999999999</c:v>
                </c:pt>
                <c:pt idx="258">
                  <c:v>3537.0390000000002</c:v>
                </c:pt>
                <c:pt idx="259">
                  <c:v>3128.4430000000002</c:v>
                </c:pt>
                <c:pt idx="260">
                  <c:v>2176.6170000000002</c:v>
                </c:pt>
                <c:pt idx="261">
                  <c:v>2182.8760000000002</c:v>
                </c:pt>
                <c:pt idx="262">
                  <c:v>2687.7049999999999</c:v>
                </c:pt>
                <c:pt idx="263">
                  <c:v>2532.6149999999998</c:v>
                </c:pt>
                <c:pt idx="264">
                  <c:v>3554.6660000000002</c:v>
                </c:pt>
                <c:pt idx="265">
                  <c:v>2422.06</c:v>
                </c:pt>
                <c:pt idx="266">
                  <c:v>2052.6</c:v>
                </c:pt>
                <c:pt idx="267">
                  <c:v>2484.346</c:v>
                </c:pt>
                <c:pt idx="268">
                  <c:v>1278.076</c:v>
                </c:pt>
                <c:pt idx="269">
                  <c:v>2127.7109999999998</c:v>
                </c:pt>
                <c:pt idx="270">
                  <c:v>2049.1570000000002</c:v>
                </c:pt>
                <c:pt idx="271">
                  <c:v>2456.8209999999999</c:v>
                </c:pt>
                <c:pt idx="272">
                  <c:v>6595.5519999999997</c:v>
                </c:pt>
                <c:pt idx="273">
                  <c:v>3068.7489999999998</c:v>
                </c:pt>
                <c:pt idx="274">
                  <c:v>2535.9</c:v>
                </c:pt>
                <c:pt idx="275">
                  <c:v>2634.605</c:v>
                </c:pt>
                <c:pt idx="276">
                  <c:v>3136.7429999999999</c:v>
                </c:pt>
                <c:pt idx="277">
                  <c:v>3823.9679999999998</c:v>
                </c:pt>
                <c:pt idx="278">
                  <c:v>5634.86</c:v>
                </c:pt>
                <c:pt idx="279">
                  <c:v>3798.7269999999999</c:v>
                </c:pt>
                <c:pt idx="280">
                  <c:v>4225.2790000000005</c:v>
                </c:pt>
                <c:pt idx="281">
                  <c:v>1795.1420000000001</c:v>
                </c:pt>
                <c:pt idx="282">
                  <c:v>2369.86</c:v>
                </c:pt>
                <c:pt idx="283">
                  <c:v>1637.73</c:v>
                </c:pt>
                <c:pt idx="284">
                  <c:v>5227.1509999999998</c:v>
                </c:pt>
                <c:pt idx="285">
                  <c:v>2489.11</c:v>
                </c:pt>
                <c:pt idx="286">
                  <c:v>1881.59</c:v>
                </c:pt>
                <c:pt idx="287">
                  <c:v>2934.944</c:v>
                </c:pt>
                <c:pt idx="288">
                  <c:v>2702.5990000000002</c:v>
                </c:pt>
                <c:pt idx="289">
                  <c:v>1493.1189999999999</c:v>
                </c:pt>
                <c:pt idx="290">
                  <c:v>5241.7510000000002</c:v>
                </c:pt>
                <c:pt idx="291">
                  <c:v>2348.8200000000002</c:v>
                </c:pt>
                <c:pt idx="292">
                  <c:v>2765.8989999999999</c:v>
                </c:pt>
                <c:pt idx="293">
                  <c:v>2023.106</c:v>
                </c:pt>
                <c:pt idx="294">
                  <c:v>2309.9</c:v>
                </c:pt>
                <c:pt idx="295">
                  <c:v>2760.998</c:v>
                </c:pt>
                <c:pt idx="296">
                  <c:v>2073.4079999999999</c:v>
                </c:pt>
                <c:pt idx="297">
                  <c:v>3574.183</c:v>
                </c:pt>
                <c:pt idx="298">
                  <c:v>2803.4789999999998</c:v>
                </c:pt>
                <c:pt idx="299">
                  <c:v>3999.373</c:v>
                </c:pt>
                <c:pt idx="300">
                  <c:v>6020.1570000000002</c:v>
                </c:pt>
                <c:pt idx="301">
                  <c:v>2665.6390000000001</c:v>
                </c:pt>
                <c:pt idx="302">
                  <c:v>1988.54</c:v>
                </c:pt>
                <c:pt idx="303">
                  <c:v>3129.873</c:v>
                </c:pt>
                <c:pt idx="304">
                  <c:v>2276.6</c:v>
                </c:pt>
                <c:pt idx="305">
                  <c:v>3692.38</c:v>
                </c:pt>
                <c:pt idx="306">
                  <c:v>6653.2389999999996</c:v>
                </c:pt>
                <c:pt idx="307">
                  <c:v>2742.5909999999999</c:v>
                </c:pt>
                <c:pt idx="308">
                  <c:v>3730.7539999999999</c:v>
                </c:pt>
                <c:pt idx="309">
                  <c:v>4327.47</c:v>
                </c:pt>
                <c:pt idx="310">
                  <c:v>1916.9639999999999</c:v>
                </c:pt>
                <c:pt idx="311">
                  <c:v>5672.91</c:v>
                </c:pt>
                <c:pt idx="312">
                  <c:v>2241.2939999999999</c:v>
                </c:pt>
                <c:pt idx="313">
                  <c:v>6845.4620000000004</c:v>
                </c:pt>
                <c:pt idx="314">
                  <c:v>2339.5639999999999</c:v>
                </c:pt>
                <c:pt idx="315">
                  <c:v>3080.9349999999999</c:v>
                </c:pt>
                <c:pt idx="316">
                  <c:v>2498.08</c:v>
                </c:pt>
                <c:pt idx="317">
                  <c:v>2185.2150000000001</c:v>
                </c:pt>
                <c:pt idx="318">
                  <c:v>2653.8150000000001</c:v>
                </c:pt>
                <c:pt idx="319">
                  <c:v>3198.2579999999998</c:v>
                </c:pt>
                <c:pt idx="320">
                  <c:v>3298.317</c:v>
                </c:pt>
                <c:pt idx="321">
                  <c:v>2740.6039999999998</c:v>
                </c:pt>
                <c:pt idx="322">
                  <c:v>4491.768</c:v>
                </c:pt>
                <c:pt idx="323">
                  <c:v>1538.058</c:v>
                </c:pt>
                <c:pt idx="324">
                  <c:v>1452.518</c:v>
                </c:pt>
                <c:pt idx="325">
                  <c:v>1614.702</c:v>
                </c:pt>
                <c:pt idx="326">
                  <c:v>2663.4780000000001</c:v>
                </c:pt>
                <c:pt idx="327">
                  <c:v>2513.058</c:v>
                </c:pt>
                <c:pt idx="328">
                  <c:v>2867.846</c:v>
                </c:pt>
                <c:pt idx="329">
                  <c:v>2319.42</c:v>
                </c:pt>
                <c:pt idx="330">
                  <c:v>2152.17</c:v>
                </c:pt>
                <c:pt idx="331">
                  <c:v>929.96299999999997</c:v>
                </c:pt>
                <c:pt idx="332">
                  <c:v>3256.41</c:v>
                </c:pt>
                <c:pt idx="333">
                  <c:v>5493.0230000000001</c:v>
                </c:pt>
                <c:pt idx="334">
                  <c:v>4132.0429999999997</c:v>
                </c:pt>
                <c:pt idx="335">
                  <c:v>2324.143</c:v>
                </c:pt>
                <c:pt idx="336">
                  <c:v>5325.3440000000001</c:v>
                </c:pt>
                <c:pt idx="337">
                  <c:v>2565.0250000000001</c:v>
                </c:pt>
                <c:pt idx="338">
                  <c:v>3189.348</c:v>
                </c:pt>
                <c:pt idx="339">
                  <c:v>3989.5439999999999</c:v>
                </c:pt>
                <c:pt idx="340">
                  <c:v>3604.7249999999999</c:v>
                </c:pt>
                <c:pt idx="341">
                  <c:v>2536.4009999999998</c:v>
                </c:pt>
                <c:pt idx="342">
                  <c:v>3147.3</c:v>
                </c:pt>
                <c:pt idx="343">
                  <c:v>1697.742</c:v>
                </c:pt>
                <c:pt idx="344">
                  <c:v>2422.0569999999998</c:v>
                </c:pt>
                <c:pt idx="345">
                  <c:v>3523.806</c:v>
                </c:pt>
                <c:pt idx="346">
                  <c:v>3471.83</c:v>
                </c:pt>
                <c:pt idx="347">
                  <c:v>3449.2179999999998</c:v>
                </c:pt>
                <c:pt idx="348">
                  <c:v>1897.992</c:v>
                </c:pt>
                <c:pt idx="349">
                  <c:v>2434.25</c:v>
                </c:pt>
                <c:pt idx="350">
                  <c:v>2825.9389999999999</c:v>
                </c:pt>
                <c:pt idx="351">
                  <c:v>1301.71</c:v>
                </c:pt>
                <c:pt idx="352">
                  <c:v>1968.82</c:v>
                </c:pt>
                <c:pt idx="353">
                  <c:v>4254.17</c:v>
                </c:pt>
                <c:pt idx="354">
                  <c:v>4604.2690000000002</c:v>
                </c:pt>
                <c:pt idx="355">
                  <c:v>2451.59</c:v>
                </c:pt>
                <c:pt idx="356">
                  <c:v>2646.8690000000001</c:v>
                </c:pt>
                <c:pt idx="357">
                  <c:v>2329.752</c:v>
                </c:pt>
                <c:pt idx="358">
                  <c:v>2707.0279999999998</c:v>
                </c:pt>
                <c:pt idx="359">
                  <c:v>3423.64</c:v>
                </c:pt>
                <c:pt idx="360">
                  <c:v>2040.866</c:v>
                </c:pt>
                <c:pt idx="361">
                  <c:v>3279.7660000000001</c:v>
                </c:pt>
                <c:pt idx="362">
                  <c:v>773.47</c:v>
                </c:pt>
                <c:pt idx="363">
                  <c:v>3066.0770000000002</c:v>
                </c:pt>
                <c:pt idx="364">
                  <c:v>1701.098</c:v>
                </c:pt>
                <c:pt idx="365">
                  <c:v>3453.7379999999998</c:v>
                </c:pt>
                <c:pt idx="366">
                  <c:v>2728.16</c:v>
                </c:pt>
                <c:pt idx="367">
                  <c:v>4527.5420000000004</c:v>
                </c:pt>
                <c:pt idx="368">
                  <c:v>1493.4690000000001</c:v>
                </c:pt>
                <c:pt idx="369">
                  <c:v>683.07899999999995</c:v>
                </c:pt>
                <c:pt idx="370">
                  <c:v>2084.3939999999998</c:v>
                </c:pt>
                <c:pt idx="371">
                  <c:v>4051.7049999999999</c:v>
                </c:pt>
                <c:pt idx="372">
                  <c:v>1985.047</c:v>
                </c:pt>
                <c:pt idx="373">
                  <c:v>1796.771</c:v>
                </c:pt>
                <c:pt idx="374">
                  <c:v>2426.2800000000002</c:v>
                </c:pt>
                <c:pt idx="375">
                  <c:v>3344.3049999999998</c:v>
                </c:pt>
                <c:pt idx="376">
                  <c:v>1654.202</c:v>
                </c:pt>
                <c:pt idx="377">
                  <c:v>1644.194</c:v>
                </c:pt>
                <c:pt idx="378">
                  <c:v>2365.2779999999998</c:v>
                </c:pt>
                <c:pt idx="379">
                  <c:v>1271.414</c:v>
                </c:pt>
                <c:pt idx="380">
                  <c:v>1099.9970000000001</c:v>
                </c:pt>
                <c:pt idx="381">
                  <c:v>3026.7510000000002</c:v>
                </c:pt>
                <c:pt idx="382">
                  <c:v>2075.3290000000002</c:v>
                </c:pt>
                <c:pt idx="383">
                  <c:v>1194.1099999999999</c:v>
                </c:pt>
                <c:pt idx="384">
                  <c:v>1220.0650000000001</c:v>
                </c:pt>
                <c:pt idx="385">
                  <c:v>2100.1080000000002</c:v>
                </c:pt>
                <c:pt idx="386">
                  <c:v>2041.5740000000001</c:v>
                </c:pt>
                <c:pt idx="387">
                  <c:v>1127.0899999999999</c:v>
                </c:pt>
                <c:pt idx="388">
                  <c:v>2973.13</c:v>
                </c:pt>
                <c:pt idx="389">
                  <c:v>2551.826</c:v>
                </c:pt>
                <c:pt idx="390">
                  <c:v>1764.6969999999999</c:v>
                </c:pt>
                <c:pt idx="391">
                  <c:v>2015.1579999999999</c:v>
                </c:pt>
                <c:pt idx="392">
                  <c:v>1573.5029999999999</c:v>
                </c:pt>
                <c:pt idx="393">
                  <c:v>1738.2809999999999</c:v>
                </c:pt>
                <c:pt idx="394">
                  <c:v>1413.126</c:v>
                </c:pt>
                <c:pt idx="395">
                  <c:v>2725.1590000000001</c:v>
                </c:pt>
                <c:pt idx="396">
                  <c:v>2166.596</c:v>
                </c:pt>
                <c:pt idx="397">
                  <c:v>1570.511</c:v>
                </c:pt>
                <c:pt idx="398">
                  <c:v>1475.47</c:v>
                </c:pt>
                <c:pt idx="399">
                  <c:v>1806.653</c:v>
                </c:pt>
                <c:pt idx="400">
                  <c:v>1839.1890000000001</c:v>
                </c:pt>
                <c:pt idx="401">
                  <c:v>1497.527</c:v>
                </c:pt>
                <c:pt idx="402">
                  <c:v>2420.8200000000002</c:v>
                </c:pt>
                <c:pt idx="403">
                  <c:v>2559.703</c:v>
                </c:pt>
                <c:pt idx="404">
                  <c:v>2463.9940000000001</c:v>
                </c:pt>
                <c:pt idx="405">
                  <c:v>1681.9549999999999</c:v>
                </c:pt>
                <c:pt idx="406">
                  <c:v>2118.8969999999999</c:v>
                </c:pt>
                <c:pt idx="407">
                  <c:v>1051.502</c:v>
                </c:pt>
                <c:pt idx="408">
                  <c:v>949.24400000000003</c:v>
                </c:pt>
                <c:pt idx="409">
                  <c:v>2161.4279999999999</c:v>
                </c:pt>
                <c:pt idx="410">
                  <c:v>2319.7629999999999</c:v>
                </c:pt>
                <c:pt idx="411">
                  <c:v>2288.8870000000002</c:v>
                </c:pt>
                <c:pt idx="412">
                  <c:v>1567.9939999999999</c:v>
                </c:pt>
                <c:pt idx="413">
                  <c:v>1633.0319999999999</c:v>
                </c:pt>
                <c:pt idx="414">
                  <c:v>2183.77</c:v>
                </c:pt>
                <c:pt idx="415">
                  <c:v>1069.317</c:v>
                </c:pt>
                <c:pt idx="416">
                  <c:v>2056.46</c:v>
                </c:pt>
                <c:pt idx="417">
                  <c:v>1775.088</c:v>
                </c:pt>
                <c:pt idx="418">
                  <c:v>1396.3610000000001</c:v>
                </c:pt>
                <c:pt idx="419">
                  <c:v>1338.8009999999999</c:v>
                </c:pt>
                <c:pt idx="420">
                  <c:v>1550.8150000000001</c:v>
                </c:pt>
                <c:pt idx="421">
                  <c:v>1729.0260000000001</c:v>
                </c:pt>
                <c:pt idx="422">
                  <c:v>1252.114</c:v>
                </c:pt>
                <c:pt idx="423">
                  <c:v>2451.2260000000001</c:v>
                </c:pt>
                <c:pt idx="424">
                  <c:v>2375.7310000000002</c:v>
                </c:pt>
                <c:pt idx="425">
                  <c:v>2261.8389999999999</c:v>
                </c:pt>
                <c:pt idx="426">
                  <c:v>1431.731</c:v>
                </c:pt>
                <c:pt idx="427">
                  <c:v>3023.2640000000001</c:v>
                </c:pt>
                <c:pt idx="428">
                  <c:v>1439.925</c:v>
                </c:pt>
                <c:pt idx="429">
                  <c:v>1441.779</c:v>
                </c:pt>
                <c:pt idx="430">
                  <c:v>2215.6999999999998</c:v>
                </c:pt>
                <c:pt idx="431">
                  <c:v>2697.5889999999999</c:v>
                </c:pt>
                <c:pt idx="432">
                  <c:v>1604.309</c:v>
                </c:pt>
                <c:pt idx="433">
                  <c:v>2772.9720000000002</c:v>
                </c:pt>
                <c:pt idx="434">
                  <c:v>1526.155</c:v>
                </c:pt>
                <c:pt idx="435">
                  <c:v>1625.192</c:v>
                </c:pt>
                <c:pt idx="436">
                  <c:v>1366.222</c:v>
                </c:pt>
                <c:pt idx="437">
                  <c:v>2458.1770000000001</c:v>
                </c:pt>
                <c:pt idx="438">
                  <c:v>2334.395</c:v>
                </c:pt>
                <c:pt idx="439">
                  <c:v>1398.83</c:v>
                </c:pt>
                <c:pt idx="440">
                  <c:v>2023.09</c:v>
                </c:pt>
                <c:pt idx="441">
                  <c:v>1657.1130000000001</c:v>
                </c:pt>
                <c:pt idx="442">
                  <c:v>1649.9970000000001</c:v>
                </c:pt>
                <c:pt idx="443">
                  <c:v>2718.2559999999999</c:v>
                </c:pt>
                <c:pt idx="444">
                  <c:v>2482.991</c:v>
                </c:pt>
                <c:pt idx="445">
                  <c:v>1629.12</c:v>
                </c:pt>
                <c:pt idx="446">
                  <c:v>1921.704</c:v>
                </c:pt>
                <c:pt idx="447">
                  <c:v>1673.548</c:v>
                </c:pt>
                <c:pt idx="448">
                  <c:v>2496.672</c:v>
                </c:pt>
                <c:pt idx="449">
                  <c:v>2218.33</c:v>
                </c:pt>
                <c:pt idx="450">
                  <c:v>1430.383</c:v>
                </c:pt>
                <c:pt idx="451">
                  <c:v>1499.4780000000001</c:v>
                </c:pt>
                <c:pt idx="452">
                  <c:v>2241.0320000000002</c:v>
                </c:pt>
                <c:pt idx="453">
                  <c:v>3665.232</c:v>
                </c:pt>
                <c:pt idx="454">
                  <c:v>5406.759</c:v>
                </c:pt>
                <c:pt idx="455">
                  <c:v>6256.8419999999996</c:v>
                </c:pt>
                <c:pt idx="456">
                  <c:v>6277.4780000000001</c:v>
                </c:pt>
                <c:pt idx="457">
                  <c:v>2393.998</c:v>
                </c:pt>
                <c:pt idx="458">
                  <c:v>3681.6840000000002</c:v>
                </c:pt>
                <c:pt idx="459">
                  <c:v>4386.643</c:v>
                </c:pt>
                <c:pt idx="460">
                  <c:v>3381.7579999999998</c:v>
                </c:pt>
                <c:pt idx="461">
                  <c:v>4307.4660000000003</c:v>
                </c:pt>
                <c:pt idx="462">
                  <c:v>3151.4569999999999</c:v>
                </c:pt>
                <c:pt idx="463">
                  <c:v>2811.3589999999999</c:v>
                </c:pt>
                <c:pt idx="464">
                  <c:v>2483.9450000000002</c:v>
                </c:pt>
                <c:pt idx="465">
                  <c:v>2527.654</c:v>
                </c:pt>
                <c:pt idx="466">
                  <c:v>3256.0650000000001</c:v>
                </c:pt>
                <c:pt idx="467">
                  <c:v>3970.27</c:v>
                </c:pt>
                <c:pt idx="468">
                  <c:v>3472.873</c:v>
                </c:pt>
                <c:pt idx="469">
                  <c:v>1572.69</c:v>
                </c:pt>
                <c:pt idx="470">
                  <c:v>2957.5520000000001</c:v>
                </c:pt>
                <c:pt idx="471">
                  <c:v>2702.3180000000002</c:v>
                </c:pt>
                <c:pt idx="472">
                  <c:v>2786.2640000000001</c:v>
                </c:pt>
                <c:pt idx="473">
                  <c:v>2576.8870000000002</c:v>
                </c:pt>
                <c:pt idx="474">
                  <c:v>3101.12</c:v>
                </c:pt>
                <c:pt idx="475">
                  <c:v>2294.0070000000001</c:v>
                </c:pt>
                <c:pt idx="476">
                  <c:v>3397.9189999999999</c:v>
                </c:pt>
                <c:pt idx="477">
                  <c:v>2533.4160000000002</c:v>
                </c:pt>
                <c:pt idx="478">
                  <c:v>1081.4960000000001</c:v>
                </c:pt>
                <c:pt idx="479">
                  <c:v>423</c:v>
                </c:pt>
                <c:pt idx="480">
                  <c:v>2891.9989999999998</c:v>
                </c:pt>
                <c:pt idx="481">
                  <c:v>2129.7849999999999</c:v>
                </c:pt>
                <c:pt idx="482">
                  <c:v>2297.9259999999999</c:v>
                </c:pt>
                <c:pt idx="483">
                  <c:v>2849.0650000000001</c:v>
                </c:pt>
                <c:pt idx="484">
                  <c:v>2954</c:v>
                </c:pt>
                <c:pt idx="485">
                  <c:v>2925.5410000000002</c:v>
                </c:pt>
                <c:pt idx="486">
                  <c:v>3360.0230000000001</c:v>
                </c:pt>
                <c:pt idx="487">
                  <c:v>4106.9530000000004</c:v>
                </c:pt>
                <c:pt idx="488">
                  <c:v>5128.7690000000002</c:v>
                </c:pt>
                <c:pt idx="489">
                  <c:v>2911.7130000000002</c:v>
                </c:pt>
                <c:pt idx="490">
                  <c:v>2398.335</c:v>
                </c:pt>
                <c:pt idx="491">
                  <c:v>2084.328</c:v>
                </c:pt>
                <c:pt idx="492">
                  <c:v>745.45699999999999</c:v>
                </c:pt>
                <c:pt idx="493">
                  <c:v>3054.01</c:v>
                </c:pt>
                <c:pt idx="494">
                  <c:v>3997.3510000000001</c:v>
                </c:pt>
                <c:pt idx="495">
                  <c:v>4336.1710000000003</c:v>
                </c:pt>
                <c:pt idx="496">
                  <c:v>3950.0909999999999</c:v>
                </c:pt>
                <c:pt idx="497">
                  <c:v>2676.6759999999999</c:v>
                </c:pt>
                <c:pt idx="498">
                  <c:v>3897.152</c:v>
                </c:pt>
                <c:pt idx="499">
                  <c:v>1346.38</c:v>
                </c:pt>
                <c:pt idx="500">
                  <c:v>3211.9340000000002</c:v>
                </c:pt>
                <c:pt idx="501">
                  <c:v>3851.4740000000002</c:v>
                </c:pt>
                <c:pt idx="502">
                  <c:v>2374</c:v>
                </c:pt>
                <c:pt idx="503">
                  <c:v>3533.8429999999998</c:v>
                </c:pt>
                <c:pt idx="504">
                  <c:v>4222.1940000000004</c:v>
                </c:pt>
                <c:pt idx="505">
                  <c:v>4032.473</c:v>
                </c:pt>
                <c:pt idx="506">
                  <c:v>2645.5949999999998</c:v>
                </c:pt>
                <c:pt idx="507">
                  <c:v>4790.4449999999997</c:v>
                </c:pt>
                <c:pt idx="508">
                  <c:v>3242.942</c:v>
                </c:pt>
                <c:pt idx="509">
                  <c:v>4480.7749999999996</c:v>
                </c:pt>
                <c:pt idx="510">
                  <c:v>3936.5940000000001</c:v>
                </c:pt>
                <c:pt idx="511">
                  <c:v>4118.8220000000001</c:v>
                </c:pt>
                <c:pt idx="512">
                  <c:v>2732.2449999999999</c:v>
                </c:pt>
                <c:pt idx="513">
                  <c:v>2213.4459999999999</c:v>
                </c:pt>
                <c:pt idx="514">
                  <c:v>6395.97</c:v>
                </c:pt>
                <c:pt idx="515">
                  <c:v>3643.6559999999999</c:v>
                </c:pt>
                <c:pt idx="516">
                  <c:v>2877.84</c:v>
                </c:pt>
                <c:pt idx="517">
                  <c:v>4167.1930000000002</c:v>
                </c:pt>
                <c:pt idx="518">
                  <c:v>3982.6170000000002</c:v>
                </c:pt>
                <c:pt idx="519">
                  <c:v>3633.31</c:v>
                </c:pt>
                <c:pt idx="520">
                  <c:v>2680.297</c:v>
                </c:pt>
                <c:pt idx="521">
                  <c:v>5944.3810000000003</c:v>
                </c:pt>
                <c:pt idx="522">
                  <c:v>5134.7049999999999</c:v>
                </c:pt>
                <c:pt idx="523">
                  <c:v>4679.42</c:v>
                </c:pt>
                <c:pt idx="524">
                  <c:v>4309.46</c:v>
                </c:pt>
                <c:pt idx="525">
                  <c:v>3935.86</c:v>
                </c:pt>
                <c:pt idx="526">
                  <c:v>2056.2449999999999</c:v>
                </c:pt>
                <c:pt idx="527">
                  <c:v>2262.5940000000001</c:v>
                </c:pt>
                <c:pt idx="528">
                  <c:v>2255.5500000000002</c:v>
                </c:pt>
                <c:pt idx="529">
                  <c:v>3377.1309999999999</c:v>
                </c:pt>
                <c:pt idx="530">
                  <c:v>1810.934</c:v>
                </c:pt>
                <c:pt idx="531">
                  <c:v>5132.8519999999999</c:v>
                </c:pt>
                <c:pt idx="532">
                  <c:v>3904.7979999999998</c:v>
                </c:pt>
                <c:pt idx="533">
                  <c:v>3084.74</c:v>
                </c:pt>
                <c:pt idx="534">
                  <c:v>2086.5659999999998</c:v>
                </c:pt>
                <c:pt idx="535">
                  <c:v>3832.0720000000001</c:v>
                </c:pt>
                <c:pt idx="536">
                  <c:v>1994.135</c:v>
                </c:pt>
                <c:pt idx="537">
                  <c:v>2011.4770000000001</c:v>
                </c:pt>
                <c:pt idx="538">
                  <c:v>2976.748</c:v>
                </c:pt>
                <c:pt idx="539">
                  <c:v>3960.0990000000002</c:v>
                </c:pt>
                <c:pt idx="540">
                  <c:v>2939.8420000000001</c:v>
                </c:pt>
                <c:pt idx="541">
                  <c:v>3549.8580000000002</c:v>
                </c:pt>
                <c:pt idx="542">
                  <c:v>3903.2640000000001</c:v>
                </c:pt>
                <c:pt idx="543">
                  <c:v>3324.9319999999998</c:v>
                </c:pt>
                <c:pt idx="544">
                  <c:v>3735.1860000000001</c:v>
                </c:pt>
                <c:pt idx="545">
                  <c:v>6702.585</c:v>
                </c:pt>
                <c:pt idx="546">
                  <c:v>6948.598</c:v>
                </c:pt>
                <c:pt idx="547">
                  <c:v>2798.3150000000001</c:v>
                </c:pt>
                <c:pt idx="548">
                  <c:v>1977.5239999999999</c:v>
                </c:pt>
                <c:pt idx="549">
                  <c:v>3785.9140000000002</c:v>
                </c:pt>
                <c:pt idx="550">
                  <c:v>2996.38</c:v>
                </c:pt>
                <c:pt idx="551">
                  <c:v>5153.1679999999997</c:v>
                </c:pt>
                <c:pt idx="552">
                  <c:v>4574.7759999999998</c:v>
                </c:pt>
                <c:pt idx="553">
                  <c:v>4114.3770000000004</c:v>
                </c:pt>
                <c:pt idx="554">
                  <c:v>2396.7979999999998</c:v>
                </c:pt>
                <c:pt idx="555">
                  <c:v>1264.557</c:v>
                </c:pt>
                <c:pt idx="556">
                  <c:v>4864.5820000000003</c:v>
                </c:pt>
                <c:pt idx="557">
                  <c:v>3916.8969999999999</c:v>
                </c:pt>
                <c:pt idx="558">
                  <c:v>2146.8802999999998</c:v>
                </c:pt>
                <c:pt idx="559">
                  <c:v>3361.828</c:v>
                </c:pt>
                <c:pt idx="560">
                  <c:v>3255.1880000000001</c:v>
                </c:pt>
                <c:pt idx="561">
                  <c:v>2164.2620000000002</c:v>
                </c:pt>
                <c:pt idx="562">
                  <c:v>3253.0140000000001</c:v>
                </c:pt>
                <c:pt idx="563">
                  <c:v>2932.3820000000001</c:v>
                </c:pt>
                <c:pt idx="564">
                  <c:v>7449.9809999999998</c:v>
                </c:pt>
                <c:pt idx="565">
                  <c:v>6395.4960000000001</c:v>
                </c:pt>
                <c:pt idx="566">
                  <c:v>806.572</c:v>
                </c:pt>
                <c:pt idx="567">
                  <c:v>2531.7750000000001</c:v>
                </c:pt>
                <c:pt idx="568">
                  <c:v>4383.3739999999998</c:v>
                </c:pt>
                <c:pt idx="569">
                  <c:v>2738.34</c:v>
                </c:pt>
                <c:pt idx="570">
                  <c:v>4080.7109999999998</c:v>
                </c:pt>
                <c:pt idx="571">
                  <c:v>4081.3820000000001</c:v>
                </c:pt>
                <c:pt idx="572">
                  <c:v>2956.1080000000002</c:v>
                </c:pt>
                <c:pt idx="573">
                  <c:v>2581.7669999999998</c:v>
                </c:pt>
                <c:pt idx="574">
                  <c:v>6229.9830000000002</c:v>
                </c:pt>
                <c:pt idx="575">
                  <c:v>2228.3270000000002</c:v>
                </c:pt>
                <c:pt idx="576">
                  <c:v>7258.7830000000004</c:v>
                </c:pt>
                <c:pt idx="577">
                  <c:v>2638.6010000000001</c:v>
                </c:pt>
                <c:pt idx="578">
                  <c:v>4425.62</c:v>
                </c:pt>
                <c:pt idx="579">
                  <c:v>5980.3519999999999</c:v>
                </c:pt>
                <c:pt idx="580">
                  <c:v>4956.8090000000002</c:v>
                </c:pt>
                <c:pt idx="581">
                  <c:v>2019.51</c:v>
                </c:pt>
                <c:pt idx="582">
                  <c:v>2854.04</c:v>
                </c:pt>
                <c:pt idx="583">
                  <c:v>2896.0239999999999</c:v>
                </c:pt>
                <c:pt idx="584">
                  <c:v>4046.86</c:v>
                </c:pt>
                <c:pt idx="585">
                  <c:v>2483.0390000000002</c:v>
                </c:pt>
                <c:pt idx="586">
                  <c:v>2913.4059999999999</c:v>
                </c:pt>
                <c:pt idx="587">
                  <c:v>3407.4450000000002</c:v>
                </c:pt>
                <c:pt idx="588">
                  <c:v>2911.625</c:v>
                </c:pt>
                <c:pt idx="589">
                  <c:v>1825.76</c:v>
                </c:pt>
                <c:pt idx="590">
                  <c:v>2389.8449999999998</c:v>
                </c:pt>
                <c:pt idx="591">
                  <c:v>3688.0839999999998</c:v>
                </c:pt>
                <c:pt idx="592">
                  <c:v>5467.1549999999997</c:v>
                </c:pt>
                <c:pt idx="593">
                  <c:v>3564.1039999999998</c:v>
                </c:pt>
                <c:pt idx="594">
                  <c:v>4070.99</c:v>
                </c:pt>
                <c:pt idx="595">
                  <c:v>2732.6460000000002</c:v>
                </c:pt>
                <c:pt idx="596">
                  <c:v>2419.8200000000002</c:v>
                </c:pt>
                <c:pt idx="597">
                  <c:v>3349.509</c:v>
                </c:pt>
                <c:pt idx="598">
                  <c:v>7282.6019999999999</c:v>
                </c:pt>
                <c:pt idx="599">
                  <c:v>2559.3850000000002</c:v>
                </c:pt>
                <c:pt idx="600">
                  <c:v>6062.3159999999998</c:v>
                </c:pt>
                <c:pt idx="601">
                  <c:v>3084.2310000000002</c:v>
                </c:pt>
                <c:pt idx="602">
                  <c:v>3069.681</c:v>
                </c:pt>
                <c:pt idx="603">
                  <c:v>2546.0100000000002</c:v>
                </c:pt>
                <c:pt idx="604">
                  <c:v>898.08900000000006</c:v>
                </c:pt>
                <c:pt idx="605">
                  <c:v>4133.3789999999999</c:v>
                </c:pt>
                <c:pt idx="606">
                  <c:v>3439.3960000000002</c:v>
                </c:pt>
                <c:pt idx="607">
                  <c:v>3279.18</c:v>
                </c:pt>
                <c:pt idx="608">
                  <c:v>3094.1239999999998</c:v>
                </c:pt>
                <c:pt idx="609">
                  <c:v>3713.6460000000002</c:v>
                </c:pt>
                <c:pt idx="610">
                  <c:v>2770.8270000000002</c:v>
                </c:pt>
                <c:pt idx="611">
                  <c:v>1312.6869999999999</c:v>
                </c:pt>
                <c:pt idx="612">
                  <c:v>3562.7849999999999</c:v>
                </c:pt>
                <c:pt idx="613">
                  <c:v>2911.8020000000001</c:v>
                </c:pt>
                <c:pt idx="614">
                  <c:v>4978.2569999999996</c:v>
                </c:pt>
                <c:pt idx="615">
                  <c:v>3369.77</c:v>
                </c:pt>
                <c:pt idx="616">
                  <c:v>2789.922</c:v>
                </c:pt>
                <c:pt idx="617">
                  <c:v>3374.7640000000001</c:v>
                </c:pt>
                <c:pt idx="618">
                  <c:v>1312.242</c:v>
                </c:pt>
                <c:pt idx="619">
                  <c:v>1968.7739999999999</c:v>
                </c:pt>
                <c:pt idx="620">
                  <c:v>5741.3320000000003</c:v>
                </c:pt>
                <c:pt idx="621">
                  <c:v>2841.73</c:v>
                </c:pt>
                <c:pt idx="622">
                  <c:v>4287.7330000000002</c:v>
                </c:pt>
                <c:pt idx="623">
                  <c:v>4753.2160000000003</c:v>
                </c:pt>
                <c:pt idx="624">
                  <c:v>3796.99</c:v>
                </c:pt>
                <c:pt idx="625">
                  <c:v>1805.232</c:v>
                </c:pt>
                <c:pt idx="626">
                  <c:v>4779.3670000000002</c:v>
                </c:pt>
                <c:pt idx="627">
                  <c:v>3035.886</c:v>
                </c:pt>
                <c:pt idx="628">
                  <c:v>3746.8240000000001</c:v>
                </c:pt>
                <c:pt idx="629">
                  <c:v>4542.2160000000003</c:v>
                </c:pt>
                <c:pt idx="630">
                  <c:v>2674.5360000000001</c:v>
                </c:pt>
                <c:pt idx="631">
                  <c:v>3477.5059999999999</c:v>
                </c:pt>
                <c:pt idx="632">
                  <c:v>1401.47</c:v>
                </c:pt>
                <c:pt idx="633">
                  <c:v>4675.0200000000004</c:v>
                </c:pt>
                <c:pt idx="634">
                  <c:v>2834.7240000000002</c:v>
                </c:pt>
                <c:pt idx="635">
                  <c:v>2486.2330000000002</c:v>
                </c:pt>
                <c:pt idx="636">
                  <c:v>2964.8420000000001</c:v>
                </c:pt>
                <c:pt idx="637">
                  <c:v>6852.1589999999997</c:v>
                </c:pt>
                <c:pt idx="638">
                  <c:v>3386.1410000000001</c:v>
                </c:pt>
                <c:pt idx="639">
                  <c:v>2769.98</c:v>
                </c:pt>
                <c:pt idx="640">
                  <c:v>3837.68</c:v>
                </c:pt>
                <c:pt idx="641">
                  <c:v>4920.2520000000004</c:v>
                </c:pt>
                <c:pt idx="642">
                  <c:v>6007.6840000000002</c:v>
                </c:pt>
                <c:pt idx="643">
                  <c:v>4642.3599999999997</c:v>
                </c:pt>
                <c:pt idx="644">
                  <c:v>3207.9540000000002</c:v>
                </c:pt>
                <c:pt idx="645">
                  <c:v>2754.7190000000001</c:v>
                </c:pt>
                <c:pt idx="646">
                  <c:v>1339.0360000000001</c:v>
                </c:pt>
                <c:pt idx="647">
                  <c:v>2488.6860000000001</c:v>
                </c:pt>
                <c:pt idx="648">
                  <c:v>2018.4839999999999</c:v>
                </c:pt>
                <c:pt idx="649">
                  <c:v>4049.9360000000001</c:v>
                </c:pt>
                <c:pt idx="650">
                  <c:v>3304.59</c:v>
                </c:pt>
                <c:pt idx="651">
                  <c:v>5763.6729999999998</c:v>
                </c:pt>
                <c:pt idx="652">
                  <c:v>3066.5430000000001</c:v>
                </c:pt>
                <c:pt idx="653">
                  <c:v>3158.239</c:v>
                </c:pt>
                <c:pt idx="654">
                  <c:v>3195.683</c:v>
                </c:pt>
                <c:pt idx="655">
                  <c:v>3700.5210000000002</c:v>
                </c:pt>
                <c:pt idx="656">
                  <c:v>3862.3760000000002</c:v>
                </c:pt>
                <c:pt idx="657">
                  <c:v>4152.6970000000001</c:v>
                </c:pt>
                <c:pt idx="658">
                  <c:v>2707.009</c:v>
                </c:pt>
                <c:pt idx="659">
                  <c:v>2785.2429999999999</c:v>
                </c:pt>
                <c:pt idx="660">
                  <c:v>1897.2</c:v>
                </c:pt>
                <c:pt idx="661">
                  <c:v>3531.9189999999999</c:v>
                </c:pt>
                <c:pt idx="662">
                  <c:v>2715.627</c:v>
                </c:pt>
                <c:pt idx="663">
                  <c:v>2640.5160000000001</c:v>
                </c:pt>
                <c:pt idx="664">
                  <c:v>3315.598</c:v>
                </c:pt>
                <c:pt idx="665">
                  <c:v>2564.134</c:v>
                </c:pt>
                <c:pt idx="666">
                  <c:v>2051.12</c:v>
                </c:pt>
                <c:pt idx="667">
                  <c:v>5899.0619999999999</c:v>
                </c:pt>
                <c:pt idx="668">
                  <c:v>7491.34</c:v>
                </c:pt>
                <c:pt idx="669">
                  <c:v>2489.0390000000002</c:v>
                </c:pt>
                <c:pt idx="670">
                  <c:v>3052.9259999999999</c:v>
                </c:pt>
                <c:pt idx="671">
                  <c:v>5025.3860000000004</c:v>
                </c:pt>
                <c:pt idx="672">
                  <c:v>3658.6930000000002</c:v>
                </c:pt>
                <c:pt idx="673">
                  <c:v>3846.6860000000001</c:v>
                </c:pt>
                <c:pt idx="674">
                  <c:v>2482.1590000000001</c:v>
                </c:pt>
                <c:pt idx="675">
                  <c:v>4107.0929999999998</c:v>
                </c:pt>
                <c:pt idx="676">
                  <c:v>3967.5569999999998</c:v>
                </c:pt>
                <c:pt idx="677">
                  <c:v>3949.3449999999998</c:v>
                </c:pt>
                <c:pt idx="678">
                  <c:v>5873.1239999999998</c:v>
                </c:pt>
                <c:pt idx="679">
                  <c:v>3128.6759999999999</c:v>
                </c:pt>
                <c:pt idx="680">
                  <c:v>3276.68</c:v>
                </c:pt>
                <c:pt idx="681">
                  <c:v>2569.3510000000001</c:v>
                </c:pt>
                <c:pt idx="682">
                  <c:v>5255.0839999999998</c:v>
                </c:pt>
                <c:pt idx="683">
                  <c:v>6857.3159999999998</c:v>
                </c:pt>
                <c:pt idx="684">
                  <c:v>3943.4920000000002</c:v>
                </c:pt>
                <c:pt idx="685">
                  <c:v>3806.3240000000001</c:v>
                </c:pt>
                <c:pt idx="686">
                  <c:v>6648.5820000000003</c:v>
                </c:pt>
                <c:pt idx="687">
                  <c:v>7559.7820000000002</c:v>
                </c:pt>
                <c:pt idx="688">
                  <c:v>3141.9340000000002</c:v>
                </c:pt>
                <c:pt idx="689">
                  <c:v>6059.2330000000002</c:v>
                </c:pt>
                <c:pt idx="690">
                  <c:v>4270.4399999999996</c:v>
                </c:pt>
                <c:pt idx="691">
                  <c:v>3366.223</c:v>
                </c:pt>
                <c:pt idx="692">
                  <c:v>2542.34</c:v>
                </c:pt>
                <c:pt idx="693">
                  <c:v>2167.7199999999998</c:v>
                </c:pt>
                <c:pt idx="694">
                  <c:v>1716.4549999999999</c:v>
                </c:pt>
                <c:pt idx="695">
                  <c:v>2301.038</c:v>
                </c:pt>
                <c:pt idx="696">
                  <c:v>2699.402</c:v>
                </c:pt>
                <c:pt idx="697">
                  <c:v>5998.5339999999997</c:v>
                </c:pt>
                <c:pt idx="698">
                  <c:v>4112.152</c:v>
                </c:pt>
                <c:pt idx="699">
                  <c:v>5482.6049999999996</c:v>
                </c:pt>
                <c:pt idx="700">
                  <c:v>2973.5079999999998</c:v>
                </c:pt>
                <c:pt idx="701">
                  <c:v>5794.3239999999996</c:v>
                </c:pt>
                <c:pt idx="702">
                  <c:v>3657.0390000000002</c:v>
                </c:pt>
                <c:pt idx="703">
                  <c:v>3074.0259999999998</c:v>
                </c:pt>
                <c:pt idx="704">
                  <c:v>3454.4070000000002</c:v>
                </c:pt>
                <c:pt idx="705">
                  <c:v>4317.1899999999996</c:v>
                </c:pt>
                <c:pt idx="706">
                  <c:v>3355.0819999999999</c:v>
                </c:pt>
                <c:pt idx="707">
                  <c:v>3174.422</c:v>
                </c:pt>
                <c:pt idx="708">
                  <c:v>3409.011</c:v>
                </c:pt>
                <c:pt idx="709">
                  <c:v>2234.1</c:v>
                </c:pt>
                <c:pt idx="710">
                  <c:v>4054.7249999999999</c:v>
                </c:pt>
                <c:pt idx="711">
                  <c:v>3409.4340000000002</c:v>
                </c:pt>
                <c:pt idx="712">
                  <c:v>6336.9030000000002</c:v>
                </c:pt>
                <c:pt idx="713">
                  <c:v>2782.5050000000001</c:v>
                </c:pt>
                <c:pt idx="714">
                  <c:v>9201.6059999999998</c:v>
                </c:pt>
                <c:pt idx="715">
                  <c:v>4847.5119999999997</c:v>
                </c:pt>
                <c:pt idx="716">
                  <c:v>2786.134</c:v>
                </c:pt>
                <c:pt idx="717">
                  <c:v>2103.1</c:v>
                </c:pt>
                <c:pt idx="718">
                  <c:v>4542.5600000000004</c:v>
                </c:pt>
                <c:pt idx="719">
                  <c:v>3824.4259999999999</c:v>
                </c:pt>
                <c:pt idx="720">
                  <c:v>3555.1979999999999</c:v>
                </c:pt>
                <c:pt idx="721">
                  <c:v>4438.0379999999996</c:v>
                </c:pt>
                <c:pt idx="722">
                  <c:v>4772.2809999999999</c:v>
                </c:pt>
                <c:pt idx="723">
                  <c:v>3909.913</c:v>
                </c:pt>
                <c:pt idx="724">
                  <c:v>1.425</c:v>
                </c:pt>
                <c:pt idx="725">
                  <c:v>4270.99</c:v>
                </c:pt>
                <c:pt idx="726">
                  <c:v>3527.971</c:v>
                </c:pt>
                <c:pt idx="727">
                  <c:v>1282.2349999999999</c:v>
                </c:pt>
                <c:pt idx="728">
                  <c:v>5922.6090000000004</c:v>
                </c:pt>
                <c:pt idx="729">
                  <c:v>2125.078</c:v>
                </c:pt>
                <c:pt idx="730">
                  <c:v>5641.402</c:v>
                </c:pt>
                <c:pt idx="731">
                  <c:v>4184.6930000000002</c:v>
                </c:pt>
                <c:pt idx="732">
                  <c:v>3618.6030000000001</c:v>
                </c:pt>
                <c:pt idx="733">
                  <c:v>8102.4229999999998</c:v>
                </c:pt>
                <c:pt idx="734">
                  <c:v>1390.556</c:v>
                </c:pt>
                <c:pt idx="735">
                  <c:v>4822.0609999999997</c:v>
                </c:pt>
                <c:pt idx="736">
                  <c:v>4265.6899999999996</c:v>
                </c:pt>
                <c:pt idx="737">
                  <c:v>5629.4170000000004</c:v>
                </c:pt>
                <c:pt idx="738">
                  <c:v>5339.7870000000003</c:v>
                </c:pt>
                <c:pt idx="739">
                  <c:v>4209.8680000000004</c:v>
                </c:pt>
                <c:pt idx="740">
                  <c:v>4074.16</c:v>
                </c:pt>
                <c:pt idx="741">
                  <c:v>5311.1450000000004</c:v>
                </c:pt>
                <c:pt idx="742">
                  <c:v>5584.21</c:v>
                </c:pt>
                <c:pt idx="743">
                  <c:v>2038.45</c:v>
                </c:pt>
                <c:pt idx="744">
                  <c:v>2031.096</c:v>
                </c:pt>
                <c:pt idx="745">
                  <c:v>3944.0039999999999</c:v>
                </c:pt>
                <c:pt idx="746">
                  <c:v>5139.2060000000001</c:v>
                </c:pt>
                <c:pt idx="747">
                  <c:v>3878.9050000000002</c:v>
                </c:pt>
                <c:pt idx="748">
                  <c:v>1759.145</c:v>
                </c:pt>
                <c:pt idx="749">
                  <c:v>1610.4960000000001</c:v>
                </c:pt>
                <c:pt idx="750">
                  <c:v>2833.5250000000001</c:v>
                </c:pt>
                <c:pt idx="751">
                  <c:v>2658.0329999999999</c:v>
                </c:pt>
                <c:pt idx="752">
                  <c:v>4871.143</c:v>
                </c:pt>
                <c:pt idx="753">
                  <c:v>6268.598</c:v>
                </c:pt>
                <c:pt idx="754">
                  <c:v>3151.2130000000002</c:v>
                </c:pt>
                <c:pt idx="755">
                  <c:v>2213.17</c:v>
                </c:pt>
                <c:pt idx="756">
                  <c:v>4255.893</c:v>
                </c:pt>
                <c:pt idx="757">
                  <c:v>2309.3200000000002</c:v>
                </c:pt>
                <c:pt idx="758">
                  <c:v>3036.7869999999998</c:v>
                </c:pt>
                <c:pt idx="759">
                  <c:v>5992.6080000000002</c:v>
                </c:pt>
                <c:pt idx="760">
                  <c:v>3737.569</c:v>
                </c:pt>
                <c:pt idx="761">
                  <c:v>6504.94</c:v>
                </c:pt>
                <c:pt idx="762">
                  <c:v>3871.63</c:v>
                </c:pt>
                <c:pt idx="763">
                  <c:v>3428.46</c:v>
                </c:pt>
                <c:pt idx="764">
                  <c:v>3359.2260000000001</c:v>
                </c:pt>
                <c:pt idx="765">
                  <c:v>3904.9830000000002</c:v>
                </c:pt>
                <c:pt idx="766">
                  <c:v>5210.1859999999997</c:v>
                </c:pt>
                <c:pt idx="767">
                  <c:v>4171.8789999999999</c:v>
                </c:pt>
                <c:pt idx="768">
                  <c:v>6592.5069999999996</c:v>
                </c:pt>
                <c:pt idx="769">
                  <c:v>1403.876</c:v>
                </c:pt>
                <c:pt idx="770">
                  <c:v>4427.598</c:v>
                </c:pt>
                <c:pt idx="771">
                  <c:v>6405.8389999999999</c:v>
                </c:pt>
                <c:pt idx="772">
                  <c:v>3258.886</c:v>
                </c:pt>
                <c:pt idx="773">
                  <c:v>4601.1019999999999</c:v>
                </c:pt>
                <c:pt idx="774">
                  <c:v>4922.9870000000001</c:v>
                </c:pt>
                <c:pt idx="775">
                  <c:v>3841.5819999999999</c:v>
                </c:pt>
                <c:pt idx="776">
                  <c:v>3599.11</c:v>
                </c:pt>
                <c:pt idx="777">
                  <c:v>3704.172</c:v>
                </c:pt>
                <c:pt idx="778">
                  <c:v>1984.0419999999999</c:v>
                </c:pt>
                <c:pt idx="779">
                  <c:v>2339.5479999999998</c:v>
                </c:pt>
                <c:pt idx="780">
                  <c:v>2911.27</c:v>
                </c:pt>
                <c:pt idx="781">
                  <c:v>4244.9279999999999</c:v>
                </c:pt>
                <c:pt idx="782">
                  <c:v>2366.6469999999999</c:v>
                </c:pt>
                <c:pt idx="783">
                  <c:v>3189.7139999999999</c:v>
                </c:pt>
                <c:pt idx="784">
                  <c:v>3460.75</c:v>
                </c:pt>
                <c:pt idx="785">
                  <c:v>1361.117</c:v>
                </c:pt>
                <c:pt idx="786">
                  <c:v>1739.434</c:v>
                </c:pt>
                <c:pt idx="787">
                  <c:v>4221.308</c:v>
                </c:pt>
                <c:pt idx="788">
                  <c:v>7029.74</c:v>
                </c:pt>
                <c:pt idx="789">
                  <c:v>3340.7020000000002</c:v>
                </c:pt>
                <c:pt idx="790">
                  <c:v>6503.7730000000001</c:v>
                </c:pt>
                <c:pt idx="791">
                  <c:v>2722.634</c:v>
                </c:pt>
                <c:pt idx="792">
                  <c:v>6528.8720000000003</c:v>
                </c:pt>
                <c:pt idx="793">
                  <c:v>3579.1729999999998</c:v>
                </c:pt>
                <c:pt idx="794">
                  <c:v>6361.5020000000004</c:v>
                </c:pt>
                <c:pt idx="795">
                  <c:v>4491.2709999999997</c:v>
                </c:pt>
                <c:pt idx="796">
                  <c:v>3254.4839999999999</c:v>
                </c:pt>
                <c:pt idx="797">
                  <c:v>1836.4110000000001</c:v>
                </c:pt>
                <c:pt idx="798">
                  <c:v>3509.018</c:v>
                </c:pt>
                <c:pt idx="799">
                  <c:v>1988.4680000000001</c:v>
                </c:pt>
                <c:pt idx="800">
                  <c:v>1958.78</c:v>
                </c:pt>
                <c:pt idx="801">
                  <c:v>5007.0749999999998</c:v>
                </c:pt>
                <c:pt idx="802">
                  <c:v>3057.5740000000001</c:v>
                </c:pt>
                <c:pt idx="803">
                  <c:v>2996.9229999999998</c:v>
                </c:pt>
                <c:pt idx="804">
                  <c:v>4468.1869999999999</c:v>
                </c:pt>
                <c:pt idx="805">
                  <c:v>3523.5120000000002</c:v>
                </c:pt>
                <c:pt idx="806">
                  <c:v>3884.3220000000001</c:v>
                </c:pt>
                <c:pt idx="807">
                  <c:v>2010.231</c:v>
                </c:pt>
                <c:pt idx="808">
                  <c:v>3542.9360000000001</c:v>
                </c:pt>
                <c:pt idx="809">
                  <c:v>2466.9279999999999</c:v>
                </c:pt>
                <c:pt idx="810">
                  <c:v>4709.9750000000004</c:v>
                </c:pt>
                <c:pt idx="811">
                  <c:v>2175.8029999999999</c:v>
                </c:pt>
                <c:pt idx="812">
                  <c:v>5754.4970000000003</c:v>
                </c:pt>
                <c:pt idx="813">
                  <c:v>2253.134</c:v>
                </c:pt>
                <c:pt idx="814">
                  <c:v>1527.087</c:v>
                </c:pt>
                <c:pt idx="815">
                  <c:v>2893.2689999999998</c:v>
                </c:pt>
                <c:pt idx="816">
                  <c:v>4971.6329999999998</c:v>
                </c:pt>
                <c:pt idx="817">
                  <c:v>1953.337</c:v>
                </c:pt>
                <c:pt idx="818">
                  <c:v>4437.6099999999997</c:v>
                </c:pt>
                <c:pt idx="819">
                  <c:v>3865.5129999999999</c:v>
                </c:pt>
                <c:pt idx="820">
                  <c:v>2818.3789999999999</c:v>
                </c:pt>
                <c:pt idx="821">
                  <c:v>4674.6940000000004</c:v>
                </c:pt>
                <c:pt idx="822">
                  <c:v>4175.6949999999997</c:v>
                </c:pt>
                <c:pt idx="823">
                  <c:v>6710.0739999999996</c:v>
                </c:pt>
                <c:pt idx="824">
                  <c:v>2769.2049999999999</c:v>
                </c:pt>
                <c:pt idx="825">
                  <c:v>3798.43</c:v>
                </c:pt>
                <c:pt idx="826">
                  <c:v>4032.183</c:v>
                </c:pt>
                <c:pt idx="827">
                  <c:v>3149.3409999999999</c:v>
                </c:pt>
                <c:pt idx="828">
                  <c:v>764.39499999999998</c:v>
                </c:pt>
                <c:pt idx="829">
                  <c:v>2804.92</c:v>
                </c:pt>
                <c:pt idx="830">
                  <c:v>7130.8090000000002</c:v>
                </c:pt>
                <c:pt idx="831">
                  <c:v>2822.59</c:v>
                </c:pt>
                <c:pt idx="832">
                  <c:v>4001.6610000000001</c:v>
                </c:pt>
                <c:pt idx="833">
                  <c:v>2868.6849999999999</c:v>
                </c:pt>
                <c:pt idx="834">
                  <c:v>3295.181</c:v>
                </c:pt>
                <c:pt idx="835">
                  <c:v>2782.808</c:v>
                </c:pt>
                <c:pt idx="836">
                  <c:v>5133.6970000000001</c:v>
                </c:pt>
                <c:pt idx="837">
                  <c:v>4516.5330000000004</c:v>
                </c:pt>
                <c:pt idx="838">
                  <c:v>2485.9659999999999</c:v>
                </c:pt>
                <c:pt idx="839">
                  <c:v>30</c:v>
                </c:pt>
                <c:pt idx="840">
                  <c:v>57.19</c:v>
                </c:pt>
                <c:pt idx="841">
                  <c:v>2675.2170000000001</c:v>
                </c:pt>
                <c:pt idx="842">
                  <c:v>3115.2249999999999</c:v>
                </c:pt>
                <c:pt idx="843">
                  <c:v>3367.614</c:v>
                </c:pt>
                <c:pt idx="844">
                  <c:v>978.81</c:v>
                </c:pt>
                <c:pt idx="845">
                  <c:v>0</c:v>
                </c:pt>
                <c:pt idx="846">
                  <c:v>0</c:v>
                </c:pt>
                <c:pt idx="847">
                  <c:v>6724.1369999999997</c:v>
                </c:pt>
                <c:pt idx="848">
                  <c:v>624.31799999999998</c:v>
                </c:pt>
                <c:pt idx="849">
                  <c:v>1840.56</c:v>
                </c:pt>
                <c:pt idx="850">
                  <c:v>12367.369000000001</c:v>
                </c:pt>
                <c:pt idx="851">
                  <c:v>7096.9639999999999</c:v>
                </c:pt>
                <c:pt idx="852">
                  <c:v>7969.4949999999999</c:v>
                </c:pt>
                <c:pt idx="853">
                  <c:v>9372.4639999999999</c:v>
                </c:pt>
                <c:pt idx="854">
                  <c:v>4966.4889999999996</c:v>
                </c:pt>
                <c:pt idx="855">
                  <c:v>3778.2640000000001</c:v>
                </c:pt>
                <c:pt idx="856">
                  <c:v>4835.875</c:v>
                </c:pt>
                <c:pt idx="857">
                  <c:v>2795.2710000000002</c:v>
                </c:pt>
                <c:pt idx="858">
                  <c:v>4036.7249999999999</c:v>
                </c:pt>
                <c:pt idx="859">
                  <c:v>7926.8459999999995</c:v>
                </c:pt>
                <c:pt idx="860">
                  <c:v>10832.562</c:v>
                </c:pt>
                <c:pt idx="861">
                  <c:v>9491.991</c:v>
                </c:pt>
                <c:pt idx="862">
                  <c:v>5284.4930000000004</c:v>
                </c:pt>
                <c:pt idx="863">
                  <c:v>4614.1080000000002</c:v>
                </c:pt>
                <c:pt idx="864">
                  <c:v>1814.999</c:v>
                </c:pt>
                <c:pt idx="865">
                  <c:v>7758.4539999999997</c:v>
                </c:pt>
                <c:pt idx="866">
                  <c:v>2140.752</c:v>
                </c:pt>
                <c:pt idx="867">
                  <c:v>1350.684</c:v>
                </c:pt>
                <c:pt idx="868">
                  <c:v>5286.8190000000004</c:v>
                </c:pt>
                <c:pt idx="869">
                  <c:v>0</c:v>
                </c:pt>
                <c:pt idx="870">
                  <c:v>4849.6890000000003</c:v>
                </c:pt>
                <c:pt idx="871">
                  <c:v>3759.4290000000001</c:v>
                </c:pt>
                <c:pt idx="872">
                  <c:v>4887.125</c:v>
                </c:pt>
                <c:pt idx="873">
                  <c:v>5356.165</c:v>
                </c:pt>
                <c:pt idx="874">
                  <c:v>7651.84</c:v>
                </c:pt>
                <c:pt idx="875">
                  <c:v>4624.33</c:v>
                </c:pt>
                <c:pt idx="876">
                  <c:v>3923.7869999999998</c:v>
                </c:pt>
                <c:pt idx="877">
                  <c:v>1440.2349999999999</c:v>
                </c:pt>
                <c:pt idx="878">
                  <c:v>3692.107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3-4675-8CF1-E99C3E7C4480}"/>
            </c:ext>
          </c:extLst>
        </c:ser>
        <c:ser>
          <c:idx val="2"/>
          <c:order val="2"/>
          <c:tx>
            <c:strRef>
              <c:f>'CASH FLOW'!$D$1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FLOW'!$D$2:$D$969</c:f>
              <c:numCache>
                <c:formatCode>_-* #,##0_-;\-* #,##0_-;_-* "-"??_-;_-@_-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5690</c:v>
                </c:pt>
                <c:pt idx="3">
                  <c:v>5690</c:v>
                </c:pt>
                <c:pt idx="4">
                  <c:v>5690</c:v>
                </c:pt>
                <c:pt idx="5">
                  <c:v>5690</c:v>
                </c:pt>
                <c:pt idx="6">
                  <c:v>5690</c:v>
                </c:pt>
                <c:pt idx="7">
                  <c:v>5690</c:v>
                </c:pt>
                <c:pt idx="8">
                  <c:v>5690</c:v>
                </c:pt>
                <c:pt idx="9">
                  <c:v>5690</c:v>
                </c:pt>
                <c:pt idx="10">
                  <c:v>5690</c:v>
                </c:pt>
                <c:pt idx="11">
                  <c:v>5690</c:v>
                </c:pt>
                <c:pt idx="12">
                  <c:v>5690</c:v>
                </c:pt>
                <c:pt idx="13">
                  <c:v>5690</c:v>
                </c:pt>
                <c:pt idx="14">
                  <c:v>5690</c:v>
                </c:pt>
                <c:pt idx="15">
                  <c:v>5690</c:v>
                </c:pt>
                <c:pt idx="16">
                  <c:v>5690</c:v>
                </c:pt>
                <c:pt idx="17">
                  <c:v>5690</c:v>
                </c:pt>
                <c:pt idx="18">
                  <c:v>5690</c:v>
                </c:pt>
                <c:pt idx="19">
                  <c:v>5690</c:v>
                </c:pt>
                <c:pt idx="20">
                  <c:v>5690</c:v>
                </c:pt>
                <c:pt idx="21">
                  <c:v>5690</c:v>
                </c:pt>
                <c:pt idx="22">
                  <c:v>5690</c:v>
                </c:pt>
                <c:pt idx="23">
                  <c:v>5690</c:v>
                </c:pt>
                <c:pt idx="24">
                  <c:v>5590</c:v>
                </c:pt>
                <c:pt idx="25">
                  <c:v>5590</c:v>
                </c:pt>
                <c:pt idx="26">
                  <c:v>5590</c:v>
                </c:pt>
                <c:pt idx="27">
                  <c:v>5590</c:v>
                </c:pt>
                <c:pt idx="28">
                  <c:v>5590</c:v>
                </c:pt>
                <c:pt idx="29">
                  <c:v>5590</c:v>
                </c:pt>
                <c:pt idx="30">
                  <c:v>5590</c:v>
                </c:pt>
                <c:pt idx="31">
                  <c:v>5570</c:v>
                </c:pt>
                <c:pt idx="32">
                  <c:v>5570</c:v>
                </c:pt>
                <c:pt idx="33">
                  <c:v>5570</c:v>
                </c:pt>
                <c:pt idx="34">
                  <c:v>5570</c:v>
                </c:pt>
                <c:pt idx="35">
                  <c:v>5570</c:v>
                </c:pt>
                <c:pt idx="36">
                  <c:v>5570</c:v>
                </c:pt>
                <c:pt idx="37">
                  <c:v>5570</c:v>
                </c:pt>
                <c:pt idx="38">
                  <c:v>5570</c:v>
                </c:pt>
                <c:pt idx="39">
                  <c:v>5570</c:v>
                </c:pt>
                <c:pt idx="40">
                  <c:v>5570</c:v>
                </c:pt>
                <c:pt idx="41">
                  <c:v>5570</c:v>
                </c:pt>
                <c:pt idx="42">
                  <c:v>5570</c:v>
                </c:pt>
                <c:pt idx="43">
                  <c:v>5570</c:v>
                </c:pt>
                <c:pt idx="44">
                  <c:v>5570</c:v>
                </c:pt>
                <c:pt idx="45">
                  <c:v>5570</c:v>
                </c:pt>
                <c:pt idx="46">
                  <c:v>5570</c:v>
                </c:pt>
                <c:pt idx="47">
                  <c:v>5570</c:v>
                </c:pt>
                <c:pt idx="48">
                  <c:v>5570</c:v>
                </c:pt>
                <c:pt idx="49">
                  <c:v>5570</c:v>
                </c:pt>
                <c:pt idx="50">
                  <c:v>5570</c:v>
                </c:pt>
                <c:pt idx="51">
                  <c:v>5570</c:v>
                </c:pt>
                <c:pt idx="52">
                  <c:v>5570</c:v>
                </c:pt>
                <c:pt idx="53">
                  <c:v>5570</c:v>
                </c:pt>
                <c:pt idx="54">
                  <c:v>5570</c:v>
                </c:pt>
                <c:pt idx="55">
                  <c:v>5570</c:v>
                </c:pt>
                <c:pt idx="56">
                  <c:v>5570</c:v>
                </c:pt>
                <c:pt idx="57">
                  <c:v>5570</c:v>
                </c:pt>
                <c:pt idx="58">
                  <c:v>5570</c:v>
                </c:pt>
                <c:pt idx="59">
                  <c:v>5570</c:v>
                </c:pt>
                <c:pt idx="60">
                  <c:v>5570</c:v>
                </c:pt>
                <c:pt idx="61">
                  <c:v>5570</c:v>
                </c:pt>
                <c:pt idx="62">
                  <c:v>5570</c:v>
                </c:pt>
                <c:pt idx="63">
                  <c:v>5570</c:v>
                </c:pt>
                <c:pt idx="64">
                  <c:v>5570</c:v>
                </c:pt>
                <c:pt idx="65">
                  <c:v>5570</c:v>
                </c:pt>
                <c:pt idx="66">
                  <c:v>5570</c:v>
                </c:pt>
                <c:pt idx="67">
                  <c:v>5570</c:v>
                </c:pt>
                <c:pt idx="68">
                  <c:v>5570</c:v>
                </c:pt>
                <c:pt idx="69">
                  <c:v>5570</c:v>
                </c:pt>
                <c:pt idx="70">
                  <c:v>5570</c:v>
                </c:pt>
                <c:pt idx="71">
                  <c:v>5570</c:v>
                </c:pt>
                <c:pt idx="72">
                  <c:v>5570</c:v>
                </c:pt>
                <c:pt idx="73">
                  <c:v>5570</c:v>
                </c:pt>
                <c:pt idx="74">
                  <c:v>5570</c:v>
                </c:pt>
                <c:pt idx="75">
                  <c:v>5570</c:v>
                </c:pt>
                <c:pt idx="76">
                  <c:v>5570</c:v>
                </c:pt>
                <c:pt idx="77">
                  <c:v>5570</c:v>
                </c:pt>
                <c:pt idx="78">
                  <c:v>5570</c:v>
                </c:pt>
                <c:pt idx="79">
                  <c:v>5570</c:v>
                </c:pt>
                <c:pt idx="80">
                  <c:v>5570</c:v>
                </c:pt>
                <c:pt idx="81">
                  <c:v>5570</c:v>
                </c:pt>
                <c:pt idx="82">
                  <c:v>5570</c:v>
                </c:pt>
                <c:pt idx="83">
                  <c:v>5570</c:v>
                </c:pt>
                <c:pt idx="84">
                  <c:v>5570</c:v>
                </c:pt>
                <c:pt idx="85">
                  <c:v>5570</c:v>
                </c:pt>
                <c:pt idx="86">
                  <c:v>5570</c:v>
                </c:pt>
                <c:pt idx="87">
                  <c:v>5570</c:v>
                </c:pt>
                <c:pt idx="88">
                  <c:v>5570</c:v>
                </c:pt>
                <c:pt idx="89">
                  <c:v>5570</c:v>
                </c:pt>
                <c:pt idx="90">
                  <c:v>5570</c:v>
                </c:pt>
                <c:pt idx="91">
                  <c:v>5570</c:v>
                </c:pt>
                <c:pt idx="92">
                  <c:v>5570</c:v>
                </c:pt>
                <c:pt idx="93">
                  <c:v>5570</c:v>
                </c:pt>
                <c:pt idx="94">
                  <c:v>5570</c:v>
                </c:pt>
                <c:pt idx="95">
                  <c:v>5570</c:v>
                </c:pt>
                <c:pt idx="96">
                  <c:v>5570</c:v>
                </c:pt>
                <c:pt idx="97">
                  <c:v>5570</c:v>
                </c:pt>
                <c:pt idx="98">
                  <c:v>5570</c:v>
                </c:pt>
                <c:pt idx="99">
                  <c:v>5570</c:v>
                </c:pt>
                <c:pt idx="100">
                  <c:v>5570</c:v>
                </c:pt>
                <c:pt idx="101">
                  <c:v>5570</c:v>
                </c:pt>
                <c:pt idx="102">
                  <c:v>5570</c:v>
                </c:pt>
                <c:pt idx="103">
                  <c:v>5570</c:v>
                </c:pt>
                <c:pt idx="104">
                  <c:v>5570</c:v>
                </c:pt>
                <c:pt idx="105">
                  <c:v>5570</c:v>
                </c:pt>
                <c:pt idx="106">
                  <c:v>5570</c:v>
                </c:pt>
                <c:pt idx="107">
                  <c:v>5570</c:v>
                </c:pt>
                <c:pt idx="108">
                  <c:v>5570</c:v>
                </c:pt>
                <c:pt idx="109">
                  <c:v>5670</c:v>
                </c:pt>
                <c:pt idx="110">
                  <c:v>5670</c:v>
                </c:pt>
                <c:pt idx="111">
                  <c:v>5670</c:v>
                </c:pt>
                <c:pt idx="112">
                  <c:v>5670</c:v>
                </c:pt>
                <c:pt idx="113">
                  <c:v>5670</c:v>
                </c:pt>
                <c:pt idx="114">
                  <c:v>5670</c:v>
                </c:pt>
                <c:pt idx="115">
                  <c:v>5670</c:v>
                </c:pt>
                <c:pt idx="116">
                  <c:v>5670</c:v>
                </c:pt>
                <c:pt idx="117">
                  <c:v>5670</c:v>
                </c:pt>
                <c:pt idx="118">
                  <c:v>5670</c:v>
                </c:pt>
                <c:pt idx="119">
                  <c:v>5670</c:v>
                </c:pt>
                <c:pt idx="120">
                  <c:v>5670</c:v>
                </c:pt>
                <c:pt idx="121">
                  <c:v>5670</c:v>
                </c:pt>
                <c:pt idx="122">
                  <c:v>5670</c:v>
                </c:pt>
                <c:pt idx="123">
                  <c:v>5670</c:v>
                </c:pt>
                <c:pt idx="124">
                  <c:v>5670</c:v>
                </c:pt>
                <c:pt idx="125">
                  <c:v>5670</c:v>
                </c:pt>
                <c:pt idx="126">
                  <c:v>5670</c:v>
                </c:pt>
                <c:pt idx="127">
                  <c:v>5670</c:v>
                </c:pt>
                <c:pt idx="128">
                  <c:v>5670</c:v>
                </c:pt>
                <c:pt idx="129">
                  <c:v>5670</c:v>
                </c:pt>
                <c:pt idx="130">
                  <c:v>5670</c:v>
                </c:pt>
                <c:pt idx="131">
                  <c:v>5670</c:v>
                </c:pt>
                <c:pt idx="132">
                  <c:v>5670</c:v>
                </c:pt>
                <c:pt idx="133">
                  <c:v>5670</c:v>
                </c:pt>
                <c:pt idx="134">
                  <c:v>5670</c:v>
                </c:pt>
                <c:pt idx="135">
                  <c:v>5670</c:v>
                </c:pt>
                <c:pt idx="136">
                  <c:v>5670</c:v>
                </c:pt>
                <c:pt idx="137">
                  <c:v>5670</c:v>
                </c:pt>
                <c:pt idx="138">
                  <c:v>5670</c:v>
                </c:pt>
                <c:pt idx="139">
                  <c:v>5670</c:v>
                </c:pt>
                <c:pt idx="140">
                  <c:v>5670</c:v>
                </c:pt>
                <c:pt idx="141">
                  <c:v>5670</c:v>
                </c:pt>
                <c:pt idx="142">
                  <c:v>5670</c:v>
                </c:pt>
                <c:pt idx="143">
                  <c:v>5670</c:v>
                </c:pt>
                <c:pt idx="144">
                  <c:v>5670</c:v>
                </c:pt>
                <c:pt idx="145">
                  <c:v>5670</c:v>
                </c:pt>
                <c:pt idx="146">
                  <c:v>5670</c:v>
                </c:pt>
                <c:pt idx="147">
                  <c:v>5670</c:v>
                </c:pt>
                <c:pt idx="148">
                  <c:v>5670</c:v>
                </c:pt>
                <c:pt idx="149">
                  <c:v>5670</c:v>
                </c:pt>
                <c:pt idx="150">
                  <c:v>5670</c:v>
                </c:pt>
                <c:pt idx="151">
                  <c:v>5670</c:v>
                </c:pt>
                <c:pt idx="152">
                  <c:v>5670</c:v>
                </c:pt>
                <c:pt idx="153">
                  <c:v>5670</c:v>
                </c:pt>
                <c:pt idx="154">
                  <c:v>5670</c:v>
                </c:pt>
                <c:pt idx="155">
                  <c:v>5670</c:v>
                </c:pt>
                <c:pt idx="156">
                  <c:v>5670</c:v>
                </c:pt>
                <c:pt idx="157">
                  <c:v>5670</c:v>
                </c:pt>
                <c:pt idx="158">
                  <c:v>5670</c:v>
                </c:pt>
                <c:pt idx="159">
                  <c:v>5670</c:v>
                </c:pt>
                <c:pt idx="160">
                  <c:v>5670</c:v>
                </c:pt>
                <c:pt idx="161">
                  <c:v>5670</c:v>
                </c:pt>
                <c:pt idx="162">
                  <c:v>5670</c:v>
                </c:pt>
                <c:pt idx="163">
                  <c:v>5670</c:v>
                </c:pt>
                <c:pt idx="164">
                  <c:v>5670</c:v>
                </c:pt>
                <c:pt idx="165">
                  <c:v>5670</c:v>
                </c:pt>
                <c:pt idx="166">
                  <c:v>5670</c:v>
                </c:pt>
                <c:pt idx="167">
                  <c:v>5670</c:v>
                </c:pt>
                <c:pt idx="168">
                  <c:v>5670</c:v>
                </c:pt>
                <c:pt idx="169">
                  <c:v>5670</c:v>
                </c:pt>
                <c:pt idx="170">
                  <c:v>5670</c:v>
                </c:pt>
                <c:pt idx="171">
                  <c:v>5670</c:v>
                </c:pt>
                <c:pt idx="172">
                  <c:v>5670</c:v>
                </c:pt>
                <c:pt idx="173">
                  <c:v>5670</c:v>
                </c:pt>
                <c:pt idx="174">
                  <c:v>5670</c:v>
                </c:pt>
                <c:pt idx="175">
                  <c:v>5670</c:v>
                </c:pt>
                <c:pt idx="176">
                  <c:v>5670</c:v>
                </c:pt>
                <c:pt idx="177">
                  <c:v>5670</c:v>
                </c:pt>
                <c:pt idx="178">
                  <c:v>5670</c:v>
                </c:pt>
                <c:pt idx="179">
                  <c:v>5670</c:v>
                </c:pt>
                <c:pt idx="180">
                  <c:v>5670</c:v>
                </c:pt>
                <c:pt idx="181">
                  <c:v>5670</c:v>
                </c:pt>
                <c:pt idx="182">
                  <c:v>5670</c:v>
                </c:pt>
                <c:pt idx="183">
                  <c:v>5670</c:v>
                </c:pt>
                <c:pt idx="184">
                  <c:v>5670</c:v>
                </c:pt>
                <c:pt idx="185">
                  <c:v>5670</c:v>
                </c:pt>
                <c:pt idx="186">
                  <c:v>5670</c:v>
                </c:pt>
                <c:pt idx="187">
                  <c:v>5670</c:v>
                </c:pt>
                <c:pt idx="188">
                  <c:v>5670</c:v>
                </c:pt>
                <c:pt idx="189">
                  <c:v>5670</c:v>
                </c:pt>
                <c:pt idx="190">
                  <c:v>5670</c:v>
                </c:pt>
                <c:pt idx="191">
                  <c:v>5670</c:v>
                </c:pt>
                <c:pt idx="192">
                  <c:v>5670</c:v>
                </c:pt>
                <c:pt idx="193">
                  <c:v>5670</c:v>
                </c:pt>
                <c:pt idx="194">
                  <c:v>5670</c:v>
                </c:pt>
                <c:pt idx="195">
                  <c:v>5670</c:v>
                </c:pt>
                <c:pt idx="196">
                  <c:v>5670</c:v>
                </c:pt>
                <c:pt idx="197">
                  <c:v>5670</c:v>
                </c:pt>
                <c:pt idx="198">
                  <c:v>5670</c:v>
                </c:pt>
                <c:pt idx="199">
                  <c:v>5670</c:v>
                </c:pt>
                <c:pt idx="200">
                  <c:v>5670</c:v>
                </c:pt>
                <c:pt idx="201">
                  <c:v>5670</c:v>
                </c:pt>
                <c:pt idx="202">
                  <c:v>5670</c:v>
                </c:pt>
                <c:pt idx="203">
                  <c:v>5670</c:v>
                </c:pt>
                <c:pt idx="204">
                  <c:v>5670</c:v>
                </c:pt>
                <c:pt idx="205">
                  <c:v>5670</c:v>
                </c:pt>
                <c:pt idx="206">
                  <c:v>5670</c:v>
                </c:pt>
                <c:pt idx="207">
                  <c:v>5670</c:v>
                </c:pt>
                <c:pt idx="208">
                  <c:v>5670</c:v>
                </c:pt>
                <c:pt idx="209">
                  <c:v>5550</c:v>
                </c:pt>
                <c:pt idx="210">
                  <c:v>5550</c:v>
                </c:pt>
                <c:pt idx="211">
                  <c:v>5550</c:v>
                </c:pt>
                <c:pt idx="212">
                  <c:v>5550</c:v>
                </c:pt>
                <c:pt idx="213">
                  <c:v>5550</c:v>
                </c:pt>
                <c:pt idx="214">
                  <c:v>5550</c:v>
                </c:pt>
                <c:pt idx="215">
                  <c:v>5550</c:v>
                </c:pt>
                <c:pt idx="216">
                  <c:v>5550</c:v>
                </c:pt>
                <c:pt idx="217">
                  <c:v>5550</c:v>
                </c:pt>
                <c:pt idx="218">
                  <c:v>5550</c:v>
                </c:pt>
                <c:pt idx="219">
                  <c:v>5550</c:v>
                </c:pt>
                <c:pt idx="220">
                  <c:v>5550</c:v>
                </c:pt>
                <c:pt idx="221">
                  <c:v>5390</c:v>
                </c:pt>
                <c:pt idx="222">
                  <c:v>5390</c:v>
                </c:pt>
                <c:pt idx="223">
                  <c:v>5390</c:v>
                </c:pt>
                <c:pt idx="224">
                  <c:v>5390</c:v>
                </c:pt>
                <c:pt idx="225">
                  <c:v>5390</c:v>
                </c:pt>
                <c:pt idx="226">
                  <c:v>5390</c:v>
                </c:pt>
                <c:pt idx="227">
                  <c:v>5390</c:v>
                </c:pt>
                <c:pt idx="228">
                  <c:v>5390</c:v>
                </c:pt>
                <c:pt idx="229">
                  <c:v>5390</c:v>
                </c:pt>
                <c:pt idx="230">
                  <c:v>5390</c:v>
                </c:pt>
                <c:pt idx="231">
                  <c:v>5390</c:v>
                </c:pt>
                <c:pt idx="232">
                  <c:v>5390</c:v>
                </c:pt>
                <c:pt idx="233">
                  <c:v>5390</c:v>
                </c:pt>
                <c:pt idx="234">
                  <c:v>5390</c:v>
                </c:pt>
                <c:pt idx="235">
                  <c:v>5390</c:v>
                </c:pt>
                <c:pt idx="236">
                  <c:v>5290</c:v>
                </c:pt>
                <c:pt idx="237">
                  <c:v>5290</c:v>
                </c:pt>
                <c:pt idx="238">
                  <c:v>5290</c:v>
                </c:pt>
                <c:pt idx="239">
                  <c:v>5290</c:v>
                </c:pt>
                <c:pt idx="240">
                  <c:v>5290</c:v>
                </c:pt>
                <c:pt idx="241">
                  <c:v>5290</c:v>
                </c:pt>
                <c:pt idx="242">
                  <c:v>5290</c:v>
                </c:pt>
                <c:pt idx="243">
                  <c:v>5390</c:v>
                </c:pt>
                <c:pt idx="244">
                  <c:v>5390</c:v>
                </c:pt>
                <c:pt idx="245">
                  <c:v>5390</c:v>
                </c:pt>
                <c:pt idx="246">
                  <c:v>5390</c:v>
                </c:pt>
                <c:pt idx="247">
                  <c:v>5390</c:v>
                </c:pt>
                <c:pt idx="248">
                  <c:v>5390</c:v>
                </c:pt>
                <c:pt idx="249">
                  <c:v>5390</c:v>
                </c:pt>
                <c:pt idx="250">
                  <c:v>5390</c:v>
                </c:pt>
                <c:pt idx="251">
                  <c:v>5390</c:v>
                </c:pt>
                <c:pt idx="252">
                  <c:v>5390</c:v>
                </c:pt>
                <c:pt idx="253">
                  <c:v>5390</c:v>
                </c:pt>
                <c:pt idx="254">
                  <c:v>5390</c:v>
                </c:pt>
                <c:pt idx="255">
                  <c:v>5390</c:v>
                </c:pt>
                <c:pt idx="256">
                  <c:v>5390</c:v>
                </c:pt>
                <c:pt idx="257">
                  <c:v>5390</c:v>
                </c:pt>
                <c:pt idx="258">
                  <c:v>5390</c:v>
                </c:pt>
                <c:pt idx="259">
                  <c:v>5390</c:v>
                </c:pt>
                <c:pt idx="260">
                  <c:v>5390</c:v>
                </c:pt>
                <c:pt idx="261">
                  <c:v>5390</c:v>
                </c:pt>
                <c:pt idx="262">
                  <c:v>5260</c:v>
                </c:pt>
                <c:pt idx="263">
                  <c:v>5260</c:v>
                </c:pt>
                <c:pt idx="264">
                  <c:v>5260</c:v>
                </c:pt>
                <c:pt idx="265">
                  <c:v>5260</c:v>
                </c:pt>
                <c:pt idx="266">
                  <c:v>5260</c:v>
                </c:pt>
                <c:pt idx="267">
                  <c:v>5260</c:v>
                </c:pt>
                <c:pt idx="268">
                  <c:v>5260</c:v>
                </c:pt>
                <c:pt idx="269">
                  <c:v>5260</c:v>
                </c:pt>
                <c:pt idx="270">
                  <c:v>5260</c:v>
                </c:pt>
                <c:pt idx="271">
                  <c:v>5260</c:v>
                </c:pt>
                <c:pt idx="272">
                  <c:v>5260</c:v>
                </c:pt>
                <c:pt idx="273">
                  <c:v>5260</c:v>
                </c:pt>
                <c:pt idx="274">
                  <c:v>5260</c:v>
                </c:pt>
                <c:pt idx="275">
                  <c:v>5260</c:v>
                </c:pt>
                <c:pt idx="276">
                  <c:v>5260</c:v>
                </c:pt>
                <c:pt idx="277">
                  <c:v>5260</c:v>
                </c:pt>
                <c:pt idx="278">
                  <c:v>5260</c:v>
                </c:pt>
                <c:pt idx="279">
                  <c:v>5260</c:v>
                </c:pt>
                <c:pt idx="280">
                  <c:v>5260</c:v>
                </c:pt>
                <c:pt idx="281">
                  <c:v>5260</c:v>
                </c:pt>
                <c:pt idx="282">
                  <c:v>5260</c:v>
                </c:pt>
                <c:pt idx="283">
                  <c:v>5260</c:v>
                </c:pt>
                <c:pt idx="284">
                  <c:v>5260</c:v>
                </c:pt>
                <c:pt idx="285">
                  <c:v>5260</c:v>
                </c:pt>
                <c:pt idx="286">
                  <c:v>5260</c:v>
                </c:pt>
                <c:pt idx="287">
                  <c:v>5260</c:v>
                </c:pt>
                <c:pt idx="288">
                  <c:v>5260</c:v>
                </c:pt>
                <c:pt idx="289">
                  <c:v>5260</c:v>
                </c:pt>
                <c:pt idx="290">
                  <c:v>5260</c:v>
                </c:pt>
                <c:pt idx="291">
                  <c:v>5220</c:v>
                </c:pt>
                <c:pt idx="292">
                  <c:v>5220</c:v>
                </c:pt>
                <c:pt idx="293">
                  <c:v>5220</c:v>
                </c:pt>
                <c:pt idx="294">
                  <c:v>5220</c:v>
                </c:pt>
                <c:pt idx="295">
                  <c:v>5220</c:v>
                </c:pt>
                <c:pt idx="296">
                  <c:v>5220</c:v>
                </c:pt>
                <c:pt idx="297">
                  <c:v>5220</c:v>
                </c:pt>
                <c:pt idx="298">
                  <c:v>5220</c:v>
                </c:pt>
                <c:pt idx="299">
                  <c:v>5220</c:v>
                </c:pt>
                <c:pt idx="300">
                  <c:v>5120</c:v>
                </c:pt>
                <c:pt idx="301">
                  <c:v>5120</c:v>
                </c:pt>
                <c:pt idx="302">
                  <c:v>5120</c:v>
                </c:pt>
                <c:pt idx="303">
                  <c:v>5120</c:v>
                </c:pt>
                <c:pt idx="304">
                  <c:v>5120</c:v>
                </c:pt>
                <c:pt idx="305">
                  <c:v>5120</c:v>
                </c:pt>
                <c:pt idx="306">
                  <c:v>5120</c:v>
                </c:pt>
                <c:pt idx="307">
                  <c:v>5120</c:v>
                </c:pt>
                <c:pt idx="308">
                  <c:v>5120</c:v>
                </c:pt>
                <c:pt idx="309">
                  <c:v>5220</c:v>
                </c:pt>
                <c:pt idx="310">
                  <c:v>5220</c:v>
                </c:pt>
                <c:pt idx="311">
                  <c:v>5220</c:v>
                </c:pt>
                <c:pt idx="312">
                  <c:v>5220</c:v>
                </c:pt>
                <c:pt idx="313">
                  <c:v>5220</c:v>
                </c:pt>
                <c:pt idx="314">
                  <c:v>5220</c:v>
                </c:pt>
                <c:pt idx="315">
                  <c:v>5220</c:v>
                </c:pt>
                <c:pt idx="316">
                  <c:v>5220</c:v>
                </c:pt>
                <c:pt idx="317">
                  <c:v>5220</c:v>
                </c:pt>
                <c:pt idx="318">
                  <c:v>5220</c:v>
                </c:pt>
                <c:pt idx="319">
                  <c:v>5120</c:v>
                </c:pt>
                <c:pt idx="320">
                  <c:v>5120</c:v>
                </c:pt>
                <c:pt idx="321">
                  <c:v>5120</c:v>
                </c:pt>
                <c:pt idx="322">
                  <c:v>5120</c:v>
                </c:pt>
                <c:pt idx="323">
                  <c:v>5120</c:v>
                </c:pt>
                <c:pt idx="324">
                  <c:v>5120</c:v>
                </c:pt>
                <c:pt idx="325">
                  <c:v>5120</c:v>
                </c:pt>
                <c:pt idx="326">
                  <c:v>5120</c:v>
                </c:pt>
                <c:pt idx="327">
                  <c:v>5120</c:v>
                </c:pt>
                <c:pt idx="328">
                  <c:v>5120</c:v>
                </c:pt>
                <c:pt idx="329">
                  <c:v>5120</c:v>
                </c:pt>
                <c:pt idx="330">
                  <c:v>5120</c:v>
                </c:pt>
                <c:pt idx="331">
                  <c:v>5120</c:v>
                </c:pt>
                <c:pt idx="332">
                  <c:v>5120</c:v>
                </c:pt>
                <c:pt idx="333">
                  <c:v>5120</c:v>
                </c:pt>
                <c:pt idx="334">
                  <c:v>5120</c:v>
                </c:pt>
                <c:pt idx="335">
                  <c:v>5120</c:v>
                </c:pt>
                <c:pt idx="336">
                  <c:v>5120</c:v>
                </c:pt>
                <c:pt idx="337">
                  <c:v>5120</c:v>
                </c:pt>
                <c:pt idx="338">
                  <c:v>5120</c:v>
                </c:pt>
                <c:pt idx="339">
                  <c:v>5120</c:v>
                </c:pt>
                <c:pt idx="340">
                  <c:v>5120</c:v>
                </c:pt>
                <c:pt idx="341">
                  <c:v>5120</c:v>
                </c:pt>
                <c:pt idx="342">
                  <c:v>5120</c:v>
                </c:pt>
                <c:pt idx="343">
                  <c:v>5120</c:v>
                </c:pt>
                <c:pt idx="344">
                  <c:v>5090</c:v>
                </c:pt>
                <c:pt idx="345">
                  <c:v>5090</c:v>
                </c:pt>
                <c:pt idx="346">
                  <c:v>5090</c:v>
                </c:pt>
                <c:pt idx="347">
                  <c:v>5090</c:v>
                </c:pt>
                <c:pt idx="348">
                  <c:v>5090</c:v>
                </c:pt>
                <c:pt idx="349">
                  <c:v>5090</c:v>
                </c:pt>
                <c:pt idx="350">
                  <c:v>5090</c:v>
                </c:pt>
                <c:pt idx="351">
                  <c:v>5090</c:v>
                </c:pt>
                <c:pt idx="352">
                  <c:v>5090</c:v>
                </c:pt>
                <c:pt idx="353">
                  <c:v>5090</c:v>
                </c:pt>
                <c:pt idx="354">
                  <c:v>5090</c:v>
                </c:pt>
                <c:pt idx="355">
                  <c:v>5090</c:v>
                </c:pt>
                <c:pt idx="356">
                  <c:v>5090</c:v>
                </c:pt>
                <c:pt idx="357">
                  <c:v>5090</c:v>
                </c:pt>
                <c:pt idx="358">
                  <c:v>5090</c:v>
                </c:pt>
                <c:pt idx="359">
                  <c:v>5090</c:v>
                </c:pt>
                <c:pt idx="360">
                  <c:v>5090</c:v>
                </c:pt>
                <c:pt idx="361">
                  <c:v>4999</c:v>
                </c:pt>
                <c:pt idx="362">
                  <c:v>4999</c:v>
                </c:pt>
                <c:pt idx="363">
                  <c:v>4999</c:v>
                </c:pt>
                <c:pt idx="364">
                  <c:v>4999</c:v>
                </c:pt>
                <c:pt idx="365">
                  <c:v>4999</c:v>
                </c:pt>
                <c:pt idx="366">
                  <c:v>5009</c:v>
                </c:pt>
                <c:pt idx="367">
                  <c:v>5009</c:v>
                </c:pt>
                <c:pt idx="368">
                  <c:v>5009</c:v>
                </c:pt>
                <c:pt idx="369">
                  <c:v>5009</c:v>
                </c:pt>
                <c:pt idx="370">
                  <c:v>5009</c:v>
                </c:pt>
                <c:pt idx="371">
                  <c:v>5029</c:v>
                </c:pt>
                <c:pt idx="372">
                  <c:v>5029</c:v>
                </c:pt>
                <c:pt idx="373">
                  <c:v>5029</c:v>
                </c:pt>
                <c:pt idx="374">
                  <c:v>5029</c:v>
                </c:pt>
                <c:pt idx="375">
                  <c:v>5029</c:v>
                </c:pt>
                <c:pt idx="376">
                  <c:v>5190</c:v>
                </c:pt>
                <c:pt idx="377">
                  <c:v>5190</c:v>
                </c:pt>
                <c:pt idx="378">
                  <c:v>5190</c:v>
                </c:pt>
                <c:pt idx="379">
                  <c:v>5200</c:v>
                </c:pt>
                <c:pt idx="380">
                  <c:v>5200</c:v>
                </c:pt>
                <c:pt idx="381">
                  <c:v>5200</c:v>
                </c:pt>
                <c:pt idx="382">
                  <c:v>5200</c:v>
                </c:pt>
                <c:pt idx="383">
                  <c:v>5200</c:v>
                </c:pt>
                <c:pt idx="384">
                  <c:v>5200</c:v>
                </c:pt>
                <c:pt idx="385">
                  <c:v>5200</c:v>
                </c:pt>
                <c:pt idx="386">
                  <c:v>5200</c:v>
                </c:pt>
                <c:pt idx="387">
                  <c:v>5200</c:v>
                </c:pt>
                <c:pt idx="388">
                  <c:v>5200</c:v>
                </c:pt>
                <c:pt idx="389">
                  <c:v>5200</c:v>
                </c:pt>
                <c:pt idx="390">
                  <c:v>5200</c:v>
                </c:pt>
                <c:pt idx="391">
                  <c:v>5200</c:v>
                </c:pt>
                <c:pt idx="392">
                  <c:v>5030</c:v>
                </c:pt>
                <c:pt idx="393">
                  <c:v>5030</c:v>
                </c:pt>
                <c:pt idx="394">
                  <c:v>5030</c:v>
                </c:pt>
                <c:pt idx="395">
                  <c:v>5030</c:v>
                </c:pt>
                <c:pt idx="396">
                  <c:v>5030</c:v>
                </c:pt>
                <c:pt idx="397">
                  <c:v>5030</c:v>
                </c:pt>
                <c:pt idx="398">
                  <c:v>5030</c:v>
                </c:pt>
                <c:pt idx="399">
                  <c:v>5030</c:v>
                </c:pt>
                <c:pt idx="400">
                  <c:v>5030</c:v>
                </c:pt>
                <c:pt idx="401">
                  <c:v>5030</c:v>
                </c:pt>
                <c:pt idx="402">
                  <c:v>5030</c:v>
                </c:pt>
                <c:pt idx="403">
                  <c:v>5030</c:v>
                </c:pt>
                <c:pt idx="404">
                  <c:v>5030</c:v>
                </c:pt>
                <c:pt idx="405">
                  <c:v>5030</c:v>
                </c:pt>
                <c:pt idx="406">
                  <c:v>5030</c:v>
                </c:pt>
                <c:pt idx="407">
                  <c:v>5030</c:v>
                </c:pt>
                <c:pt idx="408">
                  <c:v>5030</c:v>
                </c:pt>
                <c:pt idx="409">
                  <c:v>5030</c:v>
                </c:pt>
                <c:pt idx="410">
                  <c:v>5030</c:v>
                </c:pt>
                <c:pt idx="411">
                  <c:v>5030</c:v>
                </c:pt>
                <c:pt idx="412">
                  <c:v>5030</c:v>
                </c:pt>
                <c:pt idx="413">
                  <c:v>5030</c:v>
                </c:pt>
                <c:pt idx="414">
                  <c:v>5030</c:v>
                </c:pt>
                <c:pt idx="415">
                  <c:v>5030</c:v>
                </c:pt>
                <c:pt idx="416">
                  <c:v>5030</c:v>
                </c:pt>
                <c:pt idx="417">
                  <c:v>5030</c:v>
                </c:pt>
                <c:pt idx="418">
                  <c:v>5030</c:v>
                </c:pt>
                <c:pt idx="419">
                  <c:v>5030</c:v>
                </c:pt>
                <c:pt idx="420">
                  <c:v>5030</c:v>
                </c:pt>
                <c:pt idx="421">
                  <c:v>5030</c:v>
                </c:pt>
                <c:pt idx="422">
                  <c:v>5030</c:v>
                </c:pt>
                <c:pt idx="423">
                  <c:v>5030</c:v>
                </c:pt>
                <c:pt idx="424">
                  <c:v>5030</c:v>
                </c:pt>
                <c:pt idx="425">
                  <c:v>5030</c:v>
                </c:pt>
                <c:pt idx="426">
                  <c:v>5030</c:v>
                </c:pt>
                <c:pt idx="427">
                  <c:v>5030</c:v>
                </c:pt>
                <c:pt idx="428">
                  <c:v>5030</c:v>
                </c:pt>
                <c:pt idx="429">
                  <c:v>5030</c:v>
                </c:pt>
                <c:pt idx="430">
                  <c:v>5030</c:v>
                </c:pt>
                <c:pt idx="431">
                  <c:v>5030</c:v>
                </c:pt>
                <c:pt idx="432">
                  <c:v>5030</c:v>
                </c:pt>
                <c:pt idx="433">
                  <c:v>5030</c:v>
                </c:pt>
                <c:pt idx="434">
                  <c:v>5030</c:v>
                </c:pt>
                <c:pt idx="435">
                  <c:v>5030</c:v>
                </c:pt>
                <c:pt idx="436">
                  <c:v>5030</c:v>
                </c:pt>
                <c:pt idx="437">
                  <c:v>5030</c:v>
                </c:pt>
                <c:pt idx="438">
                  <c:v>5030</c:v>
                </c:pt>
                <c:pt idx="439">
                  <c:v>5030</c:v>
                </c:pt>
                <c:pt idx="440">
                  <c:v>5030</c:v>
                </c:pt>
                <c:pt idx="441">
                  <c:v>5030</c:v>
                </c:pt>
                <c:pt idx="442">
                  <c:v>5030</c:v>
                </c:pt>
                <c:pt idx="443">
                  <c:v>5070</c:v>
                </c:pt>
                <c:pt idx="444">
                  <c:v>5070</c:v>
                </c:pt>
                <c:pt idx="445">
                  <c:v>5070</c:v>
                </c:pt>
                <c:pt idx="446">
                  <c:v>5070</c:v>
                </c:pt>
                <c:pt idx="447">
                  <c:v>5070</c:v>
                </c:pt>
                <c:pt idx="448">
                  <c:v>5070</c:v>
                </c:pt>
                <c:pt idx="449">
                  <c:v>5070</c:v>
                </c:pt>
                <c:pt idx="450">
                  <c:v>5070</c:v>
                </c:pt>
                <c:pt idx="451">
                  <c:v>5070</c:v>
                </c:pt>
                <c:pt idx="452">
                  <c:v>5070</c:v>
                </c:pt>
                <c:pt idx="453">
                  <c:v>5070</c:v>
                </c:pt>
                <c:pt idx="454">
                  <c:v>5070</c:v>
                </c:pt>
                <c:pt idx="455">
                  <c:v>5070</c:v>
                </c:pt>
                <c:pt idx="456">
                  <c:v>5070</c:v>
                </c:pt>
                <c:pt idx="457">
                  <c:v>5070</c:v>
                </c:pt>
                <c:pt idx="458">
                  <c:v>5070</c:v>
                </c:pt>
                <c:pt idx="459">
                  <c:v>5070</c:v>
                </c:pt>
                <c:pt idx="460">
                  <c:v>5070</c:v>
                </c:pt>
                <c:pt idx="461">
                  <c:v>5070</c:v>
                </c:pt>
                <c:pt idx="462">
                  <c:v>5070</c:v>
                </c:pt>
                <c:pt idx="463">
                  <c:v>5070</c:v>
                </c:pt>
                <c:pt idx="464">
                  <c:v>5070</c:v>
                </c:pt>
                <c:pt idx="465">
                  <c:v>5070</c:v>
                </c:pt>
                <c:pt idx="466">
                  <c:v>5070</c:v>
                </c:pt>
                <c:pt idx="467">
                  <c:v>5070</c:v>
                </c:pt>
                <c:pt idx="468">
                  <c:v>5095</c:v>
                </c:pt>
                <c:pt idx="469">
                  <c:v>5095</c:v>
                </c:pt>
                <c:pt idx="470">
                  <c:v>5095</c:v>
                </c:pt>
                <c:pt idx="471">
                  <c:v>5095</c:v>
                </c:pt>
                <c:pt idx="472">
                  <c:v>5095</c:v>
                </c:pt>
                <c:pt idx="473">
                  <c:v>5095</c:v>
                </c:pt>
                <c:pt idx="474">
                  <c:v>5095</c:v>
                </c:pt>
                <c:pt idx="475">
                  <c:v>5119</c:v>
                </c:pt>
                <c:pt idx="476">
                  <c:v>5119</c:v>
                </c:pt>
                <c:pt idx="477">
                  <c:v>5119</c:v>
                </c:pt>
                <c:pt idx="478">
                  <c:v>5119</c:v>
                </c:pt>
                <c:pt idx="479">
                  <c:v>5119</c:v>
                </c:pt>
                <c:pt idx="480">
                  <c:v>5119</c:v>
                </c:pt>
                <c:pt idx="481">
                  <c:v>5119</c:v>
                </c:pt>
                <c:pt idx="482">
                  <c:v>5119</c:v>
                </c:pt>
                <c:pt idx="483">
                  <c:v>5119</c:v>
                </c:pt>
                <c:pt idx="484">
                  <c:v>5144</c:v>
                </c:pt>
                <c:pt idx="485">
                  <c:v>5144</c:v>
                </c:pt>
                <c:pt idx="486">
                  <c:v>5144</c:v>
                </c:pt>
                <c:pt idx="487">
                  <c:v>5230</c:v>
                </c:pt>
                <c:pt idx="488">
                  <c:v>5230</c:v>
                </c:pt>
                <c:pt idx="489">
                  <c:v>5230</c:v>
                </c:pt>
                <c:pt idx="490">
                  <c:v>5260</c:v>
                </c:pt>
                <c:pt idx="491">
                  <c:v>5290</c:v>
                </c:pt>
                <c:pt idx="492">
                  <c:v>5290</c:v>
                </c:pt>
                <c:pt idx="493">
                  <c:v>5290</c:v>
                </c:pt>
                <c:pt idx="494">
                  <c:v>5290</c:v>
                </c:pt>
                <c:pt idx="495">
                  <c:v>5290</c:v>
                </c:pt>
                <c:pt idx="496">
                  <c:v>5290</c:v>
                </c:pt>
                <c:pt idx="497">
                  <c:v>5290</c:v>
                </c:pt>
                <c:pt idx="498">
                  <c:v>5290</c:v>
                </c:pt>
                <c:pt idx="499">
                  <c:v>5290</c:v>
                </c:pt>
                <c:pt idx="500">
                  <c:v>5290</c:v>
                </c:pt>
                <c:pt idx="501">
                  <c:v>5290</c:v>
                </c:pt>
                <c:pt idx="502">
                  <c:v>5290</c:v>
                </c:pt>
                <c:pt idx="503">
                  <c:v>5290</c:v>
                </c:pt>
                <c:pt idx="504">
                  <c:v>5290</c:v>
                </c:pt>
                <c:pt idx="505">
                  <c:v>5290</c:v>
                </c:pt>
                <c:pt idx="506">
                  <c:v>5290</c:v>
                </c:pt>
                <c:pt idx="507">
                  <c:v>5290</c:v>
                </c:pt>
                <c:pt idx="508">
                  <c:v>5115</c:v>
                </c:pt>
                <c:pt idx="509">
                  <c:v>5185</c:v>
                </c:pt>
                <c:pt idx="510">
                  <c:v>5185</c:v>
                </c:pt>
                <c:pt idx="511">
                  <c:v>5185</c:v>
                </c:pt>
                <c:pt idx="512">
                  <c:v>5185</c:v>
                </c:pt>
                <c:pt idx="513">
                  <c:v>5185</c:v>
                </c:pt>
                <c:pt idx="514">
                  <c:v>5185</c:v>
                </c:pt>
                <c:pt idx="515">
                  <c:v>5185</c:v>
                </c:pt>
                <c:pt idx="516">
                  <c:v>5185</c:v>
                </c:pt>
                <c:pt idx="517">
                  <c:v>5185</c:v>
                </c:pt>
                <c:pt idx="518">
                  <c:v>5185</c:v>
                </c:pt>
                <c:pt idx="519">
                  <c:v>5185</c:v>
                </c:pt>
                <c:pt idx="520">
                  <c:v>5185</c:v>
                </c:pt>
                <c:pt idx="521">
                  <c:v>5185</c:v>
                </c:pt>
                <c:pt idx="522">
                  <c:v>5195</c:v>
                </c:pt>
                <c:pt idx="523">
                  <c:v>5195</c:v>
                </c:pt>
                <c:pt idx="524">
                  <c:v>5195</c:v>
                </c:pt>
                <c:pt idx="525">
                  <c:v>5210</c:v>
                </c:pt>
                <c:pt idx="526">
                  <c:v>5210</c:v>
                </c:pt>
                <c:pt idx="527">
                  <c:v>5210</c:v>
                </c:pt>
                <c:pt idx="528">
                  <c:v>5210</c:v>
                </c:pt>
                <c:pt idx="529">
                  <c:v>5210</c:v>
                </c:pt>
                <c:pt idx="530">
                  <c:v>5240</c:v>
                </c:pt>
                <c:pt idx="531">
                  <c:v>5240</c:v>
                </c:pt>
                <c:pt idx="532">
                  <c:v>5240</c:v>
                </c:pt>
                <c:pt idx="533">
                  <c:v>5240</c:v>
                </c:pt>
                <c:pt idx="534">
                  <c:v>5240</c:v>
                </c:pt>
                <c:pt idx="535">
                  <c:v>5240</c:v>
                </c:pt>
                <c:pt idx="536">
                  <c:v>5240</c:v>
                </c:pt>
                <c:pt idx="537">
                  <c:v>5240</c:v>
                </c:pt>
                <c:pt idx="538">
                  <c:v>5240</c:v>
                </c:pt>
                <c:pt idx="539">
                  <c:v>5240</c:v>
                </c:pt>
                <c:pt idx="540">
                  <c:v>5240</c:v>
                </c:pt>
                <c:pt idx="541">
                  <c:v>5240</c:v>
                </c:pt>
                <c:pt idx="542">
                  <c:v>5240</c:v>
                </c:pt>
                <c:pt idx="543">
                  <c:v>5180</c:v>
                </c:pt>
                <c:pt idx="544">
                  <c:v>5180</c:v>
                </c:pt>
                <c:pt idx="545">
                  <c:v>5180</c:v>
                </c:pt>
                <c:pt idx="546">
                  <c:v>5180</c:v>
                </c:pt>
                <c:pt idx="547">
                  <c:v>5180</c:v>
                </c:pt>
                <c:pt idx="548">
                  <c:v>5180</c:v>
                </c:pt>
                <c:pt idx="549">
                  <c:v>5180</c:v>
                </c:pt>
                <c:pt idx="550">
                  <c:v>5180</c:v>
                </c:pt>
                <c:pt idx="551">
                  <c:v>5180</c:v>
                </c:pt>
                <c:pt idx="552">
                  <c:v>5180</c:v>
                </c:pt>
                <c:pt idx="553">
                  <c:v>5180</c:v>
                </c:pt>
                <c:pt idx="554">
                  <c:v>5180</c:v>
                </c:pt>
                <c:pt idx="555">
                  <c:v>5180</c:v>
                </c:pt>
                <c:pt idx="556">
                  <c:v>5180</c:v>
                </c:pt>
                <c:pt idx="557">
                  <c:v>5180</c:v>
                </c:pt>
                <c:pt idx="558">
                  <c:v>5195</c:v>
                </c:pt>
                <c:pt idx="559">
                  <c:v>5195</c:v>
                </c:pt>
                <c:pt idx="560">
                  <c:v>5195</c:v>
                </c:pt>
                <c:pt idx="561">
                  <c:v>5195</c:v>
                </c:pt>
                <c:pt idx="562">
                  <c:v>5195</c:v>
                </c:pt>
                <c:pt idx="563">
                  <c:v>5195</c:v>
                </c:pt>
                <c:pt idx="564">
                  <c:v>5195</c:v>
                </c:pt>
                <c:pt idx="565">
                  <c:v>5195</c:v>
                </c:pt>
                <c:pt idx="566">
                  <c:v>5195</c:v>
                </c:pt>
                <c:pt idx="567">
                  <c:v>5195</c:v>
                </c:pt>
                <c:pt idx="568">
                  <c:v>5195</c:v>
                </c:pt>
                <c:pt idx="569">
                  <c:v>5195</c:v>
                </c:pt>
                <c:pt idx="570">
                  <c:v>5195</c:v>
                </c:pt>
                <c:pt idx="571">
                  <c:v>5195</c:v>
                </c:pt>
                <c:pt idx="572">
                  <c:v>5195</c:v>
                </c:pt>
                <c:pt idx="573">
                  <c:v>5195</c:v>
                </c:pt>
                <c:pt idx="574">
                  <c:v>5195</c:v>
                </c:pt>
                <c:pt idx="575">
                  <c:v>5195</c:v>
                </c:pt>
                <c:pt idx="576">
                  <c:v>5195</c:v>
                </c:pt>
                <c:pt idx="577">
                  <c:v>5195</c:v>
                </c:pt>
                <c:pt idx="578">
                  <c:v>5195</c:v>
                </c:pt>
                <c:pt idx="579">
                  <c:v>5195</c:v>
                </c:pt>
                <c:pt idx="580">
                  <c:v>5225</c:v>
                </c:pt>
                <c:pt idx="581">
                  <c:v>5225</c:v>
                </c:pt>
                <c:pt idx="582">
                  <c:v>5225</c:v>
                </c:pt>
                <c:pt idx="583">
                  <c:v>5225</c:v>
                </c:pt>
                <c:pt idx="584">
                  <c:v>5225</c:v>
                </c:pt>
                <c:pt idx="585">
                  <c:v>5225</c:v>
                </c:pt>
                <c:pt idx="586">
                  <c:v>5225</c:v>
                </c:pt>
                <c:pt idx="587">
                  <c:v>5225</c:v>
                </c:pt>
                <c:pt idx="588">
                  <c:v>5225</c:v>
                </c:pt>
                <c:pt idx="589">
                  <c:v>5225</c:v>
                </c:pt>
                <c:pt idx="590">
                  <c:v>5225</c:v>
                </c:pt>
                <c:pt idx="591">
                  <c:v>5225</c:v>
                </c:pt>
                <c:pt idx="592">
                  <c:v>5225</c:v>
                </c:pt>
                <c:pt idx="593">
                  <c:v>5225</c:v>
                </c:pt>
                <c:pt idx="594">
                  <c:v>5225</c:v>
                </c:pt>
                <c:pt idx="595">
                  <c:v>5225</c:v>
                </c:pt>
                <c:pt idx="596">
                  <c:v>5225</c:v>
                </c:pt>
                <c:pt idx="597">
                  <c:v>5225</c:v>
                </c:pt>
                <c:pt idx="598">
                  <c:v>5225</c:v>
                </c:pt>
                <c:pt idx="599">
                  <c:v>5225</c:v>
                </c:pt>
                <c:pt idx="600">
                  <c:v>5225</c:v>
                </c:pt>
                <c:pt idx="601">
                  <c:v>5225</c:v>
                </c:pt>
                <c:pt idx="602">
                  <c:v>5225</c:v>
                </c:pt>
                <c:pt idx="603">
                  <c:v>5225</c:v>
                </c:pt>
                <c:pt idx="604">
                  <c:v>5225</c:v>
                </c:pt>
                <c:pt idx="605">
                  <c:v>5225</c:v>
                </c:pt>
                <c:pt idx="606">
                  <c:v>5225</c:v>
                </c:pt>
                <c:pt idx="607">
                  <c:v>5225</c:v>
                </c:pt>
                <c:pt idx="608">
                  <c:v>5225</c:v>
                </c:pt>
                <c:pt idx="609">
                  <c:v>5225</c:v>
                </c:pt>
                <c:pt idx="610">
                  <c:v>5225</c:v>
                </c:pt>
                <c:pt idx="611">
                  <c:v>5225</c:v>
                </c:pt>
                <c:pt idx="612">
                  <c:v>5225</c:v>
                </c:pt>
                <c:pt idx="613">
                  <c:v>5185</c:v>
                </c:pt>
                <c:pt idx="614">
                  <c:v>5185</c:v>
                </c:pt>
                <c:pt idx="615">
                  <c:v>5185</c:v>
                </c:pt>
                <c:pt idx="616">
                  <c:v>5185</c:v>
                </c:pt>
                <c:pt idx="617">
                  <c:v>5185</c:v>
                </c:pt>
                <c:pt idx="618">
                  <c:v>5185</c:v>
                </c:pt>
                <c:pt idx="619">
                  <c:v>5185</c:v>
                </c:pt>
                <c:pt idx="620">
                  <c:v>5185</c:v>
                </c:pt>
                <c:pt idx="621">
                  <c:v>5185</c:v>
                </c:pt>
                <c:pt idx="622">
                  <c:v>5185</c:v>
                </c:pt>
                <c:pt idx="623">
                  <c:v>5185</c:v>
                </c:pt>
                <c:pt idx="624">
                  <c:v>5185</c:v>
                </c:pt>
                <c:pt idx="625">
                  <c:v>5185</c:v>
                </c:pt>
                <c:pt idx="626">
                  <c:v>5185</c:v>
                </c:pt>
                <c:pt idx="627">
                  <c:v>5185</c:v>
                </c:pt>
                <c:pt idx="628">
                  <c:v>5185</c:v>
                </c:pt>
                <c:pt idx="629">
                  <c:v>5185</c:v>
                </c:pt>
                <c:pt idx="630">
                  <c:v>5185</c:v>
                </c:pt>
                <c:pt idx="631">
                  <c:v>5185</c:v>
                </c:pt>
                <c:pt idx="632">
                  <c:v>5185</c:v>
                </c:pt>
                <c:pt idx="633">
                  <c:v>5185</c:v>
                </c:pt>
                <c:pt idx="634">
                  <c:v>5185</c:v>
                </c:pt>
                <c:pt idx="635">
                  <c:v>5185</c:v>
                </c:pt>
                <c:pt idx="636">
                  <c:v>5185</c:v>
                </c:pt>
                <c:pt idx="637">
                  <c:v>5185</c:v>
                </c:pt>
                <c:pt idx="638">
                  <c:v>5185</c:v>
                </c:pt>
                <c:pt idx="639">
                  <c:v>5185</c:v>
                </c:pt>
                <c:pt idx="640">
                  <c:v>5185</c:v>
                </c:pt>
                <c:pt idx="641">
                  <c:v>5185</c:v>
                </c:pt>
                <c:pt idx="642">
                  <c:v>5185</c:v>
                </c:pt>
                <c:pt idx="643">
                  <c:v>5185</c:v>
                </c:pt>
                <c:pt idx="644">
                  <c:v>5185</c:v>
                </c:pt>
                <c:pt idx="645">
                  <c:v>5185</c:v>
                </c:pt>
                <c:pt idx="646">
                  <c:v>5185</c:v>
                </c:pt>
                <c:pt idx="647">
                  <c:v>5185</c:v>
                </c:pt>
                <c:pt idx="648">
                  <c:v>5185</c:v>
                </c:pt>
                <c:pt idx="649">
                  <c:v>5185</c:v>
                </c:pt>
                <c:pt idx="650">
                  <c:v>5185</c:v>
                </c:pt>
                <c:pt idx="651">
                  <c:v>5185</c:v>
                </c:pt>
                <c:pt idx="652">
                  <c:v>5185</c:v>
                </c:pt>
                <c:pt idx="653">
                  <c:v>5185</c:v>
                </c:pt>
                <c:pt idx="654">
                  <c:v>5185</c:v>
                </c:pt>
                <c:pt idx="655">
                  <c:v>5185</c:v>
                </c:pt>
                <c:pt idx="656">
                  <c:v>5185</c:v>
                </c:pt>
                <c:pt idx="657">
                  <c:v>5185</c:v>
                </c:pt>
                <c:pt idx="658">
                  <c:v>5185</c:v>
                </c:pt>
                <c:pt idx="659">
                  <c:v>5185</c:v>
                </c:pt>
                <c:pt idx="660">
                  <c:v>5185</c:v>
                </c:pt>
                <c:pt idx="661">
                  <c:v>5185</c:v>
                </c:pt>
                <c:pt idx="662">
                  <c:v>5185</c:v>
                </c:pt>
                <c:pt idx="663">
                  <c:v>5185</c:v>
                </c:pt>
                <c:pt idx="664">
                  <c:v>5185</c:v>
                </c:pt>
                <c:pt idx="665">
                  <c:v>5185</c:v>
                </c:pt>
                <c:pt idx="666">
                  <c:v>5185</c:v>
                </c:pt>
                <c:pt idx="667">
                  <c:v>5185</c:v>
                </c:pt>
                <c:pt idx="668">
                  <c:v>5185</c:v>
                </c:pt>
                <c:pt idx="669">
                  <c:v>5185</c:v>
                </c:pt>
                <c:pt idx="670">
                  <c:v>5185</c:v>
                </c:pt>
                <c:pt idx="671">
                  <c:v>5185</c:v>
                </c:pt>
                <c:pt idx="672">
                  <c:v>5185</c:v>
                </c:pt>
                <c:pt idx="673">
                  <c:v>5185</c:v>
                </c:pt>
                <c:pt idx="674">
                  <c:v>5185</c:v>
                </c:pt>
                <c:pt idx="675">
                  <c:v>5185</c:v>
                </c:pt>
                <c:pt idx="676">
                  <c:v>5185</c:v>
                </c:pt>
                <c:pt idx="677">
                  <c:v>5185</c:v>
                </c:pt>
                <c:pt idx="678">
                  <c:v>5185</c:v>
                </c:pt>
                <c:pt idx="679">
                  <c:v>5185</c:v>
                </c:pt>
                <c:pt idx="680">
                  <c:v>5185</c:v>
                </c:pt>
                <c:pt idx="681">
                  <c:v>5185</c:v>
                </c:pt>
                <c:pt idx="682">
                  <c:v>5185</c:v>
                </c:pt>
                <c:pt idx="683">
                  <c:v>5185</c:v>
                </c:pt>
                <c:pt idx="684">
                  <c:v>5185</c:v>
                </c:pt>
                <c:pt idx="685">
                  <c:v>5185</c:v>
                </c:pt>
                <c:pt idx="686">
                  <c:v>5185</c:v>
                </c:pt>
                <c:pt idx="687">
                  <c:v>5185</c:v>
                </c:pt>
                <c:pt idx="688">
                  <c:v>5185</c:v>
                </c:pt>
                <c:pt idx="689">
                  <c:v>5185</c:v>
                </c:pt>
                <c:pt idx="690">
                  <c:v>5185</c:v>
                </c:pt>
                <c:pt idx="691">
                  <c:v>5185</c:v>
                </c:pt>
                <c:pt idx="692">
                  <c:v>5185</c:v>
                </c:pt>
                <c:pt idx="693">
                  <c:v>5185</c:v>
                </c:pt>
                <c:pt idx="694">
                  <c:v>5185</c:v>
                </c:pt>
                <c:pt idx="695">
                  <c:v>5185</c:v>
                </c:pt>
                <c:pt idx="696">
                  <c:v>5185</c:v>
                </c:pt>
                <c:pt idx="697">
                  <c:v>5185</c:v>
                </c:pt>
                <c:pt idx="698">
                  <c:v>5185</c:v>
                </c:pt>
                <c:pt idx="699">
                  <c:v>5185</c:v>
                </c:pt>
                <c:pt idx="700">
                  <c:v>5185</c:v>
                </c:pt>
                <c:pt idx="701">
                  <c:v>5185</c:v>
                </c:pt>
                <c:pt idx="702">
                  <c:v>5185</c:v>
                </c:pt>
                <c:pt idx="703">
                  <c:v>5185</c:v>
                </c:pt>
                <c:pt idx="704">
                  <c:v>5185</c:v>
                </c:pt>
                <c:pt idx="705">
                  <c:v>5185</c:v>
                </c:pt>
                <c:pt idx="706">
                  <c:v>5185</c:v>
                </c:pt>
                <c:pt idx="707">
                  <c:v>5185</c:v>
                </c:pt>
                <c:pt idx="708">
                  <c:v>5185</c:v>
                </c:pt>
                <c:pt idx="709">
                  <c:v>5185</c:v>
                </c:pt>
                <c:pt idx="710">
                  <c:v>5149</c:v>
                </c:pt>
                <c:pt idx="711">
                  <c:v>5149</c:v>
                </c:pt>
                <c:pt idx="712">
                  <c:v>5149</c:v>
                </c:pt>
                <c:pt idx="713">
                  <c:v>5149</c:v>
                </c:pt>
                <c:pt idx="714">
                  <c:v>5149</c:v>
                </c:pt>
                <c:pt idx="715">
                  <c:v>5149</c:v>
                </c:pt>
                <c:pt idx="716">
                  <c:v>5149</c:v>
                </c:pt>
                <c:pt idx="717">
                  <c:v>5149</c:v>
                </c:pt>
                <c:pt idx="718">
                  <c:v>5149</c:v>
                </c:pt>
                <c:pt idx="719">
                  <c:v>5149</c:v>
                </c:pt>
                <c:pt idx="720">
                  <c:v>5149</c:v>
                </c:pt>
                <c:pt idx="721">
                  <c:v>5149</c:v>
                </c:pt>
                <c:pt idx="722">
                  <c:v>5149</c:v>
                </c:pt>
                <c:pt idx="723">
                  <c:v>5149</c:v>
                </c:pt>
                <c:pt idx="724">
                  <c:v>5149</c:v>
                </c:pt>
                <c:pt idx="725">
                  <c:v>5149</c:v>
                </c:pt>
                <c:pt idx="726">
                  <c:v>5149</c:v>
                </c:pt>
                <c:pt idx="727">
                  <c:v>5149</c:v>
                </c:pt>
                <c:pt idx="728">
                  <c:v>5149</c:v>
                </c:pt>
                <c:pt idx="729">
                  <c:v>5149</c:v>
                </c:pt>
                <c:pt idx="730">
                  <c:v>5149</c:v>
                </c:pt>
                <c:pt idx="731">
                  <c:v>5149</c:v>
                </c:pt>
                <c:pt idx="732">
                  <c:v>5149</c:v>
                </c:pt>
                <c:pt idx="733">
                  <c:v>5149</c:v>
                </c:pt>
                <c:pt idx="734">
                  <c:v>5149</c:v>
                </c:pt>
                <c:pt idx="735">
                  <c:v>5149</c:v>
                </c:pt>
                <c:pt idx="736">
                  <c:v>5149</c:v>
                </c:pt>
                <c:pt idx="737">
                  <c:v>5249</c:v>
                </c:pt>
                <c:pt idx="738">
                  <c:v>5249</c:v>
                </c:pt>
                <c:pt idx="739">
                  <c:v>5249</c:v>
                </c:pt>
                <c:pt idx="740">
                  <c:v>5249</c:v>
                </c:pt>
                <c:pt idx="741">
                  <c:v>5249</c:v>
                </c:pt>
                <c:pt idx="742">
                  <c:v>5249</c:v>
                </c:pt>
                <c:pt idx="743">
                  <c:v>5249</c:v>
                </c:pt>
                <c:pt idx="744">
                  <c:v>5249</c:v>
                </c:pt>
                <c:pt idx="745">
                  <c:v>5249</c:v>
                </c:pt>
                <c:pt idx="746">
                  <c:v>5249</c:v>
                </c:pt>
                <c:pt idx="747">
                  <c:v>5249</c:v>
                </c:pt>
                <c:pt idx="748">
                  <c:v>5249</c:v>
                </c:pt>
                <c:pt idx="749">
                  <c:v>5249</c:v>
                </c:pt>
                <c:pt idx="750">
                  <c:v>5249</c:v>
                </c:pt>
                <c:pt idx="751">
                  <c:v>5249</c:v>
                </c:pt>
                <c:pt idx="752">
                  <c:v>5249</c:v>
                </c:pt>
                <c:pt idx="753">
                  <c:v>5249</c:v>
                </c:pt>
                <c:pt idx="754">
                  <c:v>5249</c:v>
                </c:pt>
                <c:pt idx="755">
                  <c:v>5249</c:v>
                </c:pt>
                <c:pt idx="756">
                  <c:v>5249</c:v>
                </c:pt>
                <c:pt idx="757">
                  <c:v>5249</c:v>
                </c:pt>
                <c:pt idx="758">
                  <c:v>5249</c:v>
                </c:pt>
                <c:pt idx="759">
                  <c:v>5249</c:v>
                </c:pt>
                <c:pt idx="760">
                  <c:v>5249</c:v>
                </c:pt>
                <c:pt idx="761">
                  <c:v>5249</c:v>
                </c:pt>
                <c:pt idx="762">
                  <c:v>5249</c:v>
                </c:pt>
                <c:pt idx="763">
                  <c:v>5249</c:v>
                </c:pt>
                <c:pt idx="764">
                  <c:v>5249</c:v>
                </c:pt>
                <c:pt idx="765">
                  <c:v>5299</c:v>
                </c:pt>
                <c:pt idx="766">
                  <c:v>5299</c:v>
                </c:pt>
                <c:pt idx="767">
                  <c:v>5299</c:v>
                </c:pt>
                <c:pt idx="768">
                  <c:v>5299</c:v>
                </c:pt>
                <c:pt idx="769">
                  <c:v>5299</c:v>
                </c:pt>
                <c:pt idx="770">
                  <c:v>5299</c:v>
                </c:pt>
                <c:pt idx="771">
                  <c:v>5299</c:v>
                </c:pt>
                <c:pt idx="772">
                  <c:v>5299</c:v>
                </c:pt>
                <c:pt idx="773">
                  <c:v>5299</c:v>
                </c:pt>
                <c:pt idx="774">
                  <c:v>5299</c:v>
                </c:pt>
                <c:pt idx="775">
                  <c:v>5299</c:v>
                </c:pt>
                <c:pt idx="776">
                  <c:v>5299</c:v>
                </c:pt>
                <c:pt idx="777">
                  <c:v>5299</c:v>
                </c:pt>
                <c:pt idx="778">
                  <c:v>5299</c:v>
                </c:pt>
                <c:pt idx="779">
                  <c:v>5299</c:v>
                </c:pt>
                <c:pt idx="780">
                  <c:v>5299</c:v>
                </c:pt>
                <c:pt idx="781">
                  <c:v>5299</c:v>
                </c:pt>
                <c:pt idx="782">
                  <c:v>5299</c:v>
                </c:pt>
                <c:pt idx="783">
                  <c:v>5299</c:v>
                </c:pt>
                <c:pt idx="784">
                  <c:v>5299</c:v>
                </c:pt>
                <c:pt idx="785">
                  <c:v>5299</c:v>
                </c:pt>
                <c:pt idx="786">
                  <c:v>5299</c:v>
                </c:pt>
                <c:pt idx="787">
                  <c:v>5299</c:v>
                </c:pt>
                <c:pt idx="788">
                  <c:v>5299</c:v>
                </c:pt>
                <c:pt idx="789">
                  <c:v>5299</c:v>
                </c:pt>
                <c:pt idx="790">
                  <c:v>5299</c:v>
                </c:pt>
                <c:pt idx="791">
                  <c:v>5299</c:v>
                </c:pt>
                <c:pt idx="792">
                  <c:v>5299</c:v>
                </c:pt>
                <c:pt idx="793">
                  <c:v>5299</c:v>
                </c:pt>
                <c:pt idx="794">
                  <c:v>5299</c:v>
                </c:pt>
                <c:pt idx="795">
                  <c:v>5299</c:v>
                </c:pt>
                <c:pt idx="796">
                  <c:v>5299</c:v>
                </c:pt>
                <c:pt idx="797">
                  <c:v>5299</c:v>
                </c:pt>
                <c:pt idx="798">
                  <c:v>5299</c:v>
                </c:pt>
                <c:pt idx="799">
                  <c:v>5299</c:v>
                </c:pt>
                <c:pt idx="800">
                  <c:v>5299</c:v>
                </c:pt>
                <c:pt idx="801">
                  <c:v>5299</c:v>
                </c:pt>
                <c:pt idx="802">
                  <c:v>5299</c:v>
                </c:pt>
                <c:pt idx="803">
                  <c:v>5299</c:v>
                </c:pt>
                <c:pt idx="804">
                  <c:v>5299</c:v>
                </c:pt>
                <c:pt idx="805">
                  <c:v>5399</c:v>
                </c:pt>
                <c:pt idx="806">
                  <c:v>5399</c:v>
                </c:pt>
                <c:pt idx="807">
                  <c:v>5399</c:v>
                </c:pt>
                <c:pt idx="808">
                  <c:v>5399</c:v>
                </c:pt>
                <c:pt idx="809">
                  <c:v>5399</c:v>
                </c:pt>
                <c:pt idx="810">
                  <c:v>5399</c:v>
                </c:pt>
                <c:pt idx="811">
                  <c:v>5399</c:v>
                </c:pt>
                <c:pt idx="812">
                  <c:v>5399</c:v>
                </c:pt>
                <c:pt idx="813">
                  <c:v>5399</c:v>
                </c:pt>
                <c:pt idx="814">
                  <c:v>5399</c:v>
                </c:pt>
                <c:pt idx="815">
                  <c:v>5399</c:v>
                </c:pt>
                <c:pt idx="816">
                  <c:v>5399</c:v>
                </c:pt>
                <c:pt idx="817">
                  <c:v>5399</c:v>
                </c:pt>
                <c:pt idx="818">
                  <c:v>5399</c:v>
                </c:pt>
                <c:pt idx="819">
                  <c:v>5399</c:v>
                </c:pt>
                <c:pt idx="820">
                  <c:v>5475</c:v>
                </c:pt>
                <c:pt idx="821">
                  <c:v>5475</c:v>
                </c:pt>
                <c:pt idx="822">
                  <c:v>5475</c:v>
                </c:pt>
                <c:pt idx="823">
                  <c:v>5475</c:v>
                </c:pt>
                <c:pt idx="824">
                  <c:v>5475</c:v>
                </c:pt>
                <c:pt idx="825">
                  <c:v>5475</c:v>
                </c:pt>
                <c:pt idx="826">
                  <c:v>5475</c:v>
                </c:pt>
                <c:pt idx="827">
                  <c:v>5499</c:v>
                </c:pt>
                <c:pt idx="828">
                  <c:v>5499</c:v>
                </c:pt>
                <c:pt idx="829">
                  <c:v>5499</c:v>
                </c:pt>
                <c:pt idx="830">
                  <c:v>5499</c:v>
                </c:pt>
                <c:pt idx="831">
                  <c:v>5499</c:v>
                </c:pt>
                <c:pt idx="832">
                  <c:v>5510</c:v>
                </c:pt>
                <c:pt idx="833">
                  <c:v>5510</c:v>
                </c:pt>
                <c:pt idx="834">
                  <c:v>5510</c:v>
                </c:pt>
                <c:pt idx="835">
                  <c:v>5510</c:v>
                </c:pt>
                <c:pt idx="836">
                  <c:v>5510</c:v>
                </c:pt>
                <c:pt idx="837">
                  <c:v>5510</c:v>
                </c:pt>
                <c:pt idx="838">
                  <c:v>5510</c:v>
                </c:pt>
                <c:pt idx="839">
                  <c:v>5510</c:v>
                </c:pt>
                <c:pt idx="840">
                  <c:v>5510</c:v>
                </c:pt>
                <c:pt idx="841">
                  <c:v>5510</c:v>
                </c:pt>
                <c:pt idx="842">
                  <c:v>5510</c:v>
                </c:pt>
                <c:pt idx="843">
                  <c:v>5510</c:v>
                </c:pt>
                <c:pt idx="844">
                  <c:v>5510</c:v>
                </c:pt>
                <c:pt idx="845">
                  <c:v>5510</c:v>
                </c:pt>
                <c:pt idx="846">
                  <c:v>5510</c:v>
                </c:pt>
                <c:pt idx="847">
                  <c:v>5510</c:v>
                </c:pt>
                <c:pt idx="848">
                  <c:v>5510</c:v>
                </c:pt>
                <c:pt idx="849">
                  <c:v>5510</c:v>
                </c:pt>
                <c:pt idx="850">
                  <c:v>5510</c:v>
                </c:pt>
                <c:pt idx="851">
                  <c:v>5510</c:v>
                </c:pt>
                <c:pt idx="852">
                  <c:v>5510</c:v>
                </c:pt>
                <c:pt idx="853">
                  <c:v>5510</c:v>
                </c:pt>
                <c:pt idx="854">
                  <c:v>5560</c:v>
                </c:pt>
                <c:pt idx="855">
                  <c:v>5835</c:v>
                </c:pt>
                <c:pt idx="856">
                  <c:v>5835</c:v>
                </c:pt>
                <c:pt idx="857">
                  <c:v>5835</c:v>
                </c:pt>
                <c:pt idx="858">
                  <c:v>5835</c:v>
                </c:pt>
                <c:pt idx="859">
                  <c:v>5835</c:v>
                </c:pt>
                <c:pt idx="860">
                  <c:v>5835</c:v>
                </c:pt>
                <c:pt idx="861">
                  <c:v>5835</c:v>
                </c:pt>
                <c:pt idx="862">
                  <c:v>5835</c:v>
                </c:pt>
                <c:pt idx="863">
                  <c:v>5835</c:v>
                </c:pt>
                <c:pt idx="864">
                  <c:v>5835</c:v>
                </c:pt>
                <c:pt idx="865">
                  <c:v>5835</c:v>
                </c:pt>
                <c:pt idx="866">
                  <c:v>5835</c:v>
                </c:pt>
                <c:pt idx="867">
                  <c:v>5835</c:v>
                </c:pt>
                <c:pt idx="868">
                  <c:v>5835</c:v>
                </c:pt>
                <c:pt idx="869">
                  <c:v>5835</c:v>
                </c:pt>
                <c:pt idx="870">
                  <c:v>5835</c:v>
                </c:pt>
                <c:pt idx="871">
                  <c:v>5835</c:v>
                </c:pt>
                <c:pt idx="872">
                  <c:v>5835</c:v>
                </c:pt>
                <c:pt idx="873">
                  <c:v>5835</c:v>
                </c:pt>
                <c:pt idx="874">
                  <c:v>5835</c:v>
                </c:pt>
                <c:pt idx="875">
                  <c:v>6390</c:v>
                </c:pt>
                <c:pt idx="876">
                  <c:v>6390</c:v>
                </c:pt>
                <c:pt idx="877">
                  <c:v>6390</c:v>
                </c:pt>
                <c:pt idx="878">
                  <c:v>6390</c:v>
                </c:pt>
                <c:pt idx="879">
                  <c:v>6390</c:v>
                </c:pt>
                <c:pt idx="880">
                  <c:v>6390</c:v>
                </c:pt>
                <c:pt idx="881">
                  <c:v>6390</c:v>
                </c:pt>
                <c:pt idx="882">
                  <c:v>6390</c:v>
                </c:pt>
                <c:pt idx="883">
                  <c:v>6390</c:v>
                </c:pt>
                <c:pt idx="884">
                  <c:v>6390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3-4675-8CF1-E99C3E7C4480}"/>
            </c:ext>
          </c:extLst>
        </c:ser>
        <c:ser>
          <c:idx val="3"/>
          <c:order val="3"/>
          <c:tx>
            <c:strRef>
              <c:f>'CASH FLOW'!$E$1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FLOW'!$E$2:$E$969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5299</c:v>
                </c:pt>
                <c:pt idx="3">
                  <c:v>5299</c:v>
                </c:pt>
                <c:pt idx="4">
                  <c:v>5299</c:v>
                </c:pt>
                <c:pt idx="5">
                  <c:v>5299</c:v>
                </c:pt>
                <c:pt idx="6">
                  <c:v>5299</c:v>
                </c:pt>
                <c:pt idx="7">
                  <c:v>5299</c:v>
                </c:pt>
                <c:pt idx="8">
                  <c:v>5299</c:v>
                </c:pt>
                <c:pt idx="9">
                  <c:v>5299</c:v>
                </c:pt>
                <c:pt idx="10">
                  <c:v>5299</c:v>
                </c:pt>
                <c:pt idx="11">
                  <c:v>5299</c:v>
                </c:pt>
                <c:pt idx="12">
                  <c:v>5299</c:v>
                </c:pt>
                <c:pt idx="13">
                  <c:v>5299</c:v>
                </c:pt>
                <c:pt idx="14">
                  <c:v>5299</c:v>
                </c:pt>
                <c:pt idx="15">
                  <c:v>5299</c:v>
                </c:pt>
                <c:pt idx="16">
                  <c:v>5299</c:v>
                </c:pt>
                <c:pt idx="17">
                  <c:v>5299</c:v>
                </c:pt>
                <c:pt idx="18">
                  <c:v>5299</c:v>
                </c:pt>
                <c:pt idx="19">
                  <c:v>5299</c:v>
                </c:pt>
                <c:pt idx="20">
                  <c:v>5299</c:v>
                </c:pt>
                <c:pt idx="21">
                  <c:v>5299</c:v>
                </c:pt>
                <c:pt idx="22">
                  <c:v>5299</c:v>
                </c:pt>
                <c:pt idx="23">
                  <c:v>5299</c:v>
                </c:pt>
                <c:pt idx="24">
                  <c:v>5299</c:v>
                </c:pt>
                <c:pt idx="25">
                  <c:v>5299</c:v>
                </c:pt>
                <c:pt idx="26">
                  <c:v>5299</c:v>
                </c:pt>
                <c:pt idx="27">
                  <c:v>5299</c:v>
                </c:pt>
                <c:pt idx="28">
                  <c:v>5299</c:v>
                </c:pt>
                <c:pt idx="29">
                  <c:v>5299</c:v>
                </c:pt>
                <c:pt idx="30">
                  <c:v>5299</c:v>
                </c:pt>
                <c:pt idx="31">
                  <c:v>5250</c:v>
                </c:pt>
                <c:pt idx="32">
                  <c:v>5250</c:v>
                </c:pt>
                <c:pt idx="33">
                  <c:v>5250</c:v>
                </c:pt>
                <c:pt idx="34">
                  <c:v>5250</c:v>
                </c:pt>
                <c:pt idx="35">
                  <c:v>5250</c:v>
                </c:pt>
                <c:pt idx="36">
                  <c:v>5250</c:v>
                </c:pt>
                <c:pt idx="37">
                  <c:v>5250</c:v>
                </c:pt>
                <c:pt idx="38">
                  <c:v>5250</c:v>
                </c:pt>
                <c:pt idx="39">
                  <c:v>5250</c:v>
                </c:pt>
                <c:pt idx="40">
                  <c:v>5250</c:v>
                </c:pt>
                <c:pt idx="41">
                  <c:v>5250</c:v>
                </c:pt>
                <c:pt idx="42">
                  <c:v>5250</c:v>
                </c:pt>
                <c:pt idx="43">
                  <c:v>5250</c:v>
                </c:pt>
                <c:pt idx="44">
                  <c:v>5250</c:v>
                </c:pt>
                <c:pt idx="45">
                  <c:v>5250</c:v>
                </c:pt>
                <c:pt idx="46">
                  <c:v>5250</c:v>
                </c:pt>
                <c:pt idx="47">
                  <c:v>5250</c:v>
                </c:pt>
                <c:pt idx="48">
                  <c:v>5250</c:v>
                </c:pt>
                <c:pt idx="49">
                  <c:v>5250</c:v>
                </c:pt>
                <c:pt idx="50">
                  <c:v>5250</c:v>
                </c:pt>
                <c:pt idx="51">
                  <c:v>5250</c:v>
                </c:pt>
                <c:pt idx="52">
                  <c:v>5199</c:v>
                </c:pt>
                <c:pt idx="53">
                  <c:v>5199</c:v>
                </c:pt>
                <c:pt idx="54">
                  <c:v>5199</c:v>
                </c:pt>
                <c:pt idx="55">
                  <c:v>5199</c:v>
                </c:pt>
                <c:pt idx="56">
                  <c:v>5199</c:v>
                </c:pt>
                <c:pt idx="57">
                  <c:v>5199</c:v>
                </c:pt>
                <c:pt idx="58">
                  <c:v>5199</c:v>
                </c:pt>
                <c:pt idx="59">
                  <c:v>5199</c:v>
                </c:pt>
                <c:pt idx="60">
                  <c:v>5199</c:v>
                </c:pt>
                <c:pt idx="61">
                  <c:v>5199</c:v>
                </c:pt>
                <c:pt idx="62">
                  <c:v>5199</c:v>
                </c:pt>
                <c:pt idx="63">
                  <c:v>5199</c:v>
                </c:pt>
                <c:pt idx="64">
                  <c:v>5199</c:v>
                </c:pt>
                <c:pt idx="65">
                  <c:v>5199</c:v>
                </c:pt>
                <c:pt idx="66">
                  <c:v>5199</c:v>
                </c:pt>
                <c:pt idx="67">
                  <c:v>5199</c:v>
                </c:pt>
                <c:pt idx="68">
                  <c:v>5199</c:v>
                </c:pt>
                <c:pt idx="69">
                  <c:v>5199</c:v>
                </c:pt>
                <c:pt idx="70">
                  <c:v>5199</c:v>
                </c:pt>
                <c:pt idx="71">
                  <c:v>5199</c:v>
                </c:pt>
                <c:pt idx="72">
                  <c:v>5199</c:v>
                </c:pt>
                <c:pt idx="73">
                  <c:v>5199</c:v>
                </c:pt>
                <c:pt idx="74">
                  <c:v>5199</c:v>
                </c:pt>
                <c:pt idx="75">
                  <c:v>5199</c:v>
                </c:pt>
                <c:pt idx="76">
                  <c:v>5199</c:v>
                </c:pt>
                <c:pt idx="77">
                  <c:v>5199</c:v>
                </c:pt>
                <c:pt idx="78">
                  <c:v>5199</c:v>
                </c:pt>
                <c:pt idx="79">
                  <c:v>5199</c:v>
                </c:pt>
                <c:pt idx="80">
                  <c:v>5199</c:v>
                </c:pt>
                <c:pt idx="81">
                  <c:v>5199</c:v>
                </c:pt>
                <c:pt idx="82">
                  <c:v>5199</c:v>
                </c:pt>
                <c:pt idx="83">
                  <c:v>5199</c:v>
                </c:pt>
                <c:pt idx="84">
                  <c:v>5199</c:v>
                </c:pt>
                <c:pt idx="85">
                  <c:v>5199</c:v>
                </c:pt>
                <c:pt idx="86">
                  <c:v>5199</c:v>
                </c:pt>
                <c:pt idx="87">
                  <c:v>5199</c:v>
                </c:pt>
                <c:pt idx="88">
                  <c:v>5199</c:v>
                </c:pt>
                <c:pt idx="89">
                  <c:v>5199</c:v>
                </c:pt>
                <c:pt idx="90">
                  <c:v>5199</c:v>
                </c:pt>
                <c:pt idx="91">
                  <c:v>5199</c:v>
                </c:pt>
                <c:pt idx="92">
                  <c:v>5199</c:v>
                </c:pt>
                <c:pt idx="93">
                  <c:v>5199</c:v>
                </c:pt>
                <c:pt idx="94">
                  <c:v>5199</c:v>
                </c:pt>
                <c:pt idx="95">
                  <c:v>5199</c:v>
                </c:pt>
                <c:pt idx="96">
                  <c:v>5199</c:v>
                </c:pt>
                <c:pt idx="97">
                  <c:v>5199</c:v>
                </c:pt>
                <c:pt idx="98">
                  <c:v>5199</c:v>
                </c:pt>
                <c:pt idx="99">
                  <c:v>5199</c:v>
                </c:pt>
                <c:pt idx="100">
                  <c:v>5199</c:v>
                </c:pt>
                <c:pt idx="101">
                  <c:v>5199</c:v>
                </c:pt>
                <c:pt idx="102">
                  <c:v>5199</c:v>
                </c:pt>
                <c:pt idx="103">
                  <c:v>5199</c:v>
                </c:pt>
                <c:pt idx="104">
                  <c:v>5199</c:v>
                </c:pt>
                <c:pt idx="105">
                  <c:v>5199</c:v>
                </c:pt>
                <c:pt idx="106">
                  <c:v>5199</c:v>
                </c:pt>
                <c:pt idx="107">
                  <c:v>5199</c:v>
                </c:pt>
                <c:pt idx="108">
                  <c:v>5199</c:v>
                </c:pt>
                <c:pt idx="109">
                  <c:v>5199</c:v>
                </c:pt>
                <c:pt idx="110">
                  <c:v>5199</c:v>
                </c:pt>
                <c:pt idx="111">
                  <c:v>5199</c:v>
                </c:pt>
                <c:pt idx="112">
                  <c:v>5199</c:v>
                </c:pt>
                <c:pt idx="113">
                  <c:v>5199</c:v>
                </c:pt>
                <c:pt idx="114">
                  <c:v>5199</c:v>
                </c:pt>
                <c:pt idx="115">
                  <c:v>5199</c:v>
                </c:pt>
                <c:pt idx="116">
                  <c:v>5119</c:v>
                </c:pt>
                <c:pt idx="117">
                  <c:v>5119</c:v>
                </c:pt>
                <c:pt idx="118">
                  <c:v>5119</c:v>
                </c:pt>
                <c:pt idx="119">
                  <c:v>5119</c:v>
                </c:pt>
                <c:pt idx="120">
                  <c:v>5119</c:v>
                </c:pt>
                <c:pt idx="121">
                  <c:v>5119</c:v>
                </c:pt>
                <c:pt idx="122">
                  <c:v>5119</c:v>
                </c:pt>
                <c:pt idx="123">
                  <c:v>5119</c:v>
                </c:pt>
                <c:pt idx="124">
                  <c:v>5119</c:v>
                </c:pt>
                <c:pt idx="125">
                  <c:v>5119</c:v>
                </c:pt>
                <c:pt idx="126">
                  <c:v>5119</c:v>
                </c:pt>
                <c:pt idx="127">
                  <c:v>5119</c:v>
                </c:pt>
                <c:pt idx="128">
                  <c:v>5119</c:v>
                </c:pt>
                <c:pt idx="129">
                  <c:v>5119</c:v>
                </c:pt>
                <c:pt idx="130">
                  <c:v>5119</c:v>
                </c:pt>
                <c:pt idx="131">
                  <c:v>5119</c:v>
                </c:pt>
                <c:pt idx="132">
                  <c:v>5119</c:v>
                </c:pt>
                <c:pt idx="133">
                  <c:v>5119</c:v>
                </c:pt>
                <c:pt idx="134">
                  <c:v>5119</c:v>
                </c:pt>
                <c:pt idx="135">
                  <c:v>5119</c:v>
                </c:pt>
                <c:pt idx="136">
                  <c:v>5119</c:v>
                </c:pt>
                <c:pt idx="137">
                  <c:v>5119</c:v>
                </c:pt>
                <c:pt idx="138">
                  <c:v>5119</c:v>
                </c:pt>
                <c:pt idx="139">
                  <c:v>5119</c:v>
                </c:pt>
                <c:pt idx="140">
                  <c:v>5119</c:v>
                </c:pt>
                <c:pt idx="141">
                  <c:v>5119</c:v>
                </c:pt>
                <c:pt idx="142">
                  <c:v>5119</c:v>
                </c:pt>
                <c:pt idx="143">
                  <c:v>5119</c:v>
                </c:pt>
                <c:pt idx="144">
                  <c:v>5119</c:v>
                </c:pt>
                <c:pt idx="145">
                  <c:v>5119</c:v>
                </c:pt>
                <c:pt idx="146">
                  <c:v>5019</c:v>
                </c:pt>
                <c:pt idx="147">
                  <c:v>5019</c:v>
                </c:pt>
                <c:pt idx="148">
                  <c:v>5019</c:v>
                </c:pt>
                <c:pt idx="149">
                  <c:v>5019</c:v>
                </c:pt>
                <c:pt idx="150">
                  <c:v>5019</c:v>
                </c:pt>
                <c:pt idx="151">
                  <c:v>5019</c:v>
                </c:pt>
                <c:pt idx="152">
                  <c:v>5019</c:v>
                </c:pt>
                <c:pt idx="153">
                  <c:v>5019</c:v>
                </c:pt>
                <c:pt idx="154">
                  <c:v>5019</c:v>
                </c:pt>
                <c:pt idx="155">
                  <c:v>5019</c:v>
                </c:pt>
                <c:pt idx="156">
                  <c:v>5019</c:v>
                </c:pt>
                <c:pt idx="157">
                  <c:v>5019</c:v>
                </c:pt>
                <c:pt idx="158">
                  <c:v>5019</c:v>
                </c:pt>
                <c:pt idx="159">
                  <c:v>5019</c:v>
                </c:pt>
                <c:pt idx="160">
                  <c:v>5019</c:v>
                </c:pt>
                <c:pt idx="161">
                  <c:v>5019</c:v>
                </c:pt>
                <c:pt idx="162">
                  <c:v>5019</c:v>
                </c:pt>
                <c:pt idx="163">
                  <c:v>5019</c:v>
                </c:pt>
                <c:pt idx="164">
                  <c:v>5019</c:v>
                </c:pt>
                <c:pt idx="165">
                  <c:v>5019</c:v>
                </c:pt>
                <c:pt idx="166">
                  <c:v>5019</c:v>
                </c:pt>
                <c:pt idx="167">
                  <c:v>5019</c:v>
                </c:pt>
                <c:pt idx="168">
                  <c:v>5019</c:v>
                </c:pt>
                <c:pt idx="169">
                  <c:v>5019</c:v>
                </c:pt>
                <c:pt idx="170">
                  <c:v>5019</c:v>
                </c:pt>
                <c:pt idx="171">
                  <c:v>5019</c:v>
                </c:pt>
                <c:pt idx="172">
                  <c:v>5019</c:v>
                </c:pt>
                <c:pt idx="173">
                  <c:v>5019</c:v>
                </c:pt>
                <c:pt idx="174">
                  <c:v>5019</c:v>
                </c:pt>
                <c:pt idx="175">
                  <c:v>5019</c:v>
                </c:pt>
                <c:pt idx="176">
                  <c:v>5019</c:v>
                </c:pt>
                <c:pt idx="177">
                  <c:v>5019</c:v>
                </c:pt>
                <c:pt idx="178">
                  <c:v>5019</c:v>
                </c:pt>
                <c:pt idx="179">
                  <c:v>5019</c:v>
                </c:pt>
                <c:pt idx="180">
                  <c:v>5019</c:v>
                </c:pt>
                <c:pt idx="181">
                  <c:v>5019</c:v>
                </c:pt>
                <c:pt idx="182">
                  <c:v>5019</c:v>
                </c:pt>
                <c:pt idx="183">
                  <c:v>5019</c:v>
                </c:pt>
                <c:pt idx="184">
                  <c:v>5019</c:v>
                </c:pt>
                <c:pt idx="185">
                  <c:v>5019</c:v>
                </c:pt>
                <c:pt idx="186">
                  <c:v>5019</c:v>
                </c:pt>
                <c:pt idx="187">
                  <c:v>5019</c:v>
                </c:pt>
                <c:pt idx="188">
                  <c:v>5019</c:v>
                </c:pt>
                <c:pt idx="189">
                  <c:v>5019</c:v>
                </c:pt>
                <c:pt idx="190">
                  <c:v>5019</c:v>
                </c:pt>
                <c:pt idx="191">
                  <c:v>5019</c:v>
                </c:pt>
                <c:pt idx="192">
                  <c:v>5019</c:v>
                </c:pt>
                <c:pt idx="193">
                  <c:v>5019</c:v>
                </c:pt>
                <c:pt idx="194">
                  <c:v>5019</c:v>
                </c:pt>
                <c:pt idx="195">
                  <c:v>5019</c:v>
                </c:pt>
                <c:pt idx="196">
                  <c:v>5019</c:v>
                </c:pt>
                <c:pt idx="197">
                  <c:v>5019</c:v>
                </c:pt>
                <c:pt idx="198">
                  <c:v>5019</c:v>
                </c:pt>
                <c:pt idx="199">
                  <c:v>5019</c:v>
                </c:pt>
                <c:pt idx="200">
                  <c:v>5019</c:v>
                </c:pt>
                <c:pt idx="201">
                  <c:v>5019</c:v>
                </c:pt>
                <c:pt idx="202">
                  <c:v>5019</c:v>
                </c:pt>
                <c:pt idx="203">
                  <c:v>5019</c:v>
                </c:pt>
                <c:pt idx="204">
                  <c:v>5019</c:v>
                </c:pt>
                <c:pt idx="205">
                  <c:v>5019</c:v>
                </c:pt>
                <c:pt idx="206">
                  <c:v>5019</c:v>
                </c:pt>
                <c:pt idx="207">
                  <c:v>5019</c:v>
                </c:pt>
                <c:pt idx="208">
                  <c:v>5019</c:v>
                </c:pt>
                <c:pt idx="209">
                  <c:v>4899</c:v>
                </c:pt>
                <c:pt idx="210">
                  <c:v>4899</c:v>
                </c:pt>
                <c:pt idx="211">
                  <c:v>4899</c:v>
                </c:pt>
                <c:pt idx="212">
                  <c:v>4899</c:v>
                </c:pt>
                <c:pt idx="213">
                  <c:v>4899</c:v>
                </c:pt>
                <c:pt idx="214">
                  <c:v>4899</c:v>
                </c:pt>
                <c:pt idx="215">
                  <c:v>4899</c:v>
                </c:pt>
                <c:pt idx="216">
                  <c:v>4899</c:v>
                </c:pt>
                <c:pt idx="217">
                  <c:v>4899</c:v>
                </c:pt>
                <c:pt idx="218">
                  <c:v>4899</c:v>
                </c:pt>
                <c:pt idx="219">
                  <c:v>4899</c:v>
                </c:pt>
                <c:pt idx="220">
                  <c:v>4899</c:v>
                </c:pt>
                <c:pt idx="221">
                  <c:v>4899</c:v>
                </c:pt>
                <c:pt idx="222">
                  <c:v>4899</c:v>
                </c:pt>
                <c:pt idx="223">
                  <c:v>4899</c:v>
                </c:pt>
                <c:pt idx="224">
                  <c:v>4899</c:v>
                </c:pt>
                <c:pt idx="225">
                  <c:v>4899</c:v>
                </c:pt>
                <c:pt idx="226">
                  <c:v>4899</c:v>
                </c:pt>
                <c:pt idx="227">
                  <c:v>4899</c:v>
                </c:pt>
                <c:pt idx="228">
                  <c:v>4899</c:v>
                </c:pt>
                <c:pt idx="229">
                  <c:v>4899</c:v>
                </c:pt>
                <c:pt idx="230">
                  <c:v>4970</c:v>
                </c:pt>
                <c:pt idx="231">
                  <c:v>4970</c:v>
                </c:pt>
                <c:pt idx="232">
                  <c:v>4970</c:v>
                </c:pt>
                <c:pt idx="233">
                  <c:v>4970</c:v>
                </c:pt>
                <c:pt idx="234">
                  <c:v>4970</c:v>
                </c:pt>
                <c:pt idx="235">
                  <c:v>4970</c:v>
                </c:pt>
                <c:pt idx="236">
                  <c:v>4970</c:v>
                </c:pt>
                <c:pt idx="237">
                  <c:v>4970</c:v>
                </c:pt>
                <c:pt idx="238">
                  <c:v>4970</c:v>
                </c:pt>
                <c:pt idx="239">
                  <c:v>4970</c:v>
                </c:pt>
                <c:pt idx="240">
                  <c:v>4970</c:v>
                </c:pt>
                <c:pt idx="241">
                  <c:v>4970</c:v>
                </c:pt>
                <c:pt idx="242">
                  <c:v>4970</c:v>
                </c:pt>
                <c:pt idx="243">
                  <c:v>4970</c:v>
                </c:pt>
                <c:pt idx="244">
                  <c:v>4970</c:v>
                </c:pt>
                <c:pt idx="245">
                  <c:v>4970</c:v>
                </c:pt>
                <c:pt idx="246">
                  <c:v>4970</c:v>
                </c:pt>
                <c:pt idx="247">
                  <c:v>4970</c:v>
                </c:pt>
                <c:pt idx="248">
                  <c:v>4970</c:v>
                </c:pt>
                <c:pt idx="249">
                  <c:v>4970</c:v>
                </c:pt>
                <c:pt idx="250">
                  <c:v>4970</c:v>
                </c:pt>
                <c:pt idx="251">
                  <c:v>4970</c:v>
                </c:pt>
                <c:pt idx="252">
                  <c:v>4970</c:v>
                </c:pt>
                <c:pt idx="253">
                  <c:v>4970</c:v>
                </c:pt>
                <c:pt idx="254">
                  <c:v>4970</c:v>
                </c:pt>
                <c:pt idx="255">
                  <c:v>4970</c:v>
                </c:pt>
                <c:pt idx="256">
                  <c:v>4970</c:v>
                </c:pt>
                <c:pt idx="257">
                  <c:v>4970</c:v>
                </c:pt>
                <c:pt idx="258">
                  <c:v>4970</c:v>
                </c:pt>
                <c:pt idx="259">
                  <c:v>4970</c:v>
                </c:pt>
                <c:pt idx="260">
                  <c:v>4970</c:v>
                </c:pt>
                <c:pt idx="261">
                  <c:v>4970</c:v>
                </c:pt>
                <c:pt idx="262">
                  <c:v>4970</c:v>
                </c:pt>
                <c:pt idx="263">
                  <c:v>4970</c:v>
                </c:pt>
                <c:pt idx="264">
                  <c:v>4970</c:v>
                </c:pt>
                <c:pt idx="265">
                  <c:v>4970</c:v>
                </c:pt>
                <c:pt idx="266">
                  <c:v>4970</c:v>
                </c:pt>
                <c:pt idx="267">
                  <c:v>4970</c:v>
                </c:pt>
                <c:pt idx="268">
                  <c:v>4970</c:v>
                </c:pt>
                <c:pt idx="269">
                  <c:v>4970</c:v>
                </c:pt>
                <c:pt idx="270">
                  <c:v>4970</c:v>
                </c:pt>
                <c:pt idx="271">
                  <c:v>4970</c:v>
                </c:pt>
                <c:pt idx="272">
                  <c:v>4970</c:v>
                </c:pt>
                <c:pt idx="273">
                  <c:v>4970</c:v>
                </c:pt>
                <c:pt idx="274">
                  <c:v>4960</c:v>
                </c:pt>
                <c:pt idx="275">
                  <c:v>4970</c:v>
                </c:pt>
                <c:pt idx="276">
                  <c:v>4970</c:v>
                </c:pt>
                <c:pt idx="277">
                  <c:v>4970</c:v>
                </c:pt>
                <c:pt idx="278">
                  <c:v>4970</c:v>
                </c:pt>
                <c:pt idx="279">
                  <c:v>4970</c:v>
                </c:pt>
                <c:pt idx="280">
                  <c:v>4970</c:v>
                </c:pt>
                <c:pt idx="281">
                  <c:v>4970</c:v>
                </c:pt>
                <c:pt idx="282">
                  <c:v>4970</c:v>
                </c:pt>
                <c:pt idx="283">
                  <c:v>4970</c:v>
                </c:pt>
                <c:pt idx="284">
                  <c:v>4970</c:v>
                </c:pt>
                <c:pt idx="285">
                  <c:v>4970</c:v>
                </c:pt>
                <c:pt idx="286">
                  <c:v>4970</c:v>
                </c:pt>
                <c:pt idx="287">
                  <c:v>4970</c:v>
                </c:pt>
                <c:pt idx="288">
                  <c:v>4970</c:v>
                </c:pt>
                <c:pt idx="289">
                  <c:v>4970</c:v>
                </c:pt>
                <c:pt idx="290">
                  <c:v>4970</c:v>
                </c:pt>
                <c:pt idx="291">
                  <c:v>4970</c:v>
                </c:pt>
                <c:pt idx="292">
                  <c:v>4970</c:v>
                </c:pt>
                <c:pt idx="293">
                  <c:v>4970</c:v>
                </c:pt>
                <c:pt idx="294">
                  <c:v>4970</c:v>
                </c:pt>
                <c:pt idx="295">
                  <c:v>4970</c:v>
                </c:pt>
                <c:pt idx="296">
                  <c:v>4970</c:v>
                </c:pt>
                <c:pt idx="297">
                  <c:v>4970</c:v>
                </c:pt>
                <c:pt idx="298">
                  <c:v>4970</c:v>
                </c:pt>
                <c:pt idx="299">
                  <c:v>4970</c:v>
                </c:pt>
                <c:pt idx="300">
                  <c:v>4970</c:v>
                </c:pt>
                <c:pt idx="301">
                  <c:v>4970</c:v>
                </c:pt>
                <c:pt idx="302">
                  <c:v>4970</c:v>
                </c:pt>
                <c:pt idx="303">
                  <c:v>4970</c:v>
                </c:pt>
                <c:pt idx="304">
                  <c:v>4970</c:v>
                </c:pt>
                <c:pt idx="305">
                  <c:v>4970</c:v>
                </c:pt>
                <c:pt idx="306">
                  <c:v>4970</c:v>
                </c:pt>
                <c:pt idx="307">
                  <c:v>4870</c:v>
                </c:pt>
                <c:pt idx="308">
                  <c:v>4870</c:v>
                </c:pt>
                <c:pt idx="309">
                  <c:v>4870</c:v>
                </c:pt>
                <c:pt idx="310">
                  <c:v>4870</c:v>
                </c:pt>
                <c:pt idx="311">
                  <c:v>4870</c:v>
                </c:pt>
                <c:pt idx="312">
                  <c:v>4870</c:v>
                </c:pt>
                <c:pt idx="313">
                  <c:v>4870</c:v>
                </c:pt>
                <c:pt idx="314">
                  <c:v>4870</c:v>
                </c:pt>
                <c:pt idx="315">
                  <c:v>4870</c:v>
                </c:pt>
                <c:pt idx="316">
                  <c:v>4870</c:v>
                </c:pt>
                <c:pt idx="317">
                  <c:v>4870</c:v>
                </c:pt>
                <c:pt idx="318">
                  <c:v>4870</c:v>
                </c:pt>
                <c:pt idx="319">
                  <c:v>4870</c:v>
                </c:pt>
                <c:pt idx="320">
                  <c:v>4870</c:v>
                </c:pt>
                <c:pt idx="321">
                  <c:v>4870</c:v>
                </c:pt>
                <c:pt idx="322">
                  <c:v>4870</c:v>
                </c:pt>
                <c:pt idx="323">
                  <c:v>4870</c:v>
                </c:pt>
                <c:pt idx="324">
                  <c:v>4870</c:v>
                </c:pt>
                <c:pt idx="325">
                  <c:v>4870</c:v>
                </c:pt>
                <c:pt idx="326">
                  <c:v>4870</c:v>
                </c:pt>
                <c:pt idx="327">
                  <c:v>4870</c:v>
                </c:pt>
                <c:pt idx="328">
                  <c:v>4870</c:v>
                </c:pt>
                <c:pt idx="329">
                  <c:v>4870</c:v>
                </c:pt>
                <c:pt idx="330">
                  <c:v>4870</c:v>
                </c:pt>
                <c:pt idx="331">
                  <c:v>4870</c:v>
                </c:pt>
                <c:pt idx="332">
                  <c:v>4870</c:v>
                </c:pt>
                <c:pt idx="333">
                  <c:v>4870</c:v>
                </c:pt>
                <c:pt idx="334">
                  <c:v>4870</c:v>
                </c:pt>
                <c:pt idx="335">
                  <c:v>4870</c:v>
                </c:pt>
                <c:pt idx="336">
                  <c:v>4870</c:v>
                </c:pt>
                <c:pt idx="337">
                  <c:v>4870</c:v>
                </c:pt>
                <c:pt idx="338">
                  <c:v>4870</c:v>
                </c:pt>
                <c:pt idx="339">
                  <c:v>4870</c:v>
                </c:pt>
                <c:pt idx="340">
                  <c:v>4870</c:v>
                </c:pt>
                <c:pt idx="341">
                  <c:v>4870</c:v>
                </c:pt>
                <c:pt idx="342">
                  <c:v>4870</c:v>
                </c:pt>
                <c:pt idx="343">
                  <c:v>4870</c:v>
                </c:pt>
                <c:pt idx="344">
                  <c:v>4800</c:v>
                </c:pt>
                <c:pt idx="345">
                  <c:v>4800</c:v>
                </c:pt>
                <c:pt idx="346">
                  <c:v>4800</c:v>
                </c:pt>
                <c:pt idx="347">
                  <c:v>4800</c:v>
                </c:pt>
                <c:pt idx="348">
                  <c:v>4800</c:v>
                </c:pt>
                <c:pt idx="349">
                  <c:v>4800</c:v>
                </c:pt>
                <c:pt idx="350">
                  <c:v>4800</c:v>
                </c:pt>
                <c:pt idx="351">
                  <c:v>4800</c:v>
                </c:pt>
                <c:pt idx="352">
                  <c:v>4800</c:v>
                </c:pt>
                <c:pt idx="353">
                  <c:v>4800</c:v>
                </c:pt>
                <c:pt idx="354">
                  <c:v>4800</c:v>
                </c:pt>
                <c:pt idx="355">
                  <c:v>4800</c:v>
                </c:pt>
                <c:pt idx="356">
                  <c:v>4800</c:v>
                </c:pt>
                <c:pt idx="357">
                  <c:v>4800</c:v>
                </c:pt>
                <c:pt idx="358">
                  <c:v>4800</c:v>
                </c:pt>
                <c:pt idx="359">
                  <c:v>4800</c:v>
                </c:pt>
                <c:pt idx="360">
                  <c:v>4800</c:v>
                </c:pt>
                <c:pt idx="361">
                  <c:v>4770</c:v>
                </c:pt>
                <c:pt idx="362">
                  <c:v>4770</c:v>
                </c:pt>
                <c:pt idx="363">
                  <c:v>4770</c:v>
                </c:pt>
                <c:pt idx="364">
                  <c:v>4770</c:v>
                </c:pt>
                <c:pt idx="365">
                  <c:v>4770</c:v>
                </c:pt>
                <c:pt idx="366">
                  <c:v>4770</c:v>
                </c:pt>
                <c:pt idx="367">
                  <c:v>4770</c:v>
                </c:pt>
                <c:pt idx="368">
                  <c:v>4770</c:v>
                </c:pt>
                <c:pt idx="369">
                  <c:v>4770</c:v>
                </c:pt>
                <c:pt idx="370">
                  <c:v>4770</c:v>
                </c:pt>
                <c:pt idx="371">
                  <c:v>4770</c:v>
                </c:pt>
                <c:pt idx="372">
                  <c:v>4770</c:v>
                </c:pt>
                <c:pt idx="373">
                  <c:v>4770</c:v>
                </c:pt>
                <c:pt idx="374">
                  <c:v>4770</c:v>
                </c:pt>
                <c:pt idx="375">
                  <c:v>4770</c:v>
                </c:pt>
                <c:pt idx="376">
                  <c:v>4830</c:v>
                </c:pt>
                <c:pt idx="377">
                  <c:v>4830</c:v>
                </c:pt>
                <c:pt idx="378">
                  <c:v>4830</c:v>
                </c:pt>
                <c:pt idx="379">
                  <c:v>4830</c:v>
                </c:pt>
                <c:pt idx="380">
                  <c:v>4830</c:v>
                </c:pt>
                <c:pt idx="381">
                  <c:v>4830</c:v>
                </c:pt>
                <c:pt idx="382">
                  <c:v>4830</c:v>
                </c:pt>
                <c:pt idx="383">
                  <c:v>4830</c:v>
                </c:pt>
                <c:pt idx="384">
                  <c:v>4830</c:v>
                </c:pt>
                <c:pt idx="385">
                  <c:v>4830</c:v>
                </c:pt>
                <c:pt idx="386">
                  <c:v>4830</c:v>
                </c:pt>
                <c:pt idx="387">
                  <c:v>4830</c:v>
                </c:pt>
                <c:pt idx="388">
                  <c:v>4830</c:v>
                </c:pt>
                <c:pt idx="389">
                  <c:v>4830</c:v>
                </c:pt>
                <c:pt idx="390">
                  <c:v>4830</c:v>
                </c:pt>
                <c:pt idx="391">
                  <c:v>4830</c:v>
                </c:pt>
                <c:pt idx="392">
                  <c:v>4799</c:v>
                </c:pt>
                <c:pt idx="393">
                  <c:v>4799</c:v>
                </c:pt>
                <c:pt idx="394">
                  <c:v>4799</c:v>
                </c:pt>
                <c:pt idx="395">
                  <c:v>4799</c:v>
                </c:pt>
                <c:pt idx="396">
                  <c:v>4799</c:v>
                </c:pt>
                <c:pt idx="397">
                  <c:v>4799</c:v>
                </c:pt>
                <c:pt idx="398">
                  <c:v>4799</c:v>
                </c:pt>
                <c:pt idx="399">
                  <c:v>4799</c:v>
                </c:pt>
                <c:pt idx="400">
                  <c:v>4799</c:v>
                </c:pt>
                <c:pt idx="401">
                  <c:v>4799</c:v>
                </c:pt>
                <c:pt idx="402">
                  <c:v>4799</c:v>
                </c:pt>
                <c:pt idx="403">
                  <c:v>4799</c:v>
                </c:pt>
                <c:pt idx="404">
                  <c:v>4799</c:v>
                </c:pt>
                <c:pt idx="405">
                  <c:v>4799</c:v>
                </c:pt>
                <c:pt idx="406">
                  <c:v>4799</c:v>
                </c:pt>
                <c:pt idx="407">
                  <c:v>4799</c:v>
                </c:pt>
                <c:pt idx="408">
                  <c:v>4799</c:v>
                </c:pt>
                <c:pt idx="409">
                  <c:v>4799</c:v>
                </c:pt>
                <c:pt idx="410">
                  <c:v>4799</c:v>
                </c:pt>
                <c:pt idx="411">
                  <c:v>4799</c:v>
                </c:pt>
                <c:pt idx="412">
                  <c:v>4799</c:v>
                </c:pt>
                <c:pt idx="413">
                  <c:v>4799</c:v>
                </c:pt>
                <c:pt idx="414">
                  <c:v>4799</c:v>
                </c:pt>
                <c:pt idx="415">
                  <c:v>4799</c:v>
                </c:pt>
                <c:pt idx="416">
                  <c:v>4799</c:v>
                </c:pt>
                <c:pt idx="417">
                  <c:v>4799</c:v>
                </c:pt>
                <c:pt idx="418">
                  <c:v>4799</c:v>
                </c:pt>
                <c:pt idx="419">
                  <c:v>4799</c:v>
                </c:pt>
                <c:pt idx="420">
                  <c:v>4799</c:v>
                </c:pt>
                <c:pt idx="421">
                  <c:v>4799</c:v>
                </c:pt>
                <c:pt idx="422">
                  <c:v>4799</c:v>
                </c:pt>
                <c:pt idx="423">
                  <c:v>4799</c:v>
                </c:pt>
                <c:pt idx="424">
                  <c:v>4799</c:v>
                </c:pt>
                <c:pt idx="425">
                  <c:v>4799</c:v>
                </c:pt>
                <c:pt idx="426">
                  <c:v>4799</c:v>
                </c:pt>
                <c:pt idx="427">
                  <c:v>4799</c:v>
                </c:pt>
                <c:pt idx="428">
                  <c:v>4799</c:v>
                </c:pt>
                <c:pt idx="429">
                  <c:v>4799</c:v>
                </c:pt>
                <c:pt idx="430">
                  <c:v>4799</c:v>
                </c:pt>
                <c:pt idx="431">
                  <c:v>4799</c:v>
                </c:pt>
                <c:pt idx="432">
                  <c:v>4799</c:v>
                </c:pt>
                <c:pt idx="433">
                  <c:v>4799</c:v>
                </c:pt>
                <c:pt idx="434">
                  <c:v>4799</c:v>
                </c:pt>
                <c:pt idx="435">
                  <c:v>4799</c:v>
                </c:pt>
                <c:pt idx="436">
                  <c:v>4799</c:v>
                </c:pt>
                <c:pt idx="437">
                  <c:v>4799</c:v>
                </c:pt>
                <c:pt idx="438">
                  <c:v>4799</c:v>
                </c:pt>
                <c:pt idx="439">
                  <c:v>4799</c:v>
                </c:pt>
                <c:pt idx="440">
                  <c:v>4799</c:v>
                </c:pt>
                <c:pt idx="441">
                  <c:v>4799</c:v>
                </c:pt>
                <c:pt idx="442">
                  <c:v>4799</c:v>
                </c:pt>
                <c:pt idx="443">
                  <c:v>4830</c:v>
                </c:pt>
                <c:pt idx="444">
                  <c:v>4830</c:v>
                </c:pt>
                <c:pt idx="445">
                  <c:v>4830</c:v>
                </c:pt>
                <c:pt idx="446">
                  <c:v>4830</c:v>
                </c:pt>
                <c:pt idx="447">
                  <c:v>4830</c:v>
                </c:pt>
                <c:pt idx="448">
                  <c:v>4830</c:v>
                </c:pt>
                <c:pt idx="449">
                  <c:v>4830</c:v>
                </c:pt>
                <c:pt idx="450">
                  <c:v>4830</c:v>
                </c:pt>
                <c:pt idx="451">
                  <c:v>4830</c:v>
                </c:pt>
                <c:pt idx="452">
                  <c:v>4830</c:v>
                </c:pt>
                <c:pt idx="453">
                  <c:v>4830</c:v>
                </c:pt>
                <c:pt idx="454">
                  <c:v>4830</c:v>
                </c:pt>
                <c:pt idx="455">
                  <c:v>4830</c:v>
                </c:pt>
                <c:pt idx="456">
                  <c:v>4830</c:v>
                </c:pt>
                <c:pt idx="457">
                  <c:v>4830</c:v>
                </c:pt>
                <c:pt idx="458">
                  <c:v>4830</c:v>
                </c:pt>
                <c:pt idx="459">
                  <c:v>4830</c:v>
                </c:pt>
                <c:pt idx="460">
                  <c:v>4830</c:v>
                </c:pt>
                <c:pt idx="461">
                  <c:v>4830</c:v>
                </c:pt>
                <c:pt idx="462">
                  <c:v>4830</c:v>
                </c:pt>
                <c:pt idx="463">
                  <c:v>4830</c:v>
                </c:pt>
                <c:pt idx="464">
                  <c:v>4830</c:v>
                </c:pt>
                <c:pt idx="465">
                  <c:v>4830</c:v>
                </c:pt>
                <c:pt idx="466">
                  <c:v>4830</c:v>
                </c:pt>
                <c:pt idx="467">
                  <c:v>4830</c:v>
                </c:pt>
                <c:pt idx="468">
                  <c:v>4859</c:v>
                </c:pt>
                <c:pt idx="469">
                  <c:v>4859</c:v>
                </c:pt>
                <c:pt idx="470">
                  <c:v>4859</c:v>
                </c:pt>
                <c:pt idx="471">
                  <c:v>4859</c:v>
                </c:pt>
                <c:pt idx="472">
                  <c:v>4859</c:v>
                </c:pt>
                <c:pt idx="473">
                  <c:v>4859</c:v>
                </c:pt>
                <c:pt idx="474">
                  <c:v>4859</c:v>
                </c:pt>
                <c:pt idx="475">
                  <c:v>4879</c:v>
                </c:pt>
                <c:pt idx="476">
                  <c:v>4879</c:v>
                </c:pt>
                <c:pt idx="477">
                  <c:v>4879</c:v>
                </c:pt>
                <c:pt idx="478">
                  <c:v>4879</c:v>
                </c:pt>
                <c:pt idx="479">
                  <c:v>4879</c:v>
                </c:pt>
                <c:pt idx="480">
                  <c:v>4879</c:v>
                </c:pt>
                <c:pt idx="481">
                  <c:v>4879</c:v>
                </c:pt>
                <c:pt idx="482">
                  <c:v>4879</c:v>
                </c:pt>
                <c:pt idx="483">
                  <c:v>4879</c:v>
                </c:pt>
                <c:pt idx="484">
                  <c:v>4879</c:v>
                </c:pt>
                <c:pt idx="485">
                  <c:v>4879</c:v>
                </c:pt>
                <c:pt idx="486">
                  <c:v>4879</c:v>
                </c:pt>
                <c:pt idx="487">
                  <c:v>4879</c:v>
                </c:pt>
                <c:pt idx="488">
                  <c:v>4879</c:v>
                </c:pt>
                <c:pt idx="489">
                  <c:v>4879</c:v>
                </c:pt>
                <c:pt idx="490">
                  <c:v>4879</c:v>
                </c:pt>
                <c:pt idx="491">
                  <c:v>4879</c:v>
                </c:pt>
                <c:pt idx="492">
                  <c:v>4879</c:v>
                </c:pt>
                <c:pt idx="493">
                  <c:v>4879</c:v>
                </c:pt>
                <c:pt idx="494">
                  <c:v>4879</c:v>
                </c:pt>
                <c:pt idx="495">
                  <c:v>4879</c:v>
                </c:pt>
                <c:pt idx="496">
                  <c:v>4879</c:v>
                </c:pt>
                <c:pt idx="497">
                  <c:v>4879</c:v>
                </c:pt>
                <c:pt idx="498">
                  <c:v>4879</c:v>
                </c:pt>
                <c:pt idx="499">
                  <c:v>4879</c:v>
                </c:pt>
                <c:pt idx="500">
                  <c:v>4879</c:v>
                </c:pt>
                <c:pt idx="501">
                  <c:v>4879</c:v>
                </c:pt>
                <c:pt idx="502">
                  <c:v>4879</c:v>
                </c:pt>
                <c:pt idx="503">
                  <c:v>4879</c:v>
                </c:pt>
                <c:pt idx="504">
                  <c:v>4879</c:v>
                </c:pt>
                <c:pt idx="505">
                  <c:v>4879</c:v>
                </c:pt>
                <c:pt idx="506">
                  <c:v>4879</c:v>
                </c:pt>
                <c:pt idx="507">
                  <c:v>4879</c:v>
                </c:pt>
                <c:pt idx="508">
                  <c:v>4879</c:v>
                </c:pt>
                <c:pt idx="509">
                  <c:v>4879</c:v>
                </c:pt>
                <c:pt idx="510">
                  <c:v>4879</c:v>
                </c:pt>
                <c:pt idx="511">
                  <c:v>4879</c:v>
                </c:pt>
                <c:pt idx="512">
                  <c:v>4879</c:v>
                </c:pt>
                <c:pt idx="513">
                  <c:v>4879</c:v>
                </c:pt>
                <c:pt idx="514">
                  <c:v>4879</c:v>
                </c:pt>
                <c:pt idx="515">
                  <c:v>4879</c:v>
                </c:pt>
                <c:pt idx="516">
                  <c:v>4879</c:v>
                </c:pt>
                <c:pt idx="517">
                  <c:v>4879</c:v>
                </c:pt>
                <c:pt idx="518">
                  <c:v>4879</c:v>
                </c:pt>
                <c:pt idx="519">
                  <c:v>4879</c:v>
                </c:pt>
                <c:pt idx="520">
                  <c:v>4879</c:v>
                </c:pt>
                <c:pt idx="521">
                  <c:v>4879</c:v>
                </c:pt>
                <c:pt idx="522">
                  <c:v>4890</c:v>
                </c:pt>
                <c:pt idx="523">
                  <c:v>4890</c:v>
                </c:pt>
                <c:pt idx="524">
                  <c:v>4890</c:v>
                </c:pt>
                <c:pt idx="525">
                  <c:v>4890</c:v>
                </c:pt>
                <c:pt idx="526">
                  <c:v>4890</c:v>
                </c:pt>
                <c:pt idx="527">
                  <c:v>4890</c:v>
                </c:pt>
                <c:pt idx="528">
                  <c:v>4890</c:v>
                </c:pt>
                <c:pt idx="529">
                  <c:v>4890</c:v>
                </c:pt>
                <c:pt idx="530">
                  <c:v>4890</c:v>
                </c:pt>
                <c:pt idx="531">
                  <c:v>4900</c:v>
                </c:pt>
                <c:pt idx="532">
                  <c:v>4900</c:v>
                </c:pt>
                <c:pt idx="533">
                  <c:v>4900</c:v>
                </c:pt>
                <c:pt idx="534">
                  <c:v>4900</c:v>
                </c:pt>
                <c:pt idx="535">
                  <c:v>4900</c:v>
                </c:pt>
                <c:pt idx="536">
                  <c:v>4900</c:v>
                </c:pt>
                <c:pt idx="537">
                  <c:v>4900</c:v>
                </c:pt>
                <c:pt idx="538">
                  <c:v>4900</c:v>
                </c:pt>
                <c:pt idx="539">
                  <c:v>4900</c:v>
                </c:pt>
                <c:pt idx="540">
                  <c:v>4900</c:v>
                </c:pt>
                <c:pt idx="541">
                  <c:v>4900</c:v>
                </c:pt>
                <c:pt idx="542">
                  <c:v>4900</c:v>
                </c:pt>
                <c:pt idx="543">
                  <c:v>4901</c:v>
                </c:pt>
                <c:pt idx="544">
                  <c:v>4901</c:v>
                </c:pt>
                <c:pt idx="545">
                  <c:v>4901</c:v>
                </c:pt>
                <c:pt idx="546">
                  <c:v>4901</c:v>
                </c:pt>
                <c:pt idx="547">
                  <c:v>4901</c:v>
                </c:pt>
                <c:pt idx="548">
                  <c:v>4901</c:v>
                </c:pt>
                <c:pt idx="549">
                  <c:v>4901</c:v>
                </c:pt>
                <c:pt idx="550">
                  <c:v>4901</c:v>
                </c:pt>
                <c:pt idx="551">
                  <c:v>4901</c:v>
                </c:pt>
                <c:pt idx="552">
                  <c:v>4910</c:v>
                </c:pt>
                <c:pt idx="553">
                  <c:v>4910</c:v>
                </c:pt>
                <c:pt idx="554">
                  <c:v>4910</c:v>
                </c:pt>
                <c:pt idx="555">
                  <c:v>4910</c:v>
                </c:pt>
                <c:pt idx="556">
                  <c:v>4910</c:v>
                </c:pt>
                <c:pt idx="557">
                  <c:v>4910</c:v>
                </c:pt>
                <c:pt idx="558">
                  <c:v>4910</c:v>
                </c:pt>
                <c:pt idx="559">
                  <c:v>4910</c:v>
                </c:pt>
                <c:pt idx="560">
                  <c:v>4910</c:v>
                </c:pt>
                <c:pt idx="561">
                  <c:v>4910</c:v>
                </c:pt>
                <c:pt idx="562">
                  <c:v>4910</c:v>
                </c:pt>
                <c:pt idx="563">
                  <c:v>4910</c:v>
                </c:pt>
                <c:pt idx="564">
                  <c:v>4910</c:v>
                </c:pt>
                <c:pt idx="565">
                  <c:v>4910</c:v>
                </c:pt>
                <c:pt idx="566">
                  <c:v>4910</c:v>
                </c:pt>
                <c:pt idx="567">
                  <c:v>4910</c:v>
                </c:pt>
                <c:pt idx="568">
                  <c:v>4910</c:v>
                </c:pt>
                <c:pt idx="569">
                  <c:v>4910</c:v>
                </c:pt>
                <c:pt idx="570">
                  <c:v>4910</c:v>
                </c:pt>
                <c:pt idx="571">
                  <c:v>4910</c:v>
                </c:pt>
                <c:pt idx="572">
                  <c:v>4910</c:v>
                </c:pt>
                <c:pt idx="573">
                  <c:v>4910</c:v>
                </c:pt>
                <c:pt idx="574">
                  <c:v>4910</c:v>
                </c:pt>
                <c:pt idx="575">
                  <c:v>4910</c:v>
                </c:pt>
                <c:pt idx="576">
                  <c:v>4910</c:v>
                </c:pt>
                <c:pt idx="577">
                  <c:v>4910</c:v>
                </c:pt>
                <c:pt idx="578">
                  <c:v>4910</c:v>
                </c:pt>
                <c:pt idx="579">
                  <c:v>4910</c:v>
                </c:pt>
                <c:pt idx="580">
                  <c:v>4910</c:v>
                </c:pt>
                <c:pt idx="581">
                  <c:v>4910</c:v>
                </c:pt>
                <c:pt idx="582">
                  <c:v>4910</c:v>
                </c:pt>
                <c:pt idx="583">
                  <c:v>4889</c:v>
                </c:pt>
                <c:pt idx="584">
                  <c:v>4889</c:v>
                </c:pt>
                <c:pt idx="585">
                  <c:v>4889</c:v>
                </c:pt>
                <c:pt idx="586">
                  <c:v>4919</c:v>
                </c:pt>
                <c:pt idx="587">
                  <c:v>4919</c:v>
                </c:pt>
                <c:pt idx="588">
                  <c:v>4919</c:v>
                </c:pt>
                <c:pt idx="589">
                  <c:v>4919</c:v>
                </c:pt>
                <c:pt idx="590">
                  <c:v>4939</c:v>
                </c:pt>
                <c:pt idx="591">
                  <c:v>4939</c:v>
                </c:pt>
                <c:pt idx="592">
                  <c:v>4939</c:v>
                </c:pt>
                <c:pt idx="593">
                  <c:v>4939</c:v>
                </c:pt>
                <c:pt idx="594">
                  <c:v>4939</c:v>
                </c:pt>
                <c:pt idx="595">
                  <c:v>4939</c:v>
                </c:pt>
                <c:pt idx="596">
                  <c:v>4939</c:v>
                </c:pt>
                <c:pt idx="597">
                  <c:v>4939</c:v>
                </c:pt>
                <c:pt idx="598">
                  <c:v>4939</c:v>
                </c:pt>
                <c:pt idx="599">
                  <c:v>4939</c:v>
                </c:pt>
                <c:pt idx="600">
                  <c:v>4939</c:v>
                </c:pt>
                <c:pt idx="601">
                  <c:v>4939</c:v>
                </c:pt>
                <c:pt idx="602">
                  <c:v>4939</c:v>
                </c:pt>
                <c:pt idx="603">
                  <c:v>4939</c:v>
                </c:pt>
                <c:pt idx="604">
                  <c:v>4939</c:v>
                </c:pt>
                <c:pt idx="605">
                  <c:v>4939</c:v>
                </c:pt>
                <c:pt idx="606">
                  <c:v>4939</c:v>
                </c:pt>
                <c:pt idx="607">
                  <c:v>4939</c:v>
                </c:pt>
                <c:pt idx="608">
                  <c:v>4939</c:v>
                </c:pt>
                <c:pt idx="609">
                  <c:v>4939</c:v>
                </c:pt>
                <c:pt idx="610">
                  <c:v>4939</c:v>
                </c:pt>
                <c:pt idx="611">
                  <c:v>4939</c:v>
                </c:pt>
                <c:pt idx="612">
                  <c:v>4939</c:v>
                </c:pt>
                <c:pt idx="613">
                  <c:v>4939</c:v>
                </c:pt>
                <c:pt idx="614">
                  <c:v>4939</c:v>
                </c:pt>
                <c:pt idx="615">
                  <c:v>4939</c:v>
                </c:pt>
                <c:pt idx="616">
                  <c:v>4939</c:v>
                </c:pt>
                <c:pt idx="617">
                  <c:v>4939</c:v>
                </c:pt>
                <c:pt idx="618">
                  <c:v>4939</c:v>
                </c:pt>
                <c:pt idx="619">
                  <c:v>4939</c:v>
                </c:pt>
                <c:pt idx="620">
                  <c:v>4939</c:v>
                </c:pt>
                <c:pt idx="621">
                  <c:v>4939</c:v>
                </c:pt>
                <c:pt idx="622">
                  <c:v>4939</c:v>
                </c:pt>
                <c:pt idx="623">
                  <c:v>4939</c:v>
                </c:pt>
                <c:pt idx="624">
                  <c:v>4939</c:v>
                </c:pt>
                <c:pt idx="625">
                  <c:v>4939</c:v>
                </c:pt>
                <c:pt idx="626">
                  <c:v>4939</c:v>
                </c:pt>
                <c:pt idx="627">
                  <c:v>4939</c:v>
                </c:pt>
                <c:pt idx="628">
                  <c:v>4939</c:v>
                </c:pt>
                <c:pt idx="629">
                  <c:v>4939</c:v>
                </c:pt>
                <c:pt idx="630">
                  <c:v>4939</c:v>
                </c:pt>
                <c:pt idx="631">
                  <c:v>4939</c:v>
                </c:pt>
                <c:pt idx="632">
                  <c:v>4939</c:v>
                </c:pt>
                <c:pt idx="633">
                  <c:v>4939</c:v>
                </c:pt>
                <c:pt idx="634">
                  <c:v>4939</c:v>
                </c:pt>
                <c:pt idx="635">
                  <c:v>4939</c:v>
                </c:pt>
                <c:pt idx="636">
                  <c:v>4939</c:v>
                </c:pt>
                <c:pt idx="637">
                  <c:v>4939</c:v>
                </c:pt>
                <c:pt idx="638">
                  <c:v>4939</c:v>
                </c:pt>
                <c:pt idx="639">
                  <c:v>4939</c:v>
                </c:pt>
                <c:pt idx="640">
                  <c:v>4939</c:v>
                </c:pt>
                <c:pt idx="641">
                  <c:v>4939</c:v>
                </c:pt>
                <c:pt idx="642">
                  <c:v>4939</c:v>
                </c:pt>
                <c:pt idx="643">
                  <c:v>4939</c:v>
                </c:pt>
                <c:pt idx="644">
                  <c:v>4939</c:v>
                </c:pt>
                <c:pt idx="645">
                  <c:v>4939</c:v>
                </c:pt>
                <c:pt idx="646">
                  <c:v>4939</c:v>
                </c:pt>
                <c:pt idx="647">
                  <c:v>4939</c:v>
                </c:pt>
                <c:pt idx="648">
                  <c:v>4939</c:v>
                </c:pt>
                <c:pt idx="649">
                  <c:v>4939</c:v>
                </c:pt>
                <c:pt idx="650">
                  <c:v>4939</c:v>
                </c:pt>
                <c:pt idx="651">
                  <c:v>4939</c:v>
                </c:pt>
                <c:pt idx="652">
                  <c:v>4939</c:v>
                </c:pt>
                <c:pt idx="653">
                  <c:v>4939</c:v>
                </c:pt>
                <c:pt idx="654">
                  <c:v>4939</c:v>
                </c:pt>
                <c:pt idx="655">
                  <c:v>4939</c:v>
                </c:pt>
                <c:pt idx="656">
                  <c:v>4939</c:v>
                </c:pt>
                <c:pt idx="657">
                  <c:v>4939</c:v>
                </c:pt>
                <c:pt idx="658">
                  <c:v>4889</c:v>
                </c:pt>
                <c:pt idx="659">
                  <c:v>4889</c:v>
                </c:pt>
                <c:pt idx="660">
                  <c:v>4889</c:v>
                </c:pt>
                <c:pt idx="661">
                  <c:v>4889</c:v>
                </c:pt>
                <c:pt idx="662">
                  <c:v>4889</c:v>
                </c:pt>
                <c:pt idx="663">
                  <c:v>4889</c:v>
                </c:pt>
                <c:pt idx="664">
                  <c:v>4889</c:v>
                </c:pt>
                <c:pt idx="665">
                  <c:v>4889</c:v>
                </c:pt>
                <c:pt idx="666">
                  <c:v>4889</c:v>
                </c:pt>
                <c:pt idx="667">
                  <c:v>4889</c:v>
                </c:pt>
                <c:pt idx="668">
                  <c:v>4889</c:v>
                </c:pt>
                <c:pt idx="669">
                  <c:v>4889</c:v>
                </c:pt>
                <c:pt idx="670">
                  <c:v>4889</c:v>
                </c:pt>
                <c:pt idx="671">
                  <c:v>4889</c:v>
                </c:pt>
                <c:pt idx="672">
                  <c:v>4889</c:v>
                </c:pt>
                <c:pt idx="673">
                  <c:v>4889</c:v>
                </c:pt>
                <c:pt idx="674">
                  <c:v>4889</c:v>
                </c:pt>
                <c:pt idx="675">
                  <c:v>4889</c:v>
                </c:pt>
                <c:pt idx="676">
                  <c:v>4889</c:v>
                </c:pt>
                <c:pt idx="677">
                  <c:v>4889</c:v>
                </c:pt>
                <c:pt idx="678">
                  <c:v>4889</c:v>
                </c:pt>
                <c:pt idx="679">
                  <c:v>4889</c:v>
                </c:pt>
                <c:pt idx="680">
                  <c:v>4889</c:v>
                </c:pt>
                <c:pt idx="681">
                  <c:v>4889</c:v>
                </c:pt>
                <c:pt idx="682">
                  <c:v>4889</c:v>
                </c:pt>
                <c:pt idx="683">
                  <c:v>4889</c:v>
                </c:pt>
                <c:pt idx="684">
                  <c:v>4889</c:v>
                </c:pt>
                <c:pt idx="685">
                  <c:v>4889</c:v>
                </c:pt>
                <c:pt idx="686">
                  <c:v>4889</c:v>
                </c:pt>
                <c:pt idx="687">
                  <c:v>4889</c:v>
                </c:pt>
                <c:pt idx="688">
                  <c:v>4889</c:v>
                </c:pt>
                <c:pt idx="689">
                  <c:v>4889</c:v>
                </c:pt>
                <c:pt idx="690">
                  <c:v>4889</c:v>
                </c:pt>
                <c:pt idx="691">
                  <c:v>4889</c:v>
                </c:pt>
                <c:pt idx="692">
                  <c:v>4889</c:v>
                </c:pt>
                <c:pt idx="693">
                  <c:v>4889</c:v>
                </c:pt>
                <c:pt idx="694">
                  <c:v>4889</c:v>
                </c:pt>
                <c:pt idx="695">
                  <c:v>4889</c:v>
                </c:pt>
                <c:pt idx="696">
                  <c:v>4889</c:v>
                </c:pt>
                <c:pt idx="697">
                  <c:v>4849</c:v>
                </c:pt>
                <c:pt idx="698">
                  <c:v>4849</c:v>
                </c:pt>
                <c:pt idx="699">
                  <c:v>4849</c:v>
                </c:pt>
                <c:pt idx="700">
                  <c:v>4849</c:v>
                </c:pt>
                <c:pt idx="701">
                  <c:v>4849</c:v>
                </c:pt>
                <c:pt idx="702">
                  <c:v>4849</c:v>
                </c:pt>
                <c:pt idx="703">
                  <c:v>4849</c:v>
                </c:pt>
                <c:pt idx="704">
                  <c:v>4849</c:v>
                </c:pt>
                <c:pt idx="705">
                  <c:v>4849</c:v>
                </c:pt>
                <c:pt idx="706">
                  <c:v>4849</c:v>
                </c:pt>
                <c:pt idx="707">
                  <c:v>4849</c:v>
                </c:pt>
                <c:pt idx="708">
                  <c:v>4849</c:v>
                </c:pt>
                <c:pt idx="709">
                  <c:v>4849</c:v>
                </c:pt>
                <c:pt idx="710">
                  <c:v>4672</c:v>
                </c:pt>
                <c:pt idx="711">
                  <c:v>4672</c:v>
                </c:pt>
                <c:pt idx="712">
                  <c:v>4672</c:v>
                </c:pt>
                <c:pt idx="713">
                  <c:v>4672</c:v>
                </c:pt>
                <c:pt idx="714">
                  <c:v>4672</c:v>
                </c:pt>
                <c:pt idx="715">
                  <c:v>4672</c:v>
                </c:pt>
                <c:pt idx="716">
                  <c:v>4672</c:v>
                </c:pt>
                <c:pt idx="717">
                  <c:v>4672</c:v>
                </c:pt>
                <c:pt idx="718">
                  <c:v>4672</c:v>
                </c:pt>
                <c:pt idx="719">
                  <c:v>4672</c:v>
                </c:pt>
                <c:pt idx="720">
                  <c:v>4672</c:v>
                </c:pt>
                <c:pt idx="721">
                  <c:v>4672</c:v>
                </c:pt>
                <c:pt idx="722">
                  <c:v>4672</c:v>
                </c:pt>
                <c:pt idx="723">
                  <c:v>4672</c:v>
                </c:pt>
                <c:pt idx="724">
                  <c:v>4672</c:v>
                </c:pt>
                <c:pt idx="725">
                  <c:v>4672</c:v>
                </c:pt>
                <c:pt idx="726">
                  <c:v>4672</c:v>
                </c:pt>
                <c:pt idx="727">
                  <c:v>4672</c:v>
                </c:pt>
                <c:pt idx="728">
                  <c:v>4672</c:v>
                </c:pt>
                <c:pt idx="729">
                  <c:v>4672</c:v>
                </c:pt>
                <c:pt idx="730">
                  <c:v>4672</c:v>
                </c:pt>
                <c:pt idx="731">
                  <c:v>4672</c:v>
                </c:pt>
                <c:pt idx="732">
                  <c:v>4672</c:v>
                </c:pt>
                <c:pt idx="733">
                  <c:v>4672</c:v>
                </c:pt>
                <c:pt idx="734">
                  <c:v>4672</c:v>
                </c:pt>
                <c:pt idx="735">
                  <c:v>4672</c:v>
                </c:pt>
                <c:pt idx="736">
                  <c:v>4672</c:v>
                </c:pt>
                <c:pt idx="737">
                  <c:v>4772</c:v>
                </c:pt>
                <c:pt idx="738">
                  <c:v>4772</c:v>
                </c:pt>
                <c:pt idx="739">
                  <c:v>4772</c:v>
                </c:pt>
                <c:pt idx="740">
                  <c:v>4772</c:v>
                </c:pt>
                <c:pt idx="741">
                  <c:v>4772</c:v>
                </c:pt>
                <c:pt idx="742">
                  <c:v>4772</c:v>
                </c:pt>
                <c:pt idx="743">
                  <c:v>4772</c:v>
                </c:pt>
                <c:pt idx="744">
                  <c:v>4772</c:v>
                </c:pt>
                <c:pt idx="745">
                  <c:v>4772</c:v>
                </c:pt>
                <c:pt idx="746">
                  <c:v>4845</c:v>
                </c:pt>
                <c:pt idx="747">
                  <c:v>4845</c:v>
                </c:pt>
                <c:pt idx="748">
                  <c:v>4845</c:v>
                </c:pt>
                <c:pt idx="749">
                  <c:v>4845</c:v>
                </c:pt>
                <c:pt idx="750">
                  <c:v>4845</c:v>
                </c:pt>
                <c:pt idx="751">
                  <c:v>4845</c:v>
                </c:pt>
                <c:pt idx="752">
                  <c:v>4845</c:v>
                </c:pt>
                <c:pt idx="753">
                  <c:v>4845</c:v>
                </c:pt>
                <c:pt idx="754">
                  <c:v>4845</c:v>
                </c:pt>
                <c:pt idx="755">
                  <c:v>4845</c:v>
                </c:pt>
                <c:pt idx="756">
                  <c:v>4845</c:v>
                </c:pt>
                <c:pt idx="757">
                  <c:v>4845</c:v>
                </c:pt>
                <c:pt idx="758">
                  <c:v>4845</c:v>
                </c:pt>
                <c:pt idx="759">
                  <c:v>4845</c:v>
                </c:pt>
                <c:pt idx="760">
                  <c:v>4845</c:v>
                </c:pt>
                <c:pt idx="761">
                  <c:v>4845</c:v>
                </c:pt>
                <c:pt idx="762">
                  <c:v>4845</c:v>
                </c:pt>
                <c:pt idx="763">
                  <c:v>4845</c:v>
                </c:pt>
                <c:pt idx="764">
                  <c:v>4845</c:v>
                </c:pt>
                <c:pt idx="765">
                  <c:v>4845</c:v>
                </c:pt>
                <c:pt idx="766">
                  <c:v>4845</c:v>
                </c:pt>
                <c:pt idx="767">
                  <c:v>4845</c:v>
                </c:pt>
                <c:pt idx="768">
                  <c:v>4845</c:v>
                </c:pt>
                <c:pt idx="769">
                  <c:v>4845</c:v>
                </c:pt>
                <c:pt idx="770">
                  <c:v>4845</c:v>
                </c:pt>
                <c:pt idx="771">
                  <c:v>4845</c:v>
                </c:pt>
                <c:pt idx="772">
                  <c:v>4845</c:v>
                </c:pt>
                <c:pt idx="773">
                  <c:v>4845</c:v>
                </c:pt>
                <c:pt idx="774">
                  <c:v>4845</c:v>
                </c:pt>
                <c:pt idx="775">
                  <c:v>4845</c:v>
                </c:pt>
                <c:pt idx="776">
                  <c:v>4790</c:v>
                </c:pt>
                <c:pt idx="777">
                  <c:v>4790</c:v>
                </c:pt>
                <c:pt idx="778">
                  <c:v>4790</c:v>
                </c:pt>
                <c:pt idx="779">
                  <c:v>4790</c:v>
                </c:pt>
                <c:pt idx="780">
                  <c:v>4790</c:v>
                </c:pt>
                <c:pt idx="781">
                  <c:v>4790</c:v>
                </c:pt>
                <c:pt idx="782">
                  <c:v>4790</c:v>
                </c:pt>
                <c:pt idx="783">
                  <c:v>4790</c:v>
                </c:pt>
                <c:pt idx="784">
                  <c:v>4790</c:v>
                </c:pt>
                <c:pt idx="785">
                  <c:v>4790</c:v>
                </c:pt>
                <c:pt idx="786">
                  <c:v>4790</c:v>
                </c:pt>
                <c:pt idx="787">
                  <c:v>4790</c:v>
                </c:pt>
                <c:pt idx="788">
                  <c:v>4790</c:v>
                </c:pt>
                <c:pt idx="789">
                  <c:v>4790</c:v>
                </c:pt>
                <c:pt idx="790">
                  <c:v>4790</c:v>
                </c:pt>
                <c:pt idx="791">
                  <c:v>4790</c:v>
                </c:pt>
                <c:pt idx="792">
                  <c:v>4790</c:v>
                </c:pt>
                <c:pt idx="793">
                  <c:v>4790</c:v>
                </c:pt>
                <c:pt idx="794">
                  <c:v>4790</c:v>
                </c:pt>
                <c:pt idx="795">
                  <c:v>4790</c:v>
                </c:pt>
                <c:pt idx="796">
                  <c:v>4790</c:v>
                </c:pt>
                <c:pt idx="797">
                  <c:v>4790</c:v>
                </c:pt>
                <c:pt idx="798">
                  <c:v>4790</c:v>
                </c:pt>
                <c:pt idx="799">
                  <c:v>4790</c:v>
                </c:pt>
                <c:pt idx="800">
                  <c:v>4790</c:v>
                </c:pt>
                <c:pt idx="801">
                  <c:v>4790</c:v>
                </c:pt>
                <c:pt idx="802">
                  <c:v>4790</c:v>
                </c:pt>
                <c:pt idx="803">
                  <c:v>4790</c:v>
                </c:pt>
                <c:pt idx="804">
                  <c:v>4790</c:v>
                </c:pt>
                <c:pt idx="805">
                  <c:v>4790</c:v>
                </c:pt>
                <c:pt idx="806">
                  <c:v>4790</c:v>
                </c:pt>
                <c:pt idx="807">
                  <c:v>5180</c:v>
                </c:pt>
                <c:pt idx="808">
                  <c:v>5180</c:v>
                </c:pt>
                <c:pt idx="809">
                  <c:v>5180</c:v>
                </c:pt>
                <c:pt idx="810">
                  <c:v>5180</c:v>
                </c:pt>
                <c:pt idx="811">
                  <c:v>5180</c:v>
                </c:pt>
                <c:pt idx="812">
                  <c:v>5180</c:v>
                </c:pt>
                <c:pt idx="813">
                  <c:v>5180</c:v>
                </c:pt>
                <c:pt idx="814">
                  <c:v>5180</c:v>
                </c:pt>
                <c:pt idx="815">
                  <c:v>5180</c:v>
                </c:pt>
                <c:pt idx="816">
                  <c:v>5180</c:v>
                </c:pt>
                <c:pt idx="817">
                  <c:v>5180</c:v>
                </c:pt>
                <c:pt idx="818">
                  <c:v>5180</c:v>
                </c:pt>
                <c:pt idx="819">
                  <c:v>5180</c:v>
                </c:pt>
                <c:pt idx="820">
                  <c:v>5180</c:v>
                </c:pt>
                <c:pt idx="821">
                  <c:v>5180</c:v>
                </c:pt>
                <c:pt idx="822">
                  <c:v>5180</c:v>
                </c:pt>
                <c:pt idx="823">
                  <c:v>5180</c:v>
                </c:pt>
                <c:pt idx="824">
                  <c:v>5180</c:v>
                </c:pt>
                <c:pt idx="825">
                  <c:v>5180</c:v>
                </c:pt>
                <c:pt idx="826">
                  <c:v>5180</c:v>
                </c:pt>
                <c:pt idx="827">
                  <c:v>5180</c:v>
                </c:pt>
                <c:pt idx="828">
                  <c:v>5180</c:v>
                </c:pt>
                <c:pt idx="829">
                  <c:v>5180</c:v>
                </c:pt>
                <c:pt idx="830">
                  <c:v>5180</c:v>
                </c:pt>
                <c:pt idx="831">
                  <c:v>5180</c:v>
                </c:pt>
                <c:pt idx="832">
                  <c:v>5180</c:v>
                </c:pt>
                <c:pt idx="833">
                  <c:v>5180</c:v>
                </c:pt>
                <c:pt idx="834">
                  <c:v>5250</c:v>
                </c:pt>
                <c:pt idx="835">
                  <c:v>5250</c:v>
                </c:pt>
                <c:pt idx="836">
                  <c:v>5250</c:v>
                </c:pt>
                <c:pt idx="837">
                  <c:v>5250</c:v>
                </c:pt>
                <c:pt idx="838">
                  <c:v>5250</c:v>
                </c:pt>
                <c:pt idx="839">
                  <c:v>5250</c:v>
                </c:pt>
                <c:pt idx="840">
                  <c:v>5250</c:v>
                </c:pt>
                <c:pt idx="841">
                  <c:v>5250</c:v>
                </c:pt>
                <c:pt idx="842">
                  <c:v>5250</c:v>
                </c:pt>
                <c:pt idx="843">
                  <c:v>5250</c:v>
                </c:pt>
                <c:pt idx="844">
                  <c:v>5250</c:v>
                </c:pt>
                <c:pt idx="845">
                  <c:v>5250</c:v>
                </c:pt>
                <c:pt idx="846">
                  <c:v>5299</c:v>
                </c:pt>
                <c:pt idx="847">
                  <c:v>5299</c:v>
                </c:pt>
                <c:pt idx="848">
                  <c:v>5299</c:v>
                </c:pt>
                <c:pt idx="849">
                  <c:v>5299</c:v>
                </c:pt>
                <c:pt idx="850">
                  <c:v>5299</c:v>
                </c:pt>
                <c:pt idx="851">
                  <c:v>5299</c:v>
                </c:pt>
                <c:pt idx="852">
                  <c:v>5299</c:v>
                </c:pt>
                <c:pt idx="853">
                  <c:v>5299</c:v>
                </c:pt>
                <c:pt idx="854">
                  <c:v>5299</c:v>
                </c:pt>
                <c:pt idx="855">
                  <c:v>5580</c:v>
                </c:pt>
                <c:pt idx="856">
                  <c:v>5580</c:v>
                </c:pt>
                <c:pt idx="857">
                  <c:v>5580</c:v>
                </c:pt>
                <c:pt idx="858">
                  <c:v>5580</c:v>
                </c:pt>
                <c:pt idx="859">
                  <c:v>5580</c:v>
                </c:pt>
                <c:pt idx="860">
                  <c:v>5580</c:v>
                </c:pt>
                <c:pt idx="861">
                  <c:v>5580</c:v>
                </c:pt>
                <c:pt idx="862">
                  <c:v>5790</c:v>
                </c:pt>
                <c:pt idx="863">
                  <c:v>5790</c:v>
                </c:pt>
                <c:pt idx="864">
                  <c:v>5790</c:v>
                </c:pt>
                <c:pt idx="865">
                  <c:v>5790</c:v>
                </c:pt>
                <c:pt idx="866">
                  <c:v>5790</c:v>
                </c:pt>
                <c:pt idx="867">
                  <c:v>5790</c:v>
                </c:pt>
                <c:pt idx="868">
                  <c:v>5790</c:v>
                </c:pt>
                <c:pt idx="869">
                  <c:v>5790</c:v>
                </c:pt>
                <c:pt idx="870">
                  <c:v>5790</c:v>
                </c:pt>
                <c:pt idx="871">
                  <c:v>5790</c:v>
                </c:pt>
                <c:pt idx="872">
                  <c:v>5790</c:v>
                </c:pt>
                <c:pt idx="873">
                  <c:v>5790</c:v>
                </c:pt>
                <c:pt idx="874">
                  <c:v>5790</c:v>
                </c:pt>
                <c:pt idx="875">
                  <c:v>6599</c:v>
                </c:pt>
                <c:pt idx="876">
                  <c:v>6599</c:v>
                </c:pt>
                <c:pt idx="877">
                  <c:v>6599</c:v>
                </c:pt>
                <c:pt idx="878">
                  <c:v>6599</c:v>
                </c:pt>
                <c:pt idx="879">
                  <c:v>6599</c:v>
                </c:pt>
                <c:pt idx="880">
                  <c:v>6599</c:v>
                </c:pt>
                <c:pt idx="881">
                  <c:v>6599</c:v>
                </c:pt>
                <c:pt idx="882">
                  <c:v>6599</c:v>
                </c:pt>
                <c:pt idx="883">
                  <c:v>6599</c:v>
                </c:pt>
                <c:pt idx="884">
                  <c:v>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3-4675-8CF1-E99C3E7C4480}"/>
            </c:ext>
          </c:extLst>
        </c:ser>
        <c:ser>
          <c:idx val="4"/>
          <c:order val="4"/>
          <c:tx>
            <c:strRef>
              <c:f>'CASH FLOW'!$F$1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FLOW'!$F$2:$F$969</c:f>
              <c:numCache>
                <c:formatCode>_(* #,##0.00_);_(* \(#,##0.00\);_(* "-"??_);_(@_)</c:formatCode>
                <c:ptCount val="968"/>
                <c:pt idx="0" formatCode="_-* #,##0_-;\-* #,##0_-;_-* &quot;-&quot;??_-;_-@_-">
                  <c:v>0</c:v>
                </c:pt>
                <c:pt idx="1">
                  <c:v>0</c:v>
                </c:pt>
                <c:pt idx="2" formatCode="_-* #,##0_-;\-* #,##0_-;_-* &quot;-&quot;??_-;_-@_-">
                  <c:v>10973307.25</c:v>
                </c:pt>
                <c:pt idx="3" formatCode="_-* #,##0_-;\-* #,##0_-;_-* &quot;-&quot;??_-;_-@_-">
                  <c:v>6879210</c:v>
                </c:pt>
                <c:pt idx="4" formatCode="_-* #,##0_-;\-* #,##0_-;_-* &quot;-&quot;??_-;_-@_-">
                  <c:v>8501167.2599999998</c:v>
                </c:pt>
                <c:pt idx="5" formatCode="_-* #,##0_-;\-* #,##0_-;_-* &quot;-&quot;??_-;_-@_-">
                  <c:v>10594780</c:v>
                </c:pt>
                <c:pt idx="6" formatCode="_-* #,##0_-;\-* #,##0_-;_-* &quot;-&quot;??_-;_-@_-">
                  <c:v>10017580.709999999</c:v>
                </c:pt>
                <c:pt idx="7" formatCode="_-* #,##0_-;\-* #,##0_-;_-* &quot;-&quot;??_-;_-@_-">
                  <c:v>11167387.460000001</c:v>
                </c:pt>
                <c:pt idx="8" formatCode="_-* #,##0_-;\-* #,##0_-;_-* &quot;-&quot;??_-;_-@_-">
                  <c:v>10455357.93</c:v>
                </c:pt>
                <c:pt idx="9" formatCode="_-* #,##0_-;\-* #,##0_-;_-* &quot;-&quot;??_-;_-@_-">
                  <c:v>8087020.6100000003</c:v>
                </c:pt>
                <c:pt idx="10" formatCode="_-* #,##0_-;\-* #,##0_-;_-* &quot;-&quot;??_-;_-@_-">
                  <c:v>10480541.869999999</c:v>
                </c:pt>
                <c:pt idx="11" formatCode="_-* #,##0_-;\-* #,##0_-;_-* &quot;-&quot;??_-;_-@_-">
                  <c:v>7548638.5000000009</c:v>
                </c:pt>
                <c:pt idx="12" formatCode="_-* #,##0_-;\-* #,##0_-;_-* &quot;-&quot;??_-;_-@_-">
                  <c:v>8282494.8700000001</c:v>
                </c:pt>
                <c:pt idx="13" formatCode="_-* #,##0_-;\-* #,##0_-;_-* &quot;-&quot;??_-;_-@_-">
                  <c:v>8648430.1500000004</c:v>
                </c:pt>
                <c:pt idx="14" formatCode="_-* #,##0_-;\-* #,##0_-;_-* &quot;-&quot;??_-;_-@_-">
                  <c:v>9368220.8399999999</c:v>
                </c:pt>
                <c:pt idx="15" formatCode="_-* #,##0_-;\-* #,##0_-;_-* &quot;-&quot;??_-;_-@_-">
                  <c:v>9059191.25</c:v>
                </c:pt>
                <c:pt idx="16" formatCode="_-* #,##0_-;\-* #,##0_-;_-* &quot;-&quot;??_-;_-@_-">
                  <c:v>8687600.1099999994</c:v>
                </c:pt>
                <c:pt idx="17" formatCode="_-* #,##0_-;\-* #,##0_-;_-* &quot;-&quot;??_-;_-@_-">
                  <c:v>8128586.0600000005</c:v>
                </c:pt>
                <c:pt idx="18" formatCode="_-* #,##0_-;\-* #,##0_-;_-* &quot;-&quot;??_-;_-@_-">
                  <c:v>9011036.7799999993</c:v>
                </c:pt>
                <c:pt idx="19" formatCode="_-* #,##0_-;\-* #,##0_-;_-* &quot;-&quot;??_-;_-@_-">
                  <c:v>9453081.5</c:v>
                </c:pt>
                <c:pt idx="20" formatCode="_-* #,##0_-;\-* #,##0_-;_-* &quot;-&quot;??_-;_-@_-">
                  <c:v>9768586.3100000005</c:v>
                </c:pt>
                <c:pt idx="21" formatCode="_-* #,##0_-;\-* #,##0_-;_-* &quot;-&quot;??_-;_-@_-">
                  <c:v>8769632.8399999999</c:v>
                </c:pt>
                <c:pt idx="22" formatCode="_-* #,##0_-;\-* #,##0_-;_-* &quot;-&quot;??_-;_-@_-">
                  <c:v>9417701.0800000001</c:v>
                </c:pt>
                <c:pt idx="23" formatCode="_-* #,##0_-;\-* #,##0_-;_-* &quot;-&quot;??_-;_-@_-">
                  <c:v>10244930.350000001</c:v>
                </c:pt>
                <c:pt idx="24" formatCode="_-* #,##0_-;\-* #,##0_-;_-* &quot;-&quot;??_-;_-@_-">
                  <c:v>7694925.6799999997</c:v>
                </c:pt>
                <c:pt idx="25" formatCode="_-* #,##0_-;\-* #,##0_-;_-* &quot;-&quot;??_-;_-@_-">
                  <c:v>9163379.5499999989</c:v>
                </c:pt>
                <c:pt idx="26" formatCode="_-* #,##0_-;\-* #,##0_-;_-* &quot;-&quot;??_-;_-@_-">
                  <c:v>8577894.1300000008</c:v>
                </c:pt>
                <c:pt idx="27" formatCode="_-* #,##0_-;\-* #,##0_-;_-* &quot;-&quot;??_-;_-@_-">
                  <c:v>8385838.5000000009</c:v>
                </c:pt>
                <c:pt idx="28" formatCode="_-* #,##0_-;\-* #,##0_-;_-* &quot;-&quot;??_-;_-@_-">
                  <c:v>8673622.8800000008</c:v>
                </c:pt>
                <c:pt idx="29" formatCode="_-* #,##0_-;\-* #,##0_-;_-* &quot;-&quot;??_-;_-@_-">
                  <c:v>9612217.4199999999</c:v>
                </c:pt>
                <c:pt idx="30" formatCode="_-* #,##0_-;\-* #,##0_-;_-* &quot;-&quot;??_-;_-@_-">
                  <c:v>9152803.2699999996</c:v>
                </c:pt>
                <c:pt idx="31" formatCode="_-* #,##0_-;\-* #,##0_-;_-* &quot;-&quot;??_-;_-@_-">
                  <c:v>9952286.620000001</c:v>
                </c:pt>
                <c:pt idx="32" formatCode="_-* #,##0_-;\-* #,##0_-;_-* &quot;-&quot;??_-;_-@_-">
                  <c:v>8519626.9199999999</c:v>
                </c:pt>
                <c:pt idx="33" formatCode="_-* #,##0_-;\-* #,##0_-;_-* &quot;-&quot;??_-;_-@_-">
                  <c:v>10148996.74</c:v>
                </c:pt>
                <c:pt idx="34" formatCode="_-* #,##0_-;\-* #,##0_-;_-* &quot;-&quot;??_-;_-@_-">
                  <c:v>8757711</c:v>
                </c:pt>
                <c:pt idx="35" formatCode="_-* #,##0_-;\-* #,##0_-;_-* &quot;-&quot;??_-;_-@_-">
                  <c:v>13005231.470000001</c:v>
                </c:pt>
                <c:pt idx="36" formatCode="_-* #,##0_-;\-* #,##0_-;_-* &quot;-&quot;??_-;_-@_-">
                  <c:v>15517635.67</c:v>
                </c:pt>
                <c:pt idx="37" formatCode="_-* #,##0_-;\-* #,##0_-;_-* &quot;-&quot;??_-;_-@_-">
                  <c:v>14430444.08</c:v>
                </c:pt>
                <c:pt idx="38" formatCode="_-* #,##0_-;\-* #,##0_-;_-* &quot;-&quot;??_-;_-@_-">
                  <c:v>19189485.5</c:v>
                </c:pt>
                <c:pt idx="39" formatCode="_-* #,##0_-;\-* #,##0_-;_-* &quot;-&quot;??_-;_-@_-">
                  <c:v>9156500.7200000007</c:v>
                </c:pt>
                <c:pt idx="40" formatCode="_-* #,##0_-;\-* #,##0_-;_-* &quot;-&quot;??_-;_-@_-">
                  <c:v>8249509.7699999996</c:v>
                </c:pt>
                <c:pt idx="41" formatCode="_-* #,##0_-;\-* #,##0_-;_-* &quot;-&quot;??_-;_-@_-">
                  <c:v>8836131.0299999993</c:v>
                </c:pt>
                <c:pt idx="42" formatCode="_-* #,##0_-;\-* #,##0_-;_-* &quot;-&quot;??_-;_-@_-">
                  <c:v>10280097.83</c:v>
                </c:pt>
                <c:pt idx="43" formatCode="_-* #,##0_-;\-* #,##0_-;_-* &quot;-&quot;??_-;_-@_-">
                  <c:v>10000935</c:v>
                </c:pt>
                <c:pt idx="44" formatCode="_-* #,##0_-;\-* #,##0_-;_-* &quot;-&quot;??_-;_-@_-">
                  <c:v>7909762.0500000007</c:v>
                </c:pt>
                <c:pt idx="45" formatCode="_-* #,##0_-;\-* #,##0_-;_-* &quot;-&quot;??_-;_-@_-">
                  <c:v>9531111.0700000003</c:v>
                </c:pt>
                <c:pt idx="46" formatCode="_-* #,##0_-;\-* #,##0_-;_-* &quot;-&quot;??_-;_-@_-">
                  <c:v>9775461.4000000004</c:v>
                </c:pt>
                <c:pt idx="47" formatCode="_-* #,##0_-;\-* #,##0_-;_-* &quot;-&quot;??_-;_-@_-">
                  <c:v>8049836.4100000001</c:v>
                </c:pt>
                <c:pt idx="48" formatCode="_-* #,##0_-;\-* #,##0_-;_-* &quot;-&quot;??_-;_-@_-">
                  <c:v>7964208.7999999998</c:v>
                </c:pt>
                <c:pt idx="49" formatCode="_-* #,##0_-;\-* #,##0_-;_-* &quot;-&quot;??_-;_-@_-">
                  <c:v>9454306.3399999999</c:v>
                </c:pt>
                <c:pt idx="50" formatCode="_-* #,##0_-;\-* #,##0_-;_-* &quot;-&quot;??_-;_-@_-">
                  <c:v>9569883.8399999999</c:v>
                </c:pt>
                <c:pt idx="51" formatCode="_-* #,##0_-;\-* #,##0_-;_-* &quot;-&quot;??_-;_-@_-">
                  <c:v>8957718.5600000005</c:v>
                </c:pt>
                <c:pt idx="52" formatCode="_-* #,##0_-;\-* #,##0_-;_-* &quot;-&quot;??_-;_-@_-">
                  <c:v>11418277.200000001</c:v>
                </c:pt>
                <c:pt idx="53" formatCode="_-* #,##0_-;\-* #,##0_-;_-* &quot;-&quot;??_-;_-@_-">
                  <c:v>10846850.899999999</c:v>
                </c:pt>
                <c:pt idx="54" formatCode="_-* #,##0_-;\-* #,##0_-;_-* &quot;-&quot;??_-;_-@_-">
                  <c:v>8668897.3499999996</c:v>
                </c:pt>
                <c:pt idx="55" formatCode="_-* #,##0_-;\-* #,##0_-;_-* &quot;-&quot;??_-;_-@_-">
                  <c:v>9042945.1300000008</c:v>
                </c:pt>
                <c:pt idx="56" formatCode="_-* #,##0_-;\-* #,##0_-;_-* &quot;-&quot;??_-;_-@_-">
                  <c:v>10428705.43</c:v>
                </c:pt>
                <c:pt idx="57" formatCode="_-* #,##0_-;\-* #,##0_-;_-* &quot;-&quot;??_-;_-@_-">
                  <c:v>12914613.139999999</c:v>
                </c:pt>
                <c:pt idx="58" formatCode="_-* #,##0_-;\-* #,##0_-;_-* &quot;-&quot;??_-;_-@_-">
                  <c:v>8065371.1399999997</c:v>
                </c:pt>
                <c:pt idx="59" formatCode="_-* #,##0_-;\-* #,##0_-;_-* &quot;-&quot;??_-;_-@_-">
                  <c:v>10630946.560000001</c:v>
                </c:pt>
                <c:pt idx="60" formatCode="_-* #,##0_-;\-* #,##0_-;_-* &quot;-&quot;??_-;_-@_-">
                  <c:v>8821181.1500000004</c:v>
                </c:pt>
                <c:pt idx="61" formatCode="_-* #,##0_-;\-* #,##0_-;_-* &quot;-&quot;??_-;_-@_-">
                  <c:v>5582827.71</c:v>
                </c:pt>
                <c:pt idx="62" formatCode="_-* #,##0_-;\-* #,##0_-;_-* &quot;-&quot;??_-;_-@_-">
                  <c:v>8990241.790000001</c:v>
                </c:pt>
                <c:pt idx="63" formatCode="_-* #,##0_-;\-* #,##0_-;_-* &quot;-&quot;??_-;_-@_-">
                  <c:v>10193033.16</c:v>
                </c:pt>
                <c:pt idx="64" formatCode="_-* #,##0_-;\-* #,##0_-;_-* &quot;-&quot;??_-;_-@_-">
                  <c:v>9918209.3599999994</c:v>
                </c:pt>
                <c:pt idx="65" formatCode="_-* #,##0_-;\-* #,##0_-;_-* &quot;-&quot;??_-;_-@_-">
                  <c:v>10433740.709999999</c:v>
                </c:pt>
                <c:pt idx="66" formatCode="_-* #,##0_-;\-* #,##0_-;_-* &quot;-&quot;??_-;_-@_-">
                  <c:v>10053772.020000001</c:v>
                </c:pt>
                <c:pt idx="67" formatCode="_-* #,##0_-;\-* #,##0_-;_-* &quot;-&quot;??_-;_-@_-">
                  <c:v>7942430.1000000006</c:v>
                </c:pt>
                <c:pt idx="68" formatCode="_-* #,##0_-;\-* #,##0_-;_-* &quot;-&quot;??_-;_-@_-">
                  <c:v>7374680</c:v>
                </c:pt>
                <c:pt idx="69" formatCode="_-* #,##0_-;\-* #,##0_-;_-* &quot;-&quot;??_-;_-@_-">
                  <c:v>9486712.5999999996</c:v>
                </c:pt>
                <c:pt idx="70" formatCode="_-* #,##0_-;\-* #,##0_-;_-* &quot;-&quot;??_-;_-@_-">
                  <c:v>9839622.2300000004</c:v>
                </c:pt>
                <c:pt idx="71" formatCode="_-* #,##0_-;\-* #,##0_-;_-* &quot;-&quot;??_-;_-@_-">
                  <c:v>9003654.3499999996</c:v>
                </c:pt>
                <c:pt idx="72" formatCode="_-* #,##0_-;\-* #,##0_-;_-* &quot;-&quot;??_-;_-@_-">
                  <c:v>8151004.3200000003</c:v>
                </c:pt>
                <c:pt idx="73" formatCode="_-* #,##0_-;\-* #,##0_-;_-* &quot;-&quot;??_-;_-@_-">
                  <c:v>9396478.5999999996</c:v>
                </c:pt>
                <c:pt idx="74" formatCode="_-* #,##0_-;\-* #,##0_-;_-* &quot;-&quot;??_-;_-@_-">
                  <c:v>7977554.5200000005</c:v>
                </c:pt>
                <c:pt idx="75" formatCode="_-* #,##0_-;\-* #,##0_-;_-* &quot;-&quot;??_-;_-@_-">
                  <c:v>8151912.2299999995</c:v>
                </c:pt>
                <c:pt idx="76" formatCode="_-* #,##0_-;\-* #,##0_-;_-* &quot;-&quot;??_-;_-@_-">
                  <c:v>7428909.5200000005</c:v>
                </c:pt>
                <c:pt idx="77" formatCode="_-* #,##0_-;\-* #,##0_-;_-* &quot;-&quot;??_-;_-@_-">
                  <c:v>8650616.6100000013</c:v>
                </c:pt>
                <c:pt idx="78" formatCode="_-* #,##0_-;\-* #,##0_-;_-* &quot;-&quot;??_-;_-@_-">
                  <c:v>11957291.670000002</c:v>
                </c:pt>
                <c:pt idx="79" formatCode="_-* #,##0_-;\-* #,##0_-;_-* &quot;-&quot;??_-;_-@_-">
                  <c:v>9091354</c:v>
                </c:pt>
                <c:pt idx="80" formatCode="_-* #,##0_-;\-* #,##0_-;_-* &quot;-&quot;??_-;_-@_-">
                  <c:v>8851019.6399999987</c:v>
                </c:pt>
                <c:pt idx="81" formatCode="_-* #,##0_-;\-* #,##0_-;_-* &quot;-&quot;??_-;_-@_-">
                  <c:v>9425437.0300000012</c:v>
                </c:pt>
                <c:pt idx="82" formatCode="_-* #,##0_-;\-* #,##0_-;_-* &quot;-&quot;??_-;_-@_-">
                  <c:v>10742658.48</c:v>
                </c:pt>
                <c:pt idx="83" formatCode="_-* #,##0_-;\-* #,##0_-;_-* &quot;-&quot;??_-;_-@_-">
                  <c:v>11351927.359999999</c:v>
                </c:pt>
                <c:pt idx="84" formatCode="_-* #,##0_-;\-* #,##0_-;_-* &quot;-&quot;??_-;_-@_-">
                  <c:v>10917534.199999999</c:v>
                </c:pt>
                <c:pt idx="85" formatCode="_-* #,##0_-;\-* #,##0_-;_-* &quot;-&quot;??_-;_-@_-">
                  <c:v>12421751.690000001</c:v>
                </c:pt>
                <c:pt idx="86" formatCode="_-* #,##0_-;\-* #,##0_-;_-* &quot;-&quot;??_-;_-@_-">
                  <c:v>7031746.2400000002</c:v>
                </c:pt>
                <c:pt idx="87" formatCode="_-* #,##0_-;\-* #,##0_-;_-* &quot;-&quot;??_-;_-@_-">
                  <c:v>8126245.6699999999</c:v>
                </c:pt>
                <c:pt idx="88" formatCode="_-* #,##0_-;\-* #,##0_-;_-* &quot;-&quot;??_-;_-@_-">
                  <c:v>9489263.6600000001</c:v>
                </c:pt>
                <c:pt idx="89" formatCode="_-* #,##0_-;\-* #,##0_-;_-* &quot;-&quot;??_-;_-@_-">
                  <c:v>7972853.4400000004</c:v>
                </c:pt>
                <c:pt idx="90" formatCode="_-* #,##0_-;\-* #,##0_-;_-* &quot;-&quot;??_-;_-@_-">
                  <c:v>12335333.139999999</c:v>
                </c:pt>
                <c:pt idx="91" formatCode="_-* #,##0_-;\-* #,##0_-;_-* &quot;-&quot;??_-;_-@_-">
                  <c:v>11212554.82</c:v>
                </c:pt>
                <c:pt idx="92" formatCode="_-* #,##0_-;\-* #,##0_-;_-* &quot;-&quot;??_-;_-@_-">
                  <c:v>12421100</c:v>
                </c:pt>
                <c:pt idx="93" formatCode="_-* #,##0_-;\-* #,##0_-;_-* &quot;-&quot;??_-;_-@_-">
                  <c:v>8856300</c:v>
                </c:pt>
                <c:pt idx="94" formatCode="_-* #,##0_-;\-* #,##0_-;_-* &quot;-&quot;??_-;_-@_-">
                  <c:v>9257523.8099999987</c:v>
                </c:pt>
                <c:pt idx="95" formatCode="_-* #,##0_-;\-* #,##0_-;_-* &quot;-&quot;??_-;_-@_-">
                  <c:v>10688785.439999999</c:v>
                </c:pt>
                <c:pt idx="96" formatCode="_-* #,##0_-;\-* #,##0_-;_-* &quot;-&quot;??_-;_-@_-">
                  <c:v>8368546.2400000002</c:v>
                </c:pt>
                <c:pt idx="97" formatCode="_-* #,##0_-;\-* #,##0_-;_-* &quot;-&quot;??_-;_-@_-">
                  <c:v>6960556.0700000003</c:v>
                </c:pt>
                <c:pt idx="98" formatCode="_-* #,##0_-;\-* #,##0_-;_-* &quot;-&quot;??_-;_-@_-">
                  <c:v>7824780.5599999996</c:v>
                </c:pt>
                <c:pt idx="99" formatCode="_-* #,##0_-;\-* #,##0_-;_-* &quot;-&quot;??_-;_-@_-">
                  <c:v>8067716.1100000003</c:v>
                </c:pt>
                <c:pt idx="100" formatCode="_-* #,##0_-;\-* #,##0_-;_-* &quot;-&quot;??_-;_-@_-">
                  <c:v>7945733.1099999994</c:v>
                </c:pt>
                <c:pt idx="101" formatCode="_-* #,##0_-;\-* #,##0_-;_-* &quot;-&quot;??_-;_-@_-">
                  <c:v>7864333.1300000008</c:v>
                </c:pt>
                <c:pt idx="102" formatCode="_-* #,##0_-;\-* #,##0_-;_-* &quot;-&quot;??_-;_-@_-">
                  <c:v>9238630.370000001</c:v>
                </c:pt>
                <c:pt idx="103" formatCode="_-* #,##0_-;\-* #,##0_-;_-* &quot;-&quot;??_-;_-@_-">
                  <c:v>8287335.6400000006</c:v>
                </c:pt>
                <c:pt idx="104" formatCode="_-* #,##0_-;\-* #,##0_-;_-* &quot;-&quot;??_-;_-@_-">
                  <c:v>9201640</c:v>
                </c:pt>
                <c:pt idx="105" formatCode="_-* #,##0_-;\-* #,##0_-;_-* &quot;-&quot;??_-;_-@_-">
                  <c:v>8254455.9300000006</c:v>
                </c:pt>
                <c:pt idx="106" formatCode="_-* #,##0_-;\-* #,##0_-;_-* &quot;-&quot;??_-;_-@_-">
                  <c:v>4834069.32</c:v>
                </c:pt>
                <c:pt idx="107" formatCode="_-* #,##0_-;\-* #,##0_-;_-* &quot;-&quot;??_-;_-@_-">
                  <c:v>5215798.13</c:v>
                </c:pt>
                <c:pt idx="108" formatCode="_-* #,##0_-;\-* #,##0_-;_-* &quot;-&quot;??_-;_-@_-">
                  <c:v>9645713.8200000003</c:v>
                </c:pt>
                <c:pt idx="109" formatCode="_-* #,##0_-;\-* #,##0_-;_-* &quot;-&quot;??_-;_-@_-">
                  <c:v>7847217.6299999999</c:v>
                </c:pt>
                <c:pt idx="110" formatCode="_-* #,##0_-;\-* #,##0_-;_-* &quot;-&quot;??_-;_-@_-">
                  <c:v>9182825.8200000003</c:v>
                </c:pt>
                <c:pt idx="111" formatCode="_-* #,##0_-;\-* #,##0_-;_-* &quot;-&quot;??_-;_-@_-">
                  <c:v>10116300.6</c:v>
                </c:pt>
                <c:pt idx="112" formatCode="_-* #,##0_-;\-* #,##0_-;_-* &quot;-&quot;??_-;_-@_-">
                  <c:v>10508692.949999999</c:v>
                </c:pt>
                <c:pt idx="113" formatCode="_-* #,##0_-;\-* #,##0_-;_-* &quot;-&quot;??_-;_-@_-">
                  <c:v>6714249.5700000003</c:v>
                </c:pt>
                <c:pt idx="114" formatCode="_-* #,##0_-;\-* #,##0_-;_-* &quot;-&quot;??_-;_-@_-">
                  <c:v>6358632.8399999999</c:v>
                </c:pt>
                <c:pt idx="115" formatCode="_-* #,##0_-;\-* #,##0_-;_-* &quot;-&quot;??_-;_-@_-">
                  <c:v>8222412.8700000001</c:v>
                </c:pt>
                <c:pt idx="116" formatCode="_-* #,##0_-;\-* #,##0_-;_-* &quot;-&quot;??_-;_-@_-">
                  <c:v>8244571.2299999995</c:v>
                </c:pt>
                <c:pt idx="117" formatCode="_-* #,##0_-;\-* #,##0_-;_-* &quot;-&quot;??_-;_-@_-">
                  <c:v>7694190</c:v>
                </c:pt>
                <c:pt idx="118" formatCode="_-* #,##0_-;\-* #,##0_-;_-* &quot;-&quot;??_-;_-@_-">
                  <c:v>9959525.0999999996</c:v>
                </c:pt>
                <c:pt idx="119" formatCode="_-* #,##0_-;\-* #,##0_-;_-* &quot;-&quot;??_-;_-@_-">
                  <c:v>9830385.1799999997</c:v>
                </c:pt>
                <c:pt idx="120" formatCode="_-* #,##0_-;\-* #,##0_-;_-* &quot;-&quot;??_-;_-@_-">
                  <c:v>5886191.4299999997</c:v>
                </c:pt>
                <c:pt idx="121" formatCode="_-* #,##0_-;\-* #,##0_-;_-* &quot;-&quot;??_-;_-@_-">
                  <c:v>7560746.5499999998</c:v>
                </c:pt>
                <c:pt idx="122" formatCode="_-* #,##0_-;\-* #,##0_-;_-* &quot;-&quot;??_-;_-@_-">
                  <c:v>7473734.7299999995</c:v>
                </c:pt>
                <c:pt idx="123" formatCode="_-* #,##0_-;\-* #,##0_-;_-* &quot;-&quot;??_-;_-@_-">
                  <c:v>10296396.810000001</c:v>
                </c:pt>
                <c:pt idx="124" formatCode="_-* #,##0_-;\-* #,##0_-;_-* &quot;-&quot;??_-;_-@_-">
                  <c:v>9170907.4800000004</c:v>
                </c:pt>
                <c:pt idx="125" formatCode="_-* #,##0_-;\-* #,##0_-;_-* &quot;-&quot;??_-;_-@_-">
                  <c:v>8485024.5899999999</c:v>
                </c:pt>
                <c:pt idx="126" formatCode="_-* #,##0_-;\-* #,##0_-;_-* &quot;-&quot;??_-;_-@_-">
                  <c:v>9774513</c:v>
                </c:pt>
                <c:pt idx="127" formatCode="_-* #,##0_-;\-* #,##0_-;_-* &quot;-&quot;??_-;_-@_-">
                  <c:v>9003960</c:v>
                </c:pt>
                <c:pt idx="128" formatCode="_-* #,##0_-;\-* #,##0_-;_-* &quot;-&quot;??_-;_-@_-">
                  <c:v>7117267.5</c:v>
                </c:pt>
                <c:pt idx="129" formatCode="_-* #,##0_-;\-* #,##0_-;_-* &quot;-&quot;??_-;_-@_-">
                  <c:v>8126482.1399999997</c:v>
                </c:pt>
                <c:pt idx="130" formatCode="_-* #,##0_-;\-* #,##0_-;_-* &quot;-&quot;??_-;_-@_-">
                  <c:v>8310859.2000000002</c:v>
                </c:pt>
                <c:pt idx="131" formatCode="_-* #,##0_-;\-* #,##0_-;_-* &quot;-&quot;??_-;_-@_-">
                  <c:v>10334493.540000001</c:v>
                </c:pt>
                <c:pt idx="132" formatCode="_-* #,##0_-;\-* #,##0_-;_-* &quot;-&quot;??_-;_-@_-">
                  <c:v>9025948.2599999998</c:v>
                </c:pt>
                <c:pt idx="133" formatCode="_-* #,##0_-;\-* #,##0_-;_-* &quot;-&quot;??_-;_-@_-">
                  <c:v>8972757.9900000002</c:v>
                </c:pt>
                <c:pt idx="134" formatCode="_-* #,##0_-;\-* #,##0_-;_-* &quot;-&quot;??_-;_-@_-">
                  <c:v>12199764.779999999</c:v>
                </c:pt>
                <c:pt idx="135" formatCode="_-* #,##0_-;\-* #,##0_-;_-* &quot;-&quot;??_-;_-@_-">
                  <c:v>8074080</c:v>
                </c:pt>
                <c:pt idx="136" formatCode="_-* #,##0_-;\-* #,##0_-;_-* &quot;-&quot;??_-;_-@_-">
                  <c:v>9109643.129999999</c:v>
                </c:pt>
                <c:pt idx="137" formatCode="_-* #,##0_-;\-* #,##0_-;_-* &quot;-&quot;??_-;_-@_-">
                  <c:v>8599008.5999999996</c:v>
                </c:pt>
                <c:pt idx="138" formatCode="_-* #,##0_-;\-* #,##0_-;_-* &quot;-&quot;??_-;_-@_-">
                  <c:v>8452915.3800000008</c:v>
                </c:pt>
                <c:pt idx="139" formatCode="_-* #,##0_-;\-* #,##0_-;_-* &quot;-&quot;??_-;_-@_-">
                  <c:v>7744431.870000001</c:v>
                </c:pt>
                <c:pt idx="140" formatCode="_-* #,##0_-;\-* #,##0_-;_-* &quot;-&quot;??_-;_-@_-">
                  <c:v>12933406.08</c:v>
                </c:pt>
                <c:pt idx="141" formatCode="_-* #,##0_-;\-* #,##0_-;_-* &quot;-&quot;??_-;_-@_-">
                  <c:v>10361749.23</c:v>
                </c:pt>
                <c:pt idx="142" formatCode="_-* #,##0_-;\-* #,##0_-;_-* &quot;-&quot;??_-;_-@_-">
                  <c:v>7811133.75</c:v>
                </c:pt>
                <c:pt idx="143" formatCode="_-* #,##0_-;\-* #,##0_-;_-* &quot;-&quot;??_-;_-@_-">
                  <c:v>8616908.790000001</c:v>
                </c:pt>
                <c:pt idx="144" formatCode="_-* #,##0_-;\-* #,##0_-;_-* &quot;-&quot;??_-;_-@_-">
                  <c:v>7227367.5599999996</c:v>
                </c:pt>
                <c:pt idx="145" formatCode="_-* #,##0_-;\-* #,##0_-;_-* &quot;-&quot;??_-;_-@_-">
                  <c:v>8573397.2100000009</c:v>
                </c:pt>
                <c:pt idx="146" formatCode="_-* #,##0_-;\-* #,##0_-;_-* &quot;-&quot;??_-;_-@_-">
                  <c:v>9939271.8600000013</c:v>
                </c:pt>
                <c:pt idx="147" formatCode="_-* #,##0_-;\-* #,##0_-;_-* &quot;-&quot;??_-;_-@_-">
                  <c:v>10936630.529999999</c:v>
                </c:pt>
                <c:pt idx="148" formatCode="_-* #,##0_-;\-* #,##0_-;_-* &quot;-&quot;??_-;_-@_-">
                  <c:v>11251723.77</c:v>
                </c:pt>
                <c:pt idx="149" formatCode="_-* #,##0_-;\-* #,##0_-;_-* &quot;-&quot;??_-;_-@_-">
                  <c:v>10054287.810000001</c:v>
                </c:pt>
                <c:pt idx="150" formatCode="_-* #,##0_-;\-* #,##0_-;_-* &quot;-&quot;??_-;_-@_-">
                  <c:v>13540929.569999998</c:v>
                </c:pt>
                <c:pt idx="151" formatCode="_-* #,##0_-;\-* #,##0_-;_-* &quot;-&quot;??_-;_-@_-">
                  <c:v>11138221.710000001</c:v>
                </c:pt>
                <c:pt idx="152" formatCode="_-* #,##0_-;\-* #,##0_-;_-* &quot;-&quot;??_-;_-@_-">
                  <c:v>8418101.5800000001</c:v>
                </c:pt>
                <c:pt idx="153" formatCode="_-* #,##0_-;\-* #,##0_-;_-* &quot;-&quot;??_-;_-@_-">
                  <c:v>9834529.9499999993</c:v>
                </c:pt>
                <c:pt idx="154" formatCode="_-* #,##0_-;\-* #,##0_-;_-* &quot;-&quot;??_-;_-@_-">
                  <c:v>11772751.41</c:v>
                </c:pt>
                <c:pt idx="155" formatCode="_-* #,##0_-;\-* #,##0_-;_-* &quot;-&quot;??_-;_-@_-">
                  <c:v>11699262.540000001</c:v>
                </c:pt>
                <c:pt idx="156" formatCode="_-* #,##0_-;\-* #,##0_-;_-* &quot;-&quot;??_-;_-@_-">
                  <c:v>8185053.2399999993</c:v>
                </c:pt>
                <c:pt idx="157" formatCode="_-* #,##0_-;\-* #,##0_-;_-* &quot;-&quot;??_-;_-@_-">
                  <c:v>8191981.9800000004</c:v>
                </c:pt>
                <c:pt idx="158" formatCode="_-* #,##0_-;\-* #,##0_-;_-* &quot;-&quot;??_-;_-@_-">
                  <c:v>10184624.1</c:v>
                </c:pt>
                <c:pt idx="159" formatCode="_-* #,##0_-;\-* #,##0_-;_-* &quot;-&quot;??_-;_-@_-">
                  <c:v>0</c:v>
                </c:pt>
                <c:pt idx="160" formatCode="_-* #,##0_-;\-* #,##0_-;_-* &quot;-&quot;??_-;_-@_-">
                  <c:v>10811828.16</c:v>
                </c:pt>
                <c:pt idx="161" formatCode="_-* #,##0_-;\-* #,##0_-;_-* &quot;-&quot;??_-;_-@_-">
                  <c:v>14184236.43</c:v>
                </c:pt>
                <c:pt idx="162" formatCode="_-* #,##0_-;\-* #,##0_-;_-* &quot;-&quot;??_-;_-@_-">
                  <c:v>10351906.109999999</c:v>
                </c:pt>
                <c:pt idx="163" formatCode="_-* #,##0_-;\-* #,##0_-;_-* &quot;-&quot;??_-;_-@_-">
                  <c:v>7909740.7200000007</c:v>
                </c:pt>
                <c:pt idx="164" formatCode="_-* #,##0_-;\-* #,##0_-;_-* &quot;-&quot;??_-;_-@_-">
                  <c:v>9510631.1999999993</c:v>
                </c:pt>
                <c:pt idx="165" formatCode="_-* #,##0_-;\-* #,##0_-;_-* &quot;-&quot;??_-;_-@_-">
                  <c:v>10212384.42</c:v>
                </c:pt>
                <c:pt idx="166" formatCode="_-* #,##0_-;\-* #,##0_-;_-* &quot;-&quot;??_-;_-@_-">
                  <c:v>9319019.2200000007</c:v>
                </c:pt>
                <c:pt idx="167" formatCode="_-* #,##0_-;\-* #,##0_-;_-* &quot;-&quot;??_-;_-@_-">
                  <c:v>10891383.93</c:v>
                </c:pt>
                <c:pt idx="168" formatCode="_-* #,##0_-;\-* #,##0_-;_-* &quot;-&quot;??_-;_-@_-">
                  <c:v>11319888.51</c:v>
                </c:pt>
                <c:pt idx="169" formatCode="_-* #,##0_-;\-* #,##0_-;_-* &quot;-&quot;??_-;_-@_-">
                  <c:v>12193221.6</c:v>
                </c:pt>
                <c:pt idx="170" formatCode="_-* #,##0_-;\-* #,##0_-;_-* &quot;-&quot;??_-;_-@_-">
                  <c:v>10046134.35</c:v>
                </c:pt>
                <c:pt idx="171" formatCode="_-* #,##0_-;\-* #,##0_-;_-* &quot;-&quot;??_-;_-@_-">
                  <c:v>11446822.799999999</c:v>
                </c:pt>
                <c:pt idx="172" formatCode="_-* #,##0_-;\-* #,##0_-;_-* &quot;-&quot;??_-;_-@_-">
                  <c:v>9718623.8099999987</c:v>
                </c:pt>
                <c:pt idx="173" formatCode="_-* #,##0_-;\-* #,##0_-;_-* &quot;-&quot;??_-;_-@_-">
                  <c:v>9411236.0999999996</c:v>
                </c:pt>
                <c:pt idx="174" formatCode="_-* #,##0_-;\-* #,##0_-;_-* &quot;-&quot;??_-;_-@_-">
                  <c:v>5858776.9800000004</c:v>
                </c:pt>
                <c:pt idx="175" formatCode="_-* #,##0_-;\-* #,##0_-;_-* &quot;-&quot;??_-;_-@_-">
                  <c:v>11480196.42</c:v>
                </c:pt>
                <c:pt idx="176" formatCode="_-* #,##0_-;\-* #,##0_-;_-* &quot;-&quot;??_-;_-@_-">
                  <c:v>11105120.25</c:v>
                </c:pt>
                <c:pt idx="177" formatCode="_-* #,##0_-;\-* #,##0_-;_-* &quot;-&quot;??_-;_-@_-">
                  <c:v>9731834.9100000001</c:v>
                </c:pt>
                <c:pt idx="178" formatCode="_-* #,##0_-;\-* #,##0_-;_-* &quot;-&quot;??_-;_-@_-">
                  <c:v>11414571.84</c:v>
                </c:pt>
                <c:pt idx="179" formatCode="_-* #,##0_-;\-* #,##0_-;_-* &quot;-&quot;??_-;_-@_-">
                  <c:v>8703172.1699999999</c:v>
                </c:pt>
                <c:pt idx="180" formatCode="_-* #,##0_-;\-* #,##0_-;_-* &quot;-&quot;??_-;_-@_-">
                  <c:v>10071921.51</c:v>
                </c:pt>
                <c:pt idx="181" formatCode="_-* #,##0_-;\-* #,##0_-;_-* &quot;-&quot;??_-;_-@_-">
                  <c:v>10857794.85</c:v>
                </c:pt>
                <c:pt idx="182" formatCode="_-* #,##0_-;\-* #,##0_-;_-* &quot;-&quot;??_-;_-@_-">
                  <c:v>9772205.3100000005</c:v>
                </c:pt>
                <c:pt idx="183" formatCode="_-* #,##0_-;\-* #,##0_-;_-* &quot;-&quot;??_-;_-@_-">
                  <c:v>12322061.01</c:v>
                </c:pt>
                <c:pt idx="184" formatCode="_-* #,##0_-;\-* #,##0_-;_-* &quot;-&quot;??_-;_-@_-">
                  <c:v>8859596.1300000008</c:v>
                </c:pt>
                <c:pt idx="185" formatCode="_-* #,##0_-;\-* #,##0_-;_-* &quot;-&quot;??_-;_-@_-">
                  <c:v>9520871.2199999988</c:v>
                </c:pt>
                <c:pt idx="186" formatCode="_-* #,##0_-;\-* #,##0_-;_-* &quot;-&quot;??_-;_-@_-">
                  <c:v>9454061.6099999994</c:v>
                </c:pt>
                <c:pt idx="187" formatCode="_-* #,##0_-;\-* #,##0_-;_-* &quot;-&quot;??_-;_-@_-">
                  <c:v>8702599.5</c:v>
                </c:pt>
                <c:pt idx="188" formatCode="_-* #,##0_-;\-* #,##0_-;_-* &quot;-&quot;??_-;_-@_-">
                  <c:v>11873059.380000001</c:v>
                </c:pt>
                <c:pt idx="189" formatCode="_-* #,##0_-;\-* #,##0_-;_-* &quot;-&quot;??_-;_-@_-">
                  <c:v>13619566.799999999</c:v>
                </c:pt>
                <c:pt idx="190" formatCode="_-* #,##0_-;\-* #,##0_-;_-* &quot;-&quot;??_-;_-@_-">
                  <c:v>9784866.4199999999</c:v>
                </c:pt>
                <c:pt idx="191" formatCode="_-* #,##0_-;\-* #,##0_-;_-* &quot;-&quot;??_-;_-@_-">
                  <c:v>10723353.48</c:v>
                </c:pt>
                <c:pt idx="192" formatCode="_-* #,##0_-;\-* #,##0_-;_-* &quot;-&quot;??_-;_-@_-">
                  <c:v>11291668.92</c:v>
                </c:pt>
                <c:pt idx="193" formatCode="_-* #,##0_-;\-* #,##0_-;_-* &quot;-&quot;??_-;_-@_-">
                  <c:v>9148788.8099999987</c:v>
                </c:pt>
                <c:pt idx="194" formatCode="_-* #,##0_-;\-* #,##0_-;_-* &quot;-&quot;??_-;_-@_-">
                  <c:v>11076106.860000001</c:v>
                </c:pt>
                <c:pt idx="195" formatCode="_-* #,##0_-;\-* #,##0_-;_-* &quot;-&quot;??_-;_-@_-">
                  <c:v>10098445.77</c:v>
                </c:pt>
                <c:pt idx="196" formatCode="_-* #,##0_-;\-* #,##0_-;_-* &quot;-&quot;??_-;_-@_-">
                  <c:v>13064411.43</c:v>
                </c:pt>
                <c:pt idx="197" formatCode="_-* #,##0_-;\-* #,##0_-;_-* &quot;-&quot;??_-;_-@_-">
                  <c:v>13922486.550000001</c:v>
                </c:pt>
                <c:pt idx="198" formatCode="_-* #,##0_-;\-* #,##0_-;_-* &quot;-&quot;??_-;_-@_-">
                  <c:v>9737714.7000000011</c:v>
                </c:pt>
                <c:pt idx="199" formatCode="_-* #,##0_-;\-* #,##0_-;_-* &quot;-&quot;??_-;_-@_-">
                  <c:v>10902026.52</c:v>
                </c:pt>
                <c:pt idx="200" formatCode="_-* #,##0_-;\-* #,##0_-;_-* &quot;-&quot;??_-;_-@_-">
                  <c:v>7139958.8399999999</c:v>
                </c:pt>
                <c:pt idx="201" formatCode="_-* #,##0_-;\-* #,##0_-;_-* &quot;-&quot;??_-;_-@_-">
                  <c:v>7876457.8199999994</c:v>
                </c:pt>
                <c:pt idx="202" formatCode="_-* #,##0_-;\-* #,##0_-;_-* &quot;-&quot;??_-;_-@_-">
                  <c:v>10581518.43</c:v>
                </c:pt>
                <c:pt idx="203" formatCode="_-* #,##0_-;\-* #,##0_-;_-* &quot;-&quot;??_-;_-@_-">
                  <c:v>12772224.990000002</c:v>
                </c:pt>
                <c:pt idx="204" formatCode="_-* #,##0_-;\-* #,##0_-;_-* &quot;-&quot;??_-;_-@_-">
                  <c:v>10718613.359999999</c:v>
                </c:pt>
                <c:pt idx="205" formatCode="_-* #,##0_-;\-* #,##0_-;_-* &quot;-&quot;??_-;_-@_-">
                  <c:v>8366691.6899999995</c:v>
                </c:pt>
                <c:pt idx="206" formatCode="_-* #,##0_-;\-* #,##0_-;_-* &quot;-&quot;??_-;_-@_-">
                  <c:v>9821772.4499999993</c:v>
                </c:pt>
                <c:pt idx="207" formatCode="_-* #,##0_-;\-* #,##0_-;_-* &quot;-&quot;??_-;_-@_-">
                  <c:v>8585043.3900000006</c:v>
                </c:pt>
                <c:pt idx="208" formatCode="_-* #,##0_-;\-* #,##0_-;_-* &quot;-&quot;??_-;_-@_-">
                  <c:v>10045040.040000001</c:v>
                </c:pt>
                <c:pt idx="209" formatCode="_-* #,##0_-;\-* #,##0_-;_-* &quot;-&quot;??_-;_-@_-">
                  <c:v>10217772</c:v>
                </c:pt>
                <c:pt idx="210" formatCode="_-* #,##0_-;\-* #,##0_-;_-* &quot;-&quot;??_-;_-@_-">
                  <c:v>11799849.450000001</c:v>
                </c:pt>
                <c:pt idx="211" formatCode="_-* #,##0_-;\-* #,##0_-;_-* &quot;-&quot;??_-;_-@_-">
                  <c:v>12714384</c:v>
                </c:pt>
                <c:pt idx="212" formatCode="_-* #,##0_-;\-* #,##0_-;_-* &quot;-&quot;??_-;_-@_-">
                  <c:v>9227763</c:v>
                </c:pt>
                <c:pt idx="213" formatCode="_-* #,##0_-;\-* #,##0_-;_-* &quot;-&quot;??_-;_-@_-">
                  <c:v>8969071.9499999993</c:v>
                </c:pt>
                <c:pt idx="214" formatCode="_-* #,##0_-;\-* #,##0_-;_-* &quot;-&quot;??_-;_-@_-">
                  <c:v>7481116.9500000002</c:v>
                </c:pt>
                <c:pt idx="215" formatCode="_-* #,##0_-;\-* #,##0_-;_-* &quot;-&quot;??_-;_-@_-">
                  <c:v>7950447.1499999994</c:v>
                </c:pt>
                <c:pt idx="216" formatCode="_-* #,##0_-;\-* #,##0_-;_-* &quot;-&quot;??_-;_-@_-">
                  <c:v>8337642.9000000004</c:v>
                </c:pt>
                <c:pt idx="217" formatCode="_-* #,##0_-;\-* #,##0_-;_-* &quot;-&quot;??_-;_-@_-">
                  <c:v>8842321.0500000007</c:v>
                </c:pt>
                <c:pt idx="218" formatCode="_-* #,##0_-;\-* #,##0_-;_-* &quot;-&quot;??_-;_-@_-">
                  <c:v>12185435.700000001</c:v>
                </c:pt>
                <c:pt idx="219" formatCode="_-* #,##0_-;\-* #,##0_-;_-* &quot;-&quot;??_-;_-@_-">
                  <c:v>8596506</c:v>
                </c:pt>
                <c:pt idx="220" formatCode="_-* #,##0_-;\-* #,##0_-;_-* &quot;-&quot;??_-;_-@_-">
                  <c:v>10079715.75</c:v>
                </c:pt>
                <c:pt idx="221" formatCode="_-* #,##0_-;\-* #,##0_-;_-* &quot;-&quot;??_-;_-@_-">
                  <c:v>9182102.1600000001</c:v>
                </c:pt>
                <c:pt idx="222" formatCode="_-* #,##0_-;\-* #,##0_-;_-* &quot;-&quot;??_-;_-@_-">
                  <c:v>8679398.4199999999</c:v>
                </c:pt>
                <c:pt idx="223" formatCode="_-* #,##0_-;\-* #,##0_-;_-* &quot;-&quot;??_-;_-@_-">
                  <c:v>10184485.85</c:v>
                </c:pt>
                <c:pt idx="224" formatCode="_-* #,##0_-;\-* #,##0_-;_-* &quot;-&quot;??_-;_-@_-">
                  <c:v>11767663.6</c:v>
                </c:pt>
                <c:pt idx="225" formatCode="_-* #,##0_-;\-* #,##0_-;_-* &quot;-&quot;??_-;_-@_-">
                  <c:v>13256219.899999999</c:v>
                </c:pt>
                <c:pt idx="226" formatCode="_-* #,##0_-;\-* #,##0_-;_-* &quot;-&quot;??_-;_-@_-">
                  <c:v>8801956.2400000002</c:v>
                </c:pt>
                <c:pt idx="227" formatCode="_-* #,##0_-;\-* #,##0_-;_-* &quot;-&quot;??_-;_-@_-">
                  <c:v>10190463.359999999</c:v>
                </c:pt>
                <c:pt idx="228" formatCode="_-* #,##0_-;\-* #,##0_-;_-* &quot;-&quot;??_-;_-@_-">
                  <c:v>10606743.84</c:v>
                </c:pt>
                <c:pt idx="229" formatCode="_-* #,##0_-;\-* #,##0_-;_-* &quot;-&quot;??_-;_-@_-">
                  <c:v>10820333.369999999</c:v>
                </c:pt>
                <c:pt idx="230" formatCode="_-* #,##0_-;\-* #,##0_-;_-* &quot;-&quot;??_-;_-@_-">
                  <c:v>7887639.7599999998</c:v>
                </c:pt>
                <c:pt idx="231" formatCode="_-* #,##0_-;\-* #,##0_-;_-* &quot;-&quot;??_-;_-@_-">
                  <c:v>10982469.960000001</c:v>
                </c:pt>
                <c:pt idx="232" formatCode="_-* #,##0_-;\-* #,##0_-;_-* &quot;-&quot;??_-;_-@_-">
                  <c:v>10970062.18</c:v>
                </c:pt>
                <c:pt idx="233" formatCode="_-* #,##0_-;\-* #,##0_-;_-* &quot;-&quot;??_-;_-@_-">
                  <c:v>10184599.040000001</c:v>
                </c:pt>
                <c:pt idx="234" formatCode="_-* #,##0_-;\-* #,##0_-;_-* &quot;-&quot;??_-;_-@_-">
                  <c:v>11114002.130000001</c:v>
                </c:pt>
                <c:pt idx="235" formatCode="_-* #,##0_-;\-* #,##0_-;_-* &quot;-&quot;??_-;_-@_-">
                  <c:v>9512379.7999999989</c:v>
                </c:pt>
                <c:pt idx="236" formatCode="_-* #,##0_-;\-* #,##0_-;_-* &quot;-&quot;??_-;_-@_-">
                  <c:v>9089568.9500000011</c:v>
                </c:pt>
                <c:pt idx="237" formatCode="_-* #,##0_-;\-* #,##0_-;_-* &quot;-&quot;??_-;_-@_-">
                  <c:v>10263377.629999999</c:v>
                </c:pt>
                <c:pt idx="238" formatCode="_-* #,##0_-;\-* #,##0_-;_-* &quot;-&quot;??_-;_-@_-">
                  <c:v>12334476.110000001</c:v>
                </c:pt>
                <c:pt idx="239" formatCode="_-* #,##0_-;\-* #,##0_-;_-* &quot;-&quot;??_-;_-@_-">
                  <c:v>10279713.15</c:v>
                </c:pt>
                <c:pt idx="240" formatCode="_-* #,##0_-;\-* #,##0_-;_-* &quot;-&quot;??_-;_-@_-">
                  <c:v>7806611.7000000002</c:v>
                </c:pt>
                <c:pt idx="241" formatCode="_-* #,##0_-;\-* #,##0_-;_-* &quot;-&quot;??_-;_-@_-">
                  <c:v>10932573.209999999</c:v>
                </c:pt>
                <c:pt idx="242" formatCode="_-* #,##0_-;\-* #,##0_-;_-* &quot;-&quot;??_-;_-@_-">
                  <c:v>12579418.98</c:v>
                </c:pt>
                <c:pt idx="243" formatCode="_-* #,##0_-;\-* #,##0_-;_-* &quot;-&quot;??_-;_-@_-">
                  <c:v>13991345.83</c:v>
                </c:pt>
                <c:pt idx="244" formatCode="_-* #,##0_-;\-* #,##0_-;_-* &quot;-&quot;??_-;_-@_-">
                  <c:v>10948814.799999999</c:v>
                </c:pt>
                <c:pt idx="245" formatCode="_-* #,##0_-;\-* #,##0_-;_-* &quot;-&quot;??_-;_-@_-">
                  <c:v>12742870.91</c:v>
                </c:pt>
                <c:pt idx="246" formatCode="_-* #,##0_-;\-* #,##0_-;_-* &quot;-&quot;??_-;_-@_-">
                  <c:v>12777760.379999999</c:v>
                </c:pt>
                <c:pt idx="247" formatCode="_-* #,##0_-;\-* #,##0_-;_-* &quot;-&quot;??_-;_-@_-">
                  <c:v>7405989.3599999994</c:v>
                </c:pt>
                <c:pt idx="248" formatCode="_-* #,##0_-;\-* #,##0_-;_-* &quot;-&quot;??_-;_-@_-">
                  <c:v>8959284.9499999993</c:v>
                </c:pt>
                <c:pt idx="249" formatCode="_-* #,##0_-;\-* #,##0_-;_-* &quot;-&quot;??_-;_-@_-">
                  <c:v>11400771.689999999</c:v>
                </c:pt>
                <c:pt idx="250" formatCode="_-* #,##0_-;\-* #,##0_-;_-* &quot;-&quot;??_-;_-@_-">
                  <c:v>9840404.4199999999</c:v>
                </c:pt>
                <c:pt idx="251" formatCode="_-* #,##0_-;\-* #,##0_-;_-* &quot;-&quot;??_-;_-@_-">
                  <c:v>9694001.2400000002</c:v>
                </c:pt>
                <c:pt idx="252" formatCode="_-* #,##0_-;\-* #,##0_-;_-* &quot;-&quot;??_-;_-@_-">
                  <c:v>10926446.300000001</c:v>
                </c:pt>
                <c:pt idx="253" formatCode="_-* #,##0_-;\-* #,##0_-;_-* &quot;-&quot;??_-;_-@_-">
                  <c:v>12889327.99</c:v>
                </c:pt>
                <c:pt idx="254" formatCode="_-* #,##0_-;\-* #,##0_-;_-* &quot;-&quot;??_-;_-@_-">
                  <c:v>7774358.1299999999</c:v>
                </c:pt>
                <c:pt idx="255" formatCode="_-* #,##0_-;\-* #,##0_-;_-* &quot;-&quot;??_-;_-@_-">
                  <c:v>9104626.3000000007</c:v>
                </c:pt>
                <c:pt idx="256" formatCode="_-* #,##0_-;\-* #,##0_-;_-* &quot;-&quot;??_-;_-@_-">
                  <c:v>9380454.1600000001</c:v>
                </c:pt>
                <c:pt idx="257" formatCode="_-* #,##0_-;\-* #,##0_-;_-* &quot;-&quot;??_-;_-@_-">
                  <c:v>8987814.2200000007</c:v>
                </c:pt>
                <c:pt idx="258" formatCode="_-* #,##0_-;\-* #,##0_-;_-* &quot;-&quot;??_-;_-@_-">
                  <c:v>8955501.1699999999</c:v>
                </c:pt>
                <c:pt idx="259" formatCode="_-* #,##0_-;\-* #,##0_-;_-* &quot;-&quot;??_-;_-@_-">
                  <c:v>10781142.68</c:v>
                </c:pt>
                <c:pt idx="260" formatCode="_-* #,##0_-;\-* #,##0_-;_-* &quot;-&quot;??_-;_-@_-">
                  <c:v>12852088.479999999</c:v>
                </c:pt>
                <c:pt idx="261" formatCode="_-* #,##0_-;\-* #,##0_-;_-* &quot;-&quot;??_-;_-@_-">
                  <c:v>11087763.610000001</c:v>
                </c:pt>
                <c:pt idx="262" formatCode="_-* #,##0_-;\-* #,##0_-;_-* &quot;-&quot;??_-;_-@_-">
                  <c:v>11632269.08</c:v>
                </c:pt>
                <c:pt idx="263" formatCode="_-* #,##0_-;\-* #,##0_-;_-* &quot;-&quot;??_-;_-@_-">
                  <c:v>12576928.26</c:v>
                </c:pt>
                <c:pt idx="264" formatCode="_-* #,##0_-;\-* #,##0_-;_-* &quot;-&quot;??_-;_-@_-">
                  <c:v>9210296.8200000003</c:v>
                </c:pt>
                <c:pt idx="265" formatCode="_-* #,##0_-;\-* #,##0_-;_-* &quot;-&quot;??_-;_-@_-">
                  <c:v>10226376.280000001</c:v>
                </c:pt>
                <c:pt idx="266" formatCode="_-* #,##0_-;\-* #,##0_-;_-* &quot;-&quot;??_-;_-@_-">
                  <c:v>12256967.720000001</c:v>
                </c:pt>
                <c:pt idx="267" formatCode="_-* #,##0_-;\-* #,##0_-;_-* &quot;-&quot;??_-;_-@_-">
                  <c:v>9915341.9600000009</c:v>
                </c:pt>
                <c:pt idx="268" formatCode="_-* #,##0_-;\-* #,##0_-;_-* &quot;-&quot;??_-;_-@_-">
                  <c:v>9855519.9800000004</c:v>
                </c:pt>
                <c:pt idx="269" formatCode="_-* #,##0_-;\-* #,##0_-;_-* &quot;-&quot;??_-;_-@_-">
                  <c:v>11859537.9</c:v>
                </c:pt>
                <c:pt idx="270" formatCode="_-* #,##0_-;\-* #,##0_-;_-* &quot;-&quot;??_-;_-@_-">
                  <c:v>8779676.4000000004</c:v>
                </c:pt>
                <c:pt idx="271" formatCode="_-* #,##0_-;\-* #,##0_-;_-* &quot;-&quot;??_-;_-@_-">
                  <c:v>10019058.639999999</c:v>
                </c:pt>
                <c:pt idx="272" formatCode="_-* #,##0_-;\-* #,##0_-;_-* &quot;-&quot;??_-;_-@_-">
                  <c:v>10281785.119999999</c:v>
                </c:pt>
                <c:pt idx="273" formatCode="_-* #,##0_-;\-* #,##0_-;_-* &quot;-&quot;??_-;_-@_-">
                  <c:v>13411406.220000001</c:v>
                </c:pt>
                <c:pt idx="274" formatCode="_-* #,##0_-;\-* #,##0_-;_-* &quot;-&quot;??_-;_-@_-">
                  <c:v>12967120.32</c:v>
                </c:pt>
                <c:pt idx="275" formatCode="_-* #,##0_-;\-* #,##0_-;_-* &quot;-&quot;??_-;_-@_-">
                  <c:v>8523772.1400000006</c:v>
                </c:pt>
                <c:pt idx="276" formatCode="_-* #,##0_-;\-* #,##0_-;_-* &quot;-&quot;??_-;_-@_-">
                  <c:v>9186258.6199999992</c:v>
                </c:pt>
                <c:pt idx="277" formatCode="_-* #,##0_-;\-* #,##0_-;_-* &quot;-&quot;??_-;_-@_-">
                  <c:v>12107347.02</c:v>
                </c:pt>
                <c:pt idx="278" formatCode="_-* #,##0_-;\-* #,##0_-;_-* &quot;-&quot;??_-;_-@_-">
                  <c:v>11687904.1</c:v>
                </c:pt>
                <c:pt idx="279" formatCode="_-* #,##0_-;\-* #,##0_-;_-* &quot;-&quot;??_-;_-@_-">
                  <c:v>9190108.9400000013</c:v>
                </c:pt>
                <c:pt idx="280" formatCode="_-* #,##0_-;\-* #,##0_-;_-* &quot;-&quot;??_-;_-@_-">
                  <c:v>10265273.98</c:v>
                </c:pt>
                <c:pt idx="281" formatCode="_-* #,##0_-;\-* #,##0_-;_-* &quot;-&quot;??_-;_-@_-">
                  <c:v>9151558.4000000004</c:v>
                </c:pt>
                <c:pt idx="282" formatCode="_-* #,##0_-;\-* #,##0_-;_-* &quot;-&quot;??_-;_-@_-">
                  <c:v>7577187.7999999998</c:v>
                </c:pt>
                <c:pt idx="283" formatCode="_-* #,##0_-;\-* #,##0_-;_-* &quot;-&quot;??_-;_-@_-">
                  <c:v>8686243.0199999996</c:v>
                </c:pt>
                <c:pt idx="284" formatCode="_-* #,##0_-;\-* #,##0_-;_-* &quot;-&quot;??_-;_-@_-">
                  <c:v>10648175.68</c:v>
                </c:pt>
                <c:pt idx="285" formatCode="_-* #,##0_-;\-* #,##0_-;_-* &quot;-&quot;??_-;_-@_-">
                  <c:v>9996945.5999999996</c:v>
                </c:pt>
                <c:pt idx="286" formatCode="_-* #,##0_-;\-* #,##0_-;_-* &quot;-&quot;??_-;_-@_-">
                  <c:v>9397242.4800000004</c:v>
                </c:pt>
                <c:pt idx="287" formatCode="_-* #,##0_-;\-* #,##0_-;_-* &quot;-&quot;??_-;_-@_-">
                  <c:v>10794124.899999999</c:v>
                </c:pt>
                <c:pt idx="288" formatCode="_-* #,##0_-;\-* #,##0_-;_-* &quot;-&quot;??_-;_-@_-">
                  <c:v>11450730.700000001</c:v>
                </c:pt>
                <c:pt idx="289" formatCode="_-* #,##0_-;\-* #,##0_-;_-* &quot;-&quot;??_-;_-@_-">
                  <c:v>9265216.4800000004</c:v>
                </c:pt>
                <c:pt idx="290" formatCode="_-* #,##0_-;\-* #,##0_-;_-* &quot;-&quot;??_-;_-@_-">
                  <c:v>11250372.039999999</c:v>
                </c:pt>
                <c:pt idx="291" formatCode="_-* #,##0_-;\-* #,##0_-;_-* &quot;-&quot;??_-;_-@_-">
                  <c:v>11331837</c:v>
                </c:pt>
                <c:pt idx="292" formatCode="_-* #,##0_-;\-* #,##0_-;_-* &quot;-&quot;??_-;_-@_-">
                  <c:v>12368121.84</c:v>
                </c:pt>
                <c:pt idx="293" formatCode="_-* #,##0_-;\-* #,##0_-;_-* &quot;-&quot;??_-;_-@_-">
                  <c:v>9580250.3399999999</c:v>
                </c:pt>
                <c:pt idx="294" formatCode="_-* #,##0_-;\-* #,##0_-;_-* &quot;-&quot;??_-;_-@_-">
                  <c:v>12102188.940000001</c:v>
                </c:pt>
                <c:pt idx="295" formatCode="_-* #,##0_-;\-* #,##0_-;_-* &quot;-&quot;??_-;_-@_-">
                  <c:v>13745053.439999999</c:v>
                </c:pt>
                <c:pt idx="296" formatCode="_-* #,##0_-;\-* #,##0_-;_-* &quot;-&quot;??_-;_-@_-">
                  <c:v>9566057.1600000001</c:v>
                </c:pt>
                <c:pt idx="297" formatCode="_-* #,##0_-;\-* #,##0_-;_-* &quot;-&quot;??_-;_-@_-">
                  <c:v>10685355.66</c:v>
                </c:pt>
                <c:pt idx="298" formatCode="_-* #,##0_-;\-* #,##0_-;_-* &quot;-&quot;??_-;_-@_-">
                  <c:v>9453947.2200000007</c:v>
                </c:pt>
                <c:pt idx="299" formatCode="_-* #,##0_-;\-* #,##0_-;_-* &quot;-&quot;??_-;_-@_-">
                  <c:v>9957311.8200000003</c:v>
                </c:pt>
                <c:pt idx="300" formatCode="_-* #,##0_-;\-* #,##0_-;_-* &quot;-&quot;??_-;_-@_-">
                  <c:v>12887091.200000001</c:v>
                </c:pt>
                <c:pt idx="301" formatCode="_-* #,##0_-;\-* #,##0_-;_-* &quot;-&quot;??_-;_-@_-">
                  <c:v>14596710.4</c:v>
                </c:pt>
                <c:pt idx="302" formatCode="_-* #,##0_-;\-* #,##0_-;_-* &quot;-&quot;??_-;_-@_-">
                  <c:v>12487987.199999999</c:v>
                </c:pt>
                <c:pt idx="303" formatCode="_-* #,##0_-;\-* #,##0_-;_-* &quot;-&quot;??_-;_-@_-">
                  <c:v>0</c:v>
                </c:pt>
                <c:pt idx="304" formatCode="_-* #,##0_-;\-* #,##0_-;_-* &quot;-&quot;??_-;_-@_-">
                  <c:v>7986452.4800000004</c:v>
                </c:pt>
                <c:pt idx="305" formatCode="_-* #,##0_-;\-* #,##0_-;_-* &quot;-&quot;??_-;_-@_-">
                  <c:v>8700006.4000000004</c:v>
                </c:pt>
                <c:pt idx="306" formatCode="_-* #,##0_-;\-* #,##0_-;_-* &quot;-&quot;??_-;_-@_-">
                  <c:v>9959311.3600000013</c:v>
                </c:pt>
                <c:pt idx="307" formatCode="_-* #,##0_-;\-* #,##0_-;_-* &quot;-&quot;??_-;_-@_-">
                  <c:v>9462108.1600000001</c:v>
                </c:pt>
                <c:pt idx="308" formatCode="_-* #,##0_-;\-* #,##0_-;_-* &quot;-&quot;??_-;_-@_-">
                  <c:v>12237383.68</c:v>
                </c:pt>
                <c:pt idx="309" formatCode="_-* #,##0_-;\-* #,##0_-;_-* &quot;-&quot;??_-;_-@_-">
                  <c:v>10696980.6</c:v>
                </c:pt>
                <c:pt idx="310" formatCode="_-* #,##0_-;\-* #,##0_-;_-* &quot;-&quot;??_-;_-@_-">
                  <c:v>7863799.4999999991</c:v>
                </c:pt>
                <c:pt idx="311" formatCode="_-* #,##0_-;\-* #,##0_-;_-* &quot;-&quot;??_-;_-@_-">
                  <c:v>11057108.399999999</c:v>
                </c:pt>
                <c:pt idx="312" formatCode="_-* #,##0_-;\-* #,##0_-;_-* &quot;-&quot;??_-;_-@_-">
                  <c:v>10848397.140000001</c:v>
                </c:pt>
                <c:pt idx="313" formatCode="_-* #,##0_-;\-* #,##0_-;_-* &quot;-&quot;??_-;_-@_-">
                  <c:v>9732528.1799999997</c:v>
                </c:pt>
                <c:pt idx="314" formatCode="_-* #,##0_-;\-* #,##0_-;_-* &quot;-&quot;??_-;_-@_-">
                  <c:v>9095980.5</c:v>
                </c:pt>
                <c:pt idx="315" formatCode="_-* #,##0_-;\-* #,##0_-;_-* &quot;-&quot;??_-;_-@_-">
                  <c:v>11134996.02</c:v>
                </c:pt>
                <c:pt idx="316" formatCode="_-* #,##0_-;\-* #,##0_-;_-* &quot;-&quot;??_-;_-@_-">
                  <c:v>9927552.5999999996</c:v>
                </c:pt>
                <c:pt idx="317" formatCode="_-* #,##0_-;\-* #,##0_-;_-* &quot;-&quot;??_-;_-@_-">
                  <c:v>7861492.2599999998</c:v>
                </c:pt>
                <c:pt idx="318" formatCode="_-* #,##0_-;\-* #,##0_-;_-* &quot;-&quot;??_-;_-@_-">
                  <c:v>9592418.1600000001</c:v>
                </c:pt>
                <c:pt idx="319" formatCode="_-* #,##0_-;\-* #,##0_-;_-* &quot;-&quot;??_-;_-@_-">
                  <c:v>8668953.5999999996</c:v>
                </c:pt>
                <c:pt idx="320" formatCode="_-* #,##0_-;\-* #,##0_-;_-* &quot;-&quot;??_-;_-@_-">
                  <c:v>9073192.959999999</c:v>
                </c:pt>
                <c:pt idx="321" formatCode="_-* #,##0_-;\-* #,##0_-;_-* &quot;-&quot;??_-;_-@_-">
                  <c:v>9021496.3200000003</c:v>
                </c:pt>
                <c:pt idx="322" formatCode="_-* #,##0_-;\-* #,##0_-;_-* &quot;-&quot;??_-;_-@_-">
                  <c:v>9587368.959999999</c:v>
                </c:pt>
                <c:pt idx="323" formatCode="_-* #,##0_-;\-* #,##0_-;_-* &quot;-&quot;??_-;_-@_-">
                  <c:v>11546199.040000001</c:v>
                </c:pt>
                <c:pt idx="324" formatCode="_-* #,##0_-;\-* #,##0_-;_-* &quot;-&quot;??_-;_-@_-">
                  <c:v>7041484.7999999998</c:v>
                </c:pt>
                <c:pt idx="325" formatCode="_-* #,##0_-;\-* #,##0_-;_-* &quot;-&quot;??_-;_-@_-">
                  <c:v>9565265.9199999999</c:v>
                </c:pt>
                <c:pt idx="326" formatCode="_-* #,##0_-;\-* #,##0_-;_-* &quot;-&quot;??_-;_-@_-">
                  <c:v>9928483.8399999999</c:v>
                </c:pt>
                <c:pt idx="327" formatCode="_-* #,##0_-;\-* #,##0_-;_-* &quot;-&quot;??_-;_-@_-">
                  <c:v>8003251.2000000002</c:v>
                </c:pt>
                <c:pt idx="328" formatCode="_-* #,##0_-;\-* #,##0_-;_-* &quot;-&quot;??_-;_-@_-">
                  <c:v>9233182.7200000007</c:v>
                </c:pt>
                <c:pt idx="329" formatCode="_-* #,##0_-;\-* #,##0_-;_-* &quot;-&quot;??_-;_-@_-">
                  <c:v>8807152.6400000006</c:v>
                </c:pt>
                <c:pt idx="330" formatCode="_-* #,##0_-;\-* #,##0_-;_-* &quot;-&quot;??_-;_-@_-">
                  <c:v>8719626.2400000002</c:v>
                </c:pt>
                <c:pt idx="331" formatCode="_-* #,##0_-;\-* #,##0_-;_-* &quot;-&quot;??_-;_-@_-">
                  <c:v>7396183.04</c:v>
                </c:pt>
                <c:pt idx="332" formatCode="_-* #,##0_-;\-* #,##0_-;_-* &quot;-&quot;??_-;_-@_-">
                  <c:v>11113728</c:v>
                </c:pt>
                <c:pt idx="333" formatCode="_-* #,##0_-;\-* #,##0_-;_-* &quot;-&quot;??_-;_-@_-">
                  <c:v>8640051.1999999993</c:v>
                </c:pt>
                <c:pt idx="334" formatCode="_-* #,##0_-;\-* #,##0_-;_-* &quot;-&quot;??_-;_-@_-">
                  <c:v>9985018.8800000008</c:v>
                </c:pt>
                <c:pt idx="335" formatCode="_-* #,##0_-;\-* #,##0_-;_-* &quot;-&quot;??_-;_-@_-">
                  <c:v>9847767.040000001</c:v>
                </c:pt>
                <c:pt idx="336" formatCode="_-* #,##0_-;\-* #,##0_-;_-* &quot;-&quot;??_-;_-@_-">
                  <c:v>9045253.120000001</c:v>
                </c:pt>
                <c:pt idx="337" formatCode="_-* #,##0_-;\-* #,##0_-;_-* &quot;-&quot;??_-;_-@_-">
                  <c:v>9404917.7599999998</c:v>
                </c:pt>
                <c:pt idx="338" formatCode="_-* #,##0_-;\-* #,##0_-;_-* &quot;-&quot;??_-;_-@_-">
                  <c:v>8971351.040000001</c:v>
                </c:pt>
                <c:pt idx="339" formatCode="_-* #,##0_-;\-* #,##0_-;_-* &quot;-&quot;??_-;_-@_-">
                  <c:v>7931919.3599999994</c:v>
                </c:pt>
                <c:pt idx="340" formatCode="_-* #,##0_-;\-* #,##0_-;_-* &quot;-&quot;??_-;_-@_-">
                  <c:v>11818777.6</c:v>
                </c:pt>
                <c:pt idx="341" formatCode="_-* #,##0_-;\-* #,##0_-;_-* &quot;-&quot;??_-;_-@_-">
                  <c:v>9892592.6400000006</c:v>
                </c:pt>
                <c:pt idx="342" formatCode="_-* #,##0_-;\-* #,##0_-;_-* &quot;-&quot;??_-;_-@_-">
                  <c:v>9279820.7999999989</c:v>
                </c:pt>
                <c:pt idx="343" formatCode="_-* #,##0_-;\-* #,##0_-;_-* &quot;-&quot;??_-;_-@_-">
                  <c:v>12222428.16</c:v>
                </c:pt>
                <c:pt idx="344" formatCode="_-* #,##0_-;\-* #,##0_-;_-* &quot;-&quot;??_-;_-@_-">
                  <c:v>9833818.9199999999</c:v>
                </c:pt>
                <c:pt idx="345" formatCode="_-* #,##0_-;\-* #,##0_-;_-* &quot;-&quot;??_-;_-@_-">
                  <c:v>8548909.5</c:v>
                </c:pt>
                <c:pt idx="346" formatCode="_-* #,##0_-;\-* #,##0_-;_-* &quot;-&quot;??_-;_-@_-">
                  <c:v>13022795.539999999</c:v>
                </c:pt>
                <c:pt idx="347" formatCode="_-* #,##0_-;\-* #,##0_-;_-* &quot;-&quot;??_-;_-@_-">
                  <c:v>10185629.539999999</c:v>
                </c:pt>
                <c:pt idx="348" formatCode="_-* #,##0_-;\-* #,##0_-;_-* &quot;-&quot;??_-;_-@_-">
                  <c:v>9228119.0999999996</c:v>
                </c:pt>
                <c:pt idx="349" formatCode="_-* #,##0_-;\-* #,##0_-;_-* &quot;-&quot;??_-;_-@_-">
                  <c:v>13374061.529999999</c:v>
                </c:pt>
                <c:pt idx="350" formatCode="_-* #,##0_-;\-* #,##0_-;_-* &quot;-&quot;??_-;_-@_-">
                  <c:v>14602359.970000001</c:v>
                </c:pt>
                <c:pt idx="351" formatCode="_-* #,##0_-;\-* #,##0_-;_-* &quot;-&quot;??_-;_-@_-">
                  <c:v>11400780.51</c:v>
                </c:pt>
                <c:pt idx="352" formatCode="_-* #,##0_-;\-* #,##0_-;_-* &quot;-&quot;??_-;_-@_-">
                  <c:v>9971136.9399999995</c:v>
                </c:pt>
                <c:pt idx="353" formatCode="_-* #,##0_-;\-* #,##0_-;_-* &quot;-&quot;??_-;_-@_-">
                  <c:v>8131758.5499999998</c:v>
                </c:pt>
                <c:pt idx="354" formatCode="_-* #,##0_-;\-* #,##0_-;_-* &quot;-&quot;??_-;_-@_-">
                  <c:v>10032583.42</c:v>
                </c:pt>
                <c:pt idx="355" formatCode="_-* #,##0_-;\-* #,##0_-;_-* &quot;-&quot;??_-;_-@_-">
                  <c:v>10566809.460000001</c:v>
                </c:pt>
                <c:pt idx="356" formatCode="_-* #,##0_-;\-* #,##0_-;_-* &quot;-&quot;??_-;_-@_-">
                  <c:v>10537557.229999999</c:v>
                </c:pt>
                <c:pt idx="357" formatCode="_-* #,##0_-;\-* #,##0_-;_-* &quot;-&quot;??_-;_-@_-">
                  <c:v>14172254.970000001</c:v>
                </c:pt>
                <c:pt idx="358" formatCode="_-* #,##0_-;\-* #,##0_-;_-* &quot;-&quot;??_-;_-@_-">
                  <c:v>14315930.4</c:v>
                </c:pt>
                <c:pt idx="359" formatCode="_-* #,##0_-;\-* #,##0_-;_-* &quot;-&quot;??_-;_-@_-">
                  <c:v>12469176.6</c:v>
                </c:pt>
                <c:pt idx="360" formatCode="_-* #,##0_-;\-* #,##0_-;_-* &quot;-&quot;??_-;_-@_-">
                  <c:v>18339270</c:v>
                </c:pt>
                <c:pt idx="361" formatCode="_-* #,##0_-;\-* #,##0_-;_-* &quot;-&quot;??_-;_-@_-">
                  <c:v>27230602.789999999</c:v>
                </c:pt>
                <c:pt idx="362" formatCode="_-* #,##0_-;\-* #,##0_-;_-* &quot;-&quot;??_-;_-@_-">
                  <c:v>7450504.6009999998</c:v>
                </c:pt>
                <c:pt idx="363" formatCode="_-* #,##0_-;\-* #,##0_-;_-* &quot;-&quot;??_-;_-@_-">
                  <c:v>12604958.504000001</c:v>
                </c:pt>
                <c:pt idx="364" formatCode="_-* #,##0_-;\-* #,##0_-;_-* &quot;-&quot;??_-;_-@_-">
                  <c:v>17704498.392000001</c:v>
                </c:pt>
                <c:pt idx="365" formatCode="_-* #,##0_-;\-* #,##0_-;_-* &quot;-&quot;??_-;_-@_-">
                  <c:v>16964791.363000002</c:v>
                </c:pt>
                <c:pt idx="366" formatCode="_-* #,##0_-;\-* #,##0_-;_-* &quot;-&quot;??_-;_-@_-">
                  <c:v>12524829.185000001</c:v>
                </c:pt>
                <c:pt idx="367" formatCode="_-* #,##0_-;\-* #,##0_-;_-* &quot;-&quot;??_-;_-@_-">
                  <c:v>12884600.609999999</c:v>
                </c:pt>
                <c:pt idx="368" formatCode="_-* #,##0_-;\-* #,##0_-;_-* &quot;-&quot;??_-;_-@_-">
                  <c:v>14597929.060000001</c:v>
                </c:pt>
                <c:pt idx="369" formatCode="_-* #,##0_-;\-* #,##0_-;_-* &quot;-&quot;??_-;_-@_-">
                  <c:v>8217504.932</c:v>
                </c:pt>
                <c:pt idx="370" formatCode="_-* #,##0_-;\-* #,##0_-;_-* &quot;-&quot;??_-;_-@_-">
                  <c:v>9355319.318</c:v>
                </c:pt>
                <c:pt idx="371" formatCode="_-* #,##0_-;\-* #,##0_-;_-* &quot;-&quot;??_-;_-@_-">
                  <c:v>11113204.896</c:v>
                </c:pt>
                <c:pt idx="372" formatCode="_-* #,##0_-;\-* #,##0_-;_-* &quot;-&quot;??_-;_-@_-">
                  <c:v>10547130.598000001</c:v>
                </c:pt>
                <c:pt idx="373" formatCode="_-* #,##0_-;\-* #,##0_-;_-* &quot;-&quot;??_-;_-@_-">
                  <c:v>8701985.4690000005</c:v>
                </c:pt>
                <c:pt idx="374" formatCode="_-* #,##0_-;\-* #,##0_-;_-* &quot;-&quot;??_-;_-@_-">
                  <c:v>10492475.425999999</c:v>
                </c:pt>
                <c:pt idx="375" formatCode="_-* #,##0_-;\-* #,##0_-;_-* &quot;-&quot;??_-;_-@_-">
                  <c:v>9829924.7919999994</c:v>
                </c:pt>
                <c:pt idx="376" formatCode="_-* #,##0_-;\-* #,##0_-;_-* &quot;-&quot;??_-;_-@_-">
                  <c:v>8901151.0199999996</c:v>
                </c:pt>
                <c:pt idx="377" formatCode="_-* #,##0_-;\-* #,##0_-;_-* &quot;-&quot;??_-;_-@_-">
                  <c:v>9173885.5199999996</c:v>
                </c:pt>
                <c:pt idx="378" formatCode="_-* #,##0_-;\-* #,##0_-;_-* &quot;-&quot;??_-;_-@_-">
                  <c:v>10151588.1</c:v>
                </c:pt>
                <c:pt idx="379" formatCode="_-* #,##0_-;\-* #,##0_-;_-* &quot;-&quot;??_-;_-@_-">
                  <c:v>8404624.7999999989</c:v>
                </c:pt>
                <c:pt idx="380" formatCode="_-* #,##0_-;\-* #,##0_-;_-* &quot;-&quot;??_-;_-@_-">
                  <c:v>8579048.4000000004</c:v>
                </c:pt>
                <c:pt idx="381" formatCode="_-* #,##0_-;\-* #,##0_-;_-* &quot;-&quot;??_-;_-@_-">
                  <c:v>9358710.4000000004</c:v>
                </c:pt>
                <c:pt idx="382" formatCode="_-* #,##0_-;\-* #,##0_-;_-* &quot;-&quot;??_-;_-@_-">
                  <c:v>6915963.5999999996</c:v>
                </c:pt>
                <c:pt idx="383" formatCode="_-* #,##0_-;\-* #,##0_-;_-* &quot;-&quot;??_-;_-@_-">
                  <c:v>6258002.4000000004</c:v>
                </c:pt>
                <c:pt idx="384" formatCode="_-* #,##0_-;\-* #,##0_-;_-* &quot;-&quot;??_-;_-@_-">
                  <c:v>6134180.0000000009</c:v>
                </c:pt>
                <c:pt idx="385" formatCode="_-* #,##0_-;\-* #,##0_-;_-* &quot;-&quot;??_-;_-@_-">
                  <c:v>8860254</c:v>
                </c:pt>
                <c:pt idx="386" formatCode="_-* #,##0_-;\-* #,##0_-;_-* &quot;-&quot;??_-;_-@_-">
                  <c:v>7796178.0000000009</c:v>
                </c:pt>
                <c:pt idx="387" formatCode="_-* #,##0_-;\-* #,##0_-;_-* &quot;-&quot;??_-;_-@_-">
                  <c:v>6443871.1999999993</c:v>
                </c:pt>
                <c:pt idx="388" formatCode="_-* #,##0_-;\-* #,##0_-;_-* &quot;-&quot;??_-;_-@_-">
                  <c:v>8710956.8000000007</c:v>
                </c:pt>
                <c:pt idx="389" formatCode="_-* #,##0_-;\-* #,##0_-;_-* &quot;-&quot;??_-;_-@_-">
                  <c:v>9116296.8000000007</c:v>
                </c:pt>
                <c:pt idx="390" formatCode="_-* #,##0_-;\-* #,##0_-;_-* &quot;-&quot;??_-;_-@_-">
                  <c:v>6143758.3999999994</c:v>
                </c:pt>
                <c:pt idx="391" formatCode="_-* #,##0_-;\-* #,##0_-;_-* &quot;-&quot;??_-;_-@_-">
                  <c:v>7855827.2000000002</c:v>
                </c:pt>
                <c:pt idx="392" formatCode="_-* #,##0_-;\-* #,##0_-;_-* &quot;-&quot;??_-;_-@_-">
                  <c:v>9264304.2999999989</c:v>
                </c:pt>
                <c:pt idx="393" formatCode="_-* #,##0_-;\-* #,##0_-;_-* &quot;-&quot;??_-;_-@_-">
                  <c:v>11143914.699999999</c:v>
                </c:pt>
                <c:pt idx="394" formatCode="_-* #,##0_-;\-* #,##0_-;_-* &quot;-&quot;??_-;_-@_-">
                  <c:v>9092283.3300000001</c:v>
                </c:pt>
                <c:pt idx="395" formatCode="_-* #,##0_-;\-* #,##0_-;_-* &quot;-&quot;??_-;_-@_-">
                  <c:v>11073630.51</c:v>
                </c:pt>
                <c:pt idx="396" formatCode="_-* #,##0_-;\-* #,##0_-;_-* &quot;-&quot;??_-;_-@_-">
                  <c:v>8995833.0800000001</c:v>
                </c:pt>
                <c:pt idx="397" formatCode="_-* #,##0_-;\-* #,##0_-;_-* &quot;-&quot;??_-;_-@_-">
                  <c:v>11169190.449999999</c:v>
                </c:pt>
                <c:pt idx="398" formatCode="_-* #,##0_-;\-* #,##0_-;_-* &quot;-&quot;??_-;_-@_-">
                  <c:v>9147527.8200000003</c:v>
                </c:pt>
                <c:pt idx="399" formatCode="_-* #,##0_-;\-* #,##0_-;_-* &quot;-&quot;??_-;_-@_-">
                  <c:v>10477781.74</c:v>
                </c:pt>
                <c:pt idx="400" formatCode="_-* #,##0_-;\-* #,##0_-;_-* &quot;-&quot;??_-;_-@_-">
                  <c:v>15101372.83</c:v>
                </c:pt>
                <c:pt idx="401" formatCode="_-* #,##0_-;\-* #,##0_-;_-* &quot;-&quot;??_-;_-@_-">
                  <c:v>10670687.270000001</c:v>
                </c:pt>
                <c:pt idx="402" formatCode="_-* #,##0_-;\-* #,##0_-;_-* &quot;-&quot;??_-;_-@_-">
                  <c:v>10295801.369999999</c:v>
                </c:pt>
                <c:pt idx="403" formatCode="_-* #,##0_-;\-* #,##0_-;_-* &quot;-&quot;??_-;_-@_-">
                  <c:v>11234147.870000001</c:v>
                </c:pt>
                <c:pt idx="404" formatCode="_-* #,##0_-;\-* #,##0_-;_-* &quot;-&quot;??_-;_-@_-">
                  <c:v>8772320</c:v>
                </c:pt>
                <c:pt idx="405" formatCode="_-* #,##0_-;\-* #,##0_-;_-* &quot;-&quot;??_-;_-@_-">
                  <c:v>9993971.1899999995</c:v>
                </c:pt>
                <c:pt idx="406" formatCode="_-* #,##0_-;\-* #,##0_-;_-* &quot;-&quot;??_-;_-@_-">
                  <c:v>8395467.3699999992</c:v>
                </c:pt>
                <c:pt idx="407" formatCode="_-* #,##0_-;\-* #,##0_-;_-* &quot;-&quot;??_-;_-@_-">
                  <c:v>9136044.3300000001</c:v>
                </c:pt>
                <c:pt idx="408" formatCode="_-* #,##0_-;\-* #,##0_-;_-* &quot;-&quot;??_-;_-@_-">
                  <c:v>6009180.0399999991</c:v>
                </c:pt>
                <c:pt idx="409" formatCode="_-* #,##0_-;\-* #,##0_-;_-* &quot;-&quot;??_-;_-@_-">
                  <c:v>0</c:v>
                </c:pt>
                <c:pt idx="410" formatCode="_-* #,##0_-;\-* #,##0_-;_-* &quot;-&quot;??_-;_-@_-">
                  <c:v>11858481.529999999</c:v>
                </c:pt>
                <c:pt idx="411" formatCode="_-* #,##0_-;\-* #,##0_-;_-* &quot;-&quot;??_-;_-@_-">
                  <c:v>9237172.4800000004</c:v>
                </c:pt>
                <c:pt idx="412" formatCode="_-* #,##0_-;\-* #,##0_-;_-* &quot;-&quot;??_-;_-@_-">
                  <c:v>9153578.9100000001</c:v>
                </c:pt>
                <c:pt idx="413" formatCode="_-* #,##0_-;\-* #,##0_-;_-* &quot;-&quot;??_-;_-@_-">
                  <c:v>9460534.6600000001</c:v>
                </c:pt>
                <c:pt idx="414" formatCode="_-* #,##0_-;\-* #,##0_-;_-* &quot;-&quot;??_-;_-@_-">
                  <c:v>9405747.9000000004</c:v>
                </c:pt>
                <c:pt idx="415" formatCode="_-* #,##0_-;\-* #,##0_-;_-* &quot;-&quot;??_-;_-@_-">
                  <c:v>8445646.6500000004</c:v>
                </c:pt>
                <c:pt idx="416" formatCode="_-* #,##0_-;\-* #,##0_-;_-* &quot;-&quot;??_-;_-@_-">
                  <c:v>10804842.4</c:v>
                </c:pt>
                <c:pt idx="417" formatCode="_-* #,##0_-;\-* #,##0_-;_-* &quot;-&quot;??_-;_-@_-">
                  <c:v>9980244.3200000003</c:v>
                </c:pt>
                <c:pt idx="418" formatCode="_-* #,##0_-;\-* #,##0_-;_-* &quot;-&quot;??_-;_-@_-">
                  <c:v>9614467.75</c:v>
                </c:pt>
                <c:pt idx="419" formatCode="_-* #,##0_-;\-* #,##0_-;_-* &quot;-&quot;??_-;_-@_-">
                  <c:v>7911033.0999999996</c:v>
                </c:pt>
                <c:pt idx="420" formatCode="_-* #,##0_-;\-* #,##0_-;_-* &quot;-&quot;??_-;_-@_-">
                  <c:v>9845440.3200000003</c:v>
                </c:pt>
                <c:pt idx="421" formatCode="_-* #,##0_-;\-* #,##0_-;_-* &quot;-&quot;??_-;_-@_-">
                  <c:v>8895816.5599999987</c:v>
                </c:pt>
                <c:pt idx="422" formatCode="_-* #,##0_-;\-* #,##0_-;_-* &quot;-&quot;??_-;_-@_-">
                  <c:v>6589662.1599999992</c:v>
                </c:pt>
                <c:pt idx="423" formatCode="_-* #,##0_-;\-* #,##0_-;_-* &quot;-&quot;??_-;_-@_-">
                  <c:v>9925070.25</c:v>
                </c:pt>
                <c:pt idx="424" formatCode="_-* #,##0_-;\-* #,##0_-;_-* &quot;-&quot;??_-;_-@_-">
                  <c:v>4595981.42</c:v>
                </c:pt>
                <c:pt idx="425" formatCode="_-* #,##0_-;\-* #,##0_-;_-* &quot;-&quot;??_-;_-@_-">
                  <c:v>2290360.1999999997</c:v>
                </c:pt>
                <c:pt idx="426" formatCode="_-* #,##0_-;\-* #,##0_-;_-* &quot;-&quot;??_-;_-@_-">
                  <c:v>11376854</c:v>
                </c:pt>
                <c:pt idx="427" formatCode="_-* #,##0_-;\-* #,##0_-;_-* &quot;-&quot;??_-;_-@_-">
                  <c:v>9079210.3599999994</c:v>
                </c:pt>
                <c:pt idx="428" formatCode="_-* #,##0_-;\-* #,##0_-;_-* &quot;-&quot;??_-;_-@_-">
                  <c:v>10734633.659999998</c:v>
                </c:pt>
                <c:pt idx="429" formatCode="_-* #,##0_-;\-* #,##0_-;_-* &quot;-&quot;??_-;_-@_-">
                  <c:v>8196933.2699999996</c:v>
                </c:pt>
                <c:pt idx="430" formatCode="_-* #,##0_-;\-* #,##0_-;_-* &quot;-&quot;??_-;_-@_-">
                  <c:v>10441374.600000001</c:v>
                </c:pt>
                <c:pt idx="431" formatCode="_-* #,##0_-;\-* #,##0_-;_-* &quot;-&quot;??_-;_-@_-">
                  <c:v>10347197.91</c:v>
                </c:pt>
                <c:pt idx="432" formatCode="_-* #,##0_-;\-* #,##0_-;_-* &quot;-&quot;??_-;_-@_-">
                  <c:v>6419723.6100000003</c:v>
                </c:pt>
                <c:pt idx="433" formatCode="_-* #,##0_-;\-* #,##0_-;_-* &quot;-&quot;??_-;_-@_-">
                  <c:v>8863991.75</c:v>
                </c:pt>
                <c:pt idx="434" formatCode="_-* #,##0_-;\-* #,##0_-;_-* &quot;-&quot;??_-;_-@_-">
                  <c:v>11322645.690000001</c:v>
                </c:pt>
                <c:pt idx="435" formatCode="_-* #,##0_-;\-* #,##0_-;_-* &quot;-&quot;??_-;_-@_-">
                  <c:v>9650281.3499999996</c:v>
                </c:pt>
                <c:pt idx="436" formatCode="_-* #,##0_-;\-* #,##0_-;_-* &quot;-&quot;??_-;_-@_-">
                  <c:v>8410064.4299999997</c:v>
                </c:pt>
                <c:pt idx="437" formatCode="_-* #,##0_-;\-* #,##0_-;_-* &quot;-&quot;??_-;_-@_-">
                  <c:v>9407256.9000000004</c:v>
                </c:pt>
                <c:pt idx="438" formatCode="_-* #,##0_-;\-* #,##0_-;_-* &quot;-&quot;??_-;_-@_-">
                  <c:v>9115667.8000000007</c:v>
                </c:pt>
                <c:pt idx="439" formatCode="_-* #,##0_-;\-* #,##0_-;_-* &quot;-&quot;??_-;_-@_-">
                  <c:v>9740524.5800000001</c:v>
                </c:pt>
                <c:pt idx="440" formatCode="_-* #,##0_-;\-* #,##0_-;_-* &quot;-&quot;??_-;_-@_-">
                  <c:v>8022850</c:v>
                </c:pt>
                <c:pt idx="441" formatCode="_-* #,##0_-;\-* #,##0_-;_-* &quot;-&quot;??_-;_-@_-">
                  <c:v>9959601.1999999993</c:v>
                </c:pt>
                <c:pt idx="442" formatCode="_-* #,##0_-;\-* #,##0_-;_-* &quot;-&quot;??_-;_-@_-">
                  <c:v>11341201.359999999</c:v>
                </c:pt>
                <c:pt idx="443" formatCode="_-* #,##0_-;\-* #,##0_-;_-* &quot;-&quot;??_-;_-@_-">
                  <c:v>8496924.540000001</c:v>
                </c:pt>
                <c:pt idx="444" formatCode="_-* #,##0_-;\-* #,##0_-;_-* &quot;-&quot;??_-;_-@_-">
                  <c:v>9381086.9100000001</c:v>
                </c:pt>
                <c:pt idx="445" formatCode="_-* #,##0_-;\-* #,##0_-;_-* &quot;-&quot;??_-;_-@_-">
                  <c:v>8513493.3000000007</c:v>
                </c:pt>
                <c:pt idx="446" formatCode="_-* #,##0_-;\-* #,##0_-;_-* &quot;-&quot;??_-;_-@_-">
                  <c:v>9172527.3899999987</c:v>
                </c:pt>
                <c:pt idx="447" formatCode="_-* #,##0_-;\-* #,##0_-;_-* &quot;-&quot;??_-;_-@_-">
                  <c:v>9081997.4699999988</c:v>
                </c:pt>
                <c:pt idx="448" formatCode="_-* #,##0_-;\-* #,##0_-;_-* &quot;-&quot;??_-;_-@_-">
                  <c:v>12240176.52</c:v>
                </c:pt>
                <c:pt idx="449" formatCode="_-* #,##0_-;\-* #,##0_-;_-* &quot;-&quot;??_-;_-@_-">
                  <c:v>11360957.4</c:v>
                </c:pt>
                <c:pt idx="450" formatCode="_-* #,##0_-;\-* #,##0_-;_-* &quot;-&quot;??_-;_-@_-">
                  <c:v>7685359.5</c:v>
                </c:pt>
                <c:pt idx="451" formatCode="_-* #,##0_-;\-* #,##0_-;_-* &quot;-&quot;??_-;_-@_-">
                  <c:v>10211791.200000001</c:v>
                </c:pt>
                <c:pt idx="452" formatCode="_-* #,##0_-;\-* #,##0_-;_-* &quot;-&quot;??_-;_-@_-">
                  <c:v>7348366.7400000002</c:v>
                </c:pt>
                <c:pt idx="453" formatCode="_-* #,##0_-;\-* #,##0_-;_-* &quot;-&quot;??_-;_-@_-">
                  <c:v>8850237.629999999</c:v>
                </c:pt>
                <c:pt idx="454" formatCode="_-* #,##0_-;\-* #,##0_-;_-* &quot;-&quot;??_-;_-@_-">
                  <c:v>8777016.6899999995</c:v>
                </c:pt>
                <c:pt idx="455" formatCode="_-* #,##0_-;\-* #,##0_-;_-* &quot;-&quot;??_-;_-@_-">
                  <c:v>10052496.869999999</c:v>
                </c:pt>
                <c:pt idx="456" formatCode="_-* #,##0_-;\-* #,##0_-;_-* &quot;-&quot;??_-;_-@_-">
                  <c:v>11209415.1</c:v>
                </c:pt>
                <c:pt idx="457" formatCode="_-* #,##0_-;\-* #,##0_-;_-* &quot;-&quot;??_-;_-@_-">
                  <c:v>9906060.0600000005</c:v>
                </c:pt>
                <c:pt idx="458" formatCode="_-* #,##0_-;\-* #,##0_-;_-* &quot;-&quot;??_-;_-@_-">
                  <c:v>10376332.98</c:v>
                </c:pt>
                <c:pt idx="459" formatCode="_-* #,##0_-;\-* #,##0_-;_-* &quot;-&quot;??_-;_-@_-">
                  <c:v>10698293.190000001</c:v>
                </c:pt>
                <c:pt idx="460" formatCode="_-* #,##0_-;\-* #,##0_-;_-* &quot;-&quot;??_-;_-@_-">
                  <c:v>7839452.0099999998</c:v>
                </c:pt>
                <c:pt idx="461" formatCode="_-* #,##0_-;\-* #,##0_-;_-* &quot;-&quot;??_-;_-@_-">
                  <c:v>10293372.57</c:v>
                </c:pt>
                <c:pt idx="462" formatCode="_-* #,##0_-;\-* #,##0_-;_-* &quot;-&quot;??_-;_-@_-">
                  <c:v>11561982.899999999</c:v>
                </c:pt>
                <c:pt idx="463" formatCode="_-* #,##0_-;\-* #,##0_-;_-* &quot;-&quot;??_-;_-@_-">
                  <c:v>9239076.2100000009</c:v>
                </c:pt>
                <c:pt idx="464" formatCode="_-* #,##0_-;\-* #,##0_-;_-* &quot;-&quot;??_-;_-@_-">
                  <c:v>8870360.459999999</c:v>
                </c:pt>
                <c:pt idx="465" formatCode="_-* #,##0_-;\-* #,##0_-;_-* &quot;-&quot;??_-;_-@_-">
                  <c:v>7669394.0700000003</c:v>
                </c:pt>
                <c:pt idx="466" formatCode="_-* #,##0_-;\-* #,##0_-;_-* &quot;-&quot;??_-;_-@_-">
                  <c:v>9249545.7599999998</c:v>
                </c:pt>
                <c:pt idx="467" formatCode="_-* #,##0_-;\-* #,##0_-;_-* &quot;-&quot;??_-;_-@_-">
                  <c:v>7946859.9600000009</c:v>
                </c:pt>
                <c:pt idx="468" formatCode="_-* #,##0_-;\-* #,##0_-;_-* &quot;-&quot;??_-;_-@_-">
                  <c:v>10886241.939999999</c:v>
                </c:pt>
                <c:pt idx="469" formatCode="_-* #,##0_-;\-* #,##0_-;_-* &quot;-&quot;??_-;_-@_-">
                  <c:v>9762794.4399999995</c:v>
                </c:pt>
                <c:pt idx="470" formatCode="_-* #,##0_-;\-* #,##0_-;_-* &quot;-&quot;??_-;_-@_-">
                  <c:v>10870666.524999999</c:v>
                </c:pt>
                <c:pt idx="471" formatCode="_-* #,##0_-;\-* #,##0_-;_-* &quot;-&quot;??_-;_-@_-">
                  <c:v>7509953.5749999993</c:v>
                </c:pt>
                <c:pt idx="472" formatCode="_-* #,##0_-;\-* #,##0_-;_-* &quot;-&quot;??_-;_-@_-">
                  <c:v>9825274.4250000007</c:v>
                </c:pt>
                <c:pt idx="473" formatCode="_-* #,##0_-;\-* #,##0_-;_-* &quot;-&quot;??_-;_-@_-">
                  <c:v>10385576.67</c:v>
                </c:pt>
                <c:pt idx="474" formatCode="_-* #,##0_-;\-* #,##0_-;_-* &quot;-&quot;??_-;_-@_-">
                  <c:v>10841334.610000001</c:v>
                </c:pt>
                <c:pt idx="475" formatCode="_-* #,##0_-;\-* #,##0_-;_-* &quot;-&quot;??_-;_-@_-">
                  <c:v>12636302.690000001</c:v>
                </c:pt>
                <c:pt idx="476" formatCode="_-* #,##0_-;\-* #,##0_-;_-* &quot;-&quot;??_-;_-@_-">
                  <c:v>10976052.301000001</c:v>
                </c:pt>
                <c:pt idx="477" formatCode="_-* #,##0_-;\-* #,##0_-;_-* &quot;-&quot;??_-;_-@_-">
                  <c:v>13598879.450000001</c:v>
                </c:pt>
                <c:pt idx="478" formatCode="_-* #,##0_-;\-* #,##0_-;_-* &quot;-&quot;??_-;_-@_-">
                  <c:v>4242202.3229999999</c:v>
                </c:pt>
                <c:pt idx="479" formatCode="_-* #,##0_-;\-* #,##0_-;_-* &quot;-&quot;??_-;_-@_-">
                  <c:v>0</c:v>
                </c:pt>
                <c:pt idx="480" formatCode="_-* #,##0_-;\-* #,##0_-;_-* &quot;-&quot;??_-;_-@_-">
                  <c:v>8725908.8279999997</c:v>
                </c:pt>
                <c:pt idx="481" formatCode="_-* #,##0_-;\-* #,##0_-;_-* &quot;-&quot;??_-;_-@_-">
                  <c:v>7247004.1330000004</c:v>
                </c:pt>
                <c:pt idx="482" formatCode="_-* #,##0_-;\-* #,##0_-;_-* &quot;-&quot;??_-;_-@_-">
                  <c:v>8672092.7809999995</c:v>
                </c:pt>
                <c:pt idx="483" formatCode="_-* #,##0_-;\-* #,##0_-;_-* &quot;-&quot;??_-;_-@_-">
                  <c:v>9644569.6870000008</c:v>
                </c:pt>
                <c:pt idx="484" formatCode="_-* #,##0_-;\-* #,##0_-;_-* &quot;-&quot;??_-;_-@_-">
                  <c:v>13010014.471999999</c:v>
                </c:pt>
                <c:pt idx="485" formatCode="_-* #,##0_-;\-* #,##0_-;_-* &quot;-&quot;??_-;_-@_-">
                  <c:v>8476247.1919999998</c:v>
                </c:pt>
                <c:pt idx="486" formatCode="_-* #,##0_-;\-* #,##0_-;_-* &quot;-&quot;??_-;_-@_-">
                  <c:v>8865164.4560000002</c:v>
                </c:pt>
                <c:pt idx="487" formatCode="_-* #,##0_-;\-* #,##0_-;_-* &quot;-&quot;??_-;_-@_-">
                  <c:v>10508691.299999999</c:v>
                </c:pt>
                <c:pt idx="488" formatCode="_-* #,##0_-;\-* #,##0_-;_-* &quot;-&quot;??_-;_-@_-">
                  <c:v>9545042.8800000008</c:v>
                </c:pt>
                <c:pt idx="489" formatCode="_-* #,##0_-;\-* #,##0_-;_-* &quot;-&quot;??_-;_-@_-">
                  <c:v>10355248.33</c:v>
                </c:pt>
                <c:pt idx="490" formatCode="_-* #,##0_-;\-* #,##0_-;_-* &quot;-&quot;??_-;_-@_-">
                  <c:v>9968636.2800000012</c:v>
                </c:pt>
                <c:pt idx="491" formatCode="_-* #,##0_-;\-* #,##0_-;_-* &quot;-&quot;??_-;_-@_-">
                  <c:v>10164417.6</c:v>
                </c:pt>
                <c:pt idx="492" formatCode="_-* #,##0_-;\-* #,##0_-;_-* &quot;-&quot;??_-;_-@_-">
                  <c:v>9608137.0700000003</c:v>
                </c:pt>
                <c:pt idx="493" formatCode="_-* #,##0_-;\-* #,##0_-;_-* &quot;-&quot;??_-;_-@_-">
                  <c:v>10547641.07</c:v>
                </c:pt>
                <c:pt idx="494" formatCode="_-* #,##0_-;\-* #,##0_-;_-* &quot;-&quot;??_-;_-@_-">
                  <c:v>8630804.2799999993</c:v>
                </c:pt>
                <c:pt idx="495" formatCode="_-* #,##0_-;\-* #,##0_-;_-* &quot;-&quot;??_-;_-@_-">
                  <c:v>9781770.7400000002</c:v>
                </c:pt>
                <c:pt idx="496" formatCode="_-* #,##0_-;\-* #,##0_-;_-* &quot;-&quot;??_-;_-@_-">
                  <c:v>12102726.5</c:v>
                </c:pt>
                <c:pt idx="497" formatCode="_-* #,##0_-;\-* #,##0_-;_-* &quot;-&quot;??_-;_-@_-">
                  <c:v>11626933.32</c:v>
                </c:pt>
                <c:pt idx="498" formatCode="_-* #,##0_-;\-* #,##0_-;_-* &quot;-&quot;??_-;_-@_-">
                  <c:v>12070584.459999999</c:v>
                </c:pt>
                <c:pt idx="499" formatCode="_-* #,##0_-;\-* #,##0_-;_-* &quot;-&quot;??_-;_-@_-">
                  <c:v>11204214.709999999</c:v>
                </c:pt>
                <c:pt idx="500" formatCode="_-* #,##0_-;\-* #,##0_-;_-* &quot;-&quot;??_-;_-@_-">
                  <c:v>10364739.32</c:v>
                </c:pt>
                <c:pt idx="501" formatCode="_-* #,##0_-;\-* #,##0_-;_-* &quot;-&quot;??_-;_-@_-">
                  <c:v>9951791.3399999999</c:v>
                </c:pt>
                <c:pt idx="502" formatCode="_-* #,##0_-;\-* #,##0_-;_-* &quot;-&quot;??_-;_-@_-">
                  <c:v>7822968.379999999</c:v>
                </c:pt>
                <c:pt idx="503" formatCode="_-* #,##0_-;\-* #,##0_-;_-* &quot;-&quot;??_-;_-@_-">
                  <c:v>9842256.5999999996</c:v>
                </c:pt>
                <c:pt idx="504" formatCode="_-* #,##0_-;\-* #,##0_-;_-* &quot;-&quot;??_-;_-@_-">
                  <c:v>11009230.6</c:v>
                </c:pt>
                <c:pt idx="505" formatCode="_-* #,##0_-;\-* #,##0_-;_-* &quot;-&quot;??_-;_-@_-">
                  <c:v>10846457.299999999</c:v>
                </c:pt>
                <c:pt idx="506" formatCode="_-* #,##0_-;\-* #,##0_-;_-* &quot;-&quot;??_-;_-@_-">
                  <c:v>9172341.5800000001</c:v>
                </c:pt>
                <c:pt idx="507" formatCode="_-* #,##0_-;\-* #,##0_-;_-* &quot;-&quot;??_-;_-@_-">
                  <c:v>12487716.83</c:v>
                </c:pt>
                <c:pt idx="508" formatCode="_-* #,##0_-;\-* #,##0_-;_-* &quot;-&quot;??_-;_-@_-">
                  <c:v>13329204.075000001</c:v>
                </c:pt>
                <c:pt idx="509" formatCode="_-* #,##0_-;\-* #,##0_-;_-* &quot;-&quot;??_-;_-@_-">
                  <c:v>22527440.605</c:v>
                </c:pt>
                <c:pt idx="510" formatCode="_-* #,##0_-;\-* #,##0_-;_-* &quot;-&quot;??_-;_-@_-">
                  <c:v>13234391.030000001</c:v>
                </c:pt>
                <c:pt idx="511" formatCode="_-* #,##0_-;\-* #,##0_-;_-* &quot;-&quot;??_-;_-@_-">
                  <c:v>35139491.640000001</c:v>
                </c:pt>
                <c:pt idx="512" formatCode="_-* #,##0_-;\-* #,##0_-;_-* &quot;-&quot;??_-;_-@_-">
                  <c:v>27947943.305</c:v>
                </c:pt>
                <c:pt idx="513" formatCode="_-* #,##0_-;\-* #,##0_-;_-* &quot;-&quot;??_-;_-@_-">
                  <c:v>11726603.399999999</c:v>
                </c:pt>
                <c:pt idx="514" formatCode="_-* #,##0_-;\-* #,##0_-;_-* &quot;-&quot;??_-;_-@_-">
                  <c:v>0</c:v>
                </c:pt>
                <c:pt idx="515" formatCode="_-* #,##0_-;\-* #,##0_-;_-* &quot;-&quot;??_-;_-@_-">
                  <c:v>0</c:v>
                </c:pt>
                <c:pt idx="516" formatCode="_-* #,##0_-;\-* #,##0_-;_-* &quot;-&quot;??_-;_-@_-">
                  <c:v>39826762.75</c:v>
                </c:pt>
                <c:pt idx="517" formatCode="_-* #,##0_-;\-* #,##0_-;_-* &quot;-&quot;??_-;_-@_-">
                  <c:v>17035467.864999998</c:v>
                </c:pt>
                <c:pt idx="518" formatCode="_-* #,##0_-;\-* #,##0_-;_-* &quot;-&quot;??_-;_-@_-">
                  <c:v>21086223.189999998</c:v>
                </c:pt>
                <c:pt idx="519" formatCode="_-* #,##0_-;\-* #,##0_-;_-* &quot;-&quot;??_-;_-@_-">
                  <c:v>23312724.41</c:v>
                </c:pt>
                <c:pt idx="520" formatCode="_-* #,##0_-;\-* #,##0_-;_-* &quot;-&quot;??_-;_-@_-">
                  <c:v>30919316.440000001</c:v>
                </c:pt>
                <c:pt idx="521" formatCode="_-* #,##0_-;\-* #,##0_-;_-* &quot;-&quot;??_-;_-@_-">
                  <c:v>18940711.669999998</c:v>
                </c:pt>
                <c:pt idx="522" formatCode="_-* #,##0_-;\-* #,##0_-;_-* &quot;-&quot;??_-;_-@_-">
                  <c:v>15893084.280000001</c:v>
                </c:pt>
                <c:pt idx="523" formatCode="_-* #,##0_-;\-* #,##0_-;_-* &quot;-&quot;??_-;_-@_-">
                  <c:v>17335476.030000001</c:v>
                </c:pt>
                <c:pt idx="524" formatCode="_-* #,##0_-;\-* #,##0_-;_-* &quot;-&quot;??_-;_-@_-">
                  <c:v>17435729.140000001</c:v>
                </c:pt>
                <c:pt idx="525" formatCode="_-* #,##0_-;\-* #,##0_-;_-* &quot;-&quot;??_-;_-@_-">
                  <c:v>16772401.91</c:v>
                </c:pt>
                <c:pt idx="526" formatCode="_-* #,##0_-;\-* #,##0_-;_-* &quot;-&quot;??_-;_-@_-">
                  <c:v>16238132.040000001</c:v>
                </c:pt>
                <c:pt idx="527" formatCode="_-* #,##0_-;\-* #,##0_-;_-* &quot;-&quot;??_-;_-@_-">
                  <c:v>10869596.950000001</c:v>
                </c:pt>
                <c:pt idx="528" formatCode="_-* #,##0_-;\-* #,##0_-;_-* &quot;-&quot;??_-;_-@_-">
                  <c:v>12948287.959999999</c:v>
                </c:pt>
                <c:pt idx="529" formatCode="_-* #,##0_-;\-* #,##0_-;_-* &quot;-&quot;??_-;_-@_-">
                  <c:v>16164254.24</c:v>
                </c:pt>
                <c:pt idx="530" formatCode="_-* #,##0_-;\-* #,##0_-;_-* &quot;-&quot;??_-;_-@_-">
                  <c:v>4621161.2399999993</c:v>
                </c:pt>
                <c:pt idx="531" formatCode="_-* #,##0_-;\-* #,##0_-;_-* &quot;-&quot;??_-;_-@_-">
                  <c:v>14052349.040000001</c:v>
                </c:pt>
                <c:pt idx="532" formatCode="_-* #,##0_-;\-* #,##0_-;_-* &quot;-&quot;??_-;_-@_-">
                  <c:v>15802755.32</c:v>
                </c:pt>
                <c:pt idx="533" formatCode="_-* #,##0_-;\-* #,##0_-;_-* &quot;-&quot;??_-;_-@_-">
                  <c:v>12445576.4</c:v>
                </c:pt>
                <c:pt idx="534" formatCode="_-* #,##0_-;\-* #,##0_-;_-* &quot;-&quot;??_-;_-@_-">
                  <c:v>8932287.4000000004</c:v>
                </c:pt>
                <c:pt idx="535" formatCode="_-* #,##0_-;\-* #,##0_-;_-* &quot;-&quot;??_-;_-@_-">
                  <c:v>11716860.08</c:v>
                </c:pt>
                <c:pt idx="536" formatCode="_-* #,##0_-;\-* #,##0_-;_-* &quot;-&quot;??_-;_-@_-">
                  <c:v>10557546.76</c:v>
                </c:pt>
                <c:pt idx="537" formatCode="_-* #,##0_-;\-* #,##0_-;_-* &quot;-&quot;??_-;_-@_-">
                  <c:v>10111439.359999999</c:v>
                </c:pt>
                <c:pt idx="538" formatCode="_-* #,##0_-;\-* #,##0_-;_-* &quot;-&quot;??_-;_-@_-">
                  <c:v>10938500</c:v>
                </c:pt>
                <c:pt idx="539" formatCode="_-* #,##0_-;\-* #,##0_-;_-* &quot;-&quot;??_-;_-@_-">
                  <c:v>13501001.48</c:v>
                </c:pt>
                <c:pt idx="540" formatCode="_-* #,##0_-;\-* #,##0_-;_-* &quot;-&quot;??_-;_-@_-">
                  <c:v>12754694.479999999</c:v>
                </c:pt>
                <c:pt idx="541" formatCode="_-* #,##0_-;\-* #,##0_-;_-* &quot;-&quot;??_-;_-@_-">
                  <c:v>10368021.200000001</c:v>
                </c:pt>
                <c:pt idx="542" formatCode="_-* #,##0_-;\-* #,##0_-;_-* &quot;-&quot;??_-;_-@_-">
                  <c:v>12309965.199999999</c:v>
                </c:pt>
                <c:pt idx="543" formatCode="_-* #,##0_-;\-* #,##0_-;_-* &quot;-&quot;??_-;_-@_-">
                  <c:v>12524105.58</c:v>
                </c:pt>
                <c:pt idx="544" formatCode="_-* #,##0_-;\-* #,##0_-;_-* &quot;-&quot;??_-;_-@_-">
                  <c:v>12850787.460000001</c:v>
                </c:pt>
                <c:pt idx="545" formatCode="_-* #,##0_-;\-* #,##0_-;_-* &quot;-&quot;??_-;_-@_-">
                  <c:v>12605871.879999999</c:v>
                </c:pt>
                <c:pt idx="546" formatCode="_-* #,##0_-;\-* #,##0_-;_-* &quot;-&quot;??_-;_-@_-">
                  <c:v>15521398.620000001</c:v>
                </c:pt>
                <c:pt idx="547" formatCode="_-* #,##0_-;\-* #,##0_-;_-* &quot;-&quot;??_-;_-@_-">
                  <c:v>17243971.359999999</c:v>
                </c:pt>
                <c:pt idx="548" formatCode="_-* #,##0_-;\-* #,##0_-;_-* &quot;-&quot;??_-;_-@_-">
                  <c:v>15113059.220000001</c:v>
                </c:pt>
                <c:pt idx="549" formatCode="_-* #,##0_-;\-* #,##0_-;_-* &quot;-&quot;??_-;_-@_-">
                  <c:v>18328653</c:v>
                </c:pt>
                <c:pt idx="550" formatCode="_-* #,##0_-;\-* #,##0_-;_-* &quot;-&quot;??_-;_-@_-">
                  <c:v>6078673.0200000005</c:v>
                </c:pt>
                <c:pt idx="551" formatCode="_-* #,##0_-;\-* #,##0_-;_-* &quot;-&quot;??_-;_-@_-">
                  <c:v>14881710.059999999</c:v>
                </c:pt>
                <c:pt idx="552" formatCode="_-* #,##0_-;\-* #,##0_-;_-* &quot;-&quot;??_-;_-@_-">
                  <c:v>16223293.799999999</c:v>
                </c:pt>
                <c:pt idx="553" formatCode="_-* #,##0_-;\-* #,##0_-;_-* &quot;-&quot;??_-;_-@_-">
                  <c:v>18678701.859999999</c:v>
                </c:pt>
                <c:pt idx="554" formatCode="_-* #,##0_-;\-* #,##0_-;_-* &quot;-&quot;??_-;_-@_-">
                  <c:v>17697931.02</c:v>
                </c:pt>
                <c:pt idx="555" formatCode="_-* #,##0_-;\-* #,##0_-;_-* &quot;-&quot;??_-;_-@_-">
                  <c:v>12290363.260000002</c:v>
                </c:pt>
                <c:pt idx="556" formatCode="_-* #,##0_-;\-* #,##0_-;_-* &quot;-&quot;??_-;_-@_-">
                  <c:v>14790500.620000001</c:v>
                </c:pt>
                <c:pt idx="557" formatCode="_-* #,##0_-;\-* #,##0_-;_-* &quot;-&quot;??_-;_-@_-">
                  <c:v>19358514.699999999</c:v>
                </c:pt>
                <c:pt idx="558" formatCode="_-* #,##0_-;\-* #,##0_-;_-* &quot;-&quot;??_-;_-@_-">
                  <c:v>12944750.345000001</c:v>
                </c:pt>
                <c:pt idx="559" formatCode="_-* #,##0_-;\-* #,##0_-;_-* &quot;-&quot;??_-;_-@_-">
                  <c:v>15287913.535</c:v>
                </c:pt>
                <c:pt idx="560" formatCode="_-* #,##0_-;\-* #,##0_-;_-* &quot;-&quot;??_-;_-@_-">
                  <c:v>16331266.944999998</c:v>
                </c:pt>
                <c:pt idx="561" formatCode="_-* #,##0_-;\-* #,##0_-;_-* &quot;-&quot;??_-;_-@_-">
                  <c:v>14332994.609999999</c:v>
                </c:pt>
                <c:pt idx="562" formatCode="_-* #,##0_-;\-* #,##0_-;_-* &quot;-&quot;??_-;_-@_-">
                  <c:v>13096662.535</c:v>
                </c:pt>
                <c:pt idx="563" formatCode="_-* #,##0_-;\-* #,##0_-;_-* &quot;-&quot;??_-;_-@_-">
                  <c:v>14502834.744999999</c:v>
                </c:pt>
                <c:pt idx="564" formatCode="_-* #,##0_-;\-* #,##0_-;_-* &quot;-&quot;??_-;_-@_-">
                  <c:v>15398598.205</c:v>
                </c:pt>
                <c:pt idx="565" formatCode="_-* #,##0_-;\-* #,##0_-;_-* &quot;-&quot;??_-;_-@_-">
                  <c:v>11761402.075000001</c:v>
                </c:pt>
                <c:pt idx="566" formatCode="_-* #,##0_-;\-* #,##0_-;_-* &quot;-&quot;??_-;_-@_-">
                  <c:v>12826039.4</c:v>
                </c:pt>
                <c:pt idx="567" formatCode="_-* #,##0_-;\-* #,##0_-;_-* &quot;-&quot;??_-;_-@_-">
                  <c:v>15165810.255000001</c:v>
                </c:pt>
                <c:pt idx="568" formatCode="_-* #,##0_-;\-* #,##0_-;_-* &quot;-&quot;??_-;_-@_-">
                  <c:v>14744724.335000001</c:v>
                </c:pt>
                <c:pt idx="569" formatCode="_-* #,##0_-;\-* #,##0_-;_-* &quot;-&quot;??_-;_-@_-">
                  <c:v>11665834.855</c:v>
                </c:pt>
                <c:pt idx="570" formatCode="_-* #,##0_-;\-* #,##0_-;_-* &quot;-&quot;??_-;_-@_-">
                  <c:v>15673226.685000001</c:v>
                </c:pt>
                <c:pt idx="571" formatCode="_-* #,##0_-;\-* #,##0_-;_-* &quot;-&quot;??_-;_-@_-">
                  <c:v>12522708.545</c:v>
                </c:pt>
                <c:pt idx="572" formatCode="_-* #,##0_-;\-* #,##0_-;_-* &quot;-&quot;??_-;_-@_-">
                  <c:v>11497158.399999999</c:v>
                </c:pt>
                <c:pt idx="573" formatCode="_-* #,##0_-;\-* #,##0_-;_-* &quot;-&quot;??_-;_-@_-">
                  <c:v>13435724.600000001</c:v>
                </c:pt>
                <c:pt idx="574" formatCode="_-* #,##0_-;\-* #,##0_-;_-* &quot;-&quot;??_-;_-@_-">
                  <c:v>15754725.844999999</c:v>
                </c:pt>
                <c:pt idx="575" formatCode="_-* #,##0_-;\-* #,##0_-;_-* &quot;-&quot;??_-;_-@_-">
                  <c:v>14125729.695</c:v>
                </c:pt>
                <c:pt idx="576" formatCode="_-* #,##0_-;\-* #,##0_-;_-* &quot;-&quot;??_-;_-@_-">
                  <c:v>13048011.360000001</c:v>
                </c:pt>
                <c:pt idx="577" formatCode="_-* #,##0_-;\-* #,##0_-;_-* &quot;-&quot;??_-;_-@_-">
                  <c:v>12569053.140000001</c:v>
                </c:pt>
                <c:pt idx="578" formatCode="_-* #,##0_-;\-* #,##0_-;_-* &quot;-&quot;??_-;_-@_-">
                  <c:v>11694646.325000001</c:v>
                </c:pt>
                <c:pt idx="579" formatCode="_-* #,##0_-;\-* #,##0_-;_-* &quot;-&quot;??_-;_-@_-">
                  <c:v>11213402.305</c:v>
                </c:pt>
                <c:pt idx="580" formatCode="_-* #,##0_-;\-* #,##0_-;_-* &quot;-&quot;??_-;_-@_-">
                  <c:v>14435232.9</c:v>
                </c:pt>
                <c:pt idx="581" formatCode="_-* #,##0_-;\-* #,##0_-;_-* &quot;-&quot;??_-;_-@_-">
                  <c:v>21346674.800000001</c:v>
                </c:pt>
                <c:pt idx="582" formatCode="_-* #,##0_-;\-* #,##0_-;_-* &quot;-&quot;??_-;_-@_-">
                  <c:v>15811220.975</c:v>
                </c:pt>
                <c:pt idx="583" formatCode="_-* #,##0_-;\-* #,##0_-;_-* &quot;-&quot;??_-;_-@_-">
                  <c:v>8883968.2249999996</c:v>
                </c:pt>
                <c:pt idx="584" formatCode="_-* #,##0_-;\-* #,##0_-;_-* &quot;-&quot;??_-;_-@_-">
                  <c:v>13209427</c:v>
                </c:pt>
                <c:pt idx="585" formatCode="_-* #,##0_-;\-* #,##0_-;_-* &quot;-&quot;??_-;_-@_-">
                  <c:v>11717929.850000001</c:v>
                </c:pt>
                <c:pt idx="586" formatCode="_-* #,##0_-;\-* #,##0_-;_-* &quot;-&quot;??_-;_-@_-">
                  <c:v>13094304.574999999</c:v>
                </c:pt>
                <c:pt idx="587" formatCode="_-* #,##0_-;\-* #,##0_-;_-* &quot;-&quot;??_-;_-@_-">
                  <c:v>11695807.199999999</c:v>
                </c:pt>
                <c:pt idx="588" formatCode="_-* #,##0_-;\-* #,##0_-;_-* &quot;-&quot;??_-;_-@_-">
                  <c:v>11278324.475</c:v>
                </c:pt>
                <c:pt idx="589" formatCode="_-* #,##0_-;\-* #,##0_-;_-* &quot;-&quot;??_-;_-@_-">
                  <c:v>13203616.799999999</c:v>
                </c:pt>
                <c:pt idx="590" formatCode="_-* #,##0_-;\-* #,##0_-;_-* &quot;-&quot;??_-;_-@_-">
                  <c:v>8677956.9250000007</c:v>
                </c:pt>
                <c:pt idx="591" formatCode="_-* #,##0_-;\-* #,##0_-;_-* &quot;-&quot;??_-;_-@_-">
                  <c:v>10141401.050000001</c:v>
                </c:pt>
                <c:pt idx="592" formatCode="_-* #,##0_-;\-* #,##0_-;_-* &quot;-&quot;??_-;_-@_-">
                  <c:v>10310283.5</c:v>
                </c:pt>
                <c:pt idx="593" formatCode="_-* #,##0_-;\-* #,##0_-;_-* &quot;-&quot;??_-;_-@_-">
                  <c:v>10445903.6</c:v>
                </c:pt>
                <c:pt idx="594" formatCode="_-* #,##0_-;\-* #,##0_-;_-* &quot;-&quot;??_-;_-@_-">
                  <c:v>10853490.174999999</c:v>
                </c:pt>
                <c:pt idx="595" formatCode="_-* #,##0_-;\-* #,##0_-;_-* &quot;-&quot;??_-;_-@_-">
                  <c:v>12276414.424999999</c:v>
                </c:pt>
                <c:pt idx="596" formatCode="_-* #,##0_-;\-* #,##0_-;_-* &quot;-&quot;??_-;_-@_-">
                  <c:v>10586759.15</c:v>
                </c:pt>
                <c:pt idx="597" formatCode="_-* #,##0_-;\-* #,##0_-;_-* &quot;-&quot;??_-;_-@_-">
                  <c:v>9821401.1500000004</c:v>
                </c:pt>
                <c:pt idx="598" formatCode="_-* #,##0_-;\-* #,##0_-;_-* &quot;-&quot;??_-;_-@_-">
                  <c:v>13115847.25</c:v>
                </c:pt>
                <c:pt idx="599" formatCode="_-* #,##0_-;\-* #,##0_-;_-* &quot;-&quot;??_-;_-@_-">
                  <c:v>13403556.649999999</c:v>
                </c:pt>
                <c:pt idx="600" formatCode="_-* #,##0_-;\-* #,##0_-;_-* &quot;-&quot;??_-;_-@_-">
                  <c:v>11131815.475</c:v>
                </c:pt>
                <c:pt idx="601" formatCode="_-* #,##0_-;\-* #,##0_-;_-* &quot;-&quot;??_-;_-@_-">
                  <c:v>11033036.85</c:v>
                </c:pt>
                <c:pt idx="602" formatCode="_-* #,##0_-;\-* #,##0_-;_-* &quot;-&quot;??_-;_-@_-">
                  <c:v>13065091.6</c:v>
                </c:pt>
                <c:pt idx="603" formatCode="_-* #,##0_-;\-* #,##0_-;_-* &quot;-&quot;??_-;_-@_-">
                  <c:v>10852309.324999999</c:v>
                </c:pt>
                <c:pt idx="604" formatCode="_-* #,##0_-;\-* #,##0_-;_-* &quot;-&quot;??_-;_-@_-">
                  <c:v>9825560.25</c:v>
                </c:pt>
                <c:pt idx="605" formatCode="_-* #,##0_-;\-* #,##0_-;_-* &quot;-&quot;??_-;_-@_-">
                  <c:v>11207588.424999999</c:v>
                </c:pt>
                <c:pt idx="606" formatCode="_-* #,##0_-;\-* #,##0_-;_-* &quot;-&quot;??_-;_-@_-">
                  <c:v>11257680.5</c:v>
                </c:pt>
                <c:pt idx="607" formatCode="_-* #,##0_-;\-* #,##0_-;_-* &quot;-&quot;??_-;_-@_-">
                  <c:v>9724754.3249999993</c:v>
                </c:pt>
                <c:pt idx="608" formatCode="_-* #,##0_-;\-* #,##0_-;_-* &quot;-&quot;??_-;_-@_-">
                  <c:v>10272120.1</c:v>
                </c:pt>
                <c:pt idx="609" formatCode="_-* #,##0_-;\-* #,##0_-;_-* &quot;-&quot;??_-;_-@_-">
                  <c:v>13615968.575000001</c:v>
                </c:pt>
                <c:pt idx="610" formatCode="_-* #,##0_-;\-* #,##0_-;_-* &quot;-&quot;??_-;_-@_-">
                  <c:v>10808884.350000001</c:v>
                </c:pt>
                <c:pt idx="611" formatCode="_-* #,##0_-;\-* #,##0_-;_-* &quot;-&quot;??_-;_-@_-">
                  <c:v>11284092.875000002</c:v>
                </c:pt>
                <c:pt idx="612" formatCode="_-* #,##0_-;\-* #,##0_-;_-* &quot;-&quot;??_-;_-@_-">
                  <c:v>13253745.449999999</c:v>
                </c:pt>
                <c:pt idx="613" formatCode="_-* #,##0_-;\-* #,##0_-;_-* &quot;-&quot;??_-;_-@_-">
                  <c:v>9094795.9149999991</c:v>
                </c:pt>
                <c:pt idx="614" formatCode="_-* #,##0_-;\-* #,##0_-;_-* &quot;-&quot;??_-;_-@_-">
                  <c:v>9576834.995000001</c:v>
                </c:pt>
                <c:pt idx="615" formatCode="_-* #,##0_-;\-* #,##0_-;_-* &quot;-&quot;??_-;_-@_-">
                  <c:v>10324698.654999999</c:v>
                </c:pt>
                <c:pt idx="616" formatCode="_-* #,##0_-;\-* #,##0_-;_-* &quot;-&quot;??_-;_-@_-">
                  <c:v>14335965.02</c:v>
                </c:pt>
                <c:pt idx="617" formatCode="_-* #,##0_-;\-* #,##0_-;_-* &quot;-&quot;??_-;_-@_-">
                  <c:v>16599995.27</c:v>
                </c:pt>
                <c:pt idx="618" formatCode="_-* #,##0_-;\-* #,##0_-;_-* &quot;-&quot;??_-;_-@_-">
                  <c:v>11545123.215</c:v>
                </c:pt>
                <c:pt idx="619" formatCode="_-* #,##0_-;\-* #,##0_-;_-* &quot;-&quot;??_-;_-@_-">
                  <c:v>12178807.989999998</c:v>
                </c:pt>
                <c:pt idx="620" formatCode="_-* #,##0_-;\-* #,##0_-;_-* &quot;-&quot;??_-;_-@_-">
                  <c:v>12138650.164999999</c:v>
                </c:pt>
                <c:pt idx="621" formatCode="_-* #,##0_-;\-* #,##0_-;_-* &quot;-&quot;??_-;_-@_-">
                  <c:v>12370383.370000001</c:v>
                </c:pt>
                <c:pt idx="622" formatCode="_-* #,##0_-;\-* #,##0_-;_-* &quot;-&quot;??_-;_-@_-">
                  <c:v>11728262.6</c:v>
                </c:pt>
                <c:pt idx="623" formatCode="_-* #,##0_-;\-* #,##0_-;_-* &quot;-&quot;??_-;_-@_-">
                  <c:v>13845054.405000001</c:v>
                </c:pt>
                <c:pt idx="624" formatCode="_-* #,##0_-;\-* #,##0_-;_-* &quot;-&quot;??_-;_-@_-">
                  <c:v>14574749.825000001</c:v>
                </c:pt>
                <c:pt idx="625" formatCode="_-* #,##0_-;\-* #,##0_-;_-* &quot;-&quot;??_-;_-@_-">
                  <c:v>12448039.115</c:v>
                </c:pt>
                <c:pt idx="626" formatCode="_-* #,##0_-;\-* #,##0_-;_-* &quot;-&quot;??_-;_-@_-">
                  <c:v>17488766.490000002</c:v>
                </c:pt>
                <c:pt idx="627" formatCode="_-* #,##0_-;\-* #,##0_-;_-* &quot;-&quot;??_-;_-@_-">
                  <c:v>10813161.949999999</c:v>
                </c:pt>
                <c:pt idx="628" formatCode="_-* #,##0_-;\-* #,##0_-;_-* &quot;-&quot;??_-;_-@_-">
                  <c:v>11887545.799999999</c:v>
                </c:pt>
                <c:pt idx="629" formatCode="_-* #,##0_-;\-* #,##0_-;_-* &quot;-&quot;??_-;_-@_-">
                  <c:v>10745129.565000001</c:v>
                </c:pt>
                <c:pt idx="630" formatCode="_-* #,##0_-;\-* #,##0_-;_-* &quot;-&quot;??_-;_-@_-">
                  <c:v>13296756.209999999</c:v>
                </c:pt>
                <c:pt idx="631" formatCode="_-* #,##0_-;\-* #,##0_-;_-* &quot;-&quot;??_-;_-@_-">
                  <c:v>8700512.9600000009</c:v>
                </c:pt>
                <c:pt idx="632" formatCode="_-* #,##0_-;\-* #,##0_-;_-* &quot;-&quot;??_-;_-@_-">
                  <c:v>10484500.355</c:v>
                </c:pt>
                <c:pt idx="633" formatCode="_-* #,##0_-;\-* #,##0_-;_-* &quot;-&quot;??_-;_-@_-">
                  <c:v>13237009.455000002</c:v>
                </c:pt>
                <c:pt idx="634" formatCode="_-* #,##0_-;\-* #,##0_-;_-* &quot;-&quot;??_-;_-@_-">
                  <c:v>13386088.575000001</c:v>
                </c:pt>
                <c:pt idx="635" formatCode="_-* #,##0_-;\-* #,##0_-;_-* &quot;-&quot;??_-;_-@_-">
                  <c:v>13230932.635000002</c:v>
                </c:pt>
                <c:pt idx="636" formatCode="_-* #,##0_-;\-* #,##0_-;_-* &quot;-&quot;??_-;_-@_-">
                  <c:v>12768669.145000001</c:v>
                </c:pt>
                <c:pt idx="637" formatCode="_-* #,##0_-;\-* #,##0_-;_-* &quot;-&quot;??_-;_-@_-">
                  <c:v>11661811.639999999</c:v>
                </c:pt>
                <c:pt idx="638" formatCode="_-* #,##0_-;\-* #,##0_-;_-* &quot;-&quot;??_-;_-@_-">
                  <c:v>10772698.210000001</c:v>
                </c:pt>
                <c:pt idx="639" formatCode="_-* #,##0_-;\-* #,##0_-;_-* &quot;-&quot;??_-;_-@_-">
                  <c:v>8035158.2050000001</c:v>
                </c:pt>
                <c:pt idx="640" formatCode="_-* #,##0_-;\-* #,##0_-;_-* &quot;-&quot;??_-;_-@_-">
                  <c:v>12491629.41</c:v>
                </c:pt>
                <c:pt idx="641" formatCode="_-* #,##0_-;\-* #,##0_-;_-* &quot;-&quot;??_-;_-@_-">
                  <c:v>11552973.305</c:v>
                </c:pt>
                <c:pt idx="642" formatCode="_-* #,##0_-;\-* #,##0_-;_-* &quot;-&quot;??_-;_-@_-">
                  <c:v>11483312.83</c:v>
                </c:pt>
                <c:pt idx="643" formatCode="_-* #,##0_-;\-* #,##0_-;_-* &quot;-&quot;??_-;_-@_-">
                  <c:v>12376501.67</c:v>
                </c:pt>
                <c:pt idx="644" formatCode="_-* #,##0_-;\-* #,##0_-;_-* &quot;-&quot;??_-;_-@_-">
                  <c:v>13484297.66</c:v>
                </c:pt>
                <c:pt idx="645" formatCode="_-* #,##0_-;\-* #,##0_-;_-* &quot;-&quot;??_-;_-@_-">
                  <c:v>12312689.875000002</c:v>
                </c:pt>
                <c:pt idx="646" formatCode="_-* #,##0_-;\-* #,##0_-;_-* &quot;-&quot;??_-;_-@_-">
                  <c:v>7730835</c:v>
                </c:pt>
                <c:pt idx="647" formatCode="_-* #,##0_-;\-* #,##0_-;_-* &quot;-&quot;??_-;_-@_-">
                  <c:v>11042157.475000001</c:v>
                </c:pt>
                <c:pt idx="648" formatCode="_-* #,##0_-;\-* #,##0_-;_-* &quot;-&quot;??_-;_-@_-">
                  <c:v>10153614.395</c:v>
                </c:pt>
                <c:pt idx="649" formatCode="_-* #,##0_-;\-* #,##0_-;_-* &quot;-&quot;??_-;_-@_-">
                  <c:v>13489819.685000001</c:v>
                </c:pt>
                <c:pt idx="650" formatCode="_-* #,##0_-;\-* #,##0_-;_-* &quot;-&quot;??_-;_-@_-">
                  <c:v>8974384.6600000001</c:v>
                </c:pt>
                <c:pt idx="651" formatCode="_-* #,##0_-;\-* #,##0_-;_-* &quot;-&quot;??_-;_-@_-">
                  <c:v>11160951.01</c:v>
                </c:pt>
                <c:pt idx="652" formatCode="_-* #,##0_-;\-* #,##0_-;_-* &quot;-&quot;??_-;_-@_-">
                  <c:v>13991064.005000001</c:v>
                </c:pt>
                <c:pt idx="653" formatCode="_-* #,##0_-;\-* #,##0_-;_-* &quot;-&quot;??_-;_-@_-">
                  <c:v>9544662.0700000003</c:v>
                </c:pt>
                <c:pt idx="654" formatCode="_-* #,##0_-;\-* #,##0_-;_-* &quot;-&quot;??_-;_-@_-">
                  <c:v>11324485.909999998</c:v>
                </c:pt>
                <c:pt idx="655" formatCode="_-* #,##0_-;\-* #,##0_-;_-* &quot;-&quot;??_-;_-@_-">
                  <c:v>10105352.415000001</c:v>
                </c:pt>
                <c:pt idx="656" formatCode="_-* #,##0_-;\-* #,##0_-;_-* &quot;-&quot;??_-;_-@_-">
                  <c:v>11989099.210000001</c:v>
                </c:pt>
                <c:pt idx="657" formatCode="_-* #,##0_-;\-* #,##0_-;_-* &quot;-&quot;??_-;_-@_-">
                  <c:v>9437565.8949999996</c:v>
                </c:pt>
                <c:pt idx="658" formatCode="_-* #,##0_-;\-* #,##0_-;_-* &quot;-&quot;??_-;_-@_-">
                  <c:v>13819036.075000001</c:v>
                </c:pt>
                <c:pt idx="659" formatCode="_-* #,##0_-;\-* #,##0_-;_-* &quot;-&quot;??_-;_-@_-">
                  <c:v>12168775.014999999</c:v>
                </c:pt>
                <c:pt idx="660" formatCode="_-* #,##0_-;\-* #,##0_-;_-* &quot;-&quot;??_-;_-@_-">
                  <c:v>9243330.6099999994</c:v>
                </c:pt>
                <c:pt idx="661" formatCode="_-* #,##0_-;\-* #,##0_-;_-* &quot;-&quot;??_-;_-@_-">
                  <c:v>9670584.9800000004</c:v>
                </c:pt>
                <c:pt idx="662" formatCode="_-* #,##0_-;\-* #,##0_-;_-* &quot;-&quot;??_-;_-@_-">
                  <c:v>8712215.504999999</c:v>
                </c:pt>
                <c:pt idx="663" formatCode="_-* #,##0_-;\-* #,##0_-;_-* &quot;-&quot;??_-;_-@_-">
                  <c:v>9290726.6950000003</c:v>
                </c:pt>
                <c:pt idx="664" formatCode="_-* #,##0_-;\-* #,##0_-;_-* &quot;-&quot;??_-;_-@_-">
                  <c:v>9107716.9350000005</c:v>
                </c:pt>
                <c:pt idx="665" formatCode="_-* #,##0_-;\-* #,##0_-;_-* &quot;-&quot;??_-;_-@_-">
                  <c:v>15714475.045</c:v>
                </c:pt>
                <c:pt idx="666" formatCode="_-* #,##0_-;\-* #,##0_-;_-* &quot;-&quot;??_-;_-@_-">
                  <c:v>11479107.795</c:v>
                </c:pt>
                <c:pt idx="667" formatCode="_-* #,##0_-;\-* #,##0_-;_-* &quot;-&quot;??_-;_-@_-">
                  <c:v>8246721.7600000007</c:v>
                </c:pt>
                <c:pt idx="668" formatCode="_-* #,##0_-;\-* #,##0_-;_-* &quot;-&quot;??_-;_-@_-">
                  <c:v>10976230.200000001</c:v>
                </c:pt>
                <c:pt idx="669" formatCode="_-* #,##0_-;\-* #,##0_-;_-* &quot;-&quot;??_-;_-@_-">
                  <c:v>11631899.375</c:v>
                </c:pt>
                <c:pt idx="670" formatCode="_-* #,##0_-;\-* #,##0_-;_-* &quot;-&quot;??_-;_-@_-">
                  <c:v>8595998.9149999991</c:v>
                </c:pt>
                <c:pt idx="671" formatCode="_-* #,##0_-;\-* #,##0_-;_-* &quot;-&quot;??_-;_-@_-">
                  <c:v>13006556.944999998</c:v>
                </c:pt>
                <c:pt idx="672" formatCode="_-* #,##0_-;\-* #,##0_-;_-* &quot;-&quot;??_-;_-@_-">
                  <c:v>11669972.83</c:v>
                </c:pt>
                <c:pt idx="673" formatCode="_-* #,##0_-;\-* #,##0_-;_-* &quot;-&quot;??_-;_-@_-">
                  <c:v>13520307.485000001</c:v>
                </c:pt>
                <c:pt idx="674" formatCode="_-* #,##0_-;\-* #,##0_-;_-* &quot;-&quot;??_-;_-@_-">
                  <c:v>12166685.460000001</c:v>
                </c:pt>
                <c:pt idx="675" formatCode="_-* #,##0_-;\-* #,##0_-;_-* &quot;-&quot;??_-;_-@_-">
                  <c:v>14580997.75</c:v>
                </c:pt>
                <c:pt idx="676" formatCode="_-* #,##0_-;\-* #,##0_-;_-* &quot;-&quot;??_-;_-@_-">
                  <c:v>11955287.824999999</c:v>
                </c:pt>
                <c:pt idx="677" formatCode="_-* #,##0_-;\-* #,##0_-;_-* &quot;-&quot;??_-;_-@_-">
                  <c:v>12043002.469999999</c:v>
                </c:pt>
                <c:pt idx="678" formatCode="_-* #,##0_-;\-* #,##0_-;_-* &quot;-&quot;??_-;_-@_-">
                  <c:v>10746000.645</c:v>
                </c:pt>
                <c:pt idx="679" formatCode="_-* #,##0_-;\-* #,##0_-;_-* &quot;-&quot;??_-;_-@_-">
                  <c:v>11821530.379999999</c:v>
                </c:pt>
                <c:pt idx="680" formatCode="_-* #,##0_-;\-* #,##0_-;_-* &quot;-&quot;??_-;_-@_-">
                  <c:v>11926801.435000001</c:v>
                </c:pt>
                <c:pt idx="681" formatCode="_-* #,##0_-;\-* #,##0_-;_-* &quot;-&quot;??_-;_-@_-">
                  <c:v>11867412.445</c:v>
                </c:pt>
                <c:pt idx="682" formatCode="_-* #,##0_-;\-* #,##0_-;_-* &quot;-&quot;??_-;_-@_-">
                  <c:v>12883667.26</c:v>
                </c:pt>
                <c:pt idx="683" formatCode="_-* #,##0_-;\-* #,##0_-;_-* &quot;-&quot;??_-;_-@_-">
                  <c:v>12618485.620000001</c:v>
                </c:pt>
                <c:pt idx="684" formatCode="_-* #,##0_-;\-* #,##0_-;_-* &quot;-&quot;??_-;_-@_-">
                  <c:v>9882869.25</c:v>
                </c:pt>
                <c:pt idx="685" formatCode="_-* #,##0_-;\-* #,##0_-;_-* &quot;-&quot;??_-;_-@_-">
                  <c:v>10437477.59</c:v>
                </c:pt>
                <c:pt idx="686" formatCode="_-* #,##0_-;\-* #,##0_-;_-* &quot;-&quot;??_-;_-@_-">
                  <c:v>11414777.5</c:v>
                </c:pt>
                <c:pt idx="687" formatCode="_-* #,##0_-;\-* #,##0_-;_-* &quot;-&quot;??_-;_-@_-">
                  <c:v>12034151.674999999</c:v>
                </c:pt>
                <c:pt idx="688" formatCode="_-* #,##0_-;\-* #,##0_-;_-* &quot;-&quot;??_-;_-@_-">
                  <c:v>9533208.4050000012</c:v>
                </c:pt>
                <c:pt idx="689" formatCode="_-* #,##0_-;\-* #,##0_-;_-* &quot;-&quot;??_-;_-@_-">
                  <c:v>12423742.205</c:v>
                </c:pt>
                <c:pt idx="690" formatCode="_-* #,##0_-;\-* #,##0_-;_-* &quot;-&quot;??_-;_-@_-">
                  <c:v>10655926.824999999</c:v>
                </c:pt>
                <c:pt idx="691" formatCode="_-* #,##0_-;\-* #,##0_-;_-* &quot;-&quot;??_-;_-@_-">
                  <c:v>10717560.92</c:v>
                </c:pt>
                <c:pt idx="692" formatCode="_-* #,##0_-;\-* #,##0_-;_-* &quot;-&quot;??_-;_-@_-">
                  <c:v>10426049.85</c:v>
                </c:pt>
                <c:pt idx="693" formatCode="_-* #,##0_-;\-* #,##0_-;_-* &quot;-&quot;??_-;_-@_-">
                  <c:v>12709959.389999999</c:v>
                </c:pt>
                <c:pt idx="694" formatCode="_-* #,##0_-;\-* #,##0_-;_-* &quot;-&quot;??_-;_-@_-">
                  <c:v>11828493.835000001</c:v>
                </c:pt>
                <c:pt idx="695" formatCode="_-* #,##0_-;\-* #,##0_-;_-* &quot;-&quot;??_-;_-@_-">
                  <c:v>9800868.4749999996</c:v>
                </c:pt>
                <c:pt idx="696" formatCode="_-* #,##0_-;\-* #,##0_-;_-* &quot;-&quot;??_-;_-@_-">
                  <c:v>10206631.02</c:v>
                </c:pt>
                <c:pt idx="697" formatCode="_-* #,##0_-;\-* #,##0_-;_-* &quot;-&quot;??_-;_-@_-">
                  <c:v>8877409.6050000004</c:v>
                </c:pt>
                <c:pt idx="698" formatCode="_-* #,##0_-;\-* #,##0_-;_-* &quot;-&quot;??_-;_-@_-">
                  <c:v>9319099.0150000006</c:v>
                </c:pt>
                <c:pt idx="699" formatCode="_-* #,##0_-;\-* #,##0_-;_-* &quot;-&quot;??_-;_-@_-">
                  <c:v>11421611.330000002</c:v>
                </c:pt>
                <c:pt idx="700" formatCode="_-* #,##0_-;\-* #,##0_-;_-* &quot;-&quot;??_-;_-@_-">
                  <c:v>12974363.279999999</c:v>
                </c:pt>
                <c:pt idx="701" formatCode="_-* #,##0_-;\-* #,##0_-;_-* &quot;-&quot;??_-;_-@_-">
                  <c:v>14844701.665000001</c:v>
                </c:pt>
                <c:pt idx="702" formatCode="_-* #,##0_-;\-* #,##0_-;_-* &quot;-&quot;??_-;_-@_-">
                  <c:v>10442180.385</c:v>
                </c:pt>
                <c:pt idx="703" formatCode="_-* #,##0_-;\-* #,##0_-;_-* &quot;-&quot;??_-;_-@_-">
                  <c:v>7520121.7850000001</c:v>
                </c:pt>
                <c:pt idx="704" formatCode="_-* #,##0_-;\-* #,##0_-;_-* &quot;-&quot;??_-;_-@_-">
                  <c:v>10953628.785</c:v>
                </c:pt>
                <c:pt idx="705" formatCode="_-* #,##0_-;\-* #,##0_-;_-* &quot;-&quot;??_-;_-@_-">
                  <c:v>9685403.709999999</c:v>
                </c:pt>
                <c:pt idx="706" formatCode="_-* #,##0_-;\-* #,##0_-;_-* &quot;-&quot;??_-;_-@_-">
                  <c:v>9384430.0150000006</c:v>
                </c:pt>
                <c:pt idx="707" formatCode="_-* #,##0_-;\-* #,##0_-;_-* &quot;-&quot;??_-;_-@_-">
                  <c:v>12597061.199999999</c:v>
                </c:pt>
                <c:pt idx="708" formatCode="_-* #,##0_-;\-* #,##0_-;_-* &quot;-&quot;??_-;_-@_-">
                  <c:v>14390148.270000001</c:v>
                </c:pt>
                <c:pt idx="709" formatCode="_-* #,##0_-;\-* #,##0_-;_-* &quot;-&quot;??_-;_-@_-">
                  <c:v>9322583.334999999</c:v>
                </c:pt>
                <c:pt idx="710" formatCode="_-* #,##0_-;\-* #,##0_-;_-* &quot;-&quot;??_-;_-@_-">
                  <c:v>11358209.993999999</c:v>
                </c:pt>
                <c:pt idx="711" formatCode="_-* #,##0_-;\-* #,##0_-;_-* &quot;-&quot;??_-;_-@_-">
                  <c:v>13775917.795</c:v>
                </c:pt>
                <c:pt idx="712" formatCode="_-* #,##0_-;\-* #,##0_-;_-* &quot;-&quot;??_-;_-@_-">
                  <c:v>10188408.684</c:v>
                </c:pt>
                <c:pt idx="713" formatCode="_-* #,##0_-;\-* #,##0_-;_-* &quot;-&quot;??_-;_-@_-">
                  <c:v>10957066.851</c:v>
                </c:pt>
                <c:pt idx="714" formatCode="_-* #,##0_-;\-* #,##0_-;_-* &quot;-&quot;??_-;_-@_-">
                  <c:v>11860525.838</c:v>
                </c:pt>
                <c:pt idx="715" formatCode="_-* #,##0_-;\-* #,##0_-;_-* &quot;-&quot;??_-;_-@_-">
                  <c:v>12708370.476</c:v>
                </c:pt>
                <c:pt idx="716" formatCode="_-* #,##0_-;\-* #,##0_-;_-* &quot;-&quot;??_-;_-@_-">
                  <c:v>8587445.5610000007</c:v>
                </c:pt>
                <c:pt idx="717" formatCode="_-* #,##0_-;\-* #,##0_-;_-* &quot;-&quot;??_-;_-@_-">
                  <c:v>10856645.904000001</c:v>
                </c:pt>
                <c:pt idx="718" formatCode="_-* #,##0_-;\-* #,##0_-;_-* &quot;-&quot;??_-;_-@_-">
                  <c:v>12051213.904000001</c:v>
                </c:pt>
                <c:pt idx="719" formatCode="_-* #,##0_-;\-* #,##0_-;_-* &quot;-&quot;??_-;_-@_-">
                  <c:v>10910906.066</c:v>
                </c:pt>
                <c:pt idx="720" formatCode="_-* #,##0_-;\-* #,##0_-;_-* &quot;-&quot;??_-;_-@_-">
                  <c:v>11674008.461999999</c:v>
                </c:pt>
                <c:pt idx="721" formatCode="_-* #,##0_-;\-* #,##0_-;_-* &quot;-&quot;??_-;_-@_-">
                  <c:v>14682888.4</c:v>
                </c:pt>
                <c:pt idx="722" formatCode="_-* #,##0_-;\-* #,##0_-;_-* &quot;-&quot;??_-;_-@_-">
                  <c:v>13975410.651000001</c:v>
                </c:pt>
                <c:pt idx="723" formatCode="_-* #,##0_-;\-* #,##0_-;_-* &quot;-&quot;??_-;_-@_-">
                  <c:v>8570788.5460000001</c:v>
                </c:pt>
                <c:pt idx="724" formatCode="_-* #,##0_-;\-* #,##0_-;_-* &quot;-&quot;??_-;_-@_-">
                  <c:v>15553434.978999998</c:v>
                </c:pt>
                <c:pt idx="725" formatCode="_-* #,##0_-;\-* #,##0_-;_-* &quot;-&quot;??_-;_-@_-">
                  <c:v>27144369.474999998</c:v>
                </c:pt>
                <c:pt idx="726" formatCode="_-* #,##0_-;\-* #,##0_-;_-* &quot;-&quot;??_-;_-@_-">
                  <c:v>26143887.881000001</c:v>
                </c:pt>
                <c:pt idx="727" formatCode="_-* #,##0_-;\-* #,##0_-;_-* &quot;-&quot;??_-;_-@_-">
                  <c:v>10475465.434</c:v>
                </c:pt>
                <c:pt idx="728" formatCode="_-* #,##0_-;\-* #,##0_-;_-* &quot;-&quot;??_-;_-@_-">
                  <c:v>16018822.194999998</c:v>
                </c:pt>
                <c:pt idx="729" formatCode="_-* #,##0_-;\-* #,##0_-;_-* &quot;-&quot;??_-;_-@_-">
                  <c:v>22636883.384999998</c:v>
                </c:pt>
                <c:pt idx="730" formatCode="_-* #,##0_-;\-* #,##0_-;_-* &quot;-&quot;??_-;_-@_-">
                  <c:v>14782773.851</c:v>
                </c:pt>
                <c:pt idx="731" formatCode="_-* #,##0_-;\-* #,##0_-;_-* &quot;-&quot;??_-;_-@_-">
                  <c:v>3001192.4810000001</c:v>
                </c:pt>
                <c:pt idx="732" formatCode="_-* #,##0_-;\-* #,##0_-;_-* &quot;-&quot;??_-;_-@_-">
                  <c:v>3414688.0749999997</c:v>
                </c:pt>
                <c:pt idx="733" formatCode="_-* #,##0_-;\-* #,##0_-;_-* &quot;-&quot;??_-;_-@_-">
                  <c:v>18908523.379000001</c:v>
                </c:pt>
                <c:pt idx="734" formatCode="_-* #,##0_-;\-* #,##0_-;_-* &quot;-&quot;??_-;_-@_-">
                  <c:v>8781506.222000001</c:v>
                </c:pt>
                <c:pt idx="735" formatCode="_-* #,##0_-;\-* #,##0_-;_-* &quot;-&quot;??_-;_-@_-">
                  <c:v>13429642.396000002</c:v>
                </c:pt>
                <c:pt idx="736" formatCode="_-* #,##0_-;\-* #,##0_-;_-* &quot;-&quot;??_-;_-@_-">
                  <c:v>11788012.470999999</c:v>
                </c:pt>
                <c:pt idx="737" formatCode="_-* #,##0_-;\-* #,##0_-;_-* &quot;-&quot;??_-;_-@_-">
                  <c:v>9988364.0920000002</c:v>
                </c:pt>
                <c:pt idx="738" formatCode="_-* #,##0_-;\-* #,##0_-;_-* &quot;-&quot;??_-;_-@_-">
                  <c:v>10104408.984000001</c:v>
                </c:pt>
                <c:pt idx="739" formatCode="_-* #,##0_-;\-* #,##0_-;_-* &quot;-&quot;??_-;_-@_-">
                  <c:v>11052252.408</c:v>
                </c:pt>
                <c:pt idx="740" formatCode="_-* #,##0_-;\-* #,##0_-;_-* &quot;-&quot;??_-;_-@_-">
                  <c:v>8902681.9279999994</c:v>
                </c:pt>
                <c:pt idx="741" formatCode="_-* #,##0_-;\-* #,##0_-;_-* &quot;-&quot;??_-;_-@_-">
                  <c:v>10439447.404999999</c:v>
                </c:pt>
                <c:pt idx="742" formatCode="_-* #,##0_-;\-* #,##0_-;_-* &quot;-&quot;??_-;_-@_-">
                  <c:v>11618593.263</c:v>
                </c:pt>
                <c:pt idx="743" formatCode="_-* #,##0_-;\-* #,##0_-;_-* &quot;-&quot;??_-;_-@_-">
                  <c:v>13069369.622000001</c:v>
                </c:pt>
                <c:pt idx="744" formatCode="_-* #,##0_-;\-* #,##0_-;_-* &quot;-&quot;??_-;_-@_-">
                  <c:v>8795513.0950000007</c:v>
                </c:pt>
                <c:pt idx="745" formatCode="_-* #,##0_-;\-* #,##0_-;_-* &quot;-&quot;??_-;_-@_-">
                  <c:v>13319715.428000001</c:v>
                </c:pt>
                <c:pt idx="746" formatCode="_-* #,##0_-;\-* #,##0_-;_-* &quot;-&quot;??_-;_-@_-">
                  <c:v>11463928.853499999</c:v>
                </c:pt>
                <c:pt idx="747" formatCode="_-* #,##0_-;\-* #,##0_-;_-* &quot;-&quot;??_-;_-@_-">
                  <c:v>16120812.784</c:v>
                </c:pt>
                <c:pt idx="748" formatCode="_-* #,##0_-;\-* #,##0_-;_-* &quot;-&quot;??_-;_-@_-">
                  <c:v>6944720.9440000001</c:v>
                </c:pt>
                <c:pt idx="749" formatCode="_-* #,##0_-;\-* #,##0_-;_-* &quot;-&quot;??_-;_-@_-">
                  <c:v>7152507.858</c:v>
                </c:pt>
                <c:pt idx="750" formatCode="_-* #,##0_-;\-* #,##0_-;_-* &quot;-&quot;??_-;_-@_-">
                  <c:v>10215766.518999999</c:v>
                </c:pt>
                <c:pt idx="751" formatCode="_-* #,##0_-;\-* #,##0_-;_-* &quot;-&quot;??_-;_-@_-">
                  <c:v>12113521.472999999</c:v>
                </c:pt>
                <c:pt idx="752" formatCode="_-* #,##0_-;\-* #,##0_-;_-* &quot;-&quot;??_-;_-@_-">
                  <c:v>19963941.620000001</c:v>
                </c:pt>
                <c:pt idx="753" formatCode="_-* #,##0_-;\-* #,##0_-;_-* &quot;-&quot;??_-;_-@_-">
                  <c:v>17670076.129999999</c:v>
                </c:pt>
                <c:pt idx="754" formatCode="_-* #,##0_-;\-* #,##0_-;_-* &quot;-&quot;??_-;_-@_-">
                  <c:v>14672666.174000001</c:v>
                </c:pt>
                <c:pt idx="755" formatCode="_-* #,##0_-;\-* #,##0_-;_-* &quot;-&quot;??_-;_-@_-">
                  <c:v>14240048.843</c:v>
                </c:pt>
                <c:pt idx="756" formatCode="_-* #,##0_-;\-* #,##0_-;_-* &quot;-&quot;??_-;_-@_-">
                  <c:v>11073552.85</c:v>
                </c:pt>
                <c:pt idx="757" formatCode="_-* #,##0_-;\-* #,##0_-;_-* &quot;-&quot;??_-;_-@_-">
                  <c:v>11695023.952</c:v>
                </c:pt>
                <c:pt idx="758" formatCode="_-* #,##0_-;\-* #,##0_-;_-* &quot;-&quot;??_-;_-@_-">
                  <c:v>9188085.8049999997</c:v>
                </c:pt>
                <c:pt idx="759" formatCode="_-* #,##0_-;\-* #,##0_-;_-* &quot;-&quot;??_-;_-@_-">
                  <c:v>14081345.328</c:v>
                </c:pt>
                <c:pt idx="760" formatCode="_-* #,##0_-;\-* #,##0_-;_-* &quot;-&quot;??_-;_-@_-">
                  <c:v>13458640.711000001</c:v>
                </c:pt>
                <c:pt idx="761" formatCode="_-* #,##0_-;\-* #,##0_-;_-* &quot;-&quot;??_-;_-@_-">
                  <c:v>12138212.769000001</c:v>
                </c:pt>
                <c:pt idx="762" formatCode="_-* #,##0_-;\-* #,##0_-;_-* &quot;-&quot;??_-;_-@_-">
                  <c:v>9320633.5529999994</c:v>
                </c:pt>
                <c:pt idx="763" formatCode="_-* #,##0_-;\-* #,##0_-;_-* &quot;-&quot;??_-;_-@_-">
                  <c:v>12453063.536</c:v>
                </c:pt>
                <c:pt idx="764" formatCode="_-* #,##0_-;\-* #,##0_-;_-* &quot;-&quot;??_-;_-@_-">
                  <c:v>11686567.812999999</c:v>
                </c:pt>
                <c:pt idx="765" formatCode="_-* #,##0_-;\-* #,##0_-;_-* &quot;-&quot;??_-;_-@_-">
                  <c:v>8914608.3809999991</c:v>
                </c:pt>
                <c:pt idx="766" formatCode="_-* #,##0_-;\-* #,##0_-;_-* &quot;-&quot;??_-;_-@_-">
                  <c:v>11663634.199000001</c:v>
                </c:pt>
                <c:pt idx="767" formatCode="_-* #,##0_-;\-* #,##0_-;_-* &quot;-&quot;??_-;_-@_-">
                  <c:v>14500687.004999999</c:v>
                </c:pt>
                <c:pt idx="768" formatCode="_-* #,##0_-;\-* #,##0_-;_-* &quot;-&quot;??_-;_-@_-">
                  <c:v>14730605.316</c:v>
                </c:pt>
                <c:pt idx="769" formatCode="_-* #,##0_-;\-* #,##0_-;_-* &quot;-&quot;??_-;_-@_-">
                  <c:v>8978768.6730000004</c:v>
                </c:pt>
                <c:pt idx="770" formatCode="_-* #,##0_-;\-* #,##0_-;_-* &quot;-&quot;??_-;_-@_-">
                  <c:v>16129159.787999999</c:v>
                </c:pt>
                <c:pt idx="771" formatCode="_-* #,##0_-;\-* #,##0_-;_-* &quot;-&quot;??_-;_-@_-">
                  <c:v>12858553.4</c:v>
                </c:pt>
                <c:pt idx="772" formatCode="_-* #,##0_-;\-* #,##0_-;_-* &quot;-&quot;??_-;_-@_-">
                  <c:v>13593630.680000002</c:v>
                </c:pt>
                <c:pt idx="773" formatCode="_-* #,##0_-;\-* #,##0_-;_-* &quot;-&quot;??_-;_-@_-">
                  <c:v>15277483.312000001</c:v>
                </c:pt>
                <c:pt idx="774" formatCode="_-* #,##0_-;\-* #,##0_-;_-* &quot;-&quot;??_-;_-@_-">
                  <c:v>17649162.041000001</c:v>
                </c:pt>
                <c:pt idx="775" formatCode="_-* #,##0_-;\-* #,##0_-;_-* &quot;-&quot;??_-;_-@_-">
                  <c:v>13426807.562000001</c:v>
                </c:pt>
                <c:pt idx="776" formatCode="_-* #,##0_-;\-* #,##0_-;_-* &quot;-&quot;??_-;_-@_-">
                  <c:v>11640043.050999999</c:v>
                </c:pt>
                <c:pt idx="777" formatCode="_-* #,##0_-;\-* #,##0_-;_-* &quot;-&quot;??_-;_-@_-">
                  <c:v>13121738.832999999</c:v>
                </c:pt>
                <c:pt idx="778" formatCode="_-* #,##0_-;\-* #,##0_-;_-* &quot;-&quot;??_-;_-@_-">
                  <c:v>15840200.018999999</c:v>
                </c:pt>
                <c:pt idx="779" formatCode="_-* #,##0_-;\-* #,##0_-;_-* &quot;-&quot;??_-;_-@_-">
                  <c:v>8920431.9819999989</c:v>
                </c:pt>
                <c:pt idx="780" formatCode="_-* #,##0_-;\-* #,##0_-;_-* &quot;-&quot;??_-;_-@_-">
                  <c:v>13504856.533</c:v>
                </c:pt>
                <c:pt idx="781" formatCode="_-* #,##0_-;\-* #,##0_-;_-* &quot;-&quot;??_-;_-@_-">
                  <c:v>11539526.319999998</c:v>
                </c:pt>
                <c:pt idx="782" formatCode="_-* #,##0_-;\-* #,##0_-;_-* &quot;-&quot;??_-;_-@_-">
                  <c:v>12464366.089</c:v>
                </c:pt>
                <c:pt idx="783" formatCode="_-* #,##0_-;\-* #,##0_-;_-* &quot;-&quot;??_-;_-@_-">
                  <c:v>11055812.404000001</c:v>
                </c:pt>
                <c:pt idx="784" formatCode="_-* #,##0_-;\-* #,##0_-;_-* &quot;-&quot;??_-;_-@_-">
                  <c:v>16481209.450999999</c:v>
                </c:pt>
                <c:pt idx="785" formatCode="_-* #,##0_-;\-* #,##0_-;_-* &quot;-&quot;??_-;_-@_-">
                  <c:v>12731446.286999999</c:v>
                </c:pt>
                <c:pt idx="786" formatCode="_-* #,##0_-;\-* #,##0_-;_-* &quot;-&quot;??_-;_-@_-">
                  <c:v>9891574.4129999988</c:v>
                </c:pt>
                <c:pt idx="787" formatCode="_-* #,##0_-;\-* #,##0_-;_-* &quot;-&quot;??_-;_-@_-">
                  <c:v>13024062.365999999</c:v>
                </c:pt>
                <c:pt idx="788" formatCode="_-* #,##0_-;\-* #,##0_-;_-* &quot;-&quot;??_-;_-@_-">
                  <c:v>11160732.604</c:v>
                </c:pt>
                <c:pt idx="789" formatCode="_-* #,##0_-;\-* #,##0_-;_-* &quot;-&quot;??_-;_-@_-">
                  <c:v>11917281.432</c:v>
                </c:pt>
                <c:pt idx="790" formatCode="_-* #,##0_-;\-* #,##0_-;_-* &quot;-&quot;??_-;_-@_-">
                  <c:v>11025385.546</c:v>
                </c:pt>
                <c:pt idx="791" formatCode="_-* #,##0_-;\-* #,##0_-;_-* &quot;-&quot;??_-;_-@_-">
                  <c:v>12948011.118000001</c:v>
                </c:pt>
                <c:pt idx="792" formatCode="_-* #,##0_-;\-* #,##0_-;_-* &quot;-&quot;??_-;_-@_-">
                  <c:v>12248039.713000001</c:v>
                </c:pt>
                <c:pt idx="793" formatCode="_-* #,##0_-;\-* #,##0_-;_-* &quot;-&quot;??_-;_-@_-">
                  <c:v>8759745.1060000006</c:v>
                </c:pt>
                <c:pt idx="794" formatCode="_-* #,##0_-;\-* #,##0_-;_-* &quot;-&quot;??_-;_-@_-">
                  <c:v>13302493.022000002</c:v>
                </c:pt>
                <c:pt idx="795" formatCode="_-* #,##0_-;\-* #,##0_-;_-* &quot;-&quot;??_-;_-@_-">
                  <c:v>13437845.378999999</c:v>
                </c:pt>
                <c:pt idx="796" formatCode="_-* #,##0_-;\-* #,##0_-;_-* &quot;-&quot;??_-;_-@_-">
                  <c:v>11333882.727999998</c:v>
                </c:pt>
                <c:pt idx="797" formatCode="_-* #,##0_-;\-* #,##0_-;_-* &quot;-&quot;??_-;_-@_-">
                  <c:v>10777678.491999999</c:v>
                </c:pt>
                <c:pt idx="798" formatCode="_-* #,##0_-;\-* #,##0_-;_-* &quot;-&quot;??_-;_-@_-">
                  <c:v>11950691.627</c:v>
                </c:pt>
                <c:pt idx="799" formatCode="_-* #,##0_-;\-* #,##0_-;_-* &quot;-&quot;??_-;_-@_-">
                  <c:v>11704447.096999999</c:v>
                </c:pt>
                <c:pt idx="800" formatCode="_-* #,##0_-;\-* #,##0_-;_-* &quot;-&quot;??_-;_-@_-">
                  <c:v>5332632.7529999996</c:v>
                </c:pt>
                <c:pt idx="801" formatCode="_-* #,##0_-;\-* #,##0_-;_-* &quot;-&quot;??_-;_-@_-">
                  <c:v>9677892.2379999999</c:v>
                </c:pt>
                <c:pt idx="802" formatCode="_-* #,##0_-;\-* #,##0_-;_-* &quot;-&quot;??_-;_-@_-">
                  <c:v>8779717.0370000005</c:v>
                </c:pt>
                <c:pt idx="803" formatCode="_-* #,##0_-;\-* #,##0_-;_-* &quot;-&quot;??_-;_-@_-">
                  <c:v>12808175.807</c:v>
                </c:pt>
                <c:pt idx="804" formatCode="_-* #,##0_-;\-* #,##0_-;_-* &quot;-&quot;??_-;_-@_-">
                  <c:v>10201428.139</c:v>
                </c:pt>
                <c:pt idx="805" formatCode="_-* #,##0_-;\-* #,##0_-;_-* &quot;-&quot;??_-;_-@_-">
                  <c:v>12713138.679</c:v>
                </c:pt>
                <c:pt idx="806" formatCode="_-* #,##0_-;\-* #,##0_-;_-* &quot;-&quot;??_-;_-@_-">
                  <c:v>13109846.401000001</c:v>
                </c:pt>
                <c:pt idx="807" formatCode="_-* #,##0_-;\-* #,##0_-;_-* &quot;-&quot;??_-;_-@_-">
                  <c:v>9668890.9330000002</c:v>
                </c:pt>
                <c:pt idx="808" formatCode="_-* #,##0_-;\-* #,##0_-;_-* &quot;-&quot;??_-;_-@_-">
                  <c:v>14199564.364</c:v>
                </c:pt>
                <c:pt idx="809" formatCode="_-* #,##0_-;\-* #,##0_-;_-* &quot;-&quot;??_-;_-@_-">
                  <c:v>6224890.4290000005</c:v>
                </c:pt>
                <c:pt idx="810" formatCode="_-* #,##0_-;\-* #,##0_-;_-* &quot;-&quot;??_-;_-@_-">
                  <c:v>8823801.6600000001</c:v>
                </c:pt>
                <c:pt idx="811" formatCode="_-* #,##0_-;\-* #,##0_-;_-* &quot;-&quot;??_-;_-@_-">
                  <c:v>10592832.601</c:v>
                </c:pt>
                <c:pt idx="812" formatCode="_-* #,##0_-;\-* #,##0_-;_-* &quot;-&quot;??_-;_-@_-">
                  <c:v>10864083.76</c:v>
                </c:pt>
                <c:pt idx="813" formatCode="_-* #,##0_-;\-* #,##0_-;_-* &quot;-&quot;??_-;_-@_-">
                  <c:v>16562096.577</c:v>
                </c:pt>
                <c:pt idx="814" formatCode="_-* #,##0_-;\-* #,##0_-;_-* &quot;-&quot;??_-;_-@_-">
                  <c:v>10647492.077</c:v>
                </c:pt>
                <c:pt idx="815" formatCode="_-* #,##0_-;\-* #,##0_-;_-* &quot;-&quot;??_-;_-@_-">
                  <c:v>13808342.026000001</c:v>
                </c:pt>
                <c:pt idx="816" formatCode="_-* #,##0_-;\-* #,##0_-;_-* &quot;-&quot;??_-;_-@_-">
                  <c:v>11922870.852</c:v>
                </c:pt>
                <c:pt idx="817" formatCode="_-* #,##0_-;\-* #,##0_-;_-* &quot;-&quot;??_-;_-@_-">
                  <c:v>12535468.387</c:v>
                </c:pt>
                <c:pt idx="818" formatCode="_-* #,##0_-;\-* #,##0_-;_-* &quot;-&quot;??_-;_-@_-">
                  <c:v>11226416.049000001</c:v>
                </c:pt>
                <c:pt idx="819" formatCode="_-* #,##0_-;\-* #,##0_-;_-* &quot;-&quot;??_-;_-@_-">
                  <c:v>14284971.145</c:v>
                </c:pt>
                <c:pt idx="820" formatCode="_-* #,##0_-;\-* #,##0_-;_-* &quot;-&quot;??_-;_-@_-">
                  <c:v>18160585.949999999</c:v>
                </c:pt>
                <c:pt idx="821" formatCode="_-* #,##0_-;\-* #,##0_-;_-* &quot;-&quot;??_-;_-@_-">
                  <c:v>10556407.725000001</c:v>
                </c:pt>
                <c:pt idx="822" formatCode="_-* #,##0_-;\-* #,##0_-;_-* &quot;-&quot;??_-;_-@_-">
                  <c:v>12445249.875</c:v>
                </c:pt>
                <c:pt idx="823" formatCode="_-* #,##0_-;\-* #,##0_-;_-* &quot;-&quot;??_-;_-@_-">
                  <c:v>13428844.575000001</c:v>
                </c:pt>
                <c:pt idx="824" formatCode="_-* #,##0_-;\-* #,##0_-;_-* &quot;-&quot;??_-;_-@_-">
                  <c:v>14395362.75</c:v>
                </c:pt>
                <c:pt idx="825" formatCode="_-* #,##0_-;\-* #,##0_-;_-* &quot;-&quot;??_-;_-@_-">
                  <c:v>14650010.475</c:v>
                </c:pt>
                <c:pt idx="826" formatCode="_-* #,##0_-;\-* #,##0_-;_-* &quot;-&quot;??_-;_-@_-">
                  <c:v>15042190.199999999</c:v>
                </c:pt>
                <c:pt idx="827" formatCode="_-* #,##0_-;\-* #,##0_-;_-* &quot;-&quot;??_-;_-@_-">
                  <c:v>15169260.950999999</c:v>
                </c:pt>
                <c:pt idx="828" formatCode="_-* #,##0_-;\-* #,##0_-;_-* &quot;-&quot;??_-;_-@_-">
                  <c:v>10066584.879000001</c:v>
                </c:pt>
                <c:pt idx="829" formatCode="_-* #,##0_-;\-* #,##0_-;_-* &quot;-&quot;??_-;_-@_-">
                  <c:v>13534320.267000001</c:v>
                </c:pt>
                <c:pt idx="830" formatCode="_-* #,##0_-;\-* #,##0_-;_-* &quot;-&quot;??_-;_-@_-">
                  <c:v>14163400.368000001</c:v>
                </c:pt>
                <c:pt idx="831" formatCode="_-* #,##0_-;\-* #,##0_-;_-* &quot;-&quot;??_-;_-@_-">
                  <c:v>8403186.870000001</c:v>
                </c:pt>
                <c:pt idx="832" formatCode="_-* #,##0_-;\-* #,##0_-;_-* &quot;-&quot;??_-;_-@_-">
                  <c:v>6715009.4499999993</c:v>
                </c:pt>
                <c:pt idx="833" formatCode="_-* #,##0_-;\-* #,##0_-;_-* &quot;-&quot;??_-;_-@_-">
                  <c:v>35181.35</c:v>
                </c:pt>
                <c:pt idx="834" formatCode="_-* #,##0_-;\-* #,##0_-;_-* &quot;-&quot;??_-;_-@_-">
                  <c:v>15491282.350000001</c:v>
                </c:pt>
                <c:pt idx="835" formatCode="_-* #,##0_-;\-* #,##0_-;_-* &quot;-&quot;??_-;_-@_-">
                  <c:v>16582824.369999999</c:v>
                </c:pt>
                <c:pt idx="836" formatCode="_-* #,##0_-;\-* #,##0_-;_-* &quot;-&quot;??_-;_-@_-">
                  <c:v>3110411.5300000003</c:v>
                </c:pt>
                <c:pt idx="837" formatCode="_-* #,##0_-;\-* #,##0_-;_-* &quot;-&quot;??_-;_-@_-">
                  <c:v>14405520.319999998</c:v>
                </c:pt>
                <c:pt idx="838" formatCode="_-* #,##0_-;\-* #,##0_-;_-* &quot;-&quot;??_-;_-@_-">
                  <c:v>12462743.91</c:v>
                </c:pt>
                <c:pt idx="839" formatCode="_-* #,##0_-;\-* #,##0_-;_-* &quot;-&quot;??_-;_-@_-">
                  <c:v>11090643.709999999</c:v>
                </c:pt>
                <c:pt idx="840" formatCode="_-* #,##0_-;\-* #,##0_-;_-* &quot;-&quot;??_-;_-@_-">
                  <c:v>11182715.810000001</c:v>
                </c:pt>
                <c:pt idx="841" formatCode="_-* #,##0_-;\-* #,##0_-;_-* &quot;-&quot;??_-;_-@_-">
                  <c:v>12720678.029999999</c:v>
                </c:pt>
                <c:pt idx="842" formatCode="_-* #,##0_-;\-* #,##0_-;_-* &quot;-&quot;??_-;_-@_-">
                  <c:v>16056580.799999999</c:v>
                </c:pt>
                <c:pt idx="843" formatCode="_-* #,##0_-;\-* #,##0_-;_-* &quot;-&quot;??_-;_-@_-">
                  <c:v>9535429.6799999997</c:v>
                </c:pt>
                <c:pt idx="844" formatCode="_-* #,##0_-;\-* #,##0_-;_-* &quot;-&quot;??_-;_-@_-">
                  <c:v>1948677.6199999999</c:v>
                </c:pt>
                <c:pt idx="845" formatCode="_-* #,##0_-;\-* #,##0_-;_-* &quot;-&quot;??_-;_-@_-">
                  <c:v>19136764.470000003</c:v>
                </c:pt>
                <c:pt idx="846" formatCode="_-* #,##0_-;\-* #,##0_-;_-* &quot;-&quot;??_-;_-@_-">
                  <c:v>3002696.5399999996</c:v>
                </c:pt>
                <c:pt idx="847" formatCode="_-* #,##0_-;\-* #,##0_-;_-* &quot;-&quot;??_-;_-@_-">
                  <c:v>25212421.069999997</c:v>
                </c:pt>
                <c:pt idx="848" formatCode="_-* #,##0_-;\-* #,##0_-;_-* &quot;-&quot;??_-;_-@_-">
                  <c:v>1112711.44</c:v>
                </c:pt>
                <c:pt idx="849" formatCode="_-* #,##0_-;\-* #,##0_-;_-* &quot;-&quot;??_-;_-@_-">
                  <c:v>287021.41000000003</c:v>
                </c:pt>
                <c:pt idx="850" formatCode="_-* #,##0_-;\-* #,##0_-;_-* &quot;-&quot;??_-;_-@_-">
                  <c:v>340143.32</c:v>
                </c:pt>
                <c:pt idx="851" formatCode="_-* #,##0_-;\-* #,##0_-;_-* &quot;-&quot;??_-;_-@_-">
                  <c:v>41467218.609999999</c:v>
                </c:pt>
                <c:pt idx="852" formatCode="_-* #,##0_-;\-* #,##0_-;_-* &quot;-&quot;??_-;_-@_-">
                  <c:v>18005192.300000001</c:v>
                </c:pt>
                <c:pt idx="853" formatCode="_-* #,##0_-;\-* #,##0_-;_-* &quot;-&quot;??_-;_-@_-">
                  <c:v>32452764.939999998</c:v>
                </c:pt>
                <c:pt idx="854" formatCode="_-* #,##0_-;\-* #,##0_-;_-* &quot;-&quot;??_-;_-@_-">
                  <c:v>53107913.479999997</c:v>
                </c:pt>
                <c:pt idx="855" formatCode="_-* #,##0_-;\-* #,##0_-;_-* &quot;-&quot;??_-;_-@_-">
                  <c:v>3267600</c:v>
                </c:pt>
                <c:pt idx="856" formatCode="_-* #,##0_-;\-* #,##0_-;_-* &quot;-&quot;??_-;_-@_-">
                  <c:v>28026088.500000004</c:v>
                </c:pt>
                <c:pt idx="857" formatCode="_-* #,##0_-;\-* #,##0_-;_-* &quot;-&quot;??_-;_-@_-">
                  <c:v>22793610.600000001</c:v>
                </c:pt>
                <c:pt idx="858" formatCode="_-* #,##0_-;\-* #,##0_-;_-* &quot;-&quot;??_-;_-@_-">
                  <c:v>10681078.365</c:v>
                </c:pt>
                <c:pt idx="859" formatCode="_-* #,##0_-;\-* #,##0_-;_-* &quot;-&quot;??_-;_-@_-">
                  <c:v>28777543.140000001</c:v>
                </c:pt>
                <c:pt idx="860" formatCode="_-* #,##0_-;\-* #,##0_-;_-* &quot;-&quot;??_-;_-@_-">
                  <c:v>9398907.1349999998</c:v>
                </c:pt>
                <c:pt idx="861" formatCode="_-* #,##0_-;\-* #,##0_-;_-* &quot;-&quot;??_-;_-@_-">
                  <c:v>8164431.1950000003</c:v>
                </c:pt>
                <c:pt idx="862" formatCode="_-* #,##0_-;\-* #,##0_-;_-* &quot;-&quot;??_-;_-@_-">
                  <c:v>28259581.859999999</c:v>
                </c:pt>
                <c:pt idx="863" formatCode="_-* #,##0_-;\-* #,##0_-;_-* &quot;-&quot;??_-;_-@_-">
                  <c:v>13829154.225</c:v>
                </c:pt>
                <c:pt idx="864" formatCode="_-* #,##0_-;\-* #,##0_-;_-* &quot;-&quot;??_-;_-@_-">
                  <c:v>15279886.935000001</c:v>
                </c:pt>
                <c:pt idx="865" formatCode="_-* #,##0_-;\-* #,##0_-;_-* &quot;-&quot;??_-;_-@_-">
                  <c:v>20592146.789999999</c:v>
                </c:pt>
                <c:pt idx="866" formatCode="_-* #,##0_-;\-* #,##0_-;_-* &quot;-&quot;??_-;_-@_-">
                  <c:v>3342678.9449999998</c:v>
                </c:pt>
                <c:pt idx="867" formatCode="_-* #,##0_-;\-* #,##0_-;_-* &quot;-&quot;??_-;_-@_-">
                  <c:v>8862985.7249999996</c:v>
                </c:pt>
                <c:pt idx="868" formatCode="_-* #,##0_-;\-* #,##0_-;_-* &quot;-&quot;??_-;_-@_-">
                  <c:v>77356730.609999999</c:v>
                </c:pt>
                <c:pt idx="869" formatCode="_-* #,##0_-;\-* #,##0_-;_-* &quot;-&quot;??_-;_-@_-">
                  <c:v>47874920.475000001</c:v>
                </c:pt>
                <c:pt idx="870" formatCode="_-* #,##0_-;\-* #,##0_-;_-* &quot;-&quot;??_-;_-@_-">
                  <c:v>10167359.130000001</c:v>
                </c:pt>
                <c:pt idx="871" formatCode="_-* #,##0_-;\-* #,##0_-;_-* &quot;-&quot;??_-;_-@_-">
                  <c:v>7934549.6999999993</c:v>
                </c:pt>
                <c:pt idx="872" formatCode="_-* #,##0_-;\-* #,##0_-;_-* &quot;-&quot;??_-;_-@_-">
                  <c:v>4115717.25</c:v>
                </c:pt>
                <c:pt idx="873" formatCode="_-* #,##0_-;\-* #,##0_-;_-* &quot;-&quot;??_-;_-@_-">
                  <c:v>0</c:v>
                </c:pt>
                <c:pt idx="874" formatCode="_-* #,##0_-;\-* #,##0_-;_-* &quot;-&quot;??_-;_-@_-">
                  <c:v>25026443.370000001</c:v>
                </c:pt>
                <c:pt idx="875" formatCode="_-* #,##0_-;\-* #,##0_-;_-* &quot;-&quot;??_-;_-@_-">
                  <c:v>0</c:v>
                </c:pt>
                <c:pt idx="876" formatCode="_-* #,##0_-;\-* #,##0_-;_-* &quot;-&quot;??_-;_-@_-">
                  <c:v>27071592.839999996</c:v>
                </c:pt>
                <c:pt idx="877" formatCode="_-* #,##0_-;\-* #,##0_-;_-* &quot;-&quot;??_-;_-@_-">
                  <c:v>7200974.0700000003</c:v>
                </c:pt>
                <c:pt idx="878" formatCode="_-* #,##0_-;\-* #,##0_-;_-* &quot;-&quot;??_-;_-@_-">
                  <c:v>20373601.23</c:v>
                </c:pt>
                <c:pt idx="879" formatCode="_-* #,##0_-;\-* #,##0_-;_-* &quot;-&quot;??_-;_-@_-">
                  <c:v>0</c:v>
                </c:pt>
                <c:pt idx="880" formatCode="_-* #,##0_-;\-* #,##0_-;_-* &quot;-&quot;??_-;_-@_-">
                  <c:v>0</c:v>
                </c:pt>
                <c:pt idx="881" formatCode="_-* #,##0_-;\-* #,##0_-;_-* &quot;-&quot;??_-;_-@_-">
                  <c:v>0</c:v>
                </c:pt>
                <c:pt idx="882" formatCode="_-* #,##0_-;\-* #,##0_-;_-* &quot;-&quot;??_-;_-@_-">
                  <c:v>0</c:v>
                </c:pt>
                <c:pt idx="883" formatCode="_-* #,##0_-;\-* #,##0_-;_-* &quot;-&quot;??_-;_-@_-">
                  <c:v>0</c:v>
                </c:pt>
                <c:pt idx="884" formatCode="_-* #,##0_-;\-* #,##0_-;_-* &quot;-&quot;??_-;_-@_-">
                  <c:v>0</c:v>
                </c:pt>
                <c:pt idx="885" formatCode="_-* #,##0_-;\-* #,##0_-;_-* &quot;-&quot;??_-;_-@_-">
                  <c:v>0</c:v>
                </c:pt>
                <c:pt idx="886" formatCode="_-* #,##0_-;\-* #,##0_-;_-* &quot;-&quot;??_-;_-@_-">
                  <c:v>0</c:v>
                </c:pt>
                <c:pt idx="887" formatCode="_-* #,##0_-;\-* #,##0_-;_-* &quot;-&quot;??_-;_-@_-">
                  <c:v>0</c:v>
                </c:pt>
                <c:pt idx="888" formatCode="_-* #,##0_-;\-* #,##0_-;_-* &quot;-&quot;??_-;_-@_-">
                  <c:v>0</c:v>
                </c:pt>
                <c:pt idx="889" formatCode="_-* #,##0_-;\-* #,##0_-;_-* &quot;-&quot;??_-;_-@_-">
                  <c:v>0</c:v>
                </c:pt>
                <c:pt idx="890" formatCode="_-* #,##0_-;\-* #,##0_-;_-* &quot;-&quot;??_-;_-@_-">
                  <c:v>0</c:v>
                </c:pt>
                <c:pt idx="891" formatCode="_-* #,##0_-;\-* #,##0_-;_-* &quot;-&quot;??_-;_-@_-">
                  <c:v>0</c:v>
                </c:pt>
                <c:pt idx="892" formatCode="_-* #,##0_-;\-* #,##0_-;_-* &quot;-&quot;??_-;_-@_-">
                  <c:v>0</c:v>
                </c:pt>
                <c:pt idx="893" formatCode="_-* #,##0_-;\-* #,##0_-;_-* &quot;-&quot;??_-;_-@_-">
                  <c:v>0</c:v>
                </c:pt>
                <c:pt idx="894" formatCode="_-* #,##0_-;\-* #,##0_-;_-* &quot;-&quot;??_-;_-@_-">
                  <c:v>0</c:v>
                </c:pt>
                <c:pt idx="895" formatCode="_-* #,##0_-;\-* #,##0_-;_-* &quot;-&quot;??_-;_-@_-">
                  <c:v>0</c:v>
                </c:pt>
                <c:pt idx="896" formatCode="_-* #,##0_-;\-* #,##0_-;_-* &quot;-&quot;??_-;_-@_-">
                  <c:v>0</c:v>
                </c:pt>
                <c:pt idx="897" formatCode="_-* #,##0_-;\-* #,##0_-;_-* &quot;-&quot;??_-;_-@_-">
                  <c:v>0</c:v>
                </c:pt>
                <c:pt idx="898" formatCode="_-* #,##0_-;\-* #,##0_-;_-* &quot;-&quot;??_-;_-@_-">
                  <c:v>0</c:v>
                </c:pt>
                <c:pt idx="899" formatCode="_-* #,##0_-;\-* #,##0_-;_-* &quot;-&quot;??_-;_-@_-">
                  <c:v>0</c:v>
                </c:pt>
                <c:pt idx="900" formatCode="_-* #,##0_-;\-* #,##0_-;_-* &quot;-&quot;??_-;_-@_-">
                  <c:v>0</c:v>
                </c:pt>
                <c:pt idx="901" formatCode="_-* #,##0_-;\-* #,##0_-;_-* &quot;-&quot;??_-;_-@_-">
                  <c:v>0</c:v>
                </c:pt>
                <c:pt idx="902" formatCode="_-* #,##0_-;\-* #,##0_-;_-* &quot;-&quot;??_-;_-@_-">
                  <c:v>0</c:v>
                </c:pt>
                <c:pt idx="903" formatCode="_-* #,##0_-;\-* #,##0_-;_-* &quot;-&quot;??_-;_-@_-">
                  <c:v>0</c:v>
                </c:pt>
                <c:pt idx="904" formatCode="_-* #,##0_-;\-* #,##0_-;_-* &quot;-&quot;??_-;_-@_-">
                  <c:v>0</c:v>
                </c:pt>
                <c:pt idx="905" formatCode="_-* #,##0_-;\-* #,##0_-;_-* &quot;-&quot;??_-;_-@_-">
                  <c:v>0</c:v>
                </c:pt>
                <c:pt idx="906" formatCode="_-* #,##0_-;\-* #,##0_-;_-* &quot;-&quot;??_-;_-@_-">
                  <c:v>0</c:v>
                </c:pt>
                <c:pt idx="907" formatCode="_-* #,##0_-;\-* #,##0_-;_-* &quot;-&quot;??_-;_-@_-">
                  <c:v>0</c:v>
                </c:pt>
                <c:pt idx="908" formatCode="_-* #,##0_-;\-* #,##0_-;_-* &quot;-&quot;??_-;_-@_-">
                  <c:v>0</c:v>
                </c:pt>
                <c:pt idx="909" formatCode="_-* #,##0_-;\-* #,##0_-;_-* &quot;-&quot;??_-;_-@_-">
                  <c:v>0</c:v>
                </c:pt>
                <c:pt idx="910" formatCode="_-* #,##0_-;\-* #,##0_-;_-* &quot;-&quot;??_-;_-@_-">
                  <c:v>0</c:v>
                </c:pt>
                <c:pt idx="911" formatCode="_-* #,##0_-;\-* #,##0_-;_-* &quot;-&quot;??_-;_-@_-">
                  <c:v>0</c:v>
                </c:pt>
                <c:pt idx="912" formatCode="_-* #,##0_-;\-* #,##0_-;_-* &quot;-&quot;??_-;_-@_-">
                  <c:v>0</c:v>
                </c:pt>
                <c:pt idx="913" formatCode="_-* #,##0_-;\-* #,##0_-;_-* &quot;-&quot;??_-;_-@_-">
                  <c:v>0</c:v>
                </c:pt>
                <c:pt idx="914" formatCode="_-* #,##0_-;\-* #,##0_-;_-* &quot;-&quot;??_-;_-@_-">
                  <c:v>0</c:v>
                </c:pt>
                <c:pt idx="915" formatCode="_-* #,##0_-;\-* #,##0_-;_-* &quot;-&quot;??_-;_-@_-">
                  <c:v>0</c:v>
                </c:pt>
                <c:pt idx="916" formatCode="_-* #,##0_-;\-* #,##0_-;_-* &quot;-&quot;??_-;_-@_-">
                  <c:v>0</c:v>
                </c:pt>
                <c:pt idx="917" formatCode="_-* #,##0_-;\-* #,##0_-;_-* &quot;-&quot;??_-;_-@_-">
                  <c:v>0</c:v>
                </c:pt>
                <c:pt idx="918" formatCode="_-* #,##0_-;\-* #,##0_-;_-* &quot;-&quot;??_-;_-@_-">
                  <c:v>0</c:v>
                </c:pt>
                <c:pt idx="919" formatCode="_-* #,##0_-;\-* #,##0_-;_-* &quot;-&quot;??_-;_-@_-">
                  <c:v>0</c:v>
                </c:pt>
                <c:pt idx="920" formatCode="_-* #,##0_-;\-* #,##0_-;_-* &quot;-&quot;??_-;_-@_-">
                  <c:v>0</c:v>
                </c:pt>
                <c:pt idx="921" formatCode="_-* #,##0_-;\-* #,##0_-;_-* &quot;-&quot;??_-;_-@_-">
                  <c:v>0</c:v>
                </c:pt>
                <c:pt idx="922" formatCode="_-* #,##0_-;\-* #,##0_-;_-* &quot;-&quot;??_-;_-@_-">
                  <c:v>0</c:v>
                </c:pt>
                <c:pt idx="923" formatCode="_-* #,##0_-;\-* #,##0_-;_-* &quot;-&quot;??_-;_-@_-">
                  <c:v>0</c:v>
                </c:pt>
                <c:pt idx="924" formatCode="_-* #,##0_-;\-* #,##0_-;_-* &quot;-&quot;??_-;_-@_-">
                  <c:v>0</c:v>
                </c:pt>
                <c:pt idx="925" formatCode="_-* #,##0_-;\-* #,##0_-;_-* &quot;-&quot;??_-;_-@_-">
                  <c:v>0</c:v>
                </c:pt>
                <c:pt idx="926" formatCode="_-* #,##0_-;\-* #,##0_-;_-* &quot;-&quot;??_-;_-@_-">
                  <c:v>0</c:v>
                </c:pt>
                <c:pt idx="927" formatCode="_-* #,##0_-;\-* #,##0_-;_-* &quot;-&quot;??_-;_-@_-">
                  <c:v>0</c:v>
                </c:pt>
                <c:pt idx="928" formatCode="_-* #,##0_-;\-* #,##0_-;_-* &quot;-&quot;??_-;_-@_-">
                  <c:v>0</c:v>
                </c:pt>
                <c:pt idx="929" formatCode="_-* #,##0_-;\-* #,##0_-;_-* &quot;-&quot;??_-;_-@_-">
                  <c:v>0</c:v>
                </c:pt>
                <c:pt idx="930" formatCode="_-* #,##0_-;\-* #,##0_-;_-* &quot;-&quot;??_-;_-@_-">
                  <c:v>0</c:v>
                </c:pt>
                <c:pt idx="931" formatCode="_-* #,##0_-;\-* #,##0_-;_-* &quot;-&quot;??_-;_-@_-">
                  <c:v>0</c:v>
                </c:pt>
                <c:pt idx="932" formatCode="_-* #,##0_-;\-* #,##0_-;_-* &quot;-&quot;??_-;_-@_-">
                  <c:v>0</c:v>
                </c:pt>
                <c:pt idx="933" formatCode="_-* #,##0_-;\-* #,##0_-;_-* &quot;-&quot;??_-;_-@_-">
                  <c:v>0</c:v>
                </c:pt>
                <c:pt idx="934" formatCode="_-* #,##0_-;\-* #,##0_-;_-* &quot;-&quot;??_-;_-@_-">
                  <c:v>0</c:v>
                </c:pt>
                <c:pt idx="935" formatCode="_-* #,##0_-;\-* #,##0_-;_-* &quot;-&quot;??_-;_-@_-">
                  <c:v>0</c:v>
                </c:pt>
                <c:pt idx="936" formatCode="_-* #,##0_-;\-* #,##0_-;_-* &quot;-&quot;??_-;_-@_-">
                  <c:v>0</c:v>
                </c:pt>
                <c:pt idx="937" formatCode="_-* #,##0_-;\-* #,##0_-;_-* &quot;-&quot;??_-;_-@_-">
                  <c:v>0</c:v>
                </c:pt>
                <c:pt idx="938" formatCode="_-* #,##0_-;\-* #,##0_-;_-* &quot;-&quot;??_-;_-@_-">
                  <c:v>0</c:v>
                </c:pt>
                <c:pt idx="939" formatCode="_-* #,##0_-;\-* #,##0_-;_-* &quot;-&quot;??_-;_-@_-">
                  <c:v>0</c:v>
                </c:pt>
                <c:pt idx="940" formatCode="_-* #,##0_-;\-* #,##0_-;_-* &quot;-&quot;??_-;_-@_-">
                  <c:v>0</c:v>
                </c:pt>
                <c:pt idx="941" formatCode="_-* #,##0_-;\-* #,##0_-;_-* &quot;-&quot;??_-;_-@_-">
                  <c:v>0</c:v>
                </c:pt>
                <c:pt idx="942" formatCode="_-* #,##0_-;\-* #,##0_-;_-* &quot;-&quot;??_-;_-@_-">
                  <c:v>0</c:v>
                </c:pt>
                <c:pt idx="943" formatCode="_-* #,##0_-;\-* #,##0_-;_-* &quot;-&quot;??_-;_-@_-">
                  <c:v>0</c:v>
                </c:pt>
                <c:pt idx="944" formatCode="_-* #,##0_-;\-* #,##0_-;_-* &quot;-&quot;??_-;_-@_-">
                  <c:v>0</c:v>
                </c:pt>
                <c:pt idx="945" formatCode="_-* #,##0_-;\-* #,##0_-;_-* &quot;-&quot;??_-;_-@_-">
                  <c:v>0</c:v>
                </c:pt>
                <c:pt idx="946" formatCode="_-* #,##0_-;\-* #,##0_-;_-* &quot;-&quot;??_-;_-@_-">
                  <c:v>0</c:v>
                </c:pt>
                <c:pt idx="947" formatCode="_-* #,##0_-;\-* #,##0_-;_-* &quot;-&quot;??_-;_-@_-">
                  <c:v>0</c:v>
                </c:pt>
                <c:pt idx="948" formatCode="_-* #,##0_-;\-* #,##0_-;_-* &quot;-&quot;??_-;_-@_-">
                  <c:v>0</c:v>
                </c:pt>
                <c:pt idx="949" formatCode="_-* #,##0_-;\-* #,##0_-;_-* &quot;-&quot;??_-;_-@_-">
                  <c:v>0</c:v>
                </c:pt>
                <c:pt idx="950" formatCode="_-* #,##0_-;\-* #,##0_-;_-* &quot;-&quot;??_-;_-@_-">
                  <c:v>0</c:v>
                </c:pt>
                <c:pt idx="951" formatCode="_-* #,##0_-;\-* #,##0_-;_-* &quot;-&quot;??_-;_-@_-">
                  <c:v>0</c:v>
                </c:pt>
                <c:pt idx="952" formatCode="_-* #,##0_-;\-* #,##0_-;_-* &quot;-&quot;??_-;_-@_-">
                  <c:v>0</c:v>
                </c:pt>
                <c:pt idx="953" formatCode="_-* #,##0_-;\-* #,##0_-;_-* &quot;-&quot;??_-;_-@_-">
                  <c:v>0</c:v>
                </c:pt>
                <c:pt idx="954" formatCode="_-* #,##0_-;\-* #,##0_-;_-* &quot;-&quot;??_-;_-@_-">
                  <c:v>0</c:v>
                </c:pt>
                <c:pt idx="955" formatCode="_-* #,##0_-;\-* #,##0_-;_-* &quot;-&quot;??_-;_-@_-">
                  <c:v>0</c:v>
                </c:pt>
                <c:pt idx="956" formatCode="_-* #,##0_-;\-* #,##0_-;_-* &quot;-&quot;??_-;_-@_-">
                  <c:v>0</c:v>
                </c:pt>
                <c:pt idx="957" formatCode="_-* #,##0_-;\-* #,##0_-;_-* &quot;-&quot;??_-;_-@_-">
                  <c:v>0</c:v>
                </c:pt>
                <c:pt idx="958" formatCode="_-* #,##0_-;\-* #,##0_-;_-* &quot;-&quot;??_-;_-@_-">
                  <c:v>0</c:v>
                </c:pt>
                <c:pt idx="959" formatCode="_-* #,##0_-;\-* #,##0_-;_-* &quot;-&quot;??_-;_-@_-">
                  <c:v>0</c:v>
                </c:pt>
                <c:pt idx="960" formatCode="_-* #,##0_-;\-* #,##0_-;_-* &quot;-&quot;??_-;_-@_-">
                  <c:v>0</c:v>
                </c:pt>
                <c:pt idx="961" formatCode="_-* #,##0_-;\-* #,##0_-;_-* &quot;-&quot;??_-;_-@_-">
                  <c:v>0</c:v>
                </c:pt>
                <c:pt idx="962" formatCode="_-* #,##0_-;\-* #,##0_-;_-* &quot;-&quot;??_-;_-@_-">
                  <c:v>0</c:v>
                </c:pt>
                <c:pt idx="963" formatCode="_-* #,##0_-;\-* #,##0_-;_-* &quot;-&quot;??_-;_-@_-">
                  <c:v>0</c:v>
                </c:pt>
                <c:pt idx="964" formatCode="_-* #,##0_-;\-* #,##0_-;_-* &quot;-&quot;??_-;_-@_-">
                  <c:v>0</c:v>
                </c:pt>
                <c:pt idx="965" formatCode="_-* #,##0_-;\-* #,##0_-;_-* &quot;-&quot;??_-;_-@_-">
                  <c:v>0</c:v>
                </c:pt>
                <c:pt idx="966" formatCode="_-* #,##0_-;\-* #,##0_-;_-* &quot;-&quot;??_-;_-@_-">
                  <c:v>0</c:v>
                </c:pt>
                <c:pt idx="967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93-4675-8CF1-E99C3E7C4480}"/>
            </c:ext>
          </c:extLst>
        </c:ser>
        <c:ser>
          <c:idx val="5"/>
          <c:order val="5"/>
          <c:tx>
            <c:strRef>
              <c:f>'CASH FLOW'!$G$1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FLOW'!$G$2:$G$969</c:f>
              <c:numCache>
                <c:formatCode>_(* #,##0.00_);_(* \(#,##0.00\);_(* "-"??_);_(@_)</c:formatCode>
                <c:ptCount val="968"/>
                <c:pt idx="1">
                  <c:v>0</c:v>
                </c:pt>
                <c:pt idx="2" formatCode="_-* #,##0_-;\-* #,##0_-;_-* &quot;-&quot;??_-;_-@_-">
                  <c:v>9350896.2469999995</c:v>
                </c:pt>
                <c:pt idx="3" formatCode="_-* #,##0_-;\-* #,##0_-;_-* &quot;-&quot;??_-;_-@_-">
                  <c:v>14618250.619000001</c:v>
                </c:pt>
                <c:pt idx="4" formatCode="_-* #,##0_-;\-* #,##0_-;_-* &quot;-&quot;??_-;_-@_-">
                  <c:v>26369890.610000003</c:v>
                </c:pt>
                <c:pt idx="5" formatCode="_-* #,##0_-;\-* #,##0_-;_-* &quot;-&quot;??_-;_-@_-">
                  <c:v>8036977.402999999</c:v>
                </c:pt>
                <c:pt idx="6" formatCode="_-* #,##0_-;\-* #,##0_-;_-* &quot;-&quot;??_-;_-@_-">
                  <c:v>13753337.240999999</c:v>
                </c:pt>
                <c:pt idx="7" formatCode="_-* #,##0_-;\-* #,##0_-;_-* &quot;-&quot;??_-;_-@_-">
                  <c:v>27162456.741</c:v>
                </c:pt>
                <c:pt idx="8" formatCode="_-* #,##0_-;\-* #,##0_-;_-* &quot;-&quot;??_-;_-@_-">
                  <c:v>21097767.138</c:v>
                </c:pt>
                <c:pt idx="9" formatCode="_-* #,##0_-;\-* #,##0_-;_-* &quot;-&quot;??_-;_-@_-">
                  <c:v>10838712.374</c:v>
                </c:pt>
                <c:pt idx="10" formatCode="_-* #,##0_-;\-* #,##0_-;_-* &quot;-&quot;??_-;_-@_-">
                  <c:v>20638179.569000002</c:v>
                </c:pt>
                <c:pt idx="11" formatCode="_-* #,##0_-;\-* #,##0_-;_-* &quot;-&quot;??_-;_-@_-">
                  <c:v>22251587.294999998</c:v>
                </c:pt>
                <c:pt idx="12" formatCode="_-* #,##0_-;\-* #,##0_-;_-* &quot;-&quot;??_-;_-@_-">
                  <c:v>10609090.807</c:v>
                </c:pt>
                <c:pt idx="13" formatCode="_-* #,##0_-;\-* #,##0_-;_-* &quot;-&quot;??_-;_-@_-">
                  <c:v>7289309.699000001</c:v>
                </c:pt>
                <c:pt idx="14" formatCode="_-* #,##0_-;\-* #,##0_-;_-* &quot;-&quot;??_-;_-@_-">
                  <c:v>37058074.291000001</c:v>
                </c:pt>
                <c:pt idx="15" formatCode="_-* #,##0_-;\-* #,##0_-;_-* &quot;-&quot;??_-;_-@_-">
                  <c:v>4848659.1859999998</c:v>
                </c:pt>
                <c:pt idx="16" formatCode="_-* #,##0_-;\-* #,##0_-;_-* &quot;-&quot;??_-;_-@_-">
                  <c:v>13001281.965</c:v>
                </c:pt>
                <c:pt idx="17" formatCode="_-* #,##0_-;\-* #,##0_-;_-* &quot;-&quot;??_-;_-@_-">
                  <c:v>24715564.006000001</c:v>
                </c:pt>
                <c:pt idx="18" formatCode="_-* #,##0_-;\-* #,##0_-;_-* &quot;-&quot;??_-;_-@_-">
                  <c:v>5793015.1720000003</c:v>
                </c:pt>
                <c:pt idx="19" formatCode="_-* #,##0_-;\-* #,##0_-;_-* &quot;-&quot;??_-;_-@_-">
                  <c:v>18477613</c:v>
                </c:pt>
                <c:pt idx="20" formatCode="_-* #,##0_-;\-* #,##0_-;_-* &quot;-&quot;??_-;_-@_-">
                  <c:v>9917412.3370000012</c:v>
                </c:pt>
                <c:pt idx="21" formatCode="_-* #,##0_-;\-* #,##0_-;_-* &quot;-&quot;??_-;_-@_-">
                  <c:v>16954415.449999999</c:v>
                </c:pt>
                <c:pt idx="22" formatCode="_-* #,##0_-;\-* #,##0_-;_-* &quot;-&quot;??_-;_-@_-">
                  <c:v>18116963.059999999</c:v>
                </c:pt>
                <c:pt idx="23" formatCode="_-* #,##0_-;\-* #,##0_-;_-* &quot;-&quot;??_-;_-@_-">
                  <c:v>8831864.4959999993</c:v>
                </c:pt>
                <c:pt idx="24" formatCode="_-* #,##0_-;\-* #,##0_-;_-* &quot;-&quot;??_-;_-@_-">
                  <c:v>13565842.723999999</c:v>
                </c:pt>
                <c:pt idx="25" formatCode="_-* #,##0_-;\-* #,##0_-;_-* &quot;-&quot;??_-;_-@_-">
                  <c:v>17091097.855999999</c:v>
                </c:pt>
                <c:pt idx="26" formatCode="_-* #,##0_-;\-* #,##0_-;_-* &quot;-&quot;??_-;_-@_-">
                  <c:v>18175792.557999998</c:v>
                </c:pt>
                <c:pt idx="27" formatCode="_-* #,##0_-;\-* #,##0_-;_-* &quot;-&quot;??_-;_-@_-">
                  <c:v>13664096.782</c:v>
                </c:pt>
                <c:pt idx="28" formatCode="_-* #,##0_-;\-* #,##0_-;_-* &quot;-&quot;??_-;_-@_-">
                  <c:v>34938029.174999997</c:v>
                </c:pt>
                <c:pt idx="29" formatCode="_-* #,##0_-;\-* #,##0_-;_-* &quot;-&quot;??_-;_-@_-">
                  <c:v>14504761.936000001</c:v>
                </c:pt>
                <c:pt idx="30" formatCode="_-* #,##0_-;\-* #,##0_-;_-* &quot;-&quot;??_-;_-@_-">
                  <c:v>13329263.569999998</c:v>
                </c:pt>
                <c:pt idx="31" formatCode="_-* #,##0_-;\-* #,##0_-;_-* &quot;-&quot;??_-;_-@_-">
                  <c:v>41610366</c:v>
                </c:pt>
                <c:pt idx="32" formatCode="_-* #,##0_-;\-* #,##0_-;_-* &quot;-&quot;??_-;_-@_-">
                  <c:v>25775888.25</c:v>
                </c:pt>
                <c:pt idx="33" formatCode="_-* #,##0_-;\-* #,##0_-;_-* &quot;-&quot;??_-;_-@_-">
                  <c:v>19800459</c:v>
                </c:pt>
                <c:pt idx="34" formatCode="_-* #,##0_-;\-* #,##0_-;_-* &quot;-&quot;??_-;_-@_-">
                  <c:v>24759913.5</c:v>
                </c:pt>
                <c:pt idx="35" formatCode="_-* #,##0_-;\-* #,##0_-;_-* &quot;-&quot;??_-;_-@_-">
                  <c:v>12355927.500000002</c:v>
                </c:pt>
                <c:pt idx="36" formatCode="_-* #,##0_-;\-* #,##0_-;_-* &quot;-&quot;??_-;_-@_-">
                  <c:v>14407454.25</c:v>
                </c:pt>
                <c:pt idx="37" formatCode="_-* #,##0_-;\-* #,##0_-;_-* &quot;-&quot;??_-;_-@_-">
                  <c:v>9270030</c:v>
                </c:pt>
                <c:pt idx="38" formatCode="_-* #,##0_-;\-* #,##0_-;_-* &quot;-&quot;??_-;_-@_-">
                  <c:v>50374978.5</c:v>
                </c:pt>
                <c:pt idx="39" formatCode="_-* #,##0_-;\-* #,##0_-;_-* &quot;-&quot;??_-;_-@_-">
                  <c:v>16514484</c:v>
                </c:pt>
                <c:pt idx="40" formatCode="_-* #,##0_-;\-* #,##0_-;_-* &quot;-&quot;??_-;_-@_-">
                  <c:v>10018281</c:v>
                </c:pt>
                <c:pt idx="41" formatCode="_-* #,##0_-;\-* #,##0_-;_-* &quot;-&quot;??_-;_-@_-">
                  <c:v>20042946</c:v>
                </c:pt>
                <c:pt idx="42" formatCode="_-* #,##0_-;\-* #,##0_-;_-* &quot;-&quot;??_-;_-@_-">
                  <c:v>6688437</c:v>
                </c:pt>
                <c:pt idx="43" formatCode="_-* #,##0_-;\-* #,##0_-;_-* &quot;-&quot;??_-;_-@_-">
                  <c:v>10669958.25</c:v>
                </c:pt>
                <c:pt idx="44" formatCode="_-* #,##0_-;\-* #,##0_-;_-* &quot;-&quot;??_-;_-@_-">
                  <c:v>24867748.5</c:v>
                </c:pt>
                <c:pt idx="45" formatCode="_-* #,##0_-;\-* #,##0_-;_-* &quot;-&quot;??_-;_-@_-">
                  <c:v>31132830.75</c:v>
                </c:pt>
                <c:pt idx="46" formatCode="_-* #,##0_-;\-* #,##0_-;_-* &quot;-&quot;??_-;_-@_-">
                  <c:v>12245394</c:v>
                </c:pt>
                <c:pt idx="47" formatCode="_-* #,##0_-;\-* #,##0_-;_-* &quot;-&quot;??_-;_-@_-">
                  <c:v>24115203</c:v>
                </c:pt>
                <c:pt idx="48" formatCode="_-* #,##0_-;\-* #,##0_-;_-* &quot;-&quot;??_-;_-@_-">
                  <c:v>18670018.5</c:v>
                </c:pt>
                <c:pt idx="49" formatCode="_-* #,##0_-;\-* #,##0_-;_-* &quot;-&quot;??_-;_-@_-">
                  <c:v>23796543.75</c:v>
                </c:pt>
                <c:pt idx="50" formatCode="_-* #,##0_-;\-* #,##0_-;_-* &quot;-&quot;??_-;_-@_-">
                  <c:v>9601315.5</c:v>
                </c:pt>
                <c:pt idx="51" formatCode="_-* #,##0_-;\-* #,##0_-;_-* &quot;-&quot;??_-;_-@_-">
                  <c:v>9229867.5</c:v>
                </c:pt>
                <c:pt idx="52" formatCode="_-* #,##0_-;\-* #,##0_-;_-* &quot;-&quot;??_-;_-@_-">
                  <c:v>20501684.609999999</c:v>
                </c:pt>
                <c:pt idx="53" formatCode="_-* #,##0_-;\-* #,##0_-;_-* &quot;-&quot;??_-;_-@_-">
                  <c:v>18740055.449999999</c:v>
                </c:pt>
                <c:pt idx="54" formatCode="_-* #,##0_-;\-* #,##0_-;_-* &quot;-&quot;??_-;_-@_-">
                  <c:v>11188268.796</c:v>
                </c:pt>
                <c:pt idx="55" formatCode="_-* #,##0_-;\-* #,##0_-;_-* &quot;-&quot;??_-;_-@_-">
                  <c:v>18049170.737999998</c:v>
                </c:pt>
                <c:pt idx="56" formatCode="_-* #,##0_-;\-* #,##0_-;_-* &quot;-&quot;??_-;_-@_-">
                  <c:v>10184851.398</c:v>
                </c:pt>
                <c:pt idx="57" formatCode="_-* #,##0_-;\-* #,##0_-;_-* &quot;-&quot;??_-;_-@_-">
                  <c:v>13151302.017000001</c:v>
                </c:pt>
                <c:pt idx="58" formatCode="_-* #,##0_-;\-* #,##0_-;_-* &quot;-&quot;??_-;_-@_-">
                  <c:v>10817673.678000001</c:v>
                </c:pt>
                <c:pt idx="59" formatCode="_-* #,##0_-;\-* #,##0_-;_-* &quot;-&quot;??_-;_-@_-">
                  <c:v>28855089.476999998</c:v>
                </c:pt>
                <c:pt idx="60" formatCode="_-* #,##0_-;\-* #,##0_-;_-* &quot;-&quot;??_-;_-@_-">
                  <c:v>13712362.5</c:v>
                </c:pt>
                <c:pt idx="61" formatCode="_-* #,##0_-;\-* #,##0_-;_-* &quot;-&quot;??_-;_-@_-">
                  <c:v>15719436.450000001</c:v>
                </c:pt>
                <c:pt idx="62" formatCode="_-* #,##0_-;\-* #,##0_-;_-* &quot;-&quot;??_-;_-@_-">
                  <c:v>14718462.582</c:v>
                </c:pt>
                <c:pt idx="63" formatCode="_-* #,##0_-;\-* #,##0_-;_-* &quot;-&quot;??_-;_-@_-">
                  <c:v>11111287.203</c:v>
                </c:pt>
                <c:pt idx="64" formatCode="_-* #,##0_-;\-* #,##0_-;_-* &quot;-&quot;??_-;_-@_-">
                  <c:v>22056736.704</c:v>
                </c:pt>
                <c:pt idx="65" formatCode="_-* #,##0_-;\-* #,##0_-;_-* &quot;-&quot;??_-;_-@_-">
                  <c:v>15596948.01</c:v>
                </c:pt>
                <c:pt idx="66" formatCode="_-* #,##0_-;\-* #,##0_-;_-* &quot;-&quot;??_-;_-@_-">
                  <c:v>14399805.474000001</c:v>
                </c:pt>
                <c:pt idx="67" formatCode="_-* #,##0_-;\-* #,##0_-;_-* &quot;-&quot;??_-;_-@_-">
                  <c:v>33812580.329999998</c:v>
                </c:pt>
                <c:pt idx="68" formatCode="_-* #,##0_-;\-* #,##0_-;_-* &quot;-&quot;??_-;_-@_-">
                  <c:v>7746510</c:v>
                </c:pt>
                <c:pt idx="69" formatCode="_-* #,##0_-;\-* #,##0_-;_-* &quot;-&quot;??_-;_-@_-">
                  <c:v>7066340.4270000001</c:v>
                </c:pt>
                <c:pt idx="70" formatCode="_-* #,##0_-;\-* #,##0_-;_-* &quot;-&quot;??_-;_-@_-">
                  <c:v>10119084.048</c:v>
                </c:pt>
                <c:pt idx="71" formatCode="_-* #,##0_-;\-* #,##0_-;_-* &quot;-&quot;??_-;_-@_-">
                  <c:v>3797765.52</c:v>
                </c:pt>
                <c:pt idx="72" formatCode="_-* #,##0_-;\-* #,##0_-;_-* &quot;-&quot;??_-;_-@_-">
                  <c:v>17228446.199999999</c:v>
                </c:pt>
                <c:pt idx="73" formatCode="_-* #,##0_-;\-* #,##0_-;_-* &quot;-&quot;??_-;_-@_-">
                  <c:v>16255037.430000002</c:v>
                </c:pt>
                <c:pt idx="74" formatCode="_-* #,##0_-;\-* #,##0_-;_-* &quot;-&quot;??_-;_-@_-">
                  <c:v>13409406.372</c:v>
                </c:pt>
                <c:pt idx="75" formatCode="_-* #,##0_-;\-* #,##0_-;_-* &quot;-&quot;??_-;_-@_-">
                  <c:v>18269166.423</c:v>
                </c:pt>
                <c:pt idx="76" formatCode="_-* #,##0_-;\-* #,##0_-;_-* &quot;-&quot;??_-;_-@_-">
                  <c:v>16303388.129999999</c:v>
                </c:pt>
                <c:pt idx="77" formatCode="_-* #,##0_-;\-* #,##0_-;_-* &quot;-&quot;??_-;_-@_-">
                  <c:v>14777232.078</c:v>
                </c:pt>
                <c:pt idx="78" formatCode="_-* #,##0_-;\-* #,##0_-;_-* &quot;-&quot;??_-;_-@_-">
                  <c:v>10244213.58</c:v>
                </c:pt>
                <c:pt idx="79" formatCode="_-* #,##0_-;\-* #,##0_-;_-* &quot;-&quot;??_-;_-@_-">
                  <c:v>6659835.8159999996</c:v>
                </c:pt>
                <c:pt idx="80" formatCode="_-* #,##0_-;\-* #,##0_-;_-* &quot;-&quot;??_-;_-@_-">
                  <c:v>19668711.228</c:v>
                </c:pt>
                <c:pt idx="81" formatCode="_-* #,##0_-;\-* #,##0_-;_-* &quot;-&quot;??_-;_-@_-">
                  <c:v>13494498.404999999</c:v>
                </c:pt>
                <c:pt idx="82" formatCode="_-* #,##0_-;\-* #,##0_-;_-* &quot;-&quot;??_-;_-@_-">
                  <c:v>27184104.881999999</c:v>
                </c:pt>
                <c:pt idx="83" formatCode="_-* #,##0_-;\-* #,##0_-;_-* &quot;-&quot;??_-;_-@_-">
                  <c:v>12782141.823000001</c:v>
                </c:pt>
                <c:pt idx="84" formatCode="_-* #,##0_-;\-* #,##0_-;_-* &quot;-&quot;??_-;_-@_-">
                  <c:v>17095570.158</c:v>
                </c:pt>
                <c:pt idx="85" formatCode="_-* #,##0_-;\-* #,##0_-;_-* &quot;-&quot;??_-;_-@_-">
                  <c:v>6248116.608</c:v>
                </c:pt>
                <c:pt idx="86" formatCode="_-* #,##0_-;\-* #,##0_-;_-* &quot;-&quot;??_-;_-@_-">
                  <c:v>7569536.04</c:v>
                </c:pt>
                <c:pt idx="87" formatCode="_-* #,##0_-;\-* #,##0_-;_-* &quot;-&quot;??_-;_-@_-">
                  <c:v>13997480.858999999</c:v>
                </c:pt>
                <c:pt idx="88" formatCode="_-* #,##0_-;\-* #,##0_-;_-* &quot;-&quot;??_-;_-@_-">
                  <c:v>19190657.978999998</c:v>
                </c:pt>
                <c:pt idx="89" formatCode="_-* #,##0_-;\-* #,##0_-;_-* &quot;-&quot;??_-;_-@_-">
                  <c:v>16924751.813999999</c:v>
                </c:pt>
                <c:pt idx="90" formatCode="_-* #,##0_-;\-* #,##0_-;_-* &quot;-&quot;??_-;_-@_-">
                  <c:v>10648383.84</c:v>
                </c:pt>
                <c:pt idx="91" formatCode="_-* #,##0_-;\-* #,##0_-;_-* &quot;-&quot;??_-;_-@_-">
                  <c:v>21051847.989</c:v>
                </c:pt>
                <c:pt idx="92" formatCode="_-* #,##0_-;\-* #,##0_-;_-* &quot;-&quot;??_-;_-@_-">
                  <c:v>7044645</c:v>
                </c:pt>
                <c:pt idx="93" formatCode="_-* #,##0_-;\-* #,##0_-;_-* &quot;-&quot;??_-;_-@_-">
                  <c:v>5089821</c:v>
                </c:pt>
                <c:pt idx="94" formatCode="_-* #,##0_-;\-* #,##0_-;_-* &quot;-&quot;??_-;_-@_-">
                  <c:v>20729873.919</c:v>
                </c:pt>
                <c:pt idx="95" formatCode="_-* #,##0_-;\-* #,##0_-;_-* &quot;-&quot;??_-;_-@_-">
                  <c:v>14393998.191</c:v>
                </c:pt>
                <c:pt idx="96" formatCode="_-* #,##0_-;\-* #,##0_-;_-* &quot;-&quot;??_-;_-@_-">
                  <c:v>10423183.956</c:v>
                </c:pt>
                <c:pt idx="97" formatCode="_-* #,##0_-;\-* #,##0_-;_-* &quot;-&quot;??_-;_-@_-">
                  <c:v>36992210.744999997</c:v>
                </c:pt>
                <c:pt idx="98" formatCode="_-* #,##0_-;\-* #,##0_-;_-* &quot;-&quot;??_-;_-@_-">
                  <c:v>15483479.834999999</c:v>
                </c:pt>
                <c:pt idx="99" formatCode="_-* #,##0_-;\-* #,##0_-;_-* &quot;-&quot;??_-;_-@_-">
                  <c:v>7918940.034</c:v>
                </c:pt>
                <c:pt idx="100" formatCode="_-* #,##0_-;\-* #,##0_-;_-* &quot;-&quot;??_-;_-@_-">
                  <c:v>7710855.2580000004</c:v>
                </c:pt>
                <c:pt idx="101" formatCode="_-* #,##0_-;\-* #,##0_-;_-* &quot;-&quot;??_-;_-@_-">
                  <c:v>23224723.248</c:v>
                </c:pt>
                <c:pt idx="102" formatCode="_-* #,##0_-;\-* #,##0_-;_-* &quot;-&quot;??_-;_-@_-">
                  <c:v>13397823</c:v>
                </c:pt>
                <c:pt idx="103" formatCode="_-* #,##0_-;\-* #,##0_-;_-* &quot;-&quot;??_-;_-@_-">
                  <c:v>10638963.252</c:v>
                </c:pt>
                <c:pt idx="104" formatCode="_-* #,##0_-;\-* #,##0_-;_-* &quot;-&quot;??_-;_-@_-">
                  <c:v>13213331.286</c:v>
                </c:pt>
                <c:pt idx="105" formatCode="_-* #,##0_-;\-* #,##0_-;_-* &quot;-&quot;??_-;_-@_-">
                  <c:v>10524678.834000001</c:v>
                </c:pt>
                <c:pt idx="106" formatCode="_-* #,##0_-;\-* #,##0_-;_-* &quot;-&quot;??_-;_-@_-">
                  <c:v>26018151.147000004</c:v>
                </c:pt>
                <c:pt idx="107" formatCode="_-* #,##0_-;\-* #,##0_-;_-* &quot;-&quot;??_-;_-@_-">
                  <c:v>11873486.598000001</c:v>
                </c:pt>
                <c:pt idx="108" formatCode="_-* #,##0_-;\-* #,##0_-;_-* &quot;-&quot;??_-;_-@_-">
                  <c:v>17234227.487999998</c:v>
                </c:pt>
                <c:pt idx="109" formatCode="_-* #,##0_-;\-* #,##0_-;_-* &quot;-&quot;??_-;_-@_-">
                  <c:v>15600124.599000001</c:v>
                </c:pt>
                <c:pt idx="110" formatCode="_-* #,##0_-;\-* #,##0_-;_-* &quot;-&quot;??_-;_-@_-">
                  <c:v>11520438.105</c:v>
                </c:pt>
                <c:pt idx="111" formatCode="_-* #,##0_-;\-* #,##0_-;_-* &quot;-&quot;??_-;_-@_-">
                  <c:v>15392398.554000001</c:v>
                </c:pt>
                <c:pt idx="112" formatCode="_-* #,##0_-;\-* #,##0_-;_-* &quot;-&quot;??_-;_-@_-">
                  <c:v>15304301.499</c:v>
                </c:pt>
                <c:pt idx="113" formatCode="_-* #,##0_-;\-* #,##0_-;_-* &quot;-&quot;??_-;_-@_-">
                  <c:v>7387347.483</c:v>
                </c:pt>
                <c:pt idx="114" formatCode="_-* #,##0_-;\-* #,##0_-;_-* &quot;-&quot;??_-;_-@_-">
                  <c:v>7490313.6780000003</c:v>
                </c:pt>
                <c:pt idx="115" formatCode="_-* #,##0_-;\-* #,##0_-;_-* &quot;-&quot;??_-;_-@_-">
                  <c:v>13895871.603</c:v>
                </c:pt>
                <c:pt idx="116" formatCode="_-* #,##0_-;\-* #,##0_-;_-* &quot;-&quot;??_-;_-@_-">
                  <c:v>11548453.762</c:v>
                </c:pt>
                <c:pt idx="117" formatCode="_-* #,##0_-;\-* #,##0_-;_-* &quot;-&quot;??_-;_-@_-">
                  <c:v>16807391.864999998</c:v>
                </c:pt>
                <c:pt idx="118" formatCode="_-* #,##0_-;\-* #,##0_-;_-* &quot;-&quot;??_-;_-@_-">
                  <c:v>20240526</c:v>
                </c:pt>
                <c:pt idx="119" formatCode="_-* #,##0_-;\-* #,##0_-;_-* &quot;-&quot;??_-;_-@_-">
                  <c:v>16511595.569</c:v>
                </c:pt>
                <c:pt idx="120" formatCode="_-* #,##0_-;\-* #,##0_-;_-* &quot;-&quot;??_-;_-@_-">
                  <c:v>0</c:v>
                </c:pt>
                <c:pt idx="121" formatCode="_-* #,##0_-;\-* #,##0_-;_-* &quot;-&quot;??_-;_-@_-">
                  <c:v>24021675.349999998</c:v>
                </c:pt>
                <c:pt idx="122" formatCode="_-* #,##0_-;\-* #,##0_-;_-* &quot;-&quot;??_-;_-@_-">
                  <c:v>33591645.850000001</c:v>
                </c:pt>
                <c:pt idx="123" formatCode="_-* #,##0_-;\-* #,##0_-;_-* &quot;-&quot;??_-;_-@_-">
                  <c:v>17959960.309999999</c:v>
                </c:pt>
                <c:pt idx="124" formatCode="_-* #,##0_-;\-* #,##0_-;_-* &quot;-&quot;??_-;_-@_-">
                  <c:v>28346242.383000001</c:v>
                </c:pt>
                <c:pt idx="125" formatCode="_-* #,##0_-;\-* #,##0_-;_-* &quot;-&quot;??_-;_-@_-">
                  <c:v>13895607.404000001</c:v>
                </c:pt>
                <c:pt idx="126" formatCode="_-* #,##0_-;\-* #,##0_-;_-* &quot;-&quot;??_-;_-@_-">
                  <c:v>16852700.134</c:v>
                </c:pt>
                <c:pt idx="127" formatCode="_-* #,##0_-;\-* #,##0_-;_-* &quot;-&quot;??_-;_-@_-">
                  <c:v>6859562.3799999999</c:v>
                </c:pt>
                <c:pt idx="128" formatCode="_-* #,##0_-;\-* #,##0_-;_-* &quot;-&quot;??_-;_-@_-">
                  <c:v>9588040.5700000003</c:v>
                </c:pt>
                <c:pt idx="129" formatCode="_-* #,##0_-;\-* #,##0_-;_-* &quot;-&quot;??_-;_-@_-">
                  <c:v>20293661.219999999</c:v>
                </c:pt>
                <c:pt idx="130" formatCode="_-* #,##0_-;\-* #,##0_-;_-* &quot;-&quot;??_-;_-@_-">
                  <c:v>14833454.275</c:v>
                </c:pt>
                <c:pt idx="131" formatCode="_-* #,##0_-;\-* #,##0_-;_-* &quot;-&quot;??_-;_-@_-">
                  <c:v>25496940.436000001</c:v>
                </c:pt>
                <c:pt idx="132" formatCode="_-* #,##0_-;\-* #,##0_-;_-* &quot;-&quot;??_-;_-@_-">
                  <c:v>19798577.135000002</c:v>
                </c:pt>
                <c:pt idx="133" formatCode="_-* #,##0_-;\-* #,##0_-;_-* &quot;-&quot;??_-;_-@_-">
                  <c:v>24975252.908</c:v>
                </c:pt>
                <c:pt idx="134" formatCode="_-* #,##0_-;\-* #,##0_-;_-* &quot;-&quot;??_-;_-@_-">
                  <c:v>13624899.327</c:v>
                </c:pt>
                <c:pt idx="135" formatCode="_-* #,##0_-;\-* #,##0_-;_-* &quot;-&quot;??_-;_-@_-">
                  <c:v>16234575.765000001</c:v>
                </c:pt>
                <c:pt idx="136" formatCode="_-* #,##0_-;\-* #,##0_-;_-* &quot;-&quot;??_-;_-@_-">
                  <c:v>19081318.211999997</c:v>
                </c:pt>
                <c:pt idx="137" formatCode="_-* #,##0_-;\-* #,##0_-;_-* &quot;-&quot;??_-;_-@_-">
                  <c:v>13580707</c:v>
                </c:pt>
                <c:pt idx="138" formatCode="_-* #,##0_-;\-* #,##0_-;_-* &quot;-&quot;??_-;_-@_-">
                  <c:v>13047911.242000001</c:v>
                </c:pt>
                <c:pt idx="139" formatCode="_-* #,##0_-;\-* #,##0_-;_-* &quot;-&quot;??_-;_-@_-">
                  <c:v>15222820.772</c:v>
                </c:pt>
                <c:pt idx="140" formatCode="_-* #,##0_-;\-* #,##0_-;_-* &quot;-&quot;??_-;_-@_-">
                  <c:v>28891779.332000002</c:v>
                </c:pt>
                <c:pt idx="141" formatCode="_-* #,##0_-;\-* #,##0_-;_-* &quot;-&quot;??_-;_-@_-">
                  <c:v>9560699.9910000004</c:v>
                </c:pt>
                <c:pt idx="142" formatCode="_-* #,##0_-;\-* #,##0_-;_-* &quot;-&quot;??_-;_-@_-">
                  <c:v>7276888.8550000004</c:v>
                </c:pt>
                <c:pt idx="143" formatCode="_-* #,##0_-;\-* #,##0_-;_-* &quot;-&quot;??_-;_-@_-">
                  <c:v>14425157.716</c:v>
                </c:pt>
                <c:pt idx="144" formatCode="_-* #,##0_-;\-* #,##0_-;_-* &quot;-&quot;??_-;_-@_-">
                  <c:v>13633673.293000001</c:v>
                </c:pt>
                <c:pt idx="145" formatCode="_-* #,##0_-;\-* #,##0_-;_-* &quot;-&quot;??_-;_-@_-">
                  <c:v>14266320.265000001</c:v>
                </c:pt>
                <c:pt idx="146" formatCode="_-* #,##0_-;\-* #,##0_-;_-* &quot;-&quot;??_-;_-@_-">
                  <c:v>13035632.882999999</c:v>
                </c:pt>
                <c:pt idx="147" formatCode="_-* #,##0_-;\-* #,##0_-;_-* &quot;-&quot;??_-;_-@_-">
                  <c:v>16578324.147</c:v>
                </c:pt>
                <c:pt idx="148" formatCode="_-* #,##0_-;\-* #,##0_-;_-* &quot;-&quot;??_-;_-@_-">
                  <c:v>16688586.558</c:v>
                </c:pt>
                <c:pt idx="149" formatCode="_-* #,##0_-;\-* #,##0_-;_-* &quot;-&quot;??_-;_-@_-">
                  <c:v>19202844.57</c:v>
                </c:pt>
                <c:pt idx="150" formatCode="_-* #,##0_-;\-* #,##0_-;_-* &quot;-&quot;??_-;_-@_-">
                  <c:v>17739811.089000002</c:v>
                </c:pt>
                <c:pt idx="151" formatCode="_-* #,##0_-;\-* #,##0_-;_-* &quot;-&quot;??_-;_-@_-">
                  <c:v>21240347.772</c:v>
                </c:pt>
                <c:pt idx="152" formatCode="_-* #,##0_-;\-* #,##0_-;_-* &quot;-&quot;??_-;_-@_-">
                  <c:v>16048307.709000001</c:v>
                </c:pt>
                <c:pt idx="153" formatCode="_-* #,##0_-;\-* #,##0_-;_-* &quot;-&quot;??_-;_-@_-">
                  <c:v>31238607.329999998</c:v>
                </c:pt>
                <c:pt idx="154" formatCode="_-* #,##0_-;\-* #,##0_-;_-* &quot;-&quot;??_-;_-@_-">
                  <c:v>22099665.818999998</c:v>
                </c:pt>
                <c:pt idx="155" formatCode="_-* #,##0_-;\-* #,##0_-;_-* &quot;-&quot;??_-;_-@_-">
                  <c:v>13442734.011</c:v>
                </c:pt>
                <c:pt idx="156" formatCode="_-* #,##0_-;\-* #,##0_-;_-* &quot;-&quot;??_-;_-@_-">
                  <c:v>12028701.026999999</c:v>
                </c:pt>
                <c:pt idx="157" formatCode="_-* #,##0_-;\-* #,##0_-;_-* &quot;-&quot;??_-;_-@_-">
                  <c:v>24468628.800000001</c:v>
                </c:pt>
                <c:pt idx="158" formatCode="_-* #,##0_-;\-* #,##0_-;_-* &quot;-&quot;??_-;_-@_-">
                  <c:v>24560807.754000001</c:v>
                </c:pt>
                <c:pt idx="159" formatCode="_-* #,##0_-;\-* #,##0_-;_-* &quot;-&quot;??_-;_-@_-">
                  <c:v>18402665.399999999</c:v>
                </c:pt>
                <c:pt idx="160" formatCode="_-* #,##0_-;\-* #,##0_-;_-* &quot;-&quot;??_-;_-@_-">
                  <c:v>27437558.022</c:v>
                </c:pt>
                <c:pt idx="161" formatCode="_-* #,##0_-;\-* #,##0_-;_-* &quot;-&quot;??_-;_-@_-">
                  <c:v>18855113.193</c:v>
                </c:pt>
                <c:pt idx="162" formatCode="_-* #,##0_-;\-* #,##0_-;_-* &quot;-&quot;??_-;_-@_-">
                  <c:v>17739961.659000002</c:v>
                </c:pt>
                <c:pt idx="163" formatCode="_-* #,##0_-;\-* #,##0_-;_-* &quot;-&quot;??_-;_-@_-">
                  <c:v>12894152.292000001</c:v>
                </c:pt>
                <c:pt idx="164" formatCode="_-* #,##0_-;\-* #,##0_-;_-* &quot;-&quot;??_-;_-@_-">
                  <c:v>12482253</c:v>
                </c:pt>
                <c:pt idx="165" formatCode="_-* #,##0_-;\-* #,##0_-;_-* &quot;-&quot;??_-;_-@_-">
                  <c:v>19113335.723999999</c:v>
                </c:pt>
                <c:pt idx="166" formatCode="_-* #,##0_-;\-* #,##0_-;_-* &quot;-&quot;??_-;_-@_-">
                  <c:v>18039405.237</c:v>
                </c:pt>
                <c:pt idx="167" formatCode="_-* #,##0_-;\-* #,##0_-;_-* &quot;-&quot;??_-;_-@_-">
                  <c:v>36618378.068999998</c:v>
                </c:pt>
                <c:pt idx="168" formatCode="_-* #,##0_-;\-* #,##0_-;_-* &quot;-&quot;??_-;_-@_-">
                  <c:v>17243050.544999998</c:v>
                </c:pt>
                <c:pt idx="169" formatCode="_-* #,##0_-;\-* #,##0_-;_-* &quot;-&quot;??_-;_-@_-">
                  <c:v>18671352.546</c:v>
                </c:pt>
                <c:pt idx="170" formatCode="_-* #,##0_-;\-* #,##0_-;_-* &quot;-&quot;??_-;_-@_-">
                  <c:v>8718615.318</c:v>
                </c:pt>
                <c:pt idx="171" formatCode="_-* #,##0_-;\-* #,##0_-;_-* &quot;-&quot;??_-;_-@_-">
                  <c:v>19402118.945999999</c:v>
                </c:pt>
                <c:pt idx="172" formatCode="_-* #,##0_-;\-* #,##0_-;_-* &quot;-&quot;??_-;_-@_-">
                  <c:v>16835643.258000001</c:v>
                </c:pt>
                <c:pt idx="173" formatCode="_-* #,##0_-;\-* #,##0_-;_-* &quot;-&quot;??_-;_-@_-">
                  <c:v>31994343.255000003</c:v>
                </c:pt>
                <c:pt idx="174" formatCode="_-* #,##0_-;\-* #,##0_-;_-* &quot;-&quot;??_-;_-@_-">
                  <c:v>15191037.414000001</c:v>
                </c:pt>
                <c:pt idx="175" formatCode="_-* #,##0_-;\-* #,##0_-;_-* &quot;-&quot;??_-;_-@_-">
                  <c:v>17685515.547000002</c:v>
                </c:pt>
                <c:pt idx="176" formatCode="_-* #,##0_-;\-* #,##0_-;_-* &quot;-&quot;??_-;_-@_-">
                  <c:v>18505554.899999999</c:v>
                </c:pt>
                <c:pt idx="177" formatCode="_-* #,##0_-;\-* #,##0_-;_-* &quot;-&quot;??_-;_-@_-">
                  <c:v>16207937.003999999</c:v>
                </c:pt>
                <c:pt idx="178" formatCode="_-* #,##0_-;\-* #,##0_-;_-* &quot;-&quot;??_-;_-@_-">
                  <c:v>15499575.42</c:v>
                </c:pt>
                <c:pt idx="179" formatCode="_-* #,##0_-;\-* #,##0_-;_-* &quot;-&quot;??_-;_-@_-">
                  <c:v>23354641.673999999</c:v>
                </c:pt>
                <c:pt idx="180" formatCode="_-* #,##0_-;\-* #,##0_-;_-* &quot;-&quot;??_-;_-@_-">
                  <c:v>17581657.379999999</c:v>
                </c:pt>
                <c:pt idx="181" formatCode="_-* #,##0_-;\-* #,##0_-;_-* &quot;-&quot;??_-;_-@_-">
                  <c:v>20550616.715999998</c:v>
                </c:pt>
                <c:pt idx="182" formatCode="_-* #,##0_-;\-* #,##0_-;_-* &quot;-&quot;??_-;_-@_-">
                  <c:v>23395862.721000001</c:v>
                </c:pt>
                <c:pt idx="183" formatCode="_-* #,##0_-;\-* #,##0_-;_-* &quot;-&quot;??_-;_-@_-">
                  <c:v>15604753.584000001</c:v>
                </c:pt>
                <c:pt idx="184" formatCode="_-* #,##0_-;\-* #,##0_-;_-* &quot;-&quot;??_-;_-@_-">
                  <c:v>8526864.4230000004</c:v>
                </c:pt>
                <c:pt idx="185" formatCode="_-* #,##0_-;\-* #,##0_-;_-* &quot;-&quot;??_-;_-@_-">
                  <c:v>29442889.434</c:v>
                </c:pt>
                <c:pt idx="186" formatCode="_-* #,##0_-;\-* #,##0_-;_-* &quot;-&quot;??_-;_-@_-">
                  <c:v>14582794.842</c:v>
                </c:pt>
                <c:pt idx="187" formatCode="_-* #,##0_-;\-* #,##0_-;_-* &quot;-&quot;??_-;_-@_-">
                  <c:v>19770122.063999999</c:v>
                </c:pt>
                <c:pt idx="188" formatCode="_-* #,##0_-;\-* #,##0_-;_-* &quot;-&quot;??_-;_-@_-">
                  <c:v>23680605.647999998</c:v>
                </c:pt>
                <c:pt idx="189" formatCode="_-* #,##0_-;\-* #,##0_-;_-* &quot;-&quot;??_-;_-@_-">
                  <c:v>21575426.25</c:v>
                </c:pt>
                <c:pt idx="190" formatCode="_-* #,##0_-;\-* #,##0_-;_-* &quot;-&quot;??_-;_-@_-">
                  <c:v>11611341.062999999</c:v>
                </c:pt>
                <c:pt idx="191" formatCode="_-* #,##0_-;\-* #,##0_-;_-* &quot;-&quot;??_-;_-@_-">
                  <c:v>15959300.763</c:v>
                </c:pt>
                <c:pt idx="192" formatCode="_-* #,##0_-;\-* #,##0_-;_-* &quot;-&quot;??_-;_-@_-">
                  <c:v>18635025.024</c:v>
                </c:pt>
                <c:pt idx="193" formatCode="_-* #,##0_-;\-* #,##0_-;_-* &quot;-&quot;??_-;_-@_-">
                  <c:v>18860563.827</c:v>
                </c:pt>
                <c:pt idx="194" formatCode="_-* #,##0_-;\-* #,##0_-;_-* &quot;-&quot;??_-;_-@_-">
                  <c:v>16168768.728</c:v>
                </c:pt>
                <c:pt idx="195" formatCode="_-* #,##0_-;\-* #,##0_-;_-* &quot;-&quot;??_-;_-@_-">
                  <c:v>13435110.15</c:v>
                </c:pt>
                <c:pt idx="196" formatCode="_-* #,##0_-;\-* #,##0_-;_-* &quot;-&quot;??_-;_-@_-">
                  <c:v>27179521.193999998</c:v>
                </c:pt>
                <c:pt idx="197" formatCode="_-* #,##0_-;\-* #,##0_-;_-* &quot;-&quot;??_-;_-@_-">
                  <c:v>25248395.697000001</c:v>
                </c:pt>
                <c:pt idx="198" formatCode="_-* #,##0_-;\-* #,##0_-;_-* &quot;-&quot;??_-;_-@_-">
                  <c:v>16524294.612</c:v>
                </c:pt>
                <c:pt idx="199" formatCode="_-* #,##0_-;\-* #,##0_-;_-* &quot;-&quot;??_-;_-@_-">
                  <c:v>22091640.438000001</c:v>
                </c:pt>
                <c:pt idx="200" formatCode="_-* #,##0_-;\-* #,##0_-;_-* &quot;-&quot;??_-;_-@_-">
                  <c:v>10154516.084999999</c:v>
                </c:pt>
                <c:pt idx="201" formatCode="_-* #,##0_-;\-* #,##0_-;_-* &quot;-&quot;??_-;_-@_-">
                  <c:v>16626486.470999999</c:v>
                </c:pt>
                <c:pt idx="202" formatCode="_-* #,##0_-;\-* #,##0_-;_-* &quot;-&quot;??_-;_-@_-">
                  <c:v>17503426.227000002</c:v>
                </c:pt>
                <c:pt idx="203" formatCode="_-* #,##0_-;\-* #,##0_-;_-* &quot;-&quot;??_-;_-@_-">
                  <c:v>6520554.3059999999</c:v>
                </c:pt>
                <c:pt idx="204" formatCode="_-* #,##0_-;\-* #,##0_-;_-* &quot;-&quot;??_-;_-@_-">
                  <c:v>16579799.733000001</c:v>
                </c:pt>
                <c:pt idx="205" formatCode="_-* #,##0_-;\-* #,##0_-;_-* &quot;-&quot;??_-;_-@_-">
                  <c:v>13363659.665999999</c:v>
                </c:pt>
                <c:pt idx="206" formatCode="_-* #,##0_-;\-* #,##0_-;_-* &quot;-&quot;??_-;_-@_-">
                  <c:v>22173701.088</c:v>
                </c:pt>
                <c:pt idx="207" formatCode="_-* #,##0_-;\-* #,##0_-;_-* &quot;-&quot;??_-;_-@_-">
                  <c:v>15288792.477</c:v>
                </c:pt>
                <c:pt idx="208" formatCode="_-* #,##0_-;\-* #,##0_-;_-* &quot;-&quot;??_-;_-@_-">
                  <c:v>16890194.769000001</c:v>
                </c:pt>
                <c:pt idx="209" formatCode="_-* #,##0_-;\-* #,##0_-;_-* &quot;-&quot;??_-;_-@_-">
                  <c:v>17152177.941</c:v>
                </c:pt>
                <c:pt idx="210" formatCode="_-* #,##0_-;\-* #,##0_-;_-* &quot;-&quot;??_-;_-@_-">
                  <c:v>25521413.985000003</c:v>
                </c:pt>
                <c:pt idx="211" formatCode="_-* #,##0_-;\-* #,##0_-;_-* &quot;-&quot;??_-;_-@_-">
                  <c:v>18016288.055999998</c:v>
                </c:pt>
                <c:pt idx="212" formatCode="_-* #,##0_-;\-* #,##0_-;_-* &quot;-&quot;??_-;_-@_-">
                  <c:v>12247789.041000001</c:v>
                </c:pt>
                <c:pt idx="213" formatCode="_-* #,##0_-;\-* #,##0_-;_-* &quot;-&quot;??_-;_-@_-">
                  <c:v>18526117.188000001</c:v>
                </c:pt>
                <c:pt idx="214" formatCode="_-* #,##0_-;\-* #,##0_-;_-* &quot;-&quot;??_-;_-@_-">
                  <c:v>18303702.588</c:v>
                </c:pt>
                <c:pt idx="215" formatCode="_-* #,##0_-;\-* #,##0_-;_-* &quot;-&quot;??_-;_-@_-">
                  <c:v>20444820.335999999</c:v>
                </c:pt>
                <c:pt idx="216" formatCode="_-* #,##0_-;\-* #,##0_-;_-* &quot;-&quot;??_-;_-@_-">
                  <c:v>25643511.762000002</c:v>
                </c:pt>
                <c:pt idx="217" formatCode="_-* #,##0_-;\-* #,##0_-;_-* &quot;-&quot;??_-;_-@_-">
                  <c:v>29636485.803000003</c:v>
                </c:pt>
                <c:pt idx="218" formatCode="_-* #,##0_-;\-* #,##0_-;_-* &quot;-&quot;??_-;_-@_-">
                  <c:v>24984297.423</c:v>
                </c:pt>
                <c:pt idx="219" formatCode="_-* #,##0_-;\-* #,##0_-;_-* &quot;-&quot;??_-;_-@_-">
                  <c:v>9796613.5830000006</c:v>
                </c:pt>
                <c:pt idx="220" formatCode="_-* #,##0_-;\-* #,##0_-;_-* &quot;-&quot;??_-;_-@_-">
                  <c:v>10121529.959999999</c:v>
                </c:pt>
                <c:pt idx="221" formatCode="_-* #,##0_-;\-* #,##0_-;_-* &quot;-&quot;??_-;_-@_-">
                  <c:v>13118463.816</c:v>
                </c:pt>
                <c:pt idx="222" formatCode="_-* #,##0_-;\-* #,##0_-;_-* &quot;-&quot;??_-;_-@_-">
                  <c:v>18048719.436000001</c:v>
                </c:pt>
                <c:pt idx="223" formatCode="_-* #,##0_-;\-* #,##0_-;_-* &quot;-&quot;??_-;_-@_-">
                  <c:v>23014649.574000001</c:v>
                </c:pt>
                <c:pt idx="224" formatCode="_-* #,##0_-;\-* #,##0_-;_-* &quot;-&quot;??_-;_-@_-">
                  <c:v>22387773.533999998</c:v>
                </c:pt>
                <c:pt idx="225" formatCode="_-* #,##0_-;\-* #,##0_-;_-* &quot;-&quot;??_-;_-@_-">
                  <c:v>16460032.524</c:v>
                </c:pt>
                <c:pt idx="226" formatCode="_-* #,##0_-;\-* #,##0_-;_-* &quot;-&quot;??_-;_-@_-">
                  <c:v>15045255.213</c:v>
                </c:pt>
                <c:pt idx="227" formatCode="_-* #,##0_-;\-* #,##0_-;_-* &quot;-&quot;??_-;_-@_-">
                  <c:v>21778636.773000002</c:v>
                </c:pt>
                <c:pt idx="228" formatCode="_-* #,##0_-;\-* #,##0_-;_-* &quot;-&quot;??_-;_-@_-">
                  <c:v>18652462.398000002</c:v>
                </c:pt>
                <c:pt idx="229" formatCode="_-* #,##0_-;\-* #,##0_-;_-* &quot;-&quot;??_-;_-@_-">
                  <c:v>20399078.373</c:v>
                </c:pt>
                <c:pt idx="230" formatCode="_-* #,##0_-;\-* #,##0_-;_-* &quot;-&quot;??_-;_-@_-">
                  <c:v>18485030.34</c:v>
                </c:pt>
                <c:pt idx="231" formatCode="_-* #,##0_-;\-* #,##0_-;_-* &quot;-&quot;??_-;_-@_-">
                  <c:v>17439451.68</c:v>
                </c:pt>
                <c:pt idx="232" formatCode="_-* #,##0_-;\-* #,##0_-;_-* &quot;-&quot;??_-;_-@_-">
                  <c:v>11658362.59</c:v>
                </c:pt>
                <c:pt idx="233" formatCode="_-* #,##0_-;\-* #,##0_-;_-* &quot;-&quot;??_-;_-@_-">
                  <c:v>9528240.4700000007</c:v>
                </c:pt>
                <c:pt idx="234" formatCode="_-* #,##0_-;\-* #,##0_-;_-* &quot;-&quot;??_-;_-@_-">
                  <c:v>16217845.560000001</c:v>
                </c:pt>
                <c:pt idx="235" formatCode="_-* #,##0_-;\-* #,##0_-;_-* &quot;-&quot;??_-;_-@_-">
                  <c:v>13820625.699999999</c:v>
                </c:pt>
                <c:pt idx="236" formatCode="_-* #,##0_-;\-* #,##0_-;_-* &quot;-&quot;??_-;_-@_-">
                  <c:v>19104103.48</c:v>
                </c:pt>
                <c:pt idx="237" formatCode="_-* #,##0_-;\-* #,##0_-;_-* &quot;-&quot;??_-;_-@_-">
                  <c:v>23877738.779999997</c:v>
                </c:pt>
                <c:pt idx="238" formatCode="_-* #,##0_-;\-* #,##0_-;_-* &quot;-&quot;??_-;_-@_-">
                  <c:v>20924241.73</c:v>
                </c:pt>
                <c:pt idx="239" formatCode="_-* #,##0_-;\-* #,##0_-;_-* &quot;-&quot;??_-;_-@_-">
                  <c:v>14920978.729999999</c:v>
                </c:pt>
                <c:pt idx="240" formatCode="_-* #,##0_-;\-* #,##0_-;_-* &quot;-&quot;??_-;_-@_-">
                  <c:v>13187895</c:v>
                </c:pt>
                <c:pt idx="241" formatCode="_-* #,##0_-;\-* #,##0_-;_-* &quot;-&quot;??_-;_-@_-">
                  <c:v>23203985.700000003</c:v>
                </c:pt>
                <c:pt idx="242" formatCode="_-* #,##0_-;\-* #,##0_-;_-* &quot;-&quot;??_-;_-@_-">
                  <c:v>29282708.210000001</c:v>
                </c:pt>
                <c:pt idx="243" formatCode="_-* #,##0_-;\-* #,##0_-;_-* &quot;-&quot;??_-;_-@_-">
                  <c:v>13002588.550000001</c:v>
                </c:pt>
                <c:pt idx="244" formatCode="_-* #,##0_-;\-* #,##0_-;_-* &quot;-&quot;??_-;_-@_-">
                  <c:v>23372851.390000001</c:v>
                </c:pt>
                <c:pt idx="245" formatCode="_-* #,##0_-;\-* #,##0_-;_-* &quot;-&quot;??_-;_-@_-">
                  <c:v>20375921.510000002</c:v>
                </c:pt>
                <c:pt idx="246" formatCode="_-* #,##0_-;\-* #,##0_-;_-* &quot;-&quot;??_-;_-@_-">
                  <c:v>16485316.050000001</c:v>
                </c:pt>
                <c:pt idx="247" formatCode="_-* #,##0_-;\-* #,##0_-;_-* &quot;-&quot;??_-;_-@_-">
                  <c:v>12446768.6</c:v>
                </c:pt>
                <c:pt idx="248" formatCode="_-* #,##0_-;\-* #,##0_-;_-* &quot;-&quot;??_-;_-@_-">
                  <c:v>17517952.830000002</c:v>
                </c:pt>
                <c:pt idx="249" formatCode="_-* #,##0_-;\-* #,##0_-;_-* &quot;-&quot;??_-;_-@_-">
                  <c:v>23361678.829999998</c:v>
                </c:pt>
                <c:pt idx="250" formatCode="_-* #,##0_-;\-* #,##0_-;_-* &quot;-&quot;??_-;_-@_-">
                  <c:v>17281629.329999998</c:v>
                </c:pt>
                <c:pt idx="251" formatCode="_-* #,##0_-;\-* #,##0_-;_-* &quot;-&quot;??_-;_-@_-">
                  <c:v>19235415.849999998</c:v>
                </c:pt>
                <c:pt idx="252" formatCode="_-* #,##0_-;\-* #,##0_-;_-* &quot;-&quot;??_-;_-@_-">
                  <c:v>17020639.719999999</c:v>
                </c:pt>
                <c:pt idx="253" formatCode="_-* #,##0_-;\-* #,##0_-;_-* &quot;-&quot;??_-;_-@_-">
                  <c:v>8659126.6300000008</c:v>
                </c:pt>
                <c:pt idx="254" formatCode="_-* #,##0_-;\-* #,##0_-;_-* &quot;-&quot;??_-;_-@_-">
                  <c:v>13544586.93</c:v>
                </c:pt>
                <c:pt idx="255" formatCode="_-* #,##0_-;\-* #,##0_-;_-* &quot;-&quot;??_-;_-@_-">
                  <c:v>16746494.52</c:v>
                </c:pt>
                <c:pt idx="256" formatCode="_-* #,##0_-;\-* #,##0_-;_-* &quot;-&quot;??_-;_-@_-">
                  <c:v>14212221.939999999</c:v>
                </c:pt>
                <c:pt idx="257" formatCode="_-* #,##0_-;\-* #,##0_-;_-* &quot;-&quot;??_-;_-@_-">
                  <c:v>18271504.23</c:v>
                </c:pt>
                <c:pt idx="258" formatCode="_-* #,##0_-;\-* #,##0_-;_-* &quot;-&quot;??_-;_-@_-">
                  <c:v>17579083.830000002</c:v>
                </c:pt>
                <c:pt idx="259" formatCode="_-* #,##0_-;\-* #,##0_-;_-* &quot;-&quot;??_-;_-@_-">
                  <c:v>15548361.710000001</c:v>
                </c:pt>
                <c:pt idx="260" formatCode="_-* #,##0_-;\-* #,##0_-;_-* &quot;-&quot;??_-;_-@_-">
                  <c:v>10817786.49</c:v>
                </c:pt>
                <c:pt idx="261" formatCode="_-* #,##0_-;\-* #,##0_-;_-* &quot;-&quot;??_-;_-@_-">
                  <c:v>10848893.720000001</c:v>
                </c:pt>
                <c:pt idx="262" formatCode="_-* #,##0_-;\-* #,##0_-;_-* &quot;-&quot;??_-;_-@_-">
                  <c:v>13357893.85</c:v>
                </c:pt>
                <c:pt idx="263" formatCode="_-* #,##0_-;\-* #,##0_-;_-* &quot;-&quot;??_-;_-@_-">
                  <c:v>12587096.549999999</c:v>
                </c:pt>
                <c:pt idx="264" formatCode="_-* #,##0_-;\-* #,##0_-;_-* &quot;-&quot;??_-;_-@_-">
                  <c:v>17666690.02</c:v>
                </c:pt>
                <c:pt idx="265" formatCode="_-* #,##0_-;\-* #,##0_-;_-* &quot;-&quot;??_-;_-@_-">
                  <c:v>12037638.199999999</c:v>
                </c:pt>
                <c:pt idx="266" formatCode="_-* #,##0_-;\-* #,##0_-;_-* &quot;-&quot;??_-;_-@_-">
                  <c:v>10201422</c:v>
                </c:pt>
                <c:pt idx="267" formatCode="_-* #,##0_-;\-* #,##0_-;_-* &quot;-&quot;??_-;_-@_-">
                  <c:v>12347199.619999999</c:v>
                </c:pt>
                <c:pt idx="268" formatCode="_-* #,##0_-;\-* #,##0_-;_-* &quot;-&quot;??_-;_-@_-">
                  <c:v>6352037.7199999997</c:v>
                </c:pt>
                <c:pt idx="269" formatCode="_-* #,##0_-;\-* #,##0_-;_-* &quot;-&quot;??_-;_-@_-">
                  <c:v>10574723.669999998</c:v>
                </c:pt>
                <c:pt idx="270" formatCode="_-* #,##0_-;\-* #,##0_-;_-* &quot;-&quot;??_-;_-@_-">
                  <c:v>10184310.290000001</c:v>
                </c:pt>
                <c:pt idx="271" formatCode="_-* #,##0_-;\-* #,##0_-;_-* &quot;-&quot;??_-;_-@_-">
                  <c:v>12210400.369999999</c:v>
                </c:pt>
                <c:pt idx="272" formatCode="_-* #,##0_-;\-* #,##0_-;_-* &quot;-&quot;??_-;_-@_-">
                  <c:v>32779893.439999998</c:v>
                </c:pt>
                <c:pt idx="273" formatCode="_-* #,##0_-;\-* #,##0_-;_-* &quot;-&quot;??_-;_-@_-">
                  <c:v>15251682.529999999</c:v>
                </c:pt>
                <c:pt idx="274" formatCode="_-* #,##0_-;\-* #,##0_-;_-* &quot;-&quot;??_-;_-@_-">
                  <c:v>12578064</c:v>
                </c:pt>
                <c:pt idx="275" formatCode="_-* #,##0_-;\-* #,##0_-;_-* &quot;-&quot;??_-;_-@_-">
                  <c:v>13093986.85</c:v>
                </c:pt>
                <c:pt idx="276" formatCode="_-* #,##0_-;\-* #,##0_-;_-* &quot;-&quot;??_-;_-@_-">
                  <c:v>15589612.709999999</c:v>
                </c:pt>
                <c:pt idx="277" formatCode="_-* #,##0_-;\-* #,##0_-;_-* &quot;-&quot;??_-;_-@_-">
                  <c:v>19005120.960000001</c:v>
                </c:pt>
                <c:pt idx="278" formatCode="_-* #,##0_-;\-* #,##0_-;_-* &quot;-&quot;??_-;_-@_-">
                  <c:v>28005254.199999999</c:v>
                </c:pt>
                <c:pt idx="279" formatCode="_-* #,##0_-;\-* #,##0_-;_-* &quot;-&quot;??_-;_-@_-">
                  <c:v>18879673.189999998</c:v>
                </c:pt>
                <c:pt idx="280" formatCode="_-* #,##0_-;\-* #,##0_-;_-* &quot;-&quot;??_-;_-@_-">
                  <c:v>20999636.630000003</c:v>
                </c:pt>
                <c:pt idx="281" formatCode="_-* #,##0_-;\-* #,##0_-;_-* &quot;-&quot;??_-;_-@_-">
                  <c:v>8921855.7400000002</c:v>
                </c:pt>
                <c:pt idx="282" formatCode="_-* #,##0_-;\-* #,##0_-;_-* &quot;-&quot;??_-;_-@_-">
                  <c:v>11778204.200000001</c:v>
                </c:pt>
                <c:pt idx="283" formatCode="_-* #,##0_-;\-* #,##0_-;_-* &quot;-&quot;??_-;_-@_-">
                  <c:v>8139518.0999999996</c:v>
                </c:pt>
                <c:pt idx="284" formatCode="_-* #,##0_-;\-* #,##0_-;_-* &quot;-&quot;??_-;_-@_-">
                  <c:v>25978940.469999999</c:v>
                </c:pt>
                <c:pt idx="285" formatCode="_-* #,##0_-;\-* #,##0_-;_-* &quot;-&quot;??_-;_-@_-">
                  <c:v>12370876.700000001</c:v>
                </c:pt>
                <c:pt idx="286" formatCode="_-* #,##0_-;\-* #,##0_-;_-* &quot;-&quot;??_-;_-@_-">
                  <c:v>9351502.2999999989</c:v>
                </c:pt>
                <c:pt idx="287" formatCode="_-* #,##0_-;\-* #,##0_-;_-* &quot;-&quot;??_-;_-@_-">
                  <c:v>14586671.68</c:v>
                </c:pt>
                <c:pt idx="288" formatCode="_-* #,##0_-;\-* #,##0_-;_-* &quot;-&quot;??_-;_-@_-">
                  <c:v>13431917.030000001</c:v>
                </c:pt>
                <c:pt idx="289" formatCode="_-* #,##0_-;\-* #,##0_-;_-* &quot;-&quot;??_-;_-@_-">
                  <c:v>7420801.4299999997</c:v>
                </c:pt>
                <c:pt idx="290" formatCode="_-* #,##0_-;\-* #,##0_-;_-* &quot;-&quot;??_-;_-@_-">
                  <c:v>26051502.470000003</c:v>
                </c:pt>
                <c:pt idx="291" formatCode="_-* #,##0_-;\-* #,##0_-;_-* &quot;-&quot;??_-;_-@_-">
                  <c:v>11673635.4</c:v>
                </c:pt>
                <c:pt idx="292" formatCode="_-* #,##0_-;\-* #,##0_-;_-* &quot;-&quot;??_-;_-@_-">
                  <c:v>13746518.029999999</c:v>
                </c:pt>
                <c:pt idx="293" formatCode="_-* #,##0_-;\-* #,##0_-;_-* &quot;-&quot;??_-;_-@_-">
                  <c:v>10054836.82</c:v>
                </c:pt>
                <c:pt idx="294" formatCode="_-* #,##0_-;\-* #,##0_-;_-* &quot;-&quot;??_-;_-@_-">
                  <c:v>11480203</c:v>
                </c:pt>
                <c:pt idx="295" formatCode="_-* #,##0_-;\-* #,##0_-;_-* &quot;-&quot;??_-;_-@_-">
                  <c:v>13722160.060000001</c:v>
                </c:pt>
                <c:pt idx="296" formatCode="_-* #,##0_-;\-* #,##0_-;_-* &quot;-&quot;??_-;_-@_-">
                  <c:v>10304837.76</c:v>
                </c:pt>
                <c:pt idx="297" formatCode="_-* #,##0_-;\-* #,##0_-;_-* &quot;-&quot;??_-;_-@_-">
                  <c:v>17763689.510000002</c:v>
                </c:pt>
                <c:pt idx="298" formatCode="_-* #,##0_-;\-* #,##0_-;_-* &quot;-&quot;??_-;_-@_-">
                  <c:v>13933290.629999999</c:v>
                </c:pt>
                <c:pt idx="299" formatCode="_-* #,##0_-;\-* #,##0_-;_-* &quot;-&quot;??_-;_-@_-">
                  <c:v>19876883.809999999</c:v>
                </c:pt>
                <c:pt idx="300" formatCode="_-* #,##0_-;\-* #,##0_-;_-* &quot;-&quot;??_-;_-@_-">
                  <c:v>29920180.289999999</c:v>
                </c:pt>
                <c:pt idx="301" formatCode="_-* #,##0_-;\-* #,##0_-;_-* &quot;-&quot;??_-;_-@_-">
                  <c:v>13248225.83</c:v>
                </c:pt>
                <c:pt idx="302" formatCode="_-* #,##0_-;\-* #,##0_-;_-* &quot;-&quot;??_-;_-@_-">
                  <c:v>9883043.8000000007</c:v>
                </c:pt>
                <c:pt idx="303" formatCode="_-* #,##0_-;\-* #,##0_-;_-* &quot;-&quot;??_-;_-@_-">
                  <c:v>15555468.810000001</c:v>
                </c:pt>
                <c:pt idx="304" formatCode="_-* #,##0_-;\-* #,##0_-;_-* &quot;-&quot;??_-;_-@_-">
                  <c:v>11314702</c:v>
                </c:pt>
                <c:pt idx="305" formatCode="_-* #,##0_-;\-* #,##0_-;_-* &quot;-&quot;??_-;_-@_-">
                  <c:v>18351128.600000001</c:v>
                </c:pt>
                <c:pt idx="306" formatCode="_-* #,##0_-;\-* #,##0_-;_-* &quot;-&quot;??_-;_-@_-">
                  <c:v>33066597.829999998</c:v>
                </c:pt>
                <c:pt idx="307" formatCode="_-* #,##0_-;\-* #,##0_-;_-* &quot;-&quot;??_-;_-@_-">
                  <c:v>13356418.17</c:v>
                </c:pt>
                <c:pt idx="308" formatCode="_-* #,##0_-;\-* #,##0_-;_-* &quot;-&quot;??_-;_-@_-">
                  <c:v>18168771.98</c:v>
                </c:pt>
                <c:pt idx="309" formatCode="_-* #,##0_-;\-* #,##0_-;_-* &quot;-&quot;??_-;_-@_-">
                  <c:v>21074778.900000002</c:v>
                </c:pt>
                <c:pt idx="310" formatCode="_-* #,##0_-;\-* #,##0_-;_-* &quot;-&quot;??_-;_-@_-">
                  <c:v>9335614.6799999997</c:v>
                </c:pt>
                <c:pt idx="311" formatCode="_-* #,##0_-;\-* #,##0_-;_-* &quot;-&quot;??_-;_-@_-">
                  <c:v>27627071.699999999</c:v>
                </c:pt>
                <c:pt idx="312" formatCode="_-* #,##0_-;\-* #,##0_-;_-* &quot;-&quot;??_-;_-@_-">
                  <c:v>10915101.779999999</c:v>
                </c:pt>
                <c:pt idx="313" formatCode="_-* #,##0_-;\-* #,##0_-;_-* &quot;-&quot;??_-;_-@_-">
                  <c:v>33337399.940000001</c:v>
                </c:pt>
                <c:pt idx="314" formatCode="_-* #,##0_-;\-* #,##0_-;_-* &quot;-&quot;??_-;_-@_-">
                  <c:v>11393676.68</c:v>
                </c:pt>
                <c:pt idx="315" formatCode="_-* #,##0_-;\-* #,##0_-;_-* &quot;-&quot;??_-;_-@_-">
                  <c:v>15004153.449999999</c:v>
                </c:pt>
                <c:pt idx="316" formatCode="_-* #,##0_-;\-* #,##0_-;_-* &quot;-&quot;??_-;_-@_-">
                  <c:v>12165649.6</c:v>
                </c:pt>
                <c:pt idx="317" formatCode="_-* #,##0_-;\-* #,##0_-;_-* &quot;-&quot;??_-;_-@_-">
                  <c:v>10641997.050000001</c:v>
                </c:pt>
                <c:pt idx="318" formatCode="_-* #,##0_-;\-* #,##0_-;_-* &quot;-&quot;??_-;_-@_-">
                  <c:v>12924079.050000001</c:v>
                </c:pt>
                <c:pt idx="319" formatCode="_-* #,##0_-;\-* #,##0_-;_-* &quot;-&quot;??_-;_-@_-">
                  <c:v>15575516.459999999</c:v>
                </c:pt>
                <c:pt idx="320" formatCode="_-* #,##0_-;\-* #,##0_-;_-* &quot;-&quot;??_-;_-@_-">
                  <c:v>16062803.789999999</c:v>
                </c:pt>
                <c:pt idx="321" formatCode="_-* #,##0_-;\-* #,##0_-;_-* &quot;-&quot;??_-;_-@_-">
                  <c:v>13346741.479999999</c:v>
                </c:pt>
                <c:pt idx="322" formatCode="_-* #,##0_-;\-* #,##0_-;_-* &quot;-&quot;??_-;_-@_-">
                  <c:v>21874910.16</c:v>
                </c:pt>
                <c:pt idx="323" formatCode="_-* #,##0_-;\-* #,##0_-;_-* &quot;-&quot;??_-;_-@_-">
                  <c:v>7490342.46</c:v>
                </c:pt>
                <c:pt idx="324" formatCode="_-* #,##0_-;\-* #,##0_-;_-* &quot;-&quot;??_-;_-@_-">
                  <c:v>7073762.6600000001</c:v>
                </c:pt>
                <c:pt idx="325" formatCode="_-* #,##0_-;\-* #,##0_-;_-* &quot;-&quot;??_-;_-@_-">
                  <c:v>7863598.7400000002</c:v>
                </c:pt>
                <c:pt idx="326" formatCode="_-* #,##0_-;\-* #,##0_-;_-* &quot;-&quot;??_-;_-@_-">
                  <c:v>12971137.859999999</c:v>
                </c:pt>
                <c:pt idx="327" formatCode="_-* #,##0_-;\-* #,##0_-;_-* &quot;-&quot;??_-;_-@_-">
                  <c:v>12238592.460000001</c:v>
                </c:pt>
                <c:pt idx="328" formatCode="_-* #,##0_-;\-* #,##0_-;_-* &quot;-&quot;??_-;_-@_-">
                  <c:v>13966410.02</c:v>
                </c:pt>
                <c:pt idx="329" formatCode="_-* #,##0_-;\-* #,##0_-;_-* &quot;-&quot;??_-;_-@_-">
                  <c:v>11295575.4</c:v>
                </c:pt>
                <c:pt idx="330" formatCode="_-* #,##0_-;\-* #,##0_-;_-* &quot;-&quot;??_-;_-@_-">
                  <c:v>10481067.9</c:v>
                </c:pt>
                <c:pt idx="331" formatCode="_-* #,##0_-;\-* #,##0_-;_-* &quot;-&quot;??_-;_-@_-">
                  <c:v>4528919.8099999996</c:v>
                </c:pt>
                <c:pt idx="332" formatCode="_-* #,##0_-;\-* #,##0_-;_-* &quot;-&quot;??_-;_-@_-">
                  <c:v>15858716.699999999</c:v>
                </c:pt>
                <c:pt idx="333" formatCode="_-* #,##0_-;\-* #,##0_-;_-* &quot;-&quot;??_-;_-@_-">
                  <c:v>26751022.010000002</c:v>
                </c:pt>
                <c:pt idx="334" formatCode="_-* #,##0_-;\-* #,##0_-;_-* &quot;-&quot;??_-;_-@_-">
                  <c:v>20123049.41</c:v>
                </c:pt>
                <c:pt idx="335" formatCode="_-* #,##0_-;\-* #,##0_-;_-* &quot;-&quot;??_-;_-@_-">
                  <c:v>11318576.41</c:v>
                </c:pt>
                <c:pt idx="336" formatCode="_-* #,##0_-;\-* #,##0_-;_-* &quot;-&quot;??_-;_-@_-">
                  <c:v>25934425.280000001</c:v>
                </c:pt>
                <c:pt idx="337" formatCode="_-* #,##0_-;\-* #,##0_-;_-* &quot;-&quot;??_-;_-@_-">
                  <c:v>12491671.75</c:v>
                </c:pt>
                <c:pt idx="338" formatCode="_-* #,##0_-;\-* #,##0_-;_-* &quot;-&quot;??_-;_-@_-">
                  <c:v>15532124.76</c:v>
                </c:pt>
                <c:pt idx="339" formatCode="_-* #,##0_-;\-* #,##0_-;_-* &quot;-&quot;??_-;_-@_-">
                  <c:v>19429079.280000001</c:v>
                </c:pt>
                <c:pt idx="340" formatCode="_-* #,##0_-;\-* #,##0_-;_-* &quot;-&quot;??_-;_-@_-">
                  <c:v>17555010.75</c:v>
                </c:pt>
                <c:pt idx="341" formatCode="_-* #,##0_-;\-* #,##0_-;_-* &quot;-&quot;??_-;_-@_-">
                  <c:v>12352272.869999999</c:v>
                </c:pt>
                <c:pt idx="342" formatCode="_-* #,##0_-;\-* #,##0_-;_-* &quot;-&quot;??_-;_-@_-">
                  <c:v>15327351</c:v>
                </c:pt>
                <c:pt idx="343" formatCode="_-* #,##0_-;\-* #,##0_-;_-* &quot;-&quot;??_-;_-@_-">
                  <c:v>8268003.54</c:v>
                </c:pt>
                <c:pt idx="344" formatCode="_-* #,##0_-;\-* #,##0_-;_-* &quot;-&quot;??_-;_-@_-">
                  <c:v>11625873.6</c:v>
                </c:pt>
                <c:pt idx="345" formatCode="_-* #,##0_-;\-* #,##0_-;_-* &quot;-&quot;??_-;_-@_-">
                  <c:v>16914268.800000001</c:v>
                </c:pt>
                <c:pt idx="346" formatCode="_-* #,##0_-;\-* #,##0_-;_-* &quot;-&quot;??_-;_-@_-">
                  <c:v>16664784</c:v>
                </c:pt>
                <c:pt idx="347" formatCode="_-* #,##0_-;\-* #,##0_-;_-* &quot;-&quot;??_-;_-@_-">
                  <c:v>16556246.399999999</c:v>
                </c:pt>
                <c:pt idx="348" formatCode="_-* #,##0_-;\-* #,##0_-;_-* &quot;-&quot;??_-;_-@_-">
                  <c:v>9110361.5999999996</c:v>
                </c:pt>
                <c:pt idx="349" formatCode="_-* #,##0_-;\-* #,##0_-;_-* &quot;-&quot;??_-;_-@_-">
                  <c:v>11684400</c:v>
                </c:pt>
                <c:pt idx="350" formatCode="_-* #,##0_-;\-* #,##0_-;_-* &quot;-&quot;??_-;_-@_-">
                  <c:v>13564507.199999999</c:v>
                </c:pt>
                <c:pt idx="351" formatCode="_-* #,##0_-;\-* #,##0_-;_-* &quot;-&quot;??_-;_-@_-">
                  <c:v>6248208</c:v>
                </c:pt>
                <c:pt idx="352" formatCode="_-* #,##0_-;\-* #,##0_-;_-* &quot;-&quot;??_-;_-@_-">
                  <c:v>9450336</c:v>
                </c:pt>
                <c:pt idx="353" formatCode="_-* #,##0_-;\-* #,##0_-;_-* &quot;-&quot;??_-;_-@_-">
                  <c:v>20420016</c:v>
                </c:pt>
                <c:pt idx="354" formatCode="_-* #,##0_-;\-* #,##0_-;_-* &quot;-&quot;??_-;_-@_-">
                  <c:v>22100491.200000003</c:v>
                </c:pt>
                <c:pt idx="355" formatCode="_-* #,##0_-;\-* #,##0_-;_-* &quot;-&quot;??_-;_-@_-">
                  <c:v>11767632</c:v>
                </c:pt>
                <c:pt idx="356" formatCode="_-* #,##0_-;\-* #,##0_-;_-* &quot;-&quot;??_-;_-@_-">
                  <c:v>12704971.200000001</c:v>
                </c:pt>
                <c:pt idx="357" formatCode="_-* #,##0_-;\-* #,##0_-;_-* &quot;-&quot;??_-;_-@_-">
                  <c:v>11182809.6</c:v>
                </c:pt>
                <c:pt idx="358" formatCode="_-* #,##0_-;\-* #,##0_-;_-* &quot;-&quot;??_-;_-@_-">
                  <c:v>12993734.399999999</c:v>
                </c:pt>
                <c:pt idx="359" formatCode="_-* #,##0_-;\-* #,##0_-;_-* &quot;-&quot;??_-;_-@_-">
                  <c:v>16433472</c:v>
                </c:pt>
                <c:pt idx="360" formatCode="_-* #,##0_-;\-* #,##0_-;_-* &quot;-&quot;??_-;_-@_-">
                  <c:v>9796156.8000000007</c:v>
                </c:pt>
                <c:pt idx="361" formatCode="_-* #,##0_-;\-* #,##0_-;_-* &quot;-&quot;??_-;_-@_-">
                  <c:v>15644483.82</c:v>
                </c:pt>
                <c:pt idx="362" formatCode="_-* #,##0_-;\-* #,##0_-;_-* &quot;-&quot;??_-;_-@_-">
                  <c:v>3689451.9</c:v>
                </c:pt>
                <c:pt idx="363" formatCode="_-* #,##0_-;\-* #,##0_-;_-* &quot;-&quot;??_-;_-@_-">
                  <c:v>14625187.290000001</c:v>
                </c:pt>
                <c:pt idx="364" formatCode="_-* #,##0_-;\-* #,##0_-;_-* &quot;-&quot;??_-;_-@_-">
                  <c:v>8114237.46</c:v>
                </c:pt>
                <c:pt idx="365" formatCode="_-* #,##0_-;\-* #,##0_-;_-* &quot;-&quot;??_-;_-@_-">
                  <c:v>16474330.26</c:v>
                </c:pt>
                <c:pt idx="366" formatCode="_-* #,##0_-;\-* #,##0_-;_-* &quot;-&quot;??_-;_-@_-">
                  <c:v>13013323.199999999</c:v>
                </c:pt>
                <c:pt idx="367" formatCode="_-* #,##0_-;\-* #,##0_-;_-* &quot;-&quot;??_-;_-@_-">
                  <c:v>21596375.340000004</c:v>
                </c:pt>
                <c:pt idx="368" formatCode="_-* #,##0_-;\-* #,##0_-;_-* &quot;-&quot;??_-;_-@_-">
                  <c:v>7123847.1299999999</c:v>
                </c:pt>
                <c:pt idx="369" formatCode="_-* #,##0_-;\-* #,##0_-;_-* &quot;-&quot;??_-;_-@_-">
                  <c:v>3258286.8299999996</c:v>
                </c:pt>
                <c:pt idx="370" formatCode="_-* #,##0_-;\-* #,##0_-;_-* &quot;-&quot;??_-;_-@_-">
                  <c:v>9942559.379999999</c:v>
                </c:pt>
                <c:pt idx="371" formatCode="_-* #,##0_-;\-* #,##0_-;_-* &quot;-&quot;??_-;_-@_-">
                  <c:v>19326632.850000001</c:v>
                </c:pt>
                <c:pt idx="372" formatCode="_-* #,##0_-;\-* #,##0_-;_-* &quot;-&quot;??_-;_-@_-">
                  <c:v>9468674.1899999995</c:v>
                </c:pt>
                <c:pt idx="373" formatCode="_-* #,##0_-;\-* #,##0_-;_-* &quot;-&quot;??_-;_-@_-">
                  <c:v>8570597.6699999999</c:v>
                </c:pt>
                <c:pt idx="374" formatCode="_-* #,##0_-;\-* #,##0_-;_-* &quot;-&quot;??_-;_-@_-">
                  <c:v>11573355.600000001</c:v>
                </c:pt>
                <c:pt idx="375" formatCode="_-* #,##0_-;\-* #,##0_-;_-* &quot;-&quot;??_-;_-@_-">
                  <c:v>15952334.85</c:v>
                </c:pt>
                <c:pt idx="376" formatCode="_-* #,##0_-;\-* #,##0_-;_-* &quot;-&quot;??_-;_-@_-">
                  <c:v>7989795.6600000001</c:v>
                </c:pt>
                <c:pt idx="377" formatCode="_-* #,##0_-;\-* #,##0_-;_-* &quot;-&quot;??_-;_-@_-">
                  <c:v>7941457.0199999996</c:v>
                </c:pt>
                <c:pt idx="378" formatCode="_-* #,##0_-;\-* #,##0_-;_-* &quot;-&quot;??_-;_-@_-">
                  <c:v>11424292.739999998</c:v>
                </c:pt>
                <c:pt idx="379" formatCode="_-* #,##0_-;\-* #,##0_-;_-* &quot;-&quot;??_-;_-@_-">
                  <c:v>6140929.6200000001</c:v>
                </c:pt>
                <c:pt idx="380" formatCode="_-* #,##0_-;\-* #,##0_-;_-* &quot;-&quot;??_-;_-@_-">
                  <c:v>5312985.5100000007</c:v>
                </c:pt>
                <c:pt idx="381" formatCode="_-* #,##0_-;\-* #,##0_-;_-* &quot;-&quot;??_-;_-@_-">
                  <c:v>14619207.33</c:v>
                </c:pt>
                <c:pt idx="382" formatCode="_-* #,##0_-;\-* #,##0_-;_-* &quot;-&quot;??_-;_-@_-">
                  <c:v>10023839.07</c:v>
                </c:pt>
                <c:pt idx="383" formatCode="_-* #,##0_-;\-* #,##0_-;_-* &quot;-&quot;??_-;_-@_-">
                  <c:v>5767551.2999999998</c:v>
                </c:pt>
                <c:pt idx="384" formatCode="_-* #,##0_-;\-* #,##0_-;_-* &quot;-&quot;??_-;_-@_-">
                  <c:v>5892913.9500000002</c:v>
                </c:pt>
                <c:pt idx="385" formatCode="_-* #,##0_-;\-* #,##0_-;_-* &quot;-&quot;??_-;_-@_-">
                  <c:v>10143521.640000001</c:v>
                </c:pt>
                <c:pt idx="386" formatCode="_-* #,##0_-;\-* #,##0_-;_-* &quot;-&quot;??_-;_-@_-">
                  <c:v>9860802.4199999999</c:v>
                </c:pt>
                <c:pt idx="387" formatCode="_-* #,##0_-;\-* #,##0_-;_-* &quot;-&quot;??_-;_-@_-">
                  <c:v>5443844.6999999993</c:v>
                </c:pt>
                <c:pt idx="388" formatCode="_-* #,##0_-;\-* #,##0_-;_-* &quot;-&quot;??_-;_-@_-">
                  <c:v>14360217.9</c:v>
                </c:pt>
                <c:pt idx="389" formatCode="_-* #,##0_-;\-* #,##0_-;_-* &quot;-&quot;??_-;_-@_-">
                  <c:v>12325319.58</c:v>
                </c:pt>
                <c:pt idx="390" formatCode="_-* #,##0_-;\-* #,##0_-;_-* &quot;-&quot;??_-;_-@_-">
                  <c:v>8523486.5099999998</c:v>
                </c:pt>
                <c:pt idx="391" formatCode="_-* #,##0_-;\-* #,##0_-;_-* &quot;-&quot;??_-;_-@_-">
                  <c:v>9733213.1399999987</c:v>
                </c:pt>
                <c:pt idx="392" formatCode="_-* #,##0_-;\-* #,##0_-;_-* &quot;-&quot;??_-;_-@_-">
                  <c:v>7551240.8969999999</c:v>
                </c:pt>
                <c:pt idx="393" formatCode="_-* #,##0_-;\-* #,##0_-;_-* &quot;-&quot;??_-;_-@_-">
                  <c:v>8342010.5189999994</c:v>
                </c:pt>
                <c:pt idx="394" formatCode="_-* #,##0_-;\-* #,##0_-;_-* &quot;-&quot;??_-;_-@_-">
                  <c:v>6781591.6739999996</c:v>
                </c:pt>
                <c:pt idx="395" formatCode="_-* #,##0_-;\-* #,##0_-;_-* &quot;-&quot;??_-;_-@_-">
                  <c:v>13078038.041000001</c:v>
                </c:pt>
                <c:pt idx="396" formatCode="_-* #,##0_-;\-* #,##0_-;_-* &quot;-&quot;??_-;_-@_-">
                  <c:v>10397494.204</c:v>
                </c:pt>
                <c:pt idx="397" formatCode="_-* #,##0_-;\-* #,##0_-;_-* &quot;-&quot;??_-;_-@_-">
                  <c:v>7536882.2889999999</c:v>
                </c:pt>
                <c:pt idx="398" formatCode="_-* #,##0_-;\-* #,##0_-;_-* &quot;-&quot;??_-;_-@_-">
                  <c:v>7080780.5300000003</c:v>
                </c:pt>
                <c:pt idx="399" formatCode="_-* #,##0_-;\-* #,##0_-;_-* &quot;-&quot;??_-;_-@_-">
                  <c:v>8670127.7469999995</c:v>
                </c:pt>
                <c:pt idx="400" formatCode="_-* #,##0_-;\-* #,##0_-;_-* &quot;-&quot;??_-;_-@_-">
                  <c:v>8826268.0109999999</c:v>
                </c:pt>
                <c:pt idx="401" formatCode="_-* #,##0_-;\-* #,##0_-;_-* &quot;-&quot;??_-;_-@_-">
                  <c:v>7186632.0729999999</c:v>
                </c:pt>
                <c:pt idx="402" formatCode="_-* #,##0_-;\-* #,##0_-;_-* &quot;-&quot;??_-;_-@_-">
                  <c:v>11617515.180000002</c:v>
                </c:pt>
                <c:pt idx="403" formatCode="_-* #,##0_-;\-* #,##0_-;_-* &quot;-&quot;??_-;_-@_-">
                  <c:v>12284014.697000001</c:v>
                </c:pt>
                <c:pt idx="404" formatCode="_-* #,##0_-;\-* #,##0_-;_-* &quot;-&quot;??_-;_-@_-">
                  <c:v>11824707.206</c:v>
                </c:pt>
                <c:pt idx="405" formatCode="_-* #,##0_-;\-* #,##0_-;_-* &quot;-&quot;??_-;_-@_-">
                  <c:v>8071702.0449999999</c:v>
                </c:pt>
                <c:pt idx="406" formatCode="_-* #,##0_-;\-* #,##0_-;_-* &quot;-&quot;??_-;_-@_-">
                  <c:v>10168586.703</c:v>
                </c:pt>
                <c:pt idx="407" formatCode="_-* #,##0_-;\-* #,##0_-;_-* &quot;-&quot;??_-;_-@_-">
                  <c:v>5046158.0980000002</c:v>
                </c:pt>
                <c:pt idx="408" formatCode="_-* #,##0_-;\-* #,##0_-;_-* &quot;-&quot;??_-;_-@_-">
                  <c:v>4555421.9560000002</c:v>
                </c:pt>
                <c:pt idx="409" formatCode="_-* #,##0_-;\-* #,##0_-;_-* &quot;-&quot;??_-;_-@_-">
                  <c:v>10372692.971999999</c:v>
                </c:pt>
                <c:pt idx="410" formatCode="_-* #,##0_-;\-* #,##0_-;_-* &quot;-&quot;??_-;_-@_-">
                  <c:v>11132542.637</c:v>
                </c:pt>
                <c:pt idx="411" formatCode="_-* #,##0_-;\-* #,##0_-;_-* &quot;-&quot;??_-;_-@_-">
                  <c:v>10984368.713000001</c:v>
                </c:pt>
                <c:pt idx="412" formatCode="_-* #,##0_-;\-* #,##0_-;_-* &quot;-&quot;??_-;_-@_-">
                  <c:v>7524803.2059999993</c:v>
                </c:pt>
                <c:pt idx="413" formatCode="_-* #,##0_-;\-* #,##0_-;_-* &quot;-&quot;??_-;_-@_-">
                  <c:v>7836920.568</c:v>
                </c:pt>
                <c:pt idx="414" formatCode="_-* #,##0_-;\-* #,##0_-;_-* &quot;-&quot;??_-;_-@_-">
                  <c:v>10479912.23</c:v>
                </c:pt>
                <c:pt idx="415" formatCode="_-* #,##0_-;\-* #,##0_-;_-* &quot;-&quot;??_-;_-@_-">
                  <c:v>5131652.2829999998</c:v>
                </c:pt>
                <c:pt idx="416" formatCode="_-* #,##0_-;\-* #,##0_-;_-* &quot;-&quot;??_-;_-@_-">
                  <c:v>9868951.540000001</c:v>
                </c:pt>
                <c:pt idx="417" formatCode="_-* #,##0_-;\-* #,##0_-;_-* &quot;-&quot;??_-;_-@_-">
                  <c:v>8518647.311999999</c:v>
                </c:pt>
                <c:pt idx="418" formatCode="_-* #,##0_-;\-* #,##0_-;_-* &quot;-&quot;??_-;_-@_-">
                  <c:v>6701136.4390000002</c:v>
                </c:pt>
                <c:pt idx="419" formatCode="_-* #,##0_-;\-* #,##0_-;_-* &quot;-&quot;??_-;_-@_-">
                  <c:v>6424905.9989999998</c:v>
                </c:pt>
                <c:pt idx="420" formatCode="_-* #,##0_-;\-* #,##0_-;_-* &quot;-&quot;??_-;_-@_-">
                  <c:v>7442361.1850000005</c:v>
                </c:pt>
                <c:pt idx="421" formatCode="_-* #,##0_-;\-* #,##0_-;_-* &quot;-&quot;??_-;_-@_-">
                  <c:v>8297595.7740000002</c:v>
                </c:pt>
                <c:pt idx="422" formatCode="_-* #,##0_-;\-* #,##0_-;_-* &quot;-&quot;??_-;_-@_-">
                  <c:v>6008895.0860000001</c:v>
                </c:pt>
                <c:pt idx="423" formatCode="_-* #,##0_-;\-* #,##0_-;_-* &quot;-&quot;??_-;_-@_-">
                  <c:v>11763433.574000001</c:v>
                </c:pt>
                <c:pt idx="424" formatCode="_-* #,##0_-;\-* #,##0_-;_-* &quot;-&quot;??_-;_-@_-">
                  <c:v>11401133.069000002</c:v>
                </c:pt>
                <c:pt idx="425" formatCode="_-* #,##0_-;\-* #,##0_-;_-* &quot;-&quot;??_-;_-@_-">
                  <c:v>10854565.361</c:v>
                </c:pt>
                <c:pt idx="426" formatCode="_-* #,##0_-;\-* #,##0_-;_-* &quot;-&quot;??_-;_-@_-">
                  <c:v>6870877.0690000001</c:v>
                </c:pt>
                <c:pt idx="427" formatCode="_-* #,##0_-;\-* #,##0_-;_-* &quot;-&quot;??_-;_-@_-">
                  <c:v>14508643.936000001</c:v>
                </c:pt>
                <c:pt idx="428" formatCode="_-* #,##0_-;\-* #,##0_-;_-* &quot;-&quot;??_-;_-@_-">
                  <c:v>6910200.0750000002</c:v>
                </c:pt>
                <c:pt idx="429" formatCode="_-* #,##0_-;\-* #,##0_-;_-* &quot;-&quot;??_-;_-@_-">
                  <c:v>6919097.4210000001</c:v>
                </c:pt>
                <c:pt idx="430" formatCode="_-* #,##0_-;\-* #,##0_-;_-* &quot;-&quot;??_-;_-@_-">
                  <c:v>10633144.299999999</c:v>
                </c:pt>
                <c:pt idx="431" formatCode="_-* #,##0_-;\-* #,##0_-;_-* &quot;-&quot;??_-;_-@_-">
                  <c:v>12945729.611</c:v>
                </c:pt>
                <c:pt idx="432" formatCode="_-* #,##0_-;\-* #,##0_-;_-* &quot;-&quot;??_-;_-@_-">
                  <c:v>7699078.8909999998</c:v>
                </c:pt>
                <c:pt idx="433" formatCode="_-* #,##0_-;\-* #,##0_-;_-* &quot;-&quot;??_-;_-@_-">
                  <c:v>13307492.628</c:v>
                </c:pt>
                <c:pt idx="434" formatCode="_-* #,##0_-;\-* #,##0_-;_-* &quot;-&quot;??_-;_-@_-">
                  <c:v>7324017.8449999997</c:v>
                </c:pt>
                <c:pt idx="435" formatCode="_-* #,##0_-;\-* #,##0_-;_-* &quot;-&quot;??_-;_-@_-">
                  <c:v>7799296.4079999998</c:v>
                </c:pt>
                <c:pt idx="436" formatCode="_-* #,##0_-;\-* #,##0_-;_-* &quot;-&quot;??_-;_-@_-">
                  <c:v>6556499.3779999996</c:v>
                </c:pt>
                <c:pt idx="437" formatCode="_-* #,##0_-;\-* #,##0_-;_-* &quot;-&quot;??_-;_-@_-">
                  <c:v>11796791.423</c:v>
                </c:pt>
                <c:pt idx="438" formatCode="_-* #,##0_-;\-* #,##0_-;_-* &quot;-&quot;??_-;_-@_-">
                  <c:v>11202761.605</c:v>
                </c:pt>
                <c:pt idx="439" formatCode="_-* #,##0_-;\-* #,##0_-;_-* &quot;-&quot;??_-;_-@_-">
                  <c:v>6712985.1699999999</c:v>
                </c:pt>
                <c:pt idx="440" formatCode="_-* #,##0_-;\-* #,##0_-;_-* &quot;-&quot;??_-;_-@_-">
                  <c:v>9708808.9100000001</c:v>
                </c:pt>
                <c:pt idx="441" formatCode="_-* #,##0_-;\-* #,##0_-;_-* &quot;-&quot;??_-;_-@_-">
                  <c:v>7952485.2870000005</c:v>
                </c:pt>
                <c:pt idx="442" formatCode="_-* #,##0_-;\-* #,##0_-;_-* &quot;-&quot;??_-;_-@_-">
                  <c:v>7918335.6030000001</c:v>
                </c:pt>
                <c:pt idx="443" formatCode="_-* #,##0_-;\-* #,##0_-;_-* &quot;-&quot;??_-;_-@_-">
                  <c:v>13129176.479999999</c:v>
                </c:pt>
                <c:pt idx="444" formatCode="_-* #,##0_-;\-* #,##0_-;_-* &quot;-&quot;??_-;_-@_-">
                  <c:v>11992846.529999999</c:v>
                </c:pt>
                <c:pt idx="445" formatCode="_-* #,##0_-;\-* #,##0_-;_-* &quot;-&quot;??_-;_-@_-">
                  <c:v>7868649.5999999996</c:v>
                </c:pt>
                <c:pt idx="446" formatCode="_-* #,##0_-;\-* #,##0_-;_-* &quot;-&quot;??_-;_-@_-">
                  <c:v>9281830.3200000003</c:v>
                </c:pt>
                <c:pt idx="447" formatCode="_-* #,##0_-;\-* #,##0_-;_-* &quot;-&quot;??_-;_-@_-">
                  <c:v>8083236.8399999999</c:v>
                </c:pt>
                <c:pt idx="448" formatCode="_-* #,##0_-;\-* #,##0_-;_-* &quot;-&quot;??_-;_-@_-">
                  <c:v>12058925.76</c:v>
                </c:pt>
                <c:pt idx="449" formatCode="_-* #,##0_-;\-* #,##0_-;_-* &quot;-&quot;??_-;_-@_-">
                  <c:v>10714533.9</c:v>
                </c:pt>
                <c:pt idx="450" formatCode="_-* #,##0_-;\-* #,##0_-;_-* &quot;-&quot;??_-;_-@_-">
                  <c:v>6908749.8900000006</c:v>
                </c:pt>
                <c:pt idx="451" formatCode="_-* #,##0_-;\-* #,##0_-;_-* &quot;-&quot;??_-;_-@_-">
                  <c:v>7242478.7400000002</c:v>
                </c:pt>
                <c:pt idx="452" formatCode="_-* #,##0_-;\-* #,##0_-;_-* &quot;-&quot;??_-;_-@_-">
                  <c:v>10824184.560000001</c:v>
                </c:pt>
                <c:pt idx="453" formatCode="_-* #,##0_-;\-* #,##0_-;_-* &quot;-&quot;??_-;_-@_-">
                  <c:v>17703070.559999999</c:v>
                </c:pt>
                <c:pt idx="454" formatCode="_-* #,##0_-;\-* #,##0_-;_-* &quot;-&quot;??_-;_-@_-">
                  <c:v>26114645.969999999</c:v>
                </c:pt>
                <c:pt idx="455" formatCode="_-* #,##0_-;\-* #,##0_-;_-* &quot;-&quot;??_-;_-@_-">
                  <c:v>30220546.859999999</c:v>
                </c:pt>
                <c:pt idx="456" formatCode="_-* #,##0_-;\-* #,##0_-;_-* &quot;-&quot;??_-;_-@_-">
                  <c:v>30320218.740000002</c:v>
                </c:pt>
                <c:pt idx="457" formatCode="_-* #,##0_-;\-* #,##0_-;_-* &quot;-&quot;??_-;_-@_-">
                  <c:v>11563010.34</c:v>
                </c:pt>
                <c:pt idx="458" formatCode="_-* #,##0_-;\-* #,##0_-;_-* &quot;-&quot;??_-;_-@_-">
                  <c:v>17782533.720000003</c:v>
                </c:pt>
                <c:pt idx="459" formatCode="_-* #,##0_-;\-* #,##0_-;_-* &quot;-&quot;??_-;_-@_-">
                  <c:v>21187485.690000001</c:v>
                </c:pt>
                <c:pt idx="460" formatCode="_-* #,##0_-;\-* #,##0_-;_-* &quot;-&quot;??_-;_-@_-">
                  <c:v>16333891.139999999</c:v>
                </c:pt>
                <c:pt idx="461" formatCode="_-* #,##0_-;\-* #,##0_-;_-* &quot;-&quot;??_-;_-@_-">
                  <c:v>20805060.780000001</c:v>
                </c:pt>
                <c:pt idx="462" formatCode="_-* #,##0_-;\-* #,##0_-;_-* &quot;-&quot;??_-;_-@_-">
                  <c:v>15221537.309999999</c:v>
                </c:pt>
                <c:pt idx="463" formatCode="_-* #,##0_-;\-* #,##0_-;_-* &quot;-&quot;??_-;_-@_-">
                  <c:v>13578863.969999999</c:v>
                </c:pt>
                <c:pt idx="464" formatCode="_-* #,##0_-;\-* #,##0_-;_-* &quot;-&quot;??_-;_-@_-">
                  <c:v>11997454.350000001</c:v>
                </c:pt>
                <c:pt idx="465" formatCode="_-* #,##0_-;\-* #,##0_-;_-* &quot;-&quot;??_-;_-@_-">
                  <c:v>12208568.82</c:v>
                </c:pt>
                <c:pt idx="466" formatCode="_-* #,##0_-;\-* #,##0_-;_-* &quot;-&quot;??_-;_-@_-">
                  <c:v>15726793.950000001</c:v>
                </c:pt>
                <c:pt idx="467" formatCode="_-* #,##0_-;\-* #,##0_-;_-* &quot;-&quot;??_-;_-@_-">
                  <c:v>19176404.100000001</c:v>
                </c:pt>
                <c:pt idx="468" formatCode="_-* #,##0_-;\-* #,##0_-;_-* &quot;-&quot;??_-;_-@_-">
                  <c:v>16874689.907000002</c:v>
                </c:pt>
                <c:pt idx="469" formatCode="_-* #,##0_-;\-* #,##0_-;_-* &quot;-&quot;??_-;_-@_-">
                  <c:v>7641700.71</c:v>
                </c:pt>
                <c:pt idx="470" formatCode="_-* #,##0_-;\-* #,##0_-;_-* &quot;-&quot;??_-;_-@_-">
                  <c:v>14370745.168000001</c:v>
                </c:pt>
                <c:pt idx="471" formatCode="_-* #,##0_-;\-* #,##0_-;_-* &quot;-&quot;??_-;_-@_-">
                  <c:v>13130563.162</c:v>
                </c:pt>
                <c:pt idx="472" formatCode="_-* #,##0_-;\-* #,##0_-;_-* &quot;-&quot;??_-;_-@_-">
                  <c:v>13538456.776000001</c:v>
                </c:pt>
                <c:pt idx="473" formatCode="_-* #,##0_-;\-* #,##0_-;_-* &quot;-&quot;??_-;_-@_-">
                  <c:v>12521093.933</c:v>
                </c:pt>
                <c:pt idx="474" formatCode="_-* #,##0_-;\-* #,##0_-;_-* &quot;-&quot;??_-;_-@_-">
                  <c:v>15068342.08</c:v>
                </c:pt>
                <c:pt idx="475" formatCode="_-* #,##0_-;\-* #,##0_-;_-* &quot;-&quot;??_-;_-@_-">
                  <c:v>11192460.153000001</c:v>
                </c:pt>
                <c:pt idx="476" formatCode="_-* #,##0_-;\-* #,##0_-;_-* &quot;-&quot;??_-;_-@_-">
                  <c:v>16578446.800999999</c:v>
                </c:pt>
                <c:pt idx="477" formatCode="_-* #,##0_-;\-* #,##0_-;_-* &quot;-&quot;??_-;_-@_-">
                  <c:v>12360536.664000001</c:v>
                </c:pt>
                <c:pt idx="478" formatCode="_-* #,##0_-;\-* #,##0_-;_-* &quot;-&quot;??_-;_-@_-">
                  <c:v>5276618.9840000002</c:v>
                </c:pt>
                <c:pt idx="479" formatCode="_-* #,##0_-;\-* #,##0_-;_-* &quot;-&quot;??_-;_-@_-">
                  <c:v>2063817</c:v>
                </c:pt>
                <c:pt idx="480" formatCode="_-* #,##0_-;\-* #,##0_-;_-* &quot;-&quot;??_-;_-@_-">
                  <c:v>14110063.120999999</c:v>
                </c:pt>
                <c:pt idx="481" formatCode="_-* #,##0_-;\-* #,##0_-;_-* &quot;-&quot;??_-;_-@_-">
                  <c:v>10391221.014999999</c:v>
                </c:pt>
                <c:pt idx="482" formatCode="_-* #,##0_-;\-* #,##0_-;_-* &quot;-&quot;??_-;_-@_-">
                  <c:v>11211580.954</c:v>
                </c:pt>
                <c:pt idx="483" formatCode="_-* #,##0_-;\-* #,##0_-;_-* &quot;-&quot;??_-;_-@_-">
                  <c:v>13900588.135</c:v>
                </c:pt>
                <c:pt idx="484" formatCode="_-* #,##0_-;\-* #,##0_-;_-* &quot;-&quot;??_-;_-@_-">
                  <c:v>14412566</c:v>
                </c:pt>
                <c:pt idx="485" formatCode="_-* #,##0_-;\-* #,##0_-;_-* &quot;-&quot;??_-;_-@_-">
                  <c:v>14273714.539000001</c:v>
                </c:pt>
                <c:pt idx="486" formatCode="_-* #,##0_-;\-* #,##0_-;_-* &quot;-&quot;??_-;_-@_-">
                  <c:v>16393552.217</c:v>
                </c:pt>
                <c:pt idx="487" formatCode="_-* #,##0_-;\-* #,##0_-;_-* &quot;-&quot;??_-;_-@_-">
                  <c:v>20037823.687000003</c:v>
                </c:pt>
                <c:pt idx="488" formatCode="_-* #,##0_-;\-* #,##0_-;_-* &quot;-&quot;??_-;_-@_-">
                  <c:v>25023263.951000001</c:v>
                </c:pt>
                <c:pt idx="489" formatCode="_-* #,##0_-;\-* #,##0_-;_-* &quot;-&quot;??_-;_-@_-">
                  <c:v>14206247.727000002</c:v>
                </c:pt>
                <c:pt idx="490" formatCode="_-* #,##0_-;\-* #,##0_-;_-* &quot;-&quot;??_-;_-@_-">
                  <c:v>11701476.465</c:v>
                </c:pt>
                <c:pt idx="491" formatCode="_-* #,##0_-;\-* #,##0_-;_-* &quot;-&quot;??_-;_-@_-">
                  <c:v>10169436.311999999</c:v>
                </c:pt>
                <c:pt idx="492" formatCode="_-* #,##0_-;\-* #,##0_-;_-* &quot;-&quot;??_-;_-@_-">
                  <c:v>3637084.7029999997</c:v>
                </c:pt>
                <c:pt idx="493" formatCode="_-* #,##0_-;\-* #,##0_-;_-* &quot;-&quot;??_-;_-@_-">
                  <c:v>14900514.790000001</c:v>
                </c:pt>
                <c:pt idx="494" formatCode="_-* #,##0_-;\-* #,##0_-;_-* &quot;-&quot;??_-;_-@_-">
                  <c:v>19503075.528999999</c:v>
                </c:pt>
                <c:pt idx="495" formatCode="_-* #,##0_-;\-* #,##0_-;_-* &quot;-&quot;??_-;_-@_-">
                  <c:v>21156178.309</c:v>
                </c:pt>
                <c:pt idx="496" formatCode="_-* #,##0_-;\-* #,##0_-;_-* &quot;-&quot;??_-;_-@_-">
                  <c:v>19272493.989</c:v>
                </c:pt>
                <c:pt idx="497" formatCode="_-* #,##0_-;\-* #,##0_-;_-* &quot;-&quot;??_-;_-@_-">
                  <c:v>13059502.204</c:v>
                </c:pt>
                <c:pt idx="498" formatCode="_-* #,##0_-;\-* #,##0_-;_-* &quot;-&quot;??_-;_-@_-">
                  <c:v>19014204.607999999</c:v>
                </c:pt>
                <c:pt idx="499" formatCode="_-* #,##0_-;\-* #,##0_-;_-* &quot;-&quot;??_-;_-@_-">
                  <c:v>6568988.0200000005</c:v>
                </c:pt>
                <c:pt idx="500" formatCode="_-* #,##0_-;\-* #,##0_-;_-* &quot;-&quot;??_-;_-@_-">
                  <c:v>15671025.986000001</c:v>
                </c:pt>
                <c:pt idx="501" formatCode="_-* #,##0_-;\-* #,##0_-;_-* &quot;-&quot;??_-;_-@_-">
                  <c:v>18791341.646000002</c:v>
                </c:pt>
                <c:pt idx="502" formatCode="_-* #,##0_-;\-* #,##0_-;_-* &quot;-&quot;??_-;_-@_-">
                  <c:v>11582746</c:v>
                </c:pt>
                <c:pt idx="503" formatCode="_-* #,##0_-;\-* #,##0_-;_-* &quot;-&quot;??_-;_-@_-">
                  <c:v>17241619.996999998</c:v>
                </c:pt>
                <c:pt idx="504" formatCode="_-* #,##0_-;\-* #,##0_-;_-* &quot;-&quot;??_-;_-@_-">
                  <c:v>20600084.526000001</c:v>
                </c:pt>
                <c:pt idx="505" formatCode="_-* #,##0_-;\-* #,##0_-;_-* &quot;-&quot;??_-;_-@_-">
                  <c:v>19674435.767000001</c:v>
                </c:pt>
                <c:pt idx="506" formatCode="_-* #,##0_-;\-* #,##0_-;_-* &quot;-&quot;??_-;_-@_-">
                  <c:v>12907858.004999999</c:v>
                </c:pt>
                <c:pt idx="507" formatCode="_-* #,##0_-;\-* #,##0_-;_-* &quot;-&quot;??_-;_-@_-">
                  <c:v>23372581.154999997</c:v>
                </c:pt>
                <c:pt idx="508" formatCode="_-* #,##0_-;\-* #,##0_-;_-* &quot;-&quot;??_-;_-@_-">
                  <c:v>15822314.017999999</c:v>
                </c:pt>
                <c:pt idx="509" formatCode="_-* #,##0_-;\-* #,##0_-;_-* &quot;-&quot;??_-;_-@_-">
                  <c:v>21861701.224999998</c:v>
                </c:pt>
                <c:pt idx="510" formatCode="_-* #,##0_-;\-* #,##0_-;_-* &quot;-&quot;??_-;_-@_-">
                  <c:v>19206642.126000002</c:v>
                </c:pt>
                <c:pt idx="511" formatCode="_-* #,##0_-;\-* #,##0_-;_-* &quot;-&quot;??_-;_-@_-">
                  <c:v>20095732.537999999</c:v>
                </c:pt>
                <c:pt idx="512" formatCode="_-* #,##0_-;\-* #,##0_-;_-* &quot;-&quot;??_-;_-@_-">
                  <c:v>13330623.354999999</c:v>
                </c:pt>
                <c:pt idx="513" formatCode="_-* #,##0_-;\-* #,##0_-;_-* &quot;-&quot;??_-;_-@_-">
                  <c:v>10799403.034</c:v>
                </c:pt>
                <c:pt idx="514" formatCode="_-* #,##0_-;\-* #,##0_-;_-* &quot;-&quot;??_-;_-@_-">
                  <c:v>31205937.630000003</c:v>
                </c:pt>
                <c:pt idx="515" formatCode="_-* #,##0_-;\-* #,##0_-;_-* &quot;-&quot;??_-;_-@_-">
                  <c:v>17777397.623999998</c:v>
                </c:pt>
                <c:pt idx="516" formatCode="_-* #,##0_-;\-* #,##0_-;_-* &quot;-&quot;??_-;_-@_-">
                  <c:v>14040981.360000001</c:v>
                </c:pt>
                <c:pt idx="517" formatCode="_-* #,##0_-;\-* #,##0_-;_-* &quot;-&quot;??_-;_-@_-">
                  <c:v>20331734.647</c:v>
                </c:pt>
                <c:pt idx="518" formatCode="_-* #,##0_-;\-* #,##0_-;_-* &quot;-&quot;??_-;_-@_-">
                  <c:v>19431188.343000002</c:v>
                </c:pt>
                <c:pt idx="519" formatCode="_-* #,##0_-;\-* #,##0_-;_-* &quot;-&quot;??_-;_-@_-">
                  <c:v>17726919.489999998</c:v>
                </c:pt>
                <c:pt idx="520" formatCode="_-* #,##0_-;\-* #,##0_-;_-* &quot;-&quot;??_-;_-@_-">
                  <c:v>13077169.063000001</c:v>
                </c:pt>
                <c:pt idx="521" formatCode="_-* #,##0_-;\-* #,##0_-;_-* &quot;-&quot;??_-;_-@_-">
                  <c:v>29002634.899</c:v>
                </c:pt>
                <c:pt idx="522" formatCode="_-* #,##0_-;\-* #,##0_-;_-* &quot;-&quot;??_-;_-@_-">
                  <c:v>25108707.449999999</c:v>
                </c:pt>
                <c:pt idx="523" formatCode="_-* #,##0_-;\-* #,##0_-;_-* &quot;-&quot;??_-;_-@_-">
                  <c:v>22882363.800000001</c:v>
                </c:pt>
                <c:pt idx="524" formatCode="_-* #,##0_-;\-* #,##0_-;_-* &quot;-&quot;??_-;_-@_-">
                  <c:v>21073259.399999999</c:v>
                </c:pt>
                <c:pt idx="525" formatCode="_-* #,##0_-;\-* #,##0_-;_-* &quot;-&quot;??_-;_-@_-">
                  <c:v>19246355.400000002</c:v>
                </c:pt>
                <c:pt idx="526" formatCode="_-* #,##0_-;\-* #,##0_-;_-* &quot;-&quot;??_-;_-@_-">
                  <c:v>10055038.049999999</c:v>
                </c:pt>
                <c:pt idx="527" formatCode="_-* #,##0_-;\-* #,##0_-;_-* &quot;-&quot;??_-;_-@_-">
                  <c:v>11064084.66</c:v>
                </c:pt>
                <c:pt idx="528" formatCode="_-* #,##0_-;\-* #,##0_-;_-* &quot;-&quot;??_-;_-@_-">
                  <c:v>11029639.5</c:v>
                </c:pt>
                <c:pt idx="529" formatCode="_-* #,##0_-;\-* #,##0_-;_-* &quot;-&quot;??_-;_-@_-">
                  <c:v>16514170.59</c:v>
                </c:pt>
                <c:pt idx="530" formatCode="_-* #,##0_-;\-* #,##0_-;_-* &quot;-&quot;??_-;_-@_-">
                  <c:v>8855467.2599999998</c:v>
                </c:pt>
                <c:pt idx="531" formatCode="_-* #,##0_-;\-* #,##0_-;_-* &quot;-&quot;??_-;_-@_-">
                  <c:v>25150974.800000001</c:v>
                </c:pt>
                <c:pt idx="532" formatCode="_-* #,##0_-;\-* #,##0_-;_-* &quot;-&quot;??_-;_-@_-">
                  <c:v>19133510.199999999</c:v>
                </c:pt>
                <c:pt idx="533" formatCode="_-* #,##0_-;\-* #,##0_-;_-* &quot;-&quot;??_-;_-@_-">
                  <c:v>15115225.999999998</c:v>
                </c:pt>
                <c:pt idx="534" formatCode="_-* #,##0_-;\-* #,##0_-;_-* &quot;-&quot;??_-;_-@_-">
                  <c:v>10224173.399999999</c:v>
                </c:pt>
                <c:pt idx="535" formatCode="_-* #,##0_-;\-* #,##0_-;_-* &quot;-&quot;??_-;_-@_-">
                  <c:v>18777152.800000001</c:v>
                </c:pt>
                <c:pt idx="536" formatCode="_-* #,##0_-;\-* #,##0_-;_-* &quot;-&quot;??_-;_-@_-">
                  <c:v>9771261.5</c:v>
                </c:pt>
                <c:pt idx="537" formatCode="_-* #,##0_-;\-* #,##0_-;_-* &quot;-&quot;??_-;_-@_-">
                  <c:v>9856237.3000000007</c:v>
                </c:pt>
                <c:pt idx="538" formatCode="_-* #,##0_-;\-* #,##0_-;_-* &quot;-&quot;??_-;_-@_-">
                  <c:v>14586065.200000001</c:v>
                </c:pt>
                <c:pt idx="539" formatCode="_-* #,##0_-;\-* #,##0_-;_-* &quot;-&quot;??_-;_-@_-">
                  <c:v>19404485.100000001</c:v>
                </c:pt>
                <c:pt idx="540" formatCode="_-* #,##0_-;\-* #,##0_-;_-* &quot;-&quot;??_-;_-@_-">
                  <c:v>14405225.800000001</c:v>
                </c:pt>
                <c:pt idx="541" formatCode="_-* #,##0_-;\-* #,##0_-;_-* &quot;-&quot;??_-;_-@_-">
                  <c:v>17394304.199999999</c:v>
                </c:pt>
                <c:pt idx="542" formatCode="_-* #,##0_-;\-* #,##0_-;_-* &quot;-&quot;??_-;_-@_-">
                  <c:v>19125993.600000001</c:v>
                </c:pt>
                <c:pt idx="543" formatCode="_-* #,##0_-;\-* #,##0_-;_-* &quot;-&quot;??_-;_-@_-">
                  <c:v>16295491.731999999</c:v>
                </c:pt>
                <c:pt idx="544" formatCode="_-* #,##0_-;\-* #,##0_-;_-* &quot;-&quot;??_-;_-@_-">
                  <c:v>18306146.585999999</c:v>
                </c:pt>
                <c:pt idx="545" formatCode="_-* #,##0_-;\-* #,##0_-;_-* &quot;-&quot;??_-;_-@_-">
                  <c:v>32849369.085000001</c:v>
                </c:pt>
                <c:pt idx="546" formatCode="_-* #,##0_-;\-* #,##0_-;_-* &quot;-&quot;??_-;_-@_-">
                  <c:v>34055078.798</c:v>
                </c:pt>
                <c:pt idx="547" formatCode="_-* #,##0_-;\-* #,##0_-;_-* &quot;-&quot;??_-;_-@_-">
                  <c:v>13714541.814999999</c:v>
                </c:pt>
                <c:pt idx="548" formatCode="_-* #,##0_-;\-* #,##0_-;_-* &quot;-&quot;??_-;_-@_-">
                  <c:v>9691845.1239999998</c:v>
                </c:pt>
                <c:pt idx="549" formatCode="_-* #,##0_-;\-* #,##0_-;_-* &quot;-&quot;??_-;_-@_-">
                  <c:v>18554764.514000002</c:v>
                </c:pt>
                <c:pt idx="550" formatCode="_-* #,##0_-;\-* #,##0_-;_-* &quot;-&quot;??_-;_-@_-">
                  <c:v>14685258.380000001</c:v>
                </c:pt>
                <c:pt idx="551" formatCode="_-* #,##0_-;\-* #,##0_-;_-* &quot;-&quot;??_-;_-@_-">
                  <c:v>25255676.367999997</c:v>
                </c:pt>
                <c:pt idx="552" formatCode="_-* #,##0_-;\-* #,##0_-;_-* &quot;-&quot;??_-;_-@_-">
                  <c:v>22462150.16</c:v>
                </c:pt>
                <c:pt idx="553" formatCode="_-* #,##0_-;\-* #,##0_-;_-* &quot;-&quot;??_-;_-@_-">
                  <c:v>20201591.07</c:v>
                </c:pt>
                <c:pt idx="554" formatCode="_-* #,##0_-;\-* #,##0_-;_-* &quot;-&quot;??_-;_-@_-">
                  <c:v>11768278.18</c:v>
                </c:pt>
                <c:pt idx="555" formatCode="_-* #,##0_-;\-* #,##0_-;_-* &quot;-&quot;??_-;_-@_-">
                  <c:v>6208974.8700000001</c:v>
                </c:pt>
                <c:pt idx="556" formatCode="_-* #,##0_-;\-* #,##0_-;_-* &quot;-&quot;??_-;_-@_-">
                  <c:v>23885097.620000001</c:v>
                </c:pt>
                <c:pt idx="557" formatCode="_-* #,##0_-;\-* #,##0_-;_-* &quot;-&quot;??_-;_-@_-">
                  <c:v>19231964.27</c:v>
                </c:pt>
                <c:pt idx="558" formatCode="_-* #,##0_-;\-* #,##0_-;_-* &quot;-&quot;??_-;_-@_-">
                  <c:v>10541182.272999998</c:v>
                </c:pt>
                <c:pt idx="559" formatCode="_-* #,##0_-;\-* #,##0_-;_-* &quot;-&quot;??_-;_-@_-">
                  <c:v>16506575.48</c:v>
                </c:pt>
                <c:pt idx="560" formatCode="_-* #,##0_-;\-* #,##0_-;_-* &quot;-&quot;??_-;_-@_-">
                  <c:v>15982973.08</c:v>
                </c:pt>
                <c:pt idx="561" formatCode="_-* #,##0_-;\-* #,##0_-;_-* &quot;-&quot;??_-;_-@_-">
                  <c:v>10626526.42</c:v>
                </c:pt>
                <c:pt idx="562" formatCode="_-* #,##0_-;\-* #,##0_-;_-* &quot;-&quot;??_-;_-@_-">
                  <c:v>15972298.74</c:v>
                </c:pt>
                <c:pt idx="563" formatCode="_-* #,##0_-;\-* #,##0_-;_-* &quot;-&quot;??_-;_-@_-">
                  <c:v>14397995.620000001</c:v>
                </c:pt>
                <c:pt idx="564" formatCode="_-* #,##0_-;\-* #,##0_-;_-* &quot;-&quot;??_-;_-@_-">
                  <c:v>36579406.710000001</c:v>
                </c:pt>
                <c:pt idx="565" formatCode="_-* #,##0_-;\-* #,##0_-;_-* &quot;-&quot;??_-;_-@_-">
                  <c:v>31401885.359999999</c:v>
                </c:pt>
                <c:pt idx="566" formatCode="_-* #,##0_-;\-* #,##0_-;_-* &quot;-&quot;??_-;_-@_-">
                  <c:v>3960268.52</c:v>
                </c:pt>
                <c:pt idx="567" formatCode="_-* #,##0_-;\-* #,##0_-;_-* &quot;-&quot;??_-;_-@_-">
                  <c:v>12431015.25</c:v>
                </c:pt>
                <c:pt idx="568" formatCode="_-* #,##0_-;\-* #,##0_-;_-* &quot;-&quot;??_-;_-@_-">
                  <c:v>21522366.34</c:v>
                </c:pt>
                <c:pt idx="569" formatCode="_-* #,##0_-;\-* #,##0_-;_-* &quot;-&quot;??_-;_-@_-">
                  <c:v>13445249.4</c:v>
                </c:pt>
                <c:pt idx="570" formatCode="_-* #,##0_-;\-* #,##0_-;_-* &quot;-&quot;??_-;_-@_-">
                  <c:v>20036291.009999998</c:v>
                </c:pt>
                <c:pt idx="571" formatCode="_-* #,##0_-;\-* #,##0_-;_-* &quot;-&quot;??_-;_-@_-">
                  <c:v>20039585.620000001</c:v>
                </c:pt>
                <c:pt idx="572" formatCode="_-* #,##0_-;\-* #,##0_-;_-* &quot;-&quot;??_-;_-@_-">
                  <c:v>14514490.280000001</c:v>
                </c:pt>
                <c:pt idx="573" formatCode="_-* #,##0_-;\-* #,##0_-;_-* &quot;-&quot;??_-;_-@_-">
                  <c:v>12676475.969999999</c:v>
                </c:pt>
                <c:pt idx="574" formatCode="_-* #,##0_-;\-* #,##0_-;_-* &quot;-&quot;??_-;_-@_-">
                  <c:v>30589216.530000001</c:v>
                </c:pt>
                <c:pt idx="575" formatCode="_-* #,##0_-;\-* #,##0_-;_-* &quot;-&quot;??_-;_-@_-">
                  <c:v>10941085.57</c:v>
                </c:pt>
                <c:pt idx="576" formatCode="_-* #,##0_-;\-* #,##0_-;_-* &quot;-&quot;??_-;_-@_-">
                  <c:v>35640624.530000001</c:v>
                </c:pt>
                <c:pt idx="577" formatCode="_-* #,##0_-;\-* #,##0_-;_-* &quot;-&quot;??_-;_-@_-">
                  <c:v>12955530.91</c:v>
                </c:pt>
                <c:pt idx="578" formatCode="_-* #,##0_-;\-* #,##0_-;_-* &quot;-&quot;??_-;_-@_-">
                  <c:v>21729794.199999999</c:v>
                </c:pt>
                <c:pt idx="579" formatCode="_-* #,##0_-;\-* #,##0_-;_-* &quot;-&quot;??_-;_-@_-">
                  <c:v>29363528.32</c:v>
                </c:pt>
                <c:pt idx="580" formatCode="_-* #,##0_-;\-* #,##0_-;_-* &quot;-&quot;??_-;_-@_-">
                  <c:v>24337932.190000001</c:v>
                </c:pt>
                <c:pt idx="581" formatCode="_-* #,##0_-;\-* #,##0_-;_-* &quot;-&quot;??_-;_-@_-">
                  <c:v>9915794.0999999996</c:v>
                </c:pt>
                <c:pt idx="582" formatCode="_-* #,##0_-;\-* #,##0_-;_-* &quot;-&quot;??_-;_-@_-">
                  <c:v>14013336.4</c:v>
                </c:pt>
                <c:pt idx="583" formatCode="_-* #,##0_-;\-* #,##0_-;_-* &quot;-&quot;??_-;_-@_-">
                  <c:v>14158661.335999999</c:v>
                </c:pt>
                <c:pt idx="584" formatCode="_-* #,##0_-;\-* #,##0_-;_-* &quot;-&quot;??_-;_-@_-">
                  <c:v>19785098.539999999</c:v>
                </c:pt>
                <c:pt idx="585" formatCode="_-* #,##0_-;\-* #,##0_-;_-* &quot;-&quot;??_-;_-@_-">
                  <c:v>12139577.671000002</c:v>
                </c:pt>
                <c:pt idx="586" formatCode="_-* #,##0_-;\-* #,##0_-;_-* &quot;-&quot;??_-;_-@_-">
                  <c:v>14331044.114</c:v>
                </c:pt>
                <c:pt idx="587" formatCode="_-* #,##0_-;\-* #,##0_-;_-* &quot;-&quot;??_-;_-@_-">
                  <c:v>16761221.955</c:v>
                </c:pt>
                <c:pt idx="588" formatCode="_-* #,##0_-;\-* #,##0_-;_-* &quot;-&quot;??_-;_-@_-">
                  <c:v>14322283.375</c:v>
                </c:pt>
                <c:pt idx="589" formatCode="_-* #,##0_-;\-* #,##0_-;_-* &quot;-&quot;??_-;_-@_-">
                  <c:v>8980913.4399999995</c:v>
                </c:pt>
                <c:pt idx="590" formatCode="_-* #,##0_-;\-* #,##0_-;_-* &quot;-&quot;??_-;_-@_-">
                  <c:v>11803444.454999998</c:v>
                </c:pt>
                <c:pt idx="591" formatCode="_-* #,##0_-;\-* #,##0_-;_-* &quot;-&quot;??_-;_-@_-">
                  <c:v>18215446.875999998</c:v>
                </c:pt>
                <c:pt idx="592" formatCode="_-* #,##0_-;\-* #,##0_-;_-* &quot;-&quot;??_-;_-@_-">
                  <c:v>27002278.544999998</c:v>
                </c:pt>
                <c:pt idx="593" formatCode="_-* #,##0_-;\-* #,##0_-;_-* &quot;-&quot;??_-;_-@_-">
                  <c:v>17603109.655999999</c:v>
                </c:pt>
                <c:pt idx="594" formatCode="_-* #,##0_-;\-* #,##0_-;_-* &quot;-&quot;??_-;_-@_-">
                  <c:v>20106619.609999999</c:v>
                </c:pt>
                <c:pt idx="595" formatCode="_-* #,##0_-;\-* #,##0_-;_-* &quot;-&quot;??_-;_-@_-">
                  <c:v>13496538.594000001</c:v>
                </c:pt>
                <c:pt idx="596" formatCode="_-* #,##0_-;\-* #,##0_-;_-* &quot;-&quot;??_-;_-@_-">
                  <c:v>11951490.98</c:v>
                </c:pt>
                <c:pt idx="597" formatCode="_-* #,##0_-;\-* #,##0_-;_-* &quot;-&quot;??_-;_-@_-">
                  <c:v>16543224.950999999</c:v>
                </c:pt>
                <c:pt idx="598" formatCode="_-* #,##0_-;\-* #,##0_-;_-* &quot;-&quot;??_-;_-@_-">
                  <c:v>35968771.277999997</c:v>
                </c:pt>
                <c:pt idx="599" formatCode="_-* #,##0_-;\-* #,##0_-;_-* &quot;-&quot;??_-;_-@_-">
                  <c:v>12640802.515000001</c:v>
                </c:pt>
                <c:pt idx="600" formatCode="_-* #,##0_-;\-* #,##0_-;_-* &quot;-&quot;??_-;_-@_-">
                  <c:v>29941778.723999999</c:v>
                </c:pt>
                <c:pt idx="601" formatCode="_-* #,##0_-;\-* #,##0_-;_-* &quot;-&quot;??_-;_-@_-">
                  <c:v>15233016.909000002</c:v>
                </c:pt>
                <c:pt idx="602" formatCode="_-* #,##0_-;\-* #,##0_-;_-* &quot;-&quot;??_-;_-@_-">
                  <c:v>15161154.459000001</c:v>
                </c:pt>
                <c:pt idx="603" formatCode="_-* #,##0_-;\-* #,##0_-;_-* &quot;-&quot;??_-;_-@_-">
                  <c:v>12574743.390000001</c:v>
                </c:pt>
                <c:pt idx="604" formatCode="_-* #,##0_-;\-* #,##0_-;_-* &quot;-&quot;??_-;_-@_-">
                  <c:v>4435661.5710000005</c:v>
                </c:pt>
                <c:pt idx="605" formatCode="_-* #,##0_-;\-* #,##0_-;_-* &quot;-&quot;??_-;_-@_-">
                  <c:v>20414758.881000001</c:v>
                </c:pt>
                <c:pt idx="606" formatCode="_-* #,##0_-;\-* #,##0_-;_-* &quot;-&quot;??_-;_-@_-">
                  <c:v>16987176.844000001</c:v>
                </c:pt>
                <c:pt idx="607" formatCode="_-* #,##0_-;\-* #,##0_-;_-* &quot;-&quot;??_-;_-@_-">
                  <c:v>16195870.02</c:v>
                </c:pt>
                <c:pt idx="608" formatCode="_-* #,##0_-;\-* #,##0_-;_-* &quot;-&quot;??_-;_-@_-">
                  <c:v>15281878.435999999</c:v>
                </c:pt>
                <c:pt idx="609" formatCode="_-* #,##0_-;\-* #,##0_-;_-* &quot;-&quot;??_-;_-@_-">
                  <c:v>18341697.594000001</c:v>
                </c:pt>
                <c:pt idx="610" formatCode="_-* #,##0_-;\-* #,##0_-;_-* &quot;-&quot;??_-;_-@_-">
                  <c:v>13685114.553000001</c:v>
                </c:pt>
                <c:pt idx="611" formatCode="_-* #,##0_-;\-* #,##0_-;_-* &quot;-&quot;??_-;_-@_-">
                  <c:v>6483361.0929999994</c:v>
                </c:pt>
                <c:pt idx="612" formatCode="_-* #,##0_-;\-* #,##0_-;_-* &quot;-&quot;??_-;_-@_-">
                  <c:v>17596595.114999998</c:v>
                </c:pt>
                <c:pt idx="613" formatCode="_-* #,##0_-;\-* #,##0_-;_-* &quot;-&quot;??_-;_-@_-">
                  <c:v>14381390.078</c:v>
                </c:pt>
                <c:pt idx="614" formatCode="_-* #,##0_-;\-* #,##0_-;_-* &quot;-&quot;??_-;_-@_-">
                  <c:v>24587611.322999999</c:v>
                </c:pt>
                <c:pt idx="615" formatCode="_-* #,##0_-;\-* #,##0_-;_-* &quot;-&quot;??_-;_-@_-">
                  <c:v>16643294.029999999</c:v>
                </c:pt>
                <c:pt idx="616" formatCode="_-* #,##0_-;\-* #,##0_-;_-* &quot;-&quot;??_-;_-@_-">
                  <c:v>13779424.757999999</c:v>
                </c:pt>
                <c:pt idx="617" formatCode="_-* #,##0_-;\-* #,##0_-;_-* &quot;-&quot;??_-;_-@_-">
                  <c:v>16667959.396</c:v>
                </c:pt>
                <c:pt idx="618" formatCode="_-* #,##0_-;\-* #,##0_-;_-* &quot;-&quot;??_-;_-@_-">
                  <c:v>6481163.2379999999</c:v>
                </c:pt>
                <c:pt idx="619" formatCode="_-* #,##0_-;\-* #,##0_-;_-* &quot;-&quot;??_-;_-@_-">
                  <c:v>9723774.7860000003</c:v>
                </c:pt>
                <c:pt idx="620" formatCode="_-* #,##0_-;\-* #,##0_-;_-* &quot;-&quot;??_-;_-@_-">
                  <c:v>28356438.748000003</c:v>
                </c:pt>
                <c:pt idx="621" formatCode="_-* #,##0_-;\-* #,##0_-;_-* &quot;-&quot;??_-;_-@_-">
                  <c:v>14035304.470000001</c:v>
                </c:pt>
                <c:pt idx="622" formatCode="_-* #,##0_-;\-* #,##0_-;_-* &quot;-&quot;??_-;_-@_-">
                  <c:v>21177113.287</c:v>
                </c:pt>
                <c:pt idx="623" formatCode="_-* #,##0_-;\-* #,##0_-;_-* &quot;-&quot;??_-;_-@_-">
                  <c:v>23476133.824000001</c:v>
                </c:pt>
                <c:pt idx="624" formatCode="_-* #,##0_-;\-* #,##0_-;_-* &quot;-&quot;??_-;_-@_-">
                  <c:v>18753333.609999999</c:v>
                </c:pt>
                <c:pt idx="625" formatCode="_-* #,##0_-;\-* #,##0_-;_-* &quot;-&quot;??_-;_-@_-">
                  <c:v>8916040.8479999993</c:v>
                </c:pt>
                <c:pt idx="626" formatCode="_-* #,##0_-;\-* #,##0_-;_-* &quot;-&quot;??_-;_-@_-">
                  <c:v>23605293.613000002</c:v>
                </c:pt>
                <c:pt idx="627" formatCode="_-* #,##0_-;\-* #,##0_-;_-* &quot;-&quot;??_-;_-@_-">
                  <c:v>14994240.954</c:v>
                </c:pt>
                <c:pt idx="628" formatCode="_-* #,##0_-;\-* #,##0_-;_-* &quot;-&quot;??_-;_-@_-">
                  <c:v>18505563.736000001</c:v>
                </c:pt>
                <c:pt idx="629" formatCode="_-* #,##0_-;\-* #,##0_-;_-* &quot;-&quot;??_-;_-@_-">
                  <c:v>22434004.824000001</c:v>
                </c:pt>
                <c:pt idx="630" formatCode="_-* #,##0_-;\-* #,##0_-;_-* &quot;-&quot;??_-;_-@_-">
                  <c:v>13209533.304</c:v>
                </c:pt>
                <c:pt idx="631" formatCode="_-* #,##0_-;\-* #,##0_-;_-* &quot;-&quot;??_-;_-@_-">
                  <c:v>17175402.134</c:v>
                </c:pt>
                <c:pt idx="632" formatCode="_-* #,##0_-;\-* #,##0_-;_-* &quot;-&quot;??_-;_-@_-">
                  <c:v>6921860.3300000001</c:v>
                </c:pt>
                <c:pt idx="633" formatCode="_-* #,##0_-;\-* #,##0_-;_-* &quot;-&quot;??_-;_-@_-">
                  <c:v>23089923.780000001</c:v>
                </c:pt>
                <c:pt idx="634" formatCode="_-* #,##0_-;\-* #,##0_-;_-* &quot;-&quot;??_-;_-@_-">
                  <c:v>14000701.836000001</c:v>
                </c:pt>
                <c:pt idx="635" formatCode="_-* #,##0_-;\-* #,##0_-;_-* &quot;-&quot;??_-;_-@_-">
                  <c:v>12279504.787</c:v>
                </c:pt>
                <c:pt idx="636" formatCode="_-* #,##0_-;\-* #,##0_-;_-* &quot;-&quot;??_-;_-@_-">
                  <c:v>14643354.638</c:v>
                </c:pt>
                <c:pt idx="637" formatCode="_-* #,##0_-;\-* #,##0_-;_-* &quot;-&quot;??_-;_-@_-">
                  <c:v>33842813.300999999</c:v>
                </c:pt>
                <c:pt idx="638" formatCode="_-* #,##0_-;\-* #,##0_-;_-* &quot;-&quot;??_-;_-@_-">
                  <c:v>16724150.399</c:v>
                </c:pt>
                <c:pt idx="639" formatCode="_-* #,##0_-;\-* #,##0_-;_-* &quot;-&quot;??_-;_-@_-">
                  <c:v>13680931.220000001</c:v>
                </c:pt>
                <c:pt idx="640" formatCode="_-* #,##0_-;\-* #,##0_-;_-* &quot;-&quot;??_-;_-@_-">
                  <c:v>18954301.52</c:v>
                </c:pt>
                <c:pt idx="641" formatCode="_-* #,##0_-;\-* #,##0_-;_-* &quot;-&quot;??_-;_-@_-">
                  <c:v>24301124.628000002</c:v>
                </c:pt>
                <c:pt idx="642" formatCode="_-* #,##0_-;\-* #,##0_-;_-* &quot;-&quot;??_-;_-@_-">
                  <c:v>29671951.276000001</c:v>
                </c:pt>
                <c:pt idx="643" formatCode="_-* #,##0_-;\-* #,##0_-;_-* &quot;-&quot;??_-;_-@_-">
                  <c:v>22928616.039999999</c:v>
                </c:pt>
                <c:pt idx="644" formatCode="_-* #,##0_-;\-* #,##0_-;_-* &quot;-&quot;??_-;_-@_-">
                  <c:v>15844084.806000002</c:v>
                </c:pt>
                <c:pt idx="645" formatCode="_-* #,##0_-;\-* #,##0_-;_-* &quot;-&quot;??_-;_-@_-">
                  <c:v>13605557.141000001</c:v>
                </c:pt>
                <c:pt idx="646" formatCode="_-* #,##0_-;\-* #,##0_-;_-* &quot;-&quot;??_-;_-@_-">
                  <c:v>6613498.8040000005</c:v>
                </c:pt>
                <c:pt idx="647" formatCode="_-* #,##0_-;\-* #,##0_-;_-* &quot;-&quot;??_-;_-@_-">
                  <c:v>12291620.154000001</c:v>
                </c:pt>
                <c:pt idx="648" formatCode="_-* #,##0_-;\-* #,##0_-;_-* &quot;-&quot;??_-;_-@_-">
                  <c:v>9969292.4759999998</c:v>
                </c:pt>
                <c:pt idx="649" formatCode="_-* #,##0_-;\-* #,##0_-;_-* &quot;-&quot;??_-;_-@_-">
                  <c:v>20002633.903999999</c:v>
                </c:pt>
                <c:pt idx="650" formatCode="_-* #,##0_-;\-* #,##0_-;_-* &quot;-&quot;??_-;_-@_-">
                  <c:v>16321370.010000002</c:v>
                </c:pt>
                <c:pt idx="651" formatCode="_-* #,##0_-;\-* #,##0_-;_-* &quot;-&quot;??_-;_-@_-">
                  <c:v>28466780.947000001</c:v>
                </c:pt>
                <c:pt idx="652" formatCode="_-* #,##0_-;\-* #,##0_-;_-* &quot;-&quot;??_-;_-@_-">
                  <c:v>15145655.877</c:v>
                </c:pt>
                <c:pt idx="653" formatCode="_-* #,##0_-;\-* #,##0_-;_-* &quot;-&quot;??_-;_-@_-">
                  <c:v>15598542.421</c:v>
                </c:pt>
                <c:pt idx="654" formatCode="_-* #,##0_-;\-* #,##0_-;_-* &quot;-&quot;??_-;_-@_-">
                  <c:v>15783478.336999999</c:v>
                </c:pt>
                <c:pt idx="655" formatCode="_-* #,##0_-;\-* #,##0_-;_-* &quot;-&quot;??_-;_-@_-">
                  <c:v>18276873.219000001</c:v>
                </c:pt>
                <c:pt idx="656" formatCode="_-* #,##0_-;\-* #,##0_-;_-* &quot;-&quot;??_-;_-@_-">
                  <c:v>19076275.063999999</c:v>
                </c:pt>
                <c:pt idx="657" formatCode="_-* #,##0_-;\-* #,##0_-;_-* &quot;-&quot;??_-;_-@_-">
                  <c:v>20510170.482999999</c:v>
                </c:pt>
                <c:pt idx="658" formatCode="_-* #,##0_-;\-* #,##0_-;_-* &quot;-&quot;??_-;_-@_-">
                  <c:v>13234567.001</c:v>
                </c:pt>
                <c:pt idx="659" formatCode="_-* #,##0_-;\-* #,##0_-;_-* &quot;-&quot;??_-;_-@_-">
                  <c:v>13617053.026999999</c:v>
                </c:pt>
                <c:pt idx="660" formatCode="_-* #,##0_-;\-* #,##0_-;_-* &quot;-&quot;??_-;_-@_-">
                  <c:v>9275410.8000000007</c:v>
                </c:pt>
                <c:pt idx="661" formatCode="_-* #,##0_-;\-* #,##0_-;_-* &quot;-&quot;??_-;_-@_-">
                  <c:v>17267551.991</c:v>
                </c:pt>
                <c:pt idx="662" formatCode="_-* #,##0_-;\-* #,##0_-;_-* &quot;-&quot;??_-;_-@_-">
                  <c:v>13276700.402999999</c:v>
                </c:pt>
                <c:pt idx="663" formatCode="_-* #,##0_-;\-* #,##0_-;_-* &quot;-&quot;??_-;_-@_-">
                  <c:v>12909482.723999999</c:v>
                </c:pt>
                <c:pt idx="664" formatCode="_-* #,##0_-;\-* #,##0_-;_-* &quot;-&quot;??_-;_-@_-">
                  <c:v>16209958.622</c:v>
                </c:pt>
                <c:pt idx="665" formatCode="_-* #,##0_-;\-* #,##0_-;_-* &quot;-&quot;??_-;_-@_-">
                  <c:v>12536051.126</c:v>
                </c:pt>
                <c:pt idx="666" formatCode="_-* #,##0_-;\-* #,##0_-;_-* &quot;-&quot;??_-;_-@_-">
                  <c:v>10027925.68</c:v>
                </c:pt>
                <c:pt idx="667" formatCode="_-* #,##0_-;\-* #,##0_-;_-* &quot;-&quot;??_-;_-@_-">
                  <c:v>28840514.118000001</c:v>
                </c:pt>
                <c:pt idx="668" formatCode="_-* #,##0_-;\-* #,##0_-;_-* &quot;-&quot;??_-;_-@_-">
                  <c:v>36625161.259999998</c:v>
                </c:pt>
                <c:pt idx="669" formatCode="_-* #,##0_-;\-* #,##0_-;_-* &quot;-&quot;??_-;_-@_-">
                  <c:v>12168911.671000002</c:v>
                </c:pt>
                <c:pt idx="670" formatCode="_-* #,##0_-;\-* #,##0_-;_-* &quot;-&quot;??_-;_-@_-">
                  <c:v>14925755.214</c:v>
                </c:pt>
                <c:pt idx="671" formatCode="_-* #,##0_-;\-* #,##0_-;_-* &quot;-&quot;??_-;_-@_-">
                  <c:v>24569112.154000003</c:v>
                </c:pt>
                <c:pt idx="672" formatCode="_-* #,##0_-;\-* #,##0_-;_-* &quot;-&quot;??_-;_-@_-">
                  <c:v>17887350.077</c:v>
                </c:pt>
                <c:pt idx="673" formatCode="_-* #,##0_-;\-* #,##0_-;_-* &quot;-&quot;??_-;_-@_-">
                  <c:v>18806447.854000002</c:v>
                </c:pt>
                <c:pt idx="674" formatCode="_-* #,##0_-;\-* #,##0_-;_-* &quot;-&quot;??_-;_-@_-">
                  <c:v>12135275.351</c:v>
                </c:pt>
                <c:pt idx="675" formatCode="_-* #,##0_-;\-* #,##0_-;_-* &quot;-&quot;??_-;_-@_-">
                  <c:v>20079577.677000001</c:v>
                </c:pt>
                <c:pt idx="676" formatCode="_-* #,##0_-;\-* #,##0_-;_-* &quot;-&quot;??_-;_-@_-">
                  <c:v>19397386.173</c:v>
                </c:pt>
                <c:pt idx="677" formatCode="_-* #,##0_-;\-* #,##0_-;_-* &quot;-&quot;??_-;_-@_-">
                  <c:v>19308347.704999998</c:v>
                </c:pt>
                <c:pt idx="678" formatCode="_-* #,##0_-;\-* #,##0_-;_-* &quot;-&quot;??_-;_-@_-">
                  <c:v>28713703.235999998</c:v>
                </c:pt>
                <c:pt idx="679" formatCode="_-* #,##0_-;\-* #,##0_-;_-* &quot;-&quot;??_-;_-@_-">
                  <c:v>15296096.964</c:v>
                </c:pt>
                <c:pt idx="680" formatCode="_-* #,##0_-;\-* #,##0_-;_-* &quot;-&quot;??_-;_-@_-">
                  <c:v>16019688.52</c:v>
                </c:pt>
                <c:pt idx="681" formatCode="_-* #,##0_-;\-* #,##0_-;_-* &quot;-&quot;??_-;_-@_-">
                  <c:v>12561557.039000001</c:v>
                </c:pt>
                <c:pt idx="682" formatCode="_-* #,##0_-;\-* #,##0_-;_-* &quot;-&quot;??_-;_-@_-">
                  <c:v>25692105.675999999</c:v>
                </c:pt>
                <c:pt idx="683" formatCode="_-* #,##0_-;\-* #,##0_-;_-* &quot;-&quot;??_-;_-@_-">
                  <c:v>33525417.923999999</c:v>
                </c:pt>
                <c:pt idx="684" formatCode="_-* #,##0_-;\-* #,##0_-;_-* &quot;-&quot;??_-;_-@_-">
                  <c:v>19279732.388</c:v>
                </c:pt>
                <c:pt idx="685" formatCode="_-* #,##0_-;\-* #,##0_-;_-* &quot;-&quot;??_-;_-@_-">
                  <c:v>18609118.036000002</c:v>
                </c:pt>
                <c:pt idx="686" formatCode="_-* #,##0_-;\-* #,##0_-;_-* &quot;-&quot;??_-;_-@_-">
                  <c:v>32504917.398000002</c:v>
                </c:pt>
                <c:pt idx="687" formatCode="_-* #,##0_-;\-* #,##0_-;_-* &quot;-&quot;??_-;_-@_-">
                  <c:v>36959774.197999999</c:v>
                </c:pt>
                <c:pt idx="688" formatCode="_-* #,##0_-;\-* #,##0_-;_-* &quot;-&quot;??_-;_-@_-">
                  <c:v>15360915.326000001</c:v>
                </c:pt>
                <c:pt idx="689" formatCode="_-* #,##0_-;\-* #,##0_-;_-* &quot;-&quot;??_-;_-@_-">
                  <c:v>29623590.137000002</c:v>
                </c:pt>
                <c:pt idx="690" formatCode="_-* #,##0_-;\-* #,##0_-;_-* &quot;-&quot;??_-;_-@_-">
                  <c:v>20878181.159999996</c:v>
                </c:pt>
                <c:pt idx="691" formatCode="_-* #,##0_-;\-* #,##0_-;_-* &quot;-&quot;??_-;_-@_-">
                  <c:v>16457464.247</c:v>
                </c:pt>
                <c:pt idx="692" formatCode="_-* #,##0_-;\-* #,##0_-;_-* &quot;-&quot;??_-;_-@_-">
                  <c:v>12429500.260000002</c:v>
                </c:pt>
                <c:pt idx="693" formatCode="_-* #,##0_-;\-* #,##0_-;_-* &quot;-&quot;??_-;_-@_-">
                  <c:v>10597983.079999998</c:v>
                </c:pt>
                <c:pt idx="694" formatCode="_-* #,##0_-;\-* #,##0_-;_-* &quot;-&quot;??_-;_-@_-">
                  <c:v>8391748.4949999992</c:v>
                </c:pt>
                <c:pt idx="695" formatCode="_-* #,##0_-;\-* #,##0_-;_-* &quot;-&quot;??_-;_-@_-">
                  <c:v>11249774.782</c:v>
                </c:pt>
                <c:pt idx="696" formatCode="_-* #,##0_-;\-* #,##0_-;_-* &quot;-&quot;??_-;_-@_-">
                  <c:v>13197376.378</c:v>
                </c:pt>
                <c:pt idx="697" formatCode="_-* #,##0_-;\-* #,##0_-;_-* &quot;-&quot;??_-;_-@_-">
                  <c:v>29086891.365999997</c:v>
                </c:pt>
                <c:pt idx="698" formatCode="_-* #,##0_-;\-* #,##0_-;_-* &quot;-&quot;??_-;_-@_-">
                  <c:v>19939825.048</c:v>
                </c:pt>
                <c:pt idx="699" formatCode="_-* #,##0_-;\-* #,##0_-;_-* &quot;-&quot;??_-;_-@_-">
                  <c:v>26585151.645</c:v>
                </c:pt>
                <c:pt idx="700" formatCode="_-* #,##0_-;\-* #,##0_-;_-* &quot;-&quot;??_-;_-@_-">
                  <c:v>14418540.291999999</c:v>
                </c:pt>
                <c:pt idx="701" formatCode="_-* #,##0_-;\-* #,##0_-;_-* &quot;-&quot;??_-;_-@_-">
                  <c:v>28096677.075999998</c:v>
                </c:pt>
                <c:pt idx="702" formatCode="_-* #,##0_-;\-* #,##0_-;_-* &quot;-&quot;??_-;_-@_-">
                  <c:v>17732982.111000001</c:v>
                </c:pt>
                <c:pt idx="703" formatCode="_-* #,##0_-;\-* #,##0_-;_-* &quot;-&quot;??_-;_-@_-">
                  <c:v>14905952.073999999</c:v>
                </c:pt>
                <c:pt idx="704" formatCode="_-* #,##0_-;\-* #,##0_-;_-* &quot;-&quot;??_-;_-@_-">
                  <c:v>16750419.543000001</c:v>
                </c:pt>
                <c:pt idx="705" formatCode="_-* #,##0_-;\-* #,##0_-;_-* &quot;-&quot;??_-;_-@_-">
                  <c:v>20934054.309999999</c:v>
                </c:pt>
                <c:pt idx="706" formatCode="_-* #,##0_-;\-* #,##0_-;_-* &quot;-&quot;??_-;_-@_-">
                  <c:v>16268792.617999999</c:v>
                </c:pt>
                <c:pt idx="707" formatCode="_-* #,##0_-;\-* #,##0_-;_-* &quot;-&quot;??_-;_-@_-">
                  <c:v>15392772.278000001</c:v>
                </c:pt>
                <c:pt idx="708" formatCode="_-* #,##0_-;\-* #,##0_-;_-* &quot;-&quot;??_-;_-@_-">
                  <c:v>16530294.339</c:v>
                </c:pt>
                <c:pt idx="709" formatCode="_-* #,##0_-;\-* #,##0_-;_-* &quot;-&quot;??_-;_-@_-">
                  <c:v>10833150.9</c:v>
                </c:pt>
                <c:pt idx="710" formatCode="_-* #,##0_-;\-* #,##0_-;_-* &quot;-&quot;??_-;_-@_-">
                  <c:v>18943675.199999999</c:v>
                </c:pt>
                <c:pt idx="711" formatCode="_-* #,##0_-;\-* #,##0_-;_-* &quot;-&quot;??_-;_-@_-">
                  <c:v>15928875.648</c:v>
                </c:pt>
                <c:pt idx="712" formatCode="_-* #,##0_-;\-* #,##0_-;_-* &quot;-&quot;??_-;_-@_-">
                  <c:v>29606010.816</c:v>
                </c:pt>
                <c:pt idx="713" formatCode="_-* #,##0_-;\-* #,##0_-;_-* &quot;-&quot;??_-;_-@_-">
                  <c:v>12999863.360000001</c:v>
                </c:pt>
                <c:pt idx="714" formatCode="_-* #,##0_-;\-* #,##0_-;_-* &quot;-&quot;??_-;_-@_-">
                  <c:v>42989903.232000001</c:v>
                </c:pt>
                <c:pt idx="715" formatCode="_-* #,##0_-;\-* #,##0_-;_-* &quot;-&quot;??_-;_-@_-">
                  <c:v>22647576.063999999</c:v>
                </c:pt>
                <c:pt idx="716" formatCode="_-* #,##0_-;\-* #,##0_-;_-* &quot;-&quot;??_-;_-@_-">
                  <c:v>13016818.048</c:v>
                </c:pt>
                <c:pt idx="717" formatCode="_-* #,##0_-;\-* #,##0_-;_-* &quot;-&quot;??_-;_-@_-">
                  <c:v>9825683.1999999993</c:v>
                </c:pt>
                <c:pt idx="718" formatCode="_-* #,##0_-;\-* #,##0_-;_-* &quot;-&quot;??_-;_-@_-">
                  <c:v>21222840.32</c:v>
                </c:pt>
                <c:pt idx="719" formatCode="_-* #,##0_-;\-* #,##0_-;_-* &quot;-&quot;??_-;_-@_-">
                  <c:v>17867718.272</c:v>
                </c:pt>
                <c:pt idx="720" formatCode="_-* #,##0_-;\-* #,##0_-;_-* &quot;-&quot;??_-;_-@_-">
                  <c:v>16609885.056</c:v>
                </c:pt>
                <c:pt idx="721" formatCode="_-* #,##0_-;\-* #,##0_-;_-* &quot;-&quot;??_-;_-@_-">
                  <c:v>20734513.535999998</c:v>
                </c:pt>
                <c:pt idx="722" formatCode="_-* #,##0_-;\-* #,##0_-;_-* &quot;-&quot;??_-;_-@_-">
                  <c:v>22296096.831999999</c:v>
                </c:pt>
                <c:pt idx="723" formatCode="_-* #,##0_-;\-* #,##0_-;_-* &quot;-&quot;??_-;_-@_-">
                  <c:v>18267113.535999998</c:v>
                </c:pt>
                <c:pt idx="724" formatCode="_-* #,##0_-;\-* #,##0_-;_-* &quot;-&quot;??_-;_-@_-">
                  <c:v>6657.6</c:v>
                </c:pt>
                <c:pt idx="725" formatCode="_-* #,##0_-;\-* #,##0_-;_-* &quot;-&quot;??_-;_-@_-">
                  <c:v>19954065.279999997</c:v>
                </c:pt>
                <c:pt idx="726" formatCode="_-* #,##0_-;\-* #,##0_-;_-* &quot;-&quot;??_-;_-@_-">
                  <c:v>16482680.512</c:v>
                </c:pt>
                <c:pt idx="727" formatCode="_-* #,##0_-;\-* #,##0_-;_-* &quot;-&quot;??_-;_-@_-">
                  <c:v>5990601.9199999999</c:v>
                </c:pt>
                <c:pt idx="728" formatCode="_-* #,##0_-;\-* #,##0_-;_-* &quot;-&quot;??_-;_-@_-">
                  <c:v>27670429.248000003</c:v>
                </c:pt>
                <c:pt idx="729" formatCode="_-* #,##0_-;\-* #,##0_-;_-* &quot;-&quot;??_-;_-@_-">
                  <c:v>9928364.4159999993</c:v>
                </c:pt>
                <c:pt idx="730" formatCode="_-* #,##0_-;\-* #,##0_-;_-* &quot;-&quot;??_-;_-@_-">
                  <c:v>26356630.144000001</c:v>
                </c:pt>
                <c:pt idx="731" formatCode="_-* #,##0_-;\-* #,##0_-;_-* &quot;-&quot;??_-;_-@_-">
                  <c:v>19550885.696000002</c:v>
                </c:pt>
                <c:pt idx="732" formatCode="_-* #,##0_-;\-* #,##0_-;_-* &quot;-&quot;??_-;_-@_-">
                  <c:v>16906113.216000002</c:v>
                </c:pt>
                <c:pt idx="733" formatCode="_-* #,##0_-;\-* #,##0_-;_-* &quot;-&quot;??_-;_-@_-">
                  <c:v>37854520.255999997</c:v>
                </c:pt>
                <c:pt idx="734" formatCode="_-* #,##0_-;\-* #,##0_-;_-* &quot;-&quot;??_-;_-@_-">
                  <c:v>6496677.6320000002</c:v>
                </c:pt>
                <c:pt idx="735" formatCode="_-* #,##0_-;\-* #,##0_-;_-* &quot;-&quot;??_-;_-@_-">
                  <c:v>22528668.991999999</c:v>
                </c:pt>
                <c:pt idx="736" formatCode="_-* #,##0_-;\-* #,##0_-;_-* &quot;-&quot;??_-;_-@_-">
                  <c:v>19929303.68</c:v>
                </c:pt>
                <c:pt idx="737" formatCode="_-* #,##0_-;\-* #,##0_-;_-* &quot;-&quot;??_-;_-@_-">
                  <c:v>26863577.924000002</c:v>
                </c:pt>
                <c:pt idx="738" formatCode="_-* #,##0_-;\-* #,##0_-;_-* &quot;-&quot;??_-;_-@_-">
                  <c:v>25481463.564000003</c:v>
                </c:pt>
                <c:pt idx="739" formatCode="_-* #,##0_-;\-* #,##0_-;_-* &quot;-&quot;??_-;_-@_-">
                  <c:v>20089490.096000001</c:v>
                </c:pt>
                <c:pt idx="740" formatCode="_-* #,##0_-;\-* #,##0_-;_-* &quot;-&quot;??_-;_-@_-">
                  <c:v>19441891.52</c:v>
                </c:pt>
                <c:pt idx="741" formatCode="_-* #,##0_-;\-* #,##0_-;_-* &quot;-&quot;??_-;_-@_-">
                  <c:v>25344783.940000001</c:v>
                </c:pt>
                <c:pt idx="742" formatCode="_-* #,##0_-;\-* #,##0_-;_-* &quot;-&quot;??_-;_-@_-">
                  <c:v>26647850.120000001</c:v>
                </c:pt>
                <c:pt idx="743" formatCode="_-* #,##0_-;\-* #,##0_-;_-* &quot;-&quot;??_-;_-@_-">
                  <c:v>9727483.4000000004</c:v>
                </c:pt>
                <c:pt idx="744" formatCode="_-* #,##0_-;\-* #,##0_-;_-* &quot;-&quot;??_-;_-@_-">
                  <c:v>9692390.1119999997</c:v>
                </c:pt>
                <c:pt idx="745" formatCode="_-* #,##0_-;\-* #,##0_-;_-* &quot;-&quot;??_-;_-@_-">
                  <c:v>18820787.088</c:v>
                </c:pt>
                <c:pt idx="746" formatCode="_-* #,##0_-;\-* #,##0_-;_-* &quot;-&quot;??_-;_-@_-">
                  <c:v>24899453.07</c:v>
                </c:pt>
                <c:pt idx="747" formatCode="_-* #,##0_-;\-* #,##0_-;_-* &quot;-&quot;??_-;_-@_-">
                  <c:v>18793294.725000001</c:v>
                </c:pt>
                <c:pt idx="748" formatCode="_-* #,##0_-;\-* #,##0_-;_-* &quot;-&quot;??_-;_-@_-">
                  <c:v>8523057.5250000004</c:v>
                </c:pt>
                <c:pt idx="749" formatCode="_-* #,##0_-;\-* #,##0_-;_-* &quot;-&quot;??_-;_-@_-">
                  <c:v>7802853.1200000001</c:v>
                </c:pt>
                <c:pt idx="750" formatCode="_-* #,##0_-;\-* #,##0_-;_-* &quot;-&quot;??_-;_-@_-">
                  <c:v>13728428.625</c:v>
                </c:pt>
                <c:pt idx="751" formatCode="_-* #,##0_-;\-* #,##0_-;_-* &quot;-&quot;??_-;_-@_-">
                  <c:v>12878169.885</c:v>
                </c:pt>
                <c:pt idx="752" formatCode="_-* #,##0_-;\-* #,##0_-;_-* &quot;-&quot;??_-;_-@_-">
                  <c:v>23600687.835000001</c:v>
                </c:pt>
                <c:pt idx="753" formatCode="_-* #,##0_-;\-* #,##0_-;_-* &quot;-&quot;??_-;_-@_-">
                  <c:v>30371357.309999999</c:v>
                </c:pt>
                <c:pt idx="754" formatCode="_-* #,##0_-;\-* #,##0_-;_-* &quot;-&quot;??_-;_-@_-">
                  <c:v>15267626.985000001</c:v>
                </c:pt>
                <c:pt idx="755" formatCode="_-* #,##0_-;\-* #,##0_-;_-* &quot;-&quot;??_-;_-@_-">
                  <c:v>10722808.65</c:v>
                </c:pt>
                <c:pt idx="756" formatCode="_-* #,##0_-;\-* #,##0_-;_-* &quot;-&quot;??_-;_-@_-">
                  <c:v>20619801.585000001</c:v>
                </c:pt>
                <c:pt idx="757" formatCode="_-* #,##0_-;\-* #,##0_-;_-* &quot;-&quot;??_-;_-@_-">
                  <c:v>11188655.4</c:v>
                </c:pt>
                <c:pt idx="758" formatCode="_-* #,##0_-;\-* #,##0_-;_-* &quot;-&quot;??_-;_-@_-">
                  <c:v>14713233.014999999</c:v>
                </c:pt>
                <c:pt idx="759" formatCode="_-* #,##0_-;\-* #,##0_-;_-* &quot;-&quot;??_-;_-@_-">
                  <c:v>29034185.760000002</c:v>
                </c:pt>
                <c:pt idx="760" formatCode="_-* #,##0_-;\-* #,##0_-;_-* &quot;-&quot;??_-;_-@_-">
                  <c:v>18108521.805</c:v>
                </c:pt>
                <c:pt idx="761" formatCode="_-* #,##0_-;\-* #,##0_-;_-* &quot;-&quot;??_-;_-@_-">
                  <c:v>31516434.299999997</c:v>
                </c:pt>
                <c:pt idx="762" formatCode="_-* #,##0_-;\-* #,##0_-;_-* &quot;-&quot;??_-;_-@_-">
                  <c:v>18758047.350000001</c:v>
                </c:pt>
                <c:pt idx="763" formatCode="_-* #,##0_-;\-* #,##0_-;_-* &quot;-&quot;??_-;_-@_-">
                  <c:v>16610888.699999999</c:v>
                </c:pt>
                <c:pt idx="764" formatCode="_-* #,##0_-;\-* #,##0_-;_-* &quot;-&quot;??_-;_-@_-">
                  <c:v>16275449.970000001</c:v>
                </c:pt>
                <c:pt idx="765" formatCode="_-* #,##0_-;\-* #,##0_-;_-* &quot;-&quot;??_-;_-@_-">
                  <c:v>18919642.635000002</c:v>
                </c:pt>
                <c:pt idx="766" formatCode="_-* #,##0_-;\-* #,##0_-;_-* &quot;-&quot;??_-;_-@_-">
                  <c:v>25243351.169999998</c:v>
                </c:pt>
                <c:pt idx="767" formatCode="_-* #,##0_-;\-* #,##0_-;_-* &quot;-&quot;??_-;_-@_-">
                  <c:v>20212753.754999999</c:v>
                </c:pt>
                <c:pt idx="768" formatCode="_-* #,##0_-;\-* #,##0_-;_-* &quot;-&quot;??_-;_-@_-">
                  <c:v>31940696.414999999</c:v>
                </c:pt>
                <c:pt idx="769" formatCode="_-* #,##0_-;\-* #,##0_-;_-* &quot;-&quot;??_-;_-@_-">
                  <c:v>6801779.2199999997</c:v>
                </c:pt>
                <c:pt idx="770" formatCode="_-* #,##0_-;\-* #,##0_-;_-* &quot;-&quot;??_-;_-@_-">
                  <c:v>21451712.309999999</c:v>
                </c:pt>
                <c:pt idx="771" formatCode="_-* #,##0_-;\-* #,##0_-;_-* &quot;-&quot;??_-;_-@_-">
                  <c:v>31036289.954999998</c:v>
                </c:pt>
                <c:pt idx="772" formatCode="_-* #,##0_-;\-* #,##0_-;_-* &quot;-&quot;??_-;_-@_-">
                  <c:v>15789302.67</c:v>
                </c:pt>
                <c:pt idx="773" formatCode="_-* #,##0_-;\-* #,##0_-;_-* &quot;-&quot;??_-;_-@_-">
                  <c:v>22292339.189999998</c:v>
                </c:pt>
                <c:pt idx="774" formatCode="_-* #,##0_-;\-* #,##0_-;_-* &quot;-&quot;??_-;_-@_-">
                  <c:v>23851872.015000001</c:v>
                </c:pt>
                <c:pt idx="775" formatCode="_-* #,##0_-;\-* #,##0_-;_-* &quot;-&quot;??_-;_-@_-">
                  <c:v>18612464.789999999</c:v>
                </c:pt>
                <c:pt idx="776" formatCode="_-* #,##0_-;\-* #,##0_-;_-* &quot;-&quot;??_-;_-@_-">
                  <c:v>17239736.900000002</c:v>
                </c:pt>
                <c:pt idx="777" formatCode="_-* #,##0_-;\-* #,##0_-;_-* &quot;-&quot;??_-;_-@_-">
                  <c:v>17742983.879999999</c:v>
                </c:pt>
                <c:pt idx="778" formatCode="_-* #,##0_-;\-* #,##0_-;_-* &quot;-&quot;??_-;_-@_-">
                  <c:v>9503561.1799999997</c:v>
                </c:pt>
                <c:pt idx="779" formatCode="_-* #,##0_-;\-* #,##0_-;_-* &quot;-&quot;??_-;_-@_-">
                  <c:v>11206434.919999998</c:v>
                </c:pt>
                <c:pt idx="780" formatCode="_-* #,##0_-;\-* #,##0_-;_-* &quot;-&quot;??_-;_-@_-">
                  <c:v>13944983.300000001</c:v>
                </c:pt>
                <c:pt idx="781" formatCode="_-* #,##0_-;\-* #,##0_-;_-* &quot;-&quot;??_-;_-@_-">
                  <c:v>20333205.120000001</c:v>
                </c:pt>
                <c:pt idx="782" formatCode="_-* #,##0_-;\-* #,##0_-;_-* &quot;-&quot;??_-;_-@_-">
                  <c:v>11336239.129999999</c:v>
                </c:pt>
                <c:pt idx="783" formatCode="_-* #,##0_-;\-* #,##0_-;_-* &quot;-&quot;??_-;_-@_-">
                  <c:v>15278730.060000001</c:v>
                </c:pt>
                <c:pt idx="784" formatCode="_-* #,##0_-;\-* #,##0_-;_-* &quot;-&quot;??_-;_-@_-">
                  <c:v>16576992.5</c:v>
                </c:pt>
                <c:pt idx="785" formatCode="_-* #,##0_-;\-* #,##0_-;_-* &quot;-&quot;??_-;_-@_-">
                  <c:v>6519750.4299999997</c:v>
                </c:pt>
                <c:pt idx="786" formatCode="_-* #,##0_-;\-* #,##0_-;_-* &quot;-&quot;??_-;_-@_-">
                  <c:v>8331888.8599999994</c:v>
                </c:pt>
                <c:pt idx="787" formatCode="_-* #,##0_-;\-* #,##0_-;_-* &quot;-&quot;??_-;_-@_-">
                  <c:v>20220065.32</c:v>
                </c:pt>
                <c:pt idx="788" formatCode="_-* #,##0_-;\-* #,##0_-;_-* &quot;-&quot;??_-;_-@_-">
                  <c:v>33672454.600000001</c:v>
                </c:pt>
                <c:pt idx="789" formatCode="_-* #,##0_-;\-* #,##0_-;_-* &quot;-&quot;??_-;_-@_-">
                  <c:v>16001962.580000002</c:v>
                </c:pt>
                <c:pt idx="790" formatCode="_-* #,##0_-;\-* #,##0_-;_-* &quot;-&quot;??_-;_-@_-">
                  <c:v>31153072.670000002</c:v>
                </c:pt>
                <c:pt idx="791" formatCode="_-* #,##0_-;\-* #,##0_-;_-* &quot;-&quot;??_-;_-@_-">
                  <c:v>13041416.859999999</c:v>
                </c:pt>
                <c:pt idx="792" formatCode="_-* #,##0_-;\-* #,##0_-;_-* &quot;-&quot;??_-;_-@_-">
                  <c:v>31273296.880000003</c:v>
                </c:pt>
                <c:pt idx="793" formatCode="_-* #,##0_-;\-* #,##0_-;_-* &quot;-&quot;??_-;_-@_-">
                  <c:v>17144238.669999998</c:v>
                </c:pt>
                <c:pt idx="794" formatCode="_-* #,##0_-;\-* #,##0_-;_-* &quot;-&quot;??_-;_-@_-">
                  <c:v>30471594.580000002</c:v>
                </c:pt>
                <c:pt idx="795" formatCode="_-* #,##0_-;\-* #,##0_-;_-* &quot;-&quot;??_-;_-@_-">
                  <c:v>21513188.09</c:v>
                </c:pt>
                <c:pt idx="796" formatCode="_-* #,##0_-;\-* #,##0_-;_-* &quot;-&quot;??_-;_-@_-">
                  <c:v>15588978.359999999</c:v>
                </c:pt>
                <c:pt idx="797" formatCode="_-* #,##0_-;\-* #,##0_-;_-* &quot;-&quot;??_-;_-@_-">
                  <c:v>8796408.6899999995</c:v>
                </c:pt>
                <c:pt idx="798" formatCode="_-* #,##0_-;\-* #,##0_-;_-* &quot;-&quot;??_-;_-@_-">
                  <c:v>16808196.219999999</c:v>
                </c:pt>
                <c:pt idx="799" formatCode="_-* #,##0_-;\-* #,##0_-;_-* &quot;-&quot;??_-;_-@_-">
                  <c:v>9524761.7200000007</c:v>
                </c:pt>
                <c:pt idx="800" formatCode="_-* #,##0_-;\-* #,##0_-;_-* &quot;-&quot;??_-;_-@_-">
                  <c:v>9382556.1999999993</c:v>
                </c:pt>
                <c:pt idx="801" formatCode="_-* #,##0_-;\-* #,##0_-;_-* &quot;-&quot;??_-;_-@_-">
                  <c:v>23983889.25</c:v>
                </c:pt>
                <c:pt idx="802" formatCode="_-* #,##0_-;\-* #,##0_-;_-* &quot;-&quot;??_-;_-@_-">
                  <c:v>14645779.460000001</c:v>
                </c:pt>
                <c:pt idx="803" formatCode="_-* #,##0_-;\-* #,##0_-;_-* &quot;-&quot;??_-;_-@_-">
                  <c:v>14355261.169999998</c:v>
                </c:pt>
                <c:pt idx="804" formatCode="_-* #,##0_-;\-* #,##0_-;_-* &quot;-&quot;??_-;_-@_-">
                  <c:v>21402615.73</c:v>
                </c:pt>
                <c:pt idx="805" formatCode="_-* #,##0_-;\-* #,##0_-;_-* &quot;-&quot;??_-;_-@_-">
                  <c:v>16877622.48</c:v>
                </c:pt>
                <c:pt idx="806" formatCode="_-* #,##0_-;\-* #,##0_-;_-* &quot;-&quot;??_-;_-@_-">
                  <c:v>18605902.379999999</c:v>
                </c:pt>
                <c:pt idx="807" formatCode="_-* #,##0_-;\-* #,##0_-;_-* &quot;-&quot;??_-;_-@_-">
                  <c:v>10412996.58</c:v>
                </c:pt>
                <c:pt idx="808" formatCode="_-* #,##0_-;\-* #,##0_-;_-* &quot;-&quot;??_-;_-@_-">
                  <c:v>18352408.48</c:v>
                </c:pt>
                <c:pt idx="809" formatCode="_-* #,##0_-;\-* #,##0_-;_-* &quot;-&quot;??_-;_-@_-">
                  <c:v>12778687.039999999</c:v>
                </c:pt>
                <c:pt idx="810" formatCode="_-* #,##0_-;\-* #,##0_-;_-* &quot;-&quot;??_-;_-@_-">
                  <c:v>24397670.500000004</c:v>
                </c:pt>
                <c:pt idx="811" formatCode="_-* #,##0_-;\-* #,##0_-;_-* &quot;-&quot;??_-;_-@_-">
                  <c:v>11270659.539999999</c:v>
                </c:pt>
                <c:pt idx="812" formatCode="_-* #,##0_-;\-* #,##0_-;_-* &quot;-&quot;??_-;_-@_-">
                  <c:v>29808294.460000001</c:v>
                </c:pt>
                <c:pt idx="813" formatCode="_-* #,##0_-;\-* #,##0_-;_-* &quot;-&quot;??_-;_-@_-">
                  <c:v>11671234.119999999</c:v>
                </c:pt>
                <c:pt idx="814" formatCode="_-* #,##0_-;\-* #,##0_-;_-* &quot;-&quot;??_-;_-@_-">
                  <c:v>7910310.6600000001</c:v>
                </c:pt>
                <c:pt idx="815" formatCode="_-* #,##0_-;\-* #,##0_-;_-* &quot;-&quot;??_-;_-@_-">
                  <c:v>14987133.419999998</c:v>
                </c:pt>
                <c:pt idx="816" formatCode="_-* #,##0_-;\-* #,##0_-;_-* &quot;-&quot;??_-;_-@_-">
                  <c:v>25753058.939999998</c:v>
                </c:pt>
                <c:pt idx="817" formatCode="_-* #,##0_-;\-* #,##0_-;_-* &quot;-&quot;??_-;_-@_-">
                  <c:v>10118285.66</c:v>
                </c:pt>
                <c:pt idx="818" formatCode="_-* #,##0_-;\-* #,##0_-;_-* &quot;-&quot;??_-;_-@_-">
                  <c:v>22986819.799999997</c:v>
                </c:pt>
                <c:pt idx="819" formatCode="_-* #,##0_-;\-* #,##0_-;_-* &quot;-&quot;??_-;_-@_-">
                  <c:v>20023357.34</c:v>
                </c:pt>
                <c:pt idx="820" formatCode="_-* #,##0_-;\-* #,##0_-;_-* &quot;-&quot;??_-;_-@_-">
                  <c:v>14599203.219999999</c:v>
                </c:pt>
                <c:pt idx="821" formatCode="_-* #,##0_-;\-* #,##0_-;_-* &quot;-&quot;??_-;_-@_-">
                  <c:v>24214914.920000002</c:v>
                </c:pt>
                <c:pt idx="822" formatCode="_-* #,##0_-;\-* #,##0_-;_-* &quot;-&quot;??_-;_-@_-">
                  <c:v>21630100.099999998</c:v>
                </c:pt>
                <c:pt idx="823" formatCode="_-* #,##0_-;\-* #,##0_-;_-* &quot;-&quot;??_-;_-@_-">
                  <c:v>34758183.32</c:v>
                </c:pt>
                <c:pt idx="824" formatCode="_-* #,##0_-;\-* #,##0_-;_-* &quot;-&quot;??_-;_-@_-">
                  <c:v>14344481.9</c:v>
                </c:pt>
                <c:pt idx="825" formatCode="_-* #,##0_-;\-* #,##0_-;_-* &quot;-&quot;??_-;_-@_-">
                  <c:v>19675867.399999999</c:v>
                </c:pt>
                <c:pt idx="826" formatCode="_-* #,##0_-;\-* #,##0_-;_-* &quot;-&quot;??_-;_-@_-">
                  <c:v>20886707.940000001</c:v>
                </c:pt>
                <c:pt idx="827" formatCode="_-* #,##0_-;\-* #,##0_-;_-* &quot;-&quot;??_-;_-@_-">
                  <c:v>16313586.379999999</c:v>
                </c:pt>
                <c:pt idx="828" formatCode="_-* #,##0_-;\-* #,##0_-;_-* &quot;-&quot;??_-;_-@_-">
                  <c:v>3959566.1</c:v>
                </c:pt>
                <c:pt idx="829" formatCode="_-* #,##0_-;\-* #,##0_-;_-* &quot;-&quot;??_-;_-@_-">
                  <c:v>14529485.6</c:v>
                </c:pt>
                <c:pt idx="830" formatCode="_-* #,##0_-;\-* #,##0_-;_-* &quot;-&quot;??_-;_-@_-">
                  <c:v>36937590.619999997</c:v>
                </c:pt>
                <c:pt idx="831" formatCode="_-* #,##0_-;\-* #,##0_-;_-* &quot;-&quot;??_-;_-@_-">
                  <c:v>14621016.200000001</c:v>
                </c:pt>
                <c:pt idx="832" formatCode="_-* #,##0_-;\-* #,##0_-;_-* &quot;-&quot;??_-;_-@_-">
                  <c:v>20728603.98</c:v>
                </c:pt>
                <c:pt idx="833" formatCode="_-* #,##0_-;\-* #,##0_-;_-* &quot;-&quot;??_-;_-@_-">
                  <c:v>14859788.299999999</c:v>
                </c:pt>
                <c:pt idx="834" formatCode="_-* #,##0_-;\-* #,##0_-;_-* &quot;-&quot;??_-;_-@_-">
                  <c:v>17299700.25</c:v>
                </c:pt>
                <c:pt idx="835" formatCode="_-* #,##0_-;\-* #,##0_-;_-* &quot;-&quot;??_-;_-@_-">
                  <c:v>14609742</c:v>
                </c:pt>
                <c:pt idx="836" formatCode="_-* #,##0_-;\-* #,##0_-;_-* &quot;-&quot;??_-;_-@_-">
                  <c:v>26951909.25</c:v>
                </c:pt>
                <c:pt idx="837" formatCode="_-* #,##0_-;\-* #,##0_-;_-* &quot;-&quot;??_-;_-@_-">
                  <c:v>23711798.250000004</c:v>
                </c:pt>
                <c:pt idx="838" formatCode="_-* #,##0_-;\-* #,##0_-;_-* &quot;-&quot;??_-;_-@_-">
                  <c:v>13051321.5</c:v>
                </c:pt>
                <c:pt idx="839" formatCode="_-* #,##0_-;\-* #,##0_-;_-* &quot;-&quot;??_-;_-@_-">
                  <c:v>157500</c:v>
                </c:pt>
                <c:pt idx="840" formatCode="_-* #,##0_-;\-* #,##0_-;_-* &quot;-&quot;??_-;_-@_-">
                  <c:v>300247.5</c:v>
                </c:pt>
                <c:pt idx="841" formatCode="_-* #,##0_-;\-* #,##0_-;_-* &quot;-&quot;??_-;_-@_-">
                  <c:v>14044889.25</c:v>
                </c:pt>
                <c:pt idx="842" formatCode="_-* #,##0_-;\-* #,##0_-;_-* &quot;-&quot;??_-;_-@_-">
                  <c:v>16354931.25</c:v>
                </c:pt>
                <c:pt idx="843" formatCode="_-* #,##0_-;\-* #,##0_-;_-* &quot;-&quot;??_-;_-@_-">
                  <c:v>17679973.5</c:v>
                </c:pt>
                <c:pt idx="844" formatCode="_-* #,##0_-;\-* #,##0_-;_-* &quot;-&quot;??_-;_-@_-">
                  <c:v>5138752.5</c:v>
                </c:pt>
                <c:pt idx="845" formatCode="_-* #,##0_-;\-* #,##0_-;_-* &quot;-&quot;??_-;_-@_-">
                  <c:v>0</c:v>
                </c:pt>
                <c:pt idx="846" formatCode="_-* #,##0_-;\-* #,##0_-;_-* &quot;-&quot;??_-;_-@_-">
                  <c:v>0</c:v>
                </c:pt>
                <c:pt idx="847" formatCode="_-* #,##0_-;\-* #,##0_-;_-* &quot;-&quot;??_-;_-@_-">
                  <c:v>35631201.963</c:v>
                </c:pt>
                <c:pt idx="848" formatCode="_-* #,##0_-;\-* #,##0_-;_-* &quot;-&quot;??_-;_-@_-">
                  <c:v>3308261.0819999999</c:v>
                </c:pt>
                <c:pt idx="849" formatCode="_-* #,##0_-;\-* #,##0_-;_-* &quot;-&quot;??_-;_-@_-">
                  <c:v>9753127.4399999995</c:v>
                </c:pt>
                <c:pt idx="850" formatCode="_-* #,##0_-;\-* #,##0_-;_-* &quot;-&quot;??_-;_-@_-">
                  <c:v>65534688.331</c:v>
                </c:pt>
                <c:pt idx="851" formatCode="_-* #,##0_-;\-* #,##0_-;_-* &quot;-&quot;??_-;_-@_-">
                  <c:v>37606812.236000001</c:v>
                </c:pt>
                <c:pt idx="852" formatCode="_-* #,##0_-;\-* #,##0_-;_-* &quot;-&quot;??_-;_-@_-">
                  <c:v>42230354.005000003</c:v>
                </c:pt>
                <c:pt idx="853" formatCode="_-* #,##0_-;\-* #,##0_-;_-* &quot;-&quot;??_-;_-@_-">
                  <c:v>49664686.736000001</c:v>
                </c:pt>
                <c:pt idx="854" formatCode="_-* #,##0_-;\-* #,##0_-;_-* &quot;-&quot;??_-;_-@_-">
                  <c:v>26317425.210999999</c:v>
                </c:pt>
                <c:pt idx="855" formatCode="_-* #,##0_-;\-* #,##0_-;_-* &quot;-&quot;??_-;_-@_-">
                  <c:v>21082713.120000001</c:v>
                </c:pt>
                <c:pt idx="856" formatCode="_-* #,##0_-;\-* #,##0_-;_-* &quot;-&quot;??_-;_-@_-">
                  <c:v>26984182.5</c:v>
                </c:pt>
                <c:pt idx="857" formatCode="_-* #,##0_-;\-* #,##0_-;_-* &quot;-&quot;??_-;_-@_-">
                  <c:v>15597612.180000002</c:v>
                </c:pt>
                <c:pt idx="858" formatCode="_-* #,##0_-;\-* #,##0_-;_-* &quot;-&quot;??_-;_-@_-">
                  <c:v>22524925.5</c:v>
                </c:pt>
                <c:pt idx="859" formatCode="_-* #,##0_-;\-* #,##0_-;_-* &quot;-&quot;??_-;_-@_-">
                  <c:v>44231800.68</c:v>
                </c:pt>
                <c:pt idx="860" formatCode="_-* #,##0_-;\-* #,##0_-;_-* &quot;-&quot;??_-;_-@_-">
                  <c:v>60445695.960000001</c:v>
                </c:pt>
                <c:pt idx="861" formatCode="_-* #,##0_-;\-* #,##0_-;_-* &quot;-&quot;??_-;_-@_-">
                  <c:v>52965309.780000001</c:v>
                </c:pt>
                <c:pt idx="862" formatCode="_-* #,##0_-;\-* #,##0_-;_-* &quot;-&quot;??_-;_-@_-">
                  <c:v>30597214.470000003</c:v>
                </c:pt>
                <c:pt idx="863" formatCode="_-* #,##0_-;\-* #,##0_-;_-* &quot;-&quot;??_-;_-@_-">
                  <c:v>26715685.32</c:v>
                </c:pt>
                <c:pt idx="864" formatCode="_-* #,##0_-;\-* #,##0_-;_-* &quot;-&quot;??_-;_-@_-">
                  <c:v>10508844.210000001</c:v>
                </c:pt>
                <c:pt idx="865" formatCode="_-* #,##0_-;\-* #,##0_-;_-* &quot;-&quot;??_-;_-@_-">
                  <c:v>44921448.659999996</c:v>
                </c:pt>
                <c:pt idx="866" formatCode="_-* #,##0_-;\-* #,##0_-;_-* &quot;-&quot;??_-;_-@_-">
                  <c:v>12394954.08</c:v>
                </c:pt>
                <c:pt idx="867" formatCode="_-* #,##0_-;\-* #,##0_-;_-* &quot;-&quot;??_-;_-@_-">
                  <c:v>7820460.3599999994</c:v>
                </c:pt>
                <c:pt idx="868" formatCode="_-* #,##0_-;\-* #,##0_-;_-* &quot;-&quot;??_-;_-@_-">
                  <c:v>30610682.010000002</c:v>
                </c:pt>
                <c:pt idx="869" formatCode="_-* #,##0_-;\-* #,##0_-;_-* &quot;-&quot;??_-;_-@_-">
                  <c:v>0</c:v>
                </c:pt>
                <c:pt idx="870" formatCode="_-* #,##0_-;\-* #,##0_-;_-* &quot;-&quot;??_-;_-@_-">
                  <c:v>28079699.310000002</c:v>
                </c:pt>
                <c:pt idx="871" formatCode="_-* #,##0_-;\-* #,##0_-;_-* &quot;-&quot;??_-;_-@_-">
                  <c:v>21767093.91</c:v>
                </c:pt>
                <c:pt idx="872" formatCode="_-* #,##0_-;\-* #,##0_-;_-* &quot;-&quot;??_-;_-@_-">
                  <c:v>28296453.75</c:v>
                </c:pt>
                <c:pt idx="873" formatCode="_-* #,##0_-;\-* #,##0_-;_-* &quot;-&quot;??_-;_-@_-">
                  <c:v>31012195.350000001</c:v>
                </c:pt>
                <c:pt idx="874" formatCode="_-* #,##0_-;\-* #,##0_-;_-* &quot;-&quot;??_-;_-@_-">
                  <c:v>44304153.600000001</c:v>
                </c:pt>
                <c:pt idx="875" formatCode="_-* #,##0_-;\-* #,##0_-;_-* &quot;-&quot;??_-;_-@_-">
                  <c:v>30515953.669999998</c:v>
                </c:pt>
                <c:pt idx="876" formatCode="_-* #,##0_-;\-* #,##0_-;_-* &quot;-&quot;??_-;_-@_-">
                  <c:v>25893070.412999999</c:v>
                </c:pt>
                <c:pt idx="877" formatCode="_-* #,##0_-;\-* #,##0_-;_-* &quot;-&quot;??_-;_-@_-">
                  <c:v>9504110.7649999987</c:v>
                </c:pt>
                <c:pt idx="878" formatCode="_-* #,##0_-;\-* #,##0_-;_-* &quot;-&quot;??_-;_-@_-">
                  <c:v>24364214.092999998</c:v>
                </c:pt>
                <c:pt idx="879" formatCode="_-* #,##0_-;\-* #,##0_-;_-* &quot;-&quot;??_-;_-@_-">
                  <c:v>0</c:v>
                </c:pt>
                <c:pt idx="880" formatCode="_-* #,##0_-;\-* #,##0_-;_-* &quot;-&quot;??_-;_-@_-">
                  <c:v>0</c:v>
                </c:pt>
                <c:pt idx="881" formatCode="_-* #,##0_-;\-* #,##0_-;_-* &quot;-&quot;??_-;_-@_-">
                  <c:v>0</c:v>
                </c:pt>
                <c:pt idx="882" formatCode="_-* #,##0_-;\-* #,##0_-;_-* &quot;-&quot;??_-;_-@_-">
                  <c:v>0</c:v>
                </c:pt>
                <c:pt idx="883" formatCode="_-* #,##0_-;\-* #,##0_-;_-* &quot;-&quot;??_-;_-@_-">
                  <c:v>0</c:v>
                </c:pt>
                <c:pt idx="884" formatCode="_-* #,##0_-;\-* #,##0_-;_-* &quot;-&quot;??_-;_-@_-">
                  <c:v>0</c:v>
                </c:pt>
                <c:pt idx="885" formatCode="_-* #,##0_-;\-* #,##0_-;_-* &quot;-&quot;??_-;_-@_-">
                  <c:v>0</c:v>
                </c:pt>
                <c:pt idx="886" formatCode="_-* #,##0_-;\-* #,##0_-;_-* &quot;-&quot;??_-;_-@_-">
                  <c:v>0</c:v>
                </c:pt>
                <c:pt idx="887" formatCode="_-* #,##0_-;\-* #,##0_-;_-* &quot;-&quot;??_-;_-@_-">
                  <c:v>0</c:v>
                </c:pt>
                <c:pt idx="888" formatCode="_-* #,##0_-;\-* #,##0_-;_-* &quot;-&quot;??_-;_-@_-">
                  <c:v>0</c:v>
                </c:pt>
                <c:pt idx="889" formatCode="_-* #,##0_-;\-* #,##0_-;_-* &quot;-&quot;??_-;_-@_-">
                  <c:v>0</c:v>
                </c:pt>
                <c:pt idx="890" formatCode="_-* #,##0_-;\-* #,##0_-;_-* &quot;-&quot;??_-;_-@_-">
                  <c:v>0</c:v>
                </c:pt>
                <c:pt idx="891" formatCode="_-* #,##0_-;\-* #,##0_-;_-* &quot;-&quot;??_-;_-@_-">
                  <c:v>0</c:v>
                </c:pt>
                <c:pt idx="892" formatCode="_-* #,##0_-;\-* #,##0_-;_-* &quot;-&quot;??_-;_-@_-">
                  <c:v>0</c:v>
                </c:pt>
                <c:pt idx="893" formatCode="_-* #,##0_-;\-* #,##0_-;_-* &quot;-&quot;??_-;_-@_-">
                  <c:v>0</c:v>
                </c:pt>
                <c:pt idx="894" formatCode="_-* #,##0_-;\-* #,##0_-;_-* &quot;-&quot;??_-;_-@_-">
                  <c:v>0</c:v>
                </c:pt>
                <c:pt idx="895" formatCode="_-* #,##0_-;\-* #,##0_-;_-* &quot;-&quot;??_-;_-@_-">
                  <c:v>0</c:v>
                </c:pt>
                <c:pt idx="896" formatCode="_-* #,##0_-;\-* #,##0_-;_-* &quot;-&quot;??_-;_-@_-">
                  <c:v>0</c:v>
                </c:pt>
                <c:pt idx="897" formatCode="_-* #,##0_-;\-* #,##0_-;_-* &quot;-&quot;??_-;_-@_-">
                  <c:v>0</c:v>
                </c:pt>
                <c:pt idx="898" formatCode="_-* #,##0_-;\-* #,##0_-;_-* &quot;-&quot;??_-;_-@_-">
                  <c:v>0</c:v>
                </c:pt>
                <c:pt idx="899" formatCode="_-* #,##0_-;\-* #,##0_-;_-* &quot;-&quot;??_-;_-@_-">
                  <c:v>0</c:v>
                </c:pt>
                <c:pt idx="900" formatCode="_-* #,##0_-;\-* #,##0_-;_-* &quot;-&quot;??_-;_-@_-">
                  <c:v>0</c:v>
                </c:pt>
                <c:pt idx="901" formatCode="_-* #,##0_-;\-* #,##0_-;_-* &quot;-&quot;??_-;_-@_-">
                  <c:v>0</c:v>
                </c:pt>
                <c:pt idx="902" formatCode="_-* #,##0_-;\-* #,##0_-;_-* &quot;-&quot;??_-;_-@_-">
                  <c:v>0</c:v>
                </c:pt>
                <c:pt idx="903" formatCode="_-* #,##0_-;\-* #,##0_-;_-* &quot;-&quot;??_-;_-@_-">
                  <c:v>0</c:v>
                </c:pt>
                <c:pt idx="904" formatCode="_-* #,##0_-;\-* #,##0_-;_-* &quot;-&quot;??_-;_-@_-">
                  <c:v>0</c:v>
                </c:pt>
                <c:pt idx="905" formatCode="_-* #,##0_-;\-* #,##0_-;_-* &quot;-&quot;??_-;_-@_-">
                  <c:v>0</c:v>
                </c:pt>
                <c:pt idx="906" formatCode="_-* #,##0_-;\-* #,##0_-;_-* &quot;-&quot;??_-;_-@_-">
                  <c:v>0</c:v>
                </c:pt>
                <c:pt idx="907" formatCode="_-* #,##0_-;\-* #,##0_-;_-* &quot;-&quot;??_-;_-@_-">
                  <c:v>0</c:v>
                </c:pt>
                <c:pt idx="908" formatCode="_-* #,##0_-;\-* #,##0_-;_-* &quot;-&quot;??_-;_-@_-">
                  <c:v>0</c:v>
                </c:pt>
                <c:pt idx="909" formatCode="_-* #,##0_-;\-* #,##0_-;_-* &quot;-&quot;??_-;_-@_-">
                  <c:v>0</c:v>
                </c:pt>
                <c:pt idx="910" formatCode="_-* #,##0_-;\-* #,##0_-;_-* &quot;-&quot;??_-;_-@_-">
                  <c:v>0</c:v>
                </c:pt>
                <c:pt idx="911" formatCode="_-* #,##0_-;\-* #,##0_-;_-* &quot;-&quot;??_-;_-@_-">
                  <c:v>0</c:v>
                </c:pt>
                <c:pt idx="912" formatCode="_-* #,##0_-;\-* #,##0_-;_-* &quot;-&quot;??_-;_-@_-">
                  <c:v>0</c:v>
                </c:pt>
                <c:pt idx="913" formatCode="_-* #,##0_-;\-* #,##0_-;_-* &quot;-&quot;??_-;_-@_-">
                  <c:v>0</c:v>
                </c:pt>
                <c:pt idx="914" formatCode="_-* #,##0_-;\-* #,##0_-;_-* &quot;-&quot;??_-;_-@_-">
                  <c:v>0</c:v>
                </c:pt>
                <c:pt idx="915" formatCode="_-* #,##0_-;\-* #,##0_-;_-* &quot;-&quot;??_-;_-@_-">
                  <c:v>0</c:v>
                </c:pt>
                <c:pt idx="916" formatCode="_-* #,##0_-;\-* #,##0_-;_-* &quot;-&quot;??_-;_-@_-">
                  <c:v>0</c:v>
                </c:pt>
                <c:pt idx="917" formatCode="_-* #,##0_-;\-* #,##0_-;_-* &quot;-&quot;??_-;_-@_-">
                  <c:v>0</c:v>
                </c:pt>
                <c:pt idx="918" formatCode="_-* #,##0_-;\-* #,##0_-;_-* &quot;-&quot;??_-;_-@_-">
                  <c:v>0</c:v>
                </c:pt>
                <c:pt idx="919" formatCode="_-* #,##0_-;\-* #,##0_-;_-* &quot;-&quot;??_-;_-@_-">
                  <c:v>0</c:v>
                </c:pt>
                <c:pt idx="920" formatCode="_-* #,##0_-;\-* #,##0_-;_-* &quot;-&quot;??_-;_-@_-">
                  <c:v>0</c:v>
                </c:pt>
                <c:pt idx="921" formatCode="_-* #,##0_-;\-* #,##0_-;_-* &quot;-&quot;??_-;_-@_-">
                  <c:v>0</c:v>
                </c:pt>
                <c:pt idx="922" formatCode="_-* #,##0_-;\-* #,##0_-;_-* &quot;-&quot;??_-;_-@_-">
                  <c:v>0</c:v>
                </c:pt>
                <c:pt idx="923" formatCode="_-* #,##0_-;\-* #,##0_-;_-* &quot;-&quot;??_-;_-@_-">
                  <c:v>0</c:v>
                </c:pt>
                <c:pt idx="924" formatCode="_-* #,##0_-;\-* #,##0_-;_-* &quot;-&quot;??_-;_-@_-">
                  <c:v>0</c:v>
                </c:pt>
                <c:pt idx="925" formatCode="_-* #,##0_-;\-* #,##0_-;_-* &quot;-&quot;??_-;_-@_-">
                  <c:v>0</c:v>
                </c:pt>
                <c:pt idx="926" formatCode="_-* #,##0_-;\-* #,##0_-;_-* &quot;-&quot;??_-;_-@_-">
                  <c:v>0</c:v>
                </c:pt>
                <c:pt idx="927" formatCode="_-* #,##0_-;\-* #,##0_-;_-* &quot;-&quot;??_-;_-@_-">
                  <c:v>0</c:v>
                </c:pt>
                <c:pt idx="928" formatCode="_-* #,##0_-;\-* #,##0_-;_-* &quot;-&quot;??_-;_-@_-">
                  <c:v>0</c:v>
                </c:pt>
                <c:pt idx="929" formatCode="_-* #,##0_-;\-* #,##0_-;_-* &quot;-&quot;??_-;_-@_-">
                  <c:v>0</c:v>
                </c:pt>
                <c:pt idx="930" formatCode="_-* #,##0_-;\-* #,##0_-;_-* &quot;-&quot;??_-;_-@_-">
                  <c:v>0</c:v>
                </c:pt>
                <c:pt idx="931" formatCode="_-* #,##0_-;\-* #,##0_-;_-* &quot;-&quot;??_-;_-@_-">
                  <c:v>0</c:v>
                </c:pt>
                <c:pt idx="932" formatCode="_-* #,##0_-;\-* #,##0_-;_-* &quot;-&quot;??_-;_-@_-">
                  <c:v>0</c:v>
                </c:pt>
                <c:pt idx="933" formatCode="_-* #,##0_-;\-* #,##0_-;_-* &quot;-&quot;??_-;_-@_-">
                  <c:v>0</c:v>
                </c:pt>
                <c:pt idx="934" formatCode="_-* #,##0_-;\-* #,##0_-;_-* &quot;-&quot;??_-;_-@_-">
                  <c:v>0</c:v>
                </c:pt>
                <c:pt idx="935" formatCode="_-* #,##0_-;\-* #,##0_-;_-* &quot;-&quot;??_-;_-@_-">
                  <c:v>0</c:v>
                </c:pt>
                <c:pt idx="936" formatCode="_-* #,##0_-;\-* #,##0_-;_-* &quot;-&quot;??_-;_-@_-">
                  <c:v>0</c:v>
                </c:pt>
                <c:pt idx="937" formatCode="_-* #,##0_-;\-* #,##0_-;_-* &quot;-&quot;??_-;_-@_-">
                  <c:v>0</c:v>
                </c:pt>
                <c:pt idx="938" formatCode="_-* #,##0_-;\-* #,##0_-;_-* &quot;-&quot;??_-;_-@_-">
                  <c:v>0</c:v>
                </c:pt>
                <c:pt idx="939" formatCode="_-* #,##0_-;\-* #,##0_-;_-* &quot;-&quot;??_-;_-@_-">
                  <c:v>0</c:v>
                </c:pt>
                <c:pt idx="940" formatCode="_-* #,##0_-;\-* #,##0_-;_-* &quot;-&quot;??_-;_-@_-">
                  <c:v>0</c:v>
                </c:pt>
                <c:pt idx="941" formatCode="_-* #,##0_-;\-* #,##0_-;_-* &quot;-&quot;??_-;_-@_-">
                  <c:v>0</c:v>
                </c:pt>
                <c:pt idx="942" formatCode="_-* #,##0_-;\-* #,##0_-;_-* &quot;-&quot;??_-;_-@_-">
                  <c:v>0</c:v>
                </c:pt>
                <c:pt idx="943" formatCode="_-* #,##0_-;\-* #,##0_-;_-* &quot;-&quot;??_-;_-@_-">
                  <c:v>0</c:v>
                </c:pt>
                <c:pt idx="944" formatCode="_-* #,##0_-;\-* #,##0_-;_-* &quot;-&quot;??_-;_-@_-">
                  <c:v>0</c:v>
                </c:pt>
                <c:pt idx="945" formatCode="_-* #,##0_-;\-* #,##0_-;_-* &quot;-&quot;??_-;_-@_-">
                  <c:v>0</c:v>
                </c:pt>
                <c:pt idx="946" formatCode="_-* #,##0_-;\-* #,##0_-;_-* &quot;-&quot;??_-;_-@_-">
                  <c:v>0</c:v>
                </c:pt>
                <c:pt idx="947" formatCode="_-* #,##0_-;\-* #,##0_-;_-* &quot;-&quot;??_-;_-@_-">
                  <c:v>0</c:v>
                </c:pt>
                <c:pt idx="948" formatCode="_-* #,##0_-;\-* #,##0_-;_-* &quot;-&quot;??_-;_-@_-">
                  <c:v>0</c:v>
                </c:pt>
                <c:pt idx="949" formatCode="_-* #,##0_-;\-* #,##0_-;_-* &quot;-&quot;??_-;_-@_-">
                  <c:v>0</c:v>
                </c:pt>
                <c:pt idx="950" formatCode="_-* #,##0_-;\-* #,##0_-;_-* &quot;-&quot;??_-;_-@_-">
                  <c:v>0</c:v>
                </c:pt>
                <c:pt idx="951" formatCode="_-* #,##0_-;\-* #,##0_-;_-* &quot;-&quot;??_-;_-@_-">
                  <c:v>0</c:v>
                </c:pt>
                <c:pt idx="952" formatCode="_-* #,##0_-;\-* #,##0_-;_-* &quot;-&quot;??_-;_-@_-">
                  <c:v>0</c:v>
                </c:pt>
                <c:pt idx="953" formatCode="_-* #,##0_-;\-* #,##0_-;_-* &quot;-&quot;??_-;_-@_-">
                  <c:v>0</c:v>
                </c:pt>
                <c:pt idx="954" formatCode="_-* #,##0_-;\-* #,##0_-;_-* &quot;-&quot;??_-;_-@_-">
                  <c:v>0</c:v>
                </c:pt>
                <c:pt idx="955" formatCode="_-* #,##0_-;\-* #,##0_-;_-* &quot;-&quot;??_-;_-@_-">
                  <c:v>0</c:v>
                </c:pt>
                <c:pt idx="956" formatCode="_-* #,##0_-;\-* #,##0_-;_-* &quot;-&quot;??_-;_-@_-">
                  <c:v>0</c:v>
                </c:pt>
                <c:pt idx="957" formatCode="_-* #,##0_-;\-* #,##0_-;_-* &quot;-&quot;??_-;_-@_-">
                  <c:v>0</c:v>
                </c:pt>
                <c:pt idx="958" formatCode="_-* #,##0_-;\-* #,##0_-;_-* &quot;-&quot;??_-;_-@_-">
                  <c:v>0</c:v>
                </c:pt>
                <c:pt idx="959" formatCode="_-* #,##0_-;\-* #,##0_-;_-* &quot;-&quot;??_-;_-@_-">
                  <c:v>0</c:v>
                </c:pt>
                <c:pt idx="960" formatCode="_-* #,##0_-;\-* #,##0_-;_-* &quot;-&quot;??_-;_-@_-">
                  <c:v>0</c:v>
                </c:pt>
                <c:pt idx="961" formatCode="_-* #,##0_-;\-* #,##0_-;_-* &quot;-&quot;??_-;_-@_-">
                  <c:v>0</c:v>
                </c:pt>
                <c:pt idx="962" formatCode="_-* #,##0_-;\-* #,##0_-;_-* &quot;-&quot;??_-;_-@_-">
                  <c:v>0</c:v>
                </c:pt>
                <c:pt idx="963" formatCode="_-* #,##0_-;\-* #,##0_-;_-* &quot;-&quot;??_-;_-@_-">
                  <c:v>0</c:v>
                </c:pt>
                <c:pt idx="964" formatCode="_-* #,##0_-;\-* #,##0_-;_-* &quot;-&quot;??_-;_-@_-">
                  <c:v>0</c:v>
                </c:pt>
                <c:pt idx="965" formatCode="_-* #,##0_-;\-* #,##0_-;_-* &quot;-&quot;??_-;_-@_-">
                  <c:v>0</c:v>
                </c:pt>
                <c:pt idx="966" formatCode="_-* #,##0_-;\-* #,##0_-;_-* &quot;-&quot;??_-;_-@_-">
                  <c:v>0</c:v>
                </c:pt>
                <c:pt idx="967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93-4675-8CF1-E99C3E7C4480}"/>
            </c:ext>
          </c:extLst>
        </c:ser>
        <c:ser>
          <c:idx val="6"/>
          <c:order val="6"/>
          <c:tx>
            <c:strRef>
              <c:f>'CASH FLOW'!$H$1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FLOW'!$H$2:$H$969</c:f>
              <c:numCache>
                <c:formatCode>_(* #,##0.00_);_(* \(#,##0.00\);_(* "-"??_);_(@_)</c:formatCode>
                <c:ptCount val="968"/>
                <c:pt idx="0" formatCode="General">
                  <c:v>0</c:v>
                </c:pt>
                <c:pt idx="1">
                  <c:v>0</c:v>
                </c:pt>
                <c:pt idx="2" formatCode="_-* #,##0_-;\-* #,##0_-;_-* &quot;-&quot;??_-;_-@_-">
                  <c:v>44</c:v>
                </c:pt>
                <c:pt idx="3" formatCode="_-* #,##0_-;\-* #,##0_-;_-* &quot;-&quot;??_-;_-@_-">
                  <c:v>26.5</c:v>
                </c:pt>
                <c:pt idx="4" formatCode="_-* #,##0_-;\-* #,##0_-;_-* &quot;-&quot;??_-;_-@_-">
                  <c:v>30.5</c:v>
                </c:pt>
                <c:pt idx="5" formatCode="_-* #,##0_-;\-* #,##0_-;_-* &quot;-&quot;??_-;_-@_-">
                  <c:v>28</c:v>
                </c:pt>
                <c:pt idx="6" formatCode="_-* #,##0_-;\-* #,##0_-;_-* &quot;-&quot;??_-;_-@_-">
                  <c:v>37.5</c:v>
                </c:pt>
                <c:pt idx="7" formatCode="_-* #,##0_-;\-* #,##0_-;_-* &quot;-&quot;??_-;_-@_-">
                  <c:v>36.25</c:v>
                </c:pt>
                <c:pt idx="8" formatCode="_-* #,##0_-;\-* #,##0_-;_-* &quot;-&quot;??_-;_-@_-">
                  <c:v>53</c:v>
                </c:pt>
                <c:pt idx="9" formatCode="_-* #,##0_-;\-* #,##0_-;_-* &quot;-&quot;??_-;_-@_-">
                  <c:v>52</c:v>
                </c:pt>
                <c:pt idx="10" formatCode="_-* #,##0_-;\-* #,##0_-;_-* &quot;-&quot;??_-;_-@_-">
                  <c:v>36.5</c:v>
                </c:pt>
                <c:pt idx="11" formatCode="_-* #,##0_-;\-* #,##0_-;_-* &quot;-&quot;??_-;_-@_-">
                  <c:v>58.5</c:v>
                </c:pt>
                <c:pt idx="12" formatCode="_-* #,##0_-;\-* #,##0_-;_-* &quot;-&quot;??_-;_-@_-">
                  <c:v>40.75</c:v>
                </c:pt>
                <c:pt idx="13" formatCode="_-* #,##0_-;\-* #,##0_-;_-* &quot;-&quot;??_-;_-@_-">
                  <c:v>22.5</c:v>
                </c:pt>
                <c:pt idx="14" formatCode="_-* #,##0_-;\-* #,##0_-;_-* &quot;-&quot;??_-;_-@_-">
                  <c:v>73</c:v>
                </c:pt>
                <c:pt idx="15" formatCode="_-* #,##0_-;\-* #,##0_-;_-* &quot;-&quot;??_-;_-@_-">
                  <c:v>54.5</c:v>
                </c:pt>
                <c:pt idx="16" formatCode="_-* #,##0_-;\-* #,##0_-;_-* &quot;-&quot;??_-;_-@_-">
                  <c:v>24.5</c:v>
                </c:pt>
                <c:pt idx="17" formatCode="_-* #,##0_-;\-* #,##0_-;_-* &quot;-&quot;??_-;_-@_-">
                  <c:v>15.75</c:v>
                </c:pt>
                <c:pt idx="18" formatCode="_-* #,##0_-;\-* #,##0_-;_-* &quot;-&quot;??_-;_-@_-">
                  <c:v>98.5</c:v>
                </c:pt>
                <c:pt idx="19" formatCode="_-* #,##0_-;\-* #,##0_-;_-* &quot;-&quot;??_-;_-@_-">
                  <c:v>6.5</c:v>
                </c:pt>
                <c:pt idx="20" formatCode="_-* #,##0_-;\-* #,##0_-;_-* &quot;-&quot;??_-;_-@_-">
                  <c:v>20.5</c:v>
                </c:pt>
                <c:pt idx="21" formatCode="_-* #,##0_-;\-* #,##0_-;_-* &quot;-&quot;??_-;_-@_-">
                  <c:v>57.75</c:v>
                </c:pt>
                <c:pt idx="22" formatCode="_-* #,##0_-;\-* #,##0_-;_-* &quot;-&quot;??_-;_-@_-">
                  <c:v>33.75</c:v>
                </c:pt>
                <c:pt idx="23" formatCode="_-* #,##0_-;\-* #,##0_-;_-* &quot;-&quot;??_-;_-@_-">
                  <c:v>51.5</c:v>
                </c:pt>
                <c:pt idx="24" formatCode="_-* #,##0_-;\-* #,##0_-;_-* &quot;-&quot;??_-;_-@_-">
                  <c:v>103.75</c:v>
                </c:pt>
                <c:pt idx="25" formatCode="_-* #,##0_-;\-* #,##0_-;_-* &quot;-&quot;??_-;_-@_-">
                  <c:v>102.25</c:v>
                </c:pt>
                <c:pt idx="26" formatCode="_-* #,##0_-;\-* #,##0_-;_-* &quot;-&quot;??_-;_-@_-">
                  <c:v>28.5</c:v>
                </c:pt>
                <c:pt idx="27" formatCode="_-* #,##0_-;\-* #,##0_-;_-* &quot;-&quot;??_-;_-@_-">
                  <c:v>28.75</c:v>
                </c:pt>
                <c:pt idx="28" formatCode="_-* #,##0_-;\-* #,##0_-;_-* &quot;-&quot;??_-;_-@_-">
                  <c:v>17.5</c:v>
                </c:pt>
                <c:pt idx="29" formatCode="_-* #,##0_-;\-* #,##0_-;_-* &quot;-&quot;??_-;_-@_-">
                  <c:v>79.5</c:v>
                </c:pt>
                <c:pt idx="30" formatCode="_-* #,##0_-;\-* #,##0_-;_-* &quot;-&quot;??_-;_-@_-">
                  <c:v>41.5</c:v>
                </c:pt>
                <c:pt idx="31" formatCode="_-* #,##0_-;\-* #,##0_-;_-* &quot;-&quot;??_-;_-@_-">
                  <c:v>51.75</c:v>
                </c:pt>
                <c:pt idx="32" formatCode="_-* #,##0_-;\-* #,##0_-;_-* &quot;-&quot;??_-;_-@_-">
                  <c:v>77.25</c:v>
                </c:pt>
                <c:pt idx="33" formatCode="_-* #,##0_-;\-* #,##0_-;_-* &quot;-&quot;??_-;_-@_-">
                  <c:v>53.25</c:v>
                </c:pt>
                <c:pt idx="34" formatCode="_-* #,##0_-;\-* #,##0_-;_-* &quot;-&quot;??_-;_-@_-">
                  <c:v>51</c:v>
                </c:pt>
                <c:pt idx="35" formatCode="_-* #,##0_-;\-* #,##0_-;_-* &quot;-&quot;??_-;_-@_-">
                  <c:v>45.25</c:v>
                </c:pt>
                <c:pt idx="36" formatCode="_-* #,##0_-;\-* #,##0_-;_-* &quot;-&quot;??_-;_-@_-">
                  <c:v>85.5</c:v>
                </c:pt>
                <c:pt idx="37" formatCode="_-* #,##0_-;\-* #,##0_-;_-* &quot;-&quot;??_-;_-@_-">
                  <c:v>46.25</c:v>
                </c:pt>
                <c:pt idx="38" formatCode="_-* #,##0_-;\-* #,##0_-;_-* &quot;-&quot;??_-;_-@_-">
                  <c:v>33.5</c:v>
                </c:pt>
                <c:pt idx="39" formatCode="_-* #,##0_-;\-* #,##0_-;_-* &quot;-&quot;??_-;_-@_-">
                  <c:v>23.25</c:v>
                </c:pt>
                <c:pt idx="40" formatCode="_-* #,##0_-;\-* #,##0_-;_-* &quot;-&quot;??_-;_-@_-">
                  <c:v>68</c:v>
                </c:pt>
                <c:pt idx="41" formatCode="_-* #,##0_-;\-* #,##0_-;_-* &quot;-&quot;??_-;_-@_-">
                  <c:v>52.25</c:v>
                </c:pt>
                <c:pt idx="42" formatCode="_-* #,##0_-;\-* #,##0_-;_-* &quot;-&quot;??_-;_-@_-">
                  <c:v>28.25</c:v>
                </c:pt>
                <c:pt idx="43" formatCode="_-* #,##0_-;\-* #,##0_-;_-* &quot;-&quot;??_-;_-@_-">
                  <c:v>91</c:v>
                </c:pt>
                <c:pt idx="44" formatCode="_-* #,##0_-;\-* #,##0_-;_-* &quot;-&quot;??_-;_-@_-">
                  <c:v>35.25</c:v>
                </c:pt>
                <c:pt idx="45" formatCode="_-* #,##0_-;\-* #,##0_-;_-* &quot;-&quot;??_-;_-@_-">
                  <c:v>72.75</c:v>
                </c:pt>
                <c:pt idx="46" formatCode="_-* #,##0_-;\-* #,##0_-;_-* &quot;-&quot;??_-;_-@_-">
                  <c:v>69.5</c:v>
                </c:pt>
                <c:pt idx="47" formatCode="_-* #,##0_-;\-* #,##0_-;_-* &quot;-&quot;??_-;_-@_-">
                  <c:v>27.5</c:v>
                </c:pt>
                <c:pt idx="48" formatCode="_-* #,##0_-;\-* #,##0_-;_-* &quot;-&quot;??_-;_-@_-">
                  <c:v>51</c:v>
                </c:pt>
                <c:pt idx="49" formatCode="_-* #,##0_-;\-* #,##0_-;_-* &quot;-&quot;??_-;_-@_-">
                  <c:v>43.25</c:v>
                </c:pt>
                <c:pt idx="50" formatCode="_-* #,##0_-;\-* #,##0_-;_-* &quot;-&quot;??_-;_-@_-">
                  <c:v>50.25</c:v>
                </c:pt>
                <c:pt idx="51" formatCode="_-* #,##0_-;\-* #,##0_-;_-* &quot;-&quot;??_-;_-@_-">
                  <c:v>37.25</c:v>
                </c:pt>
                <c:pt idx="52" formatCode="_-* #,##0_-;\-* #,##0_-;_-* &quot;-&quot;??_-;_-@_-">
                  <c:v>60.5</c:v>
                </c:pt>
                <c:pt idx="53" formatCode="_-* #,##0_-;\-* #,##0_-;_-* &quot;-&quot;??_-;_-@_-">
                  <c:v>34</c:v>
                </c:pt>
                <c:pt idx="54" formatCode="_-* #,##0_-;\-* #,##0_-;_-* &quot;-&quot;??_-;_-@_-">
                  <c:v>185</c:v>
                </c:pt>
                <c:pt idx="55" formatCode="_-* #,##0_-;\-* #,##0_-;_-* &quot;-&quot;??_-;_-@_-">
                  <c:v>52.5</c:v>
                </c:pt>
                <c:pt idx="56" formatCode="_-* #,##0_-;\-* #,##0_-;_-* &quot;-&quot;??_-;_-@_-">
                  <c:v>29.5</c:v>
                </c:pt>
                <c:pt idx="57" formatCode="_-* #,##0_-;\-* #,##0_-;_-* &quot;-&quot;??_-;_-@_-">
                  <c:v>68</c:v>
                </c:pt>
                <c:pt idx="58" formatCode="_-* #,##0_-;\-* #,##0_-;_-* &quot;-&quot;??_-;_-@_-">
                  <c:v>11.75</c:v>
                </c:pt>
                <c:pt idx="59" formatCode="_-* #,##0_-;\-* #,##0_-;_-* &quot;-&quot;??_-;_-@_-">
                  <c:v>54.75</c:v>
                </c:pt>
                <c:pt idx="60" formatCode="_-* #,##0_-;\-* #,##0_-;_-* &quot;-&quot;??_-;_-@_-">
                  <c:v>42.25</c:v>
                </c:pt>
                <c:pt idx="61" formatCode="_-* #,##0_-;\-* #,##0_-;_-* &quot;-&quot;??_-;_-@_-">
                  <c:v>71</c:v>
                </c:pt>
                <c:pt idx="62" formatCode="_-* #,##0_-;\-* #,##0_-;_-* &quot;-&quot;??_-;_-@_-">
                  <c:v>18</c:v>
                </c:pt>
                <c:pt idx="63" formatCode="_-* #,##0_-;\-* #,##0_-;_-* &quot;-&quot;??_-;_-@_-">
                  <c:v>37.75</c:v>
                </c:pt>
                <c:pt idx="64" formatCode="_-* #,##0_-;\-* #,##0_-;_-* &quot;-&quot;??_-;_-@_-">
                  <c:v>39.75</c:v>
                </c:pt>
                <c:pt idx="65" formatCode="_-* #,##0_-;\-* #,##0_-;_-* &quot;-&quot;??_-;_-@_-">
                  <c:v>65.25</c:v>
                </c:pt>
                <c:pt idx="66" formatCode="_-* #,##0_-;\-* #,##0_-;_-* &quot;-&quot;??_-;_-@_-">
                  <c:v>99</c:v>
                </c:pt>
                <c:pt idx="67" formatCode="_-* #,##0_-;\-* #,##0_-;_-* &quot;-&quot;??_-;_-@_-">
                  <c:v>65</c:v>
                </c:pt>
                <c:pt idx="68" formatCode="_-* #,##0_-;\-* #,##0_-;_-* &quot;-&quot;??_-;_-@_-">
                  <c:v>14</c:v>
                </c:pt>
                <c:pt idx="69" formatCode="_-* #,##0_-;\-* #,##0_-;_-* &quot;-&quot;??_-;_-@_-">
                  <c:v>40</c:v>
                </c:pt>
                <c:pt idx="70" formatCode="_-* #,##0_-;\-* #,##0_-;_-* &quot;-&quot;??_-;_-@_-">
                  <c:v>44</c:v>
                </c:pt>
                <c:pt idx="71" formatCode="_-* #,##0_-;\-* #,##0_-;_-* &quot;-&quot;??_-;_-@_-">
                  <c:v>25</c:v>
                </c:pt>
                <c:pt idx="72" formatCode="_-* #,##0_-;\-* #,##0_-;_-* &quot;-&quot;??_-;_-@_-">
                  <c:v>54</c:v>
                </c:pt>
                <c:pt idx="73" formatCode="_-* #,##0_-;\-* #,##0_-;_-* &quot;-&quot;??_-;_-@_-">
                  <c:v>78</c:v>
                </c:pt>
                <c:pt idx="74" formatCode="_-* #,##0_-;\-* #,##0_-;_-* &quot;-&quot;??_-;_-@_-">
                  <c:v>86.5</c:v>
                </c:pt>
                <c:pt idx="75" formatCode="_-* #,##0_-;\-* #,##0_-;_-* &quot;-&quot;??_-;_-@_-">
                  <c:v>38.5</c:v>
                </c:pt>
                <c:pt idx="76" formatCode="_-* #,##0_-;\-* #,##0_-;_-* &quot;-&quot;??_-;_-@_-">
                  <c:v>21.75</c:v>
                </c:pt>
                <c:pt idx="77" formatCode="_-* #,##0_-;\-* #,##0_-;_-* &quot;-&quot;??_-;_-@_-">
                  <c:v>48.5</c:v>
                </c:pt>
                <c:pt idx="78" formatCode="_-* #,##0_-;\-* #,##0_-;_-* &quot;-&quot;??_-;_-@_-">
                  <c:v>89.25</c:v>
                </c:pt>
                <c:pt idx="79" formatCode="_-* #,##0_-;\-* #,##0_-;_-* &quot;-&quot;??_-;_-@_-">
                  <c:v>54</c:v>
                </c:pt>
                <c:pt idx="80" formatCode="_-* #,##0_-;\-* #,##0_-;_-* &quot;-&quot;??_-;_-@_-">
                  <c:v>26</c:v>
                </c:pt>
                <c:pt idx="81" formatCode="_-* #,##0_-;\-* #,##0_-;_-* &quot;-&quot;??_-;_-@_-">
                  <c:v>38.75</c:v>
                </c:pt>
                <c:pt idx="82" formatCode="_-* #,##0_-;\-* #,##0_-;_-* &quot;-&quot;??_-;_-@_-">
                  <c:v>41.75</c:v>
                </c:pt>
                <c:pt idx="83" formatCode="_-* #,##0_-;\-* #,##0_-;_-* &quot;-&quot;??_-;_-@_-">
                  <c:v>44</c:v>
                </c:pt>
                <c:pt idx="84" formatCode="_-* #,##0_-;\-* #,##0_-;_-* &quot;-&quot;??_-;_-@_-">
                  <c:v>69</c:v>
                </c:pt>
                <c:pt idx="85" formatCode="_-* #,##0_-;\-* #,##0_-;_-* &quot;-&quot;??_-;_-@_-">
                  <c:v>27.5</c:v>
                </c:pt>
                <c:pt idx="86" formatCode="_-* #,##0_-;\-* #,##0_-;_-* &quot;-&quot;??_-;_-@_-">
                  <c:v>16.5</c:v>
                </c:pt>
                <c:pt idx="87" formatCode="_-* #,##0_-;\-* #,##0_-;_-* &quot;-&quot;??_-;_-@_-">
                  <c:v>51</c:v>
                </c:pt>
                <c:pt idx="88" formatCode="_-* #,##0_-;\-* #,##0_-;_-* &quot;-&quot;??_-;_-@_-">
                  <c:v>28.25</c:v>
                </c:pt>
                <c:pt idx="89" formatCode="_-* #,##0_-;\-* #,##0_-;_-* &quot;-&quot;??_-;_-@_-">
                  <c:v>94.75</c:v>
                </c:pt>
                <c:pt idx="90" formatCode="_-* #,##0_-;\-* #,##0_-;_-* &quot;-&quot;??_-;_-@_-">
                  <c:v>63.5</c:v>
                </c:pt>
                <c:pt idx="91" formatCode="_-* #,##0_-;\-* #,##0_-;_-* &quot;-&quot;??_-;_-@_-">
                  <c:v>69</c:v>
                </c:pt>
                <c:pt idx="92" formatCode="_-* #,##0_-;\-* #,##0_-;_-* &quot;-&quot;??_-;_-@_-">
                  <c:v>85.25</c:v>
                </c:pt>
                <c:pt idx="93" formatCode="_-* #,##0_-;\-* #,##0_-;_-* &quot;-&quot;??_-;_-@_-">
                  <c:v>16</c:v>
                </c:pt>
                <c:pt idx="94" formatCode="_-* #,##0_-;\-* #,##0_-;_-* &quot;-&quot;??_-;_-@_-">
                  <c:v>65.5</c:v>
                </c:pt>
                <c:pt idx="95" formatCode="_-* #,##0_-;\-* #,##0_-;_-* &quot;-&quot;??_-;_-@_-">
                  <c:v>60.25</c:v>
                </c:pt>
                <c:pt idx="96" formatCode="_-* #,##0_-;\-* #,##0_-;_-* &quot;-&quot;??_-;_-@_-">
                  <c:v>37.75</c:v>
                </c:pt>
                <c:pt idx="97" formatCode="_-* #,##0_-;\-* #,##0_-;_-* &quot;-&quot;??_-;_-@_-">
                  <c:v>35</c:v>
                </c:pt>
                <c:pt idx="98" formatCode="_-* #,##0_-;\-* #,##0_-;_-* &quot;-&quot;??_-;_-@_-">
                  <c:v>55.25</c:v>
                </c:pt>
                <c:pt idx="99" formatCode="_-* #,##0_-;\-* #,##0_-;_-* &quot;-&quot;??_-;_-@_-">
                  <c:v>13.5</c:v>
                </c:pt>
                <c:pt idx="100" formatCode="_-* #,##0_-;\-* #,##0_-;_-* &quot;-&quot;??_-;_-@_-">
                  <c:v>20.25</c:v>
                </c:pt>
                <c:pt idx="101" formatCode="_-* #,##0_-;\-* #,##0_-;_-* &quot;-&quot;??_-;_-@_-">
                  <c:v>60.25</c:v>
                </c:pt>
                <c:pt idx="102" formatCode="_-* #,##0_-;\-* #,##0_-;_-* &quot;-&quot;??_-;_-@_-">
                  <c:v>63.5</c:v>
                </c:pt>
                <c:pt idx="103" formatCode="_-* #,##0_-;\-* #,##0_-;_-* &quot;-&quot;??_-;_-@_-">
                  <c:v>66.75</c:v>
                </c:pt>
                <c:pt idx="104" formatCode="_-* #,##0_-;\-* #,##0_-;_-* &quot;-&quot;??_-;_-@_-">
                  <c:v>123</c:v>
                </c:pt>
                <c:pt idx="105" formatCode="_-* #,##0_-;\-* #,##0_-;_-* &quot;-&quot;??_-;_-@_-">
                  <c:v>32</c:v>
                </c:pt>
                <c:pt idx="106" formatCode="_-* #,##0_-;\-* #,##0_-;_-* &quot;-&quot;??_-;_-@_-">
                  <c:v>34</c:v>
                </c:pt>
                <c:pt idx="107" formatCode="_-* #,##0_-;\-* #,##0_-;_-* &quot;-&quot;??_-;_-@_-">
                  <c:v>10</c:v>
                </c:pt>
                <c:pt idx="108" formatCode="_-* #,##0_-;\-* #,##0_-;_-* &quot;-&quot;??_-;_-@_-">
                  <c:v>32.25</c:v>
                </c:pt>
                <c:pt idx="109" formatCode="_-* #,##0_-;\-* #,##0_-;_-* &quot;-&quot;??_-;_-@_-">
                  <c:v>72</c:v>
                </c:pt>
                <c:pt idx="110" formatCode="_-* #,##0_-;\-* #,##0_-;_-* &quot;-&quot;??_-;_-@_-">
                  <c:v>80</c:v>
                </c:pt>
                <c:pt idx="111" formatCode="_-* #,##0_-;\-* #,##0_-;_-* &quot;-&quot;??_-;_-@_-">
                  <c:v>43.5</c:v>
                </c:pt>
                <c:pt idx="112" formatCode="_-* #,##0_-;\-* #,##0_-;_-* &quot;-&quot;??_-;_-@_-">
                  <c:v>94.25</c:v>
                </c:pt>
                <c:pt idx="113" formatCode="_-* #,##0_-;\-* #,##0_-;_-* &quot;-&quot;??_-;_-@_-">
                  <c:v>57.5</c:v>
                </c:pt>
                <c:pt idx="114" formatCode="_-* #,##0_-;\-* #,##0_-;_-* &quot;-&quot;??_-;_-@_-">
                  <c:v>31.5</c:v>
                </c:pt>
                <c:pt idx="115" formatCode="_-* #,##0_-;\-* #,##0_-;_-* &quot;-&quot;??_-;_-@_-">
                  <c:v>38</c:v>
                </c:pt>
                <c:pt idx="116" formatCode="_-* #,##0_-;\-* #,##0_-;_-* &quot;-&quot;??_-;_-@_-">
                  <c:v>48.75</c:v>
                </c:pt>
                <c:pt idx="117" formatCode="_-* #,##0_-;\-* #,##0_-;_-* &quot;-&quot;??_-;_-@_-">
                  <c:v>45.25</c:v>
                </c:pt>
                <c:pt idx="118" formatCode="_-* #,##0_-;\-* #,##0_-;_-* &quot;-&quot;??_-;_-@_-">
                  <c:v>69</c:v>
                </c:pt>
                <c:pt idx="119" formatCode="_-* #,##0_-;\-* #,##0_-;_-* &quot;-&quot;??_-;_-@_-">
                  <c:v>31</c:v>
                </c:pt>
                <c:pt idx="120" formatCode="_-* #,##0_-;\-* #,##0_-;_-* &quot;-&quot;??_-;_-@_-">
                  <c:v>48.25</c:v>
                </c:pt>
                <c:pt idx="121" formatCode="_-* #,##0_-;\-* #,##0_-;_-* &quot;-&quot;??_-;_-@_-">
                  <c:v>40.5</c:v>
                </c:pt>
                <c:pt idx="122" formatCode="_-* #,##0_-;\-* #,##0_-;_-* &quot;-&quot;??_-;_-@_-">
                  <c:v>95.25</c:v>
                </c:pt>
                <c:pt idx="123" formatCode="_-* #,##0_-;\-* #,##0_-;_-* &quot;-&quot;??_-;_-@_-">
                  <c:v>50.5</c:v>
                </c:pt>
                <c:pt idx="124" formatCode="_-* #,##0_-;\-* #,##0_-;_-* &quot;-&quot;??_-;_-@_-">
                  <c:v>33.25</c:v>
                </c:pt>
                <c:pt idx="125" formatCode="_-* #,##0_-;\-* #,##0_-;_-* &quot;-&quot;??_-;_-@_-">
                  <c:v>54.75</c:v>
                </c:pt>
                <c:pt idx="126" formatCode="_-* #,##0_-;\-* #,##0_-;_-* &quot;-&quot;??_-;_-@_-">
                  <c:v>28</c:v>
                </c:pt>
                <c:pt idx="127" formatCode="_-* #,##0_-;\-* #,##0_-;_-* &quot;-&quot;??_-;_-@_-">
                  <c:v>38</c:v>
                </c:pt>
                <c:pt idx="128" formatCode="_-* #,##0_-;\-* #,##0_-;_-* &quot;-&quot;??_-;_-@_-">
                  <c:v>22.25</c:v>
                </c:pt>
                <c:pt idx="129" formatCode="_-* #,##0_-;\-* #,##0_-;_-* &quot;-&quot;??_-;_-@_-">
                  <c:v>33</c:v>
                </c:pt>
                <c:pt idx="130" formatCode="_-* #,##0_-;\-* #,##0_-;_-* &quot;-&quot;??_-;_-@_-">
                  <c:v>37.5</c:v>
                </c:pt>
                <c:pt idx="131" formatCode="_-* #,##0_-;\-* #,##0_-;_-* &quot;-&quot;??_-;_-@_-">
                  <c:v>68.75</c:v>
                </c:pt>
                <c:pt idx="132" formatCode="_-* #,##0_-;\-* #,##0_-;_-* &quot;-&quot;??_-;_-@_-">
                  <c:v>118.75</c:v>
                </c:pt>
                <c:pt idx="133" formatCode="_-* #,##0_-;\-* #,##0_-;_-* &quot;-&quot;??_-;_-@_-">
                  <c:v>59.75</c:v>
                </c:pt>
                <c:pt idx="134" formatCode="_-* #,##0_-;\-* #,##0_-;_-* &quot;-&quot;??_-;_-@_-">
                  <c:v>48.25</c:v>
                </c:pt>
                <c:pt idx="135" formatCode="_-* #,##0_-;\-* #,##0_-;_-* &quot;-&quot;??_-;_-@_-">
                  <c:v>14</c:v>
                </c:pt>
                <c:pt idx="136" formatCode="_-* #,##0_-;\-* #,##0_-;_-* &quot;-&quot;??_-;_-@_-">
                  <c:v>29</c:v>
                </c:pt>
                <c:pt idx="137" formatCode="_-* #,##0_-;\-* #,##0_-;_-* &quot;-&quot;??_-;_-@_-">
                  <c:v>82.5</c:v>
                </c:pt>
                <c:pt idx="138" formatCode="_-* #,##0_-;\-* #,##0_-;_-* &quot;-&quot;??_-;_-@_-">
                  <c:v>18.25</c:v>
                </c:pt>
                <c:pt idx="139" formatCode="_-* #,##0_-;\-* #,##0_-;_-* &quot;-&quot;??_-;_-@_-">
                  <c:v>97</c:v>
                </c:pt>
                <c:pt idx="140" formatCode="_-* #,##0_-;\-* #,##0_-;_-* &quot;-&quot;??_-;_-@_-">
                  <c:v>55</c:v>
                </c:pt>
                <c:pt idx="141" formatCode="_-* #,##0_-;\-* #,##0_-;_-* &quot;-&quot;??_-;_-@_-">
                  <c:v>101</c:v>
                </c:pt>
                <c:pt idx="142" formatCode="_-* #,##0_-;\-* #,##0_-;_-* &quot;-&quot;??_-;_-@_-">
                  <c:v>61.5</c:v>
                </c:pt>
                <c:pt idx="143" formatCode="_-* #,##0_-;\-* #,##0_-;_-* &quot;-&quot;??_-;_-@_-">
                  <c:v>36.5</c:v>
                </c:pt>
                <c:pt idx="144" formatCode="_-* #,##0_-;\-* #,##0_-;_-* &quot;-&quot;??_-;_-@_-">
                  <c:v>44</c:v>
                </c:pt>
                <c:pt idx="145" formatCode="_-* #,##0_-;\-* #,##0_-;_-* &quot;-&quot;??_-;_-@_-">
                  <c:v>68.5</c:v>
                </c:pt>
                <c:pt idx="146" formatCode="_-* #,##0_-;\-* #,##0_-;_-* &quot;-&quot;??_-;_-@_-">
                  <c:v>33.25</c:v>
                </c:pt>
                <c:pt idx="147" formatCode="_-* #,##0_-;\-* #,##0_-;_-* &quot;-&quot;??_-;_-@_-">
                  <c:v>42.25</c:v>
                </c:pt>
                <c:pt idx="148" formatCode="_-* #,##0_-;\-* #,##0_-;_-* &quot;-&quot;??_-;_-@_-">
                  <c:v>58</c:v>
                </c:pt>
                <c:pt idx="149" formatCode="_-* #,##0_-;\-* #,##0_-;_-* &quot;-&quot;??_-;_-@_-">
                  <c:v>73.5</c:v>
                </c:pt>
                <c:pt idx="150" formatCode="_-* #,##0_-;\-* #,##0_-;_-* &quot;-&quot;??_-;_-@_-">
                  <c:v>87.75</c:v>
                </c:pt>
                <c:pt idx="151" formatCode="_-* #,##0_-;\-* #,##0_-;_-* &quot;-&quot;??_-;_-@_-">
                  <c:v>55.25</c:v>
                </c:pt>
                <c:pt idx="152" formatCode="_-* #,##0_-;\-* #,##0_-;_-* &quot;-&quot;??_-;_-@_-">
                  <c:v>29.25</c:v>
                </c:pt>
                <c:pt idx="153" formatCode="_-* #,##0_-;\-* #,##0_-;_-* &quot;-&quot;??_-;_-@_-">
                  <c:v>45.5</c:v>
                </c:pt>
                <c:pt idx="154" formatCode="_-* #,##0_-;\-* #,##0_-;_-* &quot;-&quot;??_-;_-@_-">
                  <c:v>60.75</c:v>
                </c:pt>
                <c:pt idx="155" formatCode="_-* #,##0_-;\-* #,##0_-;_-* &quot;-&quot;??_-;_-@_-">
                  <c:v>100.25</c:v>
                </c:pt>
                <c:pt idx="156" formatCode="_-* #,##0_-;\-* #,##0_-;_-* &quot;-&quot;??_-;_-@_-">
                  <c:v>22.5</c:v>
                </c:pt>
                <c:pt idx="157" formatCode="_-* #,##0_-;\-* #,##0_-;_-* &quot;-&quot;??_-;_-@_-">
                  <c:v>42.5</c:v>
                </c:pt>
                <c:pt idx="158" formatCode="_-* #,##0_-;\-* #,##0_-;_-* &quot;-&quot;??_-;_-@_-">
                  <c:v>76.5</c:v>
                </c:pt>
                <c:pt idx="159" formatCode="_-* #,##0_-;\-* #,##0_-;_-* &quot;-&quot;??_-;_-@_-">
                  <c:v>86</c:v>
                </c:pt>
                <c:pt idx="160" formatCode="_-* #,##0_-;\-* #,##0_-;_-* &quot;-&quot;??_-;_-@_-">
                  <c:v>104.5</c:v>
                </c:pt>
                <c:pt idx="161" formatCode="_-* #,##0_-;\-* #,##0_-;_-* &quot;-&quot;??_-;_-@_-">
                  <c:v>60</c:v>
                </c:pt>
                <c:pt idx="162" formatCode="_-* #,##0_-;\-* #,##0_-;_-* &quot;-&quot;??_-;_-@_-">
                  <c:v>40.25</c:v>
                </c:pt>
                <c:pt idx="163" formatCode="_-* #,##0_-;\-* #,##0_-;_-* &quot;-&quot;??_-;_-@_-">
                  <c:v>44.25</c:v>
                </c:pt>
                <c:pt idx="164" formatCode="_-* #,##0_-;\-* #,##0_-;_-* &quot;-&quot;??_-;_-@_-">
                  <c:v>93</c:v>
                </c:pt>
                <c:pt idx="165" formatCode="_-* #,##0_-;\-* #,##0_-;_-* &quot;-&quot;??_-;_-@_-">
                  <c:v>38</c:v>
                </c:pt>
                <c:pt idx="166" formatCode="_-* #,##0_-;\-* #,##0_-;_-* &quot;-&quot;??_-;_-@_-">
                  <c:v>30.75</c:v>
                </c:pt>
                <c:pt idx="167" formatCode="_-* #,##0_-;\-* #,##0_-;_-* &quot;-&quot;??_-;_-@_-">
                  <c:v>123.5</c:v>
                </c:pt>
                <c:pt idx="168" formatCode="_-* #,##0_-;\-* #,##0_-;_-* &quot;-&quot;??_-;_-@_-">
                  <c:v>146.5</c:v>
                </c:pt>
                <c:pt idx="169" formatCode="_-* #,##0_-;\-* #,##0_-;_-* &quot;-&quot;??_-;_-@_-">
                  <c:v>62.75</c:v>
                </c:pt>
                <c:pt idx="170" formatCode="_-* #,##0_-;\-* #,##0_-;_-* &quot;-&quot;??_-;_-@_-">
                  <c:v>45.25</c:v>
                </c:pt>
                <c:pt idx="171" formatCode="_-* #,##0_-;\-* #,##0_-;_-* &quot;-&quot;??_-;_-@_-">
                  <c:v>70.75</c:v>
                </c:pt>
                <c:pt idx="172" formatCode="_-* #,##0_-;\-* #,##0_-;_-* &quot;-&quot;??_-;_-@_-">
                  <c:v>32</c:v>
                </c:pt>
                <c:pt idx="173" formatCode="_-* #,##0_-;\-* #,##0_-;_-* &quot;-&quot;??_-;_-@_-">
                  <c:v>78.25</c:v>
                </c:pt>
                <c:pt idx="174" formatCode="_-* #,##0_-;\-* #,##0_-;_-* &quot;-&quot;??_-;_-@_-">
                  <c:v>181</c:v>
                </c:pt>
                <c:pt idx="175" formatCode="_-* #,##0_-;\-* #,##0_-;_-* &quot;-&quot;??_-;_-@_-">
                  <c:v>52.25</c:v>
                </c:pt>
                <c:pt idx="176" formatCode="_-* #,##0_-;\-* #,##0_-;_-* &quot;-&quot;??_-;_-@_-">
                  <c:v>46</c:v>
                </c:pt>
                <c:pt idx="177" formatCode="_-* #,##0_-;\-* #,##0_-;_-* &quot;-&quot;??_-;_-@_-">
                  <c:v>20</c:v>
                </c:pt>
                <c:pt idx="178" formatCode="_-* #,##0_-;\-* #,##0_-;_-* &quot;-&quot;??_-;_-@_-">
                  <c:v>26.7</c:v>
                </c:pt>
                <c:pt idx="179" formatCode="_-* #,##0_-;\-* #,##0_-;_-* &quot;-&quot;??_-;_-@_-">
                  <c:v>103</c:v>
                </c:pt>
                <c:pt idx="180" formatCode="_-* #,##0_-;\-* #,##0_-;_-* &quot;-&quot;??_-;_-@_-">
                  <c:v>117.75</c:v>
                </c:pt>
                <c:pt idx="181" formatCode="_-* #,##0_-;\-* #,##0_-;_-* &quot;-&quot;??_-;_-@_-">
                  <c:v>69.25</c:v>
                </c:pt>
                <c:pt idx="182" formatCode="_-* #,##0_-;\-* #,##0_-;_-* &quot;-&quot;??_-;_-@_-">
                  <c:v>55.5</c:v>
                </c:pt>
                <c:pt idx="183" formatCode="_-* #,##0_-;\-* #,##0_-;_-* &quot;-&quot;??_-;_-@_-">
                  <c:v>107.75</c:v>
                </c:pt>
                <c:pt idx="184" formatCode="_-* #,##0_-;\-* #,##0_-;_-* &quot;-&quot;??_-;_-@_-">
                  <c:v>48</c:v>
                </c:pt>
                <c:pt idx="185" formatCode="_-* #,##0_-;\-* #,##0_-;_-* &quot;-&quot;??_-;_-@_-">
                  <c:v>61</c:v>
                </c:pt>
                <c:pt idx="186" formatCode="_-* #,##0_-;\-* #,##0_-;_-* &quot;-&quot;??_-;_-@_-">
                  <c:v>32.25</c:v>
                </c:pt>
                <c:pt idx="187" formatCode="_-* #,##0_-;\-* #,##0_-;_-* &quot;-&quot;??_-;_-@_-">
                  <c:v>81</c:v>
                </c:pt>
                <c:pt idx="188" formatCode="_-* #,##0_-;\-* #,##0_-;_-* &quot;-&quot;??_-;_-@_-">
                  <c:v>50</c:v>
                </c:pt>
                <c:pt idx="189" formatCode="_-* #,##0_-;\-* #,##0_-;_-* &quot;-&quot;??_-;_-@_-">
                  <c:v>60.75</c:v>
                </c:pt>
                <c:pt idx="190" formatCode="_-* #,##0_-;\-* #,##0_-;_-* &quot;-&quot;??_-;_-@_-">
                  <c:v>37.75</c:v>
                </c:pt>
                <c:pt idx="191" formatCode="_-* #,##0_-;\-* #,##0_-;_-* &quot;-&quot;??_-;_-@_-">
                  <c:v>43</c:v>
                </c:pt>
                <c:pt idx="192" formatCode="_-* #,##0_-;\-* #,##0_-;_-* &quot;-&quot;??_-;_-@_-">
                  <c:v>33.5</c:v>
                </c:pt>
                <c:pt idx="193" formatCode="_-* #,##0_-;\-* #,##0_-;_-* &quot;-&quot;??_-;_-@_-">
                  <c:v>70.25</c:v>
                </c:pt>
                <c:pt idx="194" formatCode="_-* #,##0_-;\-* #,##0_-;_-* &quot;-&quot;??_-;_-@_-">
                  <c:v>57</c:v>
                </c:pt>
                <c:pt idx="195" formatCode="_-* #,##0_-;\-* #,##0_-;_-* &quot;-&quot;??_-;_-@_-">
                  <c:v>33.75</c:v>
                </c:pt>
                <c:pt idx="196" formatCode="_-* #,##0_-;\-* #,##0_-;_-* &quot;-&quot;??_-;_-@_-">
                  <c:v>51</c:v>
                </c:pt>
                <c:pt idx="197" formatCode="_-* #,##0_-;\-* #,##0_-;_-* &quot;-&quot;??_-;_-@_-">
                  <c:v>58.75</c:v>
                </c:pt>
                <c:pt idx="198" formatCode="_-* #,##0_-;\-* #,##0_-;_-* &quot;-&quot;??_-;_-@_-">
                  <c:v>18</c:v>
                </c:pt>
                <c:pt idx="199" formatCode="_-* #,##0_-;\-* #,##0_-;_-* &quot;-&quot;??_-;_-@_-">
                  <c:v>42</c:v>
                </c:pt>
                <c:pt idx="200" formatCode="_-* #,##0_-;\-* #,##0_-;_-* &quot;-&quot;??_-;_-@_-">
                  <c:v>55.25</c:v>
                </c:pt>
                <c:pt idx="201" formatCode="_-* #,##0_-;\-* #,##0_-;_-* &quot;-&quot;??_-;_-@_-">
                  <c:v>30</c:v>
                </c:pt>
                <c:pt idx="202" formatCode="_-* #,##0_-;\-* #,##0_-;_-* &quot;-&quot;??_-;_-@_-">
                  <c:v>85.25</c:v>
                </c:pt>
                <c:pt idx="203" formatCode="_-* #,##0_-;\-* #,##0_-;_-* &quot;-&quot;??_-;_-@_-">
                  <c:v>32.75</c:v>
                </c:pt>
                <c:pt idx="204" formatCode="_-* #,##0_-;\-* #,##0_-;_-* &quot;-&quot;??_-;_-@_-">
                  <c:v>33</c:v>
                </c:pt>
                <c:pt idx="205" formatCode="_-* #,##0_-;\-* #,##0_-;_-* &quot;-&quot;??_-;_-@_-">
                  <c:v>39.25</c:v>
                </c:pt>
                <c:pt idx="206" formatCode="_-* #,##0_-;\-* #,##0_-;_-* &quot;-&quot;??_-;_-@_-">
                  <c:v>56.75</c:v>
                </c:pt>
                <c:pt idx="207" formatCode="_-* #,##0_-;\-* #,##0_-;_-* &quot;-&quot;??_-;_-@_-">
                  <c:v>96.75</c:v>
                </c:pt>
                <c:pt idx="208" formatCode="_-* #,##0_-;\-* #,##0_-;_-* &quot;-&quot;??_-;_-@_-">
                  <c:v>95.5</c:v>
                </c:pt>
                <c:pt idx="209" formatCode="_-* #,##0_-;\-* #,##0_-;_-* &quot;-&quot;??_-;_-@_-">
                  <c:v>59</c:v>
                </c:pt>
                <c:pt idx="210" formatCode="_-* #,##0_-;\-* #,##0_-;_-* &quot;-&quot;??_-;_-@_-">
                  <c:v>88</c:v>
                </c:pt>
                <c:pt idx="211" formatCode="_-* #,##0_-;\-* #,##0_-;_-* &quot;-&quot;??_-;_-@_-">
                  <c:v>106.25</c:v>
                </c:pt>
                <c:pt idx="212" formatCode="_-* #,##0_-;\-* #,##0_-;_-* &quot;-&quot;??_-;_-@_-">
                  <c:v>68.75</c:v>
                </c:pt>
                <c:pt idx="213" formatCode="_-* #,##0_-;\-* #,##0_-;_-* &quot;-&quot;??_-;_-@_-">
                  <c:v>93</c:v>
                </c:pt>
                <c:pt idx="214" formatCode="_-* #,##0_-;\-* #,##0_-;_-* &quot;-&quot;??_-;_-@_-">
                  <c:v>70.5</c:v>
                </c:pt>
                <c:pt idx="215" formatCode="_-* #,##0_-;\-* #,##0_-;_-* &quot;-&quot;??_-;_-@_-">
                  <c:v>34</c:v>
                </c:pt>
                <c:pt idx="216" formatCode="_-* #,##0_-;\-* #,##0_-;_-* &quot;-&quot;??_-;_-@_-">
                  <c:v>29</c:v>
                </c:pt>
                <c:pt idx="217" formatCode="_-* #,##0_-;\-* #,##0_-;_-* &quot;-&quot;??_-;_-@_-">
                  <c:v>30.25</c:v>
                </c:pt>
                <c:pt idx="218" formatCode="_-* #,##0_-;\-* #,##0_-;_-* &quot;-&quot;??_-;_-@_-">
                  <c:v>49.25</c:v>
                </c:pt>
                <c:pt idx="219" formatCode="_-* #,##0_-;\-* #,##0_-;_-* &quot;-&quot;??_-;_-@_-">
                  <c:v>15</c:v>
                </c:pt>
                <c:pt idx="220" formatCode="_-* #,##0_-;\-* #,##0_-;_-* &quot;-&quot;??_-;_-@_-">
                  <c:v>59.25</c:v>
                </c:pt>
                <c:pt idx="221" formatCode="_-* #,##0_-;\-* #,##0_-;_-* &quot;-&quot;??_-;_-@_-">
                  <c:v>50.25</c:v>
                </c:pt>
                <c:pt idx="222" formatCode="_-* #,##0_-;\-* #,##0_-;_-* &quot;-&quot;??_-;_-@_-">
                  <c:v>69.5</c:v>
                </c:pt>
                <c:pt idx="223" formatCode="_-* #,##0_-;\-* #,##0_-;_-* &quot;-&quot;??_-;_-@_-">
                  <c:v>49.5</c:v>
                </c:pt>
                <c:pt idx="224" formatCode="_-* #,##0_-;\-* #,##0_-;_-* &quot;-&quot;??_-;_-@_-">
                  <c:v>82.25</c:v>
                </c:pt>
                <c:pt idx="225" formatCode="_-* #,##0_-;\-* #,##0_-;_-* &quot;-&quot;??_-;_-@_-">
                  <c:v>46.5</c:v>
                </c:pt>
                <c:pt idx="226" formatCode="_-* #,##0_-;\-* #,##0_-;_-* &quot;-&quot;??_-;_-@_-">
                  <c:v>69.5</c:v>
                </c:pt>
                <c:pt idx="227" formatCode="_-* #,##0_-;\-* #,##0_-;_-* &quot;-&quot;??_-;_-@_-">
                  <c:v>22.25</c:v>
                </c:pt>
                <c:pt idx="228" formatCode="_-* #,##0_-;\-* #,##0_-;_-* &quot;-&quot;??_-;_-@_-">
                  <c:v>63.25</c:v>
                </c:pt>
                <c:pt idx="229" formatCode="_-* #,##0_-;\-* #,##0_-;_-* &quot;-&quot;??_-;_-@_-">
                  <c:v>78</c:v>
                </c:pt>
                <c:pt idx="230" formatCode="_-* #,##0_-;\-* #,##0_-;_-* &quot;-&quot;??_-;_-@_-">
                  <c:v>38.25</c:v>
                </c:pt>
                <c:pt idx="231" formatCode="_-* #,##0_-;\-* #,##0_-;_-* &quot;-&quot;??_-;_-@_-">
                  <c:v>0</c:v>
                </c:pt>
                <c:pt idx="232" formatCode="_-* #,##0_-;\-* #,##0_-;_-* &quot;-&quot;??_-;_-@_-">
                  <c:v>53</c:v>
                </c:pt>
                <c:pt idx="233" formatCode="_-* #,##0_-;\-* #,##0_-;_-* &quot;-&quot;??_-;_-@_-">
                  <c:v>6.5</c:v>
                </c:pt>
                <c:pt idx="234" formatCode="_-* #,##0_-;\-* #,##0_-;_-* &quot;-&quot;??_-;_-@_-">
                  <c:v>45</c:v>
                </c:pt>
                <c:pt idx="235" formatCode="_-* #,##0_-;\-* #,##0_-;_-* &quot;-&quot;??_-;_-@_-">
                  <c:v>42.25</c:v>
                </c:pt>
                <c:pt idx="236" formatCode="_-* #,##0_-;\-* #,##0_-;_-* &quot;-&quot;??_-;_-@_-">
                  <c:v>145.5</c:v>
                </c:pt>
                <c:pt idx="237" formatCode="_-* #,##0_-;\-* #,##0_-;_-* &quot;-&quot;??_-;_-@_-">
                  <c:v>16.5</c:v>
                </c:pt>
                <c:pt idx="238" formatCode="_-* #,##0_-;\-* #,##0_-;_-* &quot;-&quot;??_-;_-@_-">
                  <c:v>45</c:v>
                </c:pt>
                <c:pt idx="239" formatCode="_-* #,##0_-;\-* #,##0_-;_-* &quot;-&quot;??_-;_-@_-">
                  <c:v>37</c:v>
                </c:pt>
                <c:pt idx="240" formatCode="_-* #,##0_-;\-* #,##0_-;_-* &quot;-&quot;??_-;_-@_-">
                  <c:v>51.5</c:v>
                </c:pt>
                <c:pt idx="241" formatCode="_-* #,##0_-;\-* #,##0_-;_-* &quot;-&quot;??_-;_-@_-">
                  <c:v>67.75</c:v>
                </c:pt>
                <c:pt idx="242" formatCode="_-* #,##0_-;\-* #,##0_-;_-* &quot;-&quot;??_-;_-@_-">
                  <c:v>28.25</c:v>
                </c:pt>
                <c:pt idx="243" formatCode="_-* #,##0_-;\-* #,##0_-;_-* &quot;-&quot;??_-;_-@_-">
                  <c:v>74.5</c:v>
                </c:pt>
                <c:pt idx="244" formatCode="_-* #,##0_-;\-* #,##0_-;_-* &quot;-&quot;??_-;_-@_-">
                  <c:v>52.75</c:v>
                </c:pt>
                <c:pt idx="245" formatCode="_-* #,##0_-;\-* #,##0_-;_-* &quot;-&quot;??_-;_-@_-">
                  <c:v>56.25</c:v>
                </c:pt>
                <c:pt idx="246" formatCode="_-* #,##0_-;\-* #,##0_-;_-* &quot;-&quot;??_-;_-@_-">
                  <c:v>56.25</c:v>
                </c:pt>
                <c:pt idx="247" formatCode="_-* #,##0_-;\-* #,##0_-;_-* &quot;-&quot;??_-;_-@_-">
                  <c:v>141</c:v>
                </c:pt>
                <c:pt idx="248" formatCode="_-* #,##0_-;\-* #,##0_-;_-* &quot;-&quot;??_-;_-@_-">
                  <c:v>79.25</c:v>
                </c:pt>
                <c:pt idx="249" formatCode="_-* #,##0_-;\-* #,##0_-;_-* &quot;-&quot;??_-;_-@_-">
                  <c:v>113.75</c:v>
                </c:pt>
                <c:pt idx="250" formatCode="_-* #,##0_-;\-* #,##0_-;_-* &quot;-&quot;??_-;_-@_-">
                  <c:v>31.5</c:v>
                </c:pt>
                <c:pt idx="251" formatCode="_-* #,##0_-;\-* #,##0_-;_-* &quot;-&quot;??_-;_-@_-">
                  <c:v>30.25</c:v>
                </c:pt>
                <c:pt idx="252" formatCode="_-* #,##0_-;\-* #,##0_-;_-* &quot;-&quot;??_-;_-@_-">
                  <c:v>96.5</c:v>
                </c:pt>
                <c:pt idx="253" formatCode="_-* #,##0_-;\-* #,##0_-;_-* &quot;-&quot;??_-;_-@_-">
                  <c:v>50.5</c:v>
                </c:pt>
                <c:pt idx="254" formatCode="_-* #,##0_-;\-* #,##0_-;_-* &quot;-&quot;??_-;_-@_-">
                  <c:v>53.25</c:v>
                </c:pt>
                <c:pt idx="255" formatCode="_-* #,##0_-;\-* #,##0_-;_-* &quot;-&quot;??_-;_-@_-">
                  <c:v>62.75</c:v>
                </c:pt>
                <c:pt idx="256" formatCode="_-* #,##0_-;\-* #,##0_-;_-* &quot;-&quot;??_-;_-@_-">
                  <c:v>37</c:v>
                </c:pt>
                <c:pt idx="257" formatCode="_-* #,##0_-;\-* #,##0_-;_-* &quot;-&quot;??_-;_-@_-">
                  <c:v>74.5</c:v>
                </c:pt>
                <c:pt idx="258" formatCode="_-* #,##0_-;\-* #,##0_-;_-* &quot;-&quot;??_-;_-@_-">
                  <c:v>33</c:v>
                </c:pt>
                <c:pt idx="259" formatCode="_-* #,##0_-;\-* #,##0_-;_-* &quot;-&quot;??_-;_-@_-">
                  <c:v>94</c:v>
                </c:pt>
                <c:pt idx="260" formatCode="_-* #,##0_-;\-* #,##0_-;_-* &quot;-&quot;??_-;_-@_-">
                  <c:v>59.25</c:v>
                </c:pt>
                <c:pt idx="261" formatCode="_-* #,##0_-;\-* #,##0_-;_-* &quot;-&quot;??_-;_-@_-">
                  <c:v>24</c:v>
                </c:pt>
                <c:pt idx="262" formatCode="_-* #,##0_-;\-* #,##0_-;_-* &quot;-&quot;??_-;_-@_-">
                  <c:v>64.5</c:v>
                </c:pt>
                <c:pt idx="263" formatCode="_-* #,##0_-;\-* #,##0_-;_-* &quot;-&quot;??_-;_-@_-">
                  <c:v>74.5</c:v>
                </c:pt>
                <c:pt idx="264" formatCode="_-* #,##0_-;\-* #,##0_-;_-* &quot;-&quot;??_-;_-@_-">
                  <c:v>33.75</c:v>
                </c:pt>
                <c:pt idx="265" formatCode="_-* #,##0_-;\-* #,##0_-;_-* &quot;-&quot;??_-;_-@_-">
                  <c:v>63.75</c:v>
                </c:pt>
                <c:pt idx="266" formatCode="_-* #,##0_-;\-* #,##0_-;_-* &quot;-&quot;??_-;_-@_-">
                  <c:v>48.75</c:v>
                </c:pt>
                <c:pt idx="267" formatCode="_-* #,##0_-;\-* #,##0_-;_-* &quot;-&quot;??_-;_-@_-">
                  <c:v>31.25</c:v>
                </c:pt>
                <c:pt idx="268" formatCode="_-* #,##0_-;\-* #,##0_-;_-* &quot;-&quot;??_-;_-@_-">
                  <c:v>32.75</c:v>
                </c:pt>
                <c:pt idx="269" formatCode="_-* #,##0_-;\-* #,##0_-;_-* &quot;-&quot;??_-;_-@_-">
                  <c:v>49.25</c:v>
                </c:pt>
                <c:pt idx="270" formatCode="_-* #,##0_-;\-* #,##0_-;_-* &quot;-&quot;??_-;_-@_-">
                  <c:v>44.75</c:v>
                </c:pt>
                <c:pt idx="271" formatCode="_-* #,##0_-;\-* #,##0_-;_-* &quot;-&quot;??_-;_-@_-">
                  <c:v>22.5</c:v>
                </c:pt>
                <c:pt idx="272" formatCode="_-* #,##0_-;\-* #,##0_-;_-* &quot;-&quot;??_-;_-@_-">
                  <c:v>81</c:v>
                </c:pt>
                <c:pt idx="273" formatCode="_-* #,##0_-;\-* #,##0_-;_-* &quot;-&quot;??_-;_-@_-">
                  <c:v>31.75</c:v>
                </c:pt>
                <c:pt idx="274" formatCode="_-* #,##0_-;\-* #,##0_-;_-* &quot;-&quot;??_-;_-@_-">
                  <c:v>35.5</c:v>
                </c:pt>
                <c:pt idx="275" formatCode="_-* #,##0_-;\-* #,##0_-;_-* &quot;-&quot;??_-;_-@_-">
                  <c:v>17</c:v>
                </c:pt>
                <c:pt idx="276" formatCode="_-* #,##0_-;\-* #,##0_-;_-* &quot;-&quot;??_-;_-@_-">
                  <c:v>54.75</c:v>
                </c:pt>
                <c:pt idx="277" formatCode="_-* #,##0_-;\-* #,##0_-;_-* &quot;-&quot;??_-;_-@_-">
                  <c:v>48</c:v>
                </c:pt>
                <c:pt idx="278" formatCode="_-* #,##0_-;\-* #,##0_-;_-* &quot;-&quot;??_-;_-@_-">
                  <c:v>19.25</c:v>
                </c:pt>
                <c:pt idx="279" formatCode="_-* #,##0_-;\-* #,##0_-;_-* &quot;-&quot;??_-;_-@_-">
                  <c:v>58.25</c:v>
                </c:pt>
                <c:pt idx="280" formatCode="_-* #,##0_-;\-* #,##0_-;_-* &quot;-&quot;??_-;_-@_-">
                  <c:v>129</c:v>
                </c:pt>
                <c:pt idx="281" formatCode="_-* #,##0_-;\-* #,##0_-;_-* &quot;-&quot;??_-;_-@_-">
                  <c:v>72</c:v>
                </c:pt>
                <c:pt idx="282" formatCode="_-* #,##0_-;\-* #,##0_-;_-* &quot;-&quot;??_-;_-@_-">
                  <c:v>40</c:v>
                </c:pt>
                <c:pt idx="283" formatCode="_-* #,##0_-;\-* #,##0_-;_-* &quot;-&quot;??_-;_-@_-">
                  <c:v>77.25</c:v>
                </c:pt>
                <c:pt idx="284" formatCode="_-* #,##0_-;\-* #,##0_-;_-* &quot;-&quot;??_-;_-@_-">
                  <c:v>52.5</c:v>
                </c:pt>
                <c:pt idx="285" formatCode="_-* #,##0_-;\-* #,##0_-;_-* &quot;-&quot;??_-;_-@_-">
                  <c:v>34.5</c:v>
                </c:pt>
                <c:pt idx="286" formatCode="_-* #,##0_-;\-* #,##0_-;_-* &quot;-&quot;??_-;_-@_-">
                  <c:v>70.25</c:v>
                </c:pt>
                <c:pt idx="287" formatCode="_-* #,##0_-;\-* #,##0_-;_-* &quot;-&quot;??_-;_-@_-">
                  <c:v>55.25</c:v>
                </c:pt>
                <c:pt idx="288" formatCode="_-* #,##0_-;\-* #,##0_-;_-* &quot;-&quot;??_-;_-@_-">
                  <c:v>96.75</c:v>
                </c:pt>
                <c:pt idx="289" formatCode="_-* #,##0_-;\-* #,##0_-;_-* &quot;-&quot;??_-;_-@_-">
                  <c:v>30.75</c:v>
                </c:pt>
                <c:pt idx="290" formatCode="_-* #,##0_-;\-* #,##0_-;_-* &quot;-&quot;??_-;_-@_-">
                  <c:v>37.25</c:v>
                </c:pt>
                <c:pt idx="291" formatCode="_-* #,##0_-;\-* #,##0_-;_-* &quot;-&quot;??_-;_-@_-">
                  <c:v>70.25</c:v>
                </c:pt>
                <c:pt idx="292" formatCode="_-* #,##0_-;\-* #,##0_-;_-* &quot;-&quot;??_-;_-@_-">
                  <c:v>151.5</c:v>
                </c:pt>
                <c:pt idx="293" formatCode="_-* #,##0_-;\-* #,##0_-;_-* &quot;-&quot;??_-;_-@_-">
                  <c:v>25</c:v>
                </c:pt>
                <c:pt idx="294" formatCode="_-* #,##0_-;\-* #,##0_-;_-* &quot;-&quot;??_-;_-@_-">
                  <c:v>68.5</c:v>
                </c:pt>
                <c:pt idx="295" formatCode="_-* #,##0_-;\-* #,##0_-;_-* &quot;-&quot;??_-;_-@_-">
                  <c:v>37.5</c:v>
                </c:pt>
                <c:pt idx="296" formatCode="_-* #,##0_-;\-* #,##0_-;_-* &quot;-&quot;??_-;_-@_-">
                  <c:v>34.75</c:v>
                </c:pt>
                <c:pt idx="297" formatCode="_-* #,##0_-;\-* #,##0_-;_-* &quot;-&quot;??_-;_-@_-">
                  <c:v>49.5</c:v>
                </c:pt>
                <c:pt idx="298" formatCode="_-* #,##0_-;\-* #,##0_-;_-* &quot;-&quot;??_-;_-@_-">
                  <c:v>43</c:v>
                </c:pt>
                <c:pt idx="299" formatCode="_-* #,##0_-;\-* #,##0_-;_-* &quot;-&quot;??_-;_-@_-">
                  <c:v>16</c:v>
                </c:pt>
                <c:pt idx="300" formatCode="_-* #,##0_-;\-* #,##0_-;_-* &quot;-&quot;??_-;_-@_-">
                  <c:v>70.25</c:v>
                </c:pt>
                <c:pt idx="301" formatCode="_-* #,##0_-;\-* #,##0_-;_-* &quot;-&quot;??_-;_-@_-">
                  <c:v>40.25</c:v>
                </c:pt>
                <c:pt idx="302" formatCode="_-* #,##0_-;\-* #,##0_-;_-* &quot;-&quot;??_-;_-@_-">
                  <c:v>15.25</c:v>
                </c:pt>
                <c:pt idx="303" formatCode="_-* #,##0_-;\-* #,##0_-;_-* &quot;-&quot;??_-;_-@_-">
                  <c:v>51</c:v>
                </c:pt>
                <c:pt idx="304" formatCode="_-* #,##0_-;\-* #,##0_-;_-* &quot;-&quot;??_-;_-@_-">
                  <c:v>83</c:v>
                </c:pt>
                <c:pt idx="305" formatCode="_-* #,##0_-;\-* #,##0_-;_-* &quot;-&quot;??_-;_-@_-">
                  <c:v>24.5</c:v>
                </c:pt>
                <c:pt idx="306" formatCode="_-* #,##0_-;\-* #,##0_-;_-* &quot;-&quot;??_-;_-@_-">
                  <c:v>56</c:v>
                </c:pt>
                <c:pt idx="307" formatCode="_-* #,##0_-;\-* #,##0_-;_-* &quot;-&quot;??_-;_-@_-">
                  <c:v>33.25</c:v>
                </c:pt>
                <c:pt idx="308" formatCode="_-* #,##0_-;\-* #,##0_-;_-* &quot;-&quot;??_-;_-@_-">
                  <c:v>36.5</c:v>
                </c:pt>
                <c:pt idx="309" formatCode="_-* #,##0_-;\-* #,##0_-;_-* &quot;-&quot;??_-;_-@_-">
                  <c:v>65</c:v>
                </c:pt>
                <c:pt idx="310" formatCode="_-* #,##0_-;\-* #,##0_-;_-* &quot;-&quot;??_-;_-@_-">
                  <c:v>44.5</c:v>
                </c:pt>
                <c:pt idx="311" formatCode="_-* #,##0_-;\-* #,##0_-;_-* &quot;-&quot;??_-;_-@_-">
                  <c:v>40.75</c:v>
                </c:pt>
                <c:pt idx="312" formatCode="_-* #,##0_-;\-* #,##0_-;_-* &quot;-&quot;??_-;_-@_-">
                  <c:v>116.75</c:v>
                </c:pt>
                <c:pt idx="313" formatCode="_-* #,##0_-;\-* #,##0_-;_-* &quot;-&quot;??_-;_-@_-">
                  <c:v>54.5</c:v>
                </c:pt>
                <c:pt idx="314" formatCode="_-* #,##0_-;\-* #,##0_-;_-* &quot;-&quot;??_-;_-@_-">
                  <c:v>72.5</c:v>
                </c:pt>
                <c:pt idx="315" formatCode="_-* #,##0_-;\-* #,##0_-;_-* &quot;-&quot;??_-;_-@_-">
                  <c:v>91</c:v>
                </c:pt>
                <c:pt idx="316" formatCode="_-* #,##0_-;\-* #,##0_-;_-* &quot;-&quot;??_-;_-@_-">
                  <c:v>59.25</c:v>
                </c:pt>
                <c:pt idx="317" formatCode="_-* #,##0_-;\-* #,##0_-;_-* &quot;-&quot;??_-;_-@_-">
                  <c:v>22.75</c:v>
                </c:pt>
                <c:pt idx="318" formatCode="_-* #,##0_-;\-* #,##0_-;_-* &quot;-&quot;??_-;_-@_-">
                  <c:v>36.5</c:v>
                </c:pt>
                <c:pt idx="319" formatCode="_-* #,##0_-;\-* #,##0_-;_-* &quot;-&quot;??_-;_-@_-">
                  <c:v>46.25</c:v>
                </c:pt>
                <c:pt idx="320" formatCode="_-* #,##0_-;\-* #,##0_-;_-* &quot;-&quot;??_-;_-@_-">
                  <c:v>46.5</c:v>
                </c:pt>
                <c:pt idx="321" formatCode="_-* #,##0_-;\-* #,##0_-;_-* &quot;-&quot;??_-;_-@_-">
                  <c:v>37</c:v>
                </c:pt>
                <c:pt idx="322" formatCode="_-* #,##0_-;\-* #,##0_-;_-* &quot;-&quot;??_-;_-@_-">
                  <c:v>23.25</c:v>
                </c:pt>
                <c:pt idx="323" formatCode="_-* #,##0_-;\-* #,##0_-;_-* &quot;-&quot;??_-;_-@_-">
                  <c:v>43.75</c:v>
                </c:pt>
                <c:pt idx="324" formatCode="_-* #,##0_-;\-* #,##0_-;_-* &quot;-&quot;??_-;_-@_-">
                  <c:v>42</c:v>
                </c:pt>
                <c:pt idx="325" formatCode="_-* #,##0_-;\-* #,##0_-;_-* &quot;-&quot;??_-;_-@_-">
                  <c:v>32.5</c:v>
                </c:pt>
                <c:pt idx="326" formatCode="_-* #,##0_-;\-* #,##0_-;_-* &quot;-&quot;??_-;_-@_-">
                  <c:v>39.5</c:v>
                </c:pt>
                <c:pt idx="327" formatCode="_-* #,##0_-;\-* #,##0_-;_-* &quot;-&quot;??_-;_-@_-">
                  <c:v>24.5</c:v>
                </c:pt>
                <c:pt idx="328" formatCode="_-* #,##0_-;\-* #,##0_-;_-* &quot;-&quot;??_-;_-@_-">
                  <c:v>31.5</c:v>
                </c:pt>
                <c:pt idx="329" formatCode="_-* #,##0_-;\-* #,##0_-;_-* &quot;-&quot;??_-;_-@_-">
                  <c:v>30.75</c:v>
                </c:pt>
                <c:pt idx="330" formatCode="_-* #,##0_-;\-* #,##0_-;_-* &quot;-&quot;??_-;_-@_-">
                  <c:v>85</c:v>
                </c:pt>
                <c:pt idx="331" formatCode="_-* #,##0_-;\-* #,##0_-;_-* &quot;-&quot;??_-;_-@_-">
                  <c:v>52</c:v>
                </c:pt>
                <c:pt idx="332" formatCode="_-* #,##0_-;\-* #,##0_-;_-* &quot;-&quot;??_-;_-@_-">
                  <c:v>39.25</c:v>
                </c:pt>
                <c:pt idx="333" formatCode="_-* #,##0_-;\-* #,##0_-;_-* &quot;-&quot;??_-;_-@_-">
                  <c:v>13</c:v>
                </c:pt>
                <c:pt idx="334" formatCode="_-* #,##0_-;\-* #,##0_-;_-* &quot;-&quot;??_-;_-@_-">
                  <c:v>90</c:v>
                </c:pt>
                <c:pt idx="335" formatCode="_-* #,##0_-;\-* #,##0_-;_-* &quot;-&quot;??_-;_-@_-">
                  <c:v>50</c:v>
                </c:pt>
                <c:pt idx="336" formatCode="_-* #,##0_-;\-* #,##0_-;_-* &quot;-&quot;??_-;_-@_-">
                  <c:v>42.25</c:v>
                </c:pt>
                <c:pt idx="337" formatCode="_-* #,##0_-;\-* #,##0_-;_-* &quot;-&quot;??_-;_-@_-">
                  <c:v>55.75</c:v>
                </c:pt>
                <c:pt idx="338" formatCode="_-* #,##0_-;\-* #,##0_-;_-* &quot;-&quot;??_-;_-@_-">
                  <c:v>23.5</c:v>
                </c:pt>
                <c:pt idx="339" formatCode="_-* #,##0_-;\-* #,##0_-;_-* &quot;-&quot;??_-;_-@_-">
                  <c:v>58.5</c:v>
                </c:pt>
                <c:pt idx="340" formatCode="_-* #,##0_-;\-* #,##0_-;_-* &quot;-&quot;??_-;_-@_-">
                  <c:v>49.25</c:v>
                </c:pt>
                <c:pt idx="341" formatCode="_-* #,##0_-;\-* #,##0_-;_-* &quot;-&quot;??_-;_-@_-">
                  <c:v>38</c:v>
                </c:pt>
                <c:pt idx="342" formatCode="_-* #,##0_-;\-* #,##0_-;_-* &quot;-&quot;??_-;_-@_-">
                  <c:v>30</c:v>
                </c:pt>
                <c:pt idx="343" formatCode="_-* #,##0_-;\-* #,##0_-;_-* &quot;-&quot;??_-;_-@_-">
                  <c:v>25</c:v>
                </c:pt>
                <c:pt idx="344" formatCode="_-* #,##0_-;\-* #,##0_-;_-* &quot;-&quot;??_-;_-@_-">
                  <c:v>61</c:v>
                </c:pt>
                <c:pt idx="345" formatCode="_-* #,##0_-;\-* #,##0_-;_-* &quot;-&quot;??_-;_-@_-">
                  <c:v>35</c:v>
                </c:pt>
                <c:pt idx="346" formatCode="_-* #,##0_-;\-* #,##0_-;_-* &quot;-&quot;??_-;_-@_-">
                  <c:v>69.5</c:v>
                </c:pt>
                <c:pt idx="347" formatCode="_-* #,##0_-;\-* #,##0_-;_-* &quot;-&quot;??_-;_-@_-">
                  <c:v>63.5</c:v>
                </c:pt>
                <c:pt idx="348" formatCode="_-* #,##0_-;\-* #,##0_-;_-* &quot;-&quot;??_-;_-@_-">
                  <c:v>21.25</c:v>
                </c:pt>
                <c:pt idx="349" formatCode="_-* #,##0_-;\-* #,##0_-;_-* &quot;-&quot;??_-;_-@_-">
                  <c:v>30.25</c:v>
                </c:pt>
                <c:pt idx="350" formatCode="_-* #,##0_-;\-* #,##0_-;_-* &quot;-&quot;??_-;_-@_-">
                  <c:v>55</c:v>
                </c:pt>
                <c:pt idx="351" formatCode="_-* #,##0_-;\-* #,##0_-;_-* &quot;-&quot;??_-;_-@_-">
                  <c:v>30</c:v>
                </c:pt>
                <c:pt idx="352" formatCode="_-* #,##0_-;\-* #,##0_-;_-* &quot;-&quot;??_-;_-@_-">
                  <c:v>56.5</c:v>
                </c:pt>
                <c:pt idx="353" formatCode="_-* #,##0_-;\-* #,##0_-;_-* &quot;-&quot;??_-;_-@_-">
                  <c:v>56</c:v>
                </c:pt>
                <c:pt idx="354" formatCode="_-* #,##0_-;\-* #,##0_-;_-* &quot;-&quot;??_-;_-@_-">
                  <c:v>43.75</c:v>
                </c:pt>
                <c:pt idx="355" formatCode="_-* #,##0_-;\-* #,##0_-;_-* &quot;-&quot;??_-;_-@_-">
                  <c:v>77</c:v>
                </c:pt>
                <c:pt idx="356" formatCode="_-* #,##0_-;\-* #,##0_-;_-* &quot;-&quot;??_-;_-@_-">
                  <c:v>126</c:v>
                </c:pt>
                <c:pt idx="357" formatCode="_-* #,##0_-;\-* #,##0_-;_-* &quot;-&quot;??_-;_-@_-">
                  <c:v>49.5</c:v>
                </c:pt>
                <c:pt idx="358" formatCode="_-* #,##0_-;\-* #,##0_-;_-* &quot;-&quot;??_-;_-@_-">
                  <c:v>69.25</c:v>
                </c:pt>
                <c:pt idx="359" formatCode="_-* #,##0_-;\-* #,##0_-;_-* &quot;-&quot;??_-;_-@_-">
                  <c:v>31.25</c:v>
                </c:pt>
                <c:pt idx="360" formatCode="_-* #,##0_-;\-* #,##0_-;_-* &quot;-&quot;??_-;_-@_-">
                  <c:v>89.97</c:v>
                </c:pt>
                <c:pt idx="361" formatCode="_-* #,##0_-;\-* #,##0_-;_-* &quot;-&quot;??_-;_-@_-">
                  <c:v>72.75</c:v>
                </c:pt>
                <c:pt idx="362" formatCode="_-* #,##0_-;\-* #,##0_-;_-* &quot;-&quot;??_-;_-@_-">
                  <c:v>8.5</c:v>
                </c:pt>
                <c:pt idx="363" formatCode="_-* #,##0_-;\-* #,##0_-;_-* &quot;-&quot;??_-;_-@_-">
                  <c:v>6</c:v>
                </c:pt>
                <c:pt idx="364" formatCode="_-* #,##0_-;\-* #,##0_-;_-* &quot;-&quot;??_-;_-@_-">
                  <c:v>36</c:v>
                </c:pt>
                <c:pt idx="365" formatCode="_-* #,##0_-;\-* #,##0_-;_-* &quot;-&quot;??_-;_-@_-">
                  <c:v>33.75</c:v>
                </c:pt>
                <c:pt idx="366" formatCode="_-* #,##0_-;\-* #,##0_-;_-* &quot;-&quot;??_-;_-@_-">
                  <c:v>50.5</c:v>
                </c:pt>
                <c:pt idx="367" formatCode="_-* #,##0_-;\-* #,##0_-;_-* &quot;-&quot;??_-;_-@_-">
                  <c:v>29</c:v>
                </c:pt>
                <c:pt idx="368" formatCode="_-* #,##0_-;\-* #,##0_-;_-* &quot;-&quot;??_-;_-@_-">
                  <c:v>38.5</c:v>
                </c:pt>
                <c:pt idx="369" formatCode="_-* #,##0_-;\-* #,##0_-;_-* &quot;-&quot;??_-;_-@_-">
                  <c:v>16.75</c:v>
                </c:pt>
                <c:pt idx="370" formatCode="_-* #,##0_-;\-* #,##0_-;_-* &quot;-&quot;??_-;_-@_-">
                  <c:v>67.75</c:v>
                </c:pt>
                <c:pt idx="371" formatCode="_-* #,##0_-;\-* #,##0_-;_-* &quot;-&quot;??_-;_-@_-">
                  <c:v>51</c:v>
                </c:pt>
                <c:pt idx="372" formatCode="_-* #,##0_-;\-* #,##0_-;_-* &quot;-&quot;??_-;_-@_-">
                  <c:v>42.75</c:v>
                </c:pt>
                <c:pt idx="373" formatCode="_-* #,##0_-;\-* #,##0_-;_-* &quot;-&quot;??_-;_-@_-">
                  <c:v>41</c:v>
                </c:pt>
                <c:pt idx="374" formatCode="_-* #,##0_-;\-* #,##0_-;_-* &quot;-&quot;??_-;_-@_-">
                  <c:v>64.5</c:v>
                </c:pt>
                <c:pt idx="375" formatCode="_-* #,##0_-;\-* #,##0_-;_-* &quot;-&quot;??_-;_-@_-">
                  <c:v>78</c:v>
                </c:pt>
                <c:pt idx="376" formatCode="_-* #,##0_-;\-* #,##0_-;_-* &quot;-&quot;??_-;_-@_-">
                  <c:v>22</c:v>
                </c:pt>
                <c:pt idx="377" formatCode="_-* #,##0_-;\-* #,##0_-;_-* &quot;-&quot;??_-;_-@_-">
                  <c:v>37.5</c:v>
                </c:pt>
                <c:pt idx="378" formatCode="_-* #,##0_-;\-* #,##0_-;_-* &quot;-&quot;??_-;_-@_-">
                  <c:v>117.5</c:v>
                </c:pt>
                <c:pt idx="379" formatCode="_-* #,##0_-;\-* #,##0_-;_-* &quot;-&quot;??_-;_-@_-">
                  <c:v>18</c:v>
                </c:pt>
                <c:pt idx="380" formatCode="_-* #,##0_-;\-* #,##0_-;_-* &quot;-&quot;??_-;_-@_-">
                  <c:v>24.75</c:v>
                </c:pt>
                <c:pt idx="381" formatCode="_-* #,##0_-;\-* #,##0_-;_-* &quot;-&quot;??_-;_-@_-">
                  <c:v>63.25</c:v>
                </c:pt>
                <c:pt idx="382" formatCode="_-* #,##0_-;\-* #,##0_-;_-* &quot;-&quot;??_-;_-@_-">
                  <c:v>49</c:v>
                </c:pt>
                <c:pt idx="383" formatCode="_-* #,##0_-;\-* #,##0_-;_-* &quot;-&quot;??_-;_-@_-">
                  <c:v>24</c:v>
                </c:pt>
                <c:pt idx="384" formatCode="_-* #,##0_-;\-* #,##0_-;_-* &quot;-&quot;??_-;_-@_-">
                  <c:v>22.75</c:v>
                </c:pt>
                <c:pt idx="385" formatCode="_-* #,##0_-;\-* #,##0_-;_-* &quot;-&quot;??_-;_-@_-">
                  <c:v>139.25</c:v>
                </c:pt>
                <c:pt idx="386" formatCode="_-* #,##0_-;\-* #,##0_-;_-* &quot;-&quot;??_-;_-@_-">
                  <c:v>74.75</c:v>
                </c:pt>
                <c:pt idx="387" formatCode="_-* #,##0_-;\-* #,##0_-;_-* &quot;-&quot;??_-;_-@_-">
                  <c:v>86</c:v>
                </c:pt>
                <c:pt idx="388" formatCode="_-* #,##0_-;\-* #,##0_-;_-* &quot;-&quot;??_-;_-@_-">
                  <c:v>66</c:v>
                </c:pt>
                <c:pt idx="389" formatCode="_-* #,##0_-;\-* #,##0_-;_-* &quot;-&quot;??_-;_-@_-">
                  <c:v>48.5</c:v>
                </c:pt>
                <c:pt idx="390" formatCode="_-* #,##0_-;\-* #,##0_-;_-* &quot;-&quot;??_-;_-@_-">
                  <c:v>18.5</c:v>
                </c:pt>
                <c:pt idx="391" formatCode="_-* #,##0_-;\-* #,##0_-;_-* &quot;-&quot;??_-;_-@_-">
                  <c:v>19.25</c:v>
                </c:pt>
                <c:pt idx="392" formatCode="_-* #,##0_-;\-* #,##0_-;_-* &quot;-&quot;??_-;_-@_-">
                  <c:v>69.5</c:v>
                </c:pt>
                <c:pt idx="393" formatCode="_-* #,##0_-;\-* #,##0_-;_-* &quot;-&quot;??_-;_-@_-">
                  <c:v>65.25</c:v>
                </c:pt>
                <c:pt idx="394" formatCode="_-* #,##0_-;\-* #,##0_-;_-* &quot;-&quot;??_-;_-@_-">
                  <c:v>35.25</c:v>
                </c:pt>
                <c:pt idx="395" formatCode="_-* #,##0_-;\-* #,##0_-;_-* &quot;-&quot;??_-;_-@_-">
                  <c:v>58.25</c:v>
                </c:pt>
                <c:pt idx="396" formatCode="_-* #,##0_-;\-* #,##0_-;_-* &quot;-&quot;??_-;_-@_-">
                  <c:v>63</c:v>
                </c:pt>
                <c:pt idx="397" formatCode="_-* #,##0_-;\-* #,##0_-;_-* &quot;-&quot;??_-;_-@_-">
                  <c:v>28.75</c:v>
                </c:pt>
                <c:pt idx="398" formatCode="_-* #,##0_-;\-* #,##0_-;_-* &quot;-&quot;??_-;_-@_-">
                  <c:v>11.75</c:v>
                </c:pt>
                <c:pt idx="399" formatCode="_-* #,##0_-;\-* #,##0_-;_-* &quot;-&quot;??_-;_-@_-">
                  <c:v>67.75</c:v>
                </c:pt>
                <c:pt idx="400" formatCode="_-* #,##0_-;\-* #,##0_-;_-* &quot;-&quot;??_-;_-@_-">
                  <c:v>46</c:v>
                </c:pt>
                <c:pt idx="401" formatCode="_-* #,##0_-;\-* #,##0_-;_-* &quot;-&quot;??_-;_-@_-">
                  <c:v>22.25</c:v>
                </c:pt>
                <c:pt idx="402" formatCode="_-* #,##0_-;\-* #,##0_-;_-* &quot;-&quot;??_-;_-@_-">
                  <c:v>42.258000000000003</c:v>
                </c:pt>
                <c:pt idx="403" formatCode="_-* #,##0_-;\-* #,##0_-;_-* &quot;-&quot;??_-;_-@_-">
                  <c:v>53</c:v>
                </c:pt>
                <c:pt idx="404" formatCode="_-* #,##0_-;\-* #,##0_-;_-* &quot;-&quot;??_-;_-@_-">
                  <c:v>67</c:v>
                </c:pt>
                <c:pt idx="405" formatCode="_-* #,##0_-;\-* #,##0_-;_-* &quot;-&quot;??_-;_-@_-">
                  <c:v>103.75</c:v>
                </c:pt>
                <c:pt idx="406" formatCode="_-* #,##0_-;\-* #,##0_-;_-* &quot;-&quot;??_-;_-@_-">
                  <c:v>55.5</c:v>
                </c:pt>
                <c:pt idx="407" formatCode="_-* #,##0_-;\-* #,##0_-;_-* &quot;-&quot;??_-;_-@_-">
                  <c:v>23.75</c:v>
                </c:pt>
                <c:pt idx="408" formatCode="_-* #,##0_-;\-* #,##0_-;_-* &quot;-&quot;??_-;_-@_-">
                  <c:v>48</c:v>
                </c:pt>
                <c:pt idx="409" formatCode="_-* #,##0_-;\-* #,##0_-;_-* &quot;-&quot;??_-;_-@_-">
                  <c:v>77.5</c:v>
                </c:pt>
                <c:pt idx="410" formatCode="_-* #,##0_-;\-* #,##0_-;_-* &quot;-&quot;??_-;_-@_-">
                  <c:v>58.25</c:v>
                </c:pt>
                <c:pt idx="411" formatCode="_-* #,##0_-;\-* #,##0_-;_-* &quot;-&quot;??_-;_-@_-">
                  <c:v>95.5</c:v>
                </c:pt>
                <c:pt idx="412" formatCode="_-* #,##0_-;\-* #,##0_-;_-* &quot;-&quot;??_-;_-@_-">
                  <c:v>75</c:v>
                </c:pt>
                <c:pt idx="413" formatCode="_-* #,##0_-;\-* #,##0_-;_-* &quot;-&quot;??_-;_-@_-">
                  <c:v>88</c:v>
                </c:pt>
                <c:pt idx="414" formatCode="_-* #,##0_-;\-* #,##0_-;_-* &quot;-&quot;??_-;_-@_-">
                  <c:v>49.25</c:v>
                </c:pt>
                <c:pt idx="415" formatCode="_-* #,##0_-;\-* #,##0_-;_-* &quot;-&quot;??_-;_-@_-">
                  <c:v>30.8</c:v>
                </c:pt>
                <c:pt idx="416" formatCode="_-* #,##0_-;\-* #,##0_-;_-* &quot;-&quot;??_-;_-@_-">
                  <c:v>34.75</c:v>
                </c:pt>
                <c:pt idx="417" formatCode="_-* #,##0_-;\-* #,##0_-;_-* &quot;-&quot;??_-;_-@_-">
                  <c:v>70.75</c:v>
                </c:pt>
                <c:pt idx="418" formatCode="_-* #,##0_-;\-* #,##0_-;_-* &quot;-&quot;??_-;_-@_-">
                  <c:v>58</c:v>
                </c:pt>
                <c:pt idx="419" formatCode="_-* #,##0_-;\-* #,##0_-;_-* &quot;-&quot;??_-;_-@_-">
                  <c:v>45</c:v>
                </c:pt>
                <c:pt idx="420" formatCode="_-* #,##0_-;\-* #,##0_-;_-* &quot;-&quot;??_-;_-@_-">
                  <c:v>57.5</c:v>
                </c:pt>
                <c:pt idx="421" formatCode="_-* #,##0_-;\-* #,##0_-;_-* &quot;-&quot;??_-;_-@_-">
                  <c:v>34</c:v>
                </c:pt>
                <c:pt idx="422" formatCode="_-* #,##0_-;\-* #,##0_-;_-* &quot;-&quot;??_-;_-@_-">
                  <c:v>66</c:v>
                </c:pt>
                <c:pt idx="423" formatCode="_-* #,##0_-;\-* #,##0_-;_-* &quot;-&quot;??_-;_-@_-">
                  <c:v>80.5</c:v>
                </c:pt>
                <c:pt idx="424" formatCode="_-* #,##0_-;\-* #,##0_-;_-* &quot;-&quot;??_-;_-@_-">
                  <c:v>66</c:v>
                </c:pt>
                <c:pt idx="425" formatCode="_-* #,##0_-;\-* #,##0_-;_-* &quot;-&quot;??_-;_-@_-">
                  <c:v>23.75</c:v>
                </c:pt>
                <c:pt idx="426" formatCode="_-* #,##0_-;\-* #,##0_-;_-* &quot;-&quot;??_-;_-@_-">
                  <c:v>89.5</c:v>
                </c:pt>
                <c:pt idx="427" formatCode="_-* #,##0_-;\-* #,##0_-;_-* &quot;-&quot;??_-;_-@_-">
                  <c:v>38.5</c:v>
                </c:pt>
                <c:pt idx="428" formatCode="_-* #,##0_-;\-* #,##0_-;_-* &quot;-&quot;??_-;_-@_-">
                  <c:v>26.25</c:v>
                </c:pt>
                <c:pt idx="429" formatCode="_-* #,##0_-;\-* #,##0_-;_-* &quot;-&quot;??_-;_-@_-">
                  <c:v>24.75</c:v>
                </c:pt>
                <c:pt idx="430" formatCode="_-* #,##0_-;\-* #,##0_-;_-* &quot;-&quot;??_-;_-@_-">
                  <c:v>58.75</c:v>
                </c:pt>
                <c:pt idx="431" formatCode="_-* #,##0_-;\-* #,##0_-;_-* &quot;-&quot;??_-;_-@_-">
                  <c:v>35</c:v>
                </c:pt>
                <c:pt idx="432" formatCode="_-* #,##0_-;\-* #,##0_-;_-* &quot;-&quot;??_-;_-@_-">
                  <c:v>58</c:v>
                </c:pt>
                <c:pt idx="433" formatCode="_-* #,##0_-;\-* #,##0_-;_-* &quot;-&quot;??_-;_-@_-">
                  <c:v>62.5</c:v>
                </c:pt>
                <c:pt idx="434" formatCode="_-* #,##0_-;\-* #,##0_-;_-* &quot;-&quot;??_-;_-@_-">
                  <c:v>16</c:v>
                </c:pt>
                <c:pt idx="435" formatCode="_-* #,##0_-;\-* #,##0_-;_-* &quot;-&quot;??_-;_-@_-">
                  <c:v>62.5</c:v>
                </c:pt>
                <c:pt idx="436" formatCode="_-* #,##0_-;\-* #,##0_-;_-* &quot;-&quot;??_-;_-@_-">
                  <c:v>62.5</c:v>
                </c:pt>
                <c:pt idx="437" formatCode="_-* #,##0_-;\-* #,##0_-;_-* &quot;-&quot;??_-;_-@_-">
                  <c:v>102.5</c:v>
                </c:pt>
                <c:pt idx="438" formatCode="_-* #,##0_-;\-* #,##0_-;_-* &quot;-&quot;??_-;_-@_-">
                  <c:v>52</c:v>
                </c:pt>
                <c:pt idx="439" formatCode="_-* #,##0_-;\-* #,##0_-;_-* &quot;-&quot;??_-;_-@_-">
                  <c:v>48.25</c:v>
                </c:pt>
                <c:pt idx="440" formatCode="_-* #,##0_-;\-* #,##0_-;_-* &quot;-&quot;??_-;_-@_-">
                  <c:v>67</c:v>
                </c:pt>
                <c:pt idx="441" formatCode="_-* #,##0_-;\-* #,##0_-;_-* &quot;-&quot;??_-;_-@_-">
                  <c:v>30</c:v>
                </c:pt>
                <c:pt idx="442" formatCode="_-* #,##0_-;\-* #,##0_-;_-* &quot;-&quot;??_-;_-@_-">
                  <c:v>21.5</c:v>
                </c:pt>
                <c:pt idx="443" formatCode="_-* #,##0_-;\-* #,##0_-;_-* &quot;-&quot;??_-;_-@_-">
                  <c:v>37</c:v>
                </c:pt>
                <c:pt idx="444" formatCode="_-* #,##0_-;\-* #,##0_-;_-* &quot;-&quot;??_-;_-@_-">
                  <c:v>177.75</c:v>
                </c:pt>
                <c:pt idx="445" formatCode="_-* #,##0_-;\-* #,##0_-;_-* &quot;-&quot;??_-;_-@_-">
                  <c:v>67.75</c:v>
                </c:pt>
                <c:pt idx="446" formatCode="_-* #,##0_-;\-* #,##0_-;_-* &quot;-&quot;??_-;_-@_-">
                  <c:v>26.5</c:v>
                </c:pt>
                <c:pt idx="447" formatCode="_-* #,##0_-;\-* #,##0_-;_-* &quot;-&quot;??_-;_-@_-">
                  <c:v>43.5</c:v>
                </c:pt>
                <c:pt idx="448" formatCode="_-* #,##0_-;\-* #,##0_-;_-* &quot;-&quot;??_-;_-@_-">
                  <c:v>54</c:v>
                </c:pt>
                <c:pt idx="449" formatCode="_-* #,##0_-;\-* #,##0_-;_-* &quot;-&quot;??_-;_-@_-">
                  <c:v>56.5</c:v>
                </c:pt>
                <c:pt idx="450" formatCode="_-* #,##0_-;\-* #,##0_-;_-* &quot;-&quot;??_-;_-@_-">
                  <c:v>24</c:v>
                </c:pt>
                <c:pt idx="451" formatCode="_-* #,##0_-;\-* #,##0_-;_-* &quot;-&quot;??_-;_-@_-">
                  <c:v>35.5</c:v>
                </c:pt>
                <c:pt idx="452" formatCode="_-* #,##0_-;\-* #,##0_-;_-* &quot;-&quot;??_-;_-@_-">
                  <c:v>61</c:v>
                </c:pt>
                <c:pt idx="453" formatCode="_-* #,##0_-;\-* #,##0_-;_-* &quot;-&quot;??_-;_-@_-">
                  <c:v>34</c:v>
                </c:pt>
                <c:pt idx="454" formatCode="_-* #,##0_-;\-* #,##0_-;_-* &quot;-&quot;??_-;_-@_-">
                  <c:v>85.25</c:v>
                </c:pt>
                <c:pt idx="455" formatCode="_-* #,##0_-;\-* #,##0_-;_-* &quot;-&quot;??_-;_-@_-">
                  <c:v>42</c:v>
                </c:pt>
                <c:pt idx="456" formatCode="_-* #,##0_-;\-* #,##0_-;_-* &quot;-&quot;??_-;_-@_-">
                  <c:v>11</c:v>
                </c:pt>
                <c:pt idx="457" formatCode="_-* #,##0_-;\-* #,##0_-;_-* &quot;-&quot;??_-;_-@_-">
                  <c:v>17.5</c:v>
                </c:pt>
                <c:pt idx="458" formatCode="_-* #,##0_-;\-* #,##0_-;_-* &quot;-&quot;??_-;_-@_-">
                  <c:v>62</c:v>
                </c:pt>
                <c:pt idx="459" formatCode="_-* #,##0_-;\-* #,##0_-;_-* &quot;-&quot;??_-;_-@_-">
                  <c:v>69</c:v>
                </c:pt>
                <c:pt idx="460" formatCode="_-* #,##0_-;\-* #,##0_-;_-* &quot;-&quot;??_-;_-@_-">
                  <c:v>31</c:v>
                </c:pt>
                <c:pt idx="461" formatCode="_-* #,##0_-;\-* #,##0_-;_-* &quot;-&quot;??_-;_-@_-">
                  <c:v>47</c:v>
                </c:pt>
                <c:pt idx="462" formatCode="_-* #,##0_-;\-* #,##0_-;_-* &quot;-&quot;??_-;_-@_-">
                  <c:v>38</c:v>
                </c:pt>
                <c:pt idx="463" formatCode="_-* #,##0_-;\-* #,##0_-;_-* &quot;-&quot;??_-;_-@_-">
                  <c:v>103</c:v>
                </c:pt>
                <c:pt idx="464" formatCode="_-* #,##0_-;\-* #,##0_-;_-* &quot;-&quot;??_-;_-@_-">
                  <c:v>148</c:v>
                </c:pt>
                <c:pt idx="465" formatCode="_-* #,##0_-;\-* #,##0_-;_-* &quot;-&quot;??_-;_-@_-">
                  <c:v>48</c:v>
                </c:pt>
                <c:pt idx="466" formatCode="_-* #,##0_-;\-* #,##0_-;_-* &quot;-&quot;??_-;_-@_-">
                  <c:v>52</c:v>
                </c:pt>
                <c:pt idx="467" formatCode="_-* #,##0_-;\-* #,##0_-;_-* &quot;-&quot;??_-;_-@_-">
                  <c:v>61</c:v>
                </c:pt>
                <c:pt idx="468" formatCode="_-* #,##0_-;\-* #,##0_-;_-* &quot;-&quot;??_-;_-@_-">
                  <c:v>186</c:v>
                </c:pt>
                <c:pt idx="469" formatCode="_-* #,##0_-;\-* #,##0_-;_-* &quot;-&quot;??_-;_-@_-">
                  <c:v>40</c:v>
                </c:pt>
                <c:pt idx="470" formatCode="_-* #,##0_-;\-* #,##0_-;_-* &quot;-&quot;??_-;_-@_-">
                  <c:v>60</c:v>
                </c:pt>
                <c:pt idx="471" formatCode="_-* #,##0_-;\-* #,##0_-;_-* &quot;-&quot;??_-;_-@_-">
                  <c:v>30</c:v>
                </c:pt>
                <c:pt idx="472" formatCode="_-* #,##0_-;\-* #,##0_-;_-* &quot;-&quot;??_-;_-@_-">
                  <c:v>52</c:v>
                </c:pt>
                <c:pt idx="473" formatCode="_-* #,##0_-;\-* #,##0_-;_-* &quot;-&quot;??_-;_-@_-">
                  <c:v>67</c:v>
                </c:pt>
                <c:pt idx="474" formatCode="_-* #,##0_-;\-* #,##0_-;_-* &quot;-&quot;??_-;_-@_-">
                  <c:v>54.5</c:v>
                </c:pt>
                <c:pt idx="475" formatCode="_-* #,##0_-;\-* #,##0_-;_-* &quot;-&quot;??_-;_-@_-">
                  <c:v>82.25</c:v>
                </c:pt>
                <c:pt idx="476" formatCode="_-* #,##0_-;\-* #,##0_-;_-* &quot;-&quot;??_-;_-@_-">
                  <c:v>112</c:v>
                </c:pt>
                <c:pt idx="477" formatCode="_-* #,##0_-;\-* #,##0_-;_-* &quot;-&quot;??_-;_-@_-">
                  <c:v>53</c:v>
                </c:pt>
                <c:pt idx="478" formatCode="_-* #,##0_-;\-* #,##0_-;_-* &quot;-&quot;??_-;_-@_-">
                  <c:v>28</c:v>
                </c:pt>
                <c:pt idx="479" formatCode="_-* #,##0_-;\-* #,##0_-;_-* &quot;-&quot;??_-;_-@_-">
                  <c:v>25.5</c:v>
                </c:pt>
                <c:pt idx="480" formatCode="_-* #,##0_-;\-* #,##0_-;_-* &quot;-&quot;??_-;_-@_-">
                  <c:v>52.5</c:v>
                </c:pt>
                <c:pt idx="481" formatCode="_-* #,##0_-;\-* #,##0_-;_-* &quot;-&quot;??_-;_-@_-">
                  <c:v>128.25</c:v>
                </c:pt>
                <c:pt idx="482" formatCode="_-* #,##0_-;\-* #,##0_-;_-* &quot;-&quot;??_-;_-@_-">
                  <c:v>42.25</c:v>
                </c:pt>
                <c:pt idx="483" formatCode="_-* #,##0_-;\-* #,##0_-;_-* &quot;-&quot;??_-;_-@_-">
                  <c:v>70.25</c:v>
                </c:pt>
                <c:pt idx="484" formatCode="_-* #,##0_-;\-* #,##0_-;_-* &quot;-&quot;??_-;_-@_-">
                  <c:v>110.75</c:v>
                </c:pt>
                <c:pt idx="485" formatCode="_-* #,##0_-;\-* #,##0_-;_-* &quot;-&quot;??_-;_-@_-">
                  <c:v>88</c:v>
                </c:pt>
                <c:pt idx="486" formatCode="_-* #,##0_-;\-* #,##0_-;_-* &quot;-&quot;??_-;_-@_-">
                  <c:v>47.75</c:v>
                </c:pt>
                <c:pt idx="487" formatCode="_-* #,##0_-;\-* #,##0_-;_-* &quot;-&quot;??_-;_-@_-">
                  <c:v>45.5</c:v>
                </c:pt>
                <c:pt idx="488" formatCode="_-* #,##0_-;\-* #,##0_-;_-* &quot;-&quot;??_-;_-@_-">
                  <c:v>24.5</c:v>
                </c:pt>
                <c:pt idx="489" formatCode="_-* #,##0_-;\-* #,##0_-;_-* &quot;-&quot;??_-;_-@_-">
                  <c:v>9.25</c:v>
                </c:pt>
                <c:pt idx="490" formatCode="_-* #,##0_-;\-* #,##0_-;_-* &quot;-&quot;??_-;_-@_-">
                  <c:v>31.7</c:v>
                </c:pt>
                <c:pt idx="491" formatCode="_-* #,##0_-;\-* #,##0_-;_-* &quot;-&quot;??_-;_-@_-">
                  <c:v>28</c:v>
                </c:pt>
                <c:pt idx="492" formatCode="_-* #,##0_-;\-* #,##0_-;_-* &quot;-&quot;??_-;_-@_-">
                  <c:v>53.25</c:v>
                </c:pt>
                <c:pt idx="493" formatCode="_-* #,##0_-;\-* #,##0_-;_-* &quot;-&quot;??_-;_-@_-">
                  <c:v>77</c:v>
                </c:pt>
                <c:pt idx="494" formatCode="_-* #,##0_-;\-* #,##0_-;_-* &quot;-&quot;??_-;_-@_-">
                  <c:v>54.25</c:v>
                </c:pt>
                <c:pt idx="495" formatCode="_-* #,##0_-;\-* #,##0_-;_-* &quot;-&quot;??_-;_-@_-">
                  <c:v>30</c:v>
                </c:pt>
                <c:pt idx="496" formatCode="_-* #,##0_-;\-* #,##0_-;_-* &quot;-&quot;??_-;_-@_-">
                  <c:v>98.75</c:v>
                </c:pt>
                <c:pt idx="497" formatCode="_-* #,##0_-;\-* #,##0_-;_-* &quot;-&quot;??_-;_-@_-">
                  <c:v>46.5</c:v>
                </c:pt>
                <c:pt idx="498" formatCode="_-* #,##0_-;\-* #,##0_-;_-* &quot;-&quot;??_-;_-@_-">
                  <c:v>40</c:v>
                </c:pt>
                <c:pt idx="499" formatCode="_-* #,##0_-;\-* #,##0_-;_-* &quot;-&quot;??_-;_-@_-">
                  <c:v>42.25</c:v>
                </c:pt>
                <c:pt idx="500" formatCode="_-* #,##0_-;\-* #,##0_-;_-* &quot;-&quot;??_-;_-@_-">
                  <c:v>56.5</c:v>
                </c:pt>
                <c:pt idx="501" formatCode="_-* #,##0_-;\-* #,##0_-;_-* &quot;-&quot;??_-;_-@_-">
                  <c:v>59.25</c:v>
                </c:pt>
                <c:pt idx="502" formatCode="_-* #,##0_-;\-* #,##0_-;_-* &quot;-&quot;??_-;_-@_-">
                  <c:v>104.25</c:v>
                </c:pt>
                <c:pt idx="503" formatCode="_-* #,##0_-;\-* #,##0_-;_-* &quot;-&quot;??_-;_-@_-">
                  <c:v>17</c:v>
                </c:pt>
                <c:pt idx="504" formatCode="_-* #,##0_-;\-* #,##0_-;_-* &quot;-&quot;??_-;_-@_-">
                  <c:v>110.75</c:v>
                </c:pt>
                <c:pt idx="505" formatCode="_-* #,##0_-;\-* #,##0_-;_-* &quot;-&quot;??_-;_-@_-">
                  <c:v>49.5</c:v>
                </c:pt>
                <c:pt idx="506" formatCode="_-* #,##0_-;\-* #,##0_-;_-* &quot;-&quot;??_-;_-@_-">
                  <c:v>58.25</c:v>
                </c:pt>
                <c:pt idx="507" formatCode="_-* #,##0_-;\-* #,##0_-;_-* &quot;-&quot;??_-;_-@_-">
                  <c:v>92</c:v>
                </c:pt>
                <c:pt idx="508" formatCode="_-* #,##0_-;\-* #,##0_-;_-* &quot;-&quot;??_-;_-@_-">
                  <c:v>65.75</c:v>
                </c:pt>
                <c:pt idx="509" formatCode="_-* #,##0_-;\-* #,##0_-;_-* &quot;-&quot;??_-;_-@_-">
                  <c:v>67</c:v>
                </c:pt>
                <c:pt idx="510" formatCode="_-* #,##0_-;\-* #,##0_-;_-* &quot;-&quot;??_-;_-@_-">
                  <c:v>105.75</c:v>
                </c:pt>
                <c:pt idx="511" formatCode="_-* #,##0_-;\-* #,##0_-;_-* &quot;-&quot;??_-;_-@_-">
                  <c:v>47</c:v>
                </c:pt>
                <c:pt idx="512" formatCode="_-* #,##0_-;\-* #,##0_-;_-* &quot;-&quot;??_-;_-@_-">
                  <c:v>64</c:v>
                </c:pt>
                <c:pt idx="513" formatCode="_-* #,##0_-;\-* #,##0_-;_-* &quot;-&quot;??_-;_-@_-">
                  <c:v>60.5</c:v>
                </c:pt>
                <c:pt idx="514" formatCode="_-* #,##0_-;\-* #,##0_-;_-* &quot;-&quot;??_-;_-@_-">
                  <c:v>38.5</c:v>
                </c:pt>
                <c:pt idx="515" formatCode="_-* #,##0_-;\-* #,##0_-;_-* &quot;-&quot;??_-;_-@_-">
                  <c:v>38.25</c:v>
                </c:pt>
                <c:pt idx="516" formatCode="_-* #,##0_-;\-* #,##0_-;_-* &quot;-&quot;??_-;_-@_-">
                  <c:v>52.75</c:v>
                </c:pt>
                <c:pt idx="517" formatCode="_-* #,##0_-;\-* #,##0_-;_-* &quot;-&quot;??_-;_-@_-">
                  <c:v>98.75</c:v>
                </c:pt>
                <c:pt idx="518" formatCode="_-* #,##0_-;\-* #,##0_-;_-* &quot;-&quot;??_-;_-@_-">
                  <c:v>75.5</c:v>
                </c:pt>
                <c:pt idx="519" formatCode="_-* #,##0_-;\-* #,##0_-;_-* &quot;-&quot;??_-;_-@_-">
                  <c:v>70</c:v>
                </c:pt>
                <c:pt idx="520" formatCode="_-* #,##0_-;\-* #,##0_-;_-* &quot;-&quot;??_-;_-@_-">
                  <c:v>24.25</c:v>
                </c:pt>
                <c:pt idx="521" formatCode="_-* #,##0_-;\-* #,##0_-;_-* &quot;-&quot;??_-;_-@_-">
                  <c:v>55.75</c:v>
                </c:pt>
                <c:pt idx="522" formatCode="_-* #,##0_-;\-* #,##0_-;_-* &quot;-&quot;??_-;_-@_-">
                  <c:v>55</c:v>
                </c:pt>
                <c:pt idx="523" formatCode="_-* #,##0_-;\-* #,##0_-;_-* &quot;-&quot;??_-;_-@_-">
                  <c:v>25</c:v>
                </c:pt>
                <c:pt idx="524" formatCode="_-* #,##0_-;\-* #,##0_-;_-* &quot;-&quot;??_-;_-@_-">
                  <c:v>36.5</c:v>
                </c:pt>
                <c:pt idx="525" formatCode="_-* #,##0_-;\-* #,##0_-;_-* &quot;-&quot;??_-;_-@_-">
                  <c:v>21</c:v>
                </c:pt>
                <c:pt idx="526" formatCode="_-* #,##0_-;\-* #,##0_-;_-* &quot;-&quot;??_-;_-@_-">
                  <c:v>58</c:v>
                </c:pt>
                <c:pt idx="527" formatCode="_-* #,##0_-;\-* #,##0_-;_-* &quot;-&quot;??_-;_-@_-">
                  <c:v>44.5</c:v>
                </c:pt>
                <c:pt idx="528" formatCode="_-* #,##0_-;\-* #,##0_-;_-* &quot;-&quot;??_-;_-@_-">
                  <c:v>27</c:v>
                </c:pt>
                <c:pt idx="529" formatCode="_-* #,##0_-;\-* #,##0_-;_-* &quot;-&quot;??_-;_-@_-">
                  <c:v>81</c:v>
                </c:pt>
                <c:pt idx="530" formatCode="_-* #,##0_-;\-* #,##0_-;_-* &quot;-&quot;??_-;_-@_-">
                  <c:v>79.5</c:v>
                </c:pt>
                <c:pt idx="531" formatCode="_-* #,##0_-;\-* #,##0_-;_-* &quot;-&quot;??_-;_-@_-">
                  <c:v>35.75</c:v>
                </c:pt>
                <c:pt idx="532" formatCode="_-* #,##0_-;\-* #,##0_-;_-* &quot;-&quot;??_-;_-@_-">
                  <c:v>40</c:v>
                </c:pt>
                <c:pt idx="533" formatCode="_-* #,##0_-;\-* #,##0_-;_-* &quot;-&quot;??_-;_-@_-">
                  <c:v>108</c:v>
                </c:pt>
                <c:pt idx="534" formatCode="_-* #,##0_-;\-* #,##0_-;_-* &quot;-&quot;??_-;_-@_-">
                  <c:v>87</c:v>
                </c:pt>
                <c:pt idx="535" formatCode="_-* #,##0_-;\-* #,##0_-;_-* &quot;-&quot;??_-;_-@_-">
                  <c:v>114.5</c:v>
                </c:pt>
                <c:pt idx="536" formatCode="_-* #,##0_-;\-* #,##0_-;_-* &quot;-&quot;??_-;_-@_-">
                  <c:v>85</c:v>
                </c:pt>
                <c:pt idx="537" formatCode="_-* #,##0_-;\-* #,##0_-;_-* &quot;-&quot;??_-;_-@_-">
                  <c:v>28.5</c:v>
                </c:pt>
                <c:pt idx="538" formatCode="_-* #,##0_-;\-* #,##0_-;_-* &quot;-&quot;??_-;_-@_-">
                  <c:v>93.5</c:v>
                </c:pt>
                <c:pt idx="539" formatCode="_-* #,##0_-;\-* #,##0_-;_-* &quot;-&quot;??_-;_-@_-">
                  <c:v>54.75</c:v>
                </c:pt>
                <c:pt idx="540" formatCode="_-* #,##0_-;\-* #,##0_-;_-* &quot;-&quot;??_-;_-@_-">
                  <c:v>67.5</c:v>
                </c:pt>
                <c:pt idx="541" formatCode="_-* #,##0_-;\-* #,##0_-;_-* &quot;-&quot;??_-;_-@_-">
                  <c:v>104.25</c:v>
                </c:pt>
                <c:pt idx="542" formatCode="_-* #,##0_-;\-* #,##0_-;_-* &quot;-&quot;??_-;_-@_-">
                  <c:v>37</c:v>
                </c:pt>
                <c:pt idx="543" formatCode="_-* #,##0_-;\-* #,##0_-;_-* &quot;-&quot;??_-;_-@_-">
                  <c:v>46.75</c:v>
                </c:pt>
                <c:pt idx="544" formatCode="_-* #,##0_-;\-* #,##0_-;_-* &quot;-&quot;??_-;_-@_-">
                  <c:v>98.5</c:v>
                </c:pt>
                <c:pt idx="545" formatCode="_-* #,##0_-;\-* #,##0_-;_-* &quot;-&quot;??_-;_-@_-">
                  <c:v>62</c:v>
                </c:pt>
                <c:pt idx="546" formatCode="_-* #,##0_-;\-* #,##0_-;_-* &quot;-&quot;??_-;_-@_-">
                  <c:v>53</c:v>
                </c:pt>
                <c:pt idx="547" formatCode="_-* #,##0_-;\-* #,##0_-;_-* &quot;-&quot;??_-;_-@_-">
                  <c:v>43</c:v>
                </c:pt>
                <c:pt idx="548" formatCode="_-* #,##0_-;\-* #,##0_-;_-* &quot;-&quot;??_-;_-@_-">
                  <c:v>49.5</c:v>
                </c:pt>
                <c:pt idx="549" formatCode="_-* #,##0_-;\-* #,##0_-;_-* &quot;-&quot;??_-;_-@_-">
                  <c:v>46.75</c:v>
                </c:pt>
                <c:pt idx="550" formatCode="_-* #,##0_-;\-* #,##0_-;_-* &quot;-&quot;??_-;_-@_-">
                  <c:v>86.75</c:v>
                </c:pt>
                <c:pt idx="551" formatCode="_-* #,##0_-;\-* #,##0_-;_-* &quot;-&quot;??_-;_-@_-">
                  <c:v>74.25</c:v>
                </c:pt>
                <c:pt idx="552" formatCode="_-* #,##0_-;\-* #,##0_-;_-* &quot;-&quot;??_-;_-@_-">
                  <c:v>132.75</c:v>
                </c:pt>
                <c:pt idx="553" formatCode="_-* #,##0_-;\-* #,##0_-;_-* &quot;-&quot;??_-;_-@_-">
                  <c:v>39.75</c:v>
                </c:pt>
                <c:pt idx="554" formatCode="_-* #,##0_-;\-* #,##0_-;_-* &quot;-&quot;??_-;_-@_-">
                  <c:v>44.25</c:v>
                </c:pt>
                <c:pt idx="555" formatCode="_-* #,##0_-;\-* #,##0_-;_-* &quot;-&quot;??_-;_-@_-">
                  <c:v>49.75</c:v>
                </c:pt>
                <c:pt idx="556" formatCode="_-* #,##0_-;\-* #,##0_-;_-* &quot;-&quot;??_-;_-@_-">
                  <c:v>37.5</c:v>
                </c:pt>
                <c:pt idx="557" formatCode="_-* #,##0_-;\-* #,##0_-;_-* &quot;-&quot;??_-;_-@_-">
                  <c:v>26</c:v>
                </c:pt>
                <c:pt idx="558" formatCode="_-* #,##0_-;\-* #,##0_-;_-* &quot;-&quot;??_-;_-@_-">
                  <c:v>20.25</c:v>
                </c:pt>
                <c:pt idx="559" formatCode="_-* #,##0_-;\-* #,##0_-;_-* &quot;-&quot;??_-;_-@_-">
                  <c:v>67.25</c:v>
                </c:pt>
                <c:pt idx="560" formatCode="_-* #,##0_-;\-* #,##0_-;_-* &quot;-&quot;??_-;_-@_-">
                  <c:v>37</c:v>
                </c:pt>
                <c:pt idx="561" formatCode="_-* #,##0_-;\-* #,##0_-;_-* &quot;-&quot;??_-;_-@_-">
                  <c:v>82.75</c:v>
                </c:pt>
                <c:pt idx="562" formatCode="_-* #,##0_-;\-* #,##0_-;_-* &quot;-&quot;??_-;_-@_-">
                  <c:v>66</c:v>
                </c:pt>
                <c:pt idx="563" formatCode="_-* #,##0_-;\-* #,##0_-;_-* &quot;-&quot;??_-;_-@_-">
                  <c:v>67.25</c:v>
                </c:pt>
                <c:pt idx="564" formatCode="_-* #,##0_-;\-* #,##0_-;_-* &quot;-&quot;??_-;_-@_-">
                  <c:v>52.5</c:v>
                </c:pt>
                <c:pt idx="565" formatCode="_-* #,##0_-;\-* #,##0_-;_-* &quot;-&quot;??_-;_-@_-">
                  <c:v>50</c:v>
                </c:pt>
                <c:pt idx="566" formatCode="_-* #,##0_-;\-* #,##0_-;_-* &quot;-&quot;??_-;_-@_-">
                  <c:v>35</c:v>
                </c:pt>
                <c:pt idx="567" formatCode="_-* #,##0_-;\-* #,##0_-;_-* &quot;-&quot;??_-;_-@_-">
                  <c:v>57</c:v>
                </c:pt>
                <c:pt idx="568" formatCode="_-* #,##0_-;\-* #,##0_-;_-* &quot;-&quot;??_-;_-@_-">
                  <c:v>56</c:v>
                </c:pt>
                <c:pt idx="569" formatCode="_-* #,##0_-;\-* #,##0_-;_-* &quot;-&quot;??_-;_-@_-">
                  <c:v>72</c:v>
                </c:pt>
                <c:pt idx="570" formatCode="_-* #,##0_-;\-* #,##0_-;_-* &quot;-&quot;??_-;_-@_-">
                  <c:v>127.25</c:v>
                </c:pt>
                <c:pt idx="571" formatCode="_-* #,##0_-;\-* #,##0_-;_-* &quot;-&quot;??_-;_-@_-">
                  <c:v>36.25</c:v>
                </c:pt>
                <c:pt idx="572" formatCode="_-* #,##0_-;\-* #,##0_-;_-* &quot;-&quot;??_-;_-@_-">
                  <c:v>43</c:v>
                </c:pt>
                <c:pt idx="573" formatCode="_-* #,##0_-;\-* #,##0_-;_-* &quot;-&quot;??_-;_-@_-">
                  <c:v>58</c:v>
                </c:pt>
                <c:pt idx="574" formatCode="_-* #,##0_-;\-* #,##0_-;_-* &quot;-&quot;??_-;_-@_-">
                  <c:v>20.25</c:v>
                </c:pt>
                <c:pt idx="575" formatCode="_-* #,##0_-;\-* #,##0_-;_-* &quot;-&quot;??_-;_-@_-">
                  <c:v>27</c:v>
                </c:pt>
                <c:pt idx="576" formatCode="_-* #,##0_-;\-* #,##0_-;_-* &quot;-&quot;??_-;_-@_-">
                  <c:v>49.25</c:v>
                </c:pt>
                <c:pt idx="577" formatCode="_-* #,##0_-;\-* #,##0_-;_-* &quot;-&quot;??_-;_-@_-">
                  <c:v>122.75</c:v>
                </c:pt>
                <c:pt idx="578" formatCode="_-* #,##0_-;\-* #,##0_-;_-* &quot;-&quot;??_-;_-@_-">
                  <c:v>129</c:v>
                </c:pt>
                <c:pt idx="579" formatCode="_-* #,##0_-;\-* #,##0_-;_-* &quot;-&quot;??_-;_-@_-">
                  <c:v>22</c:v>
                </c:pt>
                <c:pt idx="580" formatCode="_-* #,##0_-;\-* #,##0_-;_-* &quot;-&quot;??_-;_-@_-">
                  <c:v>30.75</c:v>
                </c:pt>
                <c:pt idx="581" formatCode="_-* #,##0_-;\-* #,##0_-;_-* &quot;-&quot;??_-;_-@_-">
                  <c:v>19</c:v>
                </c:pt>
                <c:pt idx="582" formatCode="_-* #,##0_-;\-* #,##0_-;_-* &quot;-&quot;??_-;_-@_-">
                  <c:v>46.5</c:v>
                </c:pt>
                <c:pt idx="583" formatCode="_-* #,##0_-;\-* #,##0_-;_-* &quot;-&quot;??_-;_-@_-">
                  <c:v>30.25</c:v>
                </c:pt>
                <c:pt idx="584" formatCode="_-* #,##0_-;\-* #,##0_-;_-* &quot;-&quot;??_-;_-@_-">
                  <c:v>103.5</c:v>
                </c:pt>
                <c:pt idx="585" formatCode="_-* #,##0_-;\-* #,##0_-;_-* &quot;-&quot;??_-;_-@_-">
                  <c:v>72</c:v>
                </c:pt>
                <c:pt idx="586" formatCode="_-* #,##0_-;\-* #,##0_-;_-* &quot;-&quot;??_-;_-@_-">
                  <c:v>70.25</c:v>
                </c:pt>
                <c:pt idx="587" formatCode="_-* #,##0_-;\-* #,##0_-;_-* &quot;-&quot;??_-;_-@_-">
                  <c:v>116</c:v>
                </c:pt>
                <c:pt idx="588" formatCode="_-* #,##0_-;\-* #,##0_-;_-* &quot;-&quot;??_-;_-@_-">
                  <c:v>41.25</c:v>
                </c:pt>
                <c:pt idx="589" formatCode="_-* #,##0_-;\-* #,##0_-;_-* &quot;-&quot;??_-;_-@_-">
                  <c:v>76.75</c:v>
                </c:pt>
                <c:pt idx="590" formatCode="_-* #,##0_-;\-* #,##0_-;_-* &quot;-&quot;??_-;_-@_-">
                  <c:v>60.5</c:v>
                </c:pt>
                <c:pt idx="591" formatCode="_-* #,##0_-;\-* #,##0_-;_-* &quot;-&quot;??_-;_-@_-">
                  <c:v>264</c:v>
                </c:pt>
                <c:pt idx="592" formatCode="_-* #,##0_-;\-* #,##0_-;_-* &quot;-&quot;??_-;_-@_-">
                  <c:v>53.25</c:v>
                </c:pt>
                <c:pt idx="593" formatCode="_-* #,##0_-;\-* #,##0_-;_-* &quot;-&quot;??_-;_-@_-">
                  <c:v>50.75</c:v>
                </c:pt>
                <c:pt idx="594" formatCode="_-* #,##0_-;\-* #,##0_-;_-* &quot;-&quot;??_-;_-@_-">
                  <c:v>73.5</c:v>
                </c:pt>
                <c:pt idx="595" formatCode="_-* #,##0_-;\-* #,##0_-;_-* &quot;-&quot;??_-;_-@_-">
                  <c:v>92</c:v>
                </c:pt>
                <c:pt idx="596" formatCode="_-* #,##0_-;\-* #,##0_-;_-* &quot;-&quot;??_-;_-@_-">
                  <c:v>62</c:v>
                </c:pt>
                <c:pt idx="597" formatCode="_-* #,##0_-;\-* #,##0_-;_-* &quot;-&quot;??_-;_-@_-">
                  <c:v>121.75</c:v>
                </c:pt>
                <c:pt idx="598" formatCode="_-* #,##0_-;\-* #,##0_-;_-* &quot;-&quot;??_-;_-@_-">
                  <c:v>31.5</c:v>
                </c:pt>
                <c:pt idx="599" formatCode="_-* #,##0_-;\-* #,##0_-;_-* &quot;-&quot;??_-;_-@_-">
                  <c:v>27.25</c:v>
                </c:pt>
                <c:pt idx="600" formatCode="_-* #,##0_-;\-* #,##0_-;_-* &quot;-&quot;??_-;_-@_-">
                  <c:v>91.25</c:v>
                </c:pt>
                <c:pt idx="601" formatCode="_-* #,##0_-;\-* #,##0_-;_-* &quot;-&quot;??_-;_-@_-">
                  <c:v>24.5</c:v>
                </c:pt>
                <c:pt idx="602" formatCode="_-* #,##0_-;\-* #,##0_-;_-* &quot;-&quot;??_-;_-@_-">
                  <c:v>92.25</c:v>
                </c:pt>
                <c:pt idx="603" formatCode="_-* #,##0_-;\-* #,##0_-;_-* &quot;-&quot;??_-;_-@_-">
                  <c:v>147</c:v>
                </c:pt>
                <c:pt idx="604" formatCode="_-* #,##0_-;\-* #,##0_-;_-* &quot;-&quot;??_-;_-@_-">
                  <c:v>81.75</c:v>
                </c:pt>
                <c:pt idx="605" formatCode="_-* #,##0_-;\-* #,##0_-;_-* &quot;-&quot;??_-;_-@_-">
                  <c:v>108</c:v>
                </c:pt>
                <c:pt idx="606" formatCode="_-* #,##0_-;\-* #,##0_-;_-* &quot;-&quot;??_-;_-@_-">
                  <c:v>22.5</c:v>
                </c:pt>
                <c:pt idx="607" formatCode="_-* #,##0_-;\-* #,##0_-;_-* &quot;-&quot;??_-;_-@_-">
                  <c:v>69.25</c:v>
                </c:pt>
                <c:pt idx="608" formatCode="_-* #,##0_-;\-* #,##0_-;_-* &quot;-&quot;??_-;_-@_-">
                  <c:v>71.75</c:v>
                </c:pt>
                <c:pt idx="609" formatCode="_-* #,##0_-;\-* #,##0_-;_-* &quot;-&quot;??_-;_-@_-">
                  <c:v>51.5</c:v>
                </c:pt>
                <c:pt idx="610" formatCode="_-* #,##0_-;\-* #,##0_-;_-* &quot;-&quot;??_-;_-@_-">
                  <c:v>28</c:v>
                </c:pt>
                <c:pt idx="611" formatCode="_-* #,##0_-;\-* #,##0_-;_-* &quot;-&quot;??_-;_-@_-">
                  <c:v>24.75</c:v>
                </c:pt>
                <c:pt idx="612" formatCode="_-* #,##0_-;\-* #,##0_-;_-* &quot;-&quot;??_-;_-@_-">
                  <c:v>23.25</c:v>
                </c:pt>
                <c:pt idx="613" formatCode="_-* #,##0_-;\-* #,##0_-;_-* &quot;-&quot;??_-;_-@_-">
                  <c:v>65</c:v>
                </c:pt>
                <c:pt idx="614" formatCode="_-* #,##0_-;\-* #,##0_-;_-* &quot;-&quot;??_-;_-@_-">
                  <c:v>47.5</c:v>
                </c:pt>
                <c:pt idx="615" formatCode="_-* #,##0_-;\-* #,##0_-;_-* &quot;-&quot;??_-;_-@_-">
                  <c:v>53</c:v>
                </c:pt>
                <c:pt idx="616" formatCode="_-* #,##0_-;\-* #,##0_-;_-* &quot;-&quot;??_-;_-@_-">
                  <c:v>47.25</c:v>
                </c:pt>
                <c:pt idx="617" formatCode="_-* #,##0_-;\-* #,##0_-;_-* &quot;-&quot;??_-;_-@_-">
                  <c:v>30.25</c:v>
                </c:pt>
                <c:pt idx="618" formatCode="_-* #,##0_-;\-* #,##0_-;_-* &quot;-&quot;??_-;_-@_-">
                  <c:v>75</c:v>
                </c:pt>
                <c:pt idx="619" formatCode="_-* #,##0_-;\-* #,##0_-;_-* &quot;-&quot;??_-;_-@_-">
                  <c:v>49.25</c:v>
                </c:pt>
                <c:pt idx="620" formatCode="_-* #,##0_-;\-* #,##0_-;_-* &quot;-&quot;??_-;_-@_-">
                  <c:v>75</c:v>
                </c:pt>
                <c:pt idx="621" formatCode="_-* #,##0_-;\-* #,##0_-;_-* &quot;-&quot;??_-;_-@_-">
                  <c:v>87.25</c:v>
                </c:pt>
                <c:pt idx="622" formatCode="_-* #,##0_-;\-* #,##0_-;_-* &quot;-&quot;??_-;_-@_-">
                  <c:v>70</c:v>
                </c:pt>
                <c:pt idx="623" formatCode="_-* #,##0_-;\-* #,##0_-;_-* &quot;-&quot;??_-;_-@_-">
                  <c:v>89</c:v>
                </c:pt>
                <c:pt idx="624" formatCode="_-* #,##0_-;\-* #,##0_-;_-* &quot;-&quot;??_-;_-@_-">
                  <c:v>104.25</c:v>
                </c:pt>
                <c:pt idx="625" formatCode="_-* #,##0_-;\-* #,##0_-;_-* &quot;-&quot;??_-;_-@_-">
                  <c:v>106</c:v>
                </c:pt>
                <c:pt idx="626" formatCode="_-* #,##0_-;\-* #,##0_-;_-* &quot;-&quot;??_-;_-@_-">
                  <c:v>72.25</c:v>
                </c:pt>
                <c:pt idx="627" formatCode="_-* #,##0_-;\-* #,##0_-;_-* &quot;-&quot;??_-;_-@_-">
                  <c:v>32.5</c:v>
                </c:pt>
                <c:pt idx="628" formatCode="_-* #,##0_-;\-* #,##0_-;_-* &quot;-&quot;??_-;_-@_-">
                  <c:v>76.25</c:v>
                </c:pt>
                <c:pt idx="629" formatCode="_-* #,##0_-;\-* #,##0_-;_-* &quot;-&quot;??_-;_-@_-">
                  <c:v>55.25</c:v>
                </c:pt>
                <c:pt idx="630" formatCode="_-* #,##0_-;\-* #,##0_-;_-* &quot;-&quot;??_-;_-@_-">
                  <c:v>32.25</c:v>
                </c:pt>
                <c:pt idx="631" formatCode="_-* #,##0_-;\-* #,##0_-;_-* &quot;-&quot;??_-;_-@_-">
                  <c:v>36.25</c:v>
                </c:pt>
                <c:pt idx="632" formatCode="_-* #,##0_-;\-* #,##0_-;_-* &quot;-&quot;??_-;_-@_-">
                  <c:v>124.5</c:v>
                </c:pt>
                <c:pt idx="633" formatCode="_-* #,##0_-;\-* #,##0_-;_-* &quot;-&quot;??_-;_-@_-">
                  <c:v>40.5</c:v>
                </c:pt>
                <c:pt idx="634" formatCode="_-* #,##0_-;\-* #,##0_-;_-* &quot;-&quot;??_-;_-@_-">
                  <c:v>87</c:v>
                </c:pt>
                <c:pt idx="635" formatCode="_-* #,##0_-;\-* #,##0_-;_-* &quot;-&quot;??_-;_-@_-">
                  <c:v>59</c:v>
                </c:pt>
                <c:pt idx="636" formatCode="_-* #,##0_-;\-* #,##0_-;_-* &quot;-&quot;??_-;_-@_-">
                  <c:v>86</c:v>
                </c:pt>
                <c:pt idx="637" formatCode="_-* #,##0_-;\-* #,##0_-;_-* &quot;-&quot;??_-;_-@_-">
                  <c:v>27.25</c:v>
                </c:pt>
                <c:pt idx="638" formatCode="_-* #,##0_-;\-* #,##0_-;_-* &quot;-&quot;??_-;_-@_-">
                  <c:v>55.5</c:v>
                </c:pt>
                <c:pt idx="639" formatCode="_-* #,##0_-;\-* #,##0_-;_-* &quot;-&quot;??_-;_-@_-">
                  <c:v>67.25</c:v>
                </c:pt>
                <c:pt idx="640" formatCode="_-* #,##0_-;\-* #,##0_-;_-* &quot;-&quot;??_-;_-@_-">
                  <c:v>42.5</c:v>
                </c:pt>
                <c:pt idx="641" formatCode="_-* #,##0_-;\-* #,##0_-;_-* &quot;-&quot;??_-;_-@_-">
                  <c:v>58.75</c:v>
                </c:pt>
                <c:pt idx="642" formatCode="_-* #,##0_-;\-* #,##0_-;_-* &quot;-&quot;??_-;_-@_-">
                  <c:v>79.25</c:v>
                </c:pt>
                <c:pt idx="643" formatCode="_-* #,##0_-;\-* #,##0_-;_-* &quot;-&quot;??_-;_-@_-">
                  <c:v>80.25</c:v>
                </c:pt>
                <c:pt idx="644" formatCode="_-* #,##0_-;\-* #,##0_-;_-* &quot;-&quot;??_-;_-@_-">
                  <c:v>30.5</c:v>
                </c:pt>
                <c:pt idx="645" formatCode="_-* #,##0_-;\-* #,##0_-;_-* &quot;-&quot;??_-;_-@_-">
                  <c:v>101.25</c:v>
                </c:pt>
                <c:pt idx="646" formatCode="_-* #,##0_-;\-* #,##0_-;_-* &quot;-&quot;??_-;_-@_-">
                  <c:v>126.75</c:v>
                </c:pt>
                <c:pt idx="647" formatCode="_-* #,##0_-;\-* #,##0_-;_-* &quot;-&quot;??_-;_-@_-">
                  <c:v>86.25</c:v>
                </c:pt>
                <c:pt idx="648" formatCode="_-* #,##0_-;\-* #,##0_-;_-* &quot;-&quot;??_-;_-@_-">
                  <c:v>49</c:v>
                </c:pt>
                <c:pt idx="649" formatCode="_-* #,##0_-;\-* #,##0_-;_-* &quot;-&quot;??_-;_-@_-">
                  <c:v>96.75</c:v>
                </c:pt>
                <c:pt idx="650" formatCode="_-* #,##0_-;\-* #,##0_-;_-* &quot;-&quot;??_-;_-@_-">
                  <c:v>81</c:v>
                </c:pt>
                <c:pt idx="651" formatCode="_-* #,##0_-;\-* #,##0_-;_-* &quot;-&quot;??_-;_-@_-">
                  <c:v>47</c:v>
                </c:pt>
                <c:pt idx="652" formatCode="_-* #,##0_-;\-* #,##0_-;_-* &quot;-&quot;??_-;_-@_-">
                  <c:v>34</c:v>
                </c:pt>
                <c:pt idx="653" formatCode="_-* #,##0_-;\-* #,##0_-;_-* &quot;-&quot;??_-;_-@_-">
                  <c:v>23.75</c:v>
                </c:pt>
                <c:pt idx="654" formatCode="_-* #,##0_-;\-* #,##0_-;_-* &quot;-&quot;??_-;_-@_-">
                  <c:v>37.75</c:v>
                </c:pt>
                <c:pt idx="655" formatCode="_-* #,##0_-;\-* #,##0_-;_-* &quot;-&quot;??_-;_-@_-">
                  <c:v>118.5</c:v>
                </c:pt>
                <c:pt idx="656" formatCode="_-* #,##0_-;\-* #,##0_-;_-* &quot;-&quot;??_-;_-@_-">
                  <c:v>27.25</c:v>
                </c:pt>
                <c:pt idx="657" formatCode="_-* #,##0_-;\-* #,##0_-;_-* &quot;-&quot;??_-;_-@_-">
                  <c:v>28.5</c:v>
                </c:pt>
                <c:pt idx="658" formatCode="_-* #,##0_-;\-* #,##0_-;_-* &quot;-&quot;??_-;_-@_-">
                  <c:v>46.75</c:v>
                </c:pt>
                <c:pt idx="659" formatCode="_-* #,##0_-;\-* #,##0_-;_-* &quot;-&quot;??_-;_-@_-">
                  <c:v>28</c:v>
                </c:pt>
                <c:pt idx="660" formatCode="_-* #,##0_-;\-* #,##0_-;_-* &quot;-&quot;??_-;_-@_-">
                  <c:v>55</c:v>
                </c:pt>
                <c:pt idx="661" formatCode="_-* #,##0_-;\-* #,##0_-;_-* &quot;-&quot;??_-;_-@_-">
                  <c:v>59</c:v>
                </c:pt>
                <c:pt idx="662" formatCode="_-* #,##0_-;\-* #,##0_-;_-* &quot;-&quot;??_-;_-@_-">
                  <c:v>216</c:v>
                </c:pt>
                <c:pt idx="663" formatCode="_-* #,##0_-;\-* #,##0_-;_-* &quot;-&quot;??_-;_-@_-">
                  <c:v>123</c:v>
                </c:pt>
                <c:pt idx="664" formatCode="_-* #,##0_-;\-* #,##0_-;_-* &quot;-&quot;??_-;_-@_-">
                  <c:v>61.75</c:v>
                </c:pt>
                <c:pt idx="665" formatCode="_-* #,##0_-;\-* #,##0_-;_-* &quot;-&quot;??_-;_-@_-">
                  <c:v>83.5</c:v>
                </c:pt>
                <c:pt idx="666" formatCode="_-* #,##0_-;\-* #,##0_-;_-* &quot;-&quot;??_-;_-@_-">
                  <c:v>98.25</c:v>
                </c:pt>
                <c:pt idx="667" formatCode="_-* #,##0_-;\-* #,##0_-;_-* &quot;-&quot;??_-;_-@_-">
                  <c:v>64.75</c:v>
                </c:pt>
                <c:pt idx="668" formatCode="_-* #,##0_-;\-* #,##0_-;_-* &quot;-&quot;??_-;_-@_-">
                  <c:v>106</c:v>
                </c:pt>
                <c:pt idx="669" formatCode="_-* #,##0_-;\-* #,##0_-;_-* &quot;-&quot;??_-;_-@_-">
                  <c:v>109.75</c:v>
                </c:pt>
                <c:pt idx="670" formatCode="_-* #,##0_-;\-* #,##0_-;_-* &quot;-&quot;??_-;_-@_-">
                  <c:v>86.75</c:v>
                </c:pt>
                <c:pt idx="671" formatCode="_-* #,##0_-;\-* #,##0_-;_-* &quot;-&quot;??_-;_-@_-">
                  <c:v>105.5</c:v>
                </c:pt>
                <c:pt idx="672" formatCode="_-* #,##0_-;\-* #,##0_-;_-* &quot;-&quot;??_-;_-@_-">
                  <c:v>54.25</c:v>
                </c:pt>
                <c:pt idx="673" formatCode="_-* #,##0_-;\-* #,##0_-;_-* &quot;-&quot;??_-;_-@_-">
                  <c:v>72</c:v>
                </c:pt>
                <c:pt idx="674" formatCode="_-* #,##0_-;\-* #,##0_-;_-* &quot;-&quot;??_-;_-@_-">
                  <c:v>43.75</c:v>
                </c:pt>
                <c:pt idx="675" formatCode="_-* #,##0_-;\-* #,##0_-;_-* &quot;-&quot;??_-;_-@_-">
                  <c:v>51.5</c:v>
                </c:pt>
                <c:pt idx="676" formatCode="_-* #,##0_-;\-* #,##0_-;_-* &quot;-&quot;??_-;_-@_-">
                  <c:v>44</c:v>
                </c:pt>
                <c:pt idx="677" formatCode="_-* #,##0_-;\-* #,##0_-;_-* &quot;-&quot;??_-;_-@_-">
                  <c:v>40.25</c:v>
                </c:pt>
                <c:pt idx="678" formatCode="_-* #,##0_-;\-* #,##0_-;_-* &quot;-&quot;??_-;_-@_-">
                  <c:v>44</c:v>
                </c:pt>
                <c:pt idx="679" formatCode="_-* #,##0_-;\-* #,##0_-;_-* &quot;-&quot;??_-;_-@_-">
                  <c:v>67.25</c:v>
                </c:pt>
                <c:pt idx="680" formatCode="_-* #,##0_-;\-* #,##0_-;_-* &quot;-&quot;??_-;_-@_-">
                  <c:v>33.75</c:v>
                </c:pt>
                <c:pt idx="681" formatCode="_-* #,##0_-;\-* #,##0_-;_-* &quot;-&quot;??_-;_-@_-">
                  <c:v>69.5</c:v>
                </c:pt>
                <c:pt idx="682" formatCode="_-* #,##0_-;\-* #,##0_-;_-* &quot;-&quot;??_-;_-@_-">
                  <c:v>118.5</c:v>
                </c:pt>
                <c:pt idx="683" formatCode="_-* #,##0_-;\-* #,##0_-;_-* &quot;-&quot;??_-;_-@_-">
                  <c:v>34.25</c:v>
                </c:pt>
                <c:pt idx="684" formatCode="_-* #,##0_-;\-* #,##0_-;_-* &quot;-&quot;??_-;_-@_-">
                  <c:v>10</c:v>
                </c:pt>
                <c:pt idx="685" formatCode="_-* #,##0_-;\-* #,##0_-;_-* &quot;-&quot;??_-;_-@_-">
                  <c:v>50.5</c:v>
                </c:pt>
                <c:pt idx="686" formatCode="_-* #,##0_-;\-* #,##0_-;_-* &quot;-&quot;??_-;_-@_-">
                  <c:v>56.25</c:v>
                </c:pt>
                <c:pt idx="687" formatCode="_-* #,##0_-;\-* #,##0_-;_-* &quot;-&quot;??_-;_-@_-">
                  <c:v>45.5</c:v>
                </c:pt>
                <c:pt idx="688" formatCode="_-* #,##0_-;\-* #,##0_-;_-* &quot;-&quot;??_-;_-@_-">
                  <c:v>42</c:v>
                </c:pt>
                <c:pt idx="689" formatCode="_-* #,##0_-;\-* #,##0_-;_-* &quot;-&quot;??_-;_-@_-">
                  <c:v>58.5</c:v>
                </c:pt>
                <c:pt idx="690" formatCode="_-* #,##0_-;\-* #,##0_-;_-* &quot;-&quot;??_-;_-@_-">
                  <c:v>85.5</c:v>
                </c:pt>
                <c:pt idx="691" formatCode="_-* #,##0_-;\-* #,##0_-;_-* &quot;-&quot;??_-;_-@_-">
                  <c:v>33.25</c:v>
                </c:pt>
                <c:pt idx="692" formatCode="_-* #,##0_-;\-* #,##0_-;_-* &quot;-&quot;??_-;_-@_-">
                  <c:v>54</c:v>
                </c:pt>
                <c:pt idx="693" formatCode="_-* #,##0_-;\-* #,##0_-;_-* &quot;-&quot;??_-;_-@_-">
                  <c:v>55</c:v>
                </c:pt>
                <c:pt idx="694" formatCode="_-* #,##0_-;\-* #,##0_-;_-* &quot;-&quot;??_-;_-@_-">
                  <c:v>42.05</c:v>
                </c:pt>
                <c:pt idx="695" formatCode="_-* #,##0_-;\-* #,##0_-;_-* &quot;-&quot;??_-;_-@_-">
                  <c:v>77.25</c:v>
                </c:pt>
                <c:pt idx="696" formatCode="_-* #,##0_-;\-* #,##0_-;_-* &quot;-&quot;??_-;_-@_-">
                  <c:v>70</c:v>
                </c:pt>
                <c:pt idx="697" formatCode="_-* #,##0_-;\-* #,##0_-;_-* &quot;-&quot;??_-;_-@_-">
                  <c:v>74</c:v>
                </c:pt>
                <c:pt idx="698" formatCode="_-* #,##0_-;\-* #,##0_-;_-* &quot;-&quot;??_-;_-@_-">
                  <c:v>39.75</c:v>
                </c:pt>
                <c:pt idx="699" formatCode="_-* #,##0_-;\-* #,##0_-;_-* &quot;-&quot;??_-;_-@_-">
                  <c:v>24.25</c:v>
                </c:pt>
                <c:pt idx="700" formatCode="_-* #,##0_-;\-* #,##0_-;_-* &quot;-&quot;??_-;_-@_-">
                  <c:v>27.75</c:v>
                </c:pt>
                <c:pt idx="701" formatCode="_-* #,##0_-;\-* #,##0_-;_-* &quot;-&quot;??_-;_-@_-">
                  <c:v>30.25</c:v>
                </c:pt>
                <c:pt idx="702" formatCode="_-* #,##0_-;\-* #,##0_-;_-* &quot;-&quot;??_-;_-@_-">
                  <c:v>34.25</c:v>
                </c:pt>
                <c:pt idx="703" formatCode="_-* #,##0_-;\-* #,##0_-;_-* &quot;-&quot;??_-;_-@_-">
                  <c:v>14.5</c:v>
                </c:pt>
                <c:pt idx="704" formatCode="_-* #,##0_-;\-* #,##0_-;_-* &quot;-&quot;??_-;_-@_-">
                  <c:v>89</c:v>
                </c:pt>
                <c:pt idx="705" formatCode="_-* #,##0_-;\-* #,##0_-;_-* &quot;-&quot;??_-;_-@_-">
                  <c:v>93.75</c:v>
                </c:pt>
                <c:pt idx="706" formatCode="_-* #,##0_-;\-* #,##0_-;_-* &quot;-&quot;??_-;_-@_-">
                  <c:v>79.5</c:v>
                </c:pt>
                <c:pt idx="707" formatCode="_-* #,##0_-;\-* #,##0_-;_-* &quot;-&quot;??_-;_-@_-">
                  <c:v>22.5</c:v>
                </c:pt>
                <c:pt idx="708" formatCode="_-* #,##0_-;\-* #,##0_-;_-* &quot;-&quot;??_-;_-@_-">
                  <c:v>33.25</c:v>
                </c:pt>
                <c:pt idx="709" formatCode="_-* #,##0_-;\-* #,##0_-;_-* &quot;-&quot;??_-;_-@_-">
                  <c:v>31.25</c:v>
                </c:pt>
                <c:pt idx="710" formatCode="_-* #,##0_-;\-* #,##0_-;_-* &quot;-&quot;??_-;_-@_-">
                  <c:v>79.5</c:v>
                </c:pt>
                <c:pt idx="711" formatCode="_-* #,##0_-;\-* #,##0_-;_-* &quot;-&quot;??_-;_-@_-">
                  <c:v>76</c:v>
                </c:pt>
                <c:pt idx="712" formatCode="_-* #,##0_-;\-* #,##0_-;_-* &quot;-&quot;??_-;_-@_-">
                  <c:v>35.75</c:v>
                </c:pt>
                <c:pt idx="713" formatCode="_-* #,##0_-;\-* #,##0_-;_-* &quot;-&quot;??_-;_-@_-">
                  <c:v>37.75</c:v>
                </c:pt>
                <c:pt idx="714" formatCode="_-* #,##0_-;\-* #,##0_-;_-* &quot;-&quot;??_-;_-@_-">
                  <c:v>48.25</c:v>
                </c:pt>
                <c:pt idx="715" formatCode="_-* #,##0_-;\-* #,##0_-;_-* &quot;-&quot;??_-;_-@_-">
                  <c:v>6.25</c:v>
                </c:pt>
                <c:pt idx="716" formatCode="_-* #,##0_-;\-* #,##0_-;_-* &quot;-&quot;??_-;_-@_-">
                  <c:v>21.5</c:v>
                </c:pt>
                <c:pt idx="717" formatCode="_-* #,##0_-;\-* #,##0_-;_-* &quot;-&quot;??_-;_-@_-">
                  <c:v>66</c:v>
                </c:pt>
                <c:pt idx="718" formatCode="_-* #,##0_-;\-* #,##0_-;_-* &quot;-&quot;??_-;_-@_-">
                  <c:v>76</c:v>
                </c:pt>
                <c:pt idx="719" formatCode="_-* #,##0_-;\-* #,##0_-;_-* &quot;-&quot;??_-;_-@_-">
                  <c:v>99</c:v>
                </c:pt>
                <c:pt idx="720" formatCode="_-* #,##0_-;\-* #,##0_-;_-* &quot;-&quot;??_-;_-@_-">
                  <c:v>8</c:v>
                </c:pt>
                <c:pt idx="721" formatCode="_-* #,##0_-;\-* #,##0_-;_-* &quot;-&quot;??_-;_-@_-">
                  <c:v>67.5</c:v>
                </c:pt>
                <c:pt idx="722" formatCode="_-* #,##0_-;\-* #,##0_-;_-* &quot;-&quot;??_-;_-@_-">
                  <c:v>31.75</c:v>
                </c:pt>
                <c:pt idx="723" formatCode="_-* #,##0_-;\-* #,##0_-;_-* &quot;-&quot;??_-;_-@_-">
                  <c:v>66.5</c:v>
                </c:pt>
                <c:pt idx="724" formatCode="_-* #,##0_-;\-* #,##0_-;_-* &quot;-&quot;??_-;_-@_-">
                  <c:v>59.5</c:v>
                </c:pt>
                <c:pt idx="725" formatCode="_-* #,##0_-;\-* #,##0_-;_-* &quot;-&quot;??_-;_-@_-">
                  <c:v>56.5</c:v>
                </c:pt>
                <c:pt idx="726" formatCode="_-* #,##0_-;\-* #,##0_-;_-* &quot;-&quot;??_-;_-@_-">
                  <c:v>64</c:v>
                </c:pt>
                <c:pt idx="727" formatCode="_-* #,##0_-;\-* #,##0_-;_-* &quot;-&quot;??_-;_-@_-">
                  <c:v>39</c:v>
                </c:pt>
                <c:pt idx="728" formatCode="_-* #,##0_-;\-* #,##0_-;_-* &quot;-&quot;??_-;_-@_-">
                  <c:v>51.5</c:v>
                </c:pt>
                <c:pt idx="729" formatCode="_-* #,##0_-;\-* #,##0_-;_-* &quot;-&quot;??_-;_-@_-">
                  <c:v>12</c:v>
                </c:pt>
                <c:pt idx="730" formatCode="_-* #,##0_-;\-* #,##0_-;_-* &quot;-&quot;??_-;_-@_-">
                  <c:v>39.5</c:v>
                </c:pt>
                <c:pt idx="731" formatCode="_-* #,##0_-;\-* #,##0_-;_-* &quot;-&quot;??_-;_-@_-">
                  <c:v>45.5</c:v>
                </c:pt>
                <c:pt idx="732" formatCode="_-* #,##0_-;\-* #,##0_-;_-* &quot;-&quot;??_-;_-@_-">
                  <c:v>77.5</c:v>
                </c:pt>
                <c:pt idx="733" formatCode="_-* #,##0_-;\-* #,##0_-;_-* &quot;-&quot;??_-;_-@_-">
                  <c:v>73.5</c:v>
                </c:pt>
                <c:pt idx="734" formatCode="_-* #,##0_-;\-* #,##0_-;_-* &quot;-&quot;??_-;_-@_-">
                  <c:v>48</c:v>
                </c:pt>
                <c:pt idx="735" formatCode="_-* #,##0_-;\-* #,##0_-;_-* &quot;-&quot;??_-;_-@_-">
                  <c:v>26.5</c:v>
                </c:pt>
                <c:pt idx="736" formatCode="_-* #,##0_-;\-* #,##0_-;_-* &quot;-&quot;??_-;_-@_-">
                  <c:v>39.5</c:v>
                </c:pt>
                <c:pt idx="737" formatCode="_-* #,##0_-;\-* #,##0_-;_-* &quot;-&quot;??_-;_-@_-">
                  <c:v>144</c:v>
                </c:pt>
                <c:pt idx="738" formatCode="_-* #,##0_-;\-* #,##0_-;_-* &quot;-&quot;??_-;_-@_-">
                  <c:v>89</c:v>
                </c:pt>
                <c:pt idx="739" formatCode="_-* #,##0_-;\-* #,##0_-;_-* &quot;-&quot;??_-;_-@_-">
                  <c:v>60</c:v>
                </c:pt>
                <c:pt idx="740" formatCode="_-* #,##0_-;\-* #,##0_-;_-* &quot;-&quot;??_-;_-@_-">
                  <c:v>227.5</c:v>
                </c:pt>
                <c:pt idx="741" formatCode="_-* #,##0_-;\-* #,##0_-;_-* &quot;-&quot;??_-;_-@_-">
                  <c:v>106</c:v>
                </c:pt>
                <c:pt idx="742" formatCode="_-* #,##0_-;\-* #,##0_-;_-* &quot;-&quot;??_-;_-@_-">
                  <c:v>31</c:v>
                </c:pt>
                <c:pt idx="743" formatCode="_-* #,##0_-;\-* #,##0_-;_-* &quot;-&quot;??_-;_-@_-">
                  <c:v>59.5</c:v>
                </c:pt>
                <c:pt idx="744" formatCode="_-* #,##0_-;\-* #,##0_-;_-* &quot;-&quot;??_-;_-@_-">
                  <c:v>52</c:v>
                </c:pt>
                <c:pt idx="745" formatCode="_-* #,##0_-;\-* #,##0_-;_-* &quot;-&quot;??_-;_-@_-">
                  <c:v>60</c:v>
                </c:pt>
                <c:pt idx="746" formatCode="_-* #,##0_-;\-* #,##0_-;_-* &quot;-&quot;??_-;_-@_-">
                  <c:v>59</c:v>
                </c:pt>
                <c:pt idx="747" formatCode="_-* #,##0_-;\-* #,##0_-;_-* &quot;-&quot;??_-;_-@_-">
                  <c:v>78.5</c:v>
                </c:pt>
                <c:pt idx="748" formatCode="_-* #,##0_-;\-* #,##0_-;_-* &quot;-&quot;??_-;_-@_-">
                  <c:v>48.5</c:v>
                </c:pt>
                <c:pt idx="749" formatCode="_-* #,##0_-;\-* #,##0_-;_-* &quot;-&quot;??_-;_-@_-">
                  <c:v>135.25</c:v>
                </c:pt>
                <c:pt idx="750" formatCode="_-* #,##0_-;\-* #,##0_-;_-* &quot;-&quot;??_-;_-@_-">
                  <c:v>43.5</c:v>
                </c:pt>
                <c:pt idx="751" formatCode="_-* #,##0_-;\-* #,##0_-;_-* &quot;-&quot;??_-;_-@_-">
                  <c:v>63.5</c:v>
                </c:pt>
                <c:pt idx="752" formatCode="_-* #,##0_-;\-* #,##0_-;_-* &quot;-&quot;??_-;_-@_-">
                  <c:v>42.5</c:v>
                </c:pt>
                <c:pt idx="753" formatCode="_-* #,##0_-;\-* #,##0_-;_-* &quot;-&quot;??_-;_-@_-">
                  <c:v>65</c:v>
                </c:pt>
                <c:pt idx="754" formatCode="_-* #,##0_-;\-* #,##0_-;_-* &quot;-&quot;??_-;_-@_-">
                  <c:v>39</c:v>
                </c:pt>
                <c:pt idx="755" formatCode="_-* #,##0_-;\-* #,##0_-;_-* &quot;-&quot;??_-;_-@_-">
                  <c:v>69</c:v>
                </c:pt>
                <c:pt idx="756" formatCode="_-* #,##0_-;\-* #,##0_-;_-* &quot;-&quot;??_-;_-@_-">
                  <c:v>39</c:v>
                </c:pt>
                <c:pt idx="757" formatCode="_-* #,##0_-;\-* #,##0_-;_-* &quot;-&quot;??_-;_-@_-">
                  <c:v>152</c:v>
                </c:pt>
                <c:pt idx="758" formatCode="_-* #,##0_-;\-* #,##0_-;_-* &quot;-&quot;??_-;_-@_-">
                  <c:v>28</c:v>
                </c:pt>
                <c:pt idx="759" formatCode="_-* #,##0_-;\-* #,##0_-;_-* &quot;-&quot;??_-;_-@_-">
                  <c:v>46</c:v>
                </c:pt>
                <c:pt idx="760" formatCode="_-* #,##0_-;\-* #,##0_-;_-* &quot;-&quot;??_-;_-@_-">
                  <c:v>5</c:v>
                </c:pt>
                <c:pt idx="761" formatCode="_-* #,##0_-;\-* #,##0_-;_-* &quot;-&quot;??_-;_-@_-">
                  <c:v>61.5</c:v>
                </c:pt>
                <c:pt idx="762" formatCode="_-* #,##0_-;\-* #,##0_-;_-* &quot;-&quot;??_-;_-@_-">
                  <c:v>53</c:v>
                </c:pt>
                <c:pt idx="763" formatCode="_-* #,##0_-;\-* #,##0_-;_-* &quot;-&quot;??_-;_-@_-">
                  <c:v>48</c:v>
                </c:pt>
                <c:pt idx="764" formatCode="_-* #,##0_-;\-* #,##0_-;_-* &quot;-&quot;??_-;_-@_-">
                  <c:v>51</c:v>
                </c:pt>
                <c:pt idx="765" formatCode="_-* #,##0_-;\-* #,##0_-;_-* &quot;-&quot;??_-;_-@_-">
                  <c:v>78.5</c:v>
                </c:pt>
                <c:pt idx="766" formatCode="_-* #,##0_-;\-* #,##0_-;_-* &quot;-&quot;??_-;_-@_-">
                  <c:v>43</c:v>
                </c:pt>
                <c:pt idx="767" formatCode="_-* #,##0_-;\-* #,##0_-;_-* &quot;-&quot;??_-;_-@_-">
                  <c:v>88</c:v>
                </c:pt>
                <c:pt idx="768" formatCode="_-* #,##0_-;\-* #,##0_-;_-* &quot;-&quot;??_-;_-@_-">
                  <c:v>55.5</c:v>
                </c:pt>
                <c:pt idx="769" formatCode="_-* #,##0_-;\-* #,##0_-;_-* &quot;-&quot;??_-;_-@_-">
                  <c:v>69.5</c:v>
                </c:pt>
                <c:pt idx="770" formatCode="_-* #,##0_-;\-* #,##0_-;_-* &quot;-&quot;??_-;_-@_-">
                  <c:v>50</c:v>
                </c:pt>
                <c:pt idx="771" formatCode="_-* #,##0_-;\-* #,##0_-;_-* &quot;-&quot;??_-;_-@_-">
                  <c:v>89</c:v>
                </c:pt>
                <c:pt idx="772" formatCode="_-* #,##0_-;\-* #,##0_-;_-* &quot;-&quot;??_-;_-@_-">
                  <c:v>74</c:v>
                </c:pt>
                <c:pt idx="773" formatCode="_-* #,##0_-;\-* #,##0_-;_-* &quot;-&quot;??_-;_-@_-">
                  <c:v>65</c:v>
                </c:pt>
                <c:pt idx="774" formatCode="_-* #,##0_-;\-* #,##0_-;_-* &quot;-&quot;??_-;_-@_-">
                  <c:v>72</c:v>
                </c:pt>
                <c:pt idx="775" formatCode="_-* #,##0_-;\-* #,##0_-;_-* &quot;-&quot;??_-;_-@_-">
                  <c:v>55</c:v>
                </c:pt>
                <c:pt idx="776" formatCode="_-* #,##0_-;\-* #,##0_-;_-* &quot;-&quot;??_-;_-@_-">
                  <c:v>23.5</c:v>
                </c:pt>
                <c:pt idx="777" formatCode="_-* #,##0_-;\-* #,##0_-;_-* &quot;-&quot;??_-;_-@_-">
                  <c:v>57.5</c:v>
                </c:pt>
                <c:pt idx="778" formatCode="_-* #,##0_-;\-* #,##0_-;_-* &quot;-&quot;??_-;_-@_-">
                  <c:v>48</c:v>
                </c:pt>
                <c:pt idx="779" formatCode="_-* #,##0_-;\-* #,##0_-;_-* &quot;-&quot;??_-;_-@_-">
                  <c:v>41</c:v>
                </c:pt>
                <c:pt idx="780" formatCode="_-* #,##0_-;\-* #,##0_-;_-* &quot;-&quot;??_-;_-@_-">
                  <c:v>59.5</c:v>
                </c:pt>
                <c:pt idx="781" formatCode="_-* #,##0_-;\-* #,##0_-;_-* &quot;-&quot;??_-;_-@_-">
                  <c:v>77.5</c:v>
                </c:pt>
                <c:pt idx="782" formatCode="_-* #,##0_-;\-* #,##0_-;_-* &quot;-&quot;??_-;_-@_-">
                  <c:v>113.25</c:v>
                </c:pt>
                <c:pt idx="783" formatCode="_-* #,##0_-;\-* #,##0_-;_-* &quot;-&quot;??_-;_-@_-">
                  <c:v>49</c:v>
                </c:pt>
                <c:pt idx="784" formatCode="_-* #,##0_-;\-* #,##0_-;_-* &quot;-&quot;??_-;_-@_-">
                  <c:v>63.25</c:v>
                </c:pt>
                <c:pt idx="785" formatCode="_-* #,##0_-;\-* #,##0_-;_-* &quot;-&quot;??_-;_-@_-">
                  <c:v>42.75</c:v>
                </c:pt>
                <c:pt idx="786" formatCode="_-* #,##0_-;\-* #,##0_-;_-* &quot;-&quot;??_-;_-@_-">
                  <c:v>82.75</c:v>
                </c:pt>
                <c:pt idx="787" formatCode="_-* #,##0_-;\-* #,##0_-;_-* &quot;-&quot;??_-;_-@_-">
                  <c:v>46.5</c:v>
                </c:pt>
                <c:pt idx="788" formatCode="_-* #,##0_-;\-* #,##0_-;_-* &quot;-&quot;??_-;_-@_-">
                  <c:v>122.75</c:v>
                </c:pt>
                <c:pt idx="789" formatCode="_-* #,##0_-;\-* #,##0_-;_-* &quot;-&quot;??_-;_-@_-">
                  <c:v>21.25</c:v>
                </c:pt>
                <c:pt idx="790" formatCode="_-* #,##0_-;\-* #,##0_-;_-* &quot;-&quot;??_-;_-@_-">
                  <c:v>46.75</c:v>
                </c:pt>
                <c:pt idx="791" formatCode="_-* #,##0_-;\-* #,##0_-;_-* &quot;-&quot;??_-;_-@_-">
                  <c:v>39.25</c:v>
                </c:pt>
                <c:pt idx="792" formatCode="_-* #,##0_-;\-* #,##0_-;_-* &quot;-&quot;??_-;_-@_-">
                  <c:v>127.5</c:v>
                </c:pt>
                <c:pt idx="793" formatCode="_-* #,##0_-;\-* #,##0_-;_-* &quot;-&quot;??_-;_-@_-">
                  <c:v>21.5</c:v>
                </c:pt>
                <c:pt idx="794" formatCode="_-* #,##0_-;\-* #,##0_-;_-* &quot;-&quot;??_-;_-@_-">
                  <c:v>77.5</c:v>
                </c:pt>
                <c:pt idx="795" formatCode="_-* #,##0_-;\-* #,##0_-;_-* &quot;-&quot;??_-;_-@_-">
                  <c:v>114.5</c:v>
                </c:pt>
                <c:pt idx="796" formatCode="_-* #,##0_-;\-* #,##0_-;_-* &quot;-&quot;??_-;_-@_-">
                  <c:v>61.25</c:v>
                </c:pt>
                <c:pt idx="797" formatCode="_-* #,##0_-;\-* #,##0_-;_-* &quot;-&quot;??_-;_-@_-">
                  <c:v>66</c:v>
                </c:pt>
                <c:pt idx="798" formatCode="_-* #,##0_-;\-* #,##0_-;_-* &quot;-&quot;??_-;_-@_-">
                  <c:v>214.5</c:v>
                </c:pt>
                <c:pt idx="799" formatCode="_-* #,##0_-;\-* #,##0_-;_-* &quot;-&quot;??_-;_-@_-">
                  <c:v>40</c:v>
                </c:pt>
                <c:pt idx="800" formatCode="_-* #,##0_-;\-* #,##0_-;_-* &quot;-&quot;??_-;_-@_-">
                  <c:v>56.5</c:v>
                </c:pt>
                <c:pt idx="801" formatCode="_-* #,##0_-;\-* #,##0_-;_-* &quot;-&quot;??_-;_-@_-">
                  <c:v>90.25</c:v>
                </c:pt>
                <c:pt idx="802" formatCode="_-* #,##0_-;\-* #,##0_-;_-* &quot;-&quot;??_-;_-@_-">
                  <c:v>41.75</c:v>
                </c:pt>
                <c:pt idx="803" formatCode="_-* #,##0_-;\-* #,##0_-;_-* &quot;-&quot;??_-;_-@_-">
                  <c:v>32.75</c:v>
                </c:pt>
                <c:pt idx="804" formatCode="_-* #,##0_-;\-* #,##0_-;_-* &quot;-&quot;??_-;_-@_-">
                  <c:v>33.85</c:v>
                </c:pt>
                <c:pt idx="805" formatCode="_-* #,##0_-;\-* #,##0_-;_-* &quot;-&quot;??_-;_-@_-">
                  <c:v>40.5</c:v>
                </c:pt>
                <c:pt idx="806" formatCode="_-* #,##0_-;\-* #,##0_-;_-* &quot;-&quot;??_-;_-@_-">
                  <c:v>63.5</c:v>
                </c:pt>
                <c:pt idx="807" formatCode="_-* #,##0_-;\-* #,##0_-;_-* &quot;-&quot;??_-;_-@_-">
                  <c:v>37</c:v>
                </c:pt>
                <c:pt idx="808" formatCode="_-* #,##0_-;\-* #,##0_-;_-* &quot;-&quot;??_-;_-@_-">
                  <c:v>82.75</c:v>
                </c:pt>
                <c:pt idx="809" formatCode="_-* #,##0_-;\-* #,##0_-;_-* &quot;-&quot;??_-;_-@_-">
                  <c:v>35.5</c:v>
                </c:pt>
                <c:pt idx="810" formatCode="_-* #,##0_-;\-* #,##0_-;_-* &quot;-&quot;??_-;_-@_-">
                  <c:v>69</c:v>
                </c:pt>
                <c:pt idx="811" formatCode="_-* #,##0_-;\-* #,##0_-;_-* &quot;-&quot;??_-;_-@_-">
                  <c:v>102</c:v>
                </c:pt>
                <c:pt idx="812" formatCode="_-* #,##0_-;\-* #,##0_-;_-* &quot;-&quot;??_-;_-@_-">
                  <c:v>63</c:v>
                </c:pt>
                <c:pt idx="813" formatCode="_-* #,##0_-;\-* #,##0_-;_-* &quot;-&quot;??_-;_-@_-">
                  <c:v>238.75</c:v>
                </c:pt>
                <c:pt idx="814" formatCode="_-* #,##0_-;\-* #,##0_-;_-* &quot;-&quot;??_-;_-@_-">
                  <c:v>47</c:v>
                </c:pt>
                <c:pt idx="815" formatCode="_-* #,##0_-;\-* #,##0_-;_-* &quot;-&quot;??_-;_-@_-">
                  <c:v>59.5</c:v>
                </c:pt>
                <c:pt idx="816" formatCode="_-* #,##0_-;\-* #,##0_-;_-* &quot;-&quot;??_-;_-@_-">
                  <c:v>82.5</c:v>
                </c:pt>
                <c:pt idx="817" formatCode="_-* #,##0_-;\-* #,##0_-;_-* &quot;-&quot;??_-;_-@_-">
                  <c:v>23.5</c:v>
                </c:pt>
                <c:pt idx="818" formatCode="_-* #,##0_-;\-* #,##0_-;_-* &quot;-&quot;??_-;_-@_-">
                  <c:v>70</c:v>
                </c:pt>
                <c:pt idx="819" formatCode="_-* #,##0_-;\-* #,##0_-;_-* &quot;-&quot;??_-;_-@_-">
                  <c:v>32.75</c:v>
                </c:pt>
                <c:pt idx="820" formatCode="_-* #,##0_-;\-* #,##0_-;_-* &quot;-&quot;??_-;_-@_-">
                  <c:v>43</c:v>
                </c:pt>
                <c:pt idx="821" formatCode="_-* #,##0_-;\-* #,##0_-;_-* &quot;-&quot;??_-;_-@_-">
                  <c:v>44.5</c:v>
                </c:pt>
                <c:pt idx="822" formatCode="_-* #,##0_-;\-* #,##0_-;_-* &quot;-&quot;??_-;_-@_-">
                  <c:v>51.25</c:v>
                </c:pt>
                <c:pt idx="823" formatCode="_-* #,##0_-;\-* #,##0_-;_-* &quot;-&quot;??_-;_-@_-">
                  <c:v>120</c:v>
                </c:pt>
                <c:pt idx="824" formatCode="_-* #,##0_-;\-* #,##0_-;_-* &quot;-&quot;??_-;_-@_-">
                  <c:v>55</c:v>
                </c:pt>
                <c:pt idx="825" formatCode="_-* #,##0_-;\-* #,##0_-;_-* &quot;-&quot;??_-;_-@_-">
                  <c:v>52.25</c:v>
                </c:pt>
                <c:pt idx="826" formatCode="_-* #,##0_-;\-* #,##0_-;_-* &quot;-&quot;??_-;_-@_-">
                  <c:v>91</c:v>
                </c:pt>
                <c:pt idx="827" formatCode="_-* #,##0_-;\-* #,##0_-;_-* &quot;-&quot;??_-;_-@_-">
                  <c:v>30</c:v>
                </c:pt>
                <c:pt idx="828" formatCode="_-* #,##0_-;\-* #,##0_-;_-* &quot;-&quot;??_-;_-@_-">
                  <c:v>29.25</c:v>
                </c:pt>
                <c:pt idx="829" formatCode="_-* #,##0_-;\-* #,##0_-;_-* &quot;-&quot;??_-;_-@_-">
                  <c:v>45.25</c:v>
                </c:pt>
                <c:pt idx="830" formatCode="_-* #,##0_-;\-* #,##0_-;_-* &quot;-&quot;??_-;_-@_-">
                  <c:v>87.75</c:v>
                </c:pt>
                <c:pt idx="831" formatCode="_-* #,##0_-;\-* #,##0_-;_-* &quot;-&quot;??_-;_-@_-">
                  <c:v>70</c:v>
                </c:pt>
                <c:pt idx="832" formatCode="_-* #,##0_-;\-* #,##0_-;_-* &quot;-&quot;??_-;_-@_-">
                  <c:v>42.75</c:v>
                </c:pt>
                <c:pt idx="833" formatCode="_-* #,##0_-;\-* #,##0_-;_-* &quot;-&quot;??_-;_-@_-">
                  <c:v>95.25</c:v>
                </c:pt>
                <c:pt idx="834" formatCode="_-* #,##0_-;\-* #,##0_-;_-* &quot;-&quot;??_-;_-@_-">
                  <c:v>13.75</c:v>
                </c:pt>
                <c:pt idx="835" formatCode="_-* #,##0_-;\-* #,##0_-;_-* &quot;-&quot;??_-;_-@_-">
                  <c:v>69.25</c:v>
                </c:pt>
                <c:pt idx="836" formatCode="_-* #,##0_-;\-* #,##0_-;_-* &quot;-&quot;??_-;_-@_-">
                  <c:v>69</c:v>
                </c:pt>
                <c:pt idx="837" formatCode="_-* #,##0_-;\-* #,##0_-;_-* &quot;-&quot;??_-;_-@_-">
                  <c:v>76</c:v>
                </c:pt>
                <c:pt idx="838" formatCode="_-* #,##0_-;\-* #,##0_-;_-* &quot;-&quot;??_-;_-@_-">
                  <c:v>99.75</c:v>
                </c:pt>
                <c:pt idx="839" formatCode="_-* #,##0_-;\-* #,##0_-;_-* &quot;-&quot;??_-;_-@_-">
                  <c:v>85.25</c:v>
                </c:pt>
                <c:pt idx="840" formatCode="_-* #,##0_-;\-* #,##0_-;_-* &quot;-&quot;??_-;_-@_-">
                  <c:v>49</c:v>
                </c:pt>
                <c:pt idx="841" formatCode="_-* #,##0_-;\-* #,##0_-;_-* &quot;-&quot;??_-;_-@_-">
                  <c:v>35.5</c:v>
                </c:pt>
                <c:pt idx="842" formatCode="_-* #,##0_-;\-* #,##0_-;_-* &quot;-&quot;??_-;_-@_-">
                  <c:v>112</c:v>
                </c:pt>
                <c:pt idx="843" formatCode="_-* #,##0_-;\-* #,##0_-;_-* &quot;-&quot;??_-;_-@_-">
                  <c:v>105.5</c:v>
                </c:pt>
                <c:pt idx="844" formatCode="_-* #,##0_-;\-* #,##0_-;_-* &quot;-&quot;??_-;_-@_-">
                  <c:v>89.5</c:v>
                </c:pt>
                <c:pt idx="845" formatCode="_-* #,##0_-;\-* #,##0_-;_-* &quot;-&quot;??_-;_-@_-">
                  <c:v>48.25</c:v>
                </c:pt>
                <c:pt idx="846" formatCode="_-* #,##0_-;\-* #,##0_-;_-* &quot;-&quot;??_-;_-@_-">
                  <c:v>33.75</c:v>
                </c:pt>
                <c:pt idx="847" formatCode="_-* #,##0_-;\-* #,##0_-;_-* &quot;-&quot;??_-;_-@_-">
                  <c:v>76.5</c:v>
                </c:pt>
                <c:pt idx="848" formatCode="_-* #,##0_-;\-* #,##0_-;_-* &quot;-&quot;??_-;_-@_-">
                  <c:v>25</c:v>
                </c:pt>
                <c:pt idx="849" formatCode="_-* #,##0_-;\-* #,##0_-;_-* &quot;-&quot;??_-;_-@_-">
                  <c:v>15</c:v>
                </c:pt>
                <c:pt idx="850" formatCode="_-* #,##0_-;\-* #,##0_-;_-* &quot;-&quot;??_-;_-@_-">
                  <c:v>37.25</c:v>
                </c:pt>
                <c:pt idx="851" formatCode="_-* #,##0_-;\-* #,##0_-;_-* &quot;-&quot;??_-;_-@_-">
                  <c:v>41.75</c:v>
                </c:pt>
                <c:pt idx="852" formatCode="_-* #,##0_-;\-* #,##0_-;_-* &quot;-&quot;??_-;_-@_-">
                  <c:v>34</c:v>
                </c:pt>
                <c:pt idx="853" formatCode="_-* #,##0_-;\-* #,##0_-;_-* &quot;-&quot;??_-;_-@_-">
                  <c:v>327.5</c:v>
                </c:pt>
                <c:pt idx="854" formatCode="_-* #,##0_-;\-* #,##0_-;_-* &quot;-&quot;??_-;_-@_-">
                  <c:v>66.5</c:v>
                </c:pt>
                <c:pt idx="855" formatCode="_-* #,##0_-;\-* #,##0_-;_-* &quot;-&quot;??_-;_-@_-">
                  <c:v>15</c:v>
                </c:pt>
                <c:pt idx="856" formatCode="_-* #,##0_-;\-* #,##0_-;_-* &quot;-&quot;??_-;_-@_-">
                  <c:v>54</c:v>
                </c:pt>
                <c:pt idx="857" formatCode="_-* #,##0_-;\-* #,##0_-;_-* &quot;-&quot;??_-;_-@_-">
                  <c:v>61.5</c:v>
                </c:pt>
                <c:pt idx="858" formatCode="_-* #,##0_-;\-* #,##0_-;_-* &quot;-&quot;??_-;_-@_-">
                  <c:v>61.75</c:v>
                </c:pt>
                <c:pt idx="859" formatCode="_-* #,##0_-;\-* #,##0_-;_-* &quot;-&quot;??_-;_-@_-">
                  <c:v>147.25</c:v>
                </c:pt>
                <c:pt idx="860" formatCode="_-* #,##0_-;\-* #,##0_-;_-* &quot;-&quot;??_-;_-@_-">
                  <c:v>36.75</c:v>
                </c:pt>
                <c:pt idx="861" formatCode="_-* #,##0_-;\-* #,##0_-;_-* &quot;-&quot;??_-;_-@_-">
                  <c:v>29</c:v>
                </c:pt>
                <c:pt idx="862" formatCode="_-* #,##0_-;\-* #,##0_-;_-* &quot;-&quot;??_-;_-@_-">
                  <c:v>111.5</c:v>
                </c:pt>
                <c:pt idx="863" formatCode="_-* #,##0_-;\-* #,##0_-;_-* &quot;-&quot;??_-;_-@_-">
                  <c:v>16.25</c:v>
                </c:pt>
                <c:pt idx="864" formatCode="_-* #,##0_-;\-* #,##0_-;_-* &quot;-&quot;??_-;_-@_-">
                  <c:v>138.5</c:v>
                </c:pt>
                <c:pt idx="865" formatCode="_-* #,##0_-;\-* #,##0_-;_-* &quot;-&quot;??_-;_-@_-">
                  <c:v>72.25</c:v>
                </c:pt>
                <c:pt idx="866" formatCode="_-* #,##0_-;\-* #,##0_-;_-* &quot;-&quot;??_-;_-@_-">
                  <c:v>146.25</c:v>
                </c:pt>
                <c:pt idx="867" formatCode="_-* #,##0_-;\-* #,##0_-;_-* &quot;-&quot;??_-;_-@_-">
                  <c:v>24</c:v>
                </c:pt>
                <c:pt idx="868" formatCode="_-* #,##0_-;\-* #,##0_-;_-* &quot;-&quot;??_-;_-@_-">
                  <c:v>73.25</c:v>
                </c:pt>
                <c:pt idx="869" formatCode="_-* #,##0_-;\-* #,##0_-;_-* &quot;-&quot;??_-;_-@_-">
                  <c:v>35.25</c:v>
                </c:pt>
                <c:pt idx="870" formatCode="_-* #,##0_-;\-* #,##0_-;_-* &quot;-&quot;??_-;_-@_-">
                  <c:v>37</c:v>
                </c:pt>
                <c:pt idx="871" formatCode="_-* #,##0_-;\-* #,##0_-;_-* &quot;-&quot;??_-;_-@_-">
                  <c:v>41.5</c:v>
                </c:pt>
                <c:pt idx="872" formatCode="_-* #,##0_-;\-* #,##0_-;_-* &quot;-&quot;??_-;_-@_-">
                  <c:v>56.25</c:v>
                </c:pt>
                <c:pt idx="873" formatCode="_-* #,##0_-;\-* #,##0_-;_-* &quot;-&quot;??_-;_-@_-">
                  <c:v>40.75</c:v>
                </c:pt>
                <c:pt idx="874" formatCode="_-* #,##0_-;\-* #,##0_-;_-* &quot;-&quot;??_-;_-@_-">
                  <c:v>35</c:v>
                </c:pt>
                <c:pt idx="875" formatCode="_-* #,##0_-;\-* #,##0_-;_-* &quot;-&quot;??_-;_-@_-">
                  <c:v>147.75</c:v>
                </c:pt>
                <c:pt idx="876" formatCode="_-* #,##0_-;\-* #,##0_-;_-* &quot;-&quot;??_-;_-@_-">
                  <c:v>110.5</c:v>
                </c:pt>
                <c:pt idx="877" formatCode="_-* #,##0_-;\-* #,##0_-;_-* &quot;-&quot;??_-;_-@_-">
                  <c:v>56</c:v>
                </c:pt>
                <c:pt idx="878" formatCode="_-* #,##0_-;\-* #,##0_-;_-* &quot;-&quot;??_-;_-@_-">
                  <c:v>0</c:v>
                </c:pt>
                <c:pt idx="879" formatCode="_-* #,##0_-;\-* #,##0_-;_-* &quot;-&quot;??_-;_-@_-">
                  <c:v>0</c:v>
                </c:pt>
                <c:pt idx="880" formatCode="_-* #,##0_-;\-* #,##0_-;_-* &quot;-&quot;??_-;_-@_-">
                  <c:v>0</c:v>
                </c:pt>
                <c:pt idx="881" formatCode="_-* #,##0_-;\-* #,##0_-;_-* &quot;-&quot;??_-;_-@_-">
                  <c:v>0</c:v>
                </c:pt>
                <c:pt idx="882" formatCode="_-* #,##0_-;\-* #,##0_-;_-* &quot;-&quot;??_-;_-@_-">
                  <c:v>0</c:v>
                </c:pt>
                <c:pt idx="883" formatCode="_-* #,##0_-;\-* #,##0_-;_-* &quot;-&quot;??_-;_-@_-">
                  <c:v>0</c:v>
                </c:pt>
                <c:pt idx="88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93-4675-8CF1-E99C3E7C4480}"/>
            </c:ext>
          </c:extLst>
        </c:ser>
        <c:ser>
          <c:idx val="7"/>
          <c:order val="7"/>
          <c:tx>
            <c:strRef>
              <c:f>'CASH FLOW'!$I$1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FLOW'!$I$2:$I$969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628000</c:v>
                </c:pt>
                <c:pt idx="3">
                  <c:v>534000</c:v>
                </c:pt>
                <c:pt idx="4">
                  <c:v>585500</c:v>
                </c:pt>
                <c:pt idx="5">
                  <c:v>529000</c:v>
                </c:pt>
                <c:pt idx="6">
                  <c:v>738000</c:v>
                </c:pt>
                <c:pt idx="7">
                  <c:v>877000</c:v>
                </c:pt>
                <c:pt idx="8">
                  <c:v>1020000</c:v>
                </c:pt>
                <c:pt idx="9">
                  <c:v>1045500</c:v>
                </c:pt>
                <c:pt idx="10">
                  <c:v>783000</c:v>
                </c:pt>
                <c:pt idx="11">
                  <c:v>1227500</c:v>
                </c:pt>
                <c:pt idx="12">
                  <c:v>869500</c:v>
                </c:pt>
                <c:pt idx="13">
                  <c:v>481000</c:v>
                </c:pt>
                <c:pt idx="14">
                  <c:v>1691500</c:v>
                </c:pt>
                <c:pt idx="15">
                  <c:v>1202000</c:v>
                </c:pt>
                <c:pt idx="16">
                  <c:v>523500</c:v>
                </c:pt>
                <c:pt idx="17">
                  <c:v>325000</c:v>
                </c:pt>
                <c:pt idx="18">
                  <c:v>2331000</c:v>
                </c:pt>
                <c:pt idx="19">
                  <c:v>122500</c:v>
                </c:pt>
                <c:pt idx="20">
                  <c:v>395000</c:v>
                </c:pt>
                <c:pt idx="21">
                  <c:v>1223000</c:v>
                </c:pt>
                <c:pt idx="22">
                  <c:v>641500</c:v>
                </c:pt>
                <c:pt idx="23">
                  <c:v>955000</c:v>
                </c:pt>
                <c:pt idx="24">
                  <c:v>2140500</c:v>
                </c:pt>
                <c:pt idx="25">
                  <c:v>2214000</c:v>
                </c:pt>
                <c:pt idx="26">
                  <c:v>576500</c:v>
                </c:pt>
                <c:pt idx="27">
                  <c:v>573000</c:v>
                </c:pt>
                <c:pt idx="28">
                  <c:v>401500</c:v>
                </c:pt>
                <c:pt idx="29">
                  <c:v>1719000</c:v>
                </c:pt>
                <c:pt idx="30">
                  <c:v>846000</c:v>
                </c:pt>
                <c:pt idx="31">
                  <c:v>1101000</c:v>
                </c:pt>
                <c:pt idx="32">
                  <c:v>1533500</c:v>
                </c:pt>
                <c:pt idx="33">
                  <c:v>1086000</c:v>
                </c:pt>
                <c:pt idx="34">
                  <c:v>1015000</c:v>
                </c:pt>
                <c:pt idx="35">
                  <c:v>909000</c:v>
                </c:pt>
                <c:pt idx="36">
                  <c:v>1715000</c:v>
                </c:pt>
                <c:pt idx="37">
                  <c:v>977000</c:v>
                </c:pt>
                <c:pt idx="38">
                  <c:v>701000</c:v>
                </c:pt>
                <c:pt idx="39">
                  <c:v>484000</c:v>
                </c:pt>
                <c:pt idx="40">
                  <c:v>1538000</c:v>
                </c:pt>
                <c:pt idx="41">
                  <c:v>1070500</c:v>
                </c:pt>
                <c:pt idx="42">
                  <c:v>551000</c:v>
                </c:pt>
                <c:pt idx="43">
                  <c:v>1766600</c:v>
                </c:pt>
                <c:pt idx="44">
                  <c:v>729000</c:v>
                </c:pt>
                <c:pt idx="45">
                  <c:v>1338000</c:v>
                </c:pt>
                <c:pt idx="46">
                  <c:v>1807500</c:v>
                </c:pt>
                <c:pt idx="47">
                  <c:v>558500</c:v>
                </c:pt>
                <c:pt idx="48">
                  <c:v>1061000</c:v>
                </c:pt>
                <c:pt idx="49">
                  <c:v>856500</c:v>
                </c:pt>
                <c:pt idx="50">
                  <c:v>939000</c:v>
                </c:pt>
                <c:pt idx="51">
                  <c:v>712000</c:v>
                </c:pt>
                <c:pt idx="52">
                  <c:v>1270000</c:v>
                </c:pt>
                <c:pt idx="53">
                  <c:v>678000</c:v>
                </c:pt>
                <c:pt idx="54">
                  <c:v>4134000</c:v>
                </c:pt>
                <c:pt idx="55">
                  <c:v>1047500</c:v>
                </c:pt>
                <c:pt idx="56">
                  <c:v>571500</c:v>
                </c:pt>
                <c:pt idx="57">
                  <c:v>1500000</c:v>
                </c:pt>
                <c:pt idx="58">
                  <c:v>271500</c:v>
                </c:pt>
                <c:pt idx="59">
                  <c:v>1006500</c:v>
                </c:pt>
                <c:pt idx="60">
                  <c:v>1003000</c:v>
                </c:pt>
                <c:pt idx="61">
                  <c:v>1386500</c:v>
                </c:pt>
                <c:pt idx="62">
                  <c:v>403000</c:v>
                </c:pt>
                <c:pt idx="63">
                  <c:v>807500</c:v>
                </c:pt>
                <c:pt idx="64">
                  <c:v>793000</c:v>
                </c:pt>
                <c:pt idx="65">
                  <c:v>1483500</c:v>
                </c:pt>
                <c:pt idx="66">
                  <c:v>2066500</c:v>
                </c:pt>
                <c:pt idx="67">
                  <c:v>1424500</c:v>
                </c:pt>
                <c:pt idx="68">
                  <c:v>295500</c:v>
                </c:pt>
                <c:pt idx="69">
                  <c:v>819500</c:v>
                </c:pt>
                <c:pt idx="70">
                  <c:v>901500</c:v>
                </c:pt>
                <c:pt idx="71">
                  <c:v>494500</c:v>
                </c:pt>
                <c:pt idx="72">
                  <c:v>1219500</c:v>
                </c:pt>
                <c:pt idx="73">
                  <c:v>1592500</c:v>
                </c:pt>
                <c:pt idx="74">
                  <c:v>1814500</c:v>
                </c:pt>
                <c:pt idx="75">
                  <c:v>732000</c:v>
                </c:pt>
                <c:pt idx="76">
                  <c:v>433000</c:v>
                </c:pt>
                <c:pt idx="77">
                  <c:v>1071500</c:v>
                </c:pt>
                <c:pt idx="78">
                  <c:v>1740000</c:v>
                </c:pt>
                <c:pt idx="79">
                  <c:v>1019000</c:v>
                </c:pt>
                <c:pt idx="80">
                  <c:v>548500</c:v>
                </c:pt>
                <c:pt idx="81">
                  <c:v>774000</c:v>
                </c:pt>
                <c:pt idx="82">
                  <c:v>866000</c:v>
                </c:pt>
                <c:pt idx="83">
                  <c:v>928500</c:v>
                </c:pt>
                <c:pt idx="84">
                  <c:v>1386000</c:v>
                </c:pt>
                <c:pt idx="85">
                  <c:v>538500</c:v>
                </c:pt>
                <c:pt idx="86">
                  <c:v>327000</c:v>
                </c:pt>
                <c:pt idx="87">
                  <c:v>1151500</c:v>
                </c:pt>
                <c:pt idx="88">
                  <c:v>653500</c:v>
                </c:pt>
                <c:pt idx="89">
                  <c:v>1940500</c:v>
                </c:pt>
                <c:pt idx="90">
                  <c:v>1221000</c:v>
                </c:pt>
                <c:pt idx="91">
                  <c:v>1535500</c:v>
                </c:pt>
                <c:pt idx="92">
                  <c:v>2085500</c:v>
                </c:pt>
                <c:pt idx="93">
                  <c:v>344000</c:v>
                </c:pt>
                <c:pt idx="94">
                  <c:v>1488500</c:v>
                </c:pt>
                <c:pt idx="95">
                  <c:v>1205500</c:v>
                </c:pt>
                <c:pt idx="96">
                  <c:v>830000</c:v>
                </c:pt>
                <c:pt idx="97">
                  <c:v>676500</c:v>
                </c:pt>
                <c:pt idx="98">
                  <c:v>1176000</c:v>
                </c:pt>
                <c:pt idx="99">
                  <c:v>286000</c:v>
                </c:pt>
                <c:pt idx="100">
                  <c:v>441000</c:v>
                </c:pt>
                <c:pt idx="101">
                  <c:v>1217000</c:v>
                </c:pt>
                <c:pt idx="102">
                  <c:v>1220000</c:v>
                </c:pt>
                <c:pt idx="103">
                  <c:v>1378000</c:v>
                </c:pt>
                <c:pt idx="104">
                  <c:v>2382000</c:v>
                </c:pt>
                <c:pt idx="105">
                  <c:v>633500</c:v>
                </c:pt>
                <c:pt idx="106">
                  <c:v>657000</c:v>
                </c:pt>
                <c:pt idx="107">
                  <c:v>186500</c:v>
                </c:pt>
                <c:pt idx="108">
                  <c:v>662000</c:v>
                </c:pt>
                <c:pt idx="109">
                  <c:v>1424000</c:v>
                </c:pt>
                <c:pt idx="110">
                  <c:v>1688500</c:v>
                </c:pt>
                <c:pt idx="111">
                  <c:v>931500</c:v>
                </c:pt>
                <c:pt idx="112">
                  <c:v>1876500</c:v>
                </c:pt>
                <c:pt idx="113">
                  <c:v>1255000</c:v>
                </c:pt>
                <c:pt idx="114">
                  <c:v>703500</c:v>
                </c:pt>
                <c:pt idx="115">
                  <c:v>839000</c:v>
                </c:pt>
                <c:pt idx="116">
                  <c:v>975000</c:v>
                </c:pt>
                <c:pt idx="117">
                  <c:v>941500</c:v>
                </c:pt>
                <c:pt idx="118">
                  <c:v>1321500</c:v>
                </c:pt>
                <c:pt idx="119">
                  <c:v>610500</c:v>
                </c:pt>
                <c:pt idx="120">
                  <c:v>819500</c:v>
                </c:pt>
                <c:pt idx="121">
                  <c:v>794500</c:v>
                </c:pt>
                <c:pt idx="122">
                  <c:v>1919000</c:v>
                </c:pt>
                <c:pt idx="123">
                  <c:v>1061500</c:v>
                </c:pt>
                <c:pt idx="124">
                  <c:v>643000</c:v>
                </c:pt>
                <c:pt idx="125">
                  <c:v>1167500</c:v>
                </c:pt>
                <c:pt idx="126">
                  <c:v>585700</c:v>
                </c:pt>
                <c:pt idx="127">
                  <c:v>752500</c:v>
                </c:pt>
                <c:pt idx="128">
                  <c:v>480000</c:v>
                </c:pt>
                <c:pt idx="129">
                  <c:v>614000</c:v>
                </c:pt>
                <c:pt idx="130">
                  <c:v>673000</c:v>
                </c:pt>
                <c:pt idx="131">
                  <c:v>1393500</c:v>
                </c:pt>
                <c:pt idx="132">
                  <c:v>2264500</c:v>
                </c:pt>
                <c:pt idx="133">
                  <c:v>1190000</c:v>
                </c:pt>
                <c:pt idx="134">
                  <c:v>909500</c:v>
                </c:pt>
                <c:pt idx="135">
                  <c:v>295000</c:v>
                </c:pt>
                <c:pt idx="136">
                  <c:v>672000</c:v>
                </c:pt>
                <c:pt idx="137">
                  <c:v>1649000</c:v>
                </c:pt>
                <c:pt idx="138">
                  <c:v>379500</c:v>
                </c:pt>
                <c:pt idx="139">
                  <c:v>732500</c:v>
                </c:pt>
                <c:pt idx="140">
                  <c:v>1067500</c:v>
                </c:pt>
                <c:pt idx="141">
                  <c:v>2053500</c:v>
                </c:pt>
                <c:pt idx="142">
                  <c:v>1306000</c:v>
                </c:pt>
                <c:pt idx="143">
                  <c:v>857000</c:v>
                </c:pt>
                <c:pt idx="144">
                  <c:v>806000</c:v>
                </c:pt>
                <c:pt idx="145">
                  <c:v>781000</c:v>
                </c:pt>
                <c:pt idx="146">
                  <c:v>666000</c:v>
                </c:pt>
                <c:pt idx="147">
                  <c:v>778500</c:v>
                </c:pt>
                <c:pt idx="148">
                  <c:v>1235000</c:v>
                </c:pt>
                <c:pt idx="149">
                  <c:v>1738500</c:v>
                </c:pt>
                <c:pt idx="150">
                  <c:v>1793500</c:v>
                </c:pt>
                <c:pt idx="151">
                  <c:v>1263000</c:v>
                </c:pt>
                <c:pt idx="152">
                  <c:v>565000</c:v>
                </c:pt>
                <c:pt idx="153">
                  <c:v>934000</c:v>
                </c:pt>
                <c:pt idx="154">
                  <c:v>1212500</c:v>
                </c:pt>
                <c:pt idx="155">
                  <c:v>2031000</c:v>
                </c:pt>
                <c:pt idx="156">
                  <c:v>518500</c:v>
                </c:pt>
                <c:pt idx="157">
                  <c:v>885500</c:v>
                </c:pt>
                <c:pt idx="158">
                  <c:v>1594000</c:v>
                </c:pt>
                <c:pt idx="159">
                  <c:v>1845000</c:v>
                </c:pt>
                <c:pt idx="160">
                  <c:v>2312500</c:v>
                </c:pt>
                <c:pt idx="161">
                  <c:v>1256000</c:v>
                </c:pt>
                <c:pt idx="162">
                  <c:v>822000</c:v>
                </c:pt>
                <c:pt idx="163">
                  <c:v>932000</c:v>
                </c:pt>
                <c:pt idx="164">
                  <c:v>1818500</c:v>
                </c:pt>
                <c:pt idx="165">
                  <c:v>747000</c:v>
                </c:pt>
                <c:pt idx="166">
                  <c:v>583500</c:v>
                </c:pt>
                <c:pt idx="167">
                  <c:v>2639500</c:v>
                </c:pt>
                <c:pt idx="168">
                  <c:v>3061000</c:v>
                </c:pt>
                <c:pt idx="169">
                  <c:v>1333000</c:v>
                </c:pt>
                <c:pt idx="170">
                  <c:v>915000</c:v>
                </c:pt>
                <c:pt idx="171">
                  <c:v>1498000</c:v>
                </c:pt>
                <c:pt idx="172">
                  <c:v>669500</c:v>
                </c:pt>
                <c:pt idx="173">
                  <c:v>1635500</c:v>
                </c:pt>
                <c:pt idx="174">
                  <c:v>888000</c:v>
                </c:pt>
                <c:pt idx="175">
                  <c:v>1044000</c:v>
                </c:pt>
                <c:pt idx="176">
                  <c:v>1025000</c:v>
                </c:pt>
                <c:pt idx="177">
                  <c:v>416000</c:v>
                </c:pt>
                <c:pt idx="178">
                  <c:v>538500</c:v>
                </c:pt>
                <c:pt idx="179">
                  <c:v>1908000</c:v>
                </c:pt>
                <c:pt idx="180">
                  <c:v>2749000</c:v>
                </c:pt>
                <c:pt idx="181">
                  <c:v>1502000</c:v>
                </c:pt>
                <c:pt idx="182">
                  <c:v>1112000</c:v>
                </c:pt>
                <c:pt idx="183">
                  <c:v>2465000</c:v>
                </c:pt>
                <c:pt idx="184">
                  <c:v>1046000</c:v>
                </c:pt>
                <c:pt idx="185">
                  <c:v>1248500</c:v>
                </c:pt>
                <c:pt idx="186">
                  <c:v>543872</c:v>
                </c:pt>
                <c:pt idx="187">
                  <c:v>1316500</c:v>
                </c:pt>
                <c:pt idx="188">
                  <c:v>1012000</c:v>
                </c:pt>
                <c:pt idx="189">
                  <c:v>1215500</c:v>
                </c:pt>
                <c:pt idx="190">
                  <c:v>730000</c:v>
                </c:pt>
                <c:pt idx="191">
                  <c:v>922500</c:v>
                </c:pt>
                <c:pt idx="192">
                  <c:v>666500</c:v>
                </c:pt>
                <c:pt idx="193">
                  <c:v>1430000</c:v>
                </c:pt>
                <c:pt idx="194">
                  <c:v>1342500</c:v>
                </c:pt>
                <c:pt idx="195">
                  <c:v>696000</c:v>
                </c:pt>
                <c:pt idx="196">
                  <c:v>1021000</c:v>
                </c:pt>
                <c:pt idx="197">
                  <c:v>1167500</c:v>
                </c:pt>
                <c:pt idx="198">
                  <c:v>318000</c:v>
                </c:pt>
                <c:pt idx="199">
                  <c:v>913000</c:v>
                </c:pt>
                <c:pt idx="200">
                  <c:v>1195000</c:v>
                </c:pt>
                <c:pt idx="201">
                  <c:v>570000</c:v>
                </c:pt>
                <c:pt idx="202">
                  <c:v>1676500</c:v>
                </c:pt>
                <c:pt idx="203">
                  <c:v>623500</c:v>
                </c:pt>
                <c:pt idx="204">
                  <c:v>628500</c:v>
                </c:pt>
                <c:pt idx="205">
                  <c:v>846000</c:v>
                </c:pt>
                <c:pt idx="206">
                  <c:v>1127000</c:v>
                </c:pt>
                <c:pt idx="207">
                  <c:v>2038500</c:v>
                </c:pt>
                <c:pt idx="208">
                  <c:v>2100000</c:v>
                </c:pt>
                <c:pt idx="209">
                  <c:v>1207000</c:v>
                </c:pt>
                <c:pt idx="210">
                  <c:v>1783500</c:v>
                </c:pt>
                <c:pt idx="211">
                  <c:v>2304500</c:v>
                </c:pt>
                <c:pt idx="212">
                  <c:v>1495500</c:v>
                </c:pt>
                <c:pt idx="213">
                  <c:v>2069000</c:v>
                </c:pt>
                <c:pt idx="214">
                  <c:v>1469000</c:v>
                </c:pt>
                <c:pt idx="215">
                  <c:v>694500</c:v>
                </c:pt>
                <c:pt idx="216">
                  <c:v>566000</c:v>
                </c:pt>
                <c:pt idx="217">
                  <c:v>649500</c:v>
                </c:pt>
                <c:pt idx="218">
                  <c:v>1014500</c:v>
                </c:pt>
                <c:pt idx="219">
                  <c:v>294500</c:v>
                </c:pt>
                <c:pt idx="220">
                  <c:v>1289500</c:v>
                </c:pt>
                <c:pt idx="221">
                  <c:v>953000</c:v>
                </c:pt>
                <c:pt idx="222">
                  <c:v>1357000</c:v>
                </c:pt>
                <c:pt idx="223">
                  <c:v>1044500</c:v>
                </c:pt>
                <c:pt idx="224">
                  <c:v>1747000</c:v>
                </c:pt>
                <c:pt idx="225">
                  <c:v>955000</c:v>
                </c:pt>
                <c:pt idx="226">
                  <c:v>1525500</c:v>
                </c:pt>
                <c:pt idx="227">
                  <c:v>503000</c:v>
                </c:pt>
                <c:pt idx="228">
                  <c:v>1314500</c:v>
                </c:pt>
                <c:pt idx="229">
                  <c:v>1753500</c:v>
                </c:pt>
                <c:pt idx="230">
                  <c:v>785500</c:v>
                </c:pt>
                <c:pt idx="231">
                  <c:v>1336500</c:v>
                </c:pt>
                <c:pt idx="232">
                  <c:v>1096000</c:v>
                </c:pt>
                <c:pt idx="233">
                  <c:v>125500</c:v>
                </c:pt>
                <c:pt idx="234">
                  <c:v>880500</c:v>
                </c:pt>
                <c:pt idx="235">
                  <c:v>926000</c:v>
                </c:pt>
                <c:pt idx="236">
                  <c:v>3036000</c:v>
                </c:pt>
                <c:pt idx="237">
                  <c:v>364500</c:v>
                </c:pt>
                <c:pt idx="238">
                  <c:v>832500</c:v>
                </c:pt>
                <c:pt idx="239">
                  <c:v>776500</c:v>
                </c:pt>
                <c:pt idx="240">
                  <c:v>1471000</c:v>
                </c:pt>
                <c:pt idx="241">
                  <c:v>1415000</c:v>
                </c:pt>
                <c:pt idx="242">
                  <c:v>593500</c:v>
                </c:pt>
                <c:pt idx="243">
                  <c:v>1449500</c:v>
                </c:pt>
                <c:pt idx="244">
                  <c:v>1069000</c:v>
                </c:pt>
                <c:pt idx="245">
                  <c:v>1318500</c:v>
                </c:pt>
                <c:pt idx="246">
                  <c:v>890500</c:v>
                </c:pt>
                <c:pt idx="247">
                  <c:v>2362000</c:v>
                </c:pt>
                <c:pt idx="248">
                  <c:v>1599500</c:v>
                </c:pt>
                <c:pt idx="249">
                  <c:v>2463000</c:v>
                </c:pt>
                <c:pt idx="250">
                  <c:v>817000</c:v>
                </c:pt>
                <c:pt idx="251">
                  <c:v>664500</c:v>
                </c:pt>
                <c:pt idx="252">
                  <c:v>1997500</c:v>
                </c:pt>
                <c:pt idx="253">
                  <c:v>1039500</c:v>
                </c:pt>
                <c:pt idx="254">
                  <c:v>1220000</c:v>
                </c:pt>
                <c:pt idx="255">
                  <c:v>1394500</c:v>
                </c:pt>
                <c:pt idx="256">
                  <c:v>845500</c:v>
                </c:pt>
                <c:pt idx="257">
                  <c:v>1689500</c:v>
                </c:pt>
                <c:pt idx="258">
                  <c:v>704000</c:v>
                </c:pt>
                <c:pt idx="259">
                  <c:v>2184500</c:v>
                </c:pt>
                <c:pt idx="260">
                  <c:v>1267000</c:v>
                </c:pt>
                <c:pt idx="261">
                  <c:v>504000</c:v>
                </c:pt>
                <c:pt idx="262">
                  <c:v>1464500</c:v>
                </c:pt>
                <c:pt idx="263">
                  <c:v>1680500</c:v>
                </c:pt>
                <c:pt idx="264">
                  <c:v>761500</c:v>
                </c:pt>
                <c:pt idx="265">
                  <c:v>1388000</c:v>
                </c:pt>
                <c:pt idx="266">
                  <c:v>1097000</c:v>
                </c:pt>
                <c:pt idx="267">
                  <c:v>642500</c:v>
                </c:pt>
                <c:pt idx="268">
                  <c:v>735000</c:v>
                </c:pt>
                <c:pt idx="269">
                  <c:v>1109500</c:v>
                </c:pt>
                <c:pt idx="270">
                  <c:v>1059500</c:v>
                </c:pt>
                <c:pt idx="271">
                  <c:v>462500</c:v>
                </c:pt>
                <c:pt idx="272">
                  <c:v>1779500</c:v>
                </c:pt>
                <c:pt idx="273">
                  <c:v>701000</c:v>
                </c:pt>
                <c:pt idx="274">
                  <c:v>773500</c:v>
                </c:pt>
                <c:pt idx="275">
                  <c:v>379500</c:v>
                </c:pt>
                <c:pt idx="276">
                  <c:v>1178000</c:v>
                </c:pt>
                <c:pt idx="277">
                  <c:v>1084500</c:v>
                </c:pt>
                <c:pt idx="278">
                  <c:v>461000</c:v>
                </c:pt>
                <c:pt idx="279">
                  <c:v>1285000</c:v>
                </c:pt>
                <c:pt idx="280">
                  <c:v>1679000</c:v>
                </c:pt>
                <c:pt idx="281">
                  <c:v>1675000</c:v>
                </c:pt>
                <c:pt idx="282">
                  <c:v>921500</c:v>
                </c:pt>
                <c:pt idx="283">
                  <c:v>1623000</c:v>
                </c:pt>
                <c:pt idx="284">
                  <c:v>1165000</c:v>
                </c:pt>
                <c:pt idx="285">
                  <c:v>821000</c:v>
                </c:pt>
                <c:pt idx="286">
                  <c:v>1753500</c:v>
                </c:pt>
                <c:pt idx="287">
                  <c:v>1187500</c:v>
                </c:pt>
                <c:pt idx="288">
                  <c:v>2178000</c:v>
                </c:pt>
                <c:pt idx="289">
                  <c:v>656500</c:v>
                </c:pt>
                <c:pt idx="290">
                  <c:v>810000</c:v>
                </c:pt>
                <c:pt idx="291">
                  <c:v>1418000</c:v>
                </c:pt>
                <c:pt idx="292">
                  <c:v>3503500</c:v>
                </c:pt>
                <c:pt idx="293">
                  <c:v>506500</c:v>
                </c:pt>
                <c:pt idx="294">
                  <c:v>1516000</c:v>
                </c:pt>
                <c:pt idx="295">
                  <c:v>839500</c:v>
                </c:pt>
                <c:pt idx="296">
                  <c:v>721500</c:v>
                </c:pt>
                <c:pt idx="297">
                  <c:v>852500</c:v>
                </c:pt>
                <c:pt idx="298">
                  <c:v>1031000</c:v>
                </c:pt>
                <c:pt idx="299">
                  <c:v>344000</c:v>
                </c:pt>
                <c:pt idx="300">
                  <c:v>1778500</c:v>
                </c:pt>
                <c:pt idx="301">
                  <c:v>839000</c:v>
                </c:pt>
                <c:pt idx="302">
                  <c:v>315000</c:v>
                </c:pt>
                <c:pt idx="303">
                  <c:v>604000</c:v>
                </c:pt>
                <c:pt idx="304">
                  <c:v>1728000</c:v>
                </c:pt>
                <c:pt idx="305">
                  <c:v>511000</c:v>
                </c:pt>
                <c:pt idx="306">
                  <c:v>1254500</c:v>
                </c:pt>
                <c:pt idx="307">
                  <c:v>764000</c:v>
                </c:pt>
                <c:pt idx="308">
                  <c:v>750000</c:v>
                </c:pt>
                <c:pt idx="309">
                  <c:v>1514000</c:v>
                </c:pt>
                <c:pt idx="310">
                  <c:v>1040500</c:v>
                </c:pt>
                <c:pt idx="311">
                  <c:v>920500</c:v>
                </c:pt>
                <c:pt idx="312">
                  <c:v>2712000</c:v>
                </c:pt>
                <c:pt idx="313">
                  <c:v>1182000</c:v>
                </c:pt>
                <c:pt idx="314">
                  <c:v>1440500</c:v>
                </c:pt>
                <c:pt idx="315">
                  <c:v>2187500</c:v>
                </c:pt>
                <c:pt idx="316">
                  <c:v>1348000</c:v>
                </c:pt>
                <c:pt idx="317">
                  <c:v>649500</c:v>
                </c:pt>
                <c:pt idx="318">
                  <c:v>849500</c:v>
                </c:pt>
                <c:pt idx="319">
                  <c:v>1045500</c:v>
                </c:pt>
                <c:pt idx="320">
                  <c:v>1010000</c:v>
                </c:pt>
                <c:pt idx="321">
                  <c:v>762500</c:v>
                </c:pt>
                <c:pt idx="322">
                  <c:v>510500</c:v>
                </c:pt>
                <c:pt idx="323">
                  <c:v>1001500</c:v>
                </c:pt>
                <c:pt idx="324">
                  <c:v>931500</c:v>
                </c:pt>
                <c:pt idx="325">
                  <c:v>694000</c:v>
                </c:pt>
                <c:pt idx="326">
                  <c:v>832500</c:v>
                </c:pt>
                <c:pt idx="327">
                  <c:v>711000</c:v>
                </c:pt>
                <c:pt idx="328">
                  <c:v>730500</c:v>
                </c:pt>
                <c:pt idx="329">
                  <c:v>718000</c:v>
                </c:pt>
                <c:pt idx="330">
                  <c:v>1887000</c:v>
                </c:pt>
                <c:pt idx="331">
                  <c:v>1168500</c:v>
                </c:pt>
                <c:pt idx="332">
                  <c:v>848500</c:v>
                </c:pt>
                <c:pt idx="333">
                  <c:v>249000</c:v>
                </c:pt>
                <c:pt idx="334">
                  <c:v>1209000</c:v>
                </c:pt>
                <c:pt idx="335">
                  <c:v>1086500</c:v>
                </c:pt>
                <c:pt idx="336">
                  <c:v>926500</c:v>
                </c:pt>
                <c:pt idx="337">
                  <c:v>1229500</c:v>
                </c:pt>
                <c:pt idx="338">
                  <c:v>509500</c:v>
                </c:pt>
                <c:pt idx="339">
                  <c:v>1363500</c:v>
                </c:pt>
                <c:pt idx="340">
                  <c:v>1080000</c:v>
                </c:pt>
                <c:pt idx="341">
                  <c:v>849500</c:v>
                </c:pt>
                <c:pt idx="342">
                  <c:v>621500</c:v>
                </c:pt>
                <c:pt idx="343">
                  <c:v>594500</c:v>
                </c:pt>
                <c:pt idx="344">
                  <c:v>1312000</c:v>
                </c:pt>
                <c:pt idx="345">
                  <c:v>751500</c:v>
                </c:pt>
                <c:pt idx="346">
                  <c:v>1688500</c:v>
                </c:pt>
                <c:pt idx="347">
                  <c:v>1432000</c:v>
                </c:pt>
                <c:pt idx="348">
                  <c:v>428000</c:v>
                </c:pt>
                <c:pt idx="349">
                  <c:v>676500</c:v>
                </c:pt>
                <c:pt idx="350">
                  <c:v>1043000</c:v>
                </c:pt>
                <c:pt idx="351">
                  <c:v>635500</c:v>
                </c:pt>
                <c:pt idx="352">
                  <c:v>1301500</c:v>
                </c:pt>
                <c:pt idx="353">
                  <c:v>1223500</c:v>
                </c:pt>
                <c:pt idx="354">
                  <c:v>942000</c:v>
                </c:pt>
                <c:pt idx="355">
                  <c:v>1796000</c:v>
                </c:pt>
                <c:pt idx="356">
                  <c:v>3043000</c:v>
                </c:pt>
                <c:pt idx="357">
                  <c:v>1141000</c:v>
                </c:pt>
                <c:pt idx="358">
                  <c:v>1501000</c:v>
                </c:pt>
                <c:pt idx="359">
                  <c:v>629000</c:v>
                </c:pt>
                <c:pt idx="360">
                  <c:v>1903000</c:v>
                </c:pt>
                <c:pt idx="361">
                  <c:v>1529500</c:v>
                </c:pt>
                <c:pt idx="362">
                  <c:v>167000</c:v>
                </c:pt>
                <c:pt idx="363">
                  <c:v>123000</c:v>
                </c:pt>
                <c:pt idx="364">
                  <c:v>761000</c:v>
                </c:pt>
                <c:pt idx="365">
                  <c:v>767000</c:v>
                </c:pt>
                <c:pt idx="366">
                  <c:v>1154300</c:v>
                </c:pt>
                <c:pt idx="367">
                  <c:v>579000</c:v>
                </c:pt>
                <c:pt idx="368">
                  <c:v>814000</c:v>
                </c:pt>
                <c:pt idx="369">
                  <c:v>338500</c:v>
                </c:pt>
                <c:pt idx="370">
                  <c:v>1600500</c:v>
                </c:pt>
                <c:pt idx="371">
                  <c:v>1138500</c:v>
                </c:pt>
                <c:pt idx="372">
                  <c:v>1024500</c:v>
                </c:pt>
                <c:pt idx="373">
                  <c:v>929500</c:v>
                </c:pt>
                <c:pt idx="374">
                  <c:v>1318500</c:v>
                </c:pt>
                <c:pt idx="375">
                  <c:v>1894500</c:v>
                </c:pt>
                <c:pt idx="376">
                  <c:v>466500</c:v>
                </c:pt>
                <c:pt idx="377">
                  <c:v>802500</c:v>
                </c:pt>
                <c:pt idx="378">
                  <c:v>2693000</c:v>
                </c:pt>
                <c:pt idx="379">
                  <c:v>365500</c:v>
                </c:pt>
                <c:pt idx="380">
                  <c:v>591000</c:v>
                </c:pt>
                <c:pt idx="381">
                  <c:v>1347500</c:v>
                </c:pt>
                <c:pt idx="382">
                  <c:v>1061500</c:v>
                </c:pt>
                <c:pt idx="383">
                  <c:v>509500</c:v>
                </c:pt>
                <c:pt idx="384">
                  <c:v>576000</c:v>
                </c:pt>
                <c:pt idx="385">
                  <c:v>3157500</c:v>
                </c:pt>
                <c:pt idx="386">
                  <c:v>1628500</c:v>
                </c:pt>
                <c:pt idx="387">
                  <c:v>1905500</c:v>
                </c:pt>
                <c:pt idx="388">
                  <c:v>1484500</c:v>
                </c:pt>
                <c:pt idx="389">
                  <c:v>1069000</c:v>
                </c:pt>
                <c:pt idx="390">
                  <c:v>378000</c:v>
                </c:pt>
                <c:pt idx="391">
                  <c:v>416000</c:v>
                </c:pt>
                <c:pt idx="392">
                  <c:v>1579000</c:v>
                </c:pt>
                <c:pt idx="393">
                  <c:v>1442500</c:v>
                </c:pt>
                <c:pt idx="394">
                  <c:v>770500</c:v>
                </c:pt>
                <c:pt idx="395">
                  <c:v>1322500</c:v>
                </c:pt>
                <c:pt idx="396">
                  <c:v>1453500</c:v>
                </c:pt>
                <c:pt idx="397">
                  <c:v>702500</c:v>
                </c:pt>
                <c:pt idx="398">
                  <c:v>257500</c:v>
                </c:pt>
                <c:pt idx="399">
                  <c:v>1527000</c:v>
                </c:pt>
                <c:pt idx="400">
                  <c:v>945000</c:v>
                </c:pt>
                <c:pt idx="401">
                  <c:v>510500</c:v>
                </c:pt>
                <c:pt idx="402">
                  <c:v>913000</c:v>
                </c:pt>
                <c:pt idx="403">
                  <c:v>1129500</c:v>
                </c:pt>
                <c:pt idx="404">
                  <c:v>1444000</c:v>
                </c:pt>
                <c:pt idx="405">
                  <c:v>2307000</c:v>
                </c:pt>
                <c:pt idx="406">
                  <c:v>1186500</c:v>
                </c:pt>
                <c:pt idx="407">
                  <c:v>535500</c:v>
                </c:pt>
                <c:pt idx="408">
                  <c:v>1129500</c:v>
                </c:pt>
                <c:pt idx="409">
                  <c:v>1703000</c:v>
                </c:pt>
                <c:pt idx="410">
                  <c:v>1289000</c:v>
                </c:pt>
                <c:pt idx="411">
                  <c:v>2275500</c:v>
                </c:pt>
                <c:pt idx="412">
                  <c:v>1850000</c:v>
                </c:pt>
                <c:pt idx="413">
                  <c:v>1952000</c:v>
                </c:pt>
                <c:pt idx="414">
                  <c:v>1091000</c:v>
                </c:pt>
                <c:pt idx="415">
                  <c:v>681000</c:v>
                </c:pt>
                <c:pt idx="416">
                  <c:v>713500</c:v>
                </c:pt>
                <c:pt idx="417">
                  <c:v>1548500</c:v>
                </c:pt>
                <c:pt idx="418">
                  <c:v>1207000</c:v>
                </c:pt>
                <c:pt idx="419">
                  <c:v>1056000</c:v>
                </c:pt>
                <c:pt idx="420">
                  <c:v>1253500</c:v>
                </c:pt>
                <c:pt idx="421">
                  <c:v>719500</c:v>
                </c:pt>
                <c:pt idx="422">
                  <c:v>1457000</c:v>
                </c:pt>
                <c:pt idx="423">
                  <c:v>1778000</c:v>
                </c:pt>
                <c:pt idx="424">
                  <c:v>1508000</c:v>
                </c:pt>
                <c:pt idx="425">
                  <c:v>508500</c:v>
                </c:pt>
                <c:pt idx="426">
                  <c:v>2093500</c:v>
                </c:pt>
                <c:pt idx="427">
                  <c:v>811000</c:v>
                </c:pt>
                <c:pt idx="428">
                  <c:v>539000</c:v>
                </c:pt>
                <c:pt idx="429">
                  <c:v>561000</c:v>
                </c:pt>
                <c:pt idx="430">
                  <c:v>1346000</c:v>
                </c:pt>
                <c:pt idx="431">
                  <c:v>712500</c:v>
                </c:pt>
                <c:pt idx="432">
                  <c:v>1294000</c:v>
                </c:pt>
                <c:pt idx="433">
                  <c:v>1375500</c:v>
                </c:pt>
                <c:pt idx="434">
                  <c:v>316000</c:v>
                </c:pt>
                <c:pt idx="435">
                  <c:v>1460000</c:v>
                </c:pt>
                <c:pt idx="436">
                  <c:v>1459500</c:v>
                </c:pt>
                <c:pt idx="437">
                  <c:v>2028500</c:v>
                </c:pt>
                <c:pt idx="438">
                  <c:v>1194500</c:v>
                </c:pt>
                <c:pt idx="439">
                  <c:v>1229000</c:v>
                </c:pt>
                <c:pt idx="440">
                  <c:v>1492500</c:v>
                </c:pt>
                <c:pt idx="441">
                  <c:v>742500</c:v>
                </c:pt>
                <c:pt idx="442">
                  <c:v>462500</c:v>
                </c:pt>
                <c:pt idx="443">
                  <c:v>811000</c:v>
                </c:pt>
                <c:pt idx="444">
                  <c:v>3887500</c:v>
                </c:pt>
                <c:pt idx="445">
                  <c:v>1532500</c:v>
                </c:pt>
                <c:pt idx="446">
                  <c:v>577500</c:v>
                </c:pt>
                <c:pt idx="447">
                  <c:v>969000</c:v>
                </c:pt>
                <c:pt idx="448">
                  <c:v>1198000</c:v>
                </c:pt>
                <c:pt idx="449">
                  <c:v>1239000</c:v>
                </c:pt>
                <c:pt idx="450">
                  <c:v>514500</c:v>
                </c:pt>
                <c:pt idx="451">
                  <c:v>755000</c:v>
                </c:pt>
                <c:pt idx="452">
                  <c:v>1362000</c:v>
                </c:pt>
                <c:pt idx="453">
                  <c:v>718000</c:v>
                </c:pt>
                <c:pt idx="454">
                  <c:v>1892500</c:v>
                </c:pt>
                <c:pt idx="455">
                  <c:v>842000</c:v>
                </c:pt>
                <c:pt idx="456">
                  <c:v>217500</c:v>
                </c:pt>
                <c:pt idx="457">
                  <c:v>371500</c:v>
                </c:pt>
                <c:pt idx="458">
                  <c:v>1290000</c:v>
                </c:pt>
                <c:pt idx="459">
                  <c:v>1510500</c:v>
                </c:pt>
                <c:pt idx="460">
                  <c:v>724500</c:v>
                </c:pt>
                <c:pt idx="461">
                  <c:v>949500</c:v>
                </c:pt>
                <c:pt idx="462">
                  <c:v>845500</c:v>
                </c:pt>
                <c:pt idx="463">
                  <c:v>2113500</c:v>
                </c:pt>
                <c:pt idx="464">
                  <c:v>3077000</c:v>
                </c:pt>
                <c:pt idx="465">
                  <c:v>1012500</c:v>
                </c:pt>
                <c:pt idx="466">
                  <c:v>1182000</c:v>
                </c:pt>
                <c:pt idx="467">
                  <c:v>1469000</c:v>
                </c:pt>
                <c:pt idx="468">
                  <c:v>4135000</c:v>
                </c:pt>
                <c:pt idx="469">
                  <c:v>834500</c:v>
                </c:pt>
                <c:pt idx="470">
                  <c:v>1308500</c:v>
                </c:pt>
                <c:pt idx="471">
                  <c:v>616500</c:v>
                </c:pt>
                <c:pt idx="472">
                  <c:v>1093500</c:v>
                </c:pt>
                <c:pt idx="473">
                  <c:v>1736900</c:v>
                </c:pt>
                <c:pt idx="474">
                  <c:v>1261500</c:v>
                </c:pt>
                <c:pt idx="475">
                  <c:v>1854500</c:v>
                </c:pt>
                <c:pt idx="476">
                  <c:v>2409000</c:v>
                </c:pt>
                <c:pt idx="477">
                  <c:v>1145000</c:v>
                </c:pt>
                <c:pt idx="478">
                  <c:v>727000</c:v>
                </c:pt>
                <c:pt idx="479">
                  <c:v>530500</c:v>
                </c:pt>
                <c:pt idx="480">
                  <c:v>1308500</c:v>
                </c:pt>
                <c:pt idx="481">
                  <c:v>3131500</c:v>
                </c:pt>
                <c:pt idx="482">
                  <c:v>1174000</c:v>
                </c:pt>
                <c:pt idx="483">
                  <c:v>1689000</c:v>
                </c:pt>
                <c:pt idx="484">
                  <c:v>2227500</c:v>
                </c:pt>
                <c:pt idx="485">
                  <c:v>2026500</c:v>
                </c:pt>
                <c:pt idx="486">
                  <c:v>1094000</c:v>
                </c:pt>
                <c:pt idx="487">
                  <c:v>956000</c:v>
                </c:pt>
                <c:pt idx="488">
                  <c:v>503500</c:v>
                </c:pt>
                <c:pt idx="489">
                  <c:v>204500</c:v>
                </c:pt>
                <c:pt idx="490">
                  <c:v>703000</c:v>
                </c:pt>
                <c:pt idx="491">
                  <c:v>597000</c:v>
                </c:pt>
                <c:pt idx="492">
                  <c:v>1225500</c:v>
                </c:pt>
                <c:pt idx="493">
                  <c:v>1793000</c:v>
                </c:pt>
                <c:pt idx="494">
                  <c:v>1327000</c:v>
                </c:pt>
                <c:pt idx="495">
                  <c:v>668000</c:v>
                </c:pt>
                <c:pt idx="496">
                  <c:v>2228000</c:v>
                </c:pt>
                <c:pt idx="497">
                  <c:v>999000</c:v>
                </c:pt>
                <c:pt idx="498">
                  <c:v>852500</c:v>
                </c:pt>
                <c:pt idx="499">
                  <c:v>901500</c:v>
                </c:pt>
                <c:pt idx="500">
                  <c:v>1252000</c:v>
                </c:pt>
                <c:pt idx="501">
                  <c:v>1313000</c:v>
                </c:pt>
                <c:pt idx="502">
                  <c:v>2200000</c:v>
                </c:pt>
                <c:pt idx="503">
                  <c:v>370500</c:v>
                </c:pt>
                <c:pt idx="504">
                  <c:v>2370000</c:v>
                </c:pt>
                <c:pt idx="505">
                  <c:v>1076000</c:v>
                </c:pt>
                <c:pt idx="506">
                  <c:v>1395500</c:v>
                </c:pt>
                <c:pt idx="507">
                  <c:v>1959000</c:v>
                </c:pt>
                <c:pt idx="508">
                  <c:v>1292000</c:v>
                </c:pt>
                <c:pt idx="509">
                  <c:v>1375500</c:v>
                </c:pt>
                <c:pt idx="510">
                  <c:v>2246300</c:v>
                </c:pt>
                <c:pt idx="511">
                  <c:v>1145500</c:v>
                </c:pt>
                <c:pt idx="512">
                  <c:v>1346000</c:v>
                </c:pt>
                <c:pt idx="513">
                  <c:v>1274600</c:v>
                </c:pt>
                <c:pt idx="514">
                  <c:v>746000</c:v>
                </c:pt>
                <c:pt idx="515">
                  <c:v>825800</c:v>
                </c:pt>
                <c:pt idx="516">
                  <c:v>1140500</c:v>
                </c:pt>
                <c:pt idx="517">
                  <c:v>2061000</c:v>
                </c:pt>
                <c:pt idx="518">
                  <c:v>1540500</c:v>
                </c:pt>
                <c:pt idx="519">
                  <c:v>1496400</c:v>
                </c:pt>
                <c:pt idx="520">
                  <c:v>542000</c:v>
                </c:pt>
                <c:pt idx="521">
                  <c:v>1215000</c:v>
                </c:pt>
                <c:pt idx="522">
                  <c:v>1234500</c:v>
                </c:pt>
                <c:pt idx="523">
                  <c:v>462000</c:v>
                </c:pt>
                <c:pt idx="524">
                  <c:v>755500</c:v>
                </c:pt>
                <c:pt idx="525">
                  <c:v>438000</c:v>
                </c:pt>
                <c:pt idx="526">
                  <c:v>1247000</c:v>
                </c:pt>
                <c:pt idx="527">
                  <c:v>914500</c:v>
                </c:pt>
                <c:pt idx="528">
                  <c:v>524000</c:v>
                </c:pt>
                <c:pt idx="529">
                  <c:v>1713300</c:v>
                </c:pt>
                <c:pt idx="530">
                  <c:v>1632000</c:v>
                </c:pt>
                <c:pt idx="531">
                  <c:v>707900</c:v>
                </c:pt>
                <c:pt idx="532">
                  <c:v>801000</c:v>
                </c:pt>
                <c:pt idx="533">
                  <c:v>2010000</c:v>
                </c:pt>
                <c:pt idx="534">
                  <c:v>1914500</c:v>
                </c:pt>
                <c:pt idx="535">
                  <c:v>2395500</c:v>
                </c:pt>
                <c:pt idx="536">
                  <c:v>1943500</c:v>
                </c:pt>
                <c:pt idx="537">
                  <c:v>555500</c:v>
                </c:pt>
                <c:pt idx="538">
                  <c:v>1828500</c:v>
                </c:pt>
                <c:pt idx="539">
                  <c:v>1117600</c:v>
                </c:pt>
                <c:pt idx="540">
                  <c:v>1263500</c:v>
                </c:pt>
                <c:pt idx="541">
                  <c:v>2049600</c:v>
                </c:pt>
                <c:pt idx="542">
                  <c:v>826000</c:v>
                </c:pt>
                <c:pt idx="543">
                  <c:v>898000</c:v>
                </c:pt>
                <c:pt idx="544">
                  <c:v>1891000</c:v>
                </c:pt>
                <c:pt idx="545">
                  <c:v>1332000</c:v>
                </c:pt>
                <c:pt idx="546">
                  <c:v>1141000</c:v>
                </c:pt>
                <c:pt idx="547">
                  <c:v>835000</c:v>
                </c:pt>
                <c:pt idx="548">
                  <c:v>989000</c:v>
                </c:pt>
                <c:pt idx="549">
                  <c:v>1056000</c:v>
                </c:pt>
                <c:pt idx="550">
                  <c:v>1789000</c:v>
                </c:pt>
                <c:pt idx="551">
                  <c:v>1530500</c:v>
                </c:pt>
                <c:pt idx="552">
                  <c:v>2768000</c:v>
                </c:pt>
                <c:pt idx="553">
                  <c:v>753500</c:v>
                </c:pt>
                <c:pt idx="554">
                  <c:v>867000</c:v>
                </c:pt>
                <c:pt idx="555">
                  <c:v>1014000</c:v>
                </c:pt>
                <c:pt idx="556">
                  <c:v>751500</c:v>
                </c:pt>
                <c:pt idx="557">
                  <c:v>596500</c:v>
                </c:pt>
                <c:pt idx="558">
                  <c:v>398500</c:v>
                </c:pt>
                <c:pt idx="559">
                  <c:v>1450000</c:v>
                </c:pt>
                <c:pt idx="560">
                  <c:v>737000</c:v>
                </c:pt>
                <c:pt idx="561">
                  <c:v>1564000</c:v>
                </c:pt>
                <c:pt idx="562">
                  <c:v>1440000</c:v>
                </c:pt>
                <c:pt idx="563">
                  <c:v>1391500</c:v>
                </c:pt>
                <c:pt idx="564">
                  <c:v>1292000</c:v>
                </c:pt>
                <c:pt idx="565">
                  <c:v>1097000</c:v>
                </c:pt>
                <c:pt idx="566">
                  <c:v>742600</c:v>
                </c:pt>
                <c:pt idx="567">
                  <c:v>1163500</c:v>
                </c:pt>
                <c:pt idx="568">
                  <c:v>1176000</c:v>
                </c:pt>
                <c:pt idx="569">
                  <c:v>1517500</c:v>
                </c:pt>
                <c:pt idx="570">
                  <c:v>2949700</c:v>
                </c:pt>
                <c:pt idx="571">
                  <c:v>845500</c:v>
                </c:pt>
                <c:pt idx="572">
                  <c:v>845000</c:v>
                </c:pt>
                <c:pt idx="573">
                  <c:v>1443500</c:v>
                </c:pt>
                <c:pt idx="574">
                  <c:v>470500</c:v>
                </c:pt>
                <c:pt idx="575">
                  <c:v>535000</c:v>
                </c:pt>
                <c:pt idx="576">
                  <c:v>996000</c:v>
                </c:pt>
                <c:pt idx="577">
                  <c:v>2602600</c:v>
                </c:pt>
                <c:pt idx="578">
                  <c:v>2514500</c:v>
                </c:pt>
                <c:pt idx="579">
                  <c:v>437000</c:v>
                </c:pt>
                <c:pt idx="580">
                  <c:v>591500</c:v>
                </c:pt>
                <c:pt idx="581">
                  <c:v>378500</c:v>
                </c:pt>
                <c:pt idx="582">
                  <c:v>942500</c:v>
                </c:pt>
                <c:pt idx="583">
                  <c:v>615000</c:v>
                </c:pt>
                <c:pt idx="584">
                  <c:v>2145500</c:v>
                </c:pt>
                <c:pt idx="585">
                  <c:v>1470900</c:v>
                </c:pt>
                <c:pt idx="586">
                  <c:v>1482500</c:v>
                </c:pt>
                <c:pt idx="587">
                  <c:v>2386000</c:v>
                </c:pt>
                <c:pt idx="588">
                  <c:v>785000</c:v>
                </c:pt>
                <c:pt idx="589">
                  <c:v>1665500</c:v>
                </c:pt>
                <c:pt idx="590">
                  <c:v>1227000</c:v>
                </c:pt>
                <c:pt idx="591">
                  <c:v>5274000</c:v>
                </c:pt>
                <c:pt idx="592">
                  <c:v>1016000</c:v>
                </c:pt>
                <c:pt idx="593">
                  <c:v>1008500</c:v>
                </c:pt>
                <c:pt idx="594">
                  <c:v>1523500</c:v>
                </c:pt>
                <c:pt idx="595">
                  <c:v>1912000</c:v>
                </c:pt>
                <c:pt idx="596">
                  <c:v>1313000</c:v>
                </c:pt>
                <c:pt idx="597">
                  <c:v>2636000</c:v>
                </c:pt>
                <c:pt idx="598">
                  <c:v>584000</c:v>
                </c:pt>
                <c:pt idx="599">
                  <c:v>507000</c:v>
                </c:pt>
                <c:pt idx="600">
                  <c:v>1927000</c:v>
                </c:pt>
                <c:pt idx="601">
                  <c:v>528000</c:v>
                </c:pt>
                <c:pt idx="602">
                  <c:v>1933500</c:v>
                </c:pt>
                <c:pt idx="603">
                  <c:v>2667000</c:v>
                </c:pt>
                <c:pt idx="604">
                  <c:v>1784500</c:v>
                </c:pt>
                <c:pt idx="605">
                  <c:v>2268000</c:v>
                </c:pt>
                <c:pt idx="606">
                  <c:v>430500</c:v>
                </c:pt>
                <c:pt idx="607">
                  <c:v>1434000</c:v>
                </c:pt>
                <c:pt idx="608">
                  <c:v>1430300</c:v>
                </c:pt>
                <c:pt idx="609">
                  <c:v>1106000</c:v>
                </c:pt>
                <c:pt idx="610">
                  <c:v>567500</c:v>
                </c:pt>
                <c:pt idx="611">
                  <c:v>505000</c:v>
                </c:pt>
                <c:pt idx="612">
                  <c:v>485000</c:v>
                </c:pt>
                <c:pt idx="613">
                  <c:v>1488500</c:v>
                </c:pt>
                <c:pt idx="614">
                  <c:v>950500</c:v>
                </c:pt>
                <c:pt idx="615">
                  <c:v>1136500</c:v>
                </c:pt>
                <c:pt idx="616">
                  <c:v>1036000</c:v>
                </c:pt>
                <c:pt idx="617">
                  <c:v>599000</c:v>
                </c:pt>
                <c:pt idx="618">
                  <c:v>1615000</c:v>
                </c:pt>
                <c:pt idx="619">
                  <c:v>1016500</c:v>
                </c:pt>
                <c:pt idx="620">
                  <c:v>1473000</c:v>
                </c:pt>
                <c:pt idx="621">
                  <c:v>1860500</c:v>
                </c:pt>
                <c:pt idx="622">
                  <c:v>1492000</c:v>
                </c:pt>
                <c:pt idx="623">
                  <c:v>1923000</c:v>
                </c:pt>
                <c:pt idx="624">
                  <c:v>2291000</c:v>
                </c:pt>
                <c:pt idx="625">
                  <c:v>2203000</c:v>
                </c:pt>
                <c:pt idx="626">
                  <c:v>1512500</c:v>
                </c:pt>
                <c:pt idx="627">
                  <c:v>658000</c:v>
                </c:pt>
                <c:pt idx="628">
                  <c:v>1513000</c:v>
                </c:pt>
                <c:pt idx="629">
                  <c:v>1115000</c:v>
                </c:pt>
                <c:pt idx="630">
                  <c:v>781500</c:v>
                </c:pt>
                <c:pt idx="631">
                  <c:v>728500</c:v>
                </c:pt>
                <c:pt idx="632">
                  <c:v>2726500</c:v>
                </c:pt>
                <c:pt idx="633">
                  <c:v>799000</c:v>
                </c:pt>
                <c:pt idx="634">
                  <c:v>1787000</c:v>
                </c:pt>
                <c:pt idx="635">
                  <c:v>1220500</c:v>
                </c:pt>
                <c:pt idx="636">
                  <c:v>1707500</c:v>
                </c:pt>
                <c:pt idx="637">
                  <c:v>548500</c:v>
                </c:pt>
                <c:pt idx="638">
                  <c:v>1072000</c:v>
                </c:pt>
                <c:pt idx="639">
                  <c:v>1450500</c:v>
                </c:pt>
                <c:pt idx="640">
                  <c:v>836000</c:v>
                </c:pt>
                <c:pt idx="641">
                  <c:v>1246500</c:v>
                </c:pt>
                <c:pt idx="642">
                  <c:v>1842500</c:v>
                </c:pt>
                <c:pt idx="643">
                  <c:v>1798500</c:v>
                </c:pt>
                <c:pt idx="644">
                  <c:v>621500</c:v>
                </c:pt>
                <c:pt idx="645">
                  <c:v>1913500</c:v>
                </c:pt>
                <c:pt idx="646">
                  <c:v>2754500</c:v>
                </c:pt>
                <c:pt idx="647">
                  <c:v>2021500</c:v>
                </c:pt>
                <c:pt idx="648">
                  <c:v>1023000</c:v>
                </c:pt>
                <c:pt idx="649">
                  <c:v>2083000</c:v>
                </c:pt>
                <c:pt idx="650">
                  <c:v>1693500</c:v>
                </c:pt>
                <c:pt idx="651">
                  <c:v>954500</c:v>
                </c:pt>
                <c:pt idx="652">
                  <c:v>663500</c:v>
                </c:pt>
                <c:pt idx="653">
                  <c:v>460500</c:v>
                </c:pt>
                <c:pt idx="654">
                  <c:v>798000</c:v>
                </c:pt>
                <c:pt idx="655">
                  <c:v>2503000</c:v>
                </c:pt>
                <c:pt idx="656">
                  <c:v>589500</c:v>
                </c:pt>
                <c:pt idx="657">
                  <c:v>538000</c:v>
                </c:pt>
                <c:pt idx="658">
                  <c:v>958000</c:v>
                </c:pt>
                <c:pt idx="659">
                  <c:v>561000</c:v>
                </c:pt>
                <c:pt idx="660">
                  <c:v>1196500</c:v>
                </c:pt>
                <c:pt idx="661">
                  <c:v>1218000</c:v>
                </c:pt>
                <c:pt idx="662">
                  <c:v>5687000</c:v>
                </c:pt>
                <c:pt idx="663">
                  <c:v>3164000</c:v>
                </c:pt>
                <c:pt idx="664">
                  <c:v>1331500</c:v>
                </c:pt>
                <c:pt idx="665">
                  <c:v>1735000</c:v>
                </c:pt>
                <c:pt idx="666">
                  <c:v>2019800</c:v>
                </c:pt>
                <c:pt idx="667">
                  <c:v>1352000</c:v>
                </c:pt>
                <c:pt idx="668">
                  <c:v>2247500</c:v>
                </c:pt>
                <c:pt idx="669">
                  <c:v>2297500</c:v>
                </c:pt>
                <c:pt idx="670">
                  <c:v>1874000</c:v>
                </c:pt>
                <c:pt idx="671">
                  <c:v>2316500</c:v>
                </c:pt>
                <c:pt idx="672">
                  <c:v>1069500</c:v>
                </c:pt>
                <c:pt idx="673">
                  <c:v>1464500</c:v>
                </c:pt>
                <c:pt idx="674">
                  <c:v>891000</c:v>
                </c:pt>
                <c:pt idx="675">
                  <c:v>1086000</c:v>
                </c:pt>
                <c:pt idx="676">
                  <c:v>985000</c:v>
                </c:pt>
                <c:pt idx="677">
                  <c:v>854000</c:v>
                </c:pt>
                <c:pt idx="678">
                  <c:v>868500</c:v>
                </c:pt>
                <c:pt idx="679">
                  <c:v>1347000</c:v>
                </c:pt>
                <c:pt idx="680">
                  <c:v>694000</c:v>
                </c:pt>
                <c:pt idx="681">
                  <c:v>1600500</c:v>
                </c:pt>
                <c:pt idx="682">
                  <c:v>2262000</c:v>
                </c:pt>
                <c:pt idx="683">
                  <c:v>694000</c:v>
                </c:pt>
                <c:pt idx="684">
                  <c:v>199000</c:v>
                </c:pt>
                <c:pt idx="685">
                  <c:v>1012500</c:v>
                </c:pt>
                <c:pt idx="686">
                  <c:v>1110500</c:v>
                </c:pt>
                <c:pt idx="687">
                  <c:v>858500</c:v>
                </c:pt>
                <c:pt idx="688">
                  <c:v>835000</c:v>
                </c:pt>
                <c:pt idx="689">
                  <c:v>1176000</c:v>
                </c:pt>
                <c:pt idx="690">
                  <c:v>1858500</c:v>
                </c:pt>
                <c:pt idx="691">
                  <c:v>669500</c:v>
                </c:pt>
                <c:pt idx="692">
                  <c:v>1110500</c:v>
                </c:pt>
                <c:pt idx="693">
                  <c:v>1180000</c:v>
                </c:pt>
                <c:pt idx="694">
                  <c:v>7701500</c:v>
                </c:pt>
                <c:pt idx="695">
                  <c:v>1711500</c:v>
                </c:pt>
                <c:pt idx="696">
                  <c:v>1440000</c:v>
                </c:pt>
                <c:pt idx="697">
                  <c:v>1551000</c:v>
                </c:pt>
                <c:pt idx="698">
                  <c:v>842000</c:v>
                </c:pt>
                <c:pt idx="699">
                  <c:v>464500</c:v>
                </c:pt>
                <c:pt idx="700">
                  <c:v>596500</c:v>
                </c:pt>
                <c:pt idx="701">
                  <c:v>772000</c:v>
                </c:pt>
                <c:pt idx="702">
                  <c:v>372500</c:v>
                </c:pt>
                <c:pt idx="703">
                  <c:v>280500</c:v>
                </c:pt>
                <c:pt idx="704">
                  <c:v>2054000</c:v>
                </c:pt>
                <c:pt idx="705">
                  <c:v>2018500</c:v>
                </c:pt>
                <c:pt idx="706">
                  <c:v>1723000</c:v>
                </c:pt>
                <c:pt idx="707">
                  <c:v>405500</c:v>
                </c:pt>
                <c:pt idx="708">
                  <c:v>704500</c:v>
                </c:pt>
                <c:pt idx="709">
                  <c:v>640000</c:v>
                </c:pt>
                <c:pt idx="710">
                  <c:v>1622500</c:v>
                </c:pt>
                <c:pt idx="711">
                  <c:v>1602500</c:v>
                </c:pt>
                <c:pt idx="712">
                  <c:v>739500</c:v>
                </c:pt>
                <c:pt idx="713">
                  <c:v>797500</c:v>
                </c:pt>
                <c:pt idx="714">
                  <c:v>998500</c:v>
                </c:pt>
                <c:pt idx="715">
                  <c:v>121000</c:v>
                </c:pt>
                <c:pt idx="716">
                  <c:v>416000</c:v>
                </c:pt>
                <c:pt idx="717">
                  <c:v>1393500</c:v>
                </c:pt>
                <c:pt idx="718">
                  <c:v>1542000</c:v>
                </c:pt>
                <c:pt idx="719">
                  <c:v>2061000</c:v>
                </c:pt>
                <c:pt idx="720">
                  <c:v>140500</c:v>
                </c:pt>
                <c:pt idx="721">
                  <c:v>1495500</c:v>
                </c:pt>
                <c:pt idx="722">
                  <c:v>633000</c:v>
                </c:pt>
                <c:pt idx="723">
                  <c:v>1513000</c:v>
                </c:pt>
                <c:pt idx="724">
                  <c:v>1195500</c:v>
                </c:pt>
                <c:pt idx="725">
                  <c:v>1213000</c:v>
                </c:pt>
                <c:pt idx="726">
                  <c:v>1399300</c:v>
                </c:pt>
                <c:pt idx="727">
                  <c:v>820000</c:v>
                </c:pt>
                <c:pt idx="728">
                  <c:v>1101000</c:v>
                </c:pt>
                <c:pt idx="729">
                  <c:v>227000</c:v>
                </c:pt>
                <c:pt idx="730">
                  <c:v>1239000</c:v>
                </c:pt>
                <c:pt idx="731">
                  <c:v>968500</c:v>
                </c:pt>
                <c:pt idx="732">
                  <c:v>1564500</c:v>
                </c:pt>
                <c:pt idx="733">
                  <c:v>1549300</c:v>
                </c:pt>
                <c:pt idx="734">
                  <c:v>1015000</c:v>
                </c:pt>
                <c:pt idx="735">
                  <c:v>628000</c:v>
                </c:pt>
                <c:pt idx="736">
                  <c:v>778000</c:v>
                </c:pt>
                <c:pt idx="737">
                  <c:v>3248800</c:v>
                </c:pt>
                <c:pt idx="738">
                  <c:v>1682000</c:v>
                </c:pt>
                <c:pt idx="739">
                  <c:v>1312000</c:v>
                </c:pt>
                <c:pt idx="740">
                  <c:v>4557500</c:v>
                </c:pt>
                <c:pt idx="741">
                  <c:v>2243500</c:v>
                </c:pt>
                <c:pt idx="742">
                  <c:v>759500</c:v>
                </c:pt>
                <c:pt idx="743">
                  <c:v>1224000</c:v>
                </c:pt>
                <c:pt idx="744">
                  <c:v>1111500</c:v>
                </c:pt>
                <c:pt idx="745">
                  <c:v>1447000</c:v>
                </c:pt>
                <c:pt idx="746">
                  <c:v>1211500</c:v>
                </c:pt>
                <c:pt idx="747">
                  <c:v>1693000</c:v>
                </c:pt>
                <c:pt idx="748">
                  <c:v>933000</c:v>
                </c:pt>
                <c:pt idx="749">
                  <c:v>1000500</c:v>
                </c:pt>
                <c:pt idx="750">
                  <c:v>2234500</c:v>
                </c:pt>
                <c:pt idx="751">
                  <c:v>1320500</c:v>
                </c:pt>
                <c:pt idx="752">
                  <c:v>789000</c:v>
                </c:pt>
                <c:pt idx="753">
                  <c:v>1462000</c:v>
                </c:pt>
                <c:pt idx="754">
                  <c:v>679500</c:v>
                </c:pt>
                <c:pt idx="755">
                  <c:v>1606300</c:v>
                </c:pt>
                <c:pt idx="756">
                  <c:v>860000</c:v>
                </c:pt>
                <c:pt idx="757">
                  <c:v>3221800</c:v>
                </c:pt>
                <c:pt idx="758">
                  <c:v>725000</c:v>
                </c:pt>
                <c:pt idx="759">
                  <c:v>986500</c:v>
                </c:pt>
                <c:pt idx="760">
                  <c:v>117000</c:v>
                </c:pt>
                <c:pt idx="761">
                  <c:v>1336500</c:v>
                </c:pt>
                <c:pt idx="762">
                  <c:v>1057000</c:v>
                </c:pt>
                <c:pt idx="763">
                  <c:v>1070300</c:v>
                </c:pt>
                <c:pt idx="764">
                  <c:v>1158000</c:v>
                </c:pt>
                <c:pt idx="765">
                  <c:v>1684500</c:v>
                </c:pt>
                <c:pt idx="766">
                  <c:v>1362500</c:v>
                </c:pt>
                <c:pt idx="767">
                  <c:v>1789000</c:v>
                </c:pt>
                <c:pt idx="768">
                  <c:v>1147500</c:v>
                </c:pt>
                <c:pt idx="769">
                  <c:v>1486500</c:v>
                </c:pt>
                <c:pt idx="770">
                  <c:v>954500</c:v>
                </c:pt>
                <c:pt idx="771">
                  <c:v>1927500</c:v>
                </c:pt>
                <c:pt idx="772">
                  <c:v>1534500</c:v>
                </c:pt>
                <c:pt idx="773">
                  <c:v>1361500</c:v>
                </c:pt>
                <c:pt idx="774">
                  <c:v>1737400</c:v>
                </c:pt>
                <c:pt idx="775">
                  <c:v>1229000</c:v>
                </c:pt>
                <c:pt idx="776">
                  <c:v>452500</c:v>
                </c:pt>
                <c:pt idx="777">
                  <c:v>1342500</c:v>
                </c:pt>
                <c:pt idx="778">
                  <c:v>1010000</c:v>
                </c:pt>
                <c:pt idx="779">
                  <c:v>795000</c:v>
                </c:pt>
                <c:pt idx="780">
                  <c:v>1212100</c:v>
                </c:pt>
                <c:pt idx="781">
                  <c:v>1513000</c:v>
                </c:pt>
                <c:pt idx="782">
                  <c:v>2482000</c:v>
                </c:pt>
                <c:pt idx="783">
                  <c:v>1017500</c:v>
                </c:pt>
                <c:pt idx="784">
                  <c:v>1312000</c:v>
                </c:pt>
                <c:pt idx="785">
                  <c:v>861500</c:v>
                </c:pt>
                <c:pt idx="786">
                  <c:v>1895000</c:v>
                </c:pt>
                <c:pt idx="787">
                  <c:v>959500</c:v>
                </c:pt>
                <c:pt idx="788">
                  <c:v>2701500</c:v>
                </c:pt>
                <c:pt idx="789">
                  <c:v>571500</c:v>
                </c:pt>
                <c:pt idx="790">
                  <c:v>977000</c:v>
                </c:pt>
                <c:pt idx="791">
                  <c:v>834000</c:v>
                </c:pt>
                <c:pt idx="792">
                  <c:v>2806500</c:v>
                </c:pt>
                <c:pt idx="793">
                  <c:v>433500</c:v>
                </c:pt>
                <c:pt idx="794">
                  <c:v>1562000</c:v>
                </c:pt>
                <c:pt idx="795">
                  <c:v>2599000</c:v>
                </c:pt>
                <c:pt idx="796">
                  <c:v>1441500</c:v>
                </c:pt>
                <c:pt idx="797">
                  <c:v>1520000</c:v>
                </c:pt>
                <c:pt idx="798">
                  <c:v>1481500</c:v>
                </c:pt>
                <c:pt idx="799">
                  <c:v>903500</c:v>
                </c:pt>
                <c:pt idx="800">
                  <c:v>1099000</c:v>
                </c:pt>
                <c:pt idx="801">
                  <c:v>1937500</c:v>
                </c:pt>
                <c:pt idx="802">
                  <c:v>844000</c:v>
                </c:pt>
                <c:pt idx="803">
                  <c:v>664000</c:v>
                </c:pt>
                <c:pt idx="804">
                  <c:v>844500</c:v>
                </c:pt>
                <c:pt idx="805">
                  <c:v>1299000</c:v>
                </c:pt>
                <c:pt idx="806">
                  <c:v>1263500</c:v>
                </c:pt>
                <c:pt idx="807">
                  <c:v>714000</c:v>
                </c:pt>
                <c:pt idx="808">
                  <c:v>1789500</c:v>
                </c:pt>
                <c:pt idx="809">
                  <c:v>761000</c:v>
                </c:pt>
                <c:pt idx="810">
                  <c:v>1411500</c:v>
                </c:pt>
                <c:pt idx="811">
                  <c:v>2173000</c:v>
                </c:pt>
                <c:pt idx="812">
                  <c:v>1266500</c:v>
                </c:pt>
                <c:pt idx="813">
                  <c:v>4933000</c:v>
                </c:pt>
                <c:pt idx="814">
                  <c:v>1850000</c:v>
                </c:pt>
                <c:pt idx="815">
                  <c:v>1511100</c:v>
                </c:pt>
                <c:pt idx="816">
                  <c:v>1707500</c:v>
                </c:pt>
                <c:pt idx="817">
                  <c:v>475500</c:v>
                </c:pt>
                <c:pt idx="818">
                  <c:v>1636000</c:v>
                </c:pt>
                <c:pt idx="819">
                  <c:v>765000</c:v>
                </c:pt>
                <c:pt idx="820">
                  <c:v>872000</c:v>
                </c:pt>
                <c:pt idx="821">
                  <c:v>1001000</c:v>
                </c:pt>
                <c:pt idx="822">
                  <c:v>1001500</c:v>
                </c:pt>
                <c:pt idx="823">
                  <c:v>2636000</c:v>
                </c:pt>
                <c:pt idx="824">
                  <c:v>1210000</c:v>
                </c:pt>
                <c:pt idx="825">
                  <c:v>1087000</c:v>
                </c:pt>
                <c:pt idx="826">
                  <c:v>2010500</c:v>
                </c:pt>
                <c:pt idx="827">
                  <c:v>610000</c:v>
                </c:pt>
                <c:pt idx="828">
                  <c:v>650000</c:v>
                </c:pt>
                <c:pt idx="829">
                  <c:v>1259000</c:v>
                </c:pt>
                <c:pt idx="830">
                  <c:v>1734000</c:v>
                </c:pt>
                <c:pt idx="831">
                  <c:v>1474500</c:v>
                </c:pt>
                <c:pt idx="832">
                  <c:v>907000</c:v>
                </c:pt>
                <c:pt idx="833">
                  <c:v>2221500</c:v>
                </c:pt>
                <c:pt idx="834">
                  <c:v>361500</c:v>
                </c:pt>
                <c:pt idx="835">
                  <c:v>1456800</c:v>
                </c:pt>
                <c:pt idx="836">
                  <c:v>1387500</c:v>
                </c:pt>
                <c:pt idx="837">
                  <c:v>1732500</c:v>
                </c:pt>
                <c:pt idx="838">
                  <c:v>2031500</c:v>
                </c:pt>
                <c:pt idx="839">
                  <c:v>1776000</c:v>
                </c:pt>
                <c:pt idx="840">
                  <c:v>1027500</c:v>
                </c:pt>
                <c:pt idx="841">
                  <c:v>561000</c:v>
                </c:pt>
                <c:pt idx="842">
                  <c:v>2401500</c:v>
                </c:pt>
                <c:pt idx="843">
                  <c:v>2192500</c:v>
                </c:pt>
                <c:pt idx="844">
                  <c:v>1897000</c:v>
                </c:pt>
                <c:pt idx="845">
                  <c:v>1003000</c:v>
                </c:pt>
                <c:pt idx="846">
                  <c:v>666500</c:v>
                </c:pt>
                <c:pt idx="847">
                  <c:v>1556000</c:v>
                </c:pt>
                <c:pt idx="848">
                  <c:v>468000</c:v>
                </c:pt>
                <c:pt idx="849">
                  <c:v>285000</c:v>
                </c:pt>
                <c:pt idx="850">
                  <c:v>729000</c:v>
                </c:pt>
                <c:pt idx="851">
                  <c:v>891000</c:v>
                </c:pt>
                <c:pt idx="852">
                  <c:v>1117500</c:v>
                </c:pt>
                <c:pt idx="853">
                  <c:v>6897000</c:v>
                </c:pt>
                <c:pt idx="854">
                  <c:v>1283500</c:v>
                </c:pt>
                <c:pt idx="855">
                  <c:v>302500</c:v>
                </c:pt>
                <c:pt idx="856">
                  <c:v>1108500</c:v>
                </c:pt>
                <c:pt idx="857">
                  <c:v>1193500</c:v>
                </c:pt>
                <c:pt idx="858">
                  <c:v>1238500</c:v>
                </c:pt>
                <c:pt idx="859">
                  <c:v>3193000</c:v>
                </c:pt>
                <c:pt idx="860">
                  <c:v>848500</c:v>
                </c:pt>
                <c:pt idx="861">
                  <c:v>677000</c:v>
                </c:pt>
                <c:pt idx="862">
                  <c:v>2197000</c:v>
                </c:pt>
                <c:pt idx="863">
                  <c:v>370500</c:v>
                </c:pt>
                <c:pt idx="864">
                  <c:v>3408000</c:v>
                </c:pt>
                <c:pt idx="865">
                  <c:v>1768500</c:v>
                </c:pt>
                <c:pt idx="866">
                  <c:v>3852000</c:v>
                </c:pt>
                <c:pt idx="867">
                  <c:v>1119500</c:v>
                </c:pt>
                <c:pt idx="868">
                  <c:v>1897500</c:v>
                </c:pt>
                <c:pt idx="869">
                  <c:v>1632000</c:v>
                </c:pt>
                <c:pt idx="870">
                  <c:v>885500</c:v>
                </c:pt>
                <c:pt idx="871">
                  <c:v>1108500</c:v>
                </c:pt>
                <c:pt idx="872">
                  <c:v>1348500</c:v>
                </c:pt>
                <c:pt idx="873">
                  <c:v>1028500</c:v>
                </c:pt>
                <c:pt idx="874">
                  <c:v>843500</c:v>
                </c:pt>
                <c:pt idx="875">
                  <c:v>3123000</c:v>
                </c:pt>
                <c:pt idx="876">
                  <c:v>2649000</c:v>
                </c:pt>
                <c:pt idx="877">
                  <c:v>1422500</c:v>
                </c:pt>
                <c:pt idx="878">
                  <c:v>1424000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93-4675-8CF1-E99C3E7C4480}"/>
            </c:ext>
          </c:extLst>
        </c:ser>
        <c:ser>
          <c:idx val="8"/>
          <c:order val="8"/>
          <c:tx>
            <c:strRef>
              <c:f>'CASH FLOW'!$J$1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FLOW'!$J$2:$J$969</c:f>
              <c:numCache>
                <c:formatCode>General</c:formatCode>
                <c:ptCount val="968"/>
                <c:pt idx="0">
                  <c:v>0</c:v>
                </c:pt>
                <c:pt idx="1">
                  <c:v>0</c:v>
                </c:pt>
                <c:pt idx="2" formatCode="_-* #,##0_-;\-* #,##0_-;_-* &quot;-&quot;??_-;_-@_-">
                  <c:v>60.5</c:v>
                </c:pt>
                <c:pt idx="3" formatCode="_-* #,##0_-;\-* #,##0_-;_-* &quot;-&quot;??_-;_-@_-">
                  <c:v>6</c:v>
                </c:pt>
                <c:pt idx="4" formatCode="_-* #,##0_-;\-* #,##0_-;_-* &quot;-&quot;??_-;_-@_-">
                  <c:v>24.5</c:v>
                </c:pt>
                <c:pt idx="5" formatCode="_-* #,##0_-;\-* #,##0_-;_-* &quot;-&quot;??_-;_-@_-">
                  <c:v>79</c:v>
                </c:pt>
                <c:pt idx="6" formatCode="_-* #,##0_-;\-* #,##0_-;_-* &quot;-&quot;??_-;_-@_-">
                  <c:v>39.5</c:v>
                </c:pt>
                <c:pt idx="7" formatCode="_-* #,##0_-;\-* #,##0_-;_-* &quot;-&quot;??_-;_-@_-">
                  <c:v>77</c:v>
                </c:pt>
                <c:pt idx="8" formatCode="_-* #,##0_-;\-* #,##0_-;_-* &quot;-&quot;??_-;_-@_-">
                  <c:v>116</c:v>
                </c:pt>
                <c:pt idx="9" formatCode="_-* #,##0_-;\-* #,##0_-;_-* &quot;-&quot;??_-;_-@_-">
                  <c:v>43</c:v>
                </c:pt>
                <c:pt idx="10" formatCode="_-* #,##0_-;\-* #,##0_-;_-* &quot;-&quot;??_-;_-@_-">
                  <c:v>55.5</c:v>
                </c:pt>
                <c:pt idx="11" formatCode="_-* #,##0_-;\-* #,##0_-;_-* &quot;-&quot;??_-;_-@_-">
                  <c:v>18</c:v>
                </c:pt>
                <c:pt idx="12" formatCode="_-* #,##0_-;\-* #,##0_-;_-* &quot;-&quot;??_-;_-@_-">
                  <c:v>67</c:v>
                </c:pt>
                <c:pt idx="13" formatCode="_-* #,##0_-;\-* #,##0_-;_-* &quot;-&quot;??_-;_-@_-">
                  <c:v>42.5</c:v>
                </c:pt>
                <c:pt idx="14" formatCode="_-* #,##0_-;\-* #,##0_-;_-* &quot;-&quot;??_-;_-@_-">
                  <c:v>36.5</c:v>
                </c:pt>
                <c:pt idx="15" formatCode="_-* #,##0_-;\-* #,##0_-;_-* &quot;-&quot;??_-;_-@_-">
                  <c:v>18.5</c:v>
                </c:pt>
                <c:pt idx="16" formatCode="_-* #,##0_-;\-* #,##0_-;_-* &quot;-&quot;??_-;_-@_-">
                  <c:v>73</c:v>
                </c:pt>
                <c:pt idx="17" formatCode="_-* #,##0_-;\-* #,##0_-;_-* &quot;-&quot;??_-;_-@_-">
                  <c:v>33</c:v>
                </c:pt>
                <c:pt idx="18" formatCode="_-* #,##0_-;\-* #,##0_-;_-* &quot;-&quot;??_-;_-@_-">
                  <c:v>61.5</c:v>
                </c:pt>
                <c:pt idx="19" formatCode="_-* #,##0_-;\-* #,##0_-;_-* &quot;-&quot;??_-;_-@_-">
                  <c:v>18</c:v>
                </c:pt>
                <c:pt idx="20" formatCode="_-* #,##0_-;\-* #,##0_-;_-* &quot;-&quot;??_-;_-@_-">
                  <c:v>24</c:v>
                </c:pt>
                <c:pt idx="21" formatCode="_-* #,##0_-;\-* #,##0_-;_-* &quot;-&quot;??_-;_-@_-">
                  <c:v>36.5</c:v>
                </c:pt>
                <c:pt idx="22" formatCode="_-* #,##0_-;\-* #,##0_-;_-* &quot;-&quot;??_-;_-@_-">
                  <c:v>33</c:v>
                </c:pt>
                <c:pt idx="23" formatCode="_-* #,##0_-;\-* #,##0_-;_-* &quot;-&quot;??_-;_-@_-">
                  <c:v>48.5</c:v>
                </c:pt>
                <c:pt idx="24" formatCode="_-* #,##0_-;\-* #,##0_-;_-* &quot;-&quot;??_-;_-@_-">
                  <c:v>24.5</c:v>
                </c:pt>
                <c:pt idx="25" formatCode="_-* #,##0_-;\-* #,##0_-;_-* &quot;-&quot;??_-;_-@_-">
                  <c:v>49</c:v>
                </c:pt>
                <c:pt idx="26" formatCode="_-* #,##0_-;\-* #,##0_-;_-* &quot;-&quot;??_-;_-@_-">
                  <c:v>24</c:v>
                </c:pt>
                <c:pt idx="27" formatCode="_-* #,##0_-;\-* #,##0_-;_-* &quot;-&quot;??_-;_-@_-">
                  <c:v>52.5</c:v>
                </c:pt>
                <c:pt idx="28" formatCode="_-* #,##0_-;\-* #,##0_-;_-* &quot;-&quot;??_-;_-@_-">
                  <c:v>69.5</c:v>
                </c:pt>
                <c:pt idx="29" formatCode="_-* #,##0_-;\-* #,##0_-;_-* &quot;-&quot;??_-;_-@_-">
                  <c:v>46</c:v>
                </c:pt>
                <c:pt idx="30" formatCode="_-* #,##0_-;\-* #,##0_-;_-* &quot;-&quot;??_-;_-@_-">
                  <c:v>42.5</c:v>
                </c:pt>
                <c:pt idx="31" formatCode="_-* #,##0_-;\-* #,##0_-;_-* &quot;-&quot;??_-;_-@_-">
                  <c:v>55.5</c:v>
                </c:pt>
                <c:pt idx="32" formatCode="_-* #,##0_-;\-* #,##0_-;_-* &quot;-&quot;??_-;_-@_-">
                  <c:v>55</c:v>
                </c:pt>
                <c:pt idx="33" formatCode="_-* #,##0_-;\-* #,##0_-;_-* &quot;-&quot;??_-;_-@_-">
                  <c:v>97.5</c:v>
                </c:pt>
                <c:pt idx="34" formatCode="_-* #,##0_-;\-* #,##0_-;_-* &quot;-&quot;??_-;_-@_-">
                  <c:v>70.5</c:v>
                </c:pt>
                <c:pt idx="35" formatCode="_-* #,##0_-;\-* #,##0_-;_-* &quot;-&quot;??_-;_-@_-">
                  <c:v>91</c:v>
                </c:pt>
                <c:pt idx="36" formatCode="_-* #,##0_-;\-* #,##0_-;_-* &quot;-&quot;??_-;_-@_-">
                  <c:v>54.5</c:v>
                </c:pt>
                <c:pt idx="37" formatCode="_-* #,##0_-;\-* #,##0_-;_-* &quot;-&quot;??_-;_-@_-">
                  <c:v>24.5</c:v>
                </c:pt>
                <c:pt idx="38" formatCode="_-* #,##0_-;\-* #,##0_-;_-* &quot;-&quot;??_-;_-@_-">
                  <c:v>70</c:v>
                </c:pt>
                <c:pt idx="39" formatCode="_-* #,##0_-;\-* #,##0_-;_-* &quot;-&quot;??_-;_-@_-">
                  <c:v>91.5</c:v>
                </c:pt>
                <c:pt idx="40" formatCode="_-* #,##0_-;\-* #,##0_-;_-* &quot;-&quot;??_-;_-@_-">
                  <c:v>55</c:v>
                </c:pt>
                <c:pt idx="41" formatCode="_-* #,##0_-;\-* #,##0_-;_-* &quot;-&quot;??_-;_-@_-">
                  <c:v>68</c:v>
                </c:pt>
                <c:pt idx="42" formatCode="_-* #,##0_-;\-* #,##0_-;_-* &quot;-&quot;??_-;_-@_-">
                  <c:v>49</c:v>
                </c:pt>
                <c:pt idx="43" formatCode="_-* #,##0_-;\-* #,##0_-;_-* &quot;-&quot;??_-;_-@_-">
                  <c:v>51.5</c:v>
                </c:pt>
                <c:pt idx="44" formatCode="_-* #,##0_-;\-* #,##0_-;_-* &quot;-&quot;??_-;_-@_-">
                  <c:v>37</c:v>
                </c:pt>
                <c:pt idx="45" formatCode="_-* #,##0_-;\-* #,##0_-;_-* &quot;-&quot;??_-;_-@_-">
                  <c:v>72</c:v>
                </c:pt>
                <c:pt idx="46" formatCode="_-* #,##0_-;\-* #,##0_-;_-* &quot;-&quot;??_-;_-@_-">
                  <c:v>116</c:v>
                </c:pt>
                <c:pt idx="47" formatCode="_-* #,##0_-;\-* #,##0_-;_-* &quot;-&quot;??_-;_-@_-">
                  <c:v>60.5</c:v>
                </c:pt>
                <c:pt idx="48" formatCode="_-* #,##0_-;\-* #,##0_-;_-* &quot;-&quot;??_-;_-@_-">
                  <c:v>33.5</c:v>
                </c:pt>
                <c:pt idx="49" formatCode="_-* #,##0_-;\-* #,##0_-;_-* &quot;-&quot;??_-;_-@_-">
                  <c:v>70</c:v>
                </c:pt>
                <c:pt idx="50" formatCode="_-* #,##0_-;\-* #,##0_-;_-* &quot;-&quot;??_-;_-@_-">
                  <c:v>93</c:v>
                </c:pt>
                <c:pt idx="51" formatCode="_-* #,##0_-;\-* #,##0_-;_-* &quot;-&quot;??_-;_-@_-">
                  <c:v>6</c:v>
                </c:pt>
                <c:pt idx="52" formatCode="_-* #,##0_-;\-* #,##0_-;_-* &quot;-&quot;??_-;_-@_-">
                  <c:v>21</c:v>
                </c:pt>
                <c:pt idx="53" formatCode="_-* #,##0_-;\-* #,##0_-;_-* &quot;-&quot;??_-;_-@_-">
                  <c:v>39.5</c:v>
                </c:pt>
                <c:pt idx="54" formatCode="_-* #,##0_-;\-* #,##0_-;_-* &quot;-&quot;??_-;_-@_-">
                  <c:v>42</c:v>
                </c:pt>
                <c:pt idx="55" formatCode="_-* #,##0_-;\-* #,##0_-;_-* &quot;-&quot;??_-;_-@_-">
                  <c:v>55</c:v>
                </c:pt>
                <c:pt idx="56" formatCode="_-* #,##0_-;\-* #,##0_-;_-* &quot;-&quot;??_-;_-@_-">
                  <c:v>89.5</c:v>
                </c:pt>
                <c:pt idx="57" formatCode="_-* #,##0_-;\-* #,##0_-;_-* &quot;-&quot;??_-;_-@_-">
                  <c:v>92</c:v>
                </c:pt>
                <c:pt idx="58" formatCode="_-* #,##0_-;\-* #,##0_-;_-* &quot;-&quot;??_-;_-@_-">
                  <c:v>51.5</c:v>
                </c:pt>
                <c:pt idx="59" formatCode="_-* #,##0_-;\-* #,##0_-;_-* &quot;-&quot;??_-;_-@_-">
                  <c:v>98</c:v>
                </c:pt>
                <c:pt idx="60" formatCode="_-* #,##0_-;\-* #,##0_-;_-* &quot;-&quot;??_-;_-@_-">
                  <c:v>42</c:v>
                </c:pt>
                <c:pt idx="61" formatCode="_-* #,##0_-;\-* #,##0_-;_-* &quot;-&quot;??_-;_-@_-">
                  <c:v>36.5</c:v>
                </c:pt>
                <c:pt idx="62" formatCode="_-* #,##0_-;\-* #,##0_-;_-* &quot;-&quot;??_-;_-@_-">
                  <c:v>120</c:v>
                </c:pt>
                <c:pt idx="63" formatCode="_-* #,##0_-;\-* #,##0_-;_-* &quot;-&quot;??_-;_-@_-">
                  <c:v>79</c:v>
                </c:pt>
                <c:pt idx="64" formatCode="_-* #,##0_-;\-* #,##0_-;_-* &quot;-&quot;??_-;_-@_-">
                  <c:v>98</c:v>
                </c:pt>
                <c:pt idx="65" formatCode="_-* #,##0_-;\-* #,##0_-;_-* &quot;-&quot;??_-;_-@_-">
                  <c:v>72.5</c:v>
                </c:pt>
                <c:pt idx="66" formatCode="_-* #,##0_-;\-* #,##0_-;_-* &quot;-&quot;??_-;_-@_-">
                  <c:v>70</c:v>
                </c:pt>
                <c:pt idx="67" formatCode="_-* #,##0_-;\-* #,##0_-;_-* &quot;-&quot;??_-;_-@_-">
                  <c:v>70</c:v>
                </c:pt>
                <c:pt idx="68" formatCode="_-* #,##0_-;\-* #,##0_-;_-* &quot;-&quot;??_-;_-@_-">
                  <c:v>48</c:v>
                </c:pt>
                <c:pt idx="69" formatCode="_-* #,##0_-;\-* #,##0_-;_-* &quot;-&quot;??_-;_-@_-">
                  <c:v>86.5</c:v>
                </c:pt>
                <c:pt idx="70" formatCode="_-* #,##0_-;\-* #,##0_-;_-* &quot;-&quot;??_-;_-@_-">
                  <c:v>61</c:v>
                </c:pt>
                <c:pt idx="71" formatCode="_-* #,##0_-;\-* #,##0_-;_-* &quot;-&quot;??_-;_-@_-">
                  <c:v>18</c:v>
                </c:pt>
                <c:pt idx="72" formatCode="_-* #,##0_-;\-* #,##0_-;_-* &quot;-&quot;??_-;_-@_-">
                  <c:v>102.5</c:v>
                </c:pt>
                <c:pt idx="73" formatCode="_-* #,##0_-;\-* #,##0_-;_-* &quot;-&quot;??_-;_-@_-">
                  <c:v>58.5</c:v>
                </c:pt>
                <c:pt idx="74" formatCode="_-* #,##0_-;\-* #,##0_-;_-* &quot;-&quot;??_-;_-@_-">
                  <c:v>42</c:v>
                </c:pt>
                <c:pt idx="75" formatCode="_-* #,##0_-;\-* #,##0_-;_-* &quot;-&quot;??_-;_-@_-">
                  <c:v>55.5</c:v>
                </c:pt>
                <c:pt idx="76" formatCode="_-* #,##0_-;\-* #,##0_-;_-* &quot;-&quot;??_-;_-@_-">
                  <c:v>18</c:v>
                </c:pt>
                <c:pt idx="77" formatCode="_-* #,##0_-;\-* #,##0_-;_-* &quot;-&quot;??_-;_-@_-">
                  <c:v>45</c:v>
                </c:pt>
                <c:pt idx="78" formatCode="_-* #,##0_-;\-* #,##0_-;_-* &quot;-&quot;??_-;_-@_-">
                  <c:v>57.5</c:v>
                </c:pt>
                <c:pt idx="79" formatCode="_-* #,##0_-;\-* #,##0_-;_-* &quot;-&quot;??_-;_-@_-">
                  <c:v>49</c:v>
                </c:pt>
                <c:pt idx="80" formatCode="_-* #,##0_-;\-* #,##0_-;_-* &quot;-&quot;??_-;_-@_-">
                  <c:v>55</c:v>
                </c:pt>
                <c:pt idx="81" formatCode="_-* #,##0_-;\-* #,##0_-;_-* &quot;-&quot;??_-;_-@_-">
                  <c:v>61.5</c:v>
                </c:pt>
                <c:pt idx="82" formatCode="_-* #,##0_-;\-* #,##0_-;_-* &quot;-&quot;??_-;_-@_-">
                  <c:v>30</c:v>
                </c:pt>
                <c:pt idx="83" formatCode="_-* #,##0_-;\-* #,##0_-;_-* &quot;-&quot;??_-;_-@_-">
                  <c:v>27.5</c:v>
                </c:pt>
                <c:pt idx="84" formatCode="_-* #,##0_-;\-* #,##0_-;_-* &quot;-&quot;??_-;_-@_-">
                  <c:v>51.5</c:v>
                </c:pt>
                <c:pt idx="85" formatCode="_-* #,##0_-;\-* #,##0_-;_-* &quot;-&quot;??_-;_-@_-">
                  <c:v>73</c:v>
                </c:pt>
                <c:pt idx="86" formatCode="_-* #,##0_-;\-* #,##0_-;_-* &quot;-&quot;??_-;_-@_-">
                  <c:v>30</c:v>
                </c:pt>
                <c:pt idx="87" formatCode="_-* #,##0_-;\-* #,##0_-;_-* &quot;-&quot;??_-;_-@_-">
                  <c:v>36</c:v>
                </c:pt>
                <c:pt idx="88" formatCode="_-* #,##0_-;\-* #,##0_-;_-* &quot;-&quot;??_-;_-@_-">
                  <c:v>24</c:v>
                </c:pt>
                <c:pt idx="89" formatCode="_-* #,##0_-;\-* #,##0_-;_-* &quot;-&quot;??_-;_-@_-">
                  <c:v>43.5</c:v>
                </c:pt>
                <c:pt idx="90" formatCode="_-* #,##0_-;\-* #,##0_-;_-* &quot;-&quot;??_-;_-@_-">
                  <c:v>18</c:v>
                </c:pt>
                <c:pt idx="91" formatCode="_-* #,##0_-;\-* #,##0_-;_-* &quot;-&quot;??_-;_-@_-">
                  <c:v>70.5</c:v>
                </c:pt>
                <c:pt idx="92" formatCode="_-* #,##0_-;\-* #,##0_-;_-* &quot;-&quot;??_-;_-@_-">
                  <c:v>93</c:v>
                </c:pt>
                <c:pt idx="93" formatCode="_-* #,##0_-;\-* #,##0_-;_-* &quot;-&quot;??_-;_-@_-">
                  <c:v>30</c:v>
                </c:pt>
                <c:pt idx="94" formatCode="_-* #,##0_-;\-* #,##0_-;_-* &quot;-&quot;??_-;_-@_-">
                  <c:v>76.5</c:v>
                </c:pt>
                <c:pt idx="95" formatCode="_-* #,##0_-;\-* #,##0_-;_-* &quot;-&quot;??_-;_-@_-">
                  <c:v>69.5</c:v>
                </c:pt>
                <c:pt idx="96" formatCode="_-* #,##0_-;\-* #,##0_-;_-* &quot;-&quot;??_-;_-@_-">
                  <c:v>39</c:v>
                </c:pt>
                <c:pt idx="97" formatCode="_-* #,##0_-;\-* #,##0_-;_-* &quot;-&quot;??_-;_-@_-">
                  <c:v>75</c:v>
                </c:pt>
                <c:pt idx="98" formatCode="_-* #,##0_-;\-* #,##0_-;_-* &quot;-&quot;??_-;_-@_-">
                  <c:v>45</c:v>
                </c:pt>
                <c:pt idx="99" formatCode="_-* #,##0_-;\-* #,##0_-;_-* &quot;-&quot;??_-;_-@_-">
                  <c:v>60.5</c:v>
                </c:pt>
                <c:pt idx="100" formatCode="_-* #,##0_-;\-* #,##0_-;_-* &quot;-&quot;??_-;_-@_-">
                  <c:v>51</c:v>
                </c:pt>
                <c:pt idx="101" formatCode="_-* #,##0_-;\-* #,##0_-;_-* &quot;-&quot;??_-;_-@_-">
                  <c:v>70</c:v>
                </c:pt>
                <c:pt idx="102" formatCode="_-* #,##0_-;\-* #,##0_-;_-* &quot;-&quot;??_-;_-@_-">
                  <c:v>56</c:v>
                </c:pt>
                <c:pt idx="103" formatCode="_-* #,##0_-;\-* #,##0_-;_-* &quot;-&quot;??_-;_-@_-">
                  <c:v>18.5</c:v>
                </c:pt>
                <c:pt idx="104" formatCode="_-* #,##0_-;\-* #,##0_-;_-* &quot;-&quot;??_-;_-@_-">
                  <c:v>27</c:v>
                </c:pt>
                <c:pt idx="105" formatCode="_-* #,##0_-;\-* #,##0_-;_-* &quot;-&quot;??_-;_-@_-">
                  <c:v>18</c:v>
                </c:pt>
                <c:pt idx="106" formatCode="_-* #,##0_-;\-* #,##0_-;_-* &quot;-&quot;??_-;_-@_-">
                  <c:v>24</c:v>
                </c:pt>
                <c:pt idx="107" formatCode="_-* #,##0_-;\-* #,##0_-;_-* &quot;-&quot;??_-;_-@_-">
                  <c:v>24</c:v>
                </c:pt>
                <c:pt idx="108" formatCode="_-* #,##0_-;\-* #,##0_-;_-* &quot;-&quot;??_-;_-@_-">
                  <c:v>67.5</c:v>
                </c:pt>
                <c:pt idx="109" formatCode="_-* #,##0_-;\-* #,##0_-;_-* &quot;-&quot;??_-;_-@_-">
                  <c:v>58</c:v>
                </c:pt>
                <c:pt idx="110" formatCode="_-* #,##0_-;\-* #,##0_-;_-* &quot;-&quot;??_-;_-@_-">
                  <c:v>49</c:v>
                </c:pt>
                <c:pt idx="111" formatCode="_-* #,##0_-;\-* #,##0_-;_-* &quot;-&quot;??_-;_-@_-">
                  <c:v>103.5</c:v>
                </c:pt>
                <c:pt idx="112" formatCode="_-* #,##0_-;\-* #,##0_-;_-* &quot;-&quot;??_-;_-@_-">
                  <c:v>58.5</c:v>
                </c:pt>
                <c:pt idx="113" formatCode="_-* #,##0_-;\-* #,##0_-;_-* &quot;-&quot;??_-;_-@_-">
                  <c:v>36.5</c:v>
                </c:pt>
                <c:pt idx="114" formatCode="_-* #,##0_-;\-* #,##0_-;_-* &quot;-&quot;??_-;_-@_-">
                  <c:v>24</c:v>
                </c:pt>
                <c:pt idx="115" formatCode="_-* #,##0_-;\-* #,##0_-;_-* &quot;-&quot;??_-;_-@_-">
                  <c:v>66.5</c:v>
                </c:pt>
                <c:pt idx="116" formatCode="_-* #,##0_-;\-* #,##0_-;_-* &quot;-&quot;??_-;_-@_-">
                  <c:v>33.5</c:v>
                </c:pt>
                <c:pt idx="117" formatCode="_-* #,##0_-;\-* #,##0_-;_-* &quot;-&quot;??_-;_-@_-">
                  <c:v>24.5</c:v>
                </c:pt>
                <c:pt idx="118" formatCode="_-* #,##0_-;\-* #,##0_-;_-* &quot;-&quot;??_-;_-@_-">
                  <c:v>52</c:v>
                </c:pt>
                <c:pt idx="119" formatCode="_-* #,##0_-;\-* #,##0_-;_-* &quot;-&quot;??_-;_-@_-">
                  <c:v>6</c:v>
                </c:pt>
                <c:pt idx="120" formatCode="_-* #,##0_-;\-* #,##0_-;_-* &quot;-&quot;??_-;_-@_-">
                  <c:v>30</c:v>
                </c:pt>
                <c:pt idx="121" formatCode="_-* #,##0_-;\-* #,##0_-;_-* &quot;-&quot;??_-;_-@_-">
                  <c:v>73</c:v>
                </c:pt>
                <c:pt idx="122" formatCode="_-* #,##0_-;\-* #,##0_-;_-* &quot;-&quot;??_-;_-@_-">
                  <c:v>49</c:v>
                </c:pt>
                <c:pt idx="123" formatCode="_-* #,##0_-;\-* #,##0_-;_-* &quot;-&quot;??_-;_-@_-">
                  <c:v>76.5</c:v>
                </c:pt>
                <c:pt idx="124" formatCode="_-* #,##0_-;\-* #,##0_-;_-* &quot;-&quot;??_-;_-@_-">
                  <c:v>52.5</c:v>
                </c:pt>
                <c:pt idx="125" formatCode="_-* #,##0_-;\-* #,##0_-;_-* &quot;-&quot;??_-;_-@_-">
                  <c:v>36.5</c:v>
                </c:pt>
                <c:pt idx="126" formatCode="_-* #,##0_-;\-* #,##0_-;_-* &quot;-&quot;??_-;_-@_-">
                  <c:v>54.5</c:v>
                </c:pt>
                <c:pt idx="127" formatCode="_-* #,##0_-;\-* #,##0_-;_-* &quot;-&quot;??_-;_-@_-">
                  <c:v>65.5</c:v>
                </c:pt>
                <c:pt idx="128" formatCode="_-* #,##0_-;\-* #,##0_-;_-* &quot;-&quot;??_-;_-@_-">
                  <c:v>58</c:v>
                </c:pt>
                <c:pt idx="129" formatCode="_-* #,##0_-;\-* #,##0_-;_-* &quot;-&quot;??_-;_-@_-">
                  <c:v>63.5</c:v>
                </c:pt>
                <c:pt idx="130" formatCode="_-* #,##0_-;\-* #,##0_-;_-* &quot;-&quot;??_-;_-@_-">
                  <c:v>42</c:v>
                </c:pt>
                <c:pt idx="131" formatCode="_-* #,##0_-;\-* #,##0_-;_-* &quot;-&quot;??_-;_-@_-">
                  <c:v>33.5</c:v>
                </c:pt>
                <c:pt idx="132" formatCode="_-* #,##0_-;\-* #,##0_-;_-* &quot;-&quot;??_-;_-@_-">
                  <c:v>71.5</c:v>
                </c:pt>
                <c:pt idx="133" formatCode="_-* #,##0_-;\-* #,##0_-;_-* &quot;-&quot;??_-;_-@_-">
                  <c:v>99</c:v>
                </c:pt>
                <c:pt idx="134" formatCode="_-* #,##0_-;\-* #,##0_-;_-* &quot;-&quot;??_-;_-@_-">
                  <c:v>39</c:v>
                </c:pt>
                <c:pt idx="135" formatCode="_-* #,##0_-;\-* #,##0_-;_-* &quot;-&quot;??_-;_-@_-">
                  <c:v>54.5</c:v>
                </c:pt>
                <c:pt idx="136" formatCode="_-* #,##0_-;\-* #,##0_-;_-* &quot;-&quot;??_-;_-@_-">
                  <c:v>52</c:v>
                </c:pt>
                <c:pt idx="137" formatCode="_-* #,##0_-;\-* #,##0_-;_-* &quot;-&quot;??_-;_-@_-">
                  <c:v>30.5</c:v>
                </c:pt>
                <c:pt idx="138" formatCode="_-* #,##0_-;\-* #,##0_-;_-* &quot;-&quot;??_-;_-@_-">
                  <c:v>144.5</c:v>
                </c:pt>
                <c:pt idx="139" formatCode="_-* #,##0_-;\-* #,##0_-;_-* &quot;-&quot;??_-;_-@_-">
                  <c:v>45</c:v>
                </c:pt>
                <c:pt idx="140" formatCode="_-* #,##0_-;\-* #,##0_-;_-* &quot;-&quot;??_-;_-@_-">
                  <c:v>39</c:v>
                </c:pt>
                <c:pt idx="141" formatCode="_-* #,##0_-;\-* #,##0_-;_-* &quot;-&quot;??_-;_-@_-">
                  <c:v>51</c:v>
                </c:pt>
                <c:pt idx="142" formatCode="_-* #,##0_-;\-* #,##0_-;_-* &quot;-&quot;??_-;_-@_-">
                  <c:v>90</c:v>
                </c:pt>
                <c:pt idx="143" formatCode="_-* #,##0_-;\-* #,##0_-;_-* &quot;-&quot;??_-;_-@_-">
                  <c:v>64</c:v>
                </c:pt>
                <c:pt idx="144" formatCode="_-* #,##0_-;\-* #,##0_-;_-* &quot;-&quot;??_-;_-@_-">
                  <c:v>52</c:v>
                </c:pt>
                <c:pt idx="145" formatCode="_-* #,##0_-;\-* #,##0_-;_-* &quot;-&quot;??_-;_-@_-">
                  <c:v>30.5</c:v>
                </c:pt>
                <c:pt idx="146" formatCode="_-* #,##0_-;\-* #,##0_-;_-* &quot;-&quot;??_-;_-@_-">
                  <c:v>103</c:v>
                </c:pt>
                <c:pt idx="147" formatCode="_-* #,##0_-;\-* #,##0_-;_-* &quot;-&quot;??_-;_-@_-">
                  <c:v>18</c:v>
                </c:pt>
                <c:pt idx="148" formatCode="_-* #,##0_-;\-* #,##0_-;_-* &quot;-&quot;??_-;_-@_-">
                  <c:v>45.5</c:v>
                </c:pt>
                <c:pt idx="149" formatCode="_-* #,##0_-;\-* #,##0_-;_-* &quot;-&quot;??_-;_-@_-">
                  <c:v>36</c:v>
                </c:pt>
                <c:pt idx="150" formatCode="_-* #,##0_-;\-* #,##0_-;_-* &quot;-&quot;??_-;_-@_-">
                  <c:v>0</c:v>
                </c:pt>
                <c:pt idx="151" formatCode="_-* #,##0_-;\-* #,##0_-;_-* &quot;-&quot;??_-;_-@_-">
                  <c:v>73</c:v>
                </c:pt>
                <c:pt idx="152" formatCode="_-* #,##0_-;\-* #,##0_-;_-* &quot;-&quot;??_-;_-@_-">
                  <c:v>73.5</c:v>
                </c:pt>
                <c:pt idx="153" formatCode="_-* #,##0_-;\-* #,##0_-;_-* &quot;-&quot;??_-;_-@_-">
                  <c:v>45.5</c:v>
                </c:pt>
                <c:pt idx="154" formatCode="_-* #,##0_-;\-* #,##0_-;_-* &quot;-&quot;??_-;_-@_-">
                  <c:v>37</c:v>
                </c:pt>
                <c:pt idx="155" formatCode="_-* #,##0_-;\-* #,##0_-;_-* &quot;-&quot;??_-;_-@_-">
                  <c:v>147.5</c:v>
                </c:pt>
                <c:pt idx="156" formatCode="_-* #,##0_-;\-* #,##0_-;_-* &quot;-&quot;??_-;_-@_-">
                  <c:v>52</c:v>
                </c:pt>
                <c:pt idx="157" formatCode="_-* #,##0_-;\-* #,##0_-;_-* &quot;-&quot;??_-;_-@_-">
                  <c:v>30.5</c:v>
                </c:pt>
                <c:pt idx="158" formatCode="_-* #,##0_-;\-* #,##0_-;_-* &quot;-&quot;??_-;_-@_-">
                  <c:v>156.5</c:v>
                </c:pt>
                <c:pt idx="159" formatCode="_-* #,##0_-;\-* #,##0_-;_-* &quot;-&quot;??_-;_-@_-">
                  <c:v>61.5</c:v>
                </c:pt>
                <c:pt idx="160" formatCode="_-* #,##0_-;\-* #,##0_-;_-* &quot;-&quot;??_-;_-@_-">
                  <c:v>61.5</c:v>
                </c:pt>
                <c:pt idx="161" formatCode="_-* #,##0_-;\-* #,##0_-;_-* &quot;-&quot;??_-;_-@_-">
                  <c:v>15</c:v>
                </c:pt>
                <c:pt idx="162" formatCode="_-* #,##0_-;\-* #,##0_-;_-* &quot;-&quot;??_-;_-@_-">
                  <c:v>33.5</c:v>
                </c:pt>
                <c:pt idx="163" formatCode="_-* #,##0_-;\-* #,##0_-;_-* &quot;-&quot;??_-;_-@_-">
                  <c:v>24</c:v>
                </c:pt>
                <c:pt idx="164" formatCode="_-* #,##0_-;\-* #,##0_-;_-* &quot;-&quot;??_-;_-@_-">
                  <c:v>27</c:v>
                </c:pt>
                <c:pt idx="165" formatCode="_-* #,##0_-;\-* #,##0_-;_-* &quot;-&quot;??_-;_-@_-">
                  <c:v>48.5</c:v>
                </c:pt>
                <c:pt idx="166" formatCode="_-* #,##0_-;\-* #,##0_-;_-* &quot;-&quot;??_-;_-@_-">
                  <c:v>61</c:v>
                </c:pt>
                <c:pt idx="167" formatCode="_-* #,##0_-;\-* #,##0_-;_-* &quot;-&quot;??_-;_-@_-">
                  <c:v>78.5</c:v>
                </c:pt>
                <c:pt idx="168" formatCode="_-* #,##0_-;\-* #,##0_-;_-* &quot;-&quot;??_-;_-@_-">
                  <c:v>70</c:v>
                </c:pt>
                <c:pt idx="169" formatCode="_-* #,##0_-;\-* #,##0_-;_-* &quot;-&quot;??_-;_-@_-">
                  <c:v>60.5</c:v>
                </c:pt>
                <c:pt idx="170" formatCode="_-* #,##0_-;\-* #,##0_-;_-* &quot;-&quot;??_-;_-@_-">
                  <c:v>51.5</c:v>
                </c:pt>
                <c:pt idx="171" formatCode="_-* #,##0_-;\-* #,##0_-;_-* &quot;-&quot;??_-;_-@_-">
                  <c:v>96.5</c:v>
                </c:pt>
                <c:pt idx="172" formatCode="_-* #,##0_-;\-* #,##0_-;_-* &quot;-&quot;??_-;_-@_-">
                  <c:v>46</c:v>
                </c:pt>
                <c:pt idx="173" formatCode="_-* #,##0_-;\-* #,##0_-;_-* &quot;-&quot;??_-;_-@_-">
                  <c:v>103</c:v>
                </c:pt>
                <c:pt idx="174" formatCode="_-* #,##0_-;\-* #,##0_-;_-* &quot;-&quot;??_-;_-@_-">
                  <c:v>36</c:v>
                </c:pt>
                <c:pt idx="175" formatCode="_-* #,##0_-;\-* #,##0_-;_-* &quot;-&quot;??_-;_-@_-">
                  <c:v>85.5</c:v>
                </c:pt>
                <c:pt idx="176" formatCode="_-* #,##0_-;\-* #,##0_-;_-* &quot;-&quot;??_-;_-@_-">
                  <c:v>58</c:v>
                </c:pt>
                <c:pt idx="177" formatCode="_-* #,##0_-;\-* #,##0_-;_-* &quot;-&quot;??_-;_-@_-">
                  <c:v>83.5</c:v>
                </c:pt>
                <c:pt idx="178" formatCode="_-* #,##0_-;\-* #,##0_-;_-* &quot;-&quot;??_-;_-@_-">
                  <c:v>57</c:v>
                </c:pt>
                <c:pt idx="179" formatCode="_-* #,##0_-;\-* #,##0_-;_-* &quot;-&quot;??_-;_-@_-">
                  <c:v>70</c:v>
                </c:pt>
                <c:pt idx="180" formatCode="_-* #,##0_-;\-* #,##0_-;_-* &quot;-&quot;??_-;_-@_-">
                  <c:v>27.5</c:v>
                </c:pt>
                <c:pt idx="181" formatCode="_-* #,##0_-;\-* #,##0_-;_-* &quot;-&quot;??_-;_-@_-">
                  <c:v>134.5</c:v>
                </c:pt>
                <c:pt idx="182" formatCode="_-* #,##0_-;\-* #,##0_-;_-* &quot;-&quot;??_-;_-@_-">
                  <c:v>97</c:v>
                </c:pt>
                <c:pt idx="183" formatCode="_-* #,##0_-;\-* #,##0_-;_-* &quot;-&quot;??_-;_-@_-">
                  <c:v>133.5</c:v>
                </c:pt>
                <c:pt idx="184" formatCode="_-* #,##0_-;\-* #,##0_-;_-* &quot;-&quot;??_-;_-@_-">
                  <c:v>64</c:v>
                </c:pt>
                <c:pt idx="185" formatCode="_-* #,##0_-;\-* #,##0_-;_-* &quot;-&quot;??_-;_-@_-">
                  <c:v>24.5</c:v>
                </c:pt>
                <c:pt idx="186" formatCode="_-* #,##0_-;\-* #,##0_-;_-* &quot;-&quot;??_-;_-@_-">
                  <c:v>30.5</c:v>
                </c:pt>
                <c:pt idx="187" formatCode="_-* #,##0_-;\-* #,##0_-;_-* &quot;-&quot;??_-;_-@_-">
                  <c:v>48.5</c:v>
                </c:pt>
                <c:pt idx="188" formatCode="_-* #,##0_-;\-* #,##0_-;_-* &quot;-&quot;??_-;_-@_-">
                  <c:v>61</c:v>
                </c:pt>
                <c:pt idx="189" formatCode="_-* #,##0_-;\-* #,##0_-;_-* &quot;-&quot;??_-;_-@_-">
                  <c:v>48.5</c:v>
                </c:pt>
                <c:pt idx="190" formatCode="_-* #,##0_-;\-* #,##0_-;_-* &quot;-&quot;??_-;_-@_-">
                  <c:v>61.5</c:v>
                </c:pt>
                <c:pt idx="191" formatCode="_-* #,##0_-;\-* #,##0_-;_-* &quot;-&quot;??_-;_-@_-">
                  <c:v>76</c:v>
                </c:pt>
                <c:pt idx="192" formatCode="_-* #,##0_-;\-* #,##0_-;_-* &quot;-&quot;??_-;_-@_-">
                  <c:v>48</c:v>
                </c:pt>
                <c:pt idx="193" formatCode="_-* #,##0_-;\-* #,##0_-;_-* &quot;-&quot;??_-;_-@_-">
                  <c:v>45.5</c:v>
                </c:pt>
                <c:pt idx="194" formatCode="_-* #,##0_-;\-* #,##0_-;_-* &quot;-&quot;??_-;_-@_-">
                  <c:v>125.5</c:v>
                </c:pt>
                <c:pt idx="195" formatCode="_-* #,##0_-;\-* #,##0_-;_-* &quot;-&quot;??_-;_-@_-">
                  <c:v>66.5</c:v>
                </c:pt>
                <c:pt idx="196" formatCode="_-* #,##0_-;\-* #,##0_-;_-* &quot;-&quot;??_-;_-@_-">
                  <c:v>57</c:v>
                </c:pt>
                <c:pt idx="197" formatCode="_-* #,##0_-;\-* #,##0_-;_-* &quot;-&quot;??_-;_-@_-">
                  <c:v>55.5</c:v>
                </c:pt>
                <c:pt idx="198" formatCode="_-* #,##0_-;\-* #,##0_-;_-* &quot;-&quot;??_-;_-@_-">
                  <c:v>39</c:v>
                </c:pt>
                <c:pt idx="199" formatCode="_-* #,##0_-;\-* #,##0_-;_-* &quot;-&quot;??_-;_-@_-">
                  <c:v>58.75</c:v>
                </c:pt>
                <c:pt idx="200" formatCode="_-* #,##0_-;\-* #,##0_-;_-* &quot;-&quot;??_-;_-@_-">
                  <c:v>66</c:v>
                </c:pt>
                <c:pt idx="201" formatCode="_-* #,##0_-;\-* #,##0_-;_-* &quot;-&quot;??_-;_-@_-">
                  <c:v>45</c:v>
                </c:pt>
                <c:pt idx="202" formatCode="_-* #,##0_-;\-* #,##0_-;_-* &quot;-&quot;??_-;_-@_-">
                  <c:v>161</c:v>
                </c:pt>
                <c:pt idx="203" formatCode="_-* #,##0_-;\-* #,##0_-;_-* &quot;-&quot;??_-;_-@_-">
                  <c:v>31</c:v>
                </c:pt>
                <c:pt idx="204" formatCode="_-* #,##0_-;\-* #,##0_-;_-* &quot;-&quot;??_-;_-@_-">
                  <c:v>82</c:v>
                </c:pt>
                <c:pt idx="205" formatCode="_-* #,##0_-;\-* #,##0_-;_-* &quot;-&quot;??_-;_-@_-">
                  <c:v>6</c:v>
                </c:pt>
                <c:pt idx="206" formatCode="_-* #,##0_-;\-* #,##0_-;_-* &quot;-&quot;??_-;_-@_-">
                  <c:v>30.5</c:v>
                </c:pt>
                <c:pt idx="207" formatCode="_-* #,##0_-;\-* #,##0_-;_-* &quot;-&quot;??_-;_-@_-">
                  <c:v>24</c:v>
                </c:pt>
                <c:pt idx="208" formatCode="_-* #,##0_-;\-* #,##0_-;_-* &quot;-&quot;??_-;_-@_-">
                  <c:v>36.5</c:v>
                </c:pt>
                <c:pt idx="209" formatCode="_-* #,##0_-;\-* #,##0_-;_-* &quot;-&quot;??_-;_-@_-">
                  <c:v>55</c:v>
                </c:pt>
                <c:pt idx="210" formatCode="_-* #,##0_-;\-* #,##0_-;_-* &quot;-&quot;??_-;_-@_-">
                  <c:v>27</c:v>
                </c:pt>
                <c:pt idx="211" formatCode="_-* #,##0_-;\-* #,##0_-;_-* &quot;-&quot;??_-;_-@_-">
                  <c:v>57.5</c:v>
                </c:pt>
                <c:pt idx="212" formatCode="_-* #,##0_-;\-* #,##0_-;_-* &quot;-&quot;??_-;_-@_-">
                  <c:v>39</c:v>
                </c:pt>
                <c:pt idx="213" formatCode="_-* #,##0_-;\-* #,##0_-;_-* &quot;-&quot;??_-;_-@_-">
                  <c:v>52</c:v>
                </c:pt>
                <c:pt idx="214" formatCode="_-* #,##0_-;\-* #,##0_-;_-* &quot;-&quot;??_-;_-@_-">
                  <c:v>73.5</c:v>
                </c:pt>
                <c:pt idx="215" formatCode="_-* #,##0_-;\-* #,##0_-;_-* &quot;-&quot;??_-;_-@_-">
                  <c:v>91</c:v>
                </c:pt>
                <c:pt idx="216" formatCode="_-* #,##0_-;\-* #,##0_-;_-* &quot;-&quot;??_-;_-@_-">
                  <c:v>57.5</c:v>
                </c:pt>
                <c:pt idx="217" formatCode="_-* #,##0_-;\-* #,##0_-;_-* &quot;-&quot;??_-;_-@_-">
                  <c:v>24.5</c:v>
                </c:pt>
                <c:pt idx="218" formatCode="_-* #,##0_-;\-* #,##0_-;_-* &quot;-&quot;??_-;_-@_-">
                  <c:v>18</c:v>
                </c:pt>
                <c:pt idx="219" formatCode="_-* #,##0_-;\-* #,##0_-;_-* &quot;-&quot;??_-;_-@_-">
                  <c:v>30</c:v>
                </c:pt>
                <c:pt idx="220" formatCode="_-* #,##0_-;\-* #,##0_-;_-* &quot;-&quot;??_-;_-@_-">
                  <c:v>113</c:v>
                </c:pt>
                <c:pt idx="221" formatCode="_-* #,##0_-;\-* #,##0_-;_-* &quot;-&quot;??_-;_-@_-">
                  <c:v>72.5</c:v>
                </c:pt>
                <c:pt idx="222" formatCode="_-* #,##0_-;\-* #,##0_-;_-* &quot;-&quot;??_-;_-@_-">
                  <c:v>110</c:v>
                </c:pt>
                <c:pt idx="223" formatCode="_-* #,##0_-;\-* #,##0_-;_-* &quot;-&quot;??_-;_-@_-">
                  <c:v>42.5</c:v>
                </c:pt>
                <c:pt idx="224" formatCode="_-* #,##0_-;\-* #,##0_-;_-* &quot;-&quot;??_-;_-@_-">
                  <c:v>57.2</c:v>
                </c:pt>
                <c:pt idx="225" formatCode="_-* #,##0_-;\-* #,##0_-;_-* &quot;-&quot;??_-;_-@_-">
                  <c:v>76</c:v>
                </c:pt>
                <c:pt idx="226" formatCode="_-* #,##0_-;\-* #,##0_-;_-* &quot;-&quot;??_-;_-@_-">
                  <c:v>57</c:v>
                </c:pt>
                <c:pt idx="227" formatCode="_-* #,##0_-;\-* #,##0_-;_-* &quot;-&quot;??_-;_-@_-">
                  <c:v>45</c:v>
                </c:pt>
                <c:pt idx="228" formatCode="_-* #,##0_-;\-* #,##0_-;_-* &quot;-&quot;??_-;_-@_-">
                  <c:v>49</c:v>
                </c:pt>
                <c:pt idx="229" formatCode="_-* #,##0_-;\-* #,##0_-;_-* &quot;-&quot;??_-;_-@_-">
                  <c:v>106</c:v>
                </c:pt>
                <c:pt idx="230" formatCode="_-* #,##0_-;\-* #,##0_-;_-* &quot;-&quot;??_-;_-@_-">
                  <c:v>42.5</c:v>
                </c:pt>
                <c:pt idx="231" formatCode="_-* #,##0_-;\-* #,##0_-;_-* &quot;-&quot;??_-;_-@_-">
                  <c:v>0</c:v>
                </c:pt>
                <c:pt idx="232" formatCode="_-* #,##0_-;\-* #,##0_-;_-* &quot;-&quot;??_-;_-@_-">
                  <c:v>87.5</c:v>
                </c:pt>
                <c:pt idx="233" formatCode="_-* #,##0_-;\-* #,##0_-;_-* &quot;-&quot;??_-;_-@_-">
                  <c:v>45.5</c:v>
                </c:pt>
                <c:pt idx="234" formatCode="_-* #,##0_-;\-* #,##0_-;_-* &quot;-&quot;??_-;_-@_-">
                  <c:v>171</c:v>
                </c:pt>
                <c:pt idx="235" formatCode="_-* #,##0_-;\-* #,##0_-;_-* &quot;-&quot;??_-;_-@_-">
                  <c:v>142.5</c:v>
                </c:pt>
                <c:pt idx="236" formatCode="_-* #,##0_-;\-* #,##0_-;_-* &quot;-&quot;??_-;_-@_-">
                  <c:v>111</c:v>
                </c:pt>
                <c:pt idx="237" formatCode="_-* #,##0_-;\-* #,##0_-;_-* &quot;-&quot;??_-;_-@_-">
                  <c:v>78.5</c:v>
                </c:pt>
                <c:pt idx="238" formatCode="_-* #,##0_-;\-* #,##0_-;_-* &quot;-&quot;??_-;_-@_-">
                  <c:v>76.5</c:v>
                </c:pt>
                <c:pt idx="239" formatCode="_-* #,##0_-;\-* #,##0_-;_-* &quot;-&quot;??_-;_-@_-">
                  <c:v>54.5</c:v>
                </c:pt>
                <c:pt idx="240" formatCode="_-* #,##0_-;\-* #,##0_-;_-* &quot;-&quot;??_-;_-@_-">
                  <c:v>70.5</c:v>
                </c:pt>
                <c:pt idx="241" formatCode="_-* #,##0_-;\-* #,##0_-;_-* &quot;-&quot;??_-;_-@_-">
                  <c:v>149</c:v>
                </c:pt>
                <c:pt idx="242" formatCode="_-* #,##0_-;\-* #,##0_-;_-* &quot;-&quot;??_-;_-@_-">
                  <c:v>110.5</c:v>
                </c:pt>
                <c:pt idx="243" formatCode="_-* #,##0_-;\-* #,##0_-;_-* &quot;-&quot;??_-;_-@_-">
                  <c:v>89</c:v>
                </c:pt>
                <c:pt idx="244" formatCode="_-* #,##0_-;\-* #,##0_-;_-* &quot;-&quot;??_-;_-@_-">
                  <c:v>73</c:v>
                </c:pt>
                <c:pt idx="245" formatCode="_-* #,##0_-;\-* #,##0_-;_-* &quot;-&quot;??_-;_-@_-">
                  <c:v>68.5</c:v>
                </c:pt>
                <c:pt idx="246" formatCode="_-* #,##0_-;\-* #,##0_-;_-* &quot;-&quot;??_-;_-@_-">
                  <c:v>104.5</c:v>
                </c:pt>
                <c:pt idx="247" formatCode="_-* #,##0_-;\-* #,##0_-;_-* &quot;-&quot;??_-;_-@_-">
                  <c:v>70.5</c:v>
                </c:pt>
                <c:pt idx="248" formatCode="_-* #,##0_-;\-* #,##0_-;_-* &quot;-&quot;??_-;_-@_-">
                  <c:v>43.5</c:v>
                </c:pt>
                <c:pt idx="249" formatCode="_-* #,##0_-;\-* #,##0_-;_-* &quot;-&quot;??_-;_-@_-">
                  <c:v>78</c:v>
                </c:pt>
                <c:pt idx="250" formatCode="_-* #,##0_-;\-* #,##0_-;_-* &quot;-&quot;??_-;_-@_-">
                  <c:v>6</c:v>
                </c:pt>
                <c:pt idx="251" formatCode="_-* #,##0_-;\-* #,##0_-;_-* &quot;-&quot;??_-;_-@_-">
                  <c:v>30.5</c:v>
                </c:pt>
                <c:pt idx="252" formatCode="_-* #,##0_-;\-* #,##0_-;_-* &quot;-&quot;??_-;_-@_-">
                  <c:v>45.5</c:v>
                </c:pt>
                <c:pt idx="253" formatCode="_-* #,##0_-;\-* #,##0_-;_-* &quot;-&quot;??_-;_-@_-">
                  <c:v>48.5</c:v>
                </c:pt>
                <c:pt idx="254" formatCode="_-* #,##0_-;\-* #,##0_-;_-* &quot;-&quot;??_-;_-@_-">
                  <c:v>64.5</c:v>
                </c:pt>
                <c:pt idx="255" formatCode="_-* #,##0_-;\-* #,##0_-;_-* &quot;-&quot;??_-;_-@_-">
                  <c:v>45</c:v>
                </c:pt>
                <c:pt idx="256" formatCode="_-* #,##0_-;\-* #,##0_-;_-* &quot;-&quot;??_-;_-@_-">
                  <c:v>82</c:v>
                </c:pt>
                <c:pt idx="257" formatCode="_-* #,##0_-;\-* #,##0_-;_-* &quot;-&quot;??_-;_-@_-">
                  <c:v>97</c:v>
                </c:pt>
                <c:pt idx="258" formatCode="_-* #,##0_-;\-* #,##0_-;_-* &quot;-&quot;??_-;_-@_-">
                  <c:v>96</c:v>
                </c:pt>
                <c:pt idx="259" formatCode="_-* #,##0_-;\-* #,##0_-;_-* &quot;-&quot;??_-;_-@_-">
                  <c:v>75.5</c:v>
                </c:pt>
                <c:pt idx="260" formatCode="_-* #,##0_-;\-* #,##0_-;_-* &quot;-&quot;??_-;_-@_-">
                  <c:v>42</c:v>
                </c:pt>
                <c:pt idx="261" formatCode="_-* #,##0_-;\-* #,##0_-;_-* &quot;-&quot;??_-;_-@_-">
                  <c:v>39</c:v>
                </c:pt>
                <c:pt idx="262" formatCode="_-* #,##0_-;\-* #,##0_-;_-* &quot;-&quot;??_-;_-@_-">
                  <c:v>12.5</c:v>
                </c:pt>
                <c:pt idx="263" formatCode="_-* #,##0_-;\-* #,##0_-;_-* &quot;-&quot;??_-;_-@_-">
                  <c:v>0</c:v>
                </c:pt>
                <c:pt idx="264" formatCode="_-* #,##0_-;\-* #,##0_-;_-* &quot;-&quot;??_-;_-@_-">
                  <c:v>57</c:v>
                </c:pt>
                <c:pt idx="265" formatCode="_-* #,##0_-;\-* #,##0_-;_-* &quot;-&quot;??_-;_-@_-">
                  <c:v>128</c:v>
                </c:pt>
                <c:pt idx="266" formatCode="_-* #,##0_-;\-* #,##0_-;_-* &quot;-&quot;??_-;_-@_-">
                  <c:v>61</c:v>
                </c:pt>
                <c:pt idx="267" formatCode="_-* #,##0_-;\-* #,##0_-;_-* &quot;-&quot;??_-;_-@_-">
                  <c:v>45.5</c:v>
                </c:pt>
                <c:pt idx="268" formatCode="_-* #,##0_-;\-* #,##0_-;_-* &quot;-&quot;??_-;_-@_-">
                  <c:v>46</c:v>
                </c:pt>
                <c:pt idx="269" formatCode="_-* #,##0_-;\-* #,##0_-;_-* &quot;-&quot;??_-;_-@_-">
                  <c:v>45.5</c:v>
                </c:pt>
                <c:pt idx="270" formatCode="_-* #,##0_-;\-* #,##0_-;_-* &quot;-&quot;??_-;_-@_-">
                  <c:v>36.5</c:v>
                </c:pt>
                <c:pt idx="271" formatCode="_-* #,##0_-;\-* #,##0_-;_-* &quot;-&quot;??_-;_-@_-">
                  <c:v>61</c:v>
                </c:pt>
                <c:pt idx="272" formatCode="_-* #,##0_-;\-* #,##0_-;_-* &quot;-&quot;??_-;_-@_-">
                  <c:v>33.5</c:v>
                </c:pt>
                <c:pt idx="273" formatCode="_-* #,##0_-;\-* #,##0_-;_-* &quot;-&quot;??_-;_-@_-">
                  <c:v>64</c:v>
                </c:pt>
                <c:pt idx="274" formatCode="_-* #,##0_-;\-* #,##0_-;_-* &quot;-&quot;??_-;_-@_-">
                  <c:v>49</c:v>
                </c:pt>
                <c:pt idx="275" formatCode="_-* #,##0_-;\-* #,##0_-;_-* &quot;-&quot;??_-;_-@_-">
                  <c:v>54</c:v>
                </c:pt>
                <c:pt idx="276" formatCode="_-* #,##0_-;\-* #,##0_-;_-* &quot;-&quot;??_-;_-@_-">
                  <c:v>86</c:v>
                </c:pt>
                <c:pt idx="277" formatCode="_-* #,##0_-;\-* #,##0_-;_-* &quot;-&quot;??_-;_-@_-">
                  <c:v>33</c:v>
                </c:pt>
                <c:pt idx="278" formatCode="_-* #,##0_-;\-* #,##0_-;_-* &quot;-&quot;??_-;_-@_-">
                  <c:v>55</c:v>
                </c:pt>
                <c:pt idx="279" formatCode="_-* #,##0_-;\-* #,##0_-;_-* &quot;-&quot;??_-;_-@_-">
                  <c:v>45</c:v>
                </c:pt>
                <c:pt idx="280" formatCode="_-* #,##0_-;\-* #,##0_-;_-* &quot;-&quot;??_-;_-@_-">
                  <c:v>82.5</c:v>
                </c:pt>
                <c:pt idx="281" formatCode="_-* #,##0_-;\-* #,##0_-;_-* &quot;-&quot;??_-;_-@_-">
                  <c:v>57.5</c:v>
                </c:pt>
                <c:pt idx="282" formatCode="_-* #,##0_-;\-* #,##0_-;_-* &quot;-&quot;??_-;_-@_-">
                  <c:v>21</c:v>
                </c:pt>
                <c:pt idx="283" formatCode="_-* #,##0_-;\-* #,##0_-;_-* &quot;-&quot;??_-;_-@_-">
                  <c:v>42</c:v>
                </c:pt>
                <c:pt idx="284" formatCode="_-* #,##0_-;\-* #,##0_-;_-* &quot;-&quot;??_-;_-@_-">
                  <c:v>57.5</c:v>
                </c:pt>
                <c:pt idx="285" formatCode="_-* #,##0_-;\-* #,##0_-;_-* &quot;-&quot;??_-;_-@_-">
                  <c:v>88.5</c:v>
                </c:pt>
                <c:pt idx="286" formatCode="_-* #,##0_-;\-* #,##0_-;_-* &quot;-&quot;??_-;_-@_-">
                  <c:v>48</c:v>
                </c:pt>
                <c:pt idx="287" formatCode="_-* #,##0_-;\-* #,##0_-;_-* &quot;-&quot;??_-;_-@_-">
                  <c:v>45</c:v>
                </c:pt>
                <c:pt idx="288" formatCode="_-* #,##0_-;\-* #,##0_-;_-* &quot;-&quot;??_-;_-@_-">
                  <c:v>83</c:v>
                </c:pt>
                <c:pt idx="289" formatCode="_-* #,##0_-;\-* #,##0_-;_-* &quot;-&quot;??_-;_-@_-">
                  <c:v>80.5</c:v>
                </c:pt>
                <c:pt idx="290" formatCode="_-* #,##0_-;\-* #,##0_-;_-* &quot;-&quot;??_-;_-@_-">
                  <c:v>61</c:v>
                </c:pt>
                <c:pt idx="291" formatCode="_-* #,##0_-;\-* #,##0_-;_-* &quot;-&quot;??_-;_-@_-">
                  <c:v>99.5</c:v>
                </c:pt>
                <c:pt idx="292" formatCode="_-* #,##0_-;\-* #,##0_-;_-* &quot;-&quot;??_-;_-@_-">
                  <c:v>72</c:v>
                </c:pt>
                <c:pt idx="293" formatCode="_-* #,##0_-;\-* #,##0_-;_-* &quot;-&quot;??_-;_-@_-">
                  <c:v>67.5</c:v>
                </c:pt>
                <c:pt idx="294" formatCode="_-* #,##0_-;\-* #,##0_-;_-* &quot;-&quot;??_-;_-@_-">
                  <c:v>39.5</c:v>
                </c:pt>
                <c:pt idx="295" formatCode="_-* #,##0_-;\-* #,##0_-;_-* &quot;-&quot;??_-;_-@_-">
                  <c:v>73.5</c:v>
                </c:pt>
                <c:pt idx="296" formatCode="_-* #,##0_-;\-* #,##0_-;_-* &quot;-&quot;??_-;_-@_-">
                  <c:v>36</c:v>
                </c:pt>
                <c:pt idx="297" formatCode="_-* #,##0_-;\-* #,##0_-;_-* &quot;-&quot;??_-;_-@_-">
                  <c:v>66.5</c:v>
                </c:pt>
                <c:pt idx="298" formatCode="_-* #,##0_-;\-* #,##0_-;_-* &quot;-&quot;??_-;_-@_-">
                  <c:v>30</c:v>
                </c:pt>
                <c:pt idx="299" formatCode="_-* #,##0_-;\-* #,##0_-;_-* &quot;-&quot;??_-;_-@_-">
                  <c:v>36.5</c:v>
                </c:pt>
                <c:pt idx="300" formatCode="_-* #,##0_-;\-* #,##0_-;_-* &quot;-&quot;??_-;_-@_-">
                  <c:v>36</c:v>
                </c:pt>
                <c:pt idx="301" formatCode="_-* #,##0_-;\-* #,##0_-;_-* &quot;-&quot;??_-;_-@_-">
                  <c:v>39.5</c:v>
                </c:pt>
                <c:pt idx="302" formatCode="_-* #,##0_-;\-* #,##0_-;_-* &quot;-&quot;??_-;_-@_-">
                  <c:v>67.5</c:v>
                </c:pt>
                <c:pt idx="303" formatCode="_-* #,##0_-;\-* #,##0_-;_-* &quot;-&quot;??_-;_-@_-">
                  <c:v>42</c:v>
                </c:pt>
                <c:pt idx="304" formatCode="_-* #,##0_-;\-* #,##0_-;_-* &quot;-&quot;??_-;_-@_-">
                  <c:v>58</c:v>
                </c:pt>
                <c:pt idx="305" formatCode="_-* #,##0_-;\-* #,##0_-;_-* &quot;-&quot;??_-;_-@_-">
                  <c:v>79</c:v>
                </c:pt>
                <c:pt idx="306" formatCode="_-* #,##0_-;\-* #,##0_-;_-* &quot;-&quot;??_-;_-@_-">
                  <c:v>89</c:v>
                </c:pt>
                <c:pt idx="307" formatCode="_-* #,##0_-;\-* #,##0_-;_-* &quot;-&quot;??_-;_-@_-">
                  <c:v>123</c:v>
                </c:pt>
                <c:pt idx="308" formatCode="_-* #,##0_-;\-* #,##0_-;_-* &quot;-&quot;??_-;_-@_-">
                  <c:v>74.5</c:v>
                </c:pt>
                <c:pt idx="309" formatCode="_-* #,##0_-;\-* #,##0_-;_-* &quot;-&quot;??_-;_-@_-">
                  <c:v>30</c:v>
                </c:pt>
                <c:pt idx="310" formatCode="_-* #,##0_-;\-* #,##0_-;_-* &quot;-&quot;??_-;_-@_-">
                  <c:v>67.5</c:v>
                </c:pt>
                <c:pt idx="311" formatCode="_-* #,##0_-;\-* #,##0_-;_-* &quot;-&quot;??_-;_-@_-">
                  <c:v>75.5</c:v>
                </c:pt>
                <c:pt idx="312" formatCode="_-* #,##0_-;\-* #,##0_-;_-* &quot;-&quot;??_-;_-@_-">
                  <c:v>76.5</c:v>
                </c:pt>
                <c:pt idx="313" formatCode="_-* #,##0_-;\-* #,##0_-;_-* &quot;-&quot;??_-;_-@_-">
                  <c:v>58</c:v>
                </c:pt>
                <c:pt idx="314" formatCode="_-* #,##0_-;\-* #,##0_-;_-* &quot;-&quot;??_-;_-@_-">
                  <c:v>67</c:v>
                </c:pt>
                <c:pt idx="315" formatCode="_-* #,##0_-;\-* #,##0_-;_-* &quot;-&quot;??_-;_-@_-">
                  <c:v>76</c:v>
                </c:pt>
                <c:pt idx="316" formatCode="_-* #,##0_-;\-* #,##0_-;_-* &quot;-&quot;??_-;_-@_-">
                  <c:v>67</c:v>
                </c:pt>
                <c:pt idx="317" formatCode="_-* #,##0_-;\-* #,##0_-;_-* &quot;-&quot;??_-;_-@_-">
                  <c:v>104.5</c:v>
                </c:pt>
                <c:pt idx="318" formatCode="_-* #,##0_-;\-* #,##0_-;_-* &quot;-&quot;??_-;_-@_-">
                  <c:v>109</c:v>
                </c:pt>
                <c:pt idx="319" formatCode="_-* #,##0_-;\-* #,##0_-;_-* &quot;-&quot;??_-;_-@_-">
                  <c:v>49.5</c:v>
                </c:pt>
                <c:pt idx="320" formatCode="_-* #,##0_-;\-* #,##0_-;_-* &quot;-&quot;??_-;_-@_-">
                  <c:v>36</c:v>
                </c:pt>
                <c:pt idx="321" formatCode="_-* #,##0_-;\-* #,##0_-;_-* &quot;-&quot;??_-;_-@_-">
                  <c:v>24</c:v>
                </c:pt>
                <c:pt idx="322" formatCode="_-* #,##0_-;\-* #,##0_-;_-* &quot;-&quot;??_-;_-@_-">
                  <c:v>27</c:v>
                </c:pt>
                <c:pt idx="323" formatCode="_-* #,##0_-;\-* #,##0_-;_-* &quot;-&quot;??_-;_-@_-">
                  <c:v>18</c:v>
                </c:pt>
                <c:pt idx="324" formatCode="_-* #,##0_-;\-* #,##0_-;_-* &quot;-&quot;??_-;_-@_-">
                  <c:v>27</c:v>
                </c:pt>
                <c:pt idx="325" formatCode="_-* #,##0_-;\-* #,##0_-;_-* &quot;-&quot;??_-;_-@_-">
                  <c:v>135</c:v>
                </c:pt>
                <c:pt idx="326" formatCode="_-* #,##0_-;\-* #,##0_-;_-* &quot;-&quot;??_-;_-@_-">
                  <c:v>108.5</c:v>
                </c:pt>
                <c:pt idx="327" formatCode="_-* #,##0_-;\-* #,##0_-;_-* &quot;-&quot;??_-;_-@_-">
                  <c:v>27</c:v>
                </c:pt>
                <c:pt idx="328" formatCode="_-* #,##0_-;\-* #,##0_-;_-* &quot;-&quot;??_-;_-@_-">
                  <c:v>54.5</c:v>
                </c:pt>
                <c:pt idx="329" formatCode="_-* #,##0_-;\-* #,##0_-;_-* &quot;-&quot;??_-;_-@_-">
                  <c:v>37</c:v>
                </c:pt>
                <c:pt idx="330" formatCode="_-* #,##0_-;\-* #,##0_-;_-* &quot;-&quot;??_-;_-@_-">
                  <c:v>54</c:v>
                </c:pt>
                <c:pt idx="331" formatCode="_-* #,##0_-;\-* #,##0_-;_-* &quot;-&quot;??_-;_-@_-">
                  <c:v>33</c:v>
                </c:pt>
                <c:pt idx="332" formatCode="_-* #,##0_-;\-* #,##0_-;_-* &quot;-&quot;??_-;_-@_-">
                  <c:v>27.5</c:v>
                </c:pt>
                <c:pt idx="333" formatCode="_-* #,##0_-;\-* #,##0_-;_-* &quot;-&quot;??_-;_-@_-">
                  <c:v>24</c:v>
                </c:pt>
                <c:pt idx="334" formatCode="_-* #,##0_-;\-* #,##0_-;_-* &quot;-&quot;??_-;_-@_-">
                  <c:v>76.5</c:v>
                </c:pt>
                <c:pt idx="335" formatCode="_-* #,##0_-;\-* #,##0_-;_-* &quot;-&quot;??_-;_-@_-">
                  <c:v>60.5</c:v>
                </c:pt>
                <c:pt idx="336" formatCode="_-* #,##0_-;\-* #,##0_-;_-* &quot;-&quot;??_-;_-@_-">
                  <c:v>66.5</c:v>
                </c:pt>
                <c:pt idx="337" formatCode="_-* #,##0_-;\-* #,##0_-;_-* &quot;-&quot;??_-;_-@_-">
                  <c:v>61.5</c:v>
                </c:pt>
                <c:pt idx="338" formatCode="_-* #,##0_-;\-* #,##0_-;_-* &quot;-&quot;??_-;_-@_-">
                  <c:v>130</c:v>
                </c:pt>
                <c:pt idx="339" formatCode="_-* #,##0_-;\-* #,##0_-;_-* &quot;-&quot;??_-;_-@_-">
                  <c:v>93.5</c:v>
                </c:pt>
                <c:pt idx="340" formatCode="_-* #,##0_-;\-* #,##0_-;_-* &quot;-&quot;??_-;_-@_-">
                  <c:v>67.5</c:v>
                </c:pt>
                <c:pt idx="341" formatCode="_-* #,##0_-;\-* #,##0_-;_-* &quot;-&quot;??_-;_-@_-">
                  <c:v>68.5</c:v>
                </c:pt>
                <c:pt idx="342" formatCode="_-* #,##0_-;\-* #,##0_-;_-* &quot;-&quot;??_-;_-@_-">
                  <c:v>33.5</c:v>
                </c:pt>
                <c:pt idx="343" formatCode="_-* #,##0_-;\-* #,##0_-;_-* &quot;-&quot;??_-;_-@_-">
                  <c:v>88.5</c:v>
                </c:pt>
                <c:pt idx="344" formatCode="_-* #,##0_-;\-* #,##0_-;_-* &quot;-&quot;??_-;_-@_-">
                  <c:v>36</c:v>
                </c:pt>
                <c:pt idx="345" formatCode="_-* #,##0_-;\-* #,##0_-;_-* &quot;-&quot;??_-;_-@_-">
                  <c:v>125</c:v>
                </c:pt>
                <c:pt idx="346" formatCode="_-* #,##0_-;\-* #,##0_-;_-* &quot;-&quot;??_-;_-@_-">
                  <c:v>60</c:v>
                </c:pt>
                <c:pt idx="347" formatCode="_-* #,##0_-;\-* #,##0_-;_-* &quot;-&quot;??_-;_-@_-">
                  <c:v>42</c:v>
                </c:pt>
                <c:pt idx="348" formatCode="_-* #,##0_-;\-* #,##0_-;_-* &quot;-&quot;??_-;_-@_-">
                  <c:v>48</c:v>
                </c:pt>
                <c:pt idx="349" formatCode="_-* #,##0_-;\-* #,##0_-;_-* &quot;-&quot;??_-;_-@_-">
                  <c:v>42</c:v>
                </c:pt>
                <c:pt idx="350" formatCode="_-* #,##0_-;\-* #,##0_-;_-* &quot;-&quot;??_-;_-@_-">
                  <c:v>30</c:v>
                </c:pt>
                <c:pt idx="351" formatCode="_-* #,##0_-;\-* #,##0_-;_-* &quot;-&quot;??_-;_-@_-">
                  <c:v>59</c:v>
                </c:pt>
                <c:pt idx="352" formatCode="_-* #,##0_-;\-* #,##0_-;_-* &quot;-&quot;??_-;_-@_-">
                  <c:v>61</c:v>
                </c:pt>
                <c:pt idx="353" formatCode="_-* #,##0_-;\-* #,##0_-;_-* &quot;-&quot;??_-;_-@_-">
                  <c:v>54</c:v>
                </c:pt>
                <c:pt idx="354" formatCode="_-* #,##0_-;\-* #,##0_-;_-* &quot;-&quot;??_-;_-@_-">
                  <c:v>55</c:v>
                </c:pt>
                <c:pt idx="355" formatCode="_-* #,##0_-;\-* #,##0_-;_-* &quot;-&quot;??_-;_-@_-">
                  <c:v>81.5</c:v>
                </c:pt>
                <c:pt idx="356" formatCode="_-* #,##0_-;\-* #,##0_-;_-* &quot;-&quot;??_-;_-@_-">
                  <c:v>110.5</c:v>
                </c:pt>
                <c:pt idx="357" formatCode="_-* #,##0_-;\-* #,##0_-;_-* &quot;-&quot;??_-;_-@_-">
                  <c:v>79</c:v>
                </c:pt>
                <c:pt idx="358" formatCode="_-* #,##0_-;\-* #,##0_-;_-* &quot;-&quot;??_-;_-@_-">
                  <c:v>66.5</c:v>
                </c:pt>
                <c:pt idx="359" formatCode="_-* #,##0_-;\-* #,##0_-;_-* &quot;-&quot;??_-;_-@_-">
                  <c:v>114</c:v>
                </c:pt>
                <c:pt idx="360" formatCode="_-* #,##0_-;\-* #,##0_-;_-* &quot;-&quot;??_-;_-@_-">
                  <c:v>131</c:v>
                </c:pt>
                <c:pt idx="361" formatCode="_-* #,##0_-;\-* #,##0_-;_-* &quot;-&quot;??_-;_-@_-">
                  <c:v>240</c:v>
                </c:pt>
                <c:pt idx="362" formatCode="_-* #,##0_-;\-* #,##0_-;_-* &quot;-&quot;??_-;_-@_-">
                  <c:v>25</c:v>
                </c:pt>
                <c:pt idx="363" formatCode="_-* #,##0_-;\-* #,##0_-;_-* &quot;-&quot;??_-;_-@_-">
                  <c:v>0</c:v>
                </c:pt>
                <c:pt idx="364" formatCode="_-* #,##0_-;\-* #,##0_-;_-* &quot;-&quot;??_-;_-@_-">
                  <c:v>0</c:v>
                </c:pt>
                <c:pt idx="365" formatCode="_-* #,##0_-;\-* #,##0_-;_-* &quot;-&quot;??_-;_-@_-">
                  <c:v>3</c:v>
                </c:pt>
                <c:pt idx="366" formatCode="_-* #,##0_-;\-* #,##0_-;_-* &quot;-&quot;??_-;_-@_-">
                  <c:v>56</c:v>
                </c:pt>
                <c:pt idx="367" formatCode="_-* #,##0_-;\-* #,##0_-;_-* &quot;-&quot;??_-;_-@_-">
                  <c:v>88</c:v>
                </c:pt>
                <c:pt idx="368" formatCode="_-* #,##0_-;\-* #,##0_-;_-* &quot;-&quot;??_-;_-@_-">
                  <c:v>69.5</c:v>
                </c:pt>
                <c:pt idx="369" formatCode="_-* #,##0_-;\-* #,##0_-;_-* &quot;-&quot;??_-;_-@_-">
                  <c:v>49</c:v>
                </c:pt>
                <c:pt idx="370" formatCode="_-* #,##0_-;\-* #,##0_-;_-* &quot;-&quot;??_-;_-@_-">
                  <c:v>146.5</c:v>
                </c:pt>
                <c:pt idx="371" formatCode="_-* #,##0_-;\-* #,##0_-;_-* &quot;-&quot;??_-;_-@_-">
                  <c:v>82.5</c:v>
                </c:pt>
                <c:pt idx="372" formatCode="_-* #,##0_-;\-* #,##0_-;_-* &quot;-&quot;??_-;_-@_-">
                  <c:v>76</c:v>
                </c:pt>
                <c:pt idx="373" formatCode="_-* #,##0_-;\-* #,##0_-;_-* &quot;-&quot;??_-;_-@_-">
                  <c:v>43</c:v>
                </c:pt>
                <c:pt idx="374" formatCode="_-* #,##0_-;\-* #,##0_-;_-* &quot;-&quot;??_-;_-@_-">
                  <c:v>61</c:v>
                </c:pt>
                <c:pt idx="375" formatCode="_-* #,##0_-;\-* #,##0_-;_-* &quot;-&quot;??_-;_-@_-">
                  <c:v>36</c:v>
                </c:pt>
                <c:pt idx="376" formatCode="_-* #,##0_-;\-* #,##0_-;_-* &quot;-&quot;??_-;_-@_-">
                  <c:v>60.5</c:v>
                </c:pt>
                <c:pt idx="377" formatCode="_-* #,##0_-;\-* #,##0_-;_-* &quot;-&quot;??_-;_-@_-">
                  <c:v>37</c:v>
                </c:pt>
                <c:pt idx="378" formatCode="_-* #,##0_-;\-* #,##0_-;_-* &quot;-&quot;??_-;_-@_-">
                  <c:v>118</c:v>
                </c:pt>
                <c:pt idx="379" formatCode="_-* #,##0_-;\-* #,##0_-;_-* &quot;-&quot;??_-;_-@_-">
                  <c:v>18.5</c:v>
                </c:pt>
                <c:pt idx="380" formatCode="_-* #,##0_-;\-* #,##0_-;_-* &quot;-&quot;??_-;_-@_-">
                  <c:v>45.5</c:v>
                </c:pt>
                <c:pt idx="381" formatCode="_-* #,##0_-;\-* #,##0_-;_-* &quot;-&quot;??_-;_-@_-">
                  <c:v>111.5</c:v>
                </c:pt>
                <c:pt idx="382" formatCode="_-* #,##0_-;\-* #,##0_-;_-* &quot;-&quot;??_-;_-@_-">
                  <c:v>72.5</c:v>
                </c:pt>
                <c:pt idx="383" formatCode="_-* #,##0_-;\-* #,##0_-;_-* &quot;-&quot;??_-;_-@_-">
                  <c:v>65</c:v>
                </c:pt>
                <c:pt idx="384" formatCode="_-* #,##0_-;\-* #,##0_-;_-* &quot;-&quot;??_-;_-@_-">
                  <c:v>52.5</c:v>
                </c:pt>
                <c:pt idx="385" formatCode="_-* #,##0_-;\-* #,##0_-;_-* &quot;-&quot;??_-;_-@_-">
                  <c:v>127</c:v>
                </c:pt>
                <c:pt idx="386" formatCode="_-* #,##0_-;\-* #,##0_-;_-* &quot;-&quot;??_-;_-@_-">
                  <c:v>83</c:v>
                </c:pt>
                <c:pt idx="387" formatCode="_-* #,##0_-;\-* #,##0_-;_-* &quot;-&quot;??_-;_-@_-">
                  <c:v>24</c:v>
                </c:pt>
                <c:pt idx="388" formatCode="_-* #,##0_-;\-* #,##0_-;_-* &quot;-&quot;??_-;_-@_-">
                  <c:v>48</c:v>
                </c:pt>
                <c:pt idx="389" formatCode="_-* #,##0_-;\-* #,##0_-;_-* &quot;-&quot;??_-;_-@_-">
                  <c:v>33.5</c:v>
                </c:pt>
                <c:pt idx="390" formatCode="_-* #,##0_-;\-* #,##0_-;_-* &quot;-&quot;??_-;_-@_-">
                  <c:v>42.2</c:v>
                </c:pt>
                <c:pt idx="391" formatCode="_-* #,##0_-;\-* #,##0_-;_-* &quot;-&quot;??_-;_-@_-">
                  <c:v>30</c:v>
                </c:pt>
                <c:pt idx="392" formatCode="_-* #,##0_-;\-* #,##0_-;_-* &quot;-&quot;??_-;_-@_-">
                  <c:v>42</c:v>
                </c:pt>
                <c:pt idx="393" formatCode="_-* #,##0_-;\-* #,##0_-;_-* &quot;-&quot;??_-;_-@_-">
                  <c:v>101</c:v>
                </c:pt>
                <c:pt idx="394" formatCode="_-* #,##0_-;\-* #,##0_-;_-* &quot;-&quot;??_-;_-@_-">
                  <c:v>42.5</c:v>
                </c:pt>
                <c:pt idx="395" formatCode="_-* #,##0_-;\-* #,##0_-;_-* &quot;-&quot;??_-;_-@_-">
                  <c:v>103</c:v>
                </c:pt>
                <c:pt idx="396" formatCode="_-* #,##0_-;\-* #,##0_-;_-* &quot;-&quot;??_-;_-@_-">
                  <c:v>92.5</c:v>
                </c:pt>
                <c:pt idx="397" formatCode="_-* #,##0_-;\-* #,##0_-;_-* &quot;-&quot;??_-;_-@_-">
                  <c:v>75.5</c:v>
                </c:pt>
                <c:pt idx="398" formatCode="_-* #,##0_-;\-* #,##0_-;_-* &quot;-&quot;??_-;_-@_-">
                  <c:v>97.5</c:v>
                </c:pt>
                <c:pt idx="399" formatCode="_-* #,##0_-;\-* #,##0_-;_-* &quot;-&quot;??_-;_-@_-">
                  <c:v>73</c:v>
                </c:pt>
                <c:pt idx="400" formatCode="_-* #,##0_-;\-* #,##0_-;_-* &quot;-&quot;??_-;_-@_-">
                  <c:v>97</c:v>
                </c:pt>
                <c:pt idx="401" formatCode="_-* #,##0_-;\-* #,##0_-;_-* &quot;-&quot;??_-;_-@_-">
                  <c:v>112</c:v>
                </c:pt>
                <c:pt idx="402" formatCode="_-* #,##0_-;\-* #,##0_-;_-* &quot;-&quot;??_-;_-@_-">
                  <c:v>120.5</c:v>
                </c:pt>
                <c:pt idx="403" formatCode="_-* #,##0_-;\-* #,##0_-;_-* &quot;-&quot;??_-;_-@_-">
                  <c:v>122</c:v>
                </c:pt>
                <c:pt idx="404" formatCode="_-* #,##0_-;\-* #,##0_-;_-* &quot;-&quot;??_-;_-@_-">
                  <c:v>85</c:v>
                </c:pt>
                <c:pt idx="405" formatCode="_-* #,##0_-;\-* #,##0_-;_-* &quot;-&quot;??_-;_-@_-">
                  <c:v>45</c:v>
                </c:pt>
                <c:pt idx="406" formatCode="_-* #,##0_-;\-* #,##0_-;_-* &quot;-&quot;??_-;_-@_-">
                  <c:v>90.5</c:v>
                </c:pt>
                <c:pt idx="407" formatCode="_-* #,##0_-;\-* #,##0_-;_-* &quot;-&quot;??_-;_-@_-">
                  <c:v>112.5</c:v>
                </c:pt>
                <c:pt idx="408" formatCode="_-* #,##0_-;\-* #,##0_-;_-* &quot;-&quot;??_-;_-@_-">
                  <c:v>81.5</c:v>
                </c:pt>
                <c:pt idx="409" formatCode="_-* #,##0_-;\-* #,##0_-;_-* &quot;-&quot;??_-;_-@_-">
                  <c:v>78</c:v>
                </c:pt>
                <c:pt idx="410" formatCode="_-* #,##0_-;\-* #,##0_-;_-* &quot;-&quot;??_-;_-@_-">
                  <c:v>117</c:v>
                </c:pt>
                <c:pt idx="411" formatCode="_-* #,##0_-;\-* #,##0_-;_-* &quot;-&quot;??_-;_-@_-">
                  <c:v>87.5</c:v>
                </c:pt>
                <c:pt idx="412" formatCode="_-* #,##0_-;\-* #,##0_-;_-* &quot;-&quot;??_-;_-@_-">
                  <c:v>57</c:v>
                </c:pt>
                <c:pt idx="413" formatCode="_-* #,##0_-;\-* #,##0_-;_-* &quot;-&quot;??_-;_-@_-">
                  <c:v>91</c:v>
                </c:pt>
                <c:pt idx="414" formatCode="_-* #,##0_-;\-* #,##0_-;_-* &quot;-&quot;??_-;_-@_-">
                  <c:v>115</c:v>
                </c:pt>
                <c:pt idx="415" formatCode="_-* #,##0_-;\-* #,##0_-;_-* &quot;-&quot;??_-;_-@_-">
                  <c:v>55</c:v>
                </c:pt>
                <c:pt idx="416" formatCode="_-* #,##0_-;\-* #,##0_-;_-* &quot;-&quot;??_-;_-@_-">
                  <c:v>97.5</c:v>
                </c:pt>
                <c:pt idx="417" formatCode="_-* #,##0_-;\-* #,##0_-;_-* &quot;-&quot;??_-;_-@_-">
                  <c:v>122</c:v>
                </c:pt>
                <c:pt idx="418" formatCode="_-* #,##0_-;\-* #,##0_-;_-* &quot;-&quot;??_-;_-@_-">
                  <c:v>56</c:v>
                </c:pt>
                <c:pt idx="419" formatCode="_-* #,##0_-;\-* #,##0_-;_-* &quot;-&quot;??_-;_-@_-">
                  <c:v>60.5</c:v>
                </c:pt>
                <c:pt idx="420" formatCode="_-* #,##0_-;\-* #,##0_-;_-* &quot;-&quot;??_-;_-@_-">
                  <c:v>51</c:v>
                </c:pt>
                <c:pt idx="421" formatCode="_-* #,##0_-;\-* #,##0_-;_-* &quot;-&quot;??_-;_-@_-">
                  <c:v>48.5</c:v>
                </c:pt>
                <c:pt idx="422" formatCode="_-* #,##0_-;\-* #,##0_-;_-* &quot;-&quot;??_-;_-@_-">
                  <c:v>36</c:v>
                </c:pt>
                <c:pt idx="423" formatCode="_-* #,##0_-;\-* #,##0_-;_-* &quot;-&quot;??_-;_-@_-">
                  <c:v>110</c:v>
                </c:pt>
                <c:pt idx="424" formatCode="_-* #,##0_-;\-* #,##0_-;_-* &quot;-&quot;??_-;_-@_-">
                  <c:v>87.5</c:v>
                </c:pt>
                <c:pt idx="425" formatCode="_-* #,##0_-;\-* #,##0_-;_-* &quot;-&quot;??_-;_-@_-">
                  <c:v>173.5</c:v>
                </c:pt>
                <c:pt idx="426" formatCode="_-* #,##0_-;\-* #,##0_-;_-* &quot;-&quot;??_-;_-@_-">
                  <c:v>126.5</c:v>
                </c:pt>
                <c:pt idx="427" formatCode="_-* #,##0_-;\-* #,##0_-;_-* &quot;-&quot;??_-;_-@_-">
                  <c:v>108.5</c:v>
                </c:pt>
                <c:pt idx="428" formatCode="_-* #,##0_-;\-* #,##0_-;_-* &quot;-&quot;??_-;_-@_-">
                  <c:v>42.5</c:v>
                </c:pt>
                <c:pt idx="429" formatCode="_-* #,##0_-;\-* #,##0_-;_-* &quot;-&quot;??_-;_-@_-">
                  <c:v>57</c:v>
                </c:pt>
                <c:pt idx="430" formatCode="_-* #,##0_-;\-* #,##0_-;_-* &quot;-&quot;??_-;_-@_-">
                  <c:v>162.5</c:v>
                </c:pt>
                <c:pt idx="431" formatCode="_-* #,##0_-;\-* #,##0_-;_-* &quot;-&quot;??_-;_-@_-">
                  <c:v>180</c:v>
                </c:pt>
                <c:pt idx="432" formatCode="_-* #,##0_-;\-* #,##0_-;_-* &quot;-&quot;??_-;_-@_-">
                  <c:v>116.5</c:v>
                </c:pt>
                <c:pt idx="433" formatCode="_-* #,##0_-;\-* #,##0_-;_-* &quot;-&quot;??_-;_-@_-">
                  <c:v>120.5</c:v>
                </c:pt>
                <c:pt idx="434" formatCode="_-* #,##0_-;\-* #,##0_-;_-* &quot;-&quot;??_-;_-@_-">
                  <c:v>51.5</c:v>
                </c:pt>
                <c:pt idx="435" formatCode="_-* #,##0_-;\-* #,##0_-;_-* &quot;-&quot;??_-;_-@_-">
                  <c:v>91</c:v>
                </c:pt>
                <c:pt idx="436" formatCode="_-* #,##0_-;\-* #,##0_-;_-* &quot;-&quot;??_-;_-@_-">
                  <c:v>45.5</c:v>
                </c:pt>
                <c:pt idx="437" formatCode="_-* #,##0_-;\-* #,##0_-;_-* &quot;-&quot;??_-;_-@_-">
                  <c:v>97</c:v>
                </c:pt>
                <c:pt idx="438" formatCode="_-* #,##0_-;\-* #,##0_-;_-* &quot;-&quot;??_-;_-@_-">
                  <c:v>69</c:v>
                </c:pt>
                <c:pt idx="439" formatCode="_-* #,##0_-;\-* #,##0_-;_-* &quot;-&quot;??_-;_-@_-">
                  <c:v>102</c:v>
                </c:pt>
                <c:pt idx="440" formatCode="_-* #,##0_-;\-* #,##0_-;_-* &quot;-&quot;??_-;_-@_-">
                  <c:v>79</c:v>
                </c:pt>
                <c:pt idx="441" formatCode="_-* #,##0_-;\-* #,##0_-;_-* &quot;-&quot;??_-;_-@_-">
                  <c:v>55</c:v>
                </c:pt>
                <c:pt idx="442" formatCode="_-* #,##0_-;\-* #,##0_-;_-* &quot;-&quot;??_-;_-@_-">
                  <c:v>88</c:v>
                </c:pt>
                <c:pt idx="443" formatCode="_-* #,##0_-;\-* #,##0_-;_-* &quot;-&quot;??_-;_-@_-">
                  <c:v>63.5</c:v>
                </c:pt>
                <c:pt idx="444" formatCode="_-* #,##0_-;\-* #,##0_-;_-* &quot;-&quot;??_-;_-@_-">
                  <c:v>133.5</c:v>
                </c:pt>
                <c:pt idx="445" formatCode="_-* #,##0_-;\-* #,##0_-;_-* &quot;-&quot;??_-;_-@_-">
                  <c:v>90.5</c:v>
                </c:pt>
                <c:pt idx="446" formatCode="_-* #,##0_-;\-* #,##0_-;_-* &quot;-&quot;??_-;_-@_-">
                  <c:v>92.5</c:v>
                </c:pt>
                <c:pt idx="447" formatCode="_-* #,##0_-;\-* #,##0_-;_-* &quot;-&quot;??_-;_-@_-">
                  <c:v>66.5</c:v>
                </c:pt>
                <c:pt idx="448" formatCode="_-* #,##0_-;\-* #,##0_-;_-* &quot;-&quot;??_-;_-@_-">
                  <c:v>70</c:v>
                </c:pt>
                <c:pt idx="449" formatCode="_-* #,##0_-;\-* #,##0_-;_-* &quot;-&quot;??_-;_-@_-">
                  <c:v>36</c:v>
                </c:pt>
                <c:pt idx="450" formatCode="_-* #,##0_-;\-* #,##0_-;_-* &quot;-&quot;??_-;_-@_-">
                  <c:v>75.5</c:v>
                </c:pt>
                <c:pt idx="451" formatCode="_-* #,##0_-;\-* #,##0_-;_-* &quot;-&quot;??_-;_-@_-">
                  <c:v>109.5</c:v>
                </c:pt>
                <c:pt idx="452" formatCode="_-* #,##0_-;\-* #,##0_-;_-* &quot;-&quot;??_-;_-@_-">
                  <c:v>55</c:v>
                </c:pt>
                <c:pt idx="453" formatCode="_-* #,##0_-;\-* #,##0_-;_-* &quot;-&quot;??_-;_-@_-">
                  <c:v>54.5</c:v>
                </c:pt>
                <c:pt idx="454" formatCode="_-* #,##0_-;\-* #,##0_-;_-* &quot;-&quot;??_-;_-@_-">
                  <c:v>64</c:v>
                </c:pt>
                <c:pt idx="455" formatCode="_-* #,##0_-;\-* #,##0_-;_-* &quot;-&quot;??_-;_-@_-">
                  <c:v>104.5</c:v>
                </c:pt>
                <c:pt idx="456" formatCode="_-* #,##0_-;\-* #,##0_-;_-* &quot;-&quot;??_-;_-@_-">
                  <c:v>305</c:v>
                </c:pt>
                <c:pt idx="457" formatCode="_-* #,##0_-;\-* #,##0_-;_-* &quot;-&quot;??_-;_-@_-">
                  <c:v>30</c:v>
                </c:pt>
                <c:pt idx="458" formatCode="_-* #,##0_-;\-* #,##0_-;_-* &quot;-&quot;??_-;_-@_-">
                  <c:v>110</c:v>
                </c:pt>
                <c:pt idx="459" formatCode="_-* #,##0_-;\-* #,##0_-;_-* &quot;-&quot;??_-;_-@_-">
                  <c:v>122.5</c:v>
                </c:pt>
                <c:pt idx="460" formatCode="_-* #,##0_-;\-* #,##0_-;_-* &quot;-&quot;??_-;_-@_-">
                  <c:v>139</c:v>
                </c:pt>
                <c:pt idx="461" formatCode="_-* #,##0_-;\-* #,##0_-;_-* &quot;-&quot;??_-;_-@_-">
                  <c:v>73</c:v>
                </c:pt>
                <c:pt idx="462" formatCode="_-* #,##0_-;\-* #,##0_-;_-* &quot;-&quot;??_-;_-@_-">
                  <c:v>110</c:v>
                </c:pt>
                <c:pt idx="463" formatCode="_-* #,##0_-;\-* #,##0_-;_-* &quot;-&quot;??_-;_-@_-">
                  <c:v>77.5</c:v>
                </c:pt>
                <c:pt idx="464" formatCode="_-* #,##0_-;\-* #,##0_-;_-* &quot;-&quot;??_-;_-@_-">
                  <c:v>120.5</c:v>
                </c:pt>
                <c:pt idx="465" formatCode="_-* #,##0_-;\-* #,##0_-;_-* &quot;-&quot;??_-;_-@_-">
                  <c:v>161</c:v>
                </c:pt>
                <c:pt idx="466" formatCode="_-* #,##0_-;\-* #,##0_-;_-* &quot;-&quot;??_-;_-@_-">
                  <c:v>79</c:v>
                </c:pt>
                <c:pt idx="467" formatCode="_-* #,##0_-;\-* #,##0_-;_-* &quot;-&quot;??_-;_-@_-">
                  <c:v>48</c:v>
                </c:pt>
                <c:pt idx="468" formatCode="_-* #,##0_-;\-* #,##0_-;_-* &quot;-&quot;??_-;_-@_-">
                  <c:v>42</c:v>
                </c:pt>
                <c:pt idx="469" formatCode="_-* #,##0_-;\-* #,##0_-;_-* &quot;-&quot;??_-;_-@_-">
                  <c:v>67.5</c:v>
                </c:pt>
                <c:pt idx="470" formatCode="_-* #,##0_-;\-* #,##0_-;_-* &quot;-&quot;??_-;_-@_-">
                  <c:v>57.5</c:v>
                </c:pt>
                <c:pt idx="471" formatCode="_-* #,##0_-;\-* #,##0_-;_-* &quot;-&quot;??_-;_-@_-">
                  <c:v>100.5</c:v>
                </c:pt>
                <c:pt idx="472" formatCode="_-* #,##0_-;\-* #,##0_-;_-* &quot;-&quot;??_-;_-@_-">
                  <c:v>122.5</c:v>
                </c:pt>
                <c:pt idx="473" formatCode="_-* #,##0_-;\-* #,##0_-;_-* &quot;-&quot;??_-;_-@_-">
                  <c:v>98</c:v>
                </c:pt>
                <c:pt idx="474" formatCode="_-* #,##0_-;\-* #,##0_-;_-* &quot;-&quot;??_-;_-@_-">
                  <c:v>196</c:v>
                </c:pt>
                <c:pt idx="475" formatCode="_-* #,##0_-;\-* #,##0_-;_-* &quot;-&quot;??_-;_-@_-">
                  <c:v>82.5</c:v>
                </c:pt>
                <c:pt idx="476" formatCode="_-* #,##0_-;\-* #,##0_-;_-* &quot;-&quot;??_-;_-@_-">
                  <c:v>103.3</c:v>
                </c:pt>
                <c:pt idx="477" formatCode="_-* #,##0_-;\-* #,##0_-;_-* &quot;-&quot;??_-;_-@_-">
                  <c:v>129</c:v>
                </c:pt>
                <c:pt idx="478" formatCode="_-* #,##0_-;\-* #,##0_-;_-* &quot;-&quot;??_-;_-@_-">
                  <c:v>36.5</c:v>
                </c:pt>
                <c:pt idx="479" formatCode="_-* #,##0_-;\-* #,##0_-;_-* &quot;-&quot;??_-;_-@_-">
                  <c:v>118</c:v>
                </c:pt>
                <c:pt idx="480" formatCode="_-* #,##0_-;\-* #,##0_-;_-* &quot;-&quot;??_-;_-@_-">
                  <c:v>89.5</c:v>
                </c:pt>
                <c:pt idx="481" formatCode="_-* #,##0_-;\-* #,##0_-;_-* &quot;-&quot;??_-;_-@_-">
                  <c:v>159</c:v>
                </c:pt>
                <c:pt idx="482" formatCode="_-* #,##0_-;\-* #,##0_-;_-* &quot;-&quot;??_-;_-@_-">
                  <c:v>216</c:v>
                </c:pt>
                <c:pt idx="483" formatCode="_-* #,##0_-;\-* #,##0_-;_-* &quot;-&quot;??_-;_-@_-">
                  <c:v>290.5</c:v>
                </c:pt>
                <c:pt idx="484" formatCode="_-* #,##0_-;\-* #,##0_-;_-* &quot;-&quot;??_-;_-@_-">
                  <c:v>192</c:v>
                </c:pt>
                <c:pt idx="485" formatCode="_-* #,##0_-;\-* #,##0_-;_-* &quot;-&quot;??_-;_-@_-">
                  <c:v>241.5</c:v>
                </c:pt>
                <c:pt idx="486" formatCode="_-* #,##0_-;\-* #,##0_-;_-* &quot;-&quot;??_-;_-@_-">
                  <c:v>119.5</c:v>
                </c:pt>
                <c:pt idx="487" formatCode="_-* #,##0_-;\-* #,##0_-;_-* &quot;-&quot;??_-;_-@_-">
                  <c:v>194</c:v>
                </c:pt>
                <c:pt idx="488" formatCode="_-* #,##0_-;\-* #,##0_-;_-* &quot;-&quot;??_-;_-@_-">
                  <c:v>151.5</c:v>
                </c:pt>
                <c:pt idx="489" formatCode="_-* #,##0_-;\-* #,##0_-;_-* &quot;-&quot;??_-;_-@_-">
                  <c:v>67.5</c:v>
                </c:pt>
                <c:pt idx="490" formatCode="_-* #,##0_-;\-* #,##0_-;_-* &quot;-&quot;??_-;_-@_-">
                  <c:v>186</c:v>
                </c:pt>
                <c:pt idx="491" formatCode="_-* #,##0_-;\-* #,##0_-;_-* &quot;-&quot;??_-;_-@_-">
                  <c:v>161</c:v>
                </c:pt>
                <c:pt idx="492" formatCode="_-* #,##0_-;\-* #,##0_-;_-* &quot;-&quot;??_-;_-@_-">
                  <c:v>116</c:v>
                </c:pt>
                <c:pt idx="493" formatCode="_-* #,##0_-;\-* #,##0_-;_-* &quot;-&quot;??_-;_-@_-">
                  <c:v>116</c:v>
                </c:pt>
                <c:pt idx="494" formatCode="_-* #,##0_-;\-* #,##0_-;_-* &quot;-&quot;??_-;_-@_-">
                  <c:v>85</c:v>
                </c:pt>
                <c:pt idx="495" formatCode="_-* #,##0_-;\-* #,##0_-;_-* &quot;-&quot;??_-;_-@_-">
                  <c:v>33</c:v>
                </c:pt>
                <c:pt idx="496" formatCode="_-* #,##0_-;\-* #,##0_-;_-* &quot;-&quot;??_-;_-@_-">
                  <c:v>69</c:v>
                </c:pt>
                <c:pt idx="497" formatCode="_-* #,##0_-;\-* #,##0_-;_-* &quot;-&quot;??_-;_-@_-">
                  <c:v>6</c:v>
                </c:pt>
                <c:pt idx="498" formatCode="_-* #,##0_-;\-* #,##0_-;_-* &quot;-&quot;??_-;_-@_-">
                  <c:v>3</c:v>
                </c:pt>
                <c:pt idx="499" formatCode="_-* #,##0_-;\-* #,##0_-;_-* &quot;-&quot;??_-;_-@_-">
                  <c:v>0</c:v>
                </c:pt>
                <c:pt idx="500" formatCode="_-* #,##0_-;\-* #,##0_-;_-* &quot;-&quot;??_-;_-@_-">
                  <c:v>15.5</c:v>
                </c:pt>
                <c:pt idx="501" formatCode="_-* #,##0_-;\-* #,##0_-;_-* &quot;-&quot;??_-;_-@_-">
                  <c:v>0</c:v>
                </c:pt>
                <c:pt idx="502" formatCode="_-* #,##0_-;\-* #,##0_-;_-* &quot;-&quot;??_-;_-@_-">
                  <c:v>36.5</c:v>
                </c:pt>
                <c:pt idx="503" formatCode="_-* #,##0_-;\-* #,##0_-;_-* &quot;-&quot;??_-;_-@_-">
                  <c:v>157</c:v>
                </c:pt>
                <c:pt idx="504" formatCode="_-* #,##0_-;\-* #,##0_-;_-* &quot;-&quot;??_-;_-@_-">
                  <c:v>112.5</c:v>
                </c:pt>
                <c:pt idx="505" formatCode="_-* #,##0_-;\-* #,##0_-;_-* &quot;-&quot;??_-;_-@_-">
                  <c:v>69.5</c:v>
                </c:pt>
                <c:pt idx="506" formatCode="_-* #,##0_-;\-* #,##0_-;_-* &quot;-&quot;??_-;_-@_-">
                  <c:v>18.5</c:v>
                </c:pt>
                <c:pt idx="507" formatCode="_-* #,##0_-;\-* #,##0_-;_-* &quot;-&quot;??_-;_-@_-">
                  <c:v>49</c:v>
                </c:pt>
                <c:pt idx="508" formatCode="_-* #,##0_-;\-* #,##0_-;_-* &quot;-&quot;??_-;_-@_-">
                  <c:v>42.5</c:v>
                </c:pt>
                <c:pt idx="509" formatCode="_-* #,##0_-;\-* #,##0_-;_-* &quot;-&quot;??_-;_-@_-">
                  <c:v>62</c:v>
                </c:pt>
                <c:pt idx="510" formatCode="_-* #,##0_-;\-* #,##0_-;_-* &quot;-&quot;??_-;_-@_-">
                  <c:v>42.5</c:v>
                </c:pt>
                <c:pt idx="511" formatCode="_-* #,##0_-;\-* #,##0_-;_-* &quot;-&quot;??_-;_-@_-">
                  <c:v>43</c:v>
                </c:pt>
                <c:pt idx="512" formatCode="_-* #,##0_-;\-* #,##0_-;_-* &quot;-&quot;??_-;_-@_-">
                  <c:v>124.5</c:v>
                </c:pt>
                <c:pt idx="513" formatCode="_-* #,##0_-;\-* #,##0_-;_-* &quot;-&quot;??_-;_-@_-">
                  <c:v>82.5</c:v>
                </c:pt>
                <c:pt idx="514" formatCode="_-* #,##0_-;\-* #,##0_-;_-* &quot;-&quot;??_-;_-@_-">
                  <c:v>33.5</c:v>
                </c:pt>
                <c:pt idx="515" formatCode="_-* #,##0_-;\-* #,##0_-;_-* &quot;-&quot;??_-;_-@_-">
                  <c:v>85.5</c:v>
                </c:pt>
                <c:pt idx="516" formatCode="_-* #,##0_-;\-* #,##0_-;_-* &quot;-&quot;??_-;_-@_-">
                  <c:v>36.5</c:v>
                </c:pt>
                <c:pt idx="517" formatCode="_-* #,##0_-;\-* #,##0_-;_-* &quot;-&quot;??_-;_-@_-">
                  <c:v>42.5</c:v>
                </c:pt>
                <c:pt idx="518" formatCode="_-* #,##0_-;\-* #,##0_-;_-* &quot;-&quot;??_-;_-@_-">
                  <c:v>104</c:v>
                </c:pt>
                <c:pt idx="519" formatCode="_-* #,##0_-;\-* #,##0_-;_-* &quot;-&quot;??_-;_-@_-">
                  <c:v>45</c:v>
                </c:pt>
                <c:pt idx="520" formatCode="_-* #,##0_-;\-* #,##0_-;_-* &quot;-&quot;??_-;_-@_-">
                  <c:v>54</c:v>
                </c:pt>
                <c:pt idx="521" formatCode="_-* #,##0_-;\-* #,##0_-;_-* &quot;-&quot;??_-;_-@_-">
                  <c:v>36</c:v>
                </c:pt>
                <c:pt idx="522" formatCode="_-* #,##0_-;\-* #,##0_-;_-* &quot;-&quot;??_-;_-@_-">
                  <c:v>67</c:v>
                </c:pt>
                <c:pt idx="523" formatCode="_-* #,##0_-;\-* #,##0_-;_-* &quot;-&quot;??_-;_-@_-">
                  <c:v>42.5</c:v>
                </c:pt>
                <c:pt idx="524" formatCode="_-* #,##0_-;\-* #,##0_-;_-* &quot;-&quot;??_-;_-@_-">
                  <c:v>72.5</c:v>
                </c:pt>
                <c:pt idx="525" formatCode="_-* #,##0_-;\-* #,##0_-;_-* &quot;-&quot;??_-;_-@_-">
                  <c:v>111</c:v>
                </c:pt>
                <c:pt idx="526" formatCode="_-* #,##0_-;\-* #,##0_-;_-* &quot;-&quot;??_-;_-@_-">
                  <c:v>57</c:v>
                </c:pt>
                <c:pt idx="527" formatCode="_-* #,##0_-;\-* #,##0_-;_-* &quot;-&quot;??_-;_-@_-">
                  <c:v>30.5</c:v>
                </c:pt>
                <c:pt idx="528" formatCode="_-* #,##0_-;\-* #,##0_-;_-* &quot;-&quot;??_-;_-@_-">
                  <c:v>100</c:v>
                </c:pt>
                <c:pt idx="529" formatCode="_-* #,##0_-;\-* #,##0_-;_-* &quot;-&quot;??_-;_-@_-">
                  <c:v>39.5</c:v>
                </c:pt>
                <c:pt idx="530" formatCode="_-* #,##0_-;\-* #,##0_-;_-* &quot;-&quot;??_-;_-@_-">
                  <c:v>78.5</c:v>
                </c:pt>
                <c:pt idx="531" formatCode="_-* #,##0_-;\-* #,##0_-;_-* &quot;-&quot;??_-;_-@_-">
                  <c:v>21</c:v>
                </c:pt>
                <c:pt idx="532" formatCode="_-* #,##0_-;\-* #,##0_-;_-* &quot;-&quot;??_-;_-@_-">
                  <c:v>80.5</c:v>
                </c:pt>
                <c:pt idx="533" formatCode="_-* #,##0_-;\-* #,##0_-;_-* &quot;-&quot;??_-;_-@_-">
                  <c:v>80.5</c:v>
                </c:pt>
                <c:pt idx="534" formatCode="_-* #,##0_-;\-* #,##0_-;_-* &quot;-&quot;??_-;_-@_-">
                  <c:v>43</c:v>
                </c:pt>
                <c:pt idx="535" formatCode="_-* #,##0_-;\-* #,##0_-;_-* &quot;-&quot;??_-;_-@_-">
                  <c:v>60.5</c:v>
                </c:pt>
                <c:pt idx="536" formatCode="_-* #,##0_-;\-* #,##0_-;_-* &quot;-&quot;??_-;_-@_-">
                  <c:v>73</c:v>
                </c:pt>
                <c:pt idx="537" formatCode="_-* #,##0_-;\-* #,##0_-;_-* &quot;-&quot;??_-;_-@_-">
                  <c:v>39.5</c:v>
                </c:pt>
                <c:pt idx="538" formatCode="_-* #,##0_-;\-* #,##0_-;_-* &quot;-&quot;??_-;_-@_-">
                  <c:v>21</c:v>
                </c:pt>
                <c:pt idx="539" formatCode="_-* #,##0_-;\-* #,##0_-;_-* &quot;-&quot;??_-;_-@_-">
                  <c:v>55</c:v>
                </c:pt>
                <c:pt idx="540" formatCode="_-* #,##0_-;\-* #,##0_-;_-* &quot;-&quot;??_-;_-@_-">
                  <c:v>347</c:v>
                </c:pt>
                <c:pt idx="541" formatCode="_-* #,##0_-;\-* #,##0_-;_-* &quot;-&quot;??_-;_-@_-">
                  <c:v>156</c:v>
                </c:pt>
                <c:pt idx="542" formatCode="_-* #,##0_-;\-* #,##0_-;_-* &quot;-&quot;??_-;_-@_-">
                  <c:v>256.5</c:v>
                </c:pt>
                <c:pt idx="543" formatCode="_-* #,##0_-;\-* #,##0_-;_-* &quot;-&quot;??_-;_-@_-">
                  <c:v>126</c:v>
                </c:pt>
                <c:pt idx="544" formatCode="_-* #,##0_-;\-* #,##0_-;_-* &quot;-&quot;??_-;_-@_-">
                  <c:v>94.5</c:v>
                </c:pt>
                <c:pt idx="545" formatCode="_-* #,##0_-;\-* #,##0_-;_-* &quot;-&quot;??_-;_-@_-">
                  <c:v>646.5</c:v>
                </c:pt>
                <c:pt idx="546" formatCode="_-* #,##0_-;\-* #,##0_-;_-* &quot;-&quot;??_-;_-@_-">
                  <c:v>93</c:v>
                </c:pt>
                <c:pt idx="547" formatCode="_-* #,##0_-;\-* #,##0_-;_-* &quot;-&quot;??_-;_-@_-">
                  <c:v>91.5</c:v>
                </c:pt>
                <c:pt idx="548" formatCode="_-* #,##0_-;\-* #,##0_-;_-* &quot;-&quot;??_-;_-@_-">
                  <c:v>60.5</c:v>
                </c:pt>
                <c:pt idx="549" formatCode="_-* #,##0_-;\-* #,##0_-;_-* &quot;-&quot;??_-;_-@_-">
                  <c:v>86</c:v>
                </c:pt>
                <c:pt idx="550" formatCode="_-* #,##0_-;\-* #,##0_-;_-* &quot;-&quot;??_-;_-@_-">
                  <c:v>95</c:v>
                </c:pt>
                <c:pt idx="551" formatCode="_-* #,##0_-;\-* #,##0_-;_-* &quot;-&quot;??_-;_-@_-">
                  <c:v>42</c:v>
                </c:pt>
                <c:pt idx="552" formatCode="_-* #,##0_-;\-* #,##0_-;_-* &quot;-&quot;??_-;_-@_-">
                  <c:v>59</c:v>
                </c:pt>
                <c:pt idx="553" formatCode="_-* #,##0_-;\-* #,##0_-;_-* &quot;-&quot;??_-;_-@_-">
                  <c:v>85.5</c:v>
                </c:pt>
                <c:pt idx="554" formatCode="_-* #,##0_-;\-* #,##0_-;_-* &quot;-&quot;??_-;_-@_-">
                  <c:v>110.5</c:v>
                </c:pt>
                <c:pt idx="555" formatCode="_-* #,##0_-;\-* #,##0_-;_-* &quot;-&quot;??_-;_-@_-">
                  <c:v>221.5</c:v>
                </c:pt>
                <c:pt idx="556" formatCode="_-* #,##0_-;\-* #,##0_-;_-* &quot;-&quot;??_-;_-@_-">
                  <c:v>245</c:v>
                </c:pt>
                <c:pt idx="557" formatCode="_-* #,##0_-;\-* #,##0_-;_-* &quot;-&quot;??_-;_-@_-">
                  <c:v>88.5</c:v>
                </c:pt>
                <c:pt idx="558" formatCode="_-* #,##0_-;\-* #,##0_-;_-* &quot;-&quot;??_-;_-@_-">
                  <c:v>93.5</c:v>
                </c:pt>
                <c:pt idx="559" formatCode="_-* #,##0_-;\-* #,##0_-;_-* &quot;-&quot;??_-;_-@_-">
                  <c:v>97</c:v>
                </c:pt>
                <c:pt idx="560" formatCode="_-* #,##0_-;\-* #,##0_-;_-* &quot;-&quot;??_-;_-@_-">
                  <c:v>134</c:v>
                </c:pt>
                <c:pt idx="561" formatCode="_-* #,##0_-;\-* #,##0_-;_-* &quot;-&quot;??_-;_-@_-">
                  <c:v>94.5</c:v>
                </c:pt>
                <c:pt idx="562" formatCode="_-* #,##0_-;\-* #,##0_-;_-* &quot;-&quot;??_-;_-@_-">
                  <c:v>97.5</c:v>
                </c:pt>
                <c:pt idx="563" formatCode="_-* #,##0_-;\-* #,##0_-;_-* &quot;-&quot;??_-;_-@_-">
                  <c:v>36.5</c:v>
                </c:pt>
                <c:pt idx="564" formatCode="_-* #,##0_-;\-* #,##0_-;_-* &quot;-&quot;??_-;_-@_-">
                  <c:v>36.5</c:v>
                </c:pt>
                <c:pt idx="565" formatCode="_-* #,##0_-;\-* #,##0_-;_-* &quot;-&quot;??_-;_-@_-">
                  <c:v>33.5</c:v>
                </c:pt>
                <c:pt idx="566" formatCode="_-* #,##0_-;\-* #,##0_-;_-* &quot;-&quot;??_-;_-@_-">
                  <c:v>42.5</c:v>
                </c:pt>
                <c:pt idx="567" formatCode="_-* #,##0_-;\-* #,##0_-;_-* &quot;-&quot;??_-;_-@_-">
                  <c:v>81</c:v>
                </c:pt>
                <c:pt idx="568" formatCode="_-* #,##0_-;\-* #,##0_-;_-* &quot;-&quot;??_-;_-@_-">
                  <c:v>21</c:v>
                </c:pt>
                <c:pt idx="569" formatCode="_-* #,##0_-;\-* #,##0_-;_-* &quot;-&quot;??_-;_-@_-">
                  <c:v>24</c:v>
                </c:pt>
                <c:pt idx="570" formatCode="_-* #,##0_-;\-* #,##0_-;_-* &quot;-&quot;??_-;_-@_-">
                  <c:v>61.5</c:v>
                </c:pt>
                <c:pt idx="571" formatCode="_-* #,##0_-;\-* #,##0_-;_-* &quot;-&quot;??_-;_-@_-">
                  <c:v>33</c:v>
                </c:pt>
                <c:pt idx="572" formatCode="_-* #,##0_-;\-* #,##0_-;_-* &quot;-&quot;??_-;_-@_-">
                  <c:v>62.5</c:v>
                </c:pt>
                <c:pt idx="573" formatCode="_-* #,##0_-;\-* #,##0_-;_-* &quot;-&quot;??_-;_-@_-">
                  <c:v>74</c:v>
                </c:pt>
                <c:pt idx="574" formatCode="_-* #,##0_-;\-* #,##0_-;_-* &quot;-&quot;??_-;_-@_-">
                  <c:v>72.5</c:v>
                </c:pt>
                <c:pt idx="575" formatCode="_-* #,##0_-;\-* #,##0_-;_-* &quot;-&quot;??_-;_-@_-">
                  <c:v>98.5</c:v>
                </c:pt>
                <c:pt idx="576" formatCode="_-* #,##0_-;\-* #,##0_-;_-* &quot;-&quot;??_-;_-@_-">
                  <c:v>55.5</c:v>
                </c:pt>
                <c:pt idx="577" formatCode="_-* #,##0_-;\-* #,##0_-;_-* &quot;-&quot;??_-;_-@_-">
                  <c:v>54.5</c:v>
                </c:pt>
                <c:pt idx="578" formatCode="_-* #,##0_-;\-* #,##0_-;_-* &quot;-&quot;??_-;_-@_-">
                  <c:v>74</c:v>
                </c:pt>
                <c:pt idx="579" formatCode="_-* #,##0_-;\-* #,##0_-;_-* &quot;-&quot;??_-;_-@_-">
                  <c:v>100.5</c:v>
                </c:pt>
                <c:pt idx="580" formatCode="_-* #,##0_-;\-* #,##0_-;_-* &quot;-&quot;??_-;_-@_-">
                  <c:v>162.5</c:v>
                </c:pt>
                <c:pt idx="581" formatCode="_-* #,##0_-;\-* #,##0_-;_-* &quot;-&quot;??_-;_-@_-">
                  <c:v>104</c:v>
                </c:pt>
                <c:pt idx="582" formatCode="_-* #,##0_-;\-* #,##0_-;_-* &quot;-&quot;??_-;_-@_-">
                  <c:v>176.5</c:v>
                </c:pt>
                <c:pt idx="583" formatCode="_-* #,##0_-;\-* #,##0_-;_-* &quot;-&quot;??_-;_-@_-">
                  <c:v>72</c:v>
                </c:pt>
                <c:pt idx="584" formatCode="_-* #,##0_-;\-* #,##0_-;_-* &quot;-&quot;??_-;_-@_-">
                  <c:v>174</c:v>
                </c:pt>
                <c:pt idx="585" formatCode="_-* #,##0_-;\-* #,##0_-;_-* &quot;-&quot;??_-;_-@_-">
                  <c:v>82</c:v>
                </c:pt>
                <c:pt idx="586" formatCode="_-* #,##0_-;\-* #,##0_-;_-* &quot;-&quot;??_-;_-@_-">
                  <c:v>67</c:v>
                </c:pt>
                <c:pt idx="587" formatCode="_-* #,##0_-;\-* #,##0_-;_-* &quot;-&quot;??_-;_-@_-">
                  <c:v>67</c:v>
                </c:pt>
                <c:pt idx="588" formatCode="_-* #,##0_-;\-* #,##0_-;_-* &quot;-&quot;??_-;_-@_-">
                  <c:v>100.5</c:v>
                </c:pt>
                <c:pt idx="589" formatCode="_-* #,##0_-;\-* #,##0_-;_-* &quot;-&quot;??_-;_-@_-">
                  <c:v>239</c:v>
                </c:pt>
                <c:pt idx="590" formatCode="_-* #,##0_-;\-* #,##0_-;_-* &quot;-&quot;??_-;_-@_-">
                  <c:v>73</c:v>
                </c:pt>
                <c:pt idx="591" formatCode="_-* #,##0_-;\-* #,##0_-;_-* &quot;-&quot;??_-;_-@_-">
                  <c:v>115.5</c:v>
                </c:pt>
                <c:pt idx="592" formatCode="_-* #,##0_-;\-* #,##0_-;_-* &quot;-&quot;??_-;_-@_-">
                  <c:v>76.5</c:v>
                </c:pt>
                <c:pt idx="593" formatCode="_-* #,##0_-;\-* #,##0_-;_-* &quot;-&quot;??_-;_-@_-">
                  <c:v>64</c:v>
                </c:pt>
                <c:pt idx="594" formatCode="_-* #,##0_-;\-* #,##0_-;_-* &quot;-&quot;??_-;_-@_-">
                  <c:v>43.5</c:v>
                </c:pt>
                <c:pt idx="595" formatCode="_-* #,##0_-;\-* #,##0_-;_-* &quot;-&quot;??_-;_-@_-">
                  <c:v>49.5</c:v>
                </c:pt>
                <c:pt idx="596" formatCode="_-* #,##0_-;\-* #,##0_-;_-* &quot;-&quot;??_-;_-@_-">
                  <c:v>64.5</c:v>
                </c:pt>
                <c:pt idx="597" formatCode="_-* #,##0_-;\-* #,##0_-;_-* &quot;-&quot;??_-;_-@_-">
                  <c:v>88.5</c:v>
                </c:pt>
                <c:pt idx="598" formatCode="_-* #,##0_-;\-* #,##0_-;_-* &quot;-&quot;??_-;_-@_-">
                  <c:v>114</c:v>
                </c:pt>
                <c:pt idx="599" formatCode="_-* #,##0_-;\-* #,##0_-;_-* &quot;-&quot;??_-;_-@_-">
                  <c:v>91</c:v>
                </c:pt>
                <c:pt idx="600" formatCode="_-* #,##0_-;\-* #,##0_-;_-* &quot;-&quot;??_-;_-@_-">
                  <c:v>86</c:v>
                </c:pt>
                <c:pt idx="601" formatCode="_-* #,##0_-;\-* #,##0_-;_-* &quot;-&quot;??_-;_-@_-">
                  <c:v>104</c:v>
                </c:pt>
                <c:pt idx="602" formatCode="_-* #,##0_-;\-* #,##0_-;_-* &quot;-&quot;??_-;_-@_-">
                  <c:v>154</c:v>
                </c:pt>
                <c:pt idx="603" formatCode="_-* #,##0_-;\-* #,##0_-;_-* &quot;-&quot;??_-;_-@_-">
                  <c:v>36.5</c:v>
                </c:pt>
                <c:pt idx="604" formatCode="_-* #,##0_-;\-* #,##0_-;_-* &quot;-&quot;??_-;_-@_-">
                  <c:v>82.5</c:v>
                </c:pt>
                <c:pt idx="605" formatCode="_-* #,##0_-;\-* #,##0_-;_-* &quot;-&quot;??_-;_-@_-">
                  <c:v>157.5</c:v>
                </c:pt>
                <c:pt idx="606" formatCode="_-* #,##0_-;\-* #,##0_-;_-* &quot;-&quot;??_-;_-@_-">
                  <c:v>15</c:v>
                </c:pt>
                <c:pt idx="607" formatCode="_-* #,##0_-;\-* #,##0_-;_-* &quot;-&quot;??_-;_-@_-">
                  <c:v>49</c:v>
                </c:pt>
                <c:pt idx="608" formatCode="_-* #,##0_-;\-* #,##0_-;_-* &quot;-&quot;??_-;_-@_-">
                  <c:v>61.5</c:v>
                </c:pt>
                <c:pt idx="609" formatCode="_-* #,##0_-;\-* #,##0_-;_-* &quot;-&quot;??_-;_-@_-">
                  <c:v>105</c:v>
                </c:pt>
                <c:pt idx="610" formatCode="_-* #,##0_-;\-* #,##0_-;_-* &quot;-&quot;??_-;_-@_-">
                  <c:v>70</c:v>
                </c:pt>
                <c:pt idx="611" formatCode="_-* #,##0_-;\-* #,##0_-;_-* &quot;-&quot;??_-;_-@_-">
                  <c:v>82</c:v>
                </c:pt>
                <c:pt idx="612" formatCode="_-* #,##0_-;\-* #,##0_-;_-* &quot;-&quot;??_-;_-@_-">
                  <c:v>61</c:v>
                </c:pt>
                <c:pt idx="613" formatCode="_-* #,##0_-;\-* #,##0_-;_-* &quot;-&quot;??_-;_-@_-">
                  <c:v>39.5</c:v>
                </c:pt>
                <c:pt idx="614" formatCode="_-* #,##0_-;\-* #,##0_-;_-* &quot;-&quot;??_-;_-@_-">
                  <c:v>52</c:v>
                </c:pt>
                <c:pt idx="615" formatCode="_-* #,##0_-;\-* #,##0_-;_-* &quot;-&quot;??_-;_-@_-">
                  <c:v>52</c:v>
                </c:pt>
                <c:pt idx="616" formatCode="_-* #,##0_-;\-* #,##0_-;_-* &quot;-&quot;??_-;_-@_-">
                  <c:v>85.5</c:v>
                </c:pt>
                <c:pt idx="617" formatCode="_-* #,##0_-;\-* #,##0_-;_-* &quot;-&quot;??_-;_-@_-">
                  <c:v>40</c:v>
                </c:pt>
                <c:pt idx="618" formatCode="_-* #,##0_-;\-* #,##0_-;_-* &quot;-&quot;??_-;_-@_-">
                  <c:v>27.5</c:v>
                </c:pt>
                <c:pt idx="619" formatCode="_-* #,##0_-;\-* #,##0_-;_-* &quot;-&quot;??_-;_-@_-">
                  <c:v>58.5</c:v>
                </c:pt>
                <c:pt idx="620" formatCode="_-* #,##0_-;\-* #,##0_-;_-* &quot;-&quot;??_-;_-@_-">
                  <c:v>36.5</c:v>
                </c:pt>
                <c:pt idx="621" formatCode="_-* #,##0_-;\-* #,##0_-;_-* &quot;-&quot;??_-;_-@_-">
                  <c:v>42.5</c:v>
                </c:pt>
                <c:pt idx="622" formatCode="_-* #,##0_-;\-* #,##0_-;_-* &quot;-&quot;??_-;_-@_-">
                  <c:v>33.5</c:v>
                </c:pt>
                <c:pt idx="623" formatCode="_-* #,##0_-;\-* #,##0_-;_-* &quot;-&quot;??_-;_-@_-">
                  <c:v>134.5</c:v>
                </c:pt>
                <c:pt idx="624" formatCode="_-* #,##0_-;\-* #,##0_-;_-* &quot;-&quot;??_-;_-@_-">
                  <c:v>25.5</c:v>
                </c:pt>
                <c:pt idx="625" formatCode="_-* #,##0_-;\-* #,##0_-;_-* &quot;-&quot;??_-;_-@_-">
                  <c:v>75.5</c:v>
                </c:pt>
                <c:pt idx="626" formatCode="_-* #,##0_-;\-* #,##0_-;_-* &quot;-&quot;??_-;_-@_-">
                  <c:v>68.5</c:v>
                </c:pt>
                <c:pt idx="627" formatCode="_-* #,##0_-;\-* #,##0_-;_-* &quot;-&quot;??_-;_-@_-">
                  <c:v>39.5</c:v>
                </c:pt>
                <c:pt idx="628" formatCode="_-* #,##0_-;\-* #,##0_-;_-* &quot;-&quot;??_-;_-@_-">
                  <c:v>101.5</c:v>
                </c:pt>
                <c:pt idx="629" formatCode="_-* #,##0_-;\-* #,##0_-;_-* &quot;-&quot;??_-;_-@_-">
                  <c:v>48.5</c:v>
                </c:pt>
                <c:pt idx="630" formatCode="_-* #,##0_-;\-* #,##0_-;_-* &quot;-&quot;??_-;_-@_-">
                  <c:v>67</c:v>
                </c:pt>
                <c:pt idx="631" formatCode="_-* #,##0_-;\-* #,##0_-;_-* &quot;-&quot;??_-;_-@_-">
                  <c:v>197.5</c:v>
                </c:pt>
                <c:pt idx="632" formatCode="_-* #,##0_-;\-* #,##0_-;_-* &quot;-&quot;??_-;_-@_-">
                  <c:v>54.5</c:v>
                </c:pt>
                <c:pt idx="633" formatCode="_-* #,##0_-;\-* #,##0_-;_-* &quot;-&quot;??_-;_-@_-">
                  <c:v>116</c:v>
                </c:pt>
                <c:pt idx="634" formatCode="_-* #,##0_-;\-* #,##0_-;_-* &quot;-&quot;??_-;_-@_-">
                  <c:v>30.5</c:v>
                </c:pt>
                <c:pt idx="635" formatCode="_-* #,##0_-;\-* #,##0_-;_-* &quot;-&quot;??_-;_-@_-">
                  <c:v>58</c:v>
                </c:pt>
                <c:pt idx="636" formatCode="_-* #,##0_-;\-* #,##0_-;_-* &quot;-&quot;??_-;_-@_-">
                  <c:v>91.5</c:v>
                </c:pt>
                <c:pt idx="637" formatCode="_-* #,##0_-;\-* #,##0_-;_-* &quot;-&quot;??_-;_-@_-">
                  <c:v>52.5</c:v>
                </c:pt>
                <c:pt idx="638" formatCode="_-* #,##0_-;\-* #,##0_-;_-* &quot;-&quot;??_-;_-@_-">
                  <c:v>67</c:v>
                </c:pt>
                <c:pt idx="639" formatCode="_-* #,##0_-;\-* #,##0_-;_-* &quot;-&quot;??_-;_-@_-">
                  <c:v>70</c:v>
                </c:pt>
                <c:pt idx="640" formatCode="_-* #,##0_-;\-* #,##0_-;_-* &quot;-&quot;??_-;_-@_-">
                  <c:v>105.5</c:v>
                </c:pt>
                <c:pt idx="641" formatCode="_-* #,##0_-;\-* #,##0_-;_-* &quot;-&quot;??_-;_-@_-">
                  <c:v>58.5</c:v>
                </c:pt>
                <c:pt idx="642" formatCode="_-* #,##0_-;\-* #,##0_-;_-* &quot;-&quot;??_-;_-@_-">
                  <c:v>72.5</c:v>
                </c:pt>
                <c:pt idx="643" formatCode="_-* #,##0_-;\-* #,##0_-;_-* &quot;-&quot;??_-;_-@_-">
                  <c:v>55</c:v>
                </c:pt>
                <c:pt idx="644" formatCode="_-* #,##0_-;\-* #,##0_-;_-* &quot;-&quot;??_-;_-@_-">
                  <c:v>105</c:v>
                </c:pt>
                <c:pt idx="645" formatCode="_-* #,##0_-;\-* #,##0_-;_-* &quot;-&quot;??_-;_-@_-">
                  <c:v>55.5</c:v>
                </c:pt>
                <c:pt idx="646" formatCode="_-* #,##0_-;\-* #,##0_-;_-* &quot;-&quot;??_-;_-@_-">
                  <c:v>70.5</c:v>
                </c:pt>
                <c:pt idx="647" formatCode="_-* #,##0_-;\-* #,##0_-;_-* &quot;-&quot;??_-;_-@_-">
                  <c:v>155.5</c:v>
                </c:pt>
                <c:pt idx="648" formatCode="_-* #,##0_-;\-* #,##0_-;_-* &quot;-&quot;??_-;_-@_-">
                  <c:v>146</c:v>
                </c:pt>
                <c:pt idx="649" formatCode="_-* #,##0_-;\-* #,##0_-;_-* &quot;-&quot;??_-;_-@_-">
                  <c:v>143</c:v>
                </c:pt>
                <c:pt idx="650" formatCode="_-* #,##0_-;\-* #,##0_-;_-* &quot;-&quot;??_-;_-@_-">
                  <c:v>89</c:v>
                </c:pt>
                <c:pt idx="651" formatCode="_-* #,##0_-;\-* #,##0_-;_-* &quot;-&quot;??_-;_-@_-">
                  <c:v>95</c:v>
                </c:pt>
                <c:pt idx="652" formatCode="_-* #,##0_-;\-* #,##0_-;_-* &quot;-&quot;??_-;_-@_-">
                  <c:v>104.5</c:v>
                </c:pt>
                <c:pt idx="653" formatCode="_-* #,##0_-;\-* #,##0_-;_-* &quot;-&quot;??_-;_-@_-">
                  <c:v>125.5</c:v>
                </c:pt>
                <c:pt idx="654" formatCode="_-* #,##0_-;\-* #,##0_-;_-* &quot;-&quot;??_-;_-@_-">
                  <c:v>129.5</c:v>
                </c:pt>
                <c:pt idx="655" formatCode="_-* #,##0_-;\-* #,##0_-;_-* &quot;-&quot;??_-;_-@_-">
                  <c:v>82</c:v>
                </c:pt>
                <c:pt idx="656" formatCode="_-* #,##0_-;\-* #,##0_-;_-* &quot;-&quot;??_-;_-@_-">
                  <c:v>37</c:v>
                </c:pt>
                <c:pt idx="657" formatCode="_-* #,##0_-;\-* #,##0_-;_-* &quot;-&quot;??_-;_-@_-">
                  <c:v>55</c:v>
                </c:pt>
                <c:pt idx="658" formatCode="_-* #,##0_-;\-* #,##0_-;_-* &quot;-&quot;??_-;_-@_-">
                  <c:v>82</c:v>
                </c:pt>
                <c:pt idx="659" formatCode="_-* #,##0_-;\-* #,##0_-;_-* &quot;-&quot;??_-;_-@_-">
                  <c:v>134.5</c:v>
                </c:pt>
                <c:pt idx="660" formatCode="_-* #,##0_-;\-* #,##0_-;_-* &quot;-&quot;??_-;_-@_-">
                  <c:v>42.5</c:v>
                </c:pt>
                <c:pt idx="661" formatCode="_-* #,##0_-;\-* #,##0_-;_-* &quot;-&quot;??_-;_-@_-">
                  <c:v>110.5</c:v>
                </c:pt>
                <c:pt idx="662" formatCode="_-* #,##0_-;\-* #,##0_-;_-* &quot;-&quot;??_-;_-@_-">
                  <c:v>61</c:v>
                </c:pt>
                <c:pt idx="663" formatCode="_-* #,##0_-;\-* #,##0_-;_-* &quot;-&quot;??_-;_-@_-">
                  <c:v>70</c:v>
                </c:pt>
                <c:pt idx="664" formatCode="_-* #,##0_-;\-* #,##0_-;_-* &quot;-&quot;??_-;_-@_-">
                  <c:v>48.5</c:v>
                </c:pt>
                <c:pt idx="665" formatCode="_-* #,##0_-;\-* #,##0_-;_-* &quot;-&quot;??_-;_-@_-">
                  <c:v>92</c:v>
                </c:pt>
                <c:pt idx="666" formatCode="_-* #,##0_-;\-* #,##0_-;_-* &quot;-&quot;??_-;_-@_-">
                  <c:v>100.5</c:v>
                </c:pt>
                <c:pt idx="667" formatCode="_-* #,##0_-;\-* #,##0_-;_-* &quot;-&quot;??_-;_-@_-">
                  <c:v>30.5</c:v>
                </c:pt>
                <c:pt idx="668" formatCode="_-* #,##0_-;\-* #,##0_-;_-* &quot;-&quot;??_-;_-@_-">
                  <c:v>55</c:v>
                </c:pt>
                <c:pt idx="669" formatCode="_-* #,##0_-;\-* #,##0_-;_-* &quot;-&quot;??_-;_-@_-">
                  <c:v>55</c:v>
                </c:pt>
                <c:pt idx="670" formatCode="_-* #,##0_-;\-* #,##0_-;_-* &quot;-&quot;??_-;_-@_-">
                  <c:v>59</c:v>
                </c:pt>
                <c:pt idx="671" formatCode="_-* #,##0_-;\-* #,##0_-;_-* &quot;-&quot;??_-;_-@_-">
                  <c:v>73</c:v>
                </c:pt>
                <c:pt idx="672" formatCode="_-* #,##0_-;\-* #,##0_-;_-* &quot;-&quot;??_-;_-@_-">
                  <c:v>37</c:v>
                </c:pt>
                <c:pt idx="673" formatCode="_-* #,##0_-;\-* #,##0_-;_-* &quot;-&quot;??_-;_-@_-">
                  <c:v>18</c:v>
                </c:pt>
                <c:pt idx="674" formatCode="_-* #,##0_-;\-* #,##0_-;_-* &quot;-&quot;??_-;_-@_-">
                  <c:v>64.5</c:v>
                </c:pt>
                <c:pt idx="675" formatCode="_-* #,##0_-;\-* #,##0_-;_-* &quot;-&quot;??_-;_-@_-">
                  <c:v>60.5</c:v>
                </c:pt>
                <c:pt idx="676" formatCode="_-* #,##0_-;\-* #,##0_-;_-* &quot;-&quot;??_-;_-@_-">
                  <c:v>43</c:v>
                </c:pt>
                <c:pt idx="677" formatCode="_-* #,##0_-;\-* #,##0_-;_-* &quot;-&quot;??_-;_-@_-">
                  <c:v>87.5</c:v>
                </c:pt>
                <c:pt idx="678" formatCode="_-* #,##0_-;\-* #,##0_-;_-* &quot;-&quot;??_-;_-@_-">
                  <c:v>70.5</c:v>
                </c:pt>
                <c:pt idx="679" formatCode="_-* #,##0_-;\-* #,##0_-;_-* &quot;-&quot;??_-;_-@_-">
                  <c:v>60.5</c:v>
                </c:pt>
                <c:pt idx="680" formatCode="_-* #,##0_-;\-* #,##0_-;_-* &quot;-&quot;??_-;_-@_-">
                  <c:v>108.5</c:v>
                </c:pt>
                <c:pt idx="681" formatCode="_-* #,##0_-;\-* #,##0_-;_-* &quot;-&quot;??_-;_-@_-">
                  <c:v>24.5</c:v>
                </c:pt>
                <c:pt idx="682" formatCode="_-* #,##0_-;\-* #,##0_-;_-* &quot;-&quot;??_-;_-@_-">
                  <c:v>131.5</c:v>
                </c:pt>
                <c:pt idx="683" formatCode="_-* #,##0_-;\-* #,##0_-;_-* &quot;-&quot;??_-;_-@_-">
                  <c:v>43</c:v>
                </c:pt>
                <c:pt idx="684" formatCode="_-* #,##0_-;\-* #,##0_-;_-* &quot;-&quot;??_-;_-@_-">
                  <c:v>90.5</c:v>
                </c:pt>
                <c:pt idx="685" formatCode="_-* #,##0_-;\-* #,##0_-;_-* &quot;-&quot;??_-;_-@_-">
                  <c:v>55</c:v>
                </c:pt>
                <c:pt idx="686" formatCode="_-* #,##0_-;\-* #,##0_-;_-* &quot;-&quot;??_-;_-@_-">
                  <c:v>99</c:v>
                </c:pt>
                <c:pt idx="687" formatCode="_-* #,##0_-;\-* #,##0_-;_-* &quot;-&quot;??_-;_-@_-">
                  <c:v>61.5</c:v>
                </c:pt>
                <c:pt idx="688" formatCode="_-* #,##0_-;\-* #,##0_-;_-* &quot;-&quot;??_-;_-@_-">
                  <c:v>52</c:v>
                </c:pt>
                <c:pt idx="689" formatCode="_-* #,##0_-;\-* #,##0_-;_-* &quot;-&quot;??_-;_-@_-">
                  <c:v>67.5</c:v>
                </c:pt>
                <c:pt idx="690" formatCode="_-* #,##0_-;\-* #,##0_-;_-* &quot;-&quot;??_-;_-@_-">
                  <c:v>15</c:v>
                </c:pt>
                <c:pt idx="691" formatCode="_-* #,##0_-;\-* #,##0_-;_-* &quot;-&quot;??_-;_-@_-">
                  <c:v>74.5</c:v>
                </c:pt>
                <c:pt idx="692" formatCode="_-* #,##0_-;\-* #,##0_-;_-* &quot;-&quot;??_-;_-@_-">
                  <c:v>99.5</c:v>
                </c:pt>
                <c:pt idx="693" formatCode="_-* #,##0_-;\-* #,##0_-;_-* &quot;-&quot;??_-;_-@_-">
                  <c:v>45</c:v>
                </c:pt>
                <c:pt idx="694" formatCode="_-* #,##0_-;\-* #,##0_-;_-* &quot;-&quot;??_-;_-@_-">
                  <c:v>73.5</c:v>
                </c:pt>
                <c:pt idx="695" formatCode="_-* #,##0_-;\-* #,##0_-;_-* &quot;-&quot;??_-;_-@_-">
                  <c:v>54.5</c:v>
                </c:pt>
                <c:pt idx="696" formatCode="_-* #,##0_-;\-* #,##0_-;_-* &quot;-&quot;??_-;_-@_-">
                  <c:v>33.5</c:v>
                </c:pt>
                <c:pt idx="697" formatCode="_-* #,##0_-;\-* #,##0_-;_-* &quot;-&quot;??_-;_-@_-">
                  <c:v>9</c:v>
                </c:pt>
                <c:pt idx="698" formatCode="_-* #,##0_-;\-* #,##0_-;_-* &quot;-&quot;??_-;_-@_-">
                  <c:v>36.5</c:v>
                </c:pt>
                <c:pt idx="699" formatCode="_-* #,##0_-;\-* #,##0_-;_-* &quot;-&quot;??_-;_-@_-">
                  <c:v>48.5</c:v>
                </c:pt>
                <c:pt idx="700" formatCode="_-* #,##0_-;\-* #,##0_-;_-* &quot;-&quot;??_-;_-@_-">
                  <c:v>55.5</c:v>
                </c:pt>
                <c:pt idx="701" formatCode="_-* #,##0_-;\-* #,##0_-;_-* &quot;-&quot;??_-;_-@_-">
                  <c:v>49</c:v>
                </c:pt>
                <c:pt idx="702" formatCode="_-* #,##0_-;\-* #,##0_-;_-* &quot;-&quot;??_-;_-@_-">
                  <c:v>34</c:v>
                </c:pt>
                <c:pt idx="703" formatCode="_-* #,##0_-;\-* #,##0_-;_-* &quot;-&quot;??_-;_-@_-">
                  <c:v>66.5</c:v>
                </c:pt>
                <c:pt idx="704" formatCode="_-* #,##0_-;\-* #,##0_-;_-* &quot;-&quot;??_-;_-@_-">
                  <c:v>107.5</c:v>
                </c:pt>
                <c:pt idx="705" formatCode="_-* #,##0_-;\-* #,##0_-;_-* &quot;-&quot;??_-;_-@_-">
                  <c:v>64</c:v>
                </c:pt>
                <c:pt idx="706" formatCode="_-* #,##0_-;\-* #,##0_-;_-* &quot;-&quot;??_-;_-@_-">
                  <c:v>72</c:v>
                </c:pt>
                <c:pt idx="707" formatCode="_-* #,##0_-;\-* #,##0_-;_-* &quot;-&quot;??_-;_-@_-">
                  <c:v>93</c:v>
                </c:pt>
                <c:pt idx="708" formatCode="_-* #,##0_-;\-* #,##0_-;_-* &quot;-&quot;??_-;_-@_-">
                  <c:v>37.5</c:v>
                </c:pt>
                <c:pt idx="709" formatCode="_-* #,##0_-;\-* #,##0_-;_-* &quot;-&quot;??_-;_-@_-">
                  <c:v>160</c:v>
                </c:pt>
                <c:pt idx="710" formatCode="_-* #,##0_-;\-* #,##0_-;_-* &quot;-&quot;??_-;_-@_-">
                  <c:v>42</c:v>
                </c:pt>
                <c:pt idx="711" formatCode="_-* #,##0_-;\-* #,##0_-;_-* &quot;-&quot;??_-;_-@_-">
                  <c:v>48.5</c:v>
                </c:pt>
                <c:pt idx="712" formatCode="_-* #,##0_-;\-* #,##0_-;_-* &quot;-&quot;??_-;_-@_-">
                  <c:v>58</c:v>
                </c:pt>
                <c:pt idx="713" formatCode="_-* #,##0_-;\-* #,##0_-;_-* &quot;-&quot;??_-;_-@_-">
                  <c:v>24</c:v>
                </c:pt>
                <c:pt idx="714" formatCode="_-* #,##0_-;\-* #,##0_-;_-* &quot;-&quot;??_-;_-@_-">
                  <c:v>49</c:v>
                </c:pt>
                <c:pt idx="715" formatCode="_-* #,##0_-;\-* #,##0_-;_-* &quot;-&quot;??_-;_-@_-">
                  <c:v>24.5</c:v>
                </c:pt>
                <c:pt idx="716" formatCode="_-* #,##0_-;\-* #,##0_-;_-* &quot;-&quot;??_-;_-@_-">
                  <c:v>36</c:v>
                </c:pt>
                <c:pt idx="717" formatCode="_-* #,##0_-;\-* #,##0_-;_-* &quot;-&quot;??_-;_-@_-">
                  <c:v>66.5</c:v>
                </c:pt>
                <c:pt idx="718" formatCode="_-* #,##0_-;\-* #,##0_-;_-* &quot;-&quot;??_-;_-@_-">
                  <c:v>12</c:v>
                </c:pt>
                <c:pt idx="719" formatCode="_-* #,##0_-;\-* #,##0_-;_-* &quot;-&quot;??_-;_-@_-">
                  <c:v>74</c:v>
                </c:pt>
                <c:pt idx="720" formatCode="_-* #,##0_-;\-* #,##0_-;_-* &quot;-&quot;??_-;_-@_-">
                  <c:v>141</c:v>
                </c:pt>
                <c:pt idx="721" formatCode="_-* #,##0_-;\-* #,##0_-;_-* &quot;-&quot;??_-;_-@_-">
                  <c:v>55</c:v>
                </c:pt>
                <c:pt idx="722" formatCode="_-* #,##0_-;\-* #,##0_-;_-* &quot;-&quot;??_-;_-@_-">
                  <c:v>107.5</c:v>
                </c:pt>
                <c:pt idx="723" formatCode="_-* #,##0_-;\-* #,##0_-;_-* &quot;-&quot;??_-;_-@_-">
                  <c:v>80</c:v>
                </c:pt>
                <c:pt idx="724" formatCode="_-* #,##0_-;\-* #,##0_-;_-* &quot;-&quot;??_-;_-@_-">
                  <c:v>45.5</c:v>
                </c:pt>
                <c:pt idx="725" formatCode="_-* #,##0_-;\-* #,##0_-;_-* &quot;-&quot;??_-;_-@_-">
                  <c:v>202</c:v>
                </c:pt>
                <c:pt idx="726" formatCode="_-* #,##0_-;\-* #,##0_-;_-* &quot;-&quot;??_-;_-@_-">
                  <c:v>125</c:v>
                </c:pt>
                <c:pt idx="727" formatCode="_-* #,##0_-;\-* #,##0_-;_-* &quot;-&quot;??_-;_-@_-">
                  <c:v>48</c:v>
                </c:pt>
                <c:pt idx="728" formatCode="_-* #,##0_-;\-* #,##0_-;_-* &quot;-&quot;??_-;_-@_-">
                  <c:v>49</c:v>
                </c:pt>
                <c:pt idx="729" formatCode="_-* #,##0_-;\-* #,##0_-;_-* &quot;-&quot;??_-;_-@_-">
                  <c:v>24</c:v>
                </c:pt>
                <c:pt idx="730" formatCode="_-* #,##0_-;\-* #,##0_-;_-* &quot;-&quot;??_-;_-@_-">
                  <c:v>45.5</c:v>
                </c:pt>
                <c:pt idx="731" formatCode="_-* #,##0_-;\-* #,##0_-;_-* &quot;-&quot;??_-;_-@_-">
                  <c:v>86.5</c:v>
                </c:pt>
                <c:pt idx="732" formatCode="_-* #,##0_-;\-* #,##0_-;_-* &quot;-&quot;??_-;_-@_-">
                  <c:v>55</c:v>
                </c:pt>
                <c:pt idx="733" formatCode="_-* #,##0_-;\-* #,##0_-;_-* &quot;-&quot;??_-;_-@_-">
                  <c:v>85</c:v>
                </c:pt>
                <c:pt idx="734" formatCode="_-* #,##0_-;\-* #,##0_-;_-* &quot;-&quot;??_-;_-@_-">
                  <c:v>113.5</c:v>
                </c:pt>
                <c:pt idx="735" formatCode="_-* #,##0_-;\-* #,##0_-;_-* &quot;-&quot;??_-;_-@_-">
                  <c:v>64</c:v>
                </c:pt>
                <c:pt idx="736" formatCode="_-* #,##0_-;\-* #,##0_-;_-* &quot;-&quot;??_-;_-@_-">
                  <c:v>96</c:v>
                </c:pt>
                <c:pt idx="737" formatCode="_-* #,##0_-;\-* #,##0_-;_-* &quot;-&quot;??_-;_-@_-">
                  <c:v>79.5</c:v>
                </c:pt>
                <c:pt idx="738" formatCode="_-* #,##0_-;\-* #,##0_-;_-* &quot;-&quot;??_-;_-@_-">
                  <c:v>24</c:v>
                </c:pt>
                <c:pt idx="739" formatCode="_-* #,##0_-;\-* #,##0_-;_-* &quot;-&quot;??_-;_-@_-">
                  <c:v>37</c:v>
                </c:pt>
                <c:pt idx="740" formatCode="_-* #,##0_-;\-* #,##0_-;_-* &quot;-&quot;??_-;_-@_-">
                  <c:v>27</c:v>
                </c:pt>
                <c:pt idx="741" formatCode="_-* #,##0_-;\-* #,##0_-;_-* &quot;-&quot;??_-;_-@_-">
                  <c:v>21</c:v>
                </c:pt>
                <c:pt idx="742" formatCode="_-* #,##0_-;\-* #,##0_-;_-* &quot;-&quot;??_-;_-@_-">
                  <c:v>67.5</c:v>
                </c:pt>
                <c:pt idx="743" formatCode="_-* #,##0_-;\-* #,##0_-;_-* &quot;-&quot;??_-;_-@_-">
                  <c:v>74.5</c:v>
                </c:pt>
                <c:pt idx="744" formatCode="_-* #,##0_-;\-* #,##0_-;_-* &quot;-&quot;??_-;_-@_-">
                  <c:v>50</c:v>
                </c:pt>
                <c:pt idx="745" formatCode="_-* #,##0_-;\-* #,##0_-;_-* &quot;-&quot;??_-;_-@_-">
                  <c:v>36.5</c:v>
                </c:pt>
                <c:pt idx="746" formatCode="_-* #,##0_-;\-* #,##0_-;_-* &quot;-&quot;??_-;_-@_-">
                  <c:v>92.5</c:v>
                </c:pt>
                <c:pt idx="747" formatCode="_-* #,##0_-;\-* #,##0_-;_-* &quot;-&quot;??_-;_-@_-">
                  <c:v>43</c:v>
                </c:pt>
                <c:pt idx="748" formatCode="_-* #,##0_-;\-* #,##0_-;_-* &quot;-&quot;??_-;_-@_-">
                  <c:v>24.5</c:v>
                </c:pt>
                <c:pt idx="749" formatCode="_-* #,##0_-;\-* #,##0_-;_-* &quot;-&quot;??_-;_-@_-">
                  <c:v>18.5</c:v>
                </c:pt>
                <c:pt idx="750" formatCode="_-* #,##0_-;\-* #,##0_-;_-* &quot;-&quot;??_-;_-@_-">
                  <c:v>44</c:v>
                </c:pt>
                <c:pt idx="751" formatCode="_-* #,##0_-;\-* #,##0_-;_-* &quot;-&quot;??_-;_-@_-">
                  <c:v>0</c:v>
                </c:pt>
                <c:pt idx="752" formatCode="_-* #,##0_-;\-* #,##0_-;_-* &quot;-&quot;??_-;_-@_-">
                  <c:v>63.5</c:v>
                </c:pt>
                <c:pt idx="753" formatCode="_-* #,##0_-;\-* #,##0_-;_-* &quot;-&quot;??_-;_-@_-">
                  <c:v>34</c:v>
                </c:pt>
                <c:pt idx="754" formatCode="_-* #,##0_-;\-* #,##0_-;_-* &quot;-&quot;??_-;_-@_-">
                  <c:v>125.5</c:v>
                </c:pt>
                <c:pt idx="755" formatCode="_-* #,##0_-;\-* #,##0_-;_-* &quot;-&quot;??_-;_-@_-">
                  <c:v>80.5</c:v>
                </c:pt>
                <c:pt idx="756" formatCode="_-* #,##0_-;\-* #,##0_-;_-* &quot;-&quot;??_-;_-@_-">
                  <c:v>484.5</c:v>
                </c:pt>
                <c:pt idx="757" formatCode="_-* #,##0_-;\-* #,##0_-;_-* &quot;-&quot;??_-;_-@_-">
                  <c:v>87</c:v>
                </c:pt>
                <c:pt idx="758" formatCode="_-* #,##0_-;\-* #,##0_-;_-* &quot;-&quot;??_-;_-@_-">
                  <c:v>38</c:v>
                </c:pt>
                <c:pt idx="759" formatCode="_-* #,##0_-;\-* #,##0_-;_-* &quot;-&quot;??_-;_-@_-">
                  <c:v>90</c:v>
                </c:pt>
                <c:pt idx="760" formatCode="_-* #,##0_-;\-* #,##0_-;_-* &quot;-&quot;??_-;_-@_-">
                  <c:v>39</c:v>
                </c:pt>
                <c:pt idx="761" formatCode="_-* #,##0_-;\-* #,##0_-;_-* &quot;-&quot;??_-;_-@_-">
                  <c:v>75</c:v>
                </c:pt>
                <c:pt idx="762" formatCode="_-* #,##0_-;\-* #,##0_-;_-* &quot;-&quot;??_-;_-@_-">
                  <c:v>39.5</c:v>
                </c:pt>
                <c:pt idx="763" formatCode="_-* #,##0_-;\-* #,##0_-;_-* &quot;-&quot;??_-;_-@_-">
                  <c:v>58.5</c:v>
                </c:pt>
                <c:pt idx="764" formatCode="_-* #,##0_-;\-* #,##0_-;_-* &quot;-&quot;??_-;_-@_-">
                  <c:v>52</c:v>
                </c:pt>
                <c:pt idx="765" formatCode="_-* #,##0_-;\-* #,##0_-;_-* &quot;-&quot;??_-;_-@_-">
                  <c:v>36</c:v>
                </c:pt>
                <c:pt idx="766" formatCode="_-* #,##0_-;\-* #,##0_-;_-* &quot;-&quot;??_-;_-@_-">
                  <c:v>34</c:v>
                </c:pt>
                <c:pt idx="767" formatCode="_-* #,##0_-;\-* #,##0_-;_-* &quot;-&quot;??_-;_-@_-">
                  <c:v>24.5</c:v>
                </c:pt>
                <c:pt idx="768" formatCode="_-* #,##0_-;\-* #,##0_-;_-* &quot;-&quot;??_-;_-@_-">
                  <c:v>66.5</c:v>
                </c:pt>
                <c:pt idx="769" formatCode="_-* #,##0_-;\-* #,##0_-;_-* &quot;-&quot;??_-;_-@_-">
                  <c:v>74</c:v>
                </c:pt>
                <c:pt idx="770" formatCode="_-* #,##0_-;\-* #,##0_-;_-* &quot;-&quot;??_-;_-@_-">
                  <c:v>93.5</c:v>
                </c:pt>
                <c:pt idx="771" formatCode="_-* #,##0_-;\-* #,##0_-;_-* &quot;-&quot;??_-;_-@_-">
                  <c:v>31.5</c:v>
                </c:pt>
                <c:pt idx="772" formatCode="_-* #,##0_-;\-* #,##0_-;_-* &quot;-&quot;??_-;_-@_-">
                  <c:v>59</c:v>
                </c:pt>
                <c:pt idx="773" formatCode="_-* #,##0_-;\-* #,##0_-;_-* &quot;-&quot;??_-;_-@_-">
                  <c:v>104.5</c:v>
                </c:pt>
                <c:pt idx="774" formatCode="_-* #,##0_-;\-* #,##0_-;_-* &quot;-&quot;??_-;_-@_-">
                  <c:v>100.5</c:v>
                </c:pt>
                <c:pt idx="775" formatCode="_-* #,##0_-;\-* #,##0_-;_-* &quot;-&quot;??_-;_-@_-">
                  <c:v>79.5</c:v>
                </c:pt>
                <c:pt idx="776" formatCode="_-* #,##0_-;\-* #,##0_-;_-* &quot;-&quot;??_-;_-@_-">
                  <c:v>81.5</c:v>
                </c:pt>
                <c:pt idx="777" formatCode="_-* #,##0_-;\-* #,##0_-;_-* &quot;-&quot;??_-;_-@_-">
                  <c:v>52</c:v>
                </c:pt>
                <c:pt idx="778" formatCode="_-* #,##0_-;\-* #,##0_-;_-* &quot;-&quot;??_-;_-@_-">
                  <c:v>45.5</c:v>
                </c:pt>
                <c:pt idx="779" formatCode="_-* #,##0_-;\-* #,##0_-;_-* &quot;-&quot;??_-;_-@_-">
                  <c:v>67.5</c:v>
                </c:pt>
                <c:pt idx="780" formatCode="_-* #,##0_-;\-* #,##0_-;_-* &quot;-&quot;??_-;_-@_-">
                  <c:v>106</c:v>
                </c:pt>
                <c:pt idx="781" formatCode="_-* #,##0_-;\-* #,##0_-;_-* &quot;-&quot;??_-;_-@_-">
                  <c:v>33</c:v>
                </c:pt>
                <c:pt idx="782" formatCode="_-* #,##0_-;\-* #,##0_-;_-* &quot;-&quot;??_-;_-@_-">
                  <c:v>94</c:v>
                </c:pt>
                <c:pt idx="783" formatCode="_-* #,##0_-;\-* #,##0_-;_-* &quot;-&quot;??_-;_-@_-">
                  <c:v>30</c:v>
                </c:pt>
                <c:pt idx="784" formatCode="_-* #,##0_-;\-* #,##0_-;_-* &quot;-&quot;??_-;_-@_-">
                  <c:v>24.5</c:v>
                </c:pt>
                <c:pt idx="785" formatCode="_-* #,##0_-;\-* #,##0_-;_-* &quot;-&quot;??_-;_-@_-">
                  <c:v>61.5</c:v>
                </c:pt>
                <c:pt idx="786" formatCode="_-* #,##0_-;\-* #,##0_-;_-* &quot;-&quot;??_-;_-@_-">
                  <c:v>43.5</c:v>
                </c:pt>
                <c:pt idx="787" formatCode="_-* #,##0_-;\-* #,##0_-;_-* &quot;-&quot;??_-;_-@_-">
                  <c:v>61.5</c:v>
                </c:pt>
                <c:pt idx="788" formatCode="_-* #,##0_-;\-* #,##0_-;_-* &quot;-&quot;??_-;_-@_-">
                  <c:v>46</c:v>
                </c:pt>
                <c:pt idx="789" formatCode="_-* #,##0_-;\-* #,##0_-;_-* &quot;-&quot;??_-;_-@_-">
                  <c:v>36</c:v>
                </c:pt>
                <c:pt idx="790" formatCode="_-* #,##0_-;\-* #,##0_-;_-* &quot;-&quot;??_-;_-@_-">
                  <c:v>112</c:v>
                </c:pt>
                <c:pt idx="791" formatCode="_-* #,##0_-;\-* #,##0_-;_-* &quot;-&quot;??_-;_-@_-">
                  <c:v>60</c:v>
                </c:pt>
                <c:pt idx="792" formatCode="_-* #,##0_-;\-* #,##0_-;_-* &quot;-&quot;??_-;_-@_-">
                  <c:v>77.5</c:v>
                </c:pt>
                <c:pt idx="793" formatCode="_-* #,##0_-;\-* #,##0_-;_-* &quot;-&quot;??_-;_-@_-">
                  <c:v>61.5</c:v>
                </c:pt>
                <c:pt idx="794" formatCode="_-* #,##0_-;\-* #,##0_-;_-* &quot;-&quot;??_-;_-@_-">
                  <c:v>86.5</c:v>
                </c:pt>
                <c:pt idx="795" formatCode="_-* #,##0_-;\-* #,##0_-;_-* &quot;-&quot;??_-;_-@_-">
                  <c:v>45.5</c:v>
                </c:pt>
                <c:pt idx="796" formatCode="_-* #,##0_-;\-* #,##0_-;_-* &quot;-&quot;??_-;_-@_-">
                  <c:v>27</c:v>
                </c:pt>
                <c:pt idx="797" formatCode="_-* #,##0_-;\-* #,##0_-;_-* &quot;-&quot;??_-;_-@_-">
                  <c:v>49</c:v>
                </c:pt>
                <c:pt idx="798" formatCode="_-* #,##0_-;\-* #,##0_-;_-* &quot;-&quot;??_-;_-@_-">
                  <c:v>159.5</c:v>
                </c:pt>
                <c:pt idx="799" formatCode="_-* #,##0_-;\-* #,##0_-;_-* &quot;-&quot;??_-;_-@_-">
                  <c:v>83.5</c:v>
                </c:pt>
                <c:pt idx="800" formatCode="_-* #,##0_-;\-* #,##0_-;_-* &quot;-&quot;??_-;_-@_-">
                  <c:v>56</c:v>
                </c:pt>
                <c:pt idx="801" formatCode="_-* #,##0_-;\-* #,##0_-;_-* &quot;-&quot;??_-;_-@_-">
                  <c:v>46</c:v>
                </c:pt>
                <c:pt idx="802" formatCode="_-* #,##0_-;\-* #,##0_-;_-* &quot;-&quot;??_-;_-@_-">
                  <c:v>62</c:v>
                </c:pt>
                <c:pt idx="803" formatCode="_-* #,##0_-;\-* #,##0_-;_-* &quot;-&quot;??_-;_-@_-">
                  <c:v>48</c:v>
                </c:pt>
                <c:pt idx="804" formatCode="_-* #,##0_-;\-* #,##0_-;_-* &quot;-&quot;??_-;_-@_-">
                  <c:v>18</c:v>
                </c:pt>
                <c:pt idx="805" formatCode="_-* #,##0_-;\-* #,##0_-;_-* &quot;-&quot;??_-;_-@_-">
                  <c:v>55</c:v>
                </c:pt>
                <c:pt idx="806" formatCode="_-* #,##0_-;\-* #,##0_-;_-* &quot;-&quot;??_-;_-@_-">
                  <c:v>86.5</c:v>
                </c:pt>
                <c:pt idx="807" formatCode="_-* #,##0_-;\-* #,##0_-;_-* &quot;-&quot;??_-;_-@_-">
                  <c:v>52</c:v>
                </c:pt>
                <c:pt idx="808" formatCode="_-* #,##0_-;\-* #,##0_-;_-* &quot;-&quot;??_-;_-@_-">
                  <c:v>40</c:v>
                </c:pt>
                <c:pt idx="809" formatCode="_-* #,##0_-;\-* #,##0_-;_-* &quot;-&quot;??_-;_-@_-">
                  <c:v>58</c:v>
                </c:pt>
                <c:pt idx="810" formatCode="_-* #,##0_-;\-* #,##0_-;_-* &quot;-&quot;??_-;_-@_-">
                  <c:v>49</c:v>
                </c:pt>
                <c:pt idx="811" formatCode="_-* #,##0_-;\-* #,##0_-;_-* &quot;-&quot;??_-;_-@_-">
                  <c:v>50.5</c:v>
                </c:pt>
                <c:pt idx="812" formatCode="_-* #,##0_-;\-* #,##0_-;_-* &quot;-&quot;??_-;_-@_-">
                  <c:v>86</c:v>
                </c:pt>
                <c:pt idx="813" formatCode="_-* #,##0_-;\-* #,##0_-;_-* &quot;-&quot;??_-;_-@_-">
                  <c:v>62.5</c:v>
                </c:pt>
                <c:pt idx="814" formatCode="_-* #,##0_-;\-* #,##0_-;_-* &quot;-&quot;??_-;_-@_-">
                  <c:v>21.5</c:v>
                </c:pt>
                <c:pt idx="815" formatCode="_-* #,##0_-;\-* #,##0_-;_-* &quot;-&quot;??_-;_-@_-">
                  <c:v>85.5</c:v>
                </c:pt>
                <c:pt idx="816" formatCode="_-* #,##0_-;\-* #,##0_-;_-* &quot;-&quot;??_-;_-@_-">
                  <c:v>74.5</c:v>
                </c:pt>
                <c:pt idx="817" formatCode="_-* #,##0_-;\-* #,##0_-;_-* &quot;-&quot;??_-;_-@_-">
                  <c:v>67.5</c:v>
                </c:pt>
                <c:pt idx="818" formatCode="_-* #,##0_-;\-* #,##0_-;_-* &quot;-&quot;??_-;_-@_-">
                  <c:v>43</c:v>
                </c:pt>
                <c:pt idx="819" formatCode="_-* #,##0_-;\-* #,##0_-;_-* &quot;-&quot;??_-;_-@_-">
                  <c:v>46</c:v>
                </c:pt>
                <c:pt idx="820" formatCode="_-* #,##0_-;\-* #,##0_-;_-* &quot;-&quot;??_-;_-@_-">
                  <c:v>24</c:v>
                </c:pt>
                <c:pt idx="821" formatCode="_-* #,##0_-;\-* #,##0_-;_-* &quot;-&quot;??_-;_-@_-">
                  <c:v>37</c:v>
                </c:pt>
                <c:pt idx="822" formatCode="_-* #,##0_-;\-* #,##0_-;_-* &quot;-&quot;??_-;_-@_-">
                  <c:v>54</c:v>
                </c:pt>
                <c:pt idx="823" formatCode="_-* #,##0_-;\-* #,##0_-;_-* &quot;-&quot;??_-;_-@_-">
                  <c:v>67.5</c:v>
                </c:pt>
                <c:pt idx="824" formatCode="_-* #,##0_-;\-* #,##0_-;_-* &quot;-&quot;??_-;_-@_-">
                  <c:v>42</c:v>
                </c:pt>
                <c:pt idx="825" formatCode="_-* #,##0_-;\-* #,##0_-;_-* &quot;-&quot;??_-;_-@_-">
                  <c:v>46.5</c:v>
                </c:pt>
                <c:pt idx="826" formatCode="_-* #,##0_-;\-* #,##0_-;_-* &quot;-&quot;??_-;_-@_-">
                  <c:v>58.5</c:v>
                </c:pt>
                <c:pt idx="827" formatCode="_-* #,##0_-;\-* #,##0_-;_-* &quot;-&quot;??_-;_-@_-">
                  <c:v>61</c:v>
                </c:pt>
                <c:pt idx="828" formatCode="_-* #,##0_-;\-* #,##0_-;_-* &quot;-&quot;??_-;_-@_-">
                  <c:v>31.5</c:v>
                </c:pt>
                <c:pt idx="829" formatCode="_-* #,##0_-;\-* #,##0_-;_-* &quot;-&quot;??_-;_-@_-">
                  <c:v>55.5</c:v>
                </c:pt>
                <c:pt idx="830" formatCode="_-* #,##0_-;\-* #,##0_-;_-* &quot;-&quot;??_-;_-@_-">
                  <c:v>112</c:v>
                </c:pt>
                <c:pt idx="831" formatCode="_-* #,##0_-;\-* #,##0_-;_-* &quot;-&quot;??_-;_-@_-">
                  <c:v>43</c:v>
                </c:pt>
                <c:pt idx="832" formatCode="_-* #,##0_-;\-* #,##0_-;_-* &quot;-&quot;??_-;_-@_-">
                  <c:v>24</c:v>
                </c:pt>
                <c:pt idx="833" formatCode="_-* #,##0_-;\-* #,##0_-;_-* &quot;-&quot;??_-;_-@_-">
                  <c:v>30</c:v>
                </c:pt>
                <c:pt idx="834" formatCode="_-* #,##0_-;\-* #,##0_-;_-* &quot;-&quot;??_-;_-@_-">
                  <c:v>25</c:v>
                </c:pt>
                <c:pt idx="835" formatCode="_-* #,##0_-;\-* #,##0_-;_-* &quot;-&quot;??_-;_-@_-">
                  <c:v>86</c:v>
                </c:pt>
                <c:pt idx="836" formatCode="_-* #,##0_-;\-* #,##0_-;_-* &quot;-&quot;??_-;_-@_-">
                  <c:v>72.5</c:v>
                </c:pt>
                <c:pt idx="837" formatCode="_-* #,##0_-;\-* #,##0_-;_-* &quot;-&quot;??_-;_-@_-">
                  <c:v>18</c:v>
                </c:pt>
                <c:pt idx="838" formatCode="_-* #,##0_-;\-* #,##0_-;_-* &quot;-&quot;??_-;_-@_-">
                  <c:v>12</c:v>
                </c:pt>
                <c:pt idx="839" formatCode="_-* #,##0_-;\-* #,##0_-;_-* &quot;-&quot;??_-;_-@_-">
                  <c:v>44</c:v>
                </c:pt>
                <c:pt idx="840" formatCode="_-* #,##0_-;\-* #,##0_-;_-* &quot;-&quot;??_-;_-@_-">
                  <c:v>66.5</c:v>
                </c:pt>
                <c:pt idx="841" formatCode="_-* #,##0_-;\-* #,##0_-;_-* &quot;-&quot;??_-;_-@_-">
                  <c:v>18.5</c:v>
                </c:pt>
                <c:pt idx="842" formatCode="_-* #,##0_-;\-* #,##0_-;_-* &quot;-&quot;??_-;_-@_-">
                  <c:v>42.5</c:v>
                </c:pt>
                <c:pt idx="843" formatCode="_-* #,##0_-;\-* #,##0_-;_-* &quot;-&quot;??_-;_-@_-">
                  <c:v>36.5</c:v>
                </c:pt>
                <c:pt idx="844" formatCode="_-* #,##0_-;\-* #,##0_-;_-* &quot;-&quot;??_-;_-@_-">
                  <c:v>85.5</c:v>
                </c:pt>
                <c:pt idx="845" formatCode="_-* #,##0_-;\-* #,##0_-;_-* &quot;-&quot;??_-;_-@_-">
                  <c:v>43</c:v>
                </c:pt>
                <c:pt idx="846" formatCode="_-* #,##0_-;\-* #,##0_-;_-* &quot;-&quot;??_-;_-@_-">
                  <c:v>33.5</c:v>
                </c:pt>
                <c:pt idx="847" formatCode="_-* #,##0_-;\-* #,##0_-;_-* &quot;-&quot;??_-;_-@_-">
                  <c:v>73.5</c:v>
                </c:pt>
                <c:pt idx="848" formatCode="_-* #,##0_-;\-* #,##0_-;_-* &quot;-&quot;??_-;_-@_-">
                  <c:v>27</c:v>
                </c:pt>
                <c:pt idx="849" formatCode="_-* #,##0_-;\-* #,##0_-;_-* &quot;-&quot;??_-;_-@_-">
                  <c:v>77.5</c:v>
                </c:pt>
                <c:pt idx="850" formatCode="_-* #,##0_-;\-* #,##0_-;_-* &quot;-&quot;??_-;_-@_-">
                  <c:v>61</c:v>
                </c:pt>
                <c:pt idx="851" formatCode="_-* #,##0_-;\-* #,##0_-;_-* &quot;-&quot;??_-;_-@_-">
                  <c:v>24.5</c:v>
                </c:pt>
                <c:pt idx="852" formatCode="_-* #,##0_-;\-* #,##0_-;_-* &quot;-&quot;??_-;_-@_-">
                  <c:v>59</c:v>
                </c:pt>
                <c:pt idx="853" formatCode="_-* #,##0_-;\-* #,##0_-;_-* &quot;-&quot;??_-;_-@_-">
                  <c:v>67</c:v>
                </c:pt>
                <c:pt idx="854" formatCode="_-* #,##0_-;\-* #,##0_-;_-* &quot;-&quot;??_-;_-@_-">
                  <c:v>74</c:v>
                </c:pt>
                <c:pt idx="855" formatCode="_-* #,##0_-;\-* #,##0_-;_-* &quot;-&quot;??_-;_-@_-">
                  <c:v>84</c:v>
                </c:pt>
                <c:pt idx="856" formatCode="_-* #,##0_-;\-* #,##0_-;_-* &quot;-&quot;??_-;_-@_-">
                  <c:v>67</c:v>
                </c:pt>
                <c:pt idx="857" formatCode="_-* #,##0_-;\-* #,##0_-;_-* &quot;-&quot;??_-;_-@_-">
                  <c:v>78.5</c:v>
                </c:pt>
                <c:pt idx="858" formatCode="_-* #,##0_-;\-* #,##0_-;_-* &quot;-&quot;??_-;_-@_-">
                  <c:v>18</c:v>
                </c:pt>
                <c:pt idx="859" formatCode="_-* #,##0_-;\-* #,##0_-;_-* &quot;-&quot;??_-;_-@_-">
                  <c:v>87.5</c:v>
                </c:pt>
                <c:pt idx="860" formatCode="_-* #,##0_-;\-* #,##0_-;_-* &quot;-&quot;??_-;_-@_-">
                  <c:v>46.5</c:v>
                </c:pt>
                <c:pt idx="861" formatCode="_-* #,##0_-;\-* #,##0_-;_-* &quot;-&quot;??_-;_-@_-">
                  <c:v>49</c:v>
                </c:pt>
                <c:pt idx="862" formatCode="_-* #,##0_-;\-* #,##0_-;_-* &quot;-&quot;??_-;_-@_-">
                  <c:v>58</c:v>
                </c:pt>
                <c:pt idx="863" formatCode="_-* #,##0_-;\-* #,##0_-;_-* &quot;-&quot;??_-;_-@_-">
                  <c:v>59</c:v>
                </c:pt>
                <c:pt idx="864" formatCode="_-* #,##0_-;\-* #,##0_-;_-* &quot;-&quot;??_-;_-@_-">
                  <c:v>18</c:v>
                </c:pt>
                <c:pt idx="865" formatCode="_-* #,##0_-;\-* #,##0_-;_-* &quot;-&quot;??_-;_-@_-">
                  <c:v>36.5</c:v>
                </c:pt>
                <c:pt idx="866" formatCode="_-* #,##0_-;\-* #,##0_-;_-* &quot;-&quot;??_-;_-@_-">
                  <c:v>55</c:v>
                </c:pt>
                <c:pt idx="867" formatCode="_-* #,##0_-;\-* #,##0_-;_-* &quot;-&quot;??_-;_-@_-">
                  <c:v>18.5</c:v>
                </c:pt>
                <c:pt idx="868" formatCode="_-* #,##0_-;\-* #,##0_-;_-* &quot;-&quot;??_-;_-@_-">
                  <c:v>21</c:v>
                </c:pt>
                <c:pt idx="869" formatCode="_-* #,##0_-;\-* #,##0_-;_-* &quot;-&quot;??_-;_-@_-">
                  <c:v>74.5</c:v>
                </c:pt>
                <c:pt idx="870" formatCode="_-* #,##0_-;\-* #,##0_-;_-* &quot;-&quot;??_-;_-@_-">
                  <c:v>46</c:v>
                </c:pt>
                <c:pt idx="871" formatCode="_-* #,##0_-;\-* #,##0_-;_-* &quot;-&quot;??_-;_-@_-">
                  <c:v>48.5</c:v>
                </c:pt>
                <c:pt idx="872" formatCode="_-* #,##0_-;\-* #,##0_-;_-* &quot;-&quot;??_-;_-@_-">
                  <c:v>24</c:v>
                </c:pt>
                <c:pt idx="873" formatCode="_-* #,##0_-;\-* #,##0_-;_-* &quot;-&quot;??_-;_-@_-">
                  <c:v>54</c:v>
                </c:pt>
                <c:pt idx="874" formatCode="_-* #,##0_-;\-* #,##0_-;_-* &quot;-&quot;??_-;_-@_-">
                  <c:v>12</c:v>
                </c:pt>
                <c:pt idx="875" formatCode="_-* #,##0_-;\-* #,##0_-;_-* &quot;-&quot;??_-;_-@_-">
                  <c:v>76.5</c:v>
                </c:pt>
                <c:pt idx="876" formatCode="_-* #,##0_-;\-* #,##0_-;_-* &quot;-&quot;??_-;_-@_-">
                  <c:v>106.5</c:v>
                </c:pt>
                <c:pt idx="877" formatCode="_-* #,##0_-;\-* #,##0_-;_-* &quot;-&quot;??_-;_-@_-">
                  <c:v>50.5</c:v>
                </c:pt>
                <c:pt idx="878" formatCode="_-* #,##0_-;\-* #,##0_-;_-* &quot;-&quot;??_-;_-@_-">
                  <c:v>0</c:v>
                </c:pt>
                <c:pt idx="879" formatCode="_-* #,##0_-;\-* #,##0_-;_-* &quot;-&quot;??_-;_-@_-">
                  <c:v>0</c:v>
                </c:pt>
                <c:pt idx="880" formatCode="_-* #,##0_-;\-* #,##0_-;_-* &quot;-&quot;??_-;_-@_-">
                  <c:v>0</c:v>
                </c:pt>
                <c:pt idx="881" formatCode="_-* #,##0_-;\-* #,##0_-;_-* &quot;-&quot;??_-;_-@_-">
                  <c:v>0</c:v>
                </c:pt>
                <c:pt idx="882" formatCode="_-* #,##0_-;\-* #,##0_-;_-* &quot;-&quot;??_-;_-@_-">
                  <c:v>0</c:v>
                </c:pt>
                <c:pt idx="883" formatCode="_-* #,##0_-;\-* #,##0_-;_-* &quot;-&quot;??_-;_-@_-">
                  <c:v>0</c:v>
                </c:pt>
                <c:pt idx="88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93-4675-8CF1-E99C3E7C4480}"/>
            </c:ext>
          </c:extLst>
        </c:ser>
        <c:ser>
          <c:idx val="9"/>
          <c:order val="9"/>
          <c:tx>
            <c:strRef>
              <c:f>'CASH FLOW'!$K$1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FLOW'!$K$2:$K$969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561000</c:v>
                </c:pt>
                <c:pt idx="3">
                  <c:v>56000</c:v>
                </c:pt>
                <c:pt idx="4">
                  <c:v>225000</c:v>
                </c:pt>
                <c:pt idx="5">
                  <c:v>702000</c:v>
                </c:pt>
                <c:pt idx="6">
                  <c:v>365000</c:v>
                </c:pt>
                <c:pt idx="7">
                  <c:v>891000</c:v>
                </c:pt>
                <c:pt idx="8">
                  <c:v>1247100</c:v>
                </c:pt>
                <c:pt idx="9">
                  <c:v>394000</c:v>
                </c:pt>
                <c:pt idx="10">
                  <c:v>616000</c:v>
                </c:pt>
                <c:pt idx="11">
                  <c:v>185000</c:v>
                </c:pt>
                <c:pt idx="12">
                  <c:v>841500</c:v>
                </c:pt>
                <c:pt idx="13">
                  <c:v>393000</c:v>
                </c:pt>
                <c:pt idx="14">
                  <c:v>337000</c:v>
                </c:pt>
                <c:pt idx="15">
                  <c:v>198000</c:v>
                </c:pt>
                <c:pt idx="16">
                  <c:v>674000</c:v>
                </c:pt>
                <c:pt idx="17">
                  <c:v>434000</c:v>
                </c:pt>
                <c:pt idx="18">
                  <c:v>387000</c:v>
                </c:pt>
                <c:pt idx="19">
                  <c:v>185000</c:v>
                </c:pt>
                <c:pt idx="20">
                  <c:v>413000</c:v>
                </c:pt>
                <c:pt idx="21">
                  <c:v>698000</c:v>
                </c:pt>
                <c:pt idx="22">
                  <c:v>308000</c:v>
                </c:pt>
                <c:pt idx="23">
                  <c:v>558000</c:v>
                </c:pt>
                <c:pt idx="24">
                  <c:v>351000</c:v>
                </c:pt>
                <c:pt idx="25">
                  <c:v>450000</c:v>
                </c:pt>
                <c:pt idx="26">
                  <c:v>350000</c:v>
                </c:pt>
                <c:pt idx="27">
                  <c:v>754500</c:v>
                </c:pt>
                <c:pt idx="28">
                  <c:v>1299000</c:v>
                </c:pt>
                <c:pt idx="29">
                  <c:v>611000</c:v>
                </c:pt>
                <c:pt idx="30">
                  <c:v>599500</c:v>
                </c:pt>
                <c:pt idx="31">
                  <c:v>708000</c:v>
                </c:pt>
                <c:pt idx="32">
                  <c:v>804500</c:v>
                </c:pt>
                <c:pt idx="33">
                  <c:v>797000</c:v>
                </c:pt>
                <c:pt idx="34">
                  <c:v>647000</c:v>
                </c:pt>
                <c:pt idx="35">
                  <c:v>1118000</c:v>
                </c:pt>
                <c:pt idx="36">
                  <c:v>689000</c:v>
                </c:pt>
                <c:pt idx="37">
                  <c:v>225000</c:v>
                </c:pt>
                <c:pt idx="38">
                  <c:v>922000</c:v>
                </c:pt>
                <c:pt idx="39">
                  <c:v>1027000</c:v>
                </c:pt>
                <c:pt idx="40">
                  <c:v>598000</c:v>
                </c:pt>
                <c:pt idx="41">
                  <c:v>694000</c:v>
                </c:pt>
                <c:pt idx="42">
                  <c:v>450000</c:v>
                </c:pt>
                <c:pt idx="43">
                  <c:v>557000</c:v>
                </c:pt>
                <c:pt idx="44">
                  <c:v>338000</c:v>
                </c:pt>
                <c:pt idx="45">
                  <c:v>844000</c:v>
                </c:pt>
                <c:pt idx="46">
                  <c:v>1139000</c:v>
                </c:pt>
                <c:pt idx="47">
                  <c:v>561000</c:v>
                </c:pt>
                <c:pt idx="48">
                  <c:v>389000</c:v>
                </c:pt>
                <c:pt idx="49">
                  <c:v>886000</c:v>
                </c:pt>
                <c:pt idx="50">
                  <c:v>976000</c:v>
                </c:pt>
                <c:pt idx="51">
                  <c:v>56000</c:v>
                </c:pt>
                <c:pt idx="52">
                  <c:v>276000</c:v>
                </c:pt>
                <c:pt idx="53">
                  <c:v>516000</c:v>
                </c:pt>
                <c:pt idx="54">
                  <c:v>552000</c:v>
                </c:pt>
                <c:pt idx="55">
                  <c:v>792500</c:v>
                </c:pt>
                <c:pt idx="56">
                  <c:v>787000</c:v>
                </c:pt>
                <c:pt idx="57">
                  <c:v>1004000</c:v>
                </c:pt>
                <c:pt idx="58">
                  <c:v>637000</c:v>
                </c:pt>
                <c:pt idx="59">
                  <c:v>900000</c:v>
                </c:pt>
                <c:pt idx="60">
                  <c:v>472000</c:v>
                </c:pt>
                <c:pt idx="61">
                  <c:v>337000</c:v>
                </c:pt>
                <c:pt idx="62">
                  <c:v>1148000</c:v>
                </c:pt>
                <c:pt idx="63">
                  <c:v>907000</c:v>
                </c:pt>
                <c:pt idx="64">
                  <c:v>1094000</c:v>
                </c:pt>
                <c:pt idx="65">
                  <c:v>785000</c:v>
                </c:pt>
                <c:pt idx="66">
                  <c:v>823000</c:v>
                </c:pt>
                <c:pt idx="67">
                  <c:v>838000</c:v>
                </c:pt>
                <c:pt idx="68">
                  <c:v>836000</c:v>
                </c:pt>
                <c:pt idx="69">
                  <c:v>983000</c:v>
                </c:pt>
                <c:pt idx="70">
                  <c:v>970000</c:v>
                </c:pt>
                <c:pt idx="71">
                  <c:v>168000</c:v>
                </c:pt>
                <c:pt idx="72">
                  <c:v>1166000</c:v>
                </c:pt>
                <c:pt idx="73">
                  <c:v>632000</c:v>
                </c:pt>
                <c:pt idx="74">
                  <c:v>552000</c:v>
                </c:pt>
                <c:pt idx="75">
                  <c:v>524000</c:v>
                </c:pt>
                <c:pt idx="76">
                  <c:v>168000</c:v>
                </c:pt>
                <c:pt idx="77">
                  <c:v>614000</c:v>
                </c:pt>
                <c:pt idx="78">
                  <c:v>613000</c:v>
                </c:pt>
                <c:pt idx="79">
                  <c:v>659000</c:v>
                </c:pt>
                <c:pt idx="80">
                  <c:v>523000</c:v>
                </c:pt>
                <c:pt idx="81">
                  <c:v>643000</c:v>
                </c:pt>
                <c:pt idx="82">
                  <c:v>360000</c:v>
                </c:pt>
                <c:pt idx="83">
                  <c:v>341000</c:v>
                </c:pt>
                <c:pt idx="84">
                  <c:v>598000</c:v>
                </c:pt>
                <c:pt idx="85">
                  <c:v>824500</c:v>
                </c:pt>
                <c:pt idx="86">
                  <c:v>297000</c:v>
                </c:pt>
                <c:pt idx="87">
                  <c:v>433000</c:v>
                </c:pt>
                <c:pt idx="88">
                  <c:v>241000</c:v>
                </c:pt>
                <c:pt idx="89">
                  <c:v>608500</c:v>
                </c:pt>
                <c:pt idx="90">
                  <c:v>265000</c:v>
                </c:pt>
                <c:pt idx="91">
                  <c:v>1020000</c:v>
                </c:pt>
                <c:pt idx="92">
                  <c:v>753000</c:v>
                </c:pt>
                <c:pt idx="93">
                  <c:v>417000</c:v>
                </c:pt>
                <c:pt idx="94">
                  <c:v>1050000</c:v>
                </c:pt>
                <c:pt idx="95">
                  <c:v>839000</c:v>
                </c:pt>
                <c:pt idx="96">
                  <c:v>789000</c:v>
                </c:pt>
                <c:pt idx="97">
                  <c:v>1237000</c:v>
                </c:pt>
                <c:pt idx="98">
                  <c:v>779000</c:v>
                </c:pt>
                <c:pt idx="99">
                  <c:v>600000</c:v>
                </c:pt>
                <c:pt idx="100">
                  <c:v>556000</c:v>
                </c:pt>
                <c:pt idx="101">
                  <c:v>743000</c:v>
                </c:pt>
                <c:pt idx="102">
                  <c:v>415000</c:v>
                </c:pt>
                <c:pt idx="103">
                  <c:v>366500</c:v>
                </c:pt>
                <c:pt idx="104">
                  <c:v>253000</c:v>
                </c:pt>
                <c:pt idx="105">
                  <c:v>248000</c:v>
                </c:pt>
                <c:pt idx="106">
                  <c:v>430000</c:v>
                </c:pt>
                <c:pt idx="107">
                  <c:v>224000</c:v>
                </c:pt>
                <c:pt idx="108">
                  <c:v>779000</c:v>
                </c:pt>
                <c:pt idx="109">
                  <c:v>534000</c:v>
                </c:pt>
                <c:pt idx="110">
                  <c:v>531000</c:v>
                </c:pt>
                <c:pt idx="111">
                  <c:v>1035000</c:v>
                </c:pt>
                <c:pt idx="112">
                  <c:v>710500</c:v>
                </c:pt>
                <c:pt idx="113">
                  <c:v>417000</c:v>
                </c:pt>
                <c:pt idx="114">
                  <c:v>224000</c:v>
                </c:pt>
                <c:pt idx="115">
                  <c:v>777000</c:v>
                </c:pt>
                <c:pt idx="116">
                  <c:v>389000</c:v>
                </c:pt>
                <c:pt idx="117">
                  <c:v>444500</c:v>
                </c:pt>
                <c:pt idx="118">
                  <c:v>558000</c:v>
                </c:pt>
                <c:pt idx="119">
                  <c:v>56000</c:v>
                </c:pt>
                <c:pt idx="120">
                  <c:v>440000</c:v>
                </c:pt>
                <c:pt idx="121">
                  <c:v>720000</c:v>
                </c:pt>
                <c:pt idx="122">
                  <c:v>450000</c:v>
                </c:pt>
                <c:pt idx="123">
                  <c:v>703000</c:v>
                </c:pt>
                <c:pt idx="124">
                  <c:v>479000</c:v>
                </c:pt>
                <c:pt idx="125">
                  <c:v>745000</c:v>
                </c:pt>
                <c:pt idx="126">
                  <c:v>391000</c:v>
                </c:pt>
                <c:pt idx="127">
                  <c:v>469000</c:v>
                </c:pt>
                <c:pt idx="128">
                  <c:v>595000</c:v>
                </c:pt>
                <c:pt idx="129">
                  <c:v>891000</c:v>
                </c:pt>
                <c:pt idx="130">
                  <c:v>497000</c:v>
                </c:pt>
                <c:pt idx="131">
                  <c:v>355000</c:v>
                </c:pt>
                <c:pt idx="132">
                  <c:v>560000</c:v>
                </c:pt>
                <c:pt idx="133">
                  <c:v>1161500</c:v>
                </c:pt>
                <c:pt idx="134">
                  <c:v>409000</c:v>
                </c:pt>
                <c:pt idx="135">
                  <c:v>539000</c:v>
                </c:pt>
                <c:pt idx="136">
                  <c:v>450000</c:v>
                </c:pt>
                <c:pt idx="137">
                  <c:v>453000</c:v>
                </c:pt>
                <c:pt idx="138">
                  <c:v>1690000</c:v>
                </c:pt>
                <c:pt idx="139">
                  <c:v>578000</c:v>
                </c:pt>
                <c:pt idx="140">
                  <c:v>472000</c:v>
                </c:pt>
                <c:pt idx="141">
                  <c:v>644000</c:v>
                </c:pt>
                <c:pt idx="142">
                  <c:v>680000</c:v>
                </c:pt>
                <c:pt idx="143">
                  <c:v>689000</c:v>
                </c:pt>
                <c:pt idx="144">
                  <c:v>450000</c:v>
                </c:pt>
                <c:pt idx="145">
                  <c:v>520500</c:v>
                </c:pt>
                <c:pt idx="146">
                  <c:v>834000</c:v>
                </c:pt>
                <c:pt idx="147">
                  <c:v>225000</c:v>
                </c:pt>
                <c:pt idx="148">
                  <c:v>536000</c:v>
                </c:pt>
                <c:pt idx="149">
                  <c:v>232000</c:v>
                </c:pt>
                <c:pt idx="150">
                  <c:v>812000</c:v>
                </c:pt>
                <c:pt idx="151">
                  <c:v>952000</c:v>
                </c:pt>
                <c:pt idx="152">
                  <c:v>885000</c:v>
                </c:pt>
                <c:pt idx="153">
                  <c:v>250000</c:v>
                </c:pt>
                <c:pt idx="154">
                  <c:v>391000</c:v>
                </c:pt>
                <c:pt idx="155">
                  <c:v>2211000</c:v>
                </c:pt>
                <c:pt idx="156">
                  <c:v>628500</c:v>
                </c:pt>
                <c:pt idx="157">
                  <c:v>453000</c:v>
                </c:pt>
                <c:pt idx="158">
                  <c:v>1559000</c:v>
                </c:pt>
                <c:pt idx="159">
                  <c:v>926500</c:v>
                </c:pt>
                <c:pt idx="160">
                  <c:v>791000</c:v>
                </c:pt>
                <c:pt idx="161">
                  <c:v>197000</c:v>
                </c:pt>
                <c:pt idx="162">
                  <c:v>497500</c:v>
                </c:pt>
                <c:pt idx="163">
                  <c:v>212000</c:v>
                </c:pt>
                <c:pt idx="164">
                  <c:v>453000</c:v>
                </c:pt>
                <c:pt idx="165">
                  <c:v>597000</c:v>
                </c:pt>
                <c:pt idx="166">
                  <c:v>753000</c:v>
                </c:pt>
                <c:pt idx="167">
                  <c:v>913000</c:v>
                </c:pt>
                <c:pt idx="168">
                  <c:v>684000</c:v>
                </c:pt>
                <c:pt idx="169">
                  <c:v>655000</c:v>
                </c:pt>
                <c:pt idx="170">
                  <c:v>589000</c:v>
                </c:pt>
                <c:pt idx="171">
                  <c:v>1387000</c:v>
                </c:pt>
                <c:pt idx="172">
                  <c:v>559000</c:v>
                </c:pt>
                <c:pt idx="173">
                  <c:v>853000</c:v>
                </c:pt>
                <c:pt idx="174">
                  <c:v>393000</c:v>
                </c:pt>
                <c:pt idx="175">
                  <c:v>1058500</c:v>
                </c:pt>
                <c:pt idx="176">
                  <c:v>566000</c:v>
                </c:pt>
                <c:pt idx="177">
                  <c:v>811000</c:v>
                </c:pt>
                <c:pt idx="178">
                  <c:v>717000</c:v>
                </c:pt>
                <c:pt idx="179">
                  <c:v>771000</c:v>
                </c:pt>
                <c:pt idx="180">
                  <c:v>314000</c:v>
                </c:pt>
                <c:pt idx="181">
                  <c:v>1717500</c:v>
                </c:pt>
                <c:pt idx="182">
                  <c:v>1304000</c:v>
                </c:pt>
                <c:pt idx="183">
                  <c:v>1125500</c:v>
                </c:pt>
                <c:pt idx="184">
                  <c:v>808000</c:v>
                </c:pt>
                <c:pt idx="185">
                  <c:v>217000</c:v>
                </c:pt>
                <c:pt idx="186">
                  <c:v>327000</c:v>
                </c:pt>
                <c:pt idx="187">
                  <c:v>549000</c:v>
                </c:pt>
                <c:pt idx="188">
                  <c:v>699000</c:v>
                </c:pt>
                <c:pt idx="189">
                  <c:v>615000</c:v>
                </c:pt>
                <c:pt idx="190">
                  <c:v>530000</c:v>
                </c:pt>
                <c:pt idx="191">
                  <c:v>788000</c:v>
                </c:pt>
                <c:pt idx="192">
                  <c:v>490000</c:v>
                </c:pt>
                <c:pt idx="193">
                  <c:v>464000</c:v>
                </c:pt>
                <c:pt idx="194">
                  <c:v>1212000</c:v>
                </c:pt>
                <c:pt idx="195">
                  <c:v>582000</c:v>
                </c:pt>
                <c:pt idx="196">
                  <c:v>568000</c:v>
                </c:pt>
                <c:pt idx="197">
                  <c:v>592500</c:v>
                </c:pt>
                <c:pt idx="198">
                  <c:v>472000</c:v>
                </c:pt>
                <c:pt idx="199">
                  <c:v>512500</c:v>
                </c:pt>
                <c:pt idx="200">
                  <c:v>835000</c:v>
                </c:pt>
                <c:pt idx="201">
                  <c:v>669000</c:v>
                </c:pt>
                <c:pt idx="202">
                  <c:v>1577500</c:v>
                </c:pt>
                <c:pt idx="203">
                  <c:v>263000</c:v>
                </c:pt>
                <c:pt idx="204">
                  <c:v>1014500</c:v>
                </c:pt>
                <c:pt idx="205">
                  <c:v>222000</c:v>
                </c:pt>
                <c:pt idx="206">
                  <c:v>448000</c:v>
                </c:pt>
                <c:pt idx="207">
                  <c:v>307000</c:v>
                </c:pt>
                <c:pt idx="208">
                  <c:v>409000</c:v>
                </c:pt>
                <c:pt idx="209">
                  <c:v>567000</c:v>
                </c:pt>
                <c:pt idx="210">
                  <c:v>257000</c:v>
                </c:pt>
                <c:pt idx="211">
                  <c:v>688000</c:v>
                </c:pt>
                <c:pt idx="212">
                  <c:v>714000</c:v>
                </c:pt>
                <c:pt idx="213">
                  <c:v>555000</c:v>
                </c:pt>
                <c:pt idx="214">
                  <c:v>751500</c:v>
                </c:pt>
                <c:pt idx="215">
                  <c:v>1057000</c:v>
                </c:pt>
                <c:pt idx="216">
                  <c:v>693000</c:v>
                </c:pt>
                <c:pt idx="217">
                  <c:v>274000</c:v>
                </c:pt>
                <c:pt idx="218">
                  <c:v>222000</c:v>
                </c:pt>
                <c:pt idx="219">
                  <c:v>454000</c:v>
                </c:pt>
                <c:pt idx="220">
                  <c:v>1282000</c:v>
                </c:pt>
                <c:pt idx="221">
                  <c:v>816500</c:v>
                </c:pt>
                <c:pt idx="222">
                  <c:v>1324000</c:v>
                </c:pt>
                <c:pt idx="223">
                  <c:v>579000</c:v>
                </c:pt>
                <c:pt idx="224">
                  <c:v>848000</c:v>
                </c:pt>
                <c:pt idx="225">
                  <c:v>1478500</c:v>
                </c:pt>
                <c:pt idx="226">
                  <c:v>873000</c:v>
                </c:pt>
                <c:pt idx="227">
                  <c:v>279000</c:v>
                </c:pt>
                <c:pt idx="228">
                  <c:v>760000</c:v>
                </c:pt>
                <c:pt idx="229">
                  <c:v>1390000</c:v>
                </c:pt>
                <c:pt idx="230">
                  <c:v>646000</c:v>
                </c:pt>
                <c:pt idx="231">
                  <c:v>1007000</c:v>
                </c:pt>
                <c:pt idx="232">
                  <c:v>1145000</c:v>
                </c:pt>
                <c:pt idx="233">
                  <c:v>679000</c:v>
                </c:pt>
                <c:pt idx="234">
                  <c:v>1930000</c:v>
                </c:pt>
                <c:pt idx="235">
                  <c:v>1663000</c:v>
                </c:pt>
                <c:pt idx="236">
                  <c:v>1396000</c:v>
                </c:pt>
                <c:pt idx="237">
                  <c:v>573000</c:v>
                </c:pt>
                <c:pt idx="238">
                  <c:v>940000</c:v>
                </c:pt>
                <c:pt idx="239">
                  <c:v>759500</c:v>
                </c:pt>
                <c:pt idx="240">
                  <c:v>635000</c:v>
                </c:pt>
                <c:pt idx="241">
                  <c:v>2172000</c:v>
                </c:pt>
                <c:pt idx="242">
                  <c:v>1639000</c:v>
                </c:pt>
                <c:pt idx="243">
                  <c:v>887000</c:v>
                </c:pt>
                <c:pt idx="244">
                  <c:v>1096000</c:v>
                </c:pt>
                <c:pt idx="245">
                  <c:v>678000</c:v>
                </c:pt>
                <c:pt idx="246">
                  <c:v>1233500</c:v>
                </c:pt>
                <c:pt idx="247">
                  <c:v>703000</c:v>
                </c:pt>
                <c:pt idx="248">
                  <c:v>371000</c:v>
                </c:pt>
                <c:pt idx="249">
                  <c:v>658000</c:v>
                </c:pt>
                <c:pt idx="250">
                  <c:v>53000</c:v>
                </c:pt>
                <c:pt idx="251">
                  <c:v>448000</c:v>
                </c:pt>
                <c:pt idx="252">
                  <c:v>490000</c:v>
                </c:pt>
                <c:pt idx="253">
                  <c:v>607000</c:v>
                </c:pt>
                <c:pt idx="254">
                  <c:v>555000</c:v>
                </c:pt>
                <c:pt idx="255">
                  <c:v>419000</c:v>
                </c:pt>
                <c:pt idx="256">
                  <c:v>1037000</c:v>
                </c:pt>
                <c:pt idx="257">
                  <c:v>849000</c:v>
                </c:pt>
                <c:pt idx="258">
                  <c:v>1168000</c:v>
                </c:pt>
                <c:pt idx="259">
                  <c:v>946500</c:v>
                </c:pt>
                <c:pt idx="260">
                  <c:v>374000</c:v>
                </c:pt>
                <c:pt idx="261">
                  <c:v>378000</c:v>
                </c:pt>
                <c:pt idx="262">
                  <c:v>105000</c:v>
                </c:pt>
                <c:pt idx="263">
                  <c:v>0</c:v>
                </c:pt>
                <c:pt idx="264">
                  <c:v>706000</c:v>
                </c:pt>
                <c:pt idx="265">
                  <c:v>1373500</c:v>
                </c:pt>
                <c:pt idx="266">
                  <c:v>849500</c:v>
                </c:pt>
                <c:pt idx="267">
                  <c:v>718000</c:v>
                </c:pt>
                <c:pt idx="268">
                  <c:v>569500</c:v>
                </c:pt>
                <c:pt idx="269">
                  <c:v>398000</c:v>
                </c:pt>
                <c:pt idx="270">
                  <c:v>322000</c:v>
                </c:pt>
                <c:pt idx="271">
                  <c:v>618000</c:v>
                </c:pt>
                <c:pt idx="272">
                  <c:v>292000</c:v>
                </c:pt>
                <c:pt idx="273">
                  <c:v>832000</c:v>
                </c:pt>
                <c:pt idx="274">
                  <c:v>514000</c:v>
                </c:pt>
                <c:pt idx="275">
                  <c:v>631000</c:v>
                </c:pt>
                <c:pt idx="276">
                  <c:v>657000</c:v>
                </c:pt>
                <c:pt idx="277">
                  <c:v>534000</c:v>
                </c:pt>
                <c:pt idx="278">
                  <c:v>751000</c:v>
                </c:pt>
                <c:pt idx="279">
                  <c:v>712000</c:v>
                </c:pt>
                <c:pt idx="280">
                  <c:v>804000</c:v>
                </c:pt>
                <c:pt idx="281">
                  <c:v>874000</c:v>
                </c:pt>
                <c:pt idx="282">
                  <c:v>187000</c:v>
                </c:pt>
                <c:pt idx="283">
                  <c:v>463000</c:v>
                </c:pt>
                <c:pt idx="284">
                  <c:v>521000</c:v>
                </c:pt>
                <c:pt idx="285">
                  <c:v>784000</c:v>
                </c:pt>
                <c:pt idx="286">
                  <c:v>533000</c:v>
                </c:pt>
                <c:pt idx="287">
                  <c:v>583000</c:v>
                </c:pt>
                <c:pt idx="288">
                  <c:v>1060000</c:v>
                </c:pt>
                <c:pt idx="289">
                  <c:v>712000</c:v>
                </c:pt>
                <c:pt idx="290">
                  <c:v>775000</c:v>
                </c:pt>
                <c:pt idx="291">
                  <c:v>849000</c:v>
                </c:pt>
                <c:pt idx="292">
                  <c:v>836000</c:v>
                </c:pt>
                <c:pt idx="293">
                  <c:v>600000</c:v>
                </c:pt>
                <c:pt idx="294">
                  <c:v>517000</c:v>
                </c:pt>
                <c:pt idx="295">
                  <c:v>725000</c:v>
                </c:pt>
                <c:pt idx="296">
                  <c:v>393000</c:v>
                </c:pt>
                <c:pt idx="297">
                  <c:v>585000</c:v>
                </c:pt>
                <c:pt idx="298">
                  <c:v>265000</c:v>
                </c:pt>
                <c:pt idx="299">
                  <c:v>564000</c:v>
                </c:pt>
                <c:pt idx="300">
                  <c:v>519000</c:v>
                </c:pt>
                <c:pt idx="301">
                  <c:v>345000</c:v>
                </c:pt>
                <c:pt idx="302">
                  <c:v>580000</c:v>
                </c:pt>
                <c:pt idx="303">
                  <c:v>488000</c:v>
                </c:pt>
                <c:pt idx="304">
                  <c:v>583000</c:v>
                </c:pt>
                <c:pt idx="305">
                  <c:v>813000</c:v>
                </c:pt>
                <c:pt idx="306">
                  <c:v>829000</c:v>
                </c:pt>
                <c:pt idx="307">
                  <c:v>1549000</c:v>
                </c:pt>
                <c:pt idx="308">
                  <c:v>677500</c:v>
                </c:pt>
                <c:pt idx="309">
                  <c:v>265000</c:v>
                </c:pt>
                <c:pt idx="310">
                  <c:v>580000</c:v>
                </c:pt>
                <c:pt idx="311">
                  <c:v>789000</c:v>
                </c:pt>
                <c:pt idx="312">
                  <c:v>724000</c:v>
                </c:pt>
                <c:pt idx="313">
                  <c:v>632000</c:v>
                </c:pt>
                <c:pt idx="314">
                  <c:v>581000</c:v>
                </c:pt>
                <c:pt idx="315">
                  <c:v>791000</c:v>
                </c:pt>
                <c:pt idx="316">
                  <c:v>707000</c:v>
                </c:pt>
                <c:pt idx="317">
                  <c:v>1101500</c:v>
                </c:pt>
                <c:pt idx="318">
                  <c:v>1144000</c:v>
                </c:pt>
                <c:pt idx="319">
                  <c:v>421000</c:v>
                </c:pt>
                <c:pt idx="320">
                  <c:v>444000</c:v>
                </c:pt>
                <c:pt idx="321">
                  <c:v>212000</c:v>
                </c:pt>
                <c:pt idx="322">
                  <c:v>240000</c:v>
                </c:pt>
                <c:pt idx="323">
                  <c:v>159000</c:v>
                </c:pt>
                <c:pt idx="324">
                  <c:v>492000</c:v>
                </c:pt>
                <c:pt idx="325">
                  <c:v>1356000</c:v>
                </c:pt>
                <c:pt idx="326">
                  <c:v>1108500</c:v>
                </c:pt>
                <c:pt idx="327">
                  <c:v>335000</c:v>
                </c:pt>
                <c:pt idx="328">
                  <c:v>476000</c:v>
                </c:pt>
                <c:pt idx="329">
                  <c:v>318000</c:v>
                </c:pt>
                <c:pt idx="330">
                  <c:v>575000</c:v>
                </c:pt>
                <c:pt idx="331">
                  <c:v>373000</c:v>
                </c:pt>
                <c:pt idx="332">
                  <c:v>369500</c:v>
                </c:pt>
                <c:pt idx="333">
                  <c:v>275000</c:v>
                </c:pt>
                <c:pt idx="334">
                  <c:v>771000</c:v>
                </c:pt>
                <c:pt idx="335">
                  <c:v>546000</c:v>
                </c:pt>
                <c:pt idx="336">
                  <c:v>674000</c:v>
                </c:pt>
                <c:pt idx="337">
                  <c:v>716000</c:v>
                </c:pt>
                <c:pt idx="338">
                  <c:v>1268000</c:v>
                </c:pt>
                <c:pt idx="339">
                  <c:v>927500</c:v>
                </c:pt>
                <c:pt idx="340">
                  <c:v>840000</c:v>
                </c:pt>
                <c:pt idx="341">
                  <c:v>722500</c:v>
                </c:pt>
                <c:pt idx="342">
                  <c:v>499500</c:v>
                </c:pt>
                <c:pt idx="343">
                  <c:v>859000</c:v>
                </c:pt>
                <c:pt idx="344">
                  <c:v>731000</c:v>
                </c:pt>
                <c:pt idx="345">
                  <c:v>1255000</c:v>
                </c:pt>
                <c:pt idx="346">
                  <c:v>530000</c:v>
                </c:pt>
                <c:pt idx="347">
                  <c:v>463000</c:v>
                </c:pt>
                <c:pt idx="348">
                  <c:v>652000</c:v>
                </c:pt>
                <c:pt idx="349">
                  <c:v>560000</c:v>
                </c:pt>
                <c:pt idx="350">
                  <c:v>476000</c:v>
                </c:pt>
                <c:pt idx="351">
                  <c:v>554000</c:v>
                </c:pt>
                <c:pt idx="352">
                  <c:v>528000</c:v>
                </c:pt>
                <c:pt idx="353">
                  <c:v>661000</c:v>
                </c:pt>
                <c:pt idx="354">
                  <c:v>570000</c:v>
                </c:pt>
                <c:pt idx="355">
                  <c:v>825000</c:v>
                </c:pt>
                <c:pt idx="356">
                  <c:v>1184000</c:v>
                </c:pt>
                <c:pt idx="357">
                  <c:v>721000</c:v>
                </c:pt>
                <c:pt idx="358">
                  <c:v>691000</c:v>
                </c:pt>
                <c:pt idx="359">
                  <c:v>1237500</c:v>
                </c:pt>
                <c:pt idx="360">
                  <c:v>1781000</c:v>
                </c:pt>
                <c:pt idx="361">
                  <c:v>2354500</c:v>
                </c:pt>
                <c:pt idx="362">
                  <c:v>210000</c:v>
                </c:pt>
                <c:pt idx="363">
                  <c:v>58000</c:v>
                </c:pt>
                <c:pt idx="364">
                  <c:v>56000</c:v>
                </c:pt>
                <c:pt idx="365">
                  <c:v>45000</c:v>
                </c:pt>
                <c:pt idx="366">
                  <c:v>389000</c:v>
                </c:pt>
                <c:pt idx="367">
                  <c:v>1327500</c:v>
                </c:pt>
                <c:pt idx="368">
                  <c:v>999000</c:v>
                </c:pt>
                <c:pt idx="369">
                  <c:v>443000</c:v>
                </c:pt>
                <c:pt idx="370">
                  <c:v>1263000</c:v>
                </c:pt>
                <c:pt idx="371">
                  <c:v>956000</c:v>
                </c:pt>
                <c:pt idx="372">
                  <c:v>926000</c:v>
                </c:pt>
                <c:pt idx="373">
                  <c:v>369000</c:v>
                </c:pt>
                <c:pt idx="374">
                  <c:v>620000</c:v>
                </c:pt>
                <c:pt idx="375">
                  <c:v>410000</c:v>
                </c:pt>
                <c:pt idx="376">
                  <c:v>805000</c:v>
                </c:pt>
                <c:pt idx="377">
                  <c:v>434000</c:v>
                </c:pt>
                <c:pt idx="378">
                  <c:v>1481000</c:v>
                </c:pt>
                <c:pt idx="379">
                  <c:v>208000</c:v>
                </c:pt>
                <c:pt idx="380">
                  <c:v>490000</c:v>
                </c:pt>
                <c:pt idx="381">
                  <c:v>1272000</c:v>
                </c:pt>
                <c:pt idx="382">
                  <c:v>1466500</c:v>
                </c:pt>
                <c:pt idx="383">
                  <c:v>652000</c:v>
                </c:pt>
                <c:pt idx="384">
                  <c:v>662000</c:v>
                </c:pt>
                <c:pt idx="385">
                  <c:v>1080000</c:v>
                </c:pt>
                <c:pt idx="386">
                  <c:v>794000</c:v>
                </c:pt>
                <c:pt idx="387">
                  <c:v>212000</c:v>
                </c:pt>
                <c:pt idx="388">
                  <c:v>519000</c:v>
                </c:pt>
                <c:pt idx="389">
                  <c:v>292000</c:v>
                </c:pt>
                <c:pt idx="390">
                  <c:v>370000</c:v>
                </c:pt>
                <c:pt idx="391">
                  <c:v>264000</c:v>
                </c:pt>
                <c:pt idx="392">
                  <c:v>601000</c:v>
                </c:pt>
                <c:pt idx="393">
                  <c:v>1398000</c:v>
                </c:pt>
                <c:pt idx="394">
                  <c:v>488000</c:v>
                </c:pt>
                <c:pt idx="395">
                  <c:v>1293000</c:v>
                </c:pt>
                <c:pt idx="396">
                  <c:v>839000</c:v>
                </c:pt>
                <c:pt idx="397">
                  <c:v>801000</c:v>
                </c:pt>
                <c:pt idx="398">
                  <c:v>1098000</c:v>
                </c:pt>
                <c:pt idx="399">
                  <c:v>729000</c:v>
                </c:pt>
                <c:pt idx="400">
                  <c:v>1168000</c:v>
                </c:pt>
                <c:pt idx="401">
                  <c:v>1187000</c:v>
                </c:pt>
                <c:pt idx="402">
                  <c:v>1163000</c:v>
                </c:pt>
                <c:pt idx="403">
                  <c:v>1010000</c:v>
                </c:pt>
                <c:pt idx="404">
                  <c:v>901000</c:v>
                </c:pt>
                <c:pt idx="405">
                  <c:v>489000</c:v>
                </c:pt>
                <c:pt idx="406">
                  <c:v>1326000</c:v>
                </c:pt>
                <c:pt idx="407">
                  <c:v>941000</c:v>
                </c:pt>
                <c:pt idx="408">
                  <c:v>762000</c:v>
                </c:pt>
                <c:pt idx="409">
                  <c:v>1014000</c:v>
                </c:pt>
                <c:pt idx="410">
                  <c:v>1397000</c:v>
                </c:pt>
                <c:pt idx="411">
                  <c:v>1045000</c:v>
                </c:pt>
                <c:pt idx="412">
                  <c:v>735000</c:v>
                </c:pt>
                <c:pt idx="413">
                  <c:v>1069000</c:v>
                </c:pt>
                <c:pt idx="414">
                  <c:v>1465000</c:v>
                </c:pt>
                <c:pt idx="415">
                  <c:v>583000</c:v>
                </c:pt>
                <c:pt idx="416">
                  <c:v>1115000</c:v>
                </c:pt>
                <c:pt idx="417">
                  <c:v>1335000</c:v>
                </c:pt>
                <c:pt idx="418">
                  <c:v>645000</c:v>
                </c:pt>
                <c:pt idx="419">
                  <c:v>621000</c:v>
                </c:pt>
                <c:pt idx="420">
                  <c:v>649000</c:v>
                </c:pt>
                <c:pt idx="421">
                  <c:v>423000</c:v>
                </c:pt>
                <c:pt idx="422">
                  <c:v>410000</c:v>
                </c:pt>
                <c:pt idx="423">
                  <c:v>1410000</c:v>
                </c:pt>
                <c:pt idx="424">
                  <c:v>1091000</c:v>
                </c:pt>
                <c:pt idx="425">
                  <c:v>1823000</c:v>
                </c:pt>
                <c:pt idx="426">
                  <c:v>1759000</c:v>
                </c:pt>
                <c:pt idx="427">
                  <c:v>1433000</c:v>
                </c:pt>
                <c:pt idx="428">
                  <c:v>416000</c:v>
                </c:pt>
                <c:pt idx="429">
                  <c:v>505000</c:v>
                </c:pt>
                <c:pt idx="430">
                  <c:v>1939000</c:v>
                </c:pt>
                <c:pt idx="431">
                  <c:v>1935000</c:v>
                </c:pt>
                <c:pt idx="432">
                  <c:v>1274000</c:v>
                </c:pt>
                <c:pt idx="433">
                  <c:v>773000</c:v>
                </c:pt>
                <c:pt idx="434">
                  <c:v>635000</c:v>
                </c:pt>
                <c:pt idx="435">
                  <c:v>1072000</c:v>
                </c:pt>
                <c:pt idx="436">
                  <c:v>398000</c:v>
                </c:pt>
                <c:pt idx="437">
                  <c:v>1217000</c:v>
                </c:pt>
                <c:pt idx="438">
                  <c:v>795000</c:v>
                </c:pt>
                <c:pt idx="439">
                  <c:v>1318000</c:v>
                </c:pt>
                <c:pt idx="440">
                  <c:v>963000</c:v>
                </c:pt>
                <c:pt idx="441">
                  <c:v>712000</c:v>
                </c:pt>
                <c:pt idx="442">
                  <c:v>960200</c:v>
                </c:pt>
                <c:pt idx="443">
                  <c:v>603000</c:v>
                </c:pt>
                <c:pt idx="444">
                  <c:v>1304000</c:v>
                </c:pt>
                <c:pt idx="445">
                  <c:v>1099000</c:v>
                </c:pt>
                <c:pt idx="446">
                  <c:v>844000</c:v>
                </c:pt>
                <c:pt idx="447">
                  <c:v>861000</c:v>
                </c:pt>
                <c:pt idx="448">
                  <c:v>734000</c:v>
                </c:pt>
                <c:pt idx="449">
                  <c:v>364000</c:v>
                </c:pt>
                <c:pt idx="450">
                  <c:v>847000</c:v>
                </c:pt>
                <c:pt idx="451">
                  <c:v>1305400</c:v>
                </c:pt>
                <c:pt idx="452">
                  <c:v>549400</c:v>
                </c:pt>
                <c:pt idx="453">
                  <c:v>476000</c:v>
                </c:pt>
                <c:pt idx="454">
                  <c:v>556000</c:v>
                </c:pt>
                <c:pt idx="455">
                  <c:v>976400</c:v>
                </c:pt>
                <c:pt idx="456">
                  <c:v>3503800</c:v>
                </c:pt>
                <c:pt idx="457">
                  <c:v>265000</c:v>
                </c:pt>
                <c:pt idx="458">
                  <c:v>1228800</c:v>
                </c:pt>
                <c:pt idx="459">
                  <c:v>1475200</c:v>
                </c:pt>
                <c:pt idx="460">
                  <c:v>1407200</c:v>
                </c:pt>
                <c:pt idx="461">
                  <c:v>634000</c:v>
                </c:pt>
                <c:pt idx="462">
                  <c:v>1162400</c:v>
                </c:pt>
                <c:pt idx="463">
                  <c:v>659000</c:v>
                </c:pt>
                <c:pt idx="464">
                  <c:v>1146000</c:v>
                </c:pt>
                <c:pt idx="465">
                  <c:v>1391000</c:v>
                </c:pt>
                <c:pt idx="466">
                  <c:v>930800</c:v>
                </c:pt>
                <c:pt idx="467">
                  <c:v>447000</c:v>
                </c:pt>
                <c:pt idx="468">
                  <c:v>371000</c:v>
                </c:pt>
                <c:pt idx="469">
                  <c:v>603000</c:v>
                </c:pt>
                <c:pt idx="470">
                  <c:v>504000</c:v>
                </c:pt>
                <c:pt idx="471">
                  <c:v>896000</c:v>
                </c:pt>
                <c:pt idx="472">
                  <c:v>1337200</c:v>
                </c:pt>
                <c:pt idx="473">
                  <c:v>816000</c:v>
                </c:pt>
                <c:pt idx="474">
                  <c:v>1953000</c:v>
                </c:pt>
                <c:pt idx="475">
                  <c:v>806000</c:v>
                </c:pt>
                <c:pt idx="476">
                  <c:v>1151000</c:v>
                </c:pt>
                <c:pt idx="477">
                  <c:v>1292400</c:v>
                </c:pt>
                <c:pt idx="478">
                  <c:v>483400</c:v>
                </c:pt>
                <c:pt idx="479">
                  <c:v>1394000</c:v>
                </c:pt>
                <c:pt idx="480">
                  <c:v>1229000</c:v>
                </c:pt>
                <c:pt idx="481">
                  <c:v>2014000</c:v>
                </c:pt>
                <c:pt idx="482">
                  <c:v>2481800</c:v>
                </c:pt>
                <c:pt idx="483">
                  <c:v>3521000</c:v>
                </c:pt>
                <c:pt idx="484">
                  <c:v>1705400</c:v>
                </c:pt>
                <c:pt idx="485">
                  <c:v>2152800</c:v>
                </c:pt>
                <c:pt idx="486">
                  <c:v>1122000</c:v>
                </c:pt>
                <c:pt idx="487">
                  <c:v>2048400</c:v>
                </c:pt>
                <c:pt idx="488">
                  <c:v>1703800</c:v>
                </c:pt>
                <c:pt idx="489">
                  <c:v>676400</c:v>
                </c:pt>
                <c:pt idx="490">
                  <c:v>2198800</c:v>
                </c:pt>
                <c:pt idx="491">
                  <c:v>1627600</c:v>
                </c:pt>
                <c:pt idx="492">
                  <c:v>1357800</c:v>
                </c:pt>
                <c:pt idx="493">
                  <c:v>1248800</c:v>
                </c:pt>
                <c:pt idx="494">
                  <c:v>948800</c:v>
                </c:pt>
                <c:pt idx="495">
                  <c:v>296000</c:v>
                </c:pt>
                <c:pt idx="496">
                  <c:v>614000</c:v>
                </c:pt>
                <c:pt idx="497">
                  <c:v>56000</c:v>
                </c:pt>
                <c:pt idx="498">
                  <c:v>28000</c:v>
                </c:pt>
                <c:pt idx="499">
                  <c:v>0</c:v>
                </c:pt>
                <c:pt idx="500">
                  <c:v>133000</c:v>
                </c:pt>
                <c:pt idx="501">
                  <c:v>23000</c:v>
                </c:pt>
                <c:pt idx="502">
                  <c:v>376000</c:v>
                </c:pt>
                <c:pt idx="503">
                  <c:v>1383000</c:v>
                </c:pt>
                <c:pt idx="504">
                  <c:v>777000</c:v>
                </c:pt>
                <c:pt idx="505">
                  <c:v>613000</c:v>
                </c:pt>
                <c:pt idx="506">
                  <c:v>158000</c:v>
                </c:pt>
                <c:pt idx="507">
                  <c:v>465000</c:v>
                </c:pt>
                <c:pt idx="508">
                  <c:v>373000</c:v>
                </c:pt>
                <c:pt idx="509">
                  <c:v>600400</c:v>
                </c:pt>
                <c:pt idx="510">
                  <c:v>370000</c:v>
                </c:pt>
                <c:pt idx="511">
                  <c:v>369000</c:v>
                </c:pt>
                <c:pt idx="512">
                  <c:v>1085000</c:v>
                </c:pt>
                <c:pt idx="513">
                  <c:v>714000</c:v>
                </c:pt>
                <c:pt idx="514">
                  <c:v>292000</c:v>
                </c:pt>
                <c:pt idx="515">
                  <c:v>739000</c:v>
                </c:pt>
                <c:pt idx="516">
                  <c:v>317000</c:v>
                </c:pt>
                <c:pt idx="517">
                  <c:v>370000</c:v>
                </c:pt>
                <c:pt idx="518">
                  <c:v>936000</c:v>
                </c:pt>
                <c:pt idx="519">
                  <c:v>399000</c:v>
                </c:pt>
                <c:pt idx="520">
                  <c:v>477000</c:v>
                </c:pt>
                <c:pt idx="521">
                  <c:v>318000</c:v>
                </c:pt>
                <c:pt idx="522">
                  <c:v>581000</c:v>
                </c:pt>
                <c:pt idx="523">
                  <c:v>370000</c:v>
                </c:pt>
                <c:pt idx="524">
                  <c:v>635000</c:v>
                </c:pt>
                <c:pt idx="525">
                  <c:v>890200</c:v>
                </c:pt>
                <c:pt idx="526">
                  <c:v>468000</c:v>
                </c:pt>
                <c:pt idx="527">
                  <c:v>264000</c:v>
                </c:pt>
                <c:pt idx="528">
                  <c:v>993400</c:v>
                </c:pt>
                <c:pt idx="529">
                  <c:v>466000</c:v>
                </c:pt>
                <c:pt idx="530">
                  <c:v>826000</c:v>
                </c:pt>
                <c:pt idx="531">
                  <c:v>187000</c:v>
                </c:pt>
                <c:pt idx="532">
                  <c:v>737400</c:v>
                </c:pt>
                <c:pt idx="533">
                  <c:v>603000</c:v>
                </c:pt>
                <c:pt idx="534">
                  <c:v>549000</c:v>
                </c:pt>
                <c:pt idx="535">
                  <c:v>871000</c:v>
                </c:pt>
                <c:pt idx="536">
                  <c:v>693000</c:v>
                </c:pt>
                <c:pt idx="537">
                  <c:v>345000</c:v>
                </c:pt>
                <c:pt idx="538">
                  <c:v>187000</c:v>
                </c:pt>
                <c:pt idx="539">
                  <c:v>475000</c:v>
                </c:pt>
                <c:pt idx="540">
                  <c:v>2728000</c:v>
                </c:pt>
                <c:pt idx="541">
                  <c:v>1305000</c:v>
                </c:pt>
                <c:pt idx="542">
                  <c:v>1951000</c:v>
                </c:pt>
                <c:pt idx="543">
                  <c:v>1024000</c:v>
                </c:pt>
                <c:pt idx="544">
                  <c:v>820000</c:v>
                </c:pt>
                <c:pt idx="545">
                  <c:v>5027000</c:v>
                </c:pt>
                <c:pt idx="546">
                  <c:v>784000</c:v>
                </c:pt>
                <c:pt idx="547">
                  <c:v>1378000</c:v>
                </c:pt>
                <c:pt idx="548">
                  <c:v>588000</c:v>
                </c:pt>
                <c:pt idx="549">
                  <c:v>738000</c:v>
                </c:pt>
                <c:pt idx="550">
                  <c:v>933000</c:v>
                </c:pt>
                <c:pt idx="551">
                  <c:v>430000</c:v>
                </c:pt>
                <c:pt idx="552">
                  <c:v>501000</c:v>
                </c:pt>
                <c:pt idx="553">
                  <c:v>916000</c:v>
                </c:pt>
                <c:pt idx="554">
                  <c:v>902000</c:v>
                </c:pt>
                <c:pt idx="555">
                  <c:v>2003000</c:v>
                </c:pt>
                <c:pt idx="556">
                  <c:v>2076000</c:v>
                </c:pt>
                <c:pt idx="557">
                  <c:v>887000</c:v>
                </c:pt>
                <c:pt idx="558">
                  <c:v>784000</c:v>
                </c:pt>
                <c:pt idx="559">
                  <c:v>1104000</c:v>
                </c:pt>
                <c:pt idx="560">
                  <c:v>1435000</c:v>
                </c:pt>
                <c:pt idx="561">
                  <c:v>938000</c:v>
                </c:pt>
                <c:pt idx="562">
                  <c:v>966000</c:v>
                </c:pt>
                <c:pt idx="563">
                  <c:v>401000</c:v>
                </c:pt>
                <c:pt idx="564">
                  <c:v>435000</c:v>
                </c:pt>
                <c:pt idx="565">
                  <c:v>292000</c:v>
                </c:pt>
                <c:pt idx="566">
                  <c:v>370000</c:v>
                </c:pt>
                <c:pt idx="567">
                  <c:v>602000</c:v>
                </c:pt>
                <c:pt idx="568">
                  <c:v>187000</c:v>
                </c:pt>
                <c:pt idx="569">
                  <c:v>212000</c:v>
                </c:pt>
                <c:pt idx="570">
                  <c:v>527000</c:v>
                </c:pt>
                <c:pt idx="571">
                  <c:v>293000</c:v>
                </c:pt>
                <c:pt idx="572">
                  <c:v>441000</c:v>
                </c:pt>
                <c:pt idx="573">
                  <c:v>815400</c:v>
                </c:pt>
                <c:pt idx="574">
                  <c:v>651000</c:v>
                </c:pt>
                <c:pt idx="575">
                  <c:v>844400</c:v>
                </c:pt>
                <c:pt idx="576">
                  <c:v>474000</c:v>
                </c:pt>
                <c:pt idx="577">
                  <c:v>515500</c:v>
                </c:pt>
                <c:pt idx="578">
                  <c:v>692200</c:v>
                </c:pt>
                <c:pt idx="579">
                  <c:v>1129800</c:v>
                </c:pt>
                <c:pt idx="580">
                  <c:v>2098500</c:v>
                </c:pt>
                <c:pt idx="581">
                  <c:v>1404600</c:v>
                </c:pt>
                <c:pt idx="582">
                  <c:v>2318500</c:v>
                </c:pt>
                <c:pt idx="583">
                  <c:v>836000</c:v>
                </c:pt>
                <c:pt idx="584">
                  <c:v>2090000</c:v>
                </c:pt>
                <c:pt idx="585">
                  <c:v>994000</c:v>
                </c:pt>
                <c:pt idx="586">
                  <c:v>807500</c:v>
                </c:pt>
                <c:pt idx="587">
                  <c:v>936000</c:v>
                </c:pt>
                <c:pt idx="588">
                  <c:v>1172000</c:v>
                </c:pt>
                <c:pt idx="589">
                  <c:v>2587000</c:v>
                </c:pt>
                <c:pt idx="590">
                  <c:v>634000</c:v>
                </c:pt>
                <c:pt idx="591">
                  <c:v>1382000</c:v>
                </c:pt>
                <c:pt idx="592">
                  <c:v>711000</c:v>
                </c:pt>
                <c:pt idx="593">
                  <c:v>601000</c:v>
                </c:pt>
                <c:pt idx="594">
                  <c:v>369000</c:v>
                </c:pt>
                <c:pt idx="595">
                  <c:v>497000</c:v>
                </c:pt>
                <c:pt idx="596">
                  <c:v>722000</c:v>
                </c:pt>
                <c:pt idx="597">
                  <c:v>905000</c:v>
                </c:pt>
                <c:pt idx="598">
                  <c:v>1178000</c:v>
                </c:pt>
                <c:pt idx="599">
                  <c:v>1048000</c:v>
                </c:pt>
                <c:pt idx="600">
                  <c:v>729000</c:v>
                </c:pt>
                <c:pt idx="601">
                  <c:v>1233000</c:v>
                </c:pt>
                <c:pt idx="602">
                  <c:v>1765000</c:v>
                </c:pt>
                <c:pt idx="603">
                  <c:v>317000</c:v>
                </c:pt>
                <c:pt idx="604">
                  <c:v>1094500</c:v>
                </c:pt>
                <c:pt idx="605">
                  <c:v>1500000</c:v>
                </c:pt>
                <c:pt idx="606">
                  <c:v>133000</c:v>
                </c:pt>
                <c:pt idx="607">
                  <c:v>821000</c:v>
                </c:pt>
                <c:pt idx="608">
                  <c:v>627000</c:v>
                </c:pt>
                <c:pt idx="609">
                  <c:v>1143000</c:v>
                </c:pt>
                <c:pt idx="610">
                  <c:v>747000</c:v>
                </c:pt>
                <c:pt idx="611">
                  <c:v>954500</c:v>
                </c:pt>
                <c:pt idx="612">
                  <c:v>693500</c:v>
                </c:pt>
                <c:pt idx="613">
                  <c:v>240000</c:v>
                </c:pt>
                <c:pt idx="614">
                  <c:v>690000</c:v>
                </c:pt>
                <c:pt idx="615">
                  <c:v>550200</c:v>
                </c:pt>
                <c:pt idx="616">
                  <c:v>1176000</c:v>
                </c:pt>
                <c:pt idx="617">
                  <c:v>344000</c:v>
                </c:pt>
                <c:pt idx="618">
                  <c:v>239000</c:v>
                </c:pt>
                <c:pt idx="619">
                  <c:v>522000</c:v>
                </c:pt>
                <c:pt idx="620">
                  <c:v>317000</c:v>
                </c:pt>
                <c:pt idx="621">
                  <c:v>370000</c:v>
                </c:pt>
                <c:pt idx="622">
                  <c:v>292000</c:v>
                </c:pt>
                <c:pt idx="623">
                  <c:v>963000</c:v>
                </c:pt>
                <c:pt idx="624">
                  <c:v>376500</c:v>
                </c:pt>
                <c:pt idx="625">
                  <c:v>928000</c:v>
                </c:pt>
                <c:pt idx="626">
                  <c:v>689500</c:v>
                </c:pt>
                <c:pt idx="627">
                  <c:v>490000</c:v>
                </c:pt>
                <c:pt idx="628">
                  <c:v>894000</c:v>
                </c:pt>
                <c:pt idx="629">
                  <c:v>439000</c:v>
                </c:pt>
                <c:pt idx="630">
                  <c:v>917000</c:v>
                </c:pt>
                <c:pt idx="631">
                  <c:v>1896000</c:v>
                </c:pt>
                <c:pt idx="632">
                  <c:v>528500</c:v>
                </c:pt>
                <c:pt idx="633">
                  <c:v>1555500</c:v>
                </c:pt>
                <c:pt idx="634">
                  <c:v>394500</c:v>
                </c:pt>
                <c:pt idx="635">
                  <c:v>892000</c:v>
                </c:pt>
                <c:pt idx="636">
                  <c:v>884000</c:v>
                </c:pt>
                <c:pt idx="637">
                  <c:v>597000</c:v>
                </c:pt>
                <c:pt idx="638">
                  <c:v>836000</c:v>
                </c:pt>
                <c:pt idx="639">
                  <c:v>609000</c:v>
                </c:pt>
                <c:pt idx="640">
                  <c:v>898000</c:v>
                </c:pt>
                <c:pt idx="641">
                  <c:v>713000</c:v>
                </c:pt>
                <c:pt idx="642">
                  <c:v>773000</c:v>
                </c:pt>
                <c:pt idx="643">
                  <c:v>521000</c:v>
                </c:pt>
                <c:pt idx="644">
                  <c:v>914000</c:v>
                </c:pt>
                <c:pt idx="645">
                  <c:v>659500</c:v>
                </c:pt>
                <c:pt idx="646">
                  <c:v>608000</c:v>
                </c:pt>
                <c:pt idx="647">
                  <c:v>1330000</c:v>
                </c:pt>
                <c:pt idx="648">
                  <c:v>1421000</c:v>
                </c:pt>
                <c:pt idx="649">
                  <c:v>1454500</c:v>
                </c:pt>
                <c:pt idx="650">
                  <c:v>950000</c:v>
                </c:pt>
                <c:pt idx="651">
                  <c:v>902000</c:v>
                </c:pt>
                <c:pt idx="652">
                  <c:v>1218000</c:v>
                </c:pt>
                <c:pt idx="653">
                  <c:v>1076000</c:v>
                </c:pt>
                <c:pt idx="654">
                  <c:v>1388000</c:v>
                </c:pt>
                <c:pt idx="655">
                  <c:v>1085000</c:v>
                </c:pt>
                <c:pt idx="656">
                  <c:v>433000</c:v>
                </c:pt>
                <c:pt idx="657">
                  <c:v>719000</c:v>
                </c:pt>
                <c:pt idx="658">
                  <c:v>789700</c:v>
                </c:pt>
                <c:pt idx="659">
                  <c:v>1508000</c:v>
                </c:pt>
                <c:pt idx="660">
                  <c:v>532500</c:v>
                </c:pt>
                <c:pt idx="661">
                  <c:v>1237500</c:v>
                </c:pt>
                <c:pt idx="662">
                  <c:v>841000</c:v>
                </c:pt>
                <c:pt idx="663">
                  <c:v>884000</c:v>
                </c:pt>
                <c:pt idx="664">
                  <c:v>624500</c:v>
                </c:pt>
                <c:pt idx="665">
                  <c:v>1079500</c:v>
                </c:pt>
                <c:pt idx="666">
                  <c:v>1268000</c:v>
                </c:pt>
                <c:pt idx="667">
                  <c:v>366000</c:v>
                </c:pt>
                <c:pt idx="668">
                  <c:v>567000</c:v>
                </c:pt>
                <c:pt idx="669">
                  <c:v>521000</c:v>
                </c:pt>
                <c:pt idx="670">
                  <c:v>519500</c:v>
                </c:pt>
                <c:pt idx="671">
                  <c:v>754000</c:v>
                </c:pt>
                <c:pt idx="672">
                  <c:v>334500</c:v>
                </c:pt>
                <c:pt idx="673">
                  <c:v>159000</c:v>
                </c:pt>
                <c:pt idx="674">
                  <c:v>502000</c:v>
                </c:pt>
                <c:pt idx="675">
                  <c:v>676000</c:v>
                </c:pt>
                <c:pt idx="676">
                  <c:v>386500</c:v>
                </c:pt>
                <c:pt idx="677">
                  <c:v>668500</c:v>
                </c:pt>
                <c:pt idx="678">
                  <c:v>625500</c:v>
                </c:pt>
                <c:pt idx="679">
                  <c:v>529000</c:v>
                </c:pt>
                <c:pt idx="680">
                  <c:v>1071500</c:v>
                </c:pt>
                <c:pt idx="681">
                  <c:v>295500</c:v>
                </c:pt>
                <c:pt idx="682">
                  <c:v>930000</c:v>
                </c:pt>
                <c:pt idx="683">
                  <c:v>369000</c:v>
                </c:pt>
                <c:pt idx="684">
                  <c:v>801500</c:v>
                </c:pt>
                <c:pt idx="685">
                  <c:v>559500</c:v>
                </c:pt>
                <c:pt idx="686">
                  <c:v>842000</c:v>
                </c:pt>
                <c:pt idx="687">
                  <c:v>662000</c:v>
                </c:pt>
                <c:pt idx="688">
                  <c:v>534500</c:v>
                </c:pt>
                <c:pt idx="689">
                  <c:v>664500</c:v>
                </c:pt>
                <c:pt idx="690">
                  <c:v>218500</c:v>
                </c:pt>
                <c:pt idx="691">
                  <c:v>632000</c:v>
                </c:pt>
                <c:pt idx="692">
                  <c:v>757000</c:v>
                </c:pt>
                <c:pt idx="693">
                  <c:v>399000</c:v>
                </c:pt>
                <c:pt idx="694">
                  <c:v>633000</c:v>
                </c:pt>
                <c:pt idx="695">
                  <c:v>596000</c:v>
                </c:pt>
                <c:pt idx="696">
                  <c:v>292000</c:v>
                </c:pt>
                <c:pt idx="697">
                  <c:v>81000</c:v>
                </c:pt>
                <c:pt idx="698">
                  <c:v>317000</c:v>
                </c:pt>
                <c:pt idx="699">
                  <c:v>423000</c:v>
                </c:pt>
                <c:pt idx="700">
                  <c:v>474000</c:v>
                </c:pt>
                <c:pt idx="701">
                  <c:v>422000</c:v>
                </c:pt>
                <c:pt idx="702">
                  <c:v>313500</c:v>
                </c:pt>
                <c:pt idx="703">
                  <c:v>658000</c:v>
                </c:pt>
                <c:pt idx="704">
                  <c:v>1078000</c:v>
                </c:pt>
                <c:pt idx="705">
                  <c:v>556000</c:v>
                </c:pt>
                <c:pt idx="706">
                  <c:v>816500</c:v>
                </c:pt>
                <c:pt idx="707">
                  <c:v>695000</c:v>
                </c:pt>
                <c:pt idx="708">
                  <c:v>312000</c:v>
                </c:pt>
                <c:pt idx="709">
                  <c:v>1162000</c:v>
                </c:pt>
                <c:pt idx="710">
                  <c:v>374000</c:v>
                </c:pt>
                <c:pt idx="711">
                  <c:v>211000</c:v>
                </c:pt>
                <c:pt idx="712">
                  <c:v>503000</c:v>
                </c:pt>
                <c:pt idx="713">
                  <c:v>288000</c:v>
                </c:pt>
                <c:pt idx="714">
                  <c:v>501000</c:v>
                </c:pt>
                <c:pt idx="715">
                  <c:v>211000</c:v>
                </c:pt>
                <c:pt idx="716">
                  <c:v>578000</c:v>
                </c:pt>
                <c:pt idx="717">
                  <c:v>658000</c:v>
                </c:pt>
                <c:pt idx="718">
                  <c:v>105000</c:v>
                </c:pt>
                <c:pt idx="719">
                  <c:v>633000</c:v>
                </c:pt>
                <c:pt idx="720">
                  <c:v>1090000</c:v>
                </c:pt>
                <c:pt idx="721">
                  <c:v>475000</c:v>
                </c:pt>
                <c:pt idx="722">
                  <c:v>808000</c:v>
                </c:pt>
                <c:pt idx="723">
                  <c:v>685000</c:v>
                </c:pt>
                <c:pt idx="724">
                  <c:v>474000</c:v>
                </c:pt>
                <c:pt idx="725">
                  <c:v>1986000</c:v>
                </c:pt>
                <c:pt idx="726">
                  <c:v>1447000</c:v>
                </c:pt>
                <c:pt idx="727">
                  <c:v>424000</c:v>
                </c:pt>
                <c:pt idx="728">
                  <c:v>425000</c:v>
                </c:pt>
                <c:pt idx="729">
                  <c:v>364000</c:v>
                </c:pt>
                <c:pt idx="730">
                  <c:v>421000</c:v>
                </c:pt>
                <c:pt idx="731">
                  <c:v>653000</c:v>
                </c:pt>
                <c:pt idx="732">
                  <c:v>475000</c:v>
                </c:pt>
                <c:pt idx="733">
                  <c:v>740000</c:v>
                </c:pt>
                <c:pt idx="734">
                  <c:v>977000</c:v>
                </c:pt>
                <c:pt idx="735">
                  <c:v>526000</c:v>
                </c:pt>
                <c:pt idx="736">
                  <c:v>809000</c:v>
                </c:pt>
                <c:pt idx="737">
                  <c:v>765000</c:v>
                </c:pt>
                <c:pt idx="738">
                  <c:v>288000</c:v>
                </c:pt>
                <c:pt idx="739">
                  <c:v>723000</c:v>
                </c:pt>
                <c:pt idx="740">
                  <c:v>240000</c:v>
                </c:pt>
                <c:pt idx="741">
                  <c:v>187000</c:v>
                </c:pt>
                <c:pt idx="742">
                  <c:v>755500</c:v>
                </c:pt>
                <c:pt idx="743">
                  <c:v>635000</c:v>
                </c:pt>
                <c:pt idx="744">
                  <c:v>497000</c:v>
                </c:pt>
                <c:pt idx="745">
                  <c:v>393000</c:v>
                </c:pt>
                <c:pt idx="746">
                  <c:v>782000</c:v>
                </c:pt>
                <c:pt idx="747">
                  <c:v>369000</c:v>
                </c:pt>
                <c:pt idx="748">
                  <c:v>211000</c:v>
                </c:pt>
                <c:pt idx="749">
                  <c:v>158000</c:v>
                </c:pt>
                <c:pt idx="750">
                  <c:v>506000</c:v>
                </c:pt>
                <c:pt idx="751">
                  <c:v>0</c:v>
                </c:pt>
                <c:pt idx="752">
                  <c:v>557000</c:v>
                </c:pt>
                <c:pt idx="753">
                  <c:v>291000</c:v>
                </c:pt>
                <c:pt idx="754">
                  <c:v>885000</c:v>
                </c:pt>
                <c:pt idx="755">
                  <c:v>750000</c:v>
                </c:pt>
                <c:pt idx="756">
                  <c:v>3774000</c:v>
                </c:pt>
                <c:pt idx="757">
                  <c:v>936000</c:v>
                </c:pt>
                <c:pt idx="758">
                  <c:v>230000</c:v>
                </c:pt>
                <c:pt idx="759">
                  <c:v>755000</c:v>
                </c:pt>
                <c:pt idx="760">
                  <c:v>448000</c:v>
                </c:pt>
                <c:pt idx="761">
                  <c:v>844000</c:v>
                </c:pt>
                <c:pt idx="762">
                  <c:v>445000</c:v>
                </c:pt>
                <c:pt idx="763">
                  <c:v>555000</c:v>
                </c:pt>
                <c:pt idx="764">
                  <c:v>523000</c:v>
                </c:pt>
                <c:pt idx="765">
                  <c:v>420000</c:v>
                </c:pt>
                <c:pt idx="766">
                  <c:v>315000</c:v>
                </c:pt>
                <c:pt idx="767">
                  <c:v>211000</c:v>
                </c:pt>
                <c:pt idx="768">
                  <c:v>720000</c:v>
                </c:pt>
                <c:pt idx="769">
                  <c:v>632000</c:v>
                </c:pt>
                <c:pt idx="770">
                  <c:v>1187500</c:v>
                </c:pt>
                <c:pt idx="771">
                  <c:v>256000</c:v>
                </c:pt>
                <c:pt idx="772">
                  <c:v>502000</c:v>
                </c:pt>
                <c:pt idx="773">
                  <c:v>1198000</c:v>
                </c:pt>
                <c:pt idx="774">
                  <c:v>923000</c:v>
                </c:pt>
                <c:pt idx="775">
                  <c:v>704500</c:v>
                </c:pt>
                <c:pt idx="776">
                  <c:v>826500</c:v>
                </c:pt>
                <c:pt idx="777">
                  <c:v>883000</c:v>
                </c:pt>
                <c:pt idx="778">
                  <c:v>500000</c:v>
                </c:pt>
                <c:pt idx="779">
                  <c:v>581000</c:v>
                </c:pt>
                <c:pt idx="780">
                  <c:v>827000</c:v>
                </c:pt>
                <c:pt idx="781">
                  <c:v>570000</c:v>
                </c:pt>
                <c:pt idx="782">
                  <c:v>770000</c:v>
                </c:pt>
                <c:pt idx="783">
                  <c:v>265000</c:v>
                </c:pt>
                <c:pt idx="784">
                  <c:v>246000</c:v>
                </c:pt>
                <c:pt idx="785">
                  <c:v>808000</c:v>
                </c:pt>
                <c:pt idx="786">
                  <c:v>368000</c:v>
                </c:pt>
                <c:pt idx="787">
                  <c:v>528000</c:v>
                </c:pt>
                <c:pt idx="788">
                  <c:v>397000</c:v>
                </c:pt>
                <c:pt idx="789">
                  <c:v>318000</c:v>
                </c:pt>
                <c:pt idx="790">
                  <c:v>858000</c:v>
                </c:pt>
                <c:pt idx="791">
                  <c:v>1146000</c:v>
                </c:pt>
                <c:pt idx="792">
                  <c:v>740500</c:v>
                </c:pt>
                <c:pt idx="793">
                  <c:v>707000</c:v>
                </c:pt>
                <c:pt idx="794">
                  <c:v>825000</c:v>
                </c:pt>
                <c:pt idx="795">
                  <c:v>451000</c:v>
                </c:pt>
                <c:pt idx="796">
                  <c:v>324000</c:v>
                </c:pt>
                <c:pt idx="797">
                  <c:v>430000</c:v>
                </c:pt>
                <c:pt idx="798">
                  <c:v>895000</c:v>
                </c:pt>
                <c:pt idx="799">
                  <c:v>575000</c:v>
                </c:pt>
                <c:pt idx="800">
                  <c:v>389000</c:v>
                </c:pt>
                <c:pt idx="801">
                  <c:v>398000</c:v>
                </c:pt>
                <c:pt idx="802">
                  <c:v>556000</c:v>
                </c:pt>
                <c:pt idx="803">
                  <c:v>422000</c:v>
                </c:pt>
                <c:pt idx="804">
                  <c:v>159000</c:v>
                </c:pt>
                <c:pt idx="805">
                  <c:v>676500</c:v>
                </c:pt>
                <c:pt idx="806">
                  <c:v>737000</c:v>
                </c:pt>
                <c:pt idx="807">
                  <c:v>450000</c:v>
                </c:pt>
                <c:pt idx="808">
                  <c:v>398500</c:v>
                </c:pt>
                <c:pt idx="809">
                  <c:v>503000</c:v>
                </c:pt>
                <c:pt idx="810">
                  <c:v>422000</c:v>
                </c:pt>
                <c:pt idx="811">
                  <c:v>416000</c:v>
                </c:pt>
                <c:pt idx="812">
                  <c:v>988000</c:v>
                </c:pt>
                <c:pt idx="813">
                  <c:v>345000</c:v>
                </c:pt>
                <c:pt idx="814">
                  <c:v>261500</c:v>
                </c:pt>
                <c:pt idx="815">
                  <c:v>739000</c:v>
                </c:pt>
                <c:pt idx="816">
                  <c:v>633000</c:v>
                </c:pt>
                <c:pt idx="817">
                  <c:v>655500</c:v>
                </c:pt>
                <c:pt idx="818">
                  <c:v>549500</c:v>
                </c:pt>
                <c:pt idx="819">
                  <c:v>472500</c:v>
                </c:pt>
                <c:pt idx="820">
                  <c:v>287500</c:v>
                </c:pt>
                <c:pt idx="821">
                  <c:v>441000</c:v>
                </c:pt>
                <c:pt idx="822">
                  <c:v>477000</c:v>
                </c:pt>
                <c:pt idx="823">
                  <c:v>580000</c:v>
                </c:pt>
                <c:pt idx="824">
                  <c:v>371000</c:v>
                </c:pt>
                <c:pt idx="825">
                  <c:v>392000</c:v>
                </c:pt>
                <c:pt idx="826">
                  <c:v>477000</c:v>
                </c:pt>
                <c:pt idx="827">
                  <c:v>531000</c:v>
                </c:pt>
                <c:pt idx="828">
                  <c:v>316000</c:v>
                </c:pt>
                <c:pt idx="829">
                  <c:v>477000</c:v>
                </c:pt>
                <c:pt idx="830">
                  <c:v>1074500</c:v>
                </c:pt>
                <c:pt idx="831">
                  <c:v>638000</c:v>
                </c:pt>
                <c:pt idx="832">
                  <c:v>385500</c:v>
                </c:pt>
                <c:pt idx="833">
                  <c:v>310000</c:v>
                </c:pt>
                <c:pt idx="834">
                  <c:v>229000</c:v>
                </c:pt>
                <c:pt idx="835">
                  <c:v>832000</c:v>
                </c:pt>
                <c:pt idx="836">
                  <c:v>785000</c:v>
                </c:pt>
                <c:pt idx="837">
                  <c:v>261500</c:v>
                </c:pt>
                <c:pt idx="838">
                  <c:v>177000</c:v>
                </c:pt>
                <c:pt idx="839">
                  <c:v>407000</c:v>
                </c:pt>
                <c:pt idx="840">
                  <c:v>703000</c:v>
                </c:pt>
                <c:pt idx="841">
                  <c:v>177000</c:v>
                </c:pt>
                <c:pt idx="842">
                  <c:v>530500</c:v>
                </c:pt>
                <c:pt idx="843">
                  <c:v>303000</c:v>
                </c:pt>
                <c:pt idx="844">
                  <c:v>790000</c:v>
                </c:pt>
                <c:pt idx="845">
                  <c:v>416000</c:v>
                </c:pt>
                <c:pt idx="846">
                  <c:v>417500</c:v>
                </c:pt>
                <c:pt idx="847">
                  <c:v>655000</c:v>
                </c:pt>
                <c:pt idx="848">
                  <c:v>336000</c:v>
                </c:pt>
                <c:pt idx="849">
                  <c:v>758000</c:v>
                </c:pt>
                <c:pt idx="850">
                  <c:v>613000</c:v>
                </c:pt>
                <c:pt idx="851">
                  <c:v>235500</c:v>
                </c:pt>
                <c:pt idx="852">
                  <c:v>426500</c:v>
                </c:pt>
                <c:pt idx="853">
                  <c:v>648000</c:v>
                </c:pt>
                <c:pt idx="854">
                  <c:v>622000</c:v>
                </c:pt>
                <c:pt idx="855">
                  <c:v>1105000</c:v>
                </c:pt>
                <c:pt idx="856">
                  <c:v>988500</c:v>
                </c:pt>
                <c:pt idx="857">
                  <c:v>1010500</c:v>
                </c:pt>
                <c:pt idx="858">
                  <c:v>400500</c:v>
                </c:pt>
                <c:pt idx="859">
                  <c:v>1126500</c:v>
                </c:pt>
                <c:pt idx="860">
                  <c:v>593000</c:v>
                </c:pt>
                <c:pt idx="861">
                  <c:v>471000</c:v>
                </c:pt>
                <c:pt idx="862">
                  <c:v>1113000</c:v>
                </c:pt>
                <c:pt idx="863">
                  <c:v>904500</c:v>
                </c:pt>
                <c:pt idx="864">
                  <c:v>388000</c:v>
                </c:pt>
                <c:pt idx="865">
                  <c:v>383500</c:v>
                </c:pt>
                <c:pt idx="866">
                  <c:v>459000</c:v>
                </c:pt>
                <c:pt idx="867">
                  <c:v>334000</c:v>
                </c:pt>
                <c:pt idx="868">
                  <c:v>389000</c:v>
                </c:pt>
                <c:pt idx="869">
                  <c:v>737000</c:v>
                </c:pt>
                <c:pt idx="870">
                  <c:v>548500</c:v>
                </c:pt>
                <c:pt idx="871">
                  <c:v>682500</c:v>
                </c:pt>
                <c:pt idx="872">
                  <c:v>320500</c:v>
                </c:pt>
                <c:pt idx="873">
                  <c:v>531000</c:v>
                </c:pt>
                <c:pt idx="874">
                  <c:v>118500</c:v>
                </c:pt>
                <c:pt idx="875">
                  <c:v>737500</c:v>
                </c:pt>
                <c:pt idx="876">
                  <c:v>1347500</c:v>
                </c:pt>
                <c:pt idx="877">
                  <c:v>520500</c:v>
                </c:pt>
                <c:pt idx="878">
                  <c:v>853000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93-4675-8CF1-E99C3E7C4480}"/>
            </c:ext>
          </c:extLst>
        </c:ser>
        <c:ser>
          <c:idx val="10"/>
          <c:order val="10"/>
          <c:tx>
            <c:strRef>
              <c:f>'CASH FLOW'!$L$1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FLOW'!$L$2:$L$969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15000</c:v>
                </c:pt>
                <c:pt idx="3">
                  <c:v>49000</c:v>
                </c:pt>
                <c:pt idx="4">
                  <c:v>31000</c:v>
                </c:pt>
                <c:pt idx="5">
                  <c:v>45000</c:v>
                </c:pt>
                <c:pt idx="6">
                  <c:v>32000</c:v>
                </c:pt>
                <c:pt idx="7">
                  <c:v>38000</c:v>
                </c:pt>
                <c:pt idx="8">
                  <c:v>59000</c:v>
                </c:pt>
                <c:pt idx="9">
                  <c:v>142000</c:v>
                </c:pt>
                <c:pt idx="10">
                  <c:v>68000</c:v>
                </c:pt>
                <c:pt idx="11">
                  <c:v>76000</c:v>
                </c:pt>
                <c:pt idx="12">
                  <c:v>8000</c:v>
                </c:pt>
                <c:pt idx="13">
                  <c:v>30000</c:v>
                </c:pt>
                <c:pt idx="14">
                  <c:v>191000</c:v>
                </c:pt>
                <c:pt idx="15">
                  <c:v>61000</c:v>
                </c:pt>
                <c:pt idx="16">
                  <c:v>156000</c:v>
                </c:pt>
                <c:pt idx="17">
                  <c:v>8000</c:v>
                </c:pt>
                <c:pt idx="18">
                  <c:v>55000</c:v>
                </c:pt>
                <c:pt idx="19">
                  <c:v>15000</c:v>
                </c:pt>
                <c:pt idx="20">
                  <c:v>38000</c:v>
                </c:pt>
                <c:pt idx="21">
                  <c:v>128000</c:v>
                </c:pt>
                <c:pt idx="22">
                  <c:v>31000</c:v>
                </c:pt>
                <c:pt idx="23">
                  <c:v>68000</c:v>
                </c:pt>
                <c:pt idx="24">
                  <c:v>23000</c:v>
                </c:pt>
                <c:pt idx="25">
                  <c:v>46000</c:v>
                </c:pt>
                <c:pt idx="26">
                  <c:v>8000</c:v>
                </c:pt>
                <c:pt idx="27">
                  <c:v>24000</c:v>
                </c:pt>
                <c:pt idx="28">
                  <c:v>30000</c:v>
                </c:pt>
                <c:pt idx="29">
                  <c:v>38000</c:v>
                </c:pt>
                <c:pt idx="30">
                  <c:v>8000</c:v>
                </c:pt>
                <c:pt idx="31">
                  <c:v>45000</c:v>
                </c:pt>
                <c:pt idx="32">
                  <c:v>84000</c:v>
                </c:pt>
                <c:pt idx="33">
                  <c:v>105000</c:v>
                </c:pt>
                <c:pt idx="34">
                  <c:v>38000</c:v>
                </c:pt>
                <c:pt idx="35">
                  <c:v>76000</c:v>
                </c:pt>
                <c:pt idx="36">
                  <c:v>118000</c:v>
                </c:pt>
                <c:pt idx="37">
                  <c:v>32000</c:v>
                </c:pt>
                <c:pt idx="38">
                  <c:v>30000</c:v>
                </c:pt>
                <c:pt idx="39">
                  <c:v>0</c:v>
                </c:pt>
                <c:pt idx="40">
                  <c:v>55000</c:v>
                </c:pt>
                <c:pt idx="41">
                  <c:v>31000</c:v>
                </c:pt>
                <c:pt idx="42">
                  <c:v>0</c:v>
                </c:pt>
                <c:pt idx="43">
                  <c:v>76000</c:v>
                </c:pt>
                <c:pt idx="44">
                  <c:v>30000</c:v>
                </c:pt>
                <c:pt idx="45">
                  <c:v>63000</c:v>
                </c:pt>
                <c:pt idx="46">
                  <c:v>121000</c:v>
                </c:pt>
                <c:pt idx="47">
                  <c:v>8000</c:v>
                </c:pt>
                <c:pt idx="48">
                  <c:v>54000</c:v>
                </c:pt>
                <c:pt idx="49">
                  <c:v>78000</c:v>
                </c:pt>
                <c:pt idx="50">
                  <c:v>16000</c:v>
                </c:pt>
                <c:pt idx="51">
                  <c:v>40000</c:v>
                </c:pt>
                <c:pt idx="52">
                  <c:v>8000</c:v>
                </c:pt>
                <c:pt idx="53">
                  <c:v>0</c:v>
                </c:pt>
                <c:pt idx="54">
                  <c:v>108000</c:v>
                </c:pt>
                <c:pt idx="55">
                  <c:v>90000</c:v>
                </c:pt>
                <c:pt idx="56">
                  <c:v>53000</c:v>
                </c:pt>
                <c:pt idx="57">
                  <c:v>8000</c:v>
                </c:pt>
                <c:pt idx="58">
                  <c:v>0</c:v>
                </c:pt>
                <c:pt idx="59">
                  <c:v>65000</c:v>
                </c:pt>
                <c:pt idx="60">
                  <c:v>31000</c:v>
                </c:pt>
                <c:pt idx="61">
                  <c:v>23000</c:v>
                </c:pt>
                <c:pt idx="62">
                  <c:v>8000</c:v>
                </c:pt>
                <c:pt idx="63">
                  <c:v>145000</c:v>
                </c:pt>
                <c:pt idx="64">
                  <c:v>8000</c:v>
                </c:pt>
                <c:pt idx="65">
                  <c:v>48000</c:v>
                </c:pt>
                <c:pt idx="66">
                  <c:v>115000</c:v>
                </c:pt>
                <c:pt idx="67">
                  <c:v>63000</c:v>
                </c:pt>
                <c:pt idx="68">
                  <c:v>8000</c:v>
                </c:pt>
                <c:pt idx="69">
                  <c:v>8000</c:v>
                </c:pt>
                <c:pt idx="70">
                  <c:v>23000</c:v>
                </c:pt>
                <c:pt idx="71">
                  <c:v>30000</c:v>
                </c:pt>
                <c:pt idx="72">
                  <c:v>55000</c:v>
                </c:pt>
                <c:pt idx="73">
                  <c:v>15000</c:v>
                </c:pt>
                <c:pt idx="74">
                  <c:v>155000</c:v>
                </c:pt>
                <c:pt idx="75">
                  <c:v>43000</c:v>
                </c:pt>
                <c:pt idx="76">
                  <c:v>8000</c:v>
                </c:pt>
                <c:pt idx="77">
                  <c:v>23000</c:v>
                </c:pt>
                <c:pt idx="78">
                  <c:v>31000</c:v>
                </c:pt>
                <c:pt idx="79">
                  <c:v>46000</c:v>
                </c:pt>
                <c:pt idx="80">
                  <c:v>0</c:v>
                </c:pt>
                <c:pt idx="81">
                  <c:v>15000</c:v>
                </c:pt>
                <c:pt idx="82">
                  <c:v>86000</c:v>
                </c:pt>
                <c:pt idx="83">
                  <c:v>0</c:v>
                </c:pt>
                <c:pt idx="84">
                  <c:v>100000</c:v>
                </c:pt>
                <c:pt idx="85">
                  <c:v>8000</c:v>
                </c:pt>
                <c:pt idx="86">
                  <c:v>16000</c:v>
                </c:pt>
                <c:pt idx="87">
                  <c:v>15000</c:v>
                </c:pt>
                <c:pt idx="88">
                  <c:v>8000</c:v>
                </c:pt>
                <c:pt idx="89">
                  <c:v>8000</c:v>
                </c:pt>
                <c:pt idx="90">
                  <c:v>93000</c:v>
                </c:pt>
                <c:pt idx="91">
                  <c:v>132000</c:v>
                </c:pt>
                <c:pt idx="92">
                  <c:v>179000</c:v>
                </c:pt>
                <c:pt idx="93">
                  <c:v>0</c:v>
                </c:pt>
                <c:pt idx="95">
                  <c:v>78000</c:v>
                </c:pt>
                <c:pt idx="96">
                  <c:v>15000</c:v>
                </c:pt>
                <c:pt idx="97">
                  <c:v>30000</c:v>
                </c:pt>
                <c:pt idx="98">
                  <c:v>46000</c:v>
                </c:pt>
                <c:pt idx="99">
                  <c:v>8000</c:v>
                </c:pt>
                <c:pt idx="100">
                  <c:v>23000</c:v>
                </c:pt>
                <c:pt idx="101">
                  <c:v>61000</c:v>
                </c:pt>
                <c:pt idx="102">
                  <c:v>16000</c:v>
                </c:pt>
                <c:pt idx="103">
                  <c:v>148000</c:v>
                </c:pt>
                <c:pt idx="104">
                  <c:v>173000</c:v>
                </c:pt>
                <c:pt idx="105">
                  <c:v>89000</c:v>
                </c:pt>
                <c:pt idx="106">
                  <c:v>16000</c:v>
                </c:pt>
                <c:pt idx="107">
                  <c:v>50000</c:v>
                </c:pt>
                <c:pt idx="108">
                  <c:v>16000</c:v>
                </c:pt>
                <c:pt idx="109">
                  <c:v>0</c:v>
                </c:pt>
                <c:pt idx="110">
                  <c:v>15000</c:v>
                </c:pt>
                <c:pt idx="111">
                  <c:v>15000</c:v>
                </c:pt>
                <c:pt idx="112">
                  <c:v>23000</c:v>
                </c:pt>
                <c:pt idx="113">
                  <c:v>38000</c:v>
                </c:pt>
                <c:pt idx="114">
                  <c:v>15000</c:v>
                </c:pt>
                <c:pt idx="115">
                  <c:v>75000</c:v>
                </c:pt>
                <c:pt idx="116">
                  <c:v>31000</c:v>
                </c:pt>
                <c:pt idx="117">
                  <c:v>8000</c:v>
                </c:pt>
                <c:pt idx="118">
                  <c:v>65000</c:v>
                </c:pt>
                <c:pt idx="119">
                  <c:v>15000</c:v>
                </c:pt>
                <c:pt idx="120">
                  <c:v>15000</c:v>
                </c:pt>
                <c:pt idx="121">
                  <c:v>83000</c:v>
                </c:pt>
                <c:pt idx="122">
                  <c:v>38000</c:v>
                </c:pt>
                <c:pt idx="123">
                  <c:v>31000</c:v>
                </c:pt>
                <c:pt idx="124">
                  <c:v>8000</c:v>
                </c:pt>
                <c:pt idx="125">
                  <c:v>253000</c:v>
                </c:pt>
                <c:pt idx="126">
                  <c:v>0</c:v>
                </c:pt>
                <c:pt idx="127">
                  <c:v>8000</c:v>
                </c:pt>
                <c:pt idx="128">
                  <c:v>15000</c:v>
                </c:pt>
                <c:pt idx="129">
                  <c:v>24000</c:v>
                </c:pt>
                <c:pt idx="130">
                  <c:v>30000</c:v>
                </c:pt>
                <c:pt idx="131">
                  <c:v>38000</c:v>
                </c:pt>
                <c:pt idx="132">
                  <c:v>24000</c:v>
                </c:pt>
                <c:pt idx="133">
                  <c:v>16000</c:v>
                </c:pt>
                <c:pt idx="134">
                  <c:v>16000</c:v>
                </c:pt>
                <c:pt idx="135">
                  <c:v>25000</c:v>
                </c:pt>
                <c:pt idx="136">
                  <c:v>31000</c:v>
                </c:pt>
                <c:pt idx="137">
                  <c:v>54000</c:v>
                </c:pt>
                <c:pt idx="138">
                  <c:v>0</c:v>
                </c:pt>
                <c:pt idx="139">
                  <c:v>23000</c:v>
                </c:pt>
                <c:pt idx="140">
                  <c:v>65000</c:v>
                </c:pt>
                <c:pt idx="141">
                  <c:v>46000</c:v>
                </c:pt>
                <c:pt idx="142">
                  <c:v>45000</c:v>
                </c:pt>
                <c:pt idx="143">
                  <c:v>30000</c:v>
                </c:pt>
                <c:pt idx="144">
                  <c:v>0</c:v>
                </c:pt>
                <c:pt idx="145">
                  <c:v>30000</c:v>
                </c:pt>
                <c:pt idx="146">
                  <c:v>87000</c:v>
                </c:pt>
                <c:pt idx="147">
                  <c:v>8000</c:v>
                </c:pt>
                <c:pt idx="148">
                  <c:v>23000</c:v>
                </c:pt>
                <c:pt idx="149">
                  <c:v>24000</c:v>
                </c:pt>
                <c:pt idx="150">
                  <c:v>56000</c:v>
                </c:pt>
                <c:pt idx="151">
                  <c:v>87000</c:v>
                </c:pt>
                <c:pt idx="152">
                  <c:v>32000</c:v>
                </c:pt>
                <c:pt idx="153">
                  <c:v>16000</c:v>
                </c:pt>
                <c:pt idx="154">
                  <c:v>75000</c:v>
                </c:pt>
                <c:pt idx="155">
                  <c:v>101000</c:v>
                </c:pt>
                <c:pt idx="156">
                  <c:v>48000</c:v>
                </c:pt>
                <c:pt idx="157">
                  <c:v>23000</c:v>
                </c:pt>
                <c:pt idx="158">
                  <c:v>38000</c:v>
                </c:pt>
                <c:pt idx="159">
                  <c:v>73000</c:v>
                </c:pt>
                <c:pt idx="160">
                  <c:v>23000</c:v>
                </c:pt>
                <c:pt idx="161">
                  <c:v>31000</c:v>
                </c:pt>
                <c:pt idx="162">
                  <c:v>46000</c:v>
                </c:pt>
                <c:pt idx="163">
                  <c:v>211000</c:v>
                </c:pt>
                <c:pt idx="165">
                  <c:v>8000</c:v>
                </c:pt>
                <c:pt idx="166">
                  <c:v>69000</c:v>
                </c:pt>
                <c:pt idx="167">
                  <c:v>16000</c:v>
                </c:pt>
                <c:pt idx="168">
                  <c:v>85000</c:v>
                </c:pt>
                <c:pt idx="169">
                  <c:v>30000</c:v>
                </c:pt>
                <c:pt idx="170">
                  <c:v>38000</c:v>
                </c:pt>
                <c:pt idx="171">
                  <c:v>46000</c:v>
                </c:pt>
                <c:pt idx="172">
                  <c:v>8000</c:v>
                </c:pt>
                <c:pt idx="173">
                  <c:v>53000</c:v>
                </c:pt>
                <c:pt idx="174">
                  <c:v>78000</c:v>
                </c:pt>
                <c:pt idx="175">
                  <c:v>123000</c:v>
                </c:pt>
                <c:pt idx="176">
                  <c:v>58000</c:v>
                </c:pt>
                <c:pt idx="177">
                  <c:v>8000</c:v>
                </c:pt>
                <c:pt idx="178">
                  <c:v>38000</c:v>
                </c:pt>
                <c:pt idx="179">
                  <c:v>55000</c:v>
                </c:pt>
                <c:pt idx="180">
                  <c:v>65000</c:v>
                </c:pt>
                <c:pt idx="181">
                  <c:v>68000</c:v>
                </c:pt>
                <c:pt idx="182">
                  <c:v>24000</c:v>
                </c:pt>
                <c:pt idx="183">
                  <c:v>31000</c:v>
                </c:pt>
                <c:pt idx="184">
                  <c:v>143000</c:v>
                </c:pt>
                <c:pt idx="185">
                  <c:v>58000</c:v>
                </c:pt>
                <c:pt idx="186">
                  <c:v>24000</c:v>
                </c:pt>
                <c:pt idx="187">
                  <c:v>31000</c:v>
                </c:pt>
                <c:pt idx="188">
                  <c:v>53000</c:v>
                </c:pt>
                <c:pt idx="189">
                  <c:v>116000</c:v>
                </c:pt>
                <c:pt idx="190">
                  <c:v>38000</c:v>
                </c:pt>
                <c:pt idx="191">
                  <c:v>31000</c:v>
                </c:pt>
                <c:pt idx="192">
                  <c:v>65000</c:v>
                </c:pt>
                <c:pt idx="193">
                  <c:v>85000</c:v>
                </c:pt>
                <c:pt idx="194">
                  <c:v>0</c:v>
                </c:pt>
                <c:pt idx="195">
                  <c:v>45000</c:v>
                </c:pt>
                <c:pt idx="197">
                  <c:v>120000</c:v>
                </c:pt>
                <c:pt idx="198">
                  <c:v>75000</c:v>
                </c:pt>
                <c:pt idx="199">
                  <c:v>23000</c:v>
                </c:pt>
                <c:pt idx="200">
                  <c:v>55000</c:v>
                </c:pt>
                <c:pt idx="201">
                  <c:v>23000</c:v>
                </c:pt>
                <c:pt idx="202">
                  <c:v>148000</c:v>
                </c:pt>
                <c:pt idx="203">
                  <c:v>24000</c:v>
                </c:pt>
                <c:pt idx="204">
                  <c:v>69000</c:v>
                </c:pt>
                <c:pt idx="205">
                  <c:v>31000</c:v>
                </c:pt>
                <c:pt idx="206">
                  <c:v>23000</c:v>
                </c:pt>
                <c:pt idx="207">
                  <c:v>71000</c:v>
                </c:pt>
                <c:pt idx="208">
                  <c:v>38000</c:v>
                </c:pt>
                <c:pt idx="209">
                  <c:v>45000</c:v>
                </c:pt>
                <c:pt idx="210">
                  <c:v>78000</c:v>
                </c:pt>
                <c:pt idx="211">
                  <c:v>157000</c:v>
                </c:pt>
                <c:pt idx="212">
                  <c:v>163000</c:v>
                </c:pt>
                <c:pt idx="213">
                  <c:v>228000</c:v>
                </c:pt>
                <c:pt idx="214">
                  <c:v>63000</c:v>
                </c:pt>
                <c:pt idx="215">
                  <c:v>45000</c:v>
                </c:pt>
                <c:pt idx="216">
                  <c:v>85000</c:v>
                </c:pt>
                <c:pt idx="217">
                  <c:v>60000</c:v>
                </c:pt>
                <c:pt idx="218">
                  <c:v>15000</c:v>
                </c:pt>
                <c:pt idx="219">
                  <c:v>8000</c:v>
                </c:pt>
                <c:pt idx="220">
                  <c:v>8000</c:v>
                </c:pt>
                <c:pt idx="221">
                  <c:v>54000</c:v>
                </c:pt>
                <c:pt idx="222">
                  <c:v>8000</c:v>
                </c:pt>
                <c:pt idx="223">
                  <c:v>90000</c:v>
                </c:pt>
                <c:pt idx="224">
                  <c:v>153000</c:v>
                </c:pt>
                <c:pt idx="225">
                  <c:v>46000</c:v>
                </c:pt>
                <c:pt idx="226">
                  <c:v>0</c:v>
                </c:pt>
                <c:pt idx="227">
                  <c:v>65000</c:v>
                </c:pt>
                <c:pt idx="228">
                  <c:v>15000</c:v>
                </c:pt>
                <c:pt idx="229">
                  <c:v>45000</c:v>
                </c:pt>
                <c:pt idx="230">
                  <c:v>46000</c:v>
                </c:pt>
                <c:pt idx="231">
                  <c:v>46000</c:v>
                </c:pt>
                <c:pt idx="232">
                  <c:v>16000</c:v>
                </c:pt>
                <c:pt idx="233">
                  <c:v>0</c:v>
                </c:pt>
                <c:pt idx="234">
                  <c:v>53000</c:v>
                </c:pt>
                <c:pt idx="235">
                  <c:v>85000</c:v>
                </c:pt>
                <c:pt idx="236">
                  <c:v>1335000</c:v>
                </c:pt>
                <c:pt idx="237">
                  <c:v>15000</c:v>
                </c:pt>
                <c:pt idx="238">
                  <c:v>119000</c:v>
                </c:pt>
                <c:pt idx="239">
                  <c:v>38000</c:v>
                </c:pt>
                <c:pt idx="240">
                  <c:v>62000</c:v>
                </c:pt>
                <c:pt idx="241">
                  <c:v>231000</c:v>
                </c:pt>
                <c:pt idx="242">
                  <c:v>30000</c:v>
                </c:pt>
                <c:pt idx="243">
                  <c:v>55000</c:v>
                </c:pt>
                <c:pt idx="244">
                  <c:v>23000</c:v>
                </c:pt>
                <c:pt idx="245">
                  <c:v>118000</c:v>
                </c:pt>
                <c:pt idx="246">
                  <c:v>53000</c:v>
                </c:pt>
                <c:pt idx="247">
                  <c:v>38000</c:v>
                </c:pt>
                <c:pt idx="248">
                  <c:v>77000</c:v>
                </c:pt>
                <c:pt idx="249">
                  <c:v>247000</c:v>
                </c:pt>
                <c:pt idx="250">
                  <c:v>38000</c:v>
                </c:pt>
                <c:pt idx="251">
                  <c:v>38000</c:v>
                </c:pt>
                <c:pt idx="252">
                  <c:v>112000</c:v>
                </c:pt>
                <c:pt idx="253">
                  <c:v>112000</c:v>
                </c:pt>
                <c:pt idx="254">
                  <c:v>134000</c:v>
                </c:pt>
                <c:pt idx="255">
                  <c:v>85000</c:v>
                </c:pt>
                <c:pt idx="256">
                  <c:v>16000</c:v>
                </c:pt>
                <c:pt idx="257">
                  <c:v>66000</c:v>
                </c:pt>
                <c:pt idx="258">
                  <c:v>76000</c:v>
                </c:pt>
                <c:pt idx="259">
                  <c:v>23000</c:v>
                </c:pt>
                <c:pt idx="260">
                  <c:v>8000</c:v>
                </c:pt>
                <c:pt idx="261">
                  <c:v>8000</c:v>
                </c:pt>
                <c:pt idx="262">
                  <c:v>8000</c:v>
                </c:pt>
                <c:pt idx="263">
                  <c:v>30000</c:v>
                </c:pt>
                <c:pt idx="264">
                  <c:v>15000</c:v>
                </c:pt>
                <c:pt idx="265">
                  <c:v>91000</c:v>
                </c:pt>
                <c:pt idx="266">
                  <c:v>118000</c:v>
                </c:pt>
                <c:pt idx="267">
                  <c:v>45000</c:v>
                </c:pt>
                <c:pt idx="268">
                  <c:v>30000</c:v>
                </c:pt>
                <c:pt idx="269">
                  <c:v>85000</c:v>
                </c:pt>
                <c:pt idx="270">
                  <c:v>16000</c:v>
                </c:pt>
                <c:pt idx="271">
                  <c:v>0</c:v>
                </c:pt>
                <c:pt idx="272">
                  <c:v>151000</c:v>
                </c:pt>
                <c:pt idx="273">
                  <c:v>31000</c:v>
                </c:pt>
                <c:pt idx="274">
                  <c:v>16000</c:v>
                </c:pt>
                <c:pt idx="275">
                  <c:v>8000</c:v>
                </c:pt>
                <c:pt idx="276">
                  <c:v>73000</c:v>
                </c:pt>
                <c:pt idx="277">
                  <c:v>25000</c:v>
                </c:pt>
                <c:pt idx="278">
                  <c:v>30000</c:v>
                </c:pt>
                <c:pt idx="279">
                  <c:v>16000</c:v>
                </c:pt>
                <c:pt idx="280">
                  <c:v>45000</c:v>
                </c:pt>
                <c:pt idx="281">
                  <c:v>30000</c:v>
                </c:pt>
                <c:pt idx="282">
                  <c:v>63000</c:v>
                </c:pt>
                <c:pt idx="283">
                  <c:v>16000</c:v>
                </c:pt>
                <c:pt idx="284">
                  <c:v>63000</c:v>
                </c:pt>
                <c:pt idx="285">
                  <c:v>15000</c:v>
                </c:pt>
                <c:pt idx="286">
                  <c:v>16000</c:v>
                </c:pt>
                <c:pt idx="287">
                  <c:v>16000</c:v>
                </c:pt>
                <c:pt idx="288">
                  <c:v>30000</c:v>
                </c:pt>
                <c:pt idx="289">
                  <c:v>8000</c:v>
                </c:pt>
                <c:pt idx="290">
                  <c:v>63000</c:v>
                </c:pt>
                <c:pt idx="291">
                  <c:v>16000</c:v>
                </c:pt>
                <c:pt idx="292">
                  <c:v>185000</c:v>
                </c:pt>
                <c:pt idx="293">
                  <c:v>8000</c:v>
                </c:pt>
                <c:pt idx="294">
                  <c:v>76000</c:v>
                </c:pt>
                <c:pt idx="295">
                  <c:v>0</c:v>
                </c:pt>
                <c:pt idx="296">
                  <c:v>53000</c:v>
                </c:pt>
                <c:pt idx="297">
                  <c:v>54000</c:v>
                </c:pt>
                <c:pt idx="298">
                  <c:v>40000</c:v>
                </c:pt>
                <c:pt idx="299">
                  <c:v>8000</c:v>
                </c:pt>
                <c:pt idx="300">
                  <c:v>216000</c:v>
                </c:pt>
                <c:pt idx="301">
                  <c:v>110000</c:v>
                </c:pt>
                <c:pt idx="302">
                  <c:v>8000</c:v>
                </c:pt>
                <c:pt idx="303">
                  <c:v>73000</c:v>
                </c:pt>
                <c:pt idx="304">
                  <c:v>164000</c:v>
                </c:pt>
                <c:pt idx="305">
                  <c:v>35000</c:v>
                </c:pt>
                <c:pt idx="306">
                  <c:v>85000</c:v>
                </c:pt>
                <c:pt idx="307">
                  <c:v>45000</c:v>
                </c:pt>
                <c:pt idx="308">
                  <c:v>24000</c:v>
                </c:pt>
                <c:pt idx="309">
                  <c:v>473000</c:v>
                </c:pt>
                <c:pt idx="310">
                  <c:v>43000</c:v>
                </c:pt>
                <c:pt idx="311">
                  <c:v>38000</c:v>
                </c:pt>
                <c:pt idx="312">
                  <c:v>30000</c:v>
                </c:pt>
                <c:pt idx="313">
                  <c:v>116000</c:v>
                </c:pt>
                <c:pt idx="314">
                  <c:v>54000</c:v>
                </c:pt>
                <c:pt idx="315">
                  <c:v>30000</c:v>
                </c:pt>
                <c:pt idx="316">
                  <c:v>31000</c:v>
                </c:pt>
                <c:pt idx="317">
                  <c:v>15000</c:v>
                </c:pt>
                <c:pt idx="318">
                  <c:v>80000</c:v>
                </c:pt>
                <c:pt idx="319">
                  <c:v>8000</c:v>
                </c:pt>
                <c:pt idx="320">
                  <c:v>8000</c:v>
                </c:pt>
                <c:pt idx="321">
                  <c:v>65000</c:v>
                </c:pt>
                <c:pt idx="322">
                  <c:v>40000</c:v>
                </c:pt>
                <c:pt idx="323">
                  <c:v>23000</c:v>
                </c:pt>
                <c:pt idx="324">
                  <c:v>15000</c:v>
                </c:pt>
                <c:pt idx="325">
                  <c:v>99000</c:v>
                </c:pt>
                <c:pt idx="326">
                  <c:v>45000</c:v>
                </c:pt>
                <c:pt idx="327">
                  <c:v>30000</c:v>
                </c:pt>
                <c:pt idx="328">
                  <c:v>75000</c:v>
                </c:pt>
                <c:pt idx="329">
                  <c:v>130000</c:v>
                </c:pt>
                <c:pt idx="330">
                  <c:v>444000</c:v>
                </c:pt>
                <c:pt idx="331">
                  <c:v>15000</c:v>
                </c:pt>
                <c:pt idx="332">
                  <c:v>30000</c:v>
                </c:pt>
                <c:pt idx="333">
                  <c:v>15000</c:v>
                </c:pt>
                <c:pt idx="334">
                  <c:v>141000</c:v>
                </c:pt>
                <c:pt idx="335">
                  <c:v>38000</c:v>
                </c:pt>
                <c:pt idx="336">
                  <c:v>94000</c:v>
                </c:pt>
                <c:pt idx="337">
                  <c:v>96000</c:v>
                </c:pt>
                <c:pt idx="338">
                  <c:v>60000</c:v>
                </c:pt>
                <c:pt idx="339">
                  <c:v>8000</c:v>
                </c:pt>
                <c:pt idx="340">
                  <c:v>201000</c:v>
                </c:pt>
                <c:pt idx="341">
                  <c:v>8000</c:v>
                </c:pt>
                <c:pt idx="342">
                  <c:v>31000</c:v>
                </c:pt>
                <c:pt idx="343">
                  <c:v>8000</c:v>
                </c:pt>
                <c:pt idx="344">
                  <c:v>15000</c:v>
                </c:pt>
                <c:pt idx="345">
                  <c:v>80000</c:v>
                </c:pt>
                <c:pt idx="346">
                  <c:v>158000</c:v>
                </c:pt>
                <c:pt idx="347">
                  <c:v>23000</c:v>
                </c:pt>
                <c:pt idx="348">
                  <c:v>23000</c:v>
                </c:pt>
                <c:pt idx="349">
                  <c:v>16000</c:v>
                </c:pt>
                <c:pt idx="350">
                  <c:v>196000</c:v>
                </c:pt>
                <c:pt idx="351">
                  <c:v>24000</c:v>
                </c:pt>
                <c:pt idx="352">
                  <c:v>46000</c:v>
                </c:pt>
                <c:pt idx="353">
                  <c:v>128000</c:v>
                </c:pt>
                <c:pt idx="354">
                  <c:v>31000</c:v>
                </c:pt>
                <c:pt idx="355">
                  <c:v>308000</c:v>
                </c:pt>
                <c:pt idx="356">
                  <c:v>72000</c:v>
                </c:pt>
                <c:pt idx="357">
                  <c:v>55000</c:v>
                </c:pt>
                <c:pt idx="358">
                  <c:v>74000</c:v>
                </c:pt>
                <c:pt idx="359">
                  <c:v>8000</c:v>
                </c:pt>
                <c:pt idx="360">
                  <c:v>78000</c:v>
                </c:pt>
                <c:pt idx="361">
                  <c:v>138000</c:v>
                </c:pt>
                <c:pt idx="362">
                  <c:v>0</c:v>
                </c:pt>
                <c:pt idx="363">
                  <c:v>8000</c:v>
                </c:pt>
                <c:pt idx="364">
                  <c:v>31000</c:v>
                </c:pt>
                <c:pt idx="365">
                  <c:v>15000</c:v>
                </c:pt>
                <c:pt idx="366">
                  <c:v>53000</c:v>
                </c:pt>
                <c:pt idx="367">
                  <c:v>53000</c:v>
                </c:pt>
                <c:pt idx="368">
                  <c:v>16000</c:v>
                </c:pt>
                <c:pt idx="369">
                  <c:v>8000</c:v>
                </c:pt>
                <c:pt idx="370">
                  <c:v>46000</c:v>
                </c:pt>
                <c:pt idx="371">
                  <c:v>16000</c:v>
                </c:pt>
                <c:pt idx="372">
                  <c:v>103000</c:v>
                </c:pt>
                <c:pt idx="373">
                  <c:v>23000</c:v>
                </c:pt>
                <c:pt idx="374">
                  <c:v>120000</c:v>
                </c:pt>
                <c:pt idx="375">
                  <c:v>176000</c:v>
                </c:pt>
                <c:pt idx="376">
                  <c:v>24000</c:v>
                </c:pt>
                <c:pt idx="377">
                  <c:v>108000</c:v>
                </c:pt>
                <c:pt idx="378">
                  <c:v>105000</c:v>
                </c:pt>
                <c:pt idx="379">
                  <c:v>0</c:v>
                </c:pt>
                <c:pt idx="380">
                  <c:v>15000</c:v>
                </c:pt>
                <c:pt idx="381">
                  <c:v>54000</c:v>
                </c:pt>
                <c:pt idx="382">
                  <c:v>128000</c:v>
                </c:pt>
                <c:pt idx="383">
                  <c:v>8000</c:v>
                </c:pt>
                <c:pt idx="384">
                  <c:v>16000</c:v>
                </c:pt>
                <c:pt idx="385">
                  <c:v>95000</c:v>
                </c:pt>
                <c:pt idx="386">
                  <c:v>78000</c:v>
                </c:pt>
                <c:pt idx="387">
                  <c:v>31000</c:v>
                </c:pt>
                <c:pt idx="388">
                  <c:v>73000</c:v>
                </c:pt>
                <c:pt idx="389">
                  <c:v>15000</c:v>
                </c:pt>
                <c:pt idx="390">
                  <c:v>31000</c:v>
                </c:pt>
                <c:pt idx="391">
                  <c:v>15000</c:v>
                </c:pt>
                <c:pt idx="392">
                  <c:v>123000</c:v>
                </c:pt>
                <c:pt idx="393">
                  <c:v>39000</c:v>
                </c:pt>
                <c:pt idx="394">
                  <c:v>16000</c:v>
                </c:pt>
                <c:pt idx="395">
                  <c:v>23000</c:v>
                </c:pt>
                <c:pt idx="396">
                  <c:v>70000</c:v>
                </c:pt>
                <c:pt idx="397">
                  <c:v>15000</c:v>
                </c:pt>
                <c:pt idx="398">
                  <c:v>0</c:v>
                </c:pt>
                <c:pt idx="399">
                  <c:v>8000</c:v>
                </c:pt>
                <c:pt idx="400">
                  <c:v>38000</c:v>
                </c:pt>
                <c:pt idx="401">
                  <c:v>8000</c:v>
                </c:pt>
                <c:pt idx="402">
                  <c:v>53000</c:v>
                </c:pt>
                <c:pt idx="403">
                  <c:v>78000</c:v>
                </c:pt>
                <c:pt idx="404">
                  <c:v>61000</c:v>
                </c:pt>
                <c:pt idx="405">
                  <c:v>243000</c:v>
                </c:pt>
                <c:pt idx="406">
                  <c:v>23000</c:v>
                </c:pt>
                <c:pt idx="407">
                  <c:v>23000</c:v>
                </c:pt>
                <c:pt idx="408">
                  <c:v>150000</c:v>
                </c:pt>
                <c:pt idx="409">
                  <c:v>8000</c:v>
                </c:pt>
                <c:pt idx="410">
                  <c:v>0</c:v>
                </c:pt>
                <c:pt idx="411">
                  <c:v>135000</c:v>
                </c:pt>
                <c:pt idx="412">
                  <c:v>90000</c:v>
                </c:pt>
                <c:pt idx="413">
                  <c:v>200000</c:v>
                </c:pt>
                <c:pt idx="414">
                  <c:v>39000</c:v>
                </c:pt>
                <c:pt idx="415">
                  <c:v>85000</c:v>
                </c:pt>
                <c:pt idx="416">
                  <c:v>15000</c:v>
                </c:pt>
                <c:pt idx="417">
                  <c:v>53000</c:v>
                </c:pt>
                <c:pt idx="418">
                  <c:v>69000</c:v>
                </c:pt>
                <c:pt idx="419">
                  <c:v>89000</c:v>
                </c:pt>
                <c:pt idx="420">
                  <c:v>98000</c:v>
                </c:pt>
                <c:pt idx="421">
                  <c:v>96000</c:v>
                </c:pt>
                <c:pt idx="422">
                  <c:v>30000</c:v>
                </c:pt>
                <c:pt idx="423">
                  <c:v>38000</c:v>
                </c:pt>
                <c:pt idx="424">
                  <c:v>63000</c:v>
                </c:pt>
                <c:pt idx="425">
                  <c:v>23000</c:v>
                </c:pt>
                <c:pt idx="426">
                  <c:v>23000</c:v>
                </c:pt>
                <c:pt idx="427">
                  <c:v>75000</c:v>
                </c:pt>
                <c:pt idx="428">
                  <c:v>23000</c:v>
                </c:pt>
                <c:pt idx="429">
                  <c:v>15000</c:v>
                </c:pt>
                <c:pt idx="430">
                  <c:v>31000</c:v>
                </c:pt>
                <c:pt idx="431">
                  <c:v>38000</c:v>
                </c:pt>
                <c:pt idx="432">
                  <c:v>135000</c:v>
                </c:pt>
                <c:pt idx="433">
                  <c:v>54000</c:v>
                </c:pt>
                <c:pt idx="434">
                  <c:v>16000</c:v>
                </c:pt>
                <c:pt idx="435">
                  <c:v>63000</c:v>
                </c:pt>
                <c:pt idx="436">
                  <c:v>40000</c:v>
                </c:pt>
                <c:pt idx="437">
                  <c:v>32000</c:v>
                </c:pt>
                <c:pt idx="438">
                  <c:v>110000</c:v>
                </c:pt>
                <c:pt idx="439">
                  <c:v>87000</c:v>
                </c:pt>
                <c:pt idx="440">
                  <c:v>23000</c:v>
                </c:pt>
                <c:pt idx="441">
                  <c:v>8000</c:v>
                </c:pt>
                <c:pt idx="442">
                  <c:v>16000</c:v>
                </c:pt>
                <c:pt idx="443">
                  <c:v>15000</c:v>
                </c:pt>
                <c:pt idx="444">
                  <c:v>105000</c:v>
                </c:pt>
                <c:pt idx="445">
                  <c:v>30000</c:v>
                </c:pt>
                <c:pt idx="446">
                  <c:v>30000</c:v>
                </c:pt>
                <c:pt idx="447">
                  <c:v>31000</c:v>
                </c:pt>
                <c:pt idx="448">
                  <c:v>138000</c:v>
                </c:pt>
                <c:pt idx="449">
                  <c:v>80000</c:v>
                </c:pt>
                <c:pt idx="450">
                  <c:v>8000</c:v>
                </c:pt>
                <c:pt idx="451">
                  <c:v>73000</c:v>
                </c:pt>
                <c:pt idx="452">
                  <c:v>23000</c:v>
                </c:pt>
                <c:pt idx="453">
                  <c:v>8000</c:v>
                </c:pt>
                <c:pt idx="454">
                  <c:v>173000</c:v>
                </c:pt>
                <c:pt idx="455">
                  <c:v>16000</c:v>
                </c:pt>
                <c:pt idx="456">
                  <c:v>8000</c:v>
                </c:pt>
                <c:pt idx="457">
                  <c:v>0</c:v>
                </c:pt>
                <c:pt idx="458">
                  <c:v>105000</c:v>
                </c:pt>
                <c:pt idx="459">
                  <c:v>101000</c:v>
                </c:pt>
                <c:pt idx="460">
                  <c:v>0</c:v>
                </c:pt>
                <c:pt idx="461">
                  <c:v>45000</c:v>
                </c:pt>
                <c:pt idx="462">
                  <c:v>0</c:v>
                </c:pt>
                <c:pt idx="463">
                  <c:v>8000</c:v>
                </c:pt>
                <c:pt idx="464">
                  <c:v>115000</c:v>
                </c:pt>
                <c:pt idx="465">
                  <c:v>56000</c:v>
                </c:pt>
                <c:pt idx="466">
                  <c:v>15000</c:v>
                </c:pt>
                <c:pt idx="467">
                  <c:v>0</c:v>
                </c:pt>
                <c:pt idx="468">
                  <c:v>240000</c:v>
                </c:pt>
                <c:pt idx="469">
                  <c:v>30000</c:v>
                </c:pt>
                <c:pt idx="470">
                  <c:v>0</c:v>
                </c:pt>
                <c:pt idx="471">
                  <c:v>65000</c:v>
                </c:pt>
                <c:pt idx="472">
                  <c:v>0</c:v>
                </c:pt>
                <c:pt idx="473">
                  <c:v>46000</c:v>
                </c:pt>
                <c:pt idx="474">
                  <c:v>15000</c:v>
                </c:pt>
                <c:pt idx="475">
                  <c:v>40000</c:v>
                </c:pt>
                <c:pt idx="476">
                  <c:v>134000</c:v>
                </c:pt>
                <c:pt idx="477">
                  <c:v>31000</c:v>
                </c:pt>
                <c:pt idx="478">
                  <c:v>120000</c:v>
                </c:pt>
                <c:pt idx="479">
                  <c:v>23000</c:v>
                </c:pt>
                <c:pt idx="480">
                  <c:v>31000</c:v>
                </c:pt>
                <c:pt idx="481">
                  <c:v>54000</c:v>
                </c:pt>
                <c:pt idx="482">
                  <c:v>38000</c:v>
                </c:pt>
                <c:pt idx="483">
                  <c:v>46000</c:v>
                </c:pt>
                <c:pt idx="484">
                  <c:v>71000</c:v>
                </c:pt>
                <c:pt idx="485">
                  <c:v>53000</c:v>
                </c:pt>
                <c:pt idx="486">
                  <c:v>78000</c:v>
                </c:pt>
                <c:pt idx="487">
                  <c:v>23000</c:v>
                </c:pt>
                <c:pt idx="488">
                  <c:v>16000</c:v>
                </c:pt>
                <c:pt idx="489">
                  <c:v>0</c:v>
                </c:pt>
                <c:pt idx="490">
                  <c:v>45000</c:v>
                </c:pt>
                <c:pt idx="491">
                  <c:v>98000</c:v>
                </c:pt>
                <c:pt idx="492">
                  <c:v>15000</c:v>
                </c:pt>
                <c:pt idx="493">
                  <c:v>30000</c:v>
                </c:pt>
                <c:pt idx="494">
                  <c:v>103000</c:v>
                </c:pt>
                <c:pt idx="495">
                  <c:v>8000</c:v>
                </c:pt>
                <c:pt idx="496">
                  <c:v>98000</c:v>
                </c:pt>
                <c:pt idx="497">
                  <c:v>0</c:v>
                </c:pt>
                <c:pt idx="498">
                  <c:v>38000</c:v>
                </c:pt>
                <c:pt idx="499">
                  <c:v>38000</c:v>
                </c:pt>
                <c:pt idx="500">
                  <c:v>23000</c:v>
                </c:pt>
                <c:pt idx="501">
                  <c:v>46000</c:v>
                </c:pt>
                <c:pt idx="502">
                  <c:v>101000</c:v>
                </c:pt>
                <c:pt idx="503">
                  <c:v>16000</c:v>
                </c:pt>
                <c:pt idx="504">
                  <c:v>23000</c:v>
                </c:pt>
                <c:pt idx="505">
                  <c:v>24000</c:v>
                </c:pt>
                <c:pt idx="506">
                  <c:v>16000</c:v>
                </c:pt>
                <c:pt idx="507">
                  <c:v>93000</c:v>
                </c:pt>
                <c:pt idx="508">
                  <c:v>70000</c:v>
                </c:pt>
                <c:pt idx="509">
                  <c:v>83000</c:v>
                </c:pt>
                <c:pt idx="510">
                  <c:v>78000</c:v>
                </c:pt>
                <c:pt idx="511">
                  <c:v>70000</c:v>
                </c:pt>
                <c:pt idx="512">
                  <c:v>53000</c:v>
                </c:pt>
                <c:pt idx="513">
                  <c:v>8000</c:v>
                </c:pt>
                <c:pt idx="514">
                  <c:v>23000</c:v>
                </c:pt>
                <c:pt idx="515">
                  <c:v>43000</c:v>
                </c:pt>
                <c:pt idx="516">
                  <c:v>45000</c:v>
                </c:pt>
                <c:pt idx="517">
                  <c:v>181000</c:v>
                </c:pt>
                <c:pt idx="518">
                  <c:v>32000</c:v>
                </c:pt>
                <c:pt idx="519">
                  <c:v>0</c:v>
                </c:pt>
                <c:pt idx="520">
                  <c:v>8000</c:v>
                </c:pt>
                <c:pt idx="521">
                  <c:v>155000</c:v>
                </c:pt>
                <c:pt idx="522">
                  <c:v>32500</c:v>
                </c:pt>
                <c:pt idx="523">
                  <c:v>23000</c:v>
                </c:pt>
                <c:pt idx="524">
                  <c:v>24000</c:v>
                </c:pt>
                <c:pt idx="525">
                  <c:v>0</c:v>
                </c:pt>
                <c:pt idx="526">
                  <c:v>136000</c:v>
                </c:pt>
                <c:pt idx="527">
                  <c:v>75000</c:v>
                </c:pt>
                <c:pt idx="528">
                  <c:v>0</c:v>
                </c:pt>
                <c:pt idx="529">
                  <c:v>16000</c:v>
                </c:pt>
                <c:pt idx="530">
                  <c:v>48000</c:v>
                </c:pt>
                <c:pt idx="531">
                  <c:v>24000</c:v>
                </c:pt>
                <c:pt idx="532">
                  <c:v>98000</c:v>
                </c:pt>
                <c:pt idx="533">
                  <c:v>39000</c:v>
                </c:pt>
                <c:pt idx="534">
                  <c:v>0</c:v>
                </c:pt>
                <c:pt idx="535">
                  <c:v>808000</c:v>
                </c:pt>
                <c:pt idx="536">
                  <c:v>15000</c:v>
                </c:pt>
                <c:pt idx="537">
                  <c:v>16000</c:v>
                </c:pt>
                <c:pt idx="538">
                  <c:v>16000</c:v>
                </c:pt>
                <c:pt idx="539">
                  <c:v>93000</c:v>
                </c:pt>
                <c:pt idx="540">
                  <c:v>119000</c:v>
                </c:pt>
                <c:pt idx="541">
                  <c:v>8000</c:v>
                </c:pt>
                <c:pt idx="542">
                  <c:v>30000</c:v>
                </c:pt>
                <c:pt idx="543">
                  <c:v>78000</c:v>
                </c:pt>
                <c:pt idx="544">
                  <c:v>83000</c:v>
                </c:pt>
                <c:pt idx="545">
                  <c:v>140000</c:v>
                </c:pt>
                <c:pt idx="546">
                  <c:v>63000</c:v>
                </c:pt>
                <c:pt idx="547">
                  <c:v>8000</c:v>
                </c:pt>
                <c:pt idx="548">
                  <c:v>32000</c:v>
                </c:pt>
                <c:pt idx="549">
                  <c:v>128000</c:v>
                </c:pt>
                <c:pt idx="550">
                  <c:v>130000</c:v>
                </c:pt>
                <c:pt idx="551">
                  <c:v>70000</c:v>
                </c:pt>
                <c:pt idx="552">
                  <c:v>60000</c:v>
                </c:pt>
                <c:pt idx="553">
                  <c:v>31000</c:v>
                </c:pt>
                <c:pt idx="554">
                  <c:v>126000</c:v>
                </c:pt>
                <c:pt idx="555">
                  <c:v>69000</c:v>
                </c:pt>
                <c:pt idx="556">
                  <c:v>8000</c:v>
                </c:pt>
                <c:pt idx="557">
                  <c:v>0</c:v>
                </c:pt>
                <c:pt idx="558">
                  <c:v>31000</c:v>
                </c:pt>
                <c:pt idx="559">
                  <c:v>53000</c:v>
                </c:pt>
                <c:pt idx="560">
                  <c:v>32000</c:v>
                </c:pt>
                <c:pt idx="561">
                  <c:v>73000</c:v>
                </c:pt>
                <c:pt idx="562">
                  <c:v>53000</c:v>
                </c:pt>
                <c:pt idx="563">
                  <c:v>89000</c:v>
                </c:pt>
                <c:pt idx="565">
                  <c:v>30000</c:v>
                </c:pt>
                <c:pt idx="566">
                  <c:v>46000</c:v>
                </c:pt>
                <c:pt idx="567">
                  <c:v>188000</c:v>
                </c:pt>
                <c:pt idx="568">
                  <c:v>54000</c:v>
                </c:pt>
                <c:pt idx="569">
                  <c:v>31000</c:v>
                </c:pt>
                <c:pt idx="570">
                  <c:v>24000</c:v>
                </c:pt>
                <c:pt idx="571">
                  <c:v>106000</c:v>
                </c:pt>
                <c:pt idx="572">
                  <c:v>0</c:v>
                </c:pt>
                <c:pt idx="573">
                  <c:v>163000</c:v>
                </c:pt>
                <c:pt idx="574">
                  <c:v>0</c:v>
                </c:pt>
                <c:pt idx="575">
                  <c:v>60000</c:v>
                </c:pt>
                <c:pt idx="576">
                  <c:v>24000</c:v>
                </c:pt>
                <c:pt idx="577">
                  <c:v>16000</c:v>
                </c:pt>
                <c:pt idx="578">
                  <c:v>39000</c:v>
                </c:pt>
                <c:pt idx="579">
                  <c:v>15000</c:v>
                </c:pt>
                <c:pt idx="580">
                  <c:v>71000</c:v>
                </c:pt>
                <c:pt idx="581">
                  <c:v>32000</c:v>
                </c:pt>
                <c:pt idx="582">
                  <c:v>31000</c:v>
                </c:pt>
                <c:pt idx="583">
                  <c:v>32000</c:v>
                </c:pt>
                <c:pt idx="584">
                  <c:v>31000</c:v>
                </c:pt>
                <c:pt idx="585">
                  <c:v>23000</c:v>
                </c:pt>
                <c:pt idx="586">
                  <c:v>64000</c:v>
                </c:pt>
                <c:pt idx="587">
                  <c:v>127000</c:v>
                </c:pt>
                <c:pt idx="588">
                  <c:v>31000</c:v>
                </c:pt>
                <c:pt idx="589">
                  <c:v>94000</c:v>
                </c:pt>
                <c:pt idx="590">
                  <c:v>15000</c:v>
                </c:pt>
                <c:pt idx="591">
                  <c:v>46000</c:v>
                </c:pt>
                <c:pt idx="592">
                  <c:v>16000</c:v>
                </c:pt>
                <c:pt idx="593">
                  <c:v>38000</c:v>
                </c:pt>
                <c:pt idx="594">
                  <c:v>39000</c:v>
                </c:pt>
                <c:pt idx="595">
                  <c:v>105000</c:v>
                </c:pt>
                <c:pt idx="596">
                  <c:v>60000</c:v>
                </c:pt>
                <c:pt idx="597">
                  <c:v>41000</c:v>
                </c:pt>
                <c:pt idx="598">
                  <c:v>0</c:v>
                </c:pt>
                <c:pt idx="599">
                  <c:v>32000</c:v>
                </c:pt>
                <c:pt idx="600">
                  <c:v>316000</c:v>
                </c:pt>
                <c:pt idx="601">
                  <c:v>16000</c:v>
                </c:pt>
                <c:pt idx="602">
                  <c:v>30000</c:v>
                </c:pt>
                <c:pt idx="603">
                  <c:v>113000</c:v>
                </c:pt>
                <c:pt idx="604">
                  <c:v>56000</c:v>
                </c:pt>
                <c:pt idx="605">
                  <c:v>64000</c:v>
                </c:pt>
                <c:pt idx="606">
                  <c:v>32000</c:v>
                </c:pt>
                <c:pt idx="607">
                  <c:v>169000</c:v>
                </c:pt>
                <c:pt idx="608">
                  <c:v>54000</c:v>
                </c:pt>
                <c:pt idx="609">
                  <c:v>76000</c:v>
                </c:pt>
                <c:pt idx="610">
                  <c:v>53000</c:v>
                </c:pt>
                <c:pt idx="611">
                  <c:v>23000</c:v>
                </c:pt>
                <c:pt idx="612">
                  <c:v>8000</c:v>
                </c:pt>
                <c:pt idx="613">
                  <c:v>161000</c:v>
                </c:pt>
                <c:pt idx="614">
                  <c:v>46000</c:v>
                </c:pt>
                <c:pt idx="615">
                  <c:v>55000</c:v>
                </c:pt>
                <c:pt idx="616">
                  <c:v>101000</c:v>
                </c:pt>
                <c:pt idx="617">
                  <c:v>46000</c:v>
                </c:pt>
                <c:pt idx="618">
                  <c:v>279000</c:v>
                </c:pt>
                <c:pt idx="619">
                  <c:v>46000</c:v>
                </c:pt>
                <c:pt idx="620">
                  <c:v>116000</c:v>
                </c:pt>
                <c:pt idx="621">
                  <c:v>90000</c:v>
                </c:pt>
                <c:pt idx="622">
                  <c:v>23000</c:v>
                </c:pt>
                <c:pt idx="623">
                  <c:v>15000</c:v>
                </c:pt>
                <c:pt idx="624">
                  <c:v>78000</c:v>
                </c:pt>
                <c:pt idx="625">
                  <c:v>53000</c:v>
                </c:pt>
                <c:pt idx="626">
                  <c:v>32000</c:v>
                </c:pt>
                <c:pt idx="627">
                  <c:v>46000</c:v>
                </c:pt>
                <c:pt idx="628">
                  <c:v>53000</c:v>
                </c:pt>
                <c:pt idx="629">
                  <c:v>60000</c:v>
                </c:pt>
                <c:pt idx="630">
                  <c:v>54000</c:v>
                </c:pt>
                <c:pt idx="631">
                  <c:v>38000</c:v>
                </c:pt>
                <c:pt idx="632">
                  <c:v>38000</c:v>
                </c:pt>
                <c:pt idx="633">
                  <c:v>23000</c:v>
                </c:pt>
                <c:pt idx="634">
                  <c:v>40000</c:v>
                </c:pt>
                <c:pt idx="635">
                  <c:v>278000</c:v>
                </c:pt>
                <c:pt idx="636">
                  <c:v>16000</c:v>
                </c:pt>
                <c:pt idx="637">
                  <c:v>16000</c:v>
                </c:pt>
                <c:pt idx="638">
                  <c:v>0</c:v>
                </c:pt>
                <c:pt idx="639">
                  <c:v>134000</c:v>
                </c:pt>
                <c:pt idx="640">
                  <c:v>24000</c:v>
                </c:pt>
                <c:pt idx="641">
                  <c:v>114000</c:v>
                </c:pt>
                <c:pt idx="642">
                  <c:v>8000</c:v>
                </c:pt>
                <c:pt idx="643">
                  <c:v>8000</c:v>
                </c:pt>
                <c:pt idx="644">
                  <c:v>16000</c:v>
                </c:pt>
                <c:pt idx="645">
                  <c:v>71000</c:v>
                </c:pt>
                <c:pt idx="646">
                  <c:v>153000</c:v>
                </c:pt>
                <c:pt idx="647">
                  <c:v>166000</c:v>
                </c:pt>
                <c:pt idx="648">
                  <c:v>161000</c:v>
                </c:pt>
                <c:pt idx="649">
                  <c:v>185000</c:v>
                </c:pt>
                <c:pt idx="650">
                  <c:v>154000</c:v>
                </c:pt>
                <c:pt idx="651">
                  <c:v>38000</c:v>
                </c:pt>
                <c:pt idx="652">
                  <c:v>16000</c:v>
                </c:pt>
                <c:pt idx="653">
                  <c:v>146000</c:v>
                </c:pt>
                <c:pt idx="654">
                  <c:v>30000</c:v>
                </c:pt>
                <c:pt idx="655">
                  <c:v>146000</c:v>
                </c:pt>
                <c:pt idx="656">
                  <c:v>73000</c:v>
                </c:pt>
                <c:pt idx="657">
                  <c:v>31000</c:v>
                </c:pt>
                <c:pt idx="658">
                  <c:v>96000</c:v>
                </c:pt>
                <c:pt idx="659">
                  <c:v>38000</c:v>
                </c:pt>
                <c:pt idx="660">
                  <c:v>208000</c:v>
                </c:pt>
                <c:pt idx="661">
                  <c:v>78000</c:v>
                </c:pt>
                <c:pt idx="662">
                  <c:v>16000</c:v>
                </c:pt>
                <c:pt idx="663">
                  <c:v>30000</c:v>
                </c:pt>
                <c:pt idx="664">
                  <c:v>131000</c:v>
                </c:pt>
                <c:pt idx="665">
                  <c:v>101000</c:v>
                </c:pt>
                <c:pt idx="666">
                  <c:v>107000</c:v>
                </c:pt>
                <c:pt idx="667">
                  <c:v>24000</c:v>
                </c:pt>
                <c:pt idx="668">
                  <c:v>161000</c:v>
                </c:pt>
                <c:pt idx="669">
                  <c:v>161000</c:v>
                </c:pt>
                <c:pt idx="670">
                  <c:v>138000</c:v>
                </c:pt>
                <c:pt idx="671">
                  <c:v>319000</c:v>
                </c:pt>
                <c:pt idx="672">
                  <c:v>23000</c:v>
                </c:pt>
                <c:pt idx="673">
                  <c:v>68000</c:v>
                </c:pt>
                <c:pt idx="674">
                  <c:v>81000</c:v>
                </c:pt>
                <c:pt idx="675">
                  <c:v>200000</c:v>
                </c:pt>
                <c:pt idx="676">
                  <c:v>24000</c:v>
                </c:pt>
                <c:pt idx="677">
                  <c:v>31000</c:v>
                </c:pt>
                <c:pt idx="678">
                  <c:v>86000</c:v>
                </c:pt>
                <c:pt idx="679">
                  <c:v>226000</c:v>
                </c:pt>
                <c:pt idx="680">
                  <c:v>85000</c:v>
                </c:pt>
                <c:pt idx="681">
                  <c:v>320000</c:v>
                </c:pt>
                <c:pt idx="682">
                  <c:v>81000</c:v>
                </c:pt>
                <c:pt idx="683">
                  <c:v>16000</c:v>
                </c:pt>
                <c:pt idx="684">
                  <c:v>30000</c:v>
                </c:pt>
                <c:pt idx="685">
                  <c:v>119000</c:v>
                </c:pt>
                <c:pt idx="686">
                  <c:v>47000</c:v>
                </c:pt>
                <c:pt idx="687">
                  <c:v>86000</c:v>
                </c:pt>
                <c:pt idx="688">
                  <c:v>66000</c:v>
                </c:pt>
                <c:pt idx="689">
                  <c:v>38000</c:v>
                </c:pt>
                <c:pt idx="690">
                  <c:v>61000</c:v>
                </c:pt>
                <c:pt idx="691">
                  <c:v>46000</c:v>
                </c:pt>
                <c:pt idx="692">
                  <c:v>48000</c:v>
                </c:pt>
                <c:pt idx="693">
                  <c:v>39000</c:v>
                </c:pt>
                <c:pt idx="694">
                  <c:v>133000</c:v>
                </c:pt>
                <c:pt idx="695">
                  <c:v>54000</c:v>
                </c:pt>
                <c:pt idx="696">
                  <c:v>55000</c:v>
                </c:pt>
                <c:pt idx="697">
                  <c:v>143000</c:v>
                </c:pt>
                <c:pt idx="698">
                  <c:v>70000</c:v>
                </c:pt>
                <c:pt idx="699">
                  <c:v>8000</c:v>
                </c:pt>
                <c:pt idx="700">
                  <c:v>16000</c:v>
                </c:pt>
                <c:pt idx="701">
                  <c:v>8000</c:v>
                </c:pt>
                <c:pt idx="702">
                  <c:v>0</c:v>
                </c:pt>
                <c:pt idx="703">
                  <c:v>8000</c:v>
                </c:pt>
                <c:pt idx="704">
                  <c:v>61000</c:v>
                </c:pt>
                <c:pt idx="705">
                  <c:v>111000</c:v>
                </c:pt>
                <c:pt idx="706">
                  <c:v>16000</c:v>
                </c:pt>
                <c:pt idx="707">
                  <c:v>8000</c:v>
                </c:pt>
                <c:pt idx="708">
                  <c:v>23000</c:v>
                </c:pt>
                <c:pt idx="709">
                  <c:v>53000</c:v>
                </c:pt>
                <c:pt idx="710">
                  <c:v>62000</c:v>
                </c:pt>
                <c:pt idx="711">
                  <c:v>15000</c:v>
                </c:pt>
                <c:pt idx="712">
                  <c:v>8000</c:v>
                </c:pt>
                <c:pt idx="713">
                  <c:v>31000</c:v>
                </c:pt>
                <c:pt idx="714">
                  <c:v>94000</c:v>
                </c:pt>
                <c:pt idx="716">
                  <c:v>16000</c:v>
                </c:pt>
                <c:pt idx="717">
                  <c:v>25000</c:v>
                </c:pt>
                <c:pt idx="718">
                  <c:v>45000</c:v>
                </c:pt>
                <c:pt idx="719">
                  <c:v>173000</c:v>
                </c:pt>
                <c:pt idx="720">
                  <c:v>0</c:v>
                </c:pt>
                <c:pt idx="721">
                  <c:v>148000</c:v>
                </c:pt>
                <c:pt idx="722">
                  <c:v>31000</c:v>
                </c:pt>
                <c:pt idx="723">
                  <c:v>226000</c:v>
                </c:pt>
                <c:pt idx="724">
                  <c:v>38000</c:v>
                </c:pt>
                <c:pt idx="725">
                  <c:v>40000</c:v>
                </c:pt>
                <c:pt idx="726">
                  <c:v>69000</c:v>
                </c:pt>
                <c:pt idx="727">
                  <c:v>101000</c:v>
                </c:pt>
                <c:pt idx="728">
                  <c:v>76000</c:v>
                </c:pt>
                <c:pt idx="729">
                  <c:v>16000</c:v>
                </c:pt>
                <c:pt idx="730">
                  <c:v>188000</c:v>
                </c:pt>
                <c:pt idx="731">
                  <c:v>63000</c:v>
                </c:pt>
                <c:pt idx="732">
                  <c:v>41000</c:v>
                </c:pt>
                <c:pt idx="733">
                  <c:v>54000</c:v>
                </c:pt>
                <c:pt idx="734">
                  <c:v>8000</c:v>
                </c:pt>
                <c:pt idx="735">
                  <c:v>38000</c:v>
                </c:pt>
                <c:pt idx="736">
                  <c:v>71000</c:v>
                </c:pt>
                <c:pt idx="737">
                  <c:v>115000</c:v>
                </c:pt>
                <c:pt idx="738">
                  <c:v>105000</c:v>
                </c:pt>
                <c:pt idx="739">
                  <c:v>39000</c:v>
                </c:pt>
                <c:pt idx="740">
                  <c:v>162000</c:v>
                </c:pt>
                <c:pt idx="741">
                  <c:v>117000</c:v>
                </c:pt>
                <c:pt idx="742">
                  <c:v>23000</c:v>
                </c:pt>
                <c:pt idx="743">
                  <c:v>91000</c:v>
                </c:pt>
                <c:pt idx="744">
                  <c:v>16000</c:v>
                </c:pt>
                <c:pt idx="745">
                  <c:v>66000</c:v>
                </c:pt>
                <c:pt idx="746">
                  <c:v>48000</c:v>
                </c:pt>
                <c:pt idx="747">
                  <c:v>62000</c:v>
                </c:pt>
                <c:pt idx="748">
                  <c:v>92000</c:v>
                </c:pt>
                <c:pt idx="749">
                  <c:v>16000</c:v>
                </c:pt>
                <c:pt idx="750">
                  <c:v>94000</c:v>
                </c:pt>
                <c:pt idx="751">
                  <c:v>460000</c:v>
                </c:pt>
                <c:pt idx="752">
                  <c:v>54000</c:v>
                </c:pt>
                <c:pt idx="753">
                  <c:v>139000</c:v>
                </c:pt>
                <c:pt idx="754">
                  <c:v>75000</c:v>
                </c:pt>
                <c:pt idx="755">
                  <c:v>93000</c:v>
                </c:pt>
                <c:pt idx="756">
                  <c:v>88000</c:v>
                </c:pt>
                <c:pt idx="757">
                  <c:v>46000</c:v>
                </c:pt>
                <c:pt idx="758">
                  <c:v>0</c:v>
                </c:pt>
                <c:pt idx="759">
                  <c:v>50000</c:v>
                </c:pt>
                <c:pt idx="760">
                  <c:v>25000</c:v>
                </c:pt>
                <c:pt idx="761">
                  <c:v>15000</c:v>
                </c:pt>
                <c:pt idx="762">
                  <c:v>24000</c:v>
                </c:pt>
                <c:pt idx="763">
                  <c:v>101000</c:v>
                </c:pt>
                <c:pt idx="764">
                  <c:v>183000</c:v>
                </c:pt>
                <c:pt idx="765">
                  <c:v>111000</c:v>
                </c:pt>
                <c:pt idx="766">
                  <c:v>126000</c:v>
                </c:pt>
                <c:pt idx="767">
                  <c:v>60000</c:v>
                </c:pt>
                <c:pt idx="768">
                  <c:v>81000</c:v>
                </c:pt>
                <c:pt idx="769">
                  <c:v>61000</c:v>
                </c:pt>
                <c:pt idx="770">
                  <c:v>89000</c:v>
                </c:pt>
                <c:pt idx="771">
                  <c:v>124000</c:v>
                </c:pt>
                <c:pt idx="772">
                  <c:v>96000</c:v>
                </c:pt>
                <c:pt idx="773">
                  <c:v>194000</c:v>
                </c:pt>
                <c:pt idx="774">
                  <c:v>178000</c:v>
                </c:pt>
                <c:pt idx="775">
                  <c:v>33000</c:v>
                </c:pt>
                <c:pt idx="776">
                  <c:v>39000</c:v>
                </c:pt>
                <c:pt idx="777">
                  <c:v>23000</c:v>
                </c:pt>
                <c:pt idx="778">
                  <c:v>98000</c:v>
                </c:pt>
                <c:pt idx="779">
                  <c:v>15000</c:v>
                </c:pt>
                <c:pt idx="780">
                  <c:v>145000</c:v>
                </c:pt>
                <c:pt idx="781">
                  <c:v>16000</c:v>
                </c:pt>
                <c:pt idx="782">
                  <c:v>198000</c:v>
                </c:pt>
                <c:pt idx="783">
                  <c:v>23000</c:v>
                </c:pt>
                <c:pt idx="784">
                  <c:v>99000</c:v>
                </c:pt>
                <c:pt idx="785">
                  <c:v>30000</c:v>
                </c:pt>
                <c:pt idx="786">
                  <c:v>153000</c:v>
                </c:pt>
                <c:pt idx="787">
                  <c:v>54000</c:v>
                </c:pt>
                <c:pt idx="788">
                  <c:v>218000</c:v>
                </c:pt>
                <c:pt idx="789">
                  <c:v>23000</c:v>
                </c:pt>
                <c:pt idx="790">
                  <c:v>15000</c:v>
                </c:pt>
                <c:pt idx="791">
                  <c:v>84000</c:v>
                </c:pt>
                <c:pt idx="792">
                  <c:v>54000</c:v>
                </c:pt>
                <c:pt idx="793">
                  <c:v>55000</c:v>
                </c:pt>
                <c:pt idx="794">
                  <c:v>266000</c:v>
                </c:pt>
                <c:pt idx="795">
                  <c:v>183000</c:v>
                </c:pt>
                <c:pt idx="796">
                  <c:v>36000</c:v>
                </c:pt>
                <c:pt idx="797">
                  <c:v>158000</c:v>
                </c:pt>
                <c:pt idx="798">
                  <c:v>92000</c:v>
                </c:pt>
                <c:pt idx="799">
                  <c:v>61000</c:v>
                </c:pt>
                <c:pt idx="800">
                  <c:v>389000</c:v>
                </c:pt>
                <c:pt idx="801">
                  <c:v>31000</c:v>
                </c:pt>
                <c:pt idx="802">
                  <c:v>79000</c:v>
                </c:pt>
                <c:pt idx="803">
                  <c:v>31000</c:v>
                </c:pt>
                <c:pt idx="804">
                  <c:v>15000</c:v>
                </c:pt>
                <c:pt idx="805">
                  <c:v>24000</c:v>
                </c:pt>
                <c:pt idx="806">
                  <c:v>75000</c:v>
                </c:pt>
                <c:pt idx="807">
                  <c:v>98000</c:v>
                </c:pt>
                <c:pt idx="808">
                  <c:v>61000</c:v>
                </c:pt>
                <c:pt idx="809">
                  <c:v>8000</c:v>
                </c:pt>
                <c:pt idx="810">
                  <c:v>98000</c:v>
                </c:pt>
                <c:pt idx="811">
                  <c:v>53000</c:v>
                </c:pt>
                <c:pt idx="812">
                  <c:v>32000</c:v>
                </c:pt>
                <c:pt idx="813">
                  <c:v>53000</c:v>
                </c:pt>
                <c:pt idx="814">
                  <c:v>88000</c:v>
                </c:pt>
                <c:pt idx="815">
                  <c:v>16000</c:v>
                </c:pt>
                <c:pt idx="816">
                  <c:v>118000</c:v>
                </c:pt>
                <c:pt idx="817">
                  <c:v>106000</c:v>
                </c:pt>
                <c:pt idx="818">
                  <c:v>8000</c:v>
                </c:pt>
                <c:pt idx="819">
                  <c:v>0</c:v>
                </c:pt>
                <c:pt idx="820">
                  <c:v>93000</c:v>
                </c:pt>
                <c:pt idx="821">
                  <c:v>8000</c:v>
                </c:pt>
                <c:pt idx="822">
                  <c:v>8000</c:v>
                </c:pt>
                <c:pt idx="823">
                  <c:v>175000</c:v>
                </c:pt>
                <c:pt idx="824">
                  <c:v>58000</c:v>
                </c:pt>
                <c:pt idx="825">
                  <c:v>141000</c:v>
                </c:pt>
                <c:pt idx="826">
                  <c:v>31000</c:v>
                </c:pt>
                <c:pt idx="827">
                  <c:v>41000</c:v>
                </c:pt>
                <c:pt idx="828">
                  <c:v>30000</c:v>
                </c:pt>
                <c:pt idx="829">
                  <c:v>39000</c:v>
                </c:pt>
                <c:pt idx="830">
                  <c:v>209000</c:v>
                </c:pt>
                <c:pt idx="831">
                  <c:v>49000</c:v>
                </c:pt>
                <c:pt idx="832">
                  <c:v>58000</c:v>
                </c:pt>
                <c:pt idx="833">
                  <c:v>107000</c:v>
                </c:pt>
                <c:pt idx="834">
                  <c:v>24000</c:v>
                </c:pt>
                <c:pt idx="835">
                  <c:v>158000</c:v>
                </c:pt>
                <c:pt idx="836">
                  <c:v>16000</c:v>
                </c:pt>
                <c:pt idx="837">
                  <c:v>112000</c:v>
                </c:pt>
                <c:pt idx="838">
                  <c:v>121000</c:v>
                </c:pt>
                <c:pt idx="839">
                  <c:v>85000</c:v>
                </c:pt>
                <c:pt idx="840">
                  <c:v>104000</c:v>
                </c:pt>
                <c:pt idx="841">
                  <c:v>41000</c:v>
                </c:pt>
                <c:pt idx="842">
                  <c:v>73000</c:v>
                </c:pt>
                <c:pt idx="843">
                  <c:v>105000</c:v>
                </c:pt>
                <c:pt idx="844">
                  <c:v>16000</c:v>
                </c:pt>
                <c:pt idx="845">
                  <c:v>87000</c:v>
                </c:pt>
                <c:pt idx="846">
                  <c:v>39000</c:v>
                </c:pt>
                <c:pt idx="847">
                  <c:v>123000</c:v>
                </c:pt>
                <c:pt idx="848">
                  <c:v>31000</c:v>
                </c:pt>
                <c:pt idx="849">
                  <c:v>16000</c:v>
                </c:pt>
                <c:pt idx="850">
                  <c:v>166000</c:v>
                </c:pt>
                <c:pt idx="851">
                  <c:v>91000</c:v>
                </c:pt>
                <c:pt idx="852">
                  <c:v>116000</c:v>
                </c:pt>
                <c:pt idx="853">
                  <c:v>111000</c:v>
                </c:pt>
                <c:pt idx="854">
                  <c:v>0</c:v>
                </c:pt>
                <c:pt idx="855">
                  <c:v>0</c:v>
                </c:pt>
                <c:pt idx="856">
                  <c:v>79000</c:v>
                </c:pt>
                <c:pt idx="857">
                  <c:v>119000</c:v>
                </c:pt>
                <c:pt idx="858">
                  <c:v>109000</c:v>
                </c:pt>
                <c:pt idx="859">
                  <c:v>213000</c:v>
                </c:pt>
                <c:pt idx="860">
                  <c:v>24000</c:v>
                </c:pt>
                <c:pt idx="861">
                  <c:v>46000</c:v>
                </c:pt>
                <c:pt idx="862">
                  <c:v>231000</c:v>
                </c:pt>
                <c:pt idx="863">
                  <c:v>16000</c:v>
                </c:pt>
                <c:pt idx="864">
                  <c:v>319000</c:v>
                </c:pt>
                <c:pt idx="865">
                  <c:v>110000</c:v>
                </c:pt>
                <c:pt idx="866">
                  <c:v>91000</c:v>
                </c:pt>
                <c:pt idx="867">
                  <c:v>39000</c:v>
                </c:pt>
                <c:pt idx="868">
                  <c:v>0</c:v>
                </c:pt>
                <c:pt idx="869">
                  <c:v>120000</c:v>
                </c:pt>
                <c:pt idx="870">
                  <c:v>25000</c:v>
                </c:pt>
                <c:pt idx="871">
                  <c:v>0</c:v>
                </c:pt>
                <c:pt idx="872">
                  <c:v>60000</c:v>
                </c:pt>
                <c:pt idx="873">
                  <c:v>50000</c:v>
                </c:pt>
                <c:pt idx="874">
                  <c:v>0</c:v>
                </c:pt>
                <c:pt idx="875">
                  <c:v>30000</c:v>
                </c:pt>
                <c:pt idx="876">
                  <c:v>15000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93-4675-8CF1-E99C3E7C4480}"/>
            </c:ext>
          </c:extLst>
        </c:ser>
        <c:ser>
          <c:idx val="11"/>
          <c:order val="11"/>
          <c:tx>
            <c:strRef>
              <c:f>'CASH FLOW'!$M$1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FLOW'!$M$2:$M$969</c:f>
              <c:numCache>
                <c:formatCode>_-* #,##0_-;\-* #,##0_-;_-* "-"??_-;_-@_-</c:formatCode>
                <c:ptCount val="968"/>
                <c:pt idx="0">
                  <c:v>0</c:v>
                </c:pt>
                <c:pt idx="2">
                  <c:v>0</c:v>
                </c:pt>
                <c:pt idx="8">
                  <c:v>100000</c:v>
                </c:pt>
                <c:pt idx="10">
                  <c:v>0</c:v>
                </c:pt>
                <c:pt idx="28">
                  <c:v>380000</c:v>
                </c:pt>
                <c:pt idx="30">
                  <c:v>200000</c:v>
                </c:pt>
                <c:pt idx="40">
                  <c:v>200000</c:v>
                </c:pt>
                <c:pt idx="42">
                  <c:v>467000</c:v>
                </c:pt>
                <c:pt idx="43">
                  <c:v>0</c:v>
                </c:pt>
                <c:pt idx="44">
                  <c:v>0</c:v>
                </c:pt>
                <c:pt idx="45">
                  <c:v>194000</c:v>
                </c:pt>
                <c:pt idx="46">
                  <c:v>0</c:v>
                </c:pt>
                <c:pt idx="47">
                  <c:v>255000</c:v>
                </c:pt>
                <c:pt idx="48">
                  <c:v>60000</c:v>
                </c:pt>
                <c:pt idx="49">
                  <c:v>208000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8">
                  <c:v>250000</c:v>
                </c:pt>
                <c:pt idx="79">
                  <c:v>750000</c:v>
                </c:pt>
                <c:pt idx="80">
                  <c:v>20000</c:v>
                </c:pt>
                <c:pt idx="81">
                  <c:v>0</c:v>
                </c:pt>
                <c:pt idx="84">
                  <c:v>0</c:v>
                </c:pt>
                <c:pt idx="85">
                  <c:v>100000</c:v>
                </c:pt>
                <c:pt idx="90">
                  <c:v>519900</c:v>
                </c:pt>
                <c:pt idx="91">
                  <c:v>779850</c:v>
                </c:pt>
                <c:pt idx="101">
                  <c:v>60000</c:v>
                </c:pt>
                <c:pt idx="104">
                  <c:v>1000000</c:v>
                </c:pt>
                <c:pt idx="110">
                  <c:v>200000</c:v>
                </c:pt>
                <c:pt idx="113">
                  <c:v>779850</c:v>
                </c:pt>
                <c:pt idx="132">
                  <c:v>767850</c:v>
                </c:pt>
                <c:pt idx="134">
                  <c:v>120000</c:v>
                </c:pt>
                <c:pt idx="135">
                  <c:v>0</c:v>
                </c:pt>
                <c:pt idx="137">
                  <c:v>180000</c:v>
                </c:pt>
                <c:pt idx="138">
                  <c:v>0</c:v>
                </c:pt>
                <c:pt idx="139">
                  <c:v>0</c:v>
                </c:pt>
                <c:pt idx="147">
                  <c:v>415000</c:v>
                </c:pt>
                <c:pt idx="150">
                  <c:v>110000</c:v>
                </c:pt>
                <c:pt idx="152">
                  <c:v>0</c:v>
                </c:pt>
                <c:pt idx="166">
                  <c:v>350000</c:v>
                </c:pt>
                <c:pt idx="168">
                  <c:v>0</c:v>
                </c:pt>
                <c:pt idx="172">
                  <c:v>200000</c:v>
                </c:pt>
                <c:pt idx="179">
                  <c:v>500000</c:v>
                </c:pt>
                <c:pt idx="180">
                  <c:v>0</c:v>
                </c:pt>
                <c:pt idx="192">
                  <c:v>400000</c:v>
                </c:pt>
                <c:pt idx="195">
                  <c:v>0</c:v>
                </c:pt>
                <c:pt idx="202">
                  <c:v>300000</c:v>
                </c:pt>
                <c:pt idx="230">
                  <c:v>0</c:v>
                </c:pt>
                <c:pt idx="237">
                  <c:v>270000</c:v>
                </c:pt>
                <c:pt idx="238">
                  <c:v>762000</c:v>
                </c:pt>
                <c:pt idx="240">
                  <c:v>0</c:v>
                </c:pt>
                <c:pt idx="241">
                  <c:v>0</c:v>
                </c:pt>
                <c:pt idx="251">
                  <c:v>350000</c:v>
                </c:pt>
                <c:pt idx="270">
                  <c:v>200000</c:v>
                </c:pt>
                <c:pt idx="296">
                  <c:v>700000</c:v>
                </c:pt>
                <c:pt idx="309">
                  <c:v>400000</c:v>
                </c:pt>
                <c:pt idx="318">
                  <c:v>0</c:v>
                </c:pt>
                <c:pt idx="321">
                  <c:v>70000</c:v>
                </c:pt>
                <c:pt idx="332">
                  <c:v>300000</c:v>
                </c:pt>
                <c:pt idx="338">
                  <c:v>700000</c:v>
                </c:pt>
                <c:pt idx="353">
                  <c:v>10000</c:v>
                </c:pt>
                <c:pt idx="357">
                  <c:v>300000</c:v>
                </c:pt>
                <c:pt idx="373">
                  <c:v>100000</c:v>
                </c:pt>
                <c:pt idx="399">
                  <c:v>150000</c:v>
                </c:pt>
                <c:pt idx="419">
                  <c:v>400000</c:v>
                </c:pt>
                <c:pt idx="432">
                  <c:v>200000</c:v>
                </c:pt>
                <c:pt idx="442">
                  <c:v>300000</c:v>
                </c:pt>
                <c:pt idx="444">
                  <c:v>80000</c:v>
                </c:pt>
                <c:pt idx="450">
                  <c:v>0</c:v>
                </c:pt>
                <c:pt idx="453">
                  <c:v>400000</c:v>
                </c:pt>
                <c:pt idx="456">
                  <c:v>50000</c:v>
                </c:pt>
                <c:pt idx="461">
                  <c:v>0</c:v>
                </c:pt>
                <c:pt idx="466">
                  <c:v>500000</c:v>
                </c:pt>
                <c:pt idx="486">
                  <c:v>50000</c:v>
                </c:pt>
                <c:pt idx="487">
                  <c:v>50000</c:v>
                </c:pt>
                <c:pt idx="488">
                  <c:v>20000</c:v>
                </c:pt>
                <c:pt idx="493">
                  <c:v>0</c:v>
                </c:pt>
                <c:pt idx="500">
                  <c:v>0</c:v>
                </c:pt>
                <c:pt idx="501">
                  <c:v>100000</c:v>
                </c:pt>
                <c:pt idx="507">
                  <c:v>0</c:v>
                </c:pt>
                <c:pt idx="509">
                  <c:v>250000</c:v>
                </c:pt>
                <c:pt idx="511">
                  <c:v>0</c:v>
                </c:pt>
                <c:pt idx="514">
                  <c:v>50000</c:v>
                </c:pt>
                <c:pt idx="522">
                  <c:v>50000</c:v>
                </c:pt>
                <c:pt idx="523">
                  <c:v>500000</c:v>
                </c:pt>
                <c:pt idx="542">
                  <c:v>90000</c:v>
                </c:pt>
                <c:pt idx="557">
                  <c:v>400000</c:v>
                </c:pt>
                <c:pt idx="564">
                  <c:v>200000</c:v>
                </c:pt>
                <c:pt idx="572">
                  <c:v>200000</c:v>
                </c:pt>
                <c:pt idx="579">
                  <c:v>70000</c:v>
                </c:pt>
                <c:pt idx="598">
                  <c:v>500000</c:v>
                </c:pt>
                <c:pt idx="602">
                  <c:v>150000</c:v>
                </c:pt>
                <c:pt idx="617">
                  <c:v>0</c:v>
                </c:pt>
                <c:pt idx="627">
                  <c:v>100000</c:v>
                </c:pt>
                <c:pt idx="633">
                  <c:v>100000</c:v>
                </c:pt>
                <c:pt idx="634">
                  <c:v>900000</c:v>
                </c:pt>
                <c:pt idx="643">
                  <c:v>20000</c:v>
                </c:pt>
                <c:pt idx="644">
                  <c:v>100000</c:v>
                </c:pt>
                <c:pt idx="656">
                  <c:v>200000</c:v>
                </c:pt>
                <c:pt idx="663">
                  <c:v>28000</c:v>
                </c:pt>
                <c:pt idx="677">
                  <c:v>140000</c:v>
                </c:pt>
                <c:pt idx="679">
                  <c:v>50000</c:v>
                </c:pt>
                <c:pt idx="680">
                  <c:v>410000</c:v>
                </c:pt>
                <c:pt idx="681">
                  <c:v>47000</c:v>
                </c:pt>
                <c:pt idx="683">
                  <c:v>300000</c:v>
                </c:pt>
                <c:pt idx="684">
                  <c:v>50000</c:v>
                </c:pt>
                <c:pt idx="685">
                  <c:v>246000</c:v>
                </c:pt>
                <c:pt idx="687">
                  <c:v>220000</c:v>
                </c:pt>
                <c:pt idx="689">
                  <c:v>450000</c:v>
                </c:pt>
                <c:pt idx="692">
                  <c:v>241000</c:v>
                </c:pt>
                <c:pt idx="698">
                  <c:v>400000</c:v>
                </c:pt>
                <c:pt idx="699">
                  <c:v>100000</c:v>
                </c:pt>
                <c:pt idx="700">
                  <c:v>120000</c:v>
                </c:pt>
                <c:pt idx="705">
                  <c:v>580000</c:v>
                </c:pt>
                <c:pt idx="714">
                  <c:v>150000</c:v>
                </c:pt>
                <c:pt idx="715">
                  <c:v>450000</c:v>
                </c:pt>
                <c:pt idx="720">
                  <c:v>0</c:v>
                </c:pt>
                <c:pt idx="721">
                  <c:v>393000</c:v>
                </c:pt>
                <c:pt idx="722">
                  <c:v>150000</c:v>
                </c:pt>
                <c:pt idx="732">
                  <c:v>200000</c:v>
                </c:pt>
                <c:pt idx="738">
                  <c:v>120000</c:v>
                </c:pt>
                <c:pt idx="742">
                  <c:v>120000</c:v>
                </c:pt>
                <c:pt idx="743">
                  <c:v>10000</c:v>
                </c:pt>
                <c:pt idx="747">
                  <c:v>300000</c:v>
                </c:pt>
                <c:pt idx="762">
                  <c:v>100000</c:v>
                </c:pt>
                <c:pt idx="789">
                  <c:v>0</c:v>
                </c:pt>
                <c:pt idx="803">
                  <c:v>150000</c:v>
                </c:pt>
                <c:pt idx="804">
                  <c:v>0</c:v>
                </c:pt>
                <c:pt idx="806">
                  <c:v>0</c:v>
                </c:pt>
                <c:pt idx="807">
                  <c:v>0</c:v>
                </c:pt>
                <c:pt idx="809">
                  <c:v>48000</c:v>
                </c:pt>
                <c:pt idx="810">
                  <c:v>200000</c:v>
                </c:pt>
                <c:pt idx="811">
                  <c:v>20000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320000</c:v>
                </c:pt>
                <c:pt idx="818">
                  <c:v>700000</c:v>
                </c:pt>
                <c:pt idx="819">
                  <c:v>0</c:v>
                </c:pt>
                <c:pt idx="820">
                  <c:v>1000000</c:v>
                </c:pt>
                <c:pt idx="821">
                  <c:v>0</c:v>
                </c:pt>
                <c:pt idx="822">
                  <c:v>600000</c:v>
                </c:pt>
                <c:pt idx="823">
                  <c:v>0</c:v>
                </c:pt>
                <c:pt idx="824">
                  <c:v>0</c:v>
                </c:pt>
                <c:pt idx="825">
                  <c:v>650000</c:v>
                </c:pt>
                <c:pt idx="826">
                  <c:v>0</c:v>
                </c:pt>
                <c:pt idx="827">
                  <c:v>920000</c:v>
                </c:pt>
                <c:pt idx="828">
                  <c:v>0</c:v>
                </c:pt>
                <c:pt idx="829">
                  <c:v>400000</c:v>
                </c:pt>
                <c:pt idx="830">
                  <c:v>0</c:v>
                </c:pt>
                <c:pt idx="831">
                  <c:v>1400000</c:v>
                </c:pt>
                <c:pt idx="840">
                  <c:v>270000</c:v>
                </c:pt>
                <c:pt idx="844">
                  <c:v>200000</c:v>
                </c:pt>
                <c:pt idx="847">
                  <c:v>325000</c:v>
                </c:pt>
                <c:pt idx="858">
                  <c:v>70000</c:v>
                </c:pt>
                <c:pt idx="859">
                  <c:v>280000</c:v>
                </c:pt>
                <c:pt idx="861">
                  <c:v>500000</c:v>
                </c:pt>
                <c:pt idx="862">
                  <c:v>700000</c:v>
                </c:pt>
                <c:pt idx="867">
                  <c:v>600000</c:v>
                </c:pt>
                <c:pt idx="868">
                  <c:v>100000</c:v>
                </c:pt>
                <c:pt idx="869">
                  <c:v>100000</c:v>
                </c:pt>
                <c:pt idx="871">
                  <c:v>500000</c:v>
                </c:pt>
                <c:pt idx="873">
                  <c:v>500000</c:v>
                </c:pt>
                <c:pt idx="878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93-4675-8CF1-E99C3E7C4480}"/>
            </c:ext>
          </c:extLst>
        </c:ser>
        <c:ser>
          <c:idx val="12"/>
          <c:order val="12"/>
          <c:tx>
            <c:strRef>
              <c:f>'CASH FLOW'!$N$1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FLOW'!$N$2:$N$969</c:f>
              <c:numCache>
                <c:formatCode>_-* #,##0_-;\-* #,##0_-;_-* "-"??_-;_-@_-</c:formatCode>
                <c:ptCount val="96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67">
                  <c:v>145000</c:v>
                </c:pt>
                <c:pt idx="158">
                  <c:v>2000000</c:v>
                </c:pt>
                <c:pt idx="166">
                  <c:v>2500000</c:v>
                </c:pt>
                <c:pt idx="211">
                  <c:v>2000000</c:v>
                </c:pt>
                <c:pt idx="212">
                  <c:v>600000</c:v>
                </c:pt>
                <c:pt idx="239">
                  <c:v>1500000</c:v>
                </c:pt>
                <c:pt idx="240">
                  <c:v>0</c:v>
                </c:pt>
                <c:pt idx="241">
                  <c:v>0</c:v>
                </c:pt>
                <c:pt idx="244">
                  <c:v>1100000</c:v>
                </c:pt>
                <c:pt idx="255">
                  <c:v>1500000</c:v>
                </c:pt>
                <c:pt idx="275">
                  <c:v>1500000</c:v>
                </c:pt>
                <c:pt idx="303">
                  <c:v>1200000</c:v>
                </c:pt>
                <c:pt idx="305">
                  <c:v>1200000</c:v>
                </c:pt>
                <c:pt idx="313">
                  <c:v>800000</c:v>
                </c:pt>
                <c:pt idx="318">
                  <c:v>0</c:v>
                </c:pt>
                <c:pt idx="321">
                  <c:v>800000</c:v>
                </c:pt>
                <c:pt idx="335">
                  <c:v>1200000</c:v>
                </c:pt>
                <c:pt idx="367">
                  <c:v>2500000</c:v>
                </c:pt>
                <c:pt idx="381">
                  <c:v>1000000</c:v>
                </c:pt>
                <c:pt idx="388">
                  <c:v>500000</c:v>
                </c:pt>
                <c:pt idx="403">
                  <c:v>1650000</c:v>
                </c:pt>
                <c:pt idx="422">
                  <c:v>1000000</c:v>
                </c:pt>
                <c:pt idx="426">
                  <c:v>350000</c:v>
                </c:pt>
                <c:pt idx="430">
                  <c:v>1850000</c:v>
                </c:pt>
                <c:pt idx="434">
                  <c:v>0</c:v>
                </c:pt>
                <c:pt idx="439">
                  <c:v>300000</c:v>
                </c:pt>
                <c:pt idx="445">
                  <c:v>0</c:v>
                </c:pt>
                <c:pt idx="449">
                  <c:v>500000</c:v>
                </c:pt>
                <c:pt idx="450">
                  <c:v>0</c:v>
                </c:pt>
                <c:pt idx="452">
                  <c:v>89000</c:v>
                </c:pt>
                <c:pt idx="457">
                  <c:v>5000000</c:v>
                </c:pt>
                <c:pt idx="458">
                  <c:v>850000</c:v>
                </c:pt>
                <c:pt idx="460">
                  <c:v>0</c:v>
                </c:pt>
                <c:pt idx="461">
                  <c:v>0</c:v>
                </c:pt>
                <c:pt idx="469">
                  <c:v>58000</c:v>
                </c:pt>
                <c:pt idx="470">
                  <c:v>0</c:v>
                </c:pt>
                <c:pt idx="473">
                  <c:v>58000</c:v>
                </c:pt>
                <c:pt idx="475">
                  <c:v>600000</c:v>
                </c:pt>
                <c:pt idx="476">
                  <c:v>0</c:v>
                </c:pt>
                <c:pt idx="477">
                  <c:v>0</c:v>
                </c:pt>
                <c:pt idx="478">
                  <c:v>500000</c:v>
                </c:pt>
                <c:pt idx="479">
                  <c:v>650000</c:v>
                </c:pt>
                <c:pt idx="483">
                  <c:v>700000</c:v>
                </c:pt>
                <c:pt idx="485">
                  <c:v>550000</c:v>
                </c:pt>
                <c:pt idx="489">
                  <c:v>58000</c:v>
                </c:pt>
                <c:pt idx="491">
                  <c:v>58000</c:v>
                </c:pt>
                <c:pt idx="492">
                  <c:v>850000</c:v>
                </c:pt>
                <c:pt idx="501">
                  <c:v>0</c:v>
                </c:pt>
                <c:pt idx="503">
                  <c:v>58000</c:v>
                </c:pt>
                <c:pt idx="505">
                  <c:v>58000</c:v>
                </c:pt>
                <c:pt idx="507">
                  <c:v>0</c:v>
                </c:pt>
                <c:pt idx="509">
                  <c:v>850000</c:v>
                </c:pt>
                <c:pt idx="510">
                  <c:v>450000</c:v>
                </c:pt>
                <c:pt idx="511">
                  <c:v>550000</c:v>
                </c:pt>
                <c:pt idx="512">
                  <c:v>0</c:v>
                </c:pt>
                <c:pt idx="513">
                  <c:v>0</c:v>
                </c:pt>
                <c:pt idx="516">
                  <c:v>300000</c:v>
                </c:pt>
                <c:pt idx="524">
                  <c:v>58000</c:v>
                </c:pt>
                <c:pt idx="526">
                  <c:v>50000</c:v>
                </c:pt>
                <c:pt idx="527">
                  <c:v>0</c:v>
                </c:pt>
                <c:pt idx="528">
                  <c:v>58000</c:v>
                </c:pt>
                <c:pt idx="538">
                  <c:v>550000</c:v>
                </c:pt>
                <c:pt idx="539">
                  <c:v>600000</c:v>
                </c:pt>
                <c:pt idx="541">
                  <c:v>500000</c:v>
                </c:pt>
                <c:pt idx="542">
                  <c:v>0</c:v>
                </c:pt>
                <c:pt idx="548">
                  <c:v>560000</c:v>
                </c:pt>
                <c:pt idx="549">
                  <c:v>0</c:v>
                </c:pt>
                <c:pt idx="550">
                  <c:v>48000</c:v>
                </c:pt>
                <c:pt idx="551">
                  <c:v>0</c:v>
                </c:pt>
                <c:pt idx="554">
                  <c:v>898000</c:v>
                </c:pt>
                <c:pt idx="567">
                  <c:v>500000</c:v>
                </c:pt>
                <c:pt idx="568">
                  <c:v>48000</c:v>
                </c:pt>
                <c:pt idx="572">
                  <c:v>200000</c:v>
                </c:pt>
                <c:pt idx="573">
                  <c:v>58000</c:v>
                </c:pt>
                <c:pt idx="574">
                  <c:v>700000</c:v>
                </c:pt>
                <c:pt idx="576">
                  <c:v>0</c:v>
                </c:pt>
                <c:pt idx="578">
                  <c:v>106000</c:v>
                </c:pt>
                <c:pt idx="580">
                  <c:v>250000</c:v>
                </c:pt>
                <c:pt idx="583">
                  <c:v>3045300</c:v>
                </c:pt>
                <c:pt idx="588">
                  <c:v>58000</c:v>
                </c:pt>
                <c:pt idx="589">
                  <c:v>0</c:v>
                </c:pt>
                <c:pt idx="590">
                  <c:v>58000</c:v>
                </c:pt>
                <c:pt idx="602">
                  <c:v>116000</c:v>
                </c:pt>
                <c:pt idx="609">
                  <c:v>58000</c:v>
                </c:pt>
                <c:pt idx="611">
                  <c:v>3255700</c:v>
                </c:pt>
                <c:pt idx="612">
                  <c:v>58000</c:v>
                </c:pt>
                <c:pt idx="627">
                  <c:v>35700</c:v>
                </c:pt>
                <c:pt idx="637">
                  <c:v>100000</c:v>
                </c:pt>
                <c:pt idx="638">
                  <c:v>250000</c:v>
                </c:pt>
                <c:pt idx="645">
                  <c:v>458000</c:v>
                </c:pt>
                <c:pt idx="647">
                  <c:v>58000</c:v>
                </c:pt>
                <c:pt idx="653">
                  <c:v>600000</c:v>
                </c:pt>
                <c:pt idx="662">
                  <c:v>500000</c:v>
                </c:pt>
                <c:pt idx="671">
                  <c:v>500000</c:v>
                </c:pt>
                <c:pt idx="672">
                  <c:v>174000</c:v>
                </c:pt>
                <c:pt idx="678">
                  <c:v>100000</c:v>
                </c:pt>
                <c:pt idx="684">
                  <c:v>116000</c:v>
                </c:pt>
                <c:pt idx="685">
                  <c:v>100000</c:v>
                </c:pt>
                <c:pt idx="688">
                  <c:v>150000</c:v>
                </c:pt>
                <c:pt idx="689">
                  <c:v>750000</c:v>
                </c:pt>
                <c:pt idx="697">
                  <c:v>250000</c:v>
                </c:pt>
                <c:pt idx="700">
                  <c:v>1050000</c:v>
                </c:pt>
                <c:pt idx="702">
                  <c:v>450000</c:v>
                </c:pt>
                <c:pt idx="706">
                  <c:v>230000</c:v>
                </c:pt>
                <c:pt idx="711">
                  <c:v>21000</c:v>
                </c:pt>
                <c:pt idx="712">
                  <c:v>50000</c:v>
                </c:pt>
                <c:pt idx="715">
                  <c:v>300000</c:v>
                </c:pt>
                <c:pt idx="720">
                  <c:v>0</c:v>
                </c:pt>
                <c:pt idx="721">
                  <c:v>174000</c:v>
                </c:pt>
                <c:pt idx="727">
                  <c:v>870000</c:v>
                </c:pt>
                <c:pt idx="738">
                  <c:v>250000</c:v>
                </c:pt>
                <c:pt idx="739">
                  <c:v>200000</c:v>
                </c:pt>
                <c:pt idx="741">
                  <c:v>500000</c:v>
                </c:pt>
                <c:pt idx="746">
                  <c:v>250000</c:v>
                </c:pt>
                <c:pt idx="751">
                  <c:v>900000</c:v>
                </c:pt>
                <c:pt idx="754">
                  <c:v>150000</c:v>
                </c:pt>
                <c:pt idx="758">
                  <c:v>1200000</c:v>
                </c:pt>
                <c:pt idx="762">
                  <c:v>450000</c:v>
                </c:pt>
                <c:pt idx="799">
                  <c:v>300000</c:v>
                </c:pt>
                <c:pt idx="805">
                  <c:v>250000</c:v>
                </c:pt>
                <c:pt idx="806">
                  <c:v>0</c:v>
                </c:pt>
                <c:pt idx="807">
                  <c:v>0</c:v>
                </c:pt>
                <c:pt idx="809">
                  <c:v>0</c:v>
                </c:pt>
                <c:pt idx="810">
                  <c:v>0</c:v>
                </c:pt>
                <c:pt idx="812">
                  <c:v>120000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550000</c:v>
                </c:pt>
                <c:pt idx="822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1000000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93-4675-8CF1-E99C3E7C4480}"/>
            </c:ext>
          </c:extLst>
        </c:ser>
        <c:ser>
          <c:idx val="13"/>
          <c:order val="13"/>
          <c:tx>
            <c:strRef>
              <c:f>'CASH FLOW'!$O$1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FLOW'!$O$2:$O$969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1926066</c:v>
                </c:pt>
                <c:pt idx="3">
                  <c:v>0</c:v>
                </c:pt>
                <c:pt idx="4">
                  <c:v>2100660</c:v>
                </c:pt>
                <c:pt idx="5">
                  <c:v>632000</c:v>
                </c:pt>
                <c:pt idx="6">
                  <c:v>1295000</c:v>
                </c:pt>
                <c:pt idx="7">
                  <c:v>1844800</c:v>
                </c:pt>
                <c:pt idx="8">
                  <c:v>515000</c:v>
                </c:pt>
                <c:pt idx="9">
                  <c:v>1687690</c:v>
                </c:pt>
                <c:pt idx="10">
                  <c:v>1314600</c:v>
                </c:pt>
                <c:pt idx="11">
                  <c:v>1350000</c:v>
                </c:pt>
                <c:pt idx="12">
                  <c:v>1599010</c:v>
                </c:pt>
                <c:pt idx="13">
                  <c:v>0</c:v>
                </c:pt>
                <c:pt idx="14">
                  <c:v>228700</c:v>
                </c:pt>
                <c:pt idx="15">
                  <c:v>812375</c:v>
                </c:pt>
                <c:pt idx="16">
                  <c:v>2258468</c:v>
                </c:pt>
                <c:pt idx="17">
                  <c:v>0</c:v>
                </c:pt>
                <c:pt idx="18">
                  <c:v>530000</c:v>
                </c:pt>
                <c:pt idx="19">
                  <c:v>810195</c:v>
                </c:pt>
                <c:pt idx="20">
                  <c:v>505000</c:v>
                </c:pt>
                <c:pt idx="21">
                  <c:v>3570036</c:v>
                </c:pt>
                <c:pt idx="22">
                  <c:v>0</c:v>
                </c:pt>
                <c:pt idx="23">
                  <c:v>719656</c:v>
                </c:pt>
                <c:pt idx="24">
                  <c:v>406000</c:v>
                </c:pt>
                <c:pt idx="25">
                  <c:v>1376940</c:v>
                </c:pt>
                <c:pt idx="26">
                  <c:v>62000</c:v>
                </c:pt>
                <c:pt idx="27">
                  <c:v>100000</c:v>
                </c:pt>
                <c:pt idx="29">
                  <c:v>7948500</c:v>
                </c:pt>
                <c:pt idx="30">
                  <c:v>150000</c:v>
                </c:pt>
                <c:pt idx="31">
                  <c:v>5216300</c:v>
                </c:pt>
                <c:pt idx="32">
                  <c:v>1508884</c:v>
                </c:pt>
                <c:pt idx="33">
                  <c:v>230000</c:v>
                </c:pt>
                <c:pt idx="34">
                  <c:v>1202000</c:v>
                </c:pt>
                <c:pt idx="35">
                  <c:v>1390500</c:v>
                </c:pt>
                <c:pt idx="36">
                  <c:v>87000</c:v>
                </c:pt>
                <c:pt idx="37">
                  <c:v>2855860</c:v>
                </c:pt>
                <c:pt idx="38">
                  <c:v>1400000</c:v>
                </c:pt>
                <c:pt idx="39">
                  <c:v>64500</c:v>
                </c:pt>
                <c:pt idx="40">
                  <c:v>6631000</c:v>
                </c:pt>
                <c:pt idx="41">
                  <c:v>50000</c:v>
                </c:pt>
                <c:pt idx="42">
                  <c:v>0</c:v>
                </c:pt>
                <c:pt idx="43">
                  <c:v>0</c:v>
                </c:pt>
                <c:pt idx="44">
                  <c:v>500000</c:v>
                </c:pt>
                <c:pt idx="45">
                  <c:v>1457500</c:v>
                </c:pt>
                <c:pt idx="46">
                  <c:v>3401700</c:v>
                </c:pt>
                <c:pt idx="47">
                  <c:v>1197500</c:v>
                </c:pt>
                <c:pt idx="48">
                  <c:v>1785000</c:v>
                </c:pt>
                <c:pt idx="49">
                  <c:v>0</c:v>
                </c:pt>
                <c:pt idx="50">
                  <c:v>922000</c:v>
                </c:pt>
                <c:pt idx="51">
                  <c:v>840000</c:v>
                </c:pt>
                <c:pt idx="52">
                  <c:v>2526680</c:v>
                </c:pt>
                <c:pt idx="54">
                  <c:v>1917891</c:v>
                </c:pt>
                <c:pt idx="55">
                  <c:v>56000</c:v>
                </c:pt>
                <c:pt idx="56">
                  <c:v>1323560</c:v>
                </c:pt>
                <c:pt idx="57">
                  <c:v>1000000</c:v>
                </c:pt>
                <c:pt idx="58">
                  <c:v>3043600</c:v>
                </c:pt>
                <c:pt idx="59">
                  <c:v>1714934</c:v>
                </c:pt>
                <c:pt idx="60">
                  <c:v>2907499</c:v>
                </c:pt>
                <c:pt idx="61">
                  <c:v>1259500</c:v>
                </c:pt>
                <c:pt idx="62">
                  <c:v>491800</c:v>
                </c:pt>
                <c:pt idx="63">
                  <c:v>727860</c:v>
                </c:pt>
                <c:pt idx="64">
                  <c:v>1432607</c:v>
                </c:pt>
                <c:pt idx="65">
                  <c:v>4900</c:v>
                </c:pt>
                <c:pt idx="66">
                  <c:v>1855740</c:v>
                </c:pt>
                <c:pt idx="67">
                  <c:v>935800</c:v>
                </c:pt>
                <c:pt idx="68">
                  <c:v>1532726</c:v>
                </c:pt>
                <c:pt idx="69">
                  <c:v>1040000</c:v>
                </c:pt>
                <c:pt idx="70">
                  <c:v>285945</c:v>
                </c:pt>
                <c:pt idx="71">
                  <c:v>977860</c:v>
                </c:pt>
                <c:pt idx="72">
                  <c:v>0</c:v>
                </c:pt>
                <c:pt idx="73">
                  <c:v>418029</c:v>
                </c:pt>
                <c:pt idx="74">
                  <c:v>4090851</c:v>
                </c:pt>
                <c:pt idx="75">
                  <c:v>1613400</c:v>
                </c:pt>
                <c:pt idx="76">
                  <c:v>442000</c:v>
                </c:pt>
                <c:pt idx="77">
                  <c:v>2054660</c:v>
                </c:pt>
                <c:pt idx="78">
                  <c:v>2423660</c:v>
                </c:pt>
                <c:pt idx="79">
                  <c:v>880700</c:v>
                </c:pt>
                <c:pt idx="80">
                  <c:v>3831280</c:v>
                </c:pt>
                <c:pt idx="81">
                  <c:v>0</c:v>
                </c:pt>
                <c:pt idx="82">
                  <c:v>50000</c:v>
                </c:pt>
                <c:pt idx="83">
                  <c:v>2533680</c:v>
                </c:pt>
                <c:pt idx="84">
                  <c:v>394940</c:v>
                </c:pt>
                <c:pt idx="85">
                  <c:v>259950</c:v>
                </c:pt>
                <c:pt idx="86">
                  <c:v>3188289</c:v>
                </c:pt>
                <c:pt idx="87">
                  <c:v>1767660</c:v>
                </c:pt>
                <c:pt idx="88">
                  <c:v>623344</c:v>
                </c:pt>
                <c:pt idx="89">
                  <c:v>2831840</c:v>
                </c:pt>
                <c:pt idx="90">
                  <c:v>545848</c:v>
                </c:pt>
                <c:pt idx="91">
                  <c:v>248000</c:v>
                </c:pt>
                <c:pt idx="92">
                  <c:v>567939</c:v>
                </c:pt>
                <c:pt idx="93">
                  <c:v>0</c:v>
                </c:pt>
                <c:pt idx="96">
                  <c:v>4187960</c:v>
                </c:pt>
                <c:pt idx="97">
                  <c:v>0</c:v>
                </c:pt>
                <c:pt idx="99">
                  <c:v>1000000</c:v>
                </c:pt>
                <c:pt idx="101">
                  <c:v>977000</c:v>
                </c:pt>
                <c:pt idx="102">
                  <c:v>931990</c:v>
                </c:pt>
                <c:pt idx="103">
                  <c:v>330000</c:v>
                </c:pt>
                <c:pt idx="104">
                  <c:v>1116020</c:v>
                </c:pt>
                <c:pt idx="105">
                  <c:v>787000</c:v>
                </c:pt>
                <c:pt idx="107">
                  <c:v>0</c:v>
                </c:pt>
                <c:pt idx="108">
                  <c:v>3558600</c:v>
                </c:pt>
                <c:pt idx="109">
                  <c:v>2320500</c:v>
                </c:pt>
                <c:pt idx="110">
                  <c:v>4341050</c:v>
                </c:pt>
                <c:pt idx="111">
                  <c:v>459500</c:v>
                </c:pt>
                <c:pt idx="112">
                  <c:v>1208830</c:v>
                </c:pt>
                <c:pt idx="113">
                  <c:v>1138538</c:v>
                </c:pt>
                <c:pt idx="114">
                  <c:v>113400</c:v>
                </c:pt>
                <c:pt idx="115">
                  <c:v>1343400</c:v>
                </c:pt>
                <c:pt idx="117">
                  <c:v>450500</c:v>
                </c:pt>
                <c:pt idx="118">
                  <c:v>151190</c:v>
                </c:pt>
                <c:pt idx="119">
                  <c:v>495000</c:v>
                </c:pt>
                <c:pt idx="120">
                  <c:v>359000</c:v>
                </c:pt>
                <c:pt idx="121">
                  <c:v>0</c:v>
                </c:pt>
                <c:pt idx="122">
                  <c:v>1018500</c:v>
                </c:pt>
                <c:pt idx="123">
                  <c:v>1500000</c:v>
                </c:pt>
                <c:pt idx="124">
                  <c:v>446570</c:v>
                </c:pt>
                <c:pt idx="125">
                  <c:v>457000</c:v>
                </c:pt>
                <c:pt idx="126">
                  <c:v>282000</c:v>
                </c:pt>
                <c:pt idx="127">
                  <c:v>100000</c:v>
                </c:pt>
                <c:pt idx="128">
                  <c:v>512000</c:v>
                </c:pt>
                <c:pt idx="129">
                  <c:v>1801500</c:v>
                </c:pt>
                <c:pt idx="130">
                  <c:v>950000</c:v>
                </c:pt>
                <c:pt idx="131">
                  <c:v>894000</c:v>
                </c:pt>
                <c:pt idx="132">
                  <c:v>2615536</c:v>
                </c:pt>
                <c:pt idx="133">
                  <c:v>281000</c:v>
                </c:pt>
                <c:pt idx="134">
                  <c:v>1214780</c:v>
                </c:pt>
                <c:pt idx="135">
                  <c:v>1740460</c:v>
                </c:pt>
                <c:pt idx="136">
                  <c:v>2852900</c:v>
                </c:pt>
                <c:pt idx="137">
                  <c:v>2385018</c:v>
                </c:pt>
                <c:pt idx="138">
                  <c:v>49500</c:v>
                </c:pt>
                <c:pt idx="139">
                  <c:v>2646932</c:v>
                </c:pt>
                <c:pt idx="140">
                  <c:v>1158500</c:v>
                </c:pt>
                <c:pt idx="141">
                  <c:v>200000</c:v>
                </c:pt>
                <c:pt idx="142">
                  <c:v>1255300</c:v>
                </c:pt>
                <c:pt idx="143">
                  <c:v>900000</c:v>
                </c:pt>
                <c:pt idx="144">
                  <c:v>2450041</c:v>
                </c:pt>
                <c:pt idx="145">
                  <c:v>2266000</c:v>
                </c:pt>
                <c:pt idx="146">
                  <c:v>2540000</c:v>
                </c:pt>
                <c:pt idx="147">
                  <c:v>3099000</c:v>
                </c:pt>
                <c:pt idx="148">
                  <c:v>0</c:v>
                </c:pt>
                <c:pt idx="149">
                  <c:v>1225400</c:v>
                </c:pt>
                <c:pt idx="150">
                  <c:v>2578486</c:v>
                </c:pt>
                <c:pt idx="151">
                  <c:v>1935300</c:v>
                </c:pt>
                <c:pt idx="152">
                  <c:v>2587570</c:v>
                </c:pt>
                <c:pt idx="153">
                  <c:v>3592000</c:v>
                </c:pt>
                <c:pt idx="154">
                  <c:v>339000</c:v>
                </c:pt>
                <c:pt idx="155">
                  <c:v>3559751</c:v>
                </c:pt>
                <c:pt idx="156">
                  <c:v>0</c:v>
                </c:pt>
                <c:pt idx="157">
                  <c:v>1890129</c:v>
                </c:pt>
                <c:pt idx="158">
                  <c:v>2524730</c:v>
                </c:pt>
                <c:pt idx="159">
                  <c:v>0</c:v>
                </c:pt>
                <c:pt idx="160">
                  <c:v>1921270</c:v>
                </c:pt>
                <c:pt idx="161">
                  <c:v>2324800</c:v>
                </c:pt>
                <c:pt idx="162">
                  <c:v>475000</c:v>
                </c:pt>
                <c:pt idx="163">
                  <c:v>1065200</c:v>
                </c:pt>
                <c:pt idx="164">
                  <c:v>441700</c:v>
                </c:pt>
                <c:pt idx="165">
                  <c:v>1395800</c:v>
                </c:pt>
                <c:pt idx="166">
                  <c:v>2664400</c:v>
                </c:pt>
                <c:pt idx="169">
                  <c:v>2166139</c:v>
                </c:pt>
                <c:pt idx="170">
                  <c:v>112000</c:v>
                </c:pt>
                <c:pt idx="171">
                  <c:v>3675612</c:v>
                </c:pt>
                <c:pt idx="172">
                  <c:v>837349</c:v>
                </c:pt>
                <c:pt idx="173">
                  <c:v>2025756</c:v>
                </c:pt>
                <c:pt idx="174">
                  <c:v>698500</c:v>
                </c:pt>
                <c:pt idx="175">
                  <c:v>1514225</c:v>
                </c:pt>
                <c:pt idx="176">
                  <c:v>1260647</c:v>
                </c:pt>
                <c:pt idx="177">
                  <c:v>0</c:v>
                </c:pt>
                <c:pt idx="178">
                  <c:v>5532758</c:v>
                </c:pt>
                <c:pt idx="179">
                  <c:v>1835000</c:v>
                </c:pt>
                <c:pt idx="180">
                  <c:v>2147524</c:v>
                </c:pt>
                <c:pt idx="181">
                  <c:v>123000</c:v>
                </c:pt>
                <c:pt idx="182">
                  <c:v>800000</c:v>
                </c:pt>
                <c:pt idx="183">
                  <c:v>1929863</c:v>
                </c:pt>
                <c:pt idx="184">
                  <c:v>0</c:v>
                </c:pt>
                <c:pt idx="185">
                  <c:v>1834350</c:v>
                </c:pt>
                <c:pt idx="186">
                  <c:v>913800</c:v>
                </c:pt>
                <c:pt idx="187">
                  <c:v>1200000</c:v>
                </c:pt>
                <c:pt idx="188">
                  <c:v>3657668</c:v>
                </c:pt>
                <c:pt idx="189">
                  <c:v>1515380</c:v>
                </c:pt>
                <c:pt idx="190">
                  <c:v>1190000</c:v>
                </c:pt>
                <c:pt idx="191">
                  <c:v>0</c:v>
                </c:pt>
                <c:pt idx="192">
                  <c:v>3806748</c:v>
                </c:pt>
                <c:pt idx="193">
                  <c:v>1890130</c:v>
                </c:pt>
                <c:pt idx="194">
                  <c:v>2270834</c:v>
                </c:pt>
                <c:pt idx="195">
                  <c:v>250000</c:v>
                </c:pt>
                <c:pt idx="196">
                  <c:v>2593105</c:v>
                </c:pt>
                <c:pt idx="197">
                  <c:v>4102000</c:v>
                </c:pt>
                <c:pt idx="198">
                  <c:v>1214580</c:v>
                </c:pt>
                <c:pt idx="199">
                  <c:v>2595680</c:v>
                </c:pt>
                <c:pt idx="200">
                  <c:v>829000</c:v>
                </c:pt>
                <c:pt idx="201">
                  <c:v>5346500</c:v>
                </c:pt>
                <c:pt idx="202">
                  <c:v>780000</c:v>
                </c:pt>
                <c:pt idx="203">
                  <c:v>1692000</c:v>
                </c:pt>
                <c:pt idx="204">
                  <c:v>7282397</c:v>
                </c:pt>
                <c:pt idx="205">
                  <c:v>1337000</c:v>
                </c:pt>
                <c:pt idx="206">
                  <c:v>214830</c:v>
                </c:pt>
                <c:pt idx="207">
                  <c:v>7068470</c:v>
                </c:pt>
                <c:pt idx="208">
                  <c:v>2865300</c:v>
                </c:pt>
                <c:pt idx="209">
                  <c:v>2827194</c:v>
                </c:pt>
                <c:pt idx="210">
                  <c:v>2017000</c:v>
                </c:pt>
                <c:pt idx="211">
                  <c:v>1379000</c:v>
                </c:pt>
                <c:pt idx="212">
                  <c:v>1329500</c:v>
                </c:pt>
                <c:pt idx="213">
                  <c:v>2708680</c:v>
                </c:pt>
                <c:pt idx="214">
                  <c:v>1937000</c:v>
                </c:pt>
                <c:pt idx="215">
                  <c:v>187000</c:v>
                </c:pt>
                <c:pt idx="216">
                  <c:v>2204154</c:v>
                </c:pt>
                <c:pt idx="217">
                  <c:v>2713501</c:v>
                </c:pt>
                <c:pt idx="218">
                  <c:v>1721500</c:v>
                </c:pt>
                <c:pt idx="219">
                  <c:v>1405679</c:v>
                </c:pt>
                <c:pt idx="220">
                  <c:v>654359</c:v>
                </c:pt>
                <c:pt idx="221">
                  <c:v>1109700</c:v>
                </c:pt>
                <c:pt idx="222">
                  <c:v>5312203</c:v>
                </c:pt>
                <c:pt idx="223">
                  <c:v>2600807</c:v>
                </c:pt>
                <c:pt idx="224">
                  <c:v>1930970</c:v>
                </c:pt>
                <c:pt idx="225">
                  <c:v>1883200</c:v>
                </c:pt>
                <c:pt idx="226">
                  <c:v>1053285</c:v>
                </c:pt>
                <c:pt idx="227">
                  <c:v>874246</c:v>
                </c:pt>
                <c:pt idx="228">
                  <c:v>1489400</c:v>
                </c:pt>
                <c:pt idx="229">
                  <c:v>100000</c:v>
                </c:pt>
                <c:pt idx="230">
                  <c:v>1039497</c:v>
                </c:pt>
                <c:pt idx="231">
                  <c:v>1140557</c:v>
                </c:pt>
                <c:pt idx="232">
                  <c:v>3086680</c:v>
                </c:pt>
                <c:pt idx="233">
                  <c:v>1388280</c:v>
                </c:pt>
                <c:pt idx="234">
                  <c:v>4257600</c:v>
                </c:pt>
                <c:pt idx="235">
                  <c:v>2033200</c:v>
                </c:pt>
                <c:pt idx="236">
                  <c:v>1754555</c:v>
                </c:pt>
                <c:pt idx="237">
                  <c:v>1089000</c:v>
                </c:pt>
                <c:pt idx="238">
                  <c:v>1644500</c:v>
                </c:pt>
                <c:pt idx="239">
                  <c:v>0</c:v>
                </c:pt>
                <c:pt idx="240">
                  <c:v>200000</c:v>
                </c:pt>
                <c:pt idx="241">
                  <c:v>1012958</c:v>
                </c:pt>
                <c:pt idx="242">
                  <c:v>939000</c:v>
                </c:pt>
                <c:pt idx="243">
                  <c:v>1599200</c:v>
                </c:pt>
                <c:pt idx="244">
                  <c:v>100000</c:v>
                </c:pt>
                <c:pt idx="245">
                  <c:v>2184392</c:v>
                </c:pt>
                <c:pt idx="246">
                  <c:v>1575236</c:v>
                </c:pt>
                <c:pt idx="247">
                  <c:v>2048000</c:v>
                </c:pt>
                <c:pt idx="248">
                  <c:v>1403565</c:v>
                </c:pt>
                <c:pt idx="249">
                  <c:v>3678049</c:v>
                </c:pt>
                <c:pt idx="250">
                  <c:v>3671100</c:v>
                </c:pt>
                <c:pt idx="251">
                  <c:v>1364200</c:v>
                </c:pt>
                <c:pt idx="252">
                  <c:v>2045625</c:v>
                </c:pt>
                <c:pt idx="253">
                  <c:v>0</c:v>
                </c:pt>
                <c:pt idx="254">
                  <c:v>911700</c:v>
                </c:pt>
                <c:pt idx="255">
                  <c:v>1046500</c:v>
                </c:pt>
                <c:pt idx="256">
                  <c:v>1226284</c:v>
                </c:pt>
                <c:pt idx="257">
                  <c:v>3524800</c:v>
                </c:pt>
                <c:pt idx="258">
                  <c:v>733000</c:v>
                </c:pt>
                <c:pt idx="259">
                  <c:v>0</c:v>
                </c:pt>
                <c:pt idx="260">
                  <c:v>2650291</c:v>
                </c:pt>
                <c:pt idx="261">
                  <c:v>0</c:v>
                </c:pt>
                <c:pt idx="262">
                  <c:v>1475500</c:v>
                </c:pt>
                <c:pt idx="263">
                  <c:v>2091800</c:v>
                </c:pt>
                <c:pt idx="264">
                  <c:v>60000</c:v>
                </c:pt>
                <c:pt idx="265">
                  <c:v>1693000</c:v>
                </c:pt>
                <c:pt idx="266">
                  <c:v>0</c:v>
                </c:pt>
                <c:pt idx="267">
                  <c:v>2434300</c:v>
                </c:pt>
                <c:pt idx="268">
                  <c:v>291569</c:v>
                </c:pt>
                <c:pt idx="269">
                  <c:v>3711600</c:v>
                </c:pt>
                <c:pt idx="270">
                  <c:v>1358542</c:v>
                </c:pt>
                <c:pt idx="271">
                  <c:v>1699600</c:v>
                </c:pt>
                <c:pt idx="272">
                  <c:v>552037</c:v>
                </c:pt>
                <c:pt idx="273">
                  <c:v>100000</c:v>
                </c:pt>
                <c:pt idx="274">
                  <c:v>0</c:v>
                </c:pt>
                <c:pt idx="275">
                  <c:v>1299300</c:v>
                </c:pt>
                <c:pt idx="276">
                  <c:v>2318100</c:v>
                </c:pt>
                <c:pt idx="277">
                  <c:v>1345230</c:v>
                </c:pt>
                <c:pt idx="278">
                  <c:v>1066268</c:v>
                </c:pt>
                <c:pt idx="279">
                  <c:v>1203000</c:v>
                </c:pt>
                <c:pt idx="280">
                  <c:v>1858500</c:v>
                </c:pt>
                <c:pt idx="281">
                  <c:v>244000</c:v>
                </c:pt>
                <c:pt idx="282">
                  <c:v>1502700</c:v>
                </c:pt>
                <c:pt idx="283">
                  <c:v>441000</c:v>
                </c:pt>
                <c:pt idx="284">
                  <c:v>3117600</c:v>
                </c:pt>
                <c:pt idx="285">
                  <c:v>1350000</c:v>
                </c:pt>
                <c:pt idx="286">
                  <c:v>0</c:v>
                </c:pt>
                <c:pt idx="287">
                  <c:v>545733</c:v>
                </c:pt>
                <c:pt idx="288">
                  <c:v>1963900</c:v>
                </c:pt>
                <c:pt idx="290">
                  <c:v>2467525</c:v>
                </c:pt>
                <c:pt idx="291">
                  <c:v>1182585</c:v>
                </c:pt>
                <c:pt idx="292">
                  <c:v>11136561</c:v>
                </c:pt>
                <c:pt idx="293">
                  <c:v>2936000</c:v>
                </c:pt>
                <c:pt idx="294">
                  <c:v>0</c:v>
                </c:pt>
                <c:pt idx="295">
                  <c:v>1610700</c:v>
                </c:pt>
                <c:pt idx="297">
                  <c:v>820000</c:v>
                </c:pt>
                <c:pt idx="298">
                  <c:v>200000</c:v>
                </c:pt>
                <c:pt idx="299">
                  <c:v>5048302</c:v>
                </c:pt>
                <c:pt idx="300">
                  <c:v>430000</c:v>
                </c:pt>
                <c:pt idx="301">
                  <c:v>932414</c:v>
                </c:pt>
                <c:pt idx="302">
                  <c:v>0</c:v>
                </c:pt>
                <c:pt idx="303">
                  <c:v>3826000</c:v>
                </c:pt>
                <c:pt idx="304">
                  <c:v>113800</c:v>
                </c:pt>
                <c:pt idx="305">
                  <c:v>100000</c:v>
                </c:pt>
                <c:pt idx="306">
                  <c:v>443525</c:v>
                </c:pt>
                <c:pt idx="308">
                  <c:v>131500</c:v>
                </c:pt>
                <c:pt idx="310">
                  <c:v>200000</c:v>
                </c:pt>
                <c:pt idx="311">
                  <c:v>361000</c:v>
                </c:pt>
                <c:pt idx="312">
                  <c:v>1599500</c:v>
                </c:pt>
                <c:pt idx="313">
                  <c:v>18000</c:v>
                </c:pt>
                <c:pt idx="314">
                  <c:v>1242300</c:v>
                </c:pt>
                <c:pt idx="315">
                  <c:v>589400</c:v>
                </c:pt>
                <c:pt idx="317">
                  <c:v>1171400</c:v>
                </c:pt>
                <c:pt idx="318">
                  <c:v>0</c:v>
                </c:pt>
                <c:pt idx="319">
                  <c:v>3033400</c:v>
                </c:pt>
                <c:pt idx="320">
                  <c:v>1693400</c:v>
                </c:pt>
                <c:pt idx="321">
                  <c:v>397000</c:v>
                </c:pt>
                <c:pt idx="322">
                  <c:v>1281200</c:v>
                </c:pt>
                <c:pt idx="323">
                  <c:v>270000</c:v>
                </c:pt>
                <c:pt idx="324">
                  <c:v>3059800</c:v>
                </c:pt>
                <c:pt idx="325">
                  <c:v>0</c:v>
                </c:pt>
                <c:pt idx="326">
                  <c:v>200000</c:v>
                </c:pt>
                <c:pt idx="327">
                  <c:v>510300</c:v>
                </c:pt>
                <c:pt idx="328">
                  <c:v>0</c:v>
                </c:pt>
                <c:pt idx="329">
                  <c:v>1070000</c:v>
                </c:pt>
                <c:pt idx="330">
                  <c:v>300000</c:v>
                </c:pt>
                <c:pt idx="331">
                  <c:v>450000</c:v>
                </c:pt>
                <c:pt idx="332">
                  <c:v>887000</c:v>
                </c:pt>
                <c:pt idx="333">
                  <c:v>1293500</c:v>
                </c:pt>
                <c:pt idx="334">
                  <c:v>580000</c:v>
                </c:pt>
                <c:pt idx="335">
                  <c:v>393000</c:v>
                </c:pt>
                <c:pt idx="336">
                  <c:v>784000</c:v>
                </c:pt>
                <c:pt idx="337">
                  <c:v>1225400</c:v>
                </c:pt>
                <c:pt idx="338">
                  <c:v>1310000</c:v>
                </c:pt>
                <c:pt idx="339">
                  <c:v>108500</c:v>
                </c:pt>
                <c:pt idx="340">
                  <c:v>3108726</c:v>
                </c:pt>
                <c:pt idx="341">
                  <c:v>1198370</c:v>
                </c:pt>
                <c:pt idx="342">
                  <c:v>1244000</c:v>
                </c:pt>
                <c:pt idx="343">
                  <c:v>150000</c:v>
                </c:pt>
                <c:pt idx="344">
                  <c:v>880960</c:v>
                </c:pt>
                <c:pt idx="345">
                  <c:v>0</c:v>
                </c:pt>
                <c:pt idx="347">
                  <c:v>1552300</c:v>
                </c:pt>
                <c:pt idx="349">
                  <c:v>100000</c:v>
                </c:pt>
                <c:pt idx="350">
                  <c:v>2835910</c:v>
                </c:pt>
                <c:pt idx="351">
                  <c:v>1630000</c:v>
                </c:pt>
                <c:pt idx="352">
                  <c:v>490000</c:v>
                </c:pt>
                <c:pt idx="353">
                  <c:v>1418480</c:v>
                </c:pt>
                <c:pt idx="354">
                  <c:v>754000</c:v>
                </c:pt>
                <c:pt idx="355">
                  <c:v>795200</c:v>
                </c:pt>
                <c:pt idx="356">
                  <c:v>1309000</c:v>
                </c:pt>
                <c:pt idx="357">
                  <c:v>510500</c:v>
                </c:pt>
                <c:pt idx="358">
                  <c:v>318000</c:v>
                </c:pt>
                <c:pt idx="359">
                  <c:v>100000</c:v>
                </c:pt>
                <c:pt idx="360">
                  <c:v>454600</c:v>
                </c:pt>
                <c:pt idx="361">
                  <c:v>54000</c:v>
                </c:pt>
                <c:pt idx="362">
                  <c:v>2241000</c:v>
                </c:pt>
                <c:pt idx="363">
                  <c:v>320000</c:v>
                </c:pt>
                <c:pt idx="364">
                  <c:v>1266300</c:v>
                </c:pt>
                <c:pt idx="365">
                  <c:v>0</c:v>
                </c:pt>
                <c:pt idx="366">
                  <c:v>600000</c:v>
                </c:pt>
                <c:pt idx="367">
                  <c:v>731300</c:v>
                </c:pt>
                <c:pt idx="368">
                  <c:v>2031900</c:v>
                </c:pt>
                <c:pt idx="369">
                  <c:v>0</c:v>
                </c:pt>
                <c:pt idx="370">
                  <c:v>470000</c:v>
                </c:pt>
                <c:pt idx="371">
                  <c:v>360000</c:v>
                </c:pt>
                <c:pt idx="372">
                  <c:v>0</c:v>
                </c:pt>
                <c:pt idx="373">
                  <c:v>938523</c:v>
                </c:pt>
                <c:pt idx="374">
                  <c:v>3000000</c:v>
                </c:pt>
                <c:pt idx="375">
                  <c:v>682000</c:v>
                </c:pt>
                <c:pt idx="378">
                  <c:v>0</c:v>
                </c:pt>
                <c:pt idx="379">
                  <c:v>283000</c:v>
                </c:pt>
                <c:pt idx="380">
                  <c:v>0</c:v>
                </c:pt>
                <c:pt idx="381">
                  <c:v>921000</c:v>
                </c:pt>
                <c:pt idx="382">
                  <c:v>2834000</c:v>
                </c:pt>
                <c:pt idx="383">
                  <c:v>180000</c:v>
                </c:pt>
                <c:pt idx="384">
                  <c:v>3164000</c:v>
                </c:pt>
                <c:pt idx="385">
                  <c:v>0</c:v>
                </c:pt>
                <c:pt idx="387">
                  <c:v>0</c:v>
                </c:pt>
                <c:pt idx="388">
                  <c:v>271000</c:v>
                </c:pt>
                <c:pt idx="389">
                  <c:v>264000</c:v>
                </c:pt>
                <c:pt idx="390">
                  <c:v>100000</c:v>
                </c:pt>
                <c:pt idx="391">
                  <c:v>280000</c:v>
                </c:pt>
                <c:pt idx="392">
                  <c:v>0</c:v>
                </c:pt>
                <c:pt idx="394">
                  <c:v>1529000</c:v>
                </c:pt>
                <c:pt idx="395">
                  <c:v>590000</c:v>
                </c:pt>
                <c:pt idx="396">
                  <c:v>0</c:v>
                </c:pt>
                <c:pt idx="398">
                  <c:v>0</c:v>
                </c:pt>
                <c:pt idx="399">
                  <c:v>1129000</c:v>
                </c:pt>
                <c:pt idx="400">
                  <c:v>2135000</c:v>
                </c:pt>
                <c:pt idx="401">
                  <c:v>350000</c:v>
                </c:pt>
                <c:pt idx="402">
                  <c:v>1875000</c:v>
                </c:pt>
                <c:pt idx="403">
                  <c:v>410000</c:v>
                </c:pt>
                <c:pt idx="404">
                  <c:v>300000</c:v>
                </c:pt>
                <c:pt idx="405">
                  <c:v>415000</c:v>
                </c:pt>
                <c:pt idx="406">
                  <c:v>1308800</c:v>
                </c:pt>
                <c:pt idx="407">
                  <c:v>1370300</c:v>
                </c:pt>
                <c:pt idx="408">
                  <c:v>100000</c:v>
                </c:pt>
                <c:pt idx="409">
                  <c:v>0</c:v>
                </c:pt>
                <c:pt idx="410">
                  <c:v>1843800</c:v>
                </c:pt>
                <c:pt idx="411">
                  <c:v>100000</c:v>
                </c:pt>
                <c:pt idx="412">
                  <c:v>3718500</c:v>
                </c:pt>
                <c:pt idx="413">
                  <c:v>1611910</c:v>
                </c:pt>
                <c:pt idx="414">
                  <c:v>608000</c:v>
                </c:pt>
                <c:pt idx="415">
                  <c:v>350000</c:v>
                </c:pt>
                <c:pt idx="416">
                  <c:v>1001270</c:v>
                </c:pt>
                <c:pt idx="417">
                  <c:v>476000</c:v>
                </c:pt>
                <c:pt idx="418">
                  <c:v>90000</c:v>
                </c:pt>
                <c:pt idx="419">
                  <c:v>245000</c:v>
                </c:pt>
                <c:pt idx="420">
                  <c:v>3695800</c:v>
                </c:pt>
                <c:pt idx="421">
                  <c:v>1151000</c:v>
                </c:pt>
                <c:pt idx="422">
                  <c:v>0</c:v>
                </c:pt>
                <c:pt idx="423">
                  <c:v>1912092</c:v>
                </c:pt>
                <c:pt idx="424">
                  <c:v>2286000</c:v>
                </c:pt>
                <c:pt idx="425">
                  <c:v>95000</c:v>
                </c:pt>
                <c:pt idx="426">
                  <c:v>780000</c:v>
                </c:pt>
                <c:pt idx="427">
                  <c:v>1955572</c:v>
                </c:pt>
                <c:pt idx="430">
                  <c:v>542700</c:v>
                </c:pt>
                <c:pt idx="431">
                  <c:v>1695000</c:v>
                </c:pt>
                <c:pt idx="432">
                  <c:v>0</c:v>
                </c:pt>
                <c:pt idx="433">
                  <c:v>810000</c:v>
                </c:pt>
                <c:pt idx="434">
                  <c:v>0</c:v>
                </c:pt>
                <c:pt idx="435">
                  <c:v>820665</c:v>
                </c:pt>
                <c:pt idx="436">
                  <c:v>70000</c:v>
                </c:pt>
                <c:pt idx="437">
                  <c:v>1900000</c:v>
                </c:pt>
                <c:pt idx="438">
                  <c:v>3290281</c:v>
                </c:pt>
                <c:pt idx="439">
                  <c:v>340000</c:v>
                </c:pt>
                <c:pt idx="440">
                  <c:v>0</c:v>
                </c:pt>
                <c:pt idx="441">
                  <c:v>987000</c:v>
                </c:pt>
                <c:pt idx="442">
                  <c:v>0</c:v>
                </c:pt>
                <c:pt idx="444">
                  <c:v>1650100</c:v>
                </c:pt>
                <c:pt idx="446">
                  <c:v>2097300</c:v>
                </c:pt>
                <c:pt idx="447">
                  <c:v>252000</c:v>
                </c:pt>
                <c:pt idx="449">
                  <c:v>150000</c:v>
                </c:pt>
                <c:pt idx="450">
                  <c:v>0</c:v>
                </c:pt>
                <c:pt idx="452">
                  <c:v>1174376</c:v>
                </c:pt>
                <c:pt idx="453">
                  <c:v>105000</c:v>
                </c:pt>
                <c:pt idx="456">
                  <c:v>0</c:v>
                </c:pt>
                <c:pt idx="457">
                  <c:v>2873400</c:v>
                </c:pt>
                <c:pt idx="458">
                  <c:v>1170000</c:v>
                </c:pt>
                <c:pt idx="459">
                  <c:v>3997000</c:v>
                </c:pt>
                <c:pt idx="460">
                  <c:v>2564000</c:v>
                </c:pt>
                <c:pt idx="461">
                  <c:v>1025000</c:v>
                </c:pt>
                <c:pt idx="462">
                  <c:v>951100</c:v>
                </c:pt>
                <c:pt idx="463">
                  <c:v>550500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200000</c:v>
                </c:pt>
                <c:pt idx="468">
                  <c:v>2179800</c:v>
                </c:pt>
                <c:pt idx="470">
                  <c:v>0</c:v>
                </c:pt>
                <c:pt idx="471">
                  <c:v>770000</c:v>
                </c:pt>
                <c:pt idx="472">
                  <c:v>100000</c:v>
                </c:pt>
                <c:pt idx="473">
                  <c:v>100000</c:v>
                </c:pt>
                <c:pt idx="474">
                  <c:v>70000</c:v>
                </c:pt>
                <c:pt idx="475">
                  <c:v>797000</c:v>
                </c:pt>
                <c:pt idx="476">
                  <c:v>0</c:v>
                </c:pt>
                <c:pt idx="480">
                  <c:v>2707087</c:v>
                </c:pt>
                <c:pt idx="481">
                  <c:v>1123000</c:v>
                </c:pt>
                <c:pt idx="482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5400000</c:v>
                </c:pt>
                <c:pt idx="487">
                  <c:v>3068049</c:v>
                </c:pt>
                <c:pt idx="488">
                  <c:v>717508</c:v>
                </c:pt>
                <c:pt idx="489">
                  <c:v>750400</c:v>
                </c:pt>
                <c:pt idx="491">
                  <c:v>2127273</c:v>
                </c:pt>
                <c:pt idx="492">
                  <c:v>912885</c:v>
                </c:pt>
                <c:pt idx="493">
                  <c:v>850000</c:v>
                </c:pt>
                <c:pt idx="494">
                  <c:v>150000</c:v>
                </c:pt>
                <c:pt idx="495">
                  <c:v>180000</c:v>
                </c:pt>
                <c:pt idx="496">
                  <c:v>2572745</c:v>
                </c:pt>
                <c:pt idx="497">
                  <c:v>0</c:v>
                </c:pt>
                <c:pt idx="498">
                  <c:v>150000</c:v>
                </c:pt>
                <c:pt idx="501">
                  <c:v>815000</c:v>
                </c:pt>
                <c:pt idx="502">
                  <c:v>211250</c:v>
                </c:pt>
                <c:pt idx="503">
                  <c:v>1839870</c:v>
                </c:pt>
                <c:pt idx="504">
                  <c:v>60000</c:v>
                </c:pt>
                <c:pt idx="505">
                  <c:v>480000</c:v>
                </c:pt>
                <c:pt idx="507">
                  <c:v>330000</c:v>
                </c:pt>
                <c:pt idx="508">
                  <c:v>453860</c:v>
                </c:pt>
                <c:pt idx="509">
                  <c:v>2893800</c:v>
                </c:pt>
                <c:pt idx="510">
                  <c:v>0</c:v>
                </c:pt>
                <c:pt idx="511">
                  <c:v>750000</c:v>
                </c:pt>
                <c:pt idx="512">
                  <c:v>630000</c:v>
                </c:pt>
                <c:pt idx="513">
                  <c:v>2190000</c:v>
                </c:pt>
                <c:pt idx="514">
                  <c:v>90000</c:v>
                </c:pt>
                <c:pt idx="515">
                  <c:v>577000</c:v>
                </c:pt>
                <c:pt idx="518">
                  <c:v>9622245</c:v>
                </c:pt>
                <c:pt idx="519">
                  <c:v>616370</c:v>
                </c:pt>
                <c:pt idx="520">
                  <c:v>374000</c:v>
                </c:pt>
                <c:pt idx="521">
                  <c:v>700000</c:v>
                </c:pt>
                <c:pt idx="522">
                  <c:v>20000</c:v>
                </c:pt>
                <c:pt idx="523">
                  <c:v>790000</c:v>
                </c:pt>
                <c:pt idx="524">
                  <c:v>0</c:v>
                </c:pt>
                <c:pt idx="526">
                  <c:v>0</c:v>
                </c:pt>
                <c:pt idx="527">
                  <c:v>700000</c:v>
                </c:pt>
                <c:pt idx="529">
                  <c:v>0</c:v>
                </c:pt>
                <c:pt idx="530">
                  <c:v>4430707</c:v>
                </c:pt>
                <c:pt idx="531">
                  <c:v>0</c:v>
                </c:pt>
                <c:pt idx="532">
                  <c:v>397989</c:v>
                </c:pt>
                <c:pt idx="534">
                  <c:v>0</c:v>
                </c:pt>
                <c:pt idx="535">
                  <c:v>0</c:v>
                </c:pt>
                <c:pt idx="536">
                  <c:v>100000</c:v>
                </c:pt>
                <c:pt idx="537">
                  <c:v>750000</c:v>
                </c:pt>
                <c:pt idx="538">
                  <c:v>3770450</c:v>
                </c:pt>
                <c:pt idx="539">
                  <c:v>0</c:v>
                </c:pt>
                <c:pt idx="542">
                  <c:v>1794404</c:v>
                </c:pt>
                <c:pt idx="543">
                  <c:v>2000000</c:v>
                </c:pt>
                <c:pt idx="544">
                  <c:v>686000</c:v>
                </c:pt>
                <c:pt idx="545">
                  <c:v>1313456</c:v>
                </c:pt>
                <c:pt idx="546">
                  <c:v>0</c:v>
                </c:pt>
                <c:pt idx="547">
                  <c:v>191000</c:v>
                </c:pt>
                <c:pt idx="548">
                  <c:v>1444895</c:v>
                </c:pt>
                <c:pt idx="549">
                  <c:v>11121922</c:v>
                </c:pt>
                <c:pt idx="550">
                  <c:v>804600</c:v>
                </c:pt>
                <c:pt idx="551">
                  <c:v>48946</c:v>
                </c:pt>
                <c:pt idx="553">
                  <c:v>1473600</c:v>
                </c:pt>
                <c:pt idx="554">
                  <c:v>0</c:v>
                </c:pt>
                <c:pt idx="558">
                  <c:v>0</c:v>
                </c:pt>
                <c:pt idx="559">
                  <c:v>3420821</c:v>
                </c:pt>
                <c:pt idx="562">
                  <c:v>0</c:v>
                </c:pt>
                <c:pt idx="565">
                  <c:v>2454150</c:v>
                </c:pt>
                <c:pt idx="566">
                  <c:v>2004000</c:v>
                </c:pt>
                <c:pt idx="567">
                  <c:v>1106500</c:v>
                </c:pt>
                <c:pt idx="568">
                  <c:v>869000</c:v>
                </c:pt>
                <c:pt idx="569">
                  <c:v>9000000</c:v>
                </c:pt>
                <c:pt idx="570">
                  <c:v>1932000</c:v>
                </c:pt>
                <c:pt idx="571">
                  <c:v>600000</c:v>
                </c:pt>
                <c:pt idx="572">
                  <c:v>954742</c:v>
                </c:pt>
                <c:pt idx="574">
                  <c:v>0</c:v>
                </c:pt>
                <c:pt idx="576">
                  <c:v>2000000</c:v>
                </c:pt>
                <c:pt idx="577">
                  <c:v>1736125</c:v>
                </c:pt>
                <c:pt idx="578">
                  <c:v>0</c:v>
                </c:pt>
                <c:pt idx="579">
                  <c:v>1329000</c:v>
                </c:pt>
                <c:pt idx="580">
                  <c:v>17025400</c:v>
                </c:pt>
                <c:pt idx="581">
                  <c:v>1335000</c:v>
                </c:pt>
                <c:pt idx="582">
                  <c:v>200000</c:v>
                </c:pt>
                <c:pt idx="583">
                  <c:v>2564069</c:v>
                </c:pt>
                <c:pt idx="584">
                  <c:v>0</c:v>
                </c:pt>
                <c:pt idx="585">
                  <c:v>0</c:v>
                </c:pt>
                <c:pt idx="586">
                  <c:v>1000000</c:v>
                </c:pt>
                <c:pt idx="587">
                  <c:v>1050000</c:v>
                </c:pt>
                <c:pt idx="589">
                  <c:v>0</c:v>
                </c:pt>
                <c:pt idx="590">
                  <c:v>0</c:v>
                </c:pt>
                <c:pt idx="591">
                  <c:v>456800</c:v>
                </c:pt>
                <c:pt idx="592">
                  <c:v>1117640</c:v>
                </c:pt>
                <c:pt idx="593">
                  <c:v>577500</c:v>
                </c:pt>
                <c:pt idx="594">
                  <c:v>1855000</c:v>
                </c:pt>
                <c:pt idx="595">
                  <c:v>3003800</c:v>
                </c:pt>
                <c:pt idx="596">
                  <c:v>0</c:v>
                </c:pt>
                <c:pt idx="597">
                  <c:v>310000</c:v>
                </c:pt>
                <c:pt idx="598">
                  <c:v>9391300</c:v>
                </c:pt>
                <c:pt idx="599">
                  <c:v>2150116</c:v>
                </c:pt>
                <c:pt idx="600">
                  <c:v>0</c:v>
                </c:pt>
                <c:pt idx="601">
                  <c:v>0</c:v>
                </c:pt>
                <c:pt idx="602">
                  <c:v>480000</c:v>
                </c:pt>
                <c:pt idx="603">
                  <c:v>1007453</c:v>
                </c:pt>
                <c:pt idx="605">
                  <c:v>200000</c:v>
                </c:pt>
                <c:pt idx="606">
                  <c:v>156000</c:v>
                </c:pt>
                <c:pt idx="607">
                  <c:v>0</c:v>
                </c:pt>
                <c:pt idx="608">
                  <c:v>1455800</c:v>
                </c:pt>
                <c:pt idx="609">
                  <c:v>10387800</c:v>
                </c:pt>
                <c:pt idx="610">
                  <c:v>2114166</c:v>
                </c:pt>
                <c:pt idx="611">
                  <c:v>0</c:v>
                </c:pt>
                <c:pt idx="612">
                  <c:v>2039331</c:v>
                </c:pt>
                <c:pt idx="613">
                  <c:v>960000</c:v>
                </c:pt>
                <c:pt idx="614">
                  <c:v>3297900</c:v>
                </c:pt>
                <c:pt idx="615">
                  <c:v>0</c:v>
                </c:pt>
                <c:pt idx="616">
                  <c:v>542000</c:v>
                </c:pt>
                <c:pt idx="617">
                  <c:v>1529000</c:v>
                </c:pt>
                <c:pt idx="618">
                  <c:v>50000</c:v>
                </c:pt>
                <c:pt idx="619">
                  <c:v>9354500</c:v>
                </c:pt>
                <c:pt idx="620">
                  <c:v>1935420</c:v>
                </c:pt>
                <c:pt idx="622">
                  <c:v>100000</c:v>
                </c:pt>
                <c:pt idx="623">
                  <c:v>643900</c:v>
                </c:pt>
                <c:pt idx="627">
                  <c:v>1676950</c:v>
                </c:pt>
                <c:pt idx="628">
                  <c:v>5602700</c:v>
                </c:pt>
                <c:pt idx="629">
                  <c:v>2553095</c:v>
                </c:pt>
                <c:pt idx="630">
                  <c:v>50000</c:v>
                </c:pt>
                <c:pt idx="632">
                  <c:v>0</c:v>
                </c:pt>
                <c:pt idx="633">
                  <c:v>200000</c:v>
                </c:pt>
                <c:pt idx="634">
                  <c:v>1098827</c:v>
                </c:pt>
                <c:pt idx="635">
                  <c:v>950000</c:v>
                </c:pt>
                <c:pt idx="636">
                  <c:v>1738160</c:v>
                </c:pt>
                <c:pt idx="637">
                  <c:v>150000</c:v>
                </c:pt>
                <c:pt idx="638">
                  <c:v>0</c:v>
                </c:pt>
                <c:pt idx="639">
                  <c:v>1254000</c:v>
                </c:pt>
                <c:pt idx="640">
                  <c:v>21683000</c:v>
                </c:pt>
                <c:pt idx="641">
                  <c:v>2949938</c:v>
                </c:pt>
                <c:pt idx="642">
                  <c:v>150000</c:v>
                </c:pt>
                <c:pt idx="643">
                  <c:v>660000</c:v>
                </c:pt>
                <c:pt idx="645">
                  <c:v>0</c:v>
                </c:pt>
                <c:pt idx="646">
                  <c:v>100000</c:v>
                </c:pt>
                <c:pt idx="647">
                  <c:v>1559075</c:v>
                </c:pt>
                <c:pt idx="648">
                  <c:v>400000</c:v>
                </c:pt>
                <c:pt idx="650">
                  <c:v>1429000</c:v>
                </c:pt>
                <c:pt idx="651">
                  <c:v>0</c:v>
                </c:pt>
                <c:pt idx="652">
                  <c:v>100000</c:v>
                </c:pt>
                <c:pt idx="653">
                  <c:v>0</c:v>
                </c:pt>
                <c:pt idx="654">
                  <c:v>251950</c:v>
                </c:pt>
                <c:pt idx="657">
                  <c:v>2012500</c:v>
                </c:pt>
                <c:pt idx="658">
                  <c:v>0</c:v>
                </c:pt>
                <c:pt idx="660">
                  <c:v>1300000</c:v>
                </c:pt>
                <c:pt idx="661">
                  <c:v>2195000</c:v>
                </c:pt>
                <c:pt idx="662">
                  <c:v>130000</c:v>
                </c:pt>
                <c:pt idx="663">
                  <c:v>600000</c:v>
                </c:pt>
                <c:pt idx="664">
                  <c:v>0</c:v>
                </c:pt>
                <c:pt idx="665">
                  <c:v>3164749</c:v>
                </c:pt>
                <c:pt idx="667">
                  <c:v>1314460</c:v>
                </c:pt>
                <c:pt idx="669">
                  <c:v>250000</c:v>
                </c:pt>
                <c:pt idx="670">
                  <c:v>600000</c:v>
                </c:pt>
                <c:pt idx="671">
                  <c:v>1465850</c:v>
                </c:pt>
                <c:pt idx="672">
                  <c:v>1988200</c:v>
                </c:pt>
                <c:pt idx="673">
                  <c:v>217000</c:v>
                </c:pt>
                <c:pt idx="675">
                  <c:v>1550000</c:v>
                </c:pt>
                <c:pt idx="676">
                  <c:v>637230</c:v>
                </c:pt>
                <c:pt idx="677">
                  <c:v>460000</c:v>
                </c:pt>
                <c:pt idx="678">
                  <c:v>50000</c:v>
                </c:pt>
                <c:pt idx="680">
                  <c:v>150000</c:v>
                </c:pt>
                <c:pt idx="681">
                  <c:v>155500</c:v>
                </c:pt>
                <c:pt idx="682">
                  <c:v>3003176</c:v>
                </c:pt>
                <c:pt idx="683">
                  <c:v>70000</c:v>
                </c:pt>
                <c:pt idx="684">
                  <c:v>1305314</c:v>
                </c:pt>
                <c:pt idx="685">
                  <c:v>84500</c:v>
                </c:pt>
                <c:pt idx="691">
                  <c:v>1020000</c:v>
                </c:pt>
                <c:pt idx="692">
                  <c:v>1058400</c:v>
                </c:pt>
                <c:pt idx="694">
                  <c:v>2003345</c:v>
                </c:pt>
                <c:pt idx="695">
                  <c:v>155550</c:v>
                </c:pt>
                <c:pt idx="696">
                  <c:v>2040000</c:v>
                </c:pt>
                <c:pt idx="697">
                  <c:v>2057483</c:v>
                </c:pt>
                <c:pt idx="699">
                  <c:v>2000000</c:v>
                </c:pt>
                <c:pt idx="700">
                  <c:v>430000</c:v>
                </c:pt>
                <c:pt idx="701">
                  <c:v>200000</c:v>
                </c:pt>
                <c:pt idx="702">
                  <c:v>12000</c:v>
                </c:pt>
                <c:pt idx="705">
                  <c:v>2056726</c:v>
                </c:pt>
                <c:pt idx="706">
                  <c:v>150000</c:v>
                </c:pt>
                <c:pt idx="708">
                  <c:v>100000</c:v>
                </c:pt>
                <c:pt idx="710">
                  <c:v>5887700</c:v>
                </c:pt>
                <c:pt idx="711">
                  <c:v>1212607</c:v>
                </c:pt>
                <c:pt idx="712">
                  <c:v>103700</c:v>
                </c:pt>
                <c:pt idx="714">
                  <c:v>10000000</c:v>
                </c:pt>
                <c:pt idx="715">
                  <c:v>1830000</c:v>
                </c:pt>
                <c:pt idx="716">
                  <c:v>233000</c:v>
                </c:pt>
                <c:pt idx="718">
                  <c:v>230000</c:v>
                </c:pt>
                <c:pt idx="719">
                  <c:v>3050000</c:v>
                </c:pt>
                <c:pt idx="720">
                  <c:v>0</c:v>
                </c:pt>
                <c:pt idx="721">
                  <c:v>600000</c:v>
                </c:pt>
                <c:pt idx="722">
                  <c:v>333600</c:v>
                </c:pt>
                <c:pt idx="725">
                  <c:v>200000</c:v>
                </c:pt>
                <c:pt idx="729">
                  <c:v>205960</c:v>
                </c:pt>
                <c:pt idx="730">
                  <c:v>500000</c:v>
                </c:pt>
                <c:pt idx="731">
                  <c:v>2119626</c:v>
                </c:pt>
                <c:pt idx="733">
                  <c:v>8250127</c:v>
                </c:pt>
                <c:pt idx="734">
                  <c:v>165000</c:v>
                </c:pt>
                <c:pt idx="737">
                  <c:v>350000</c:v>
                </c:pt>
                <c:pt idx="738">
                  <c:v>117500</c:v>
                </c:pt>
                <c:pt idx="740">
                  <c:v>6000000</c:v>
                </c:pt>
                <c:pt idx="741">
                  <c:v>987248</c:v>
                </c:pt>
                <c:pt idx="742">
                  <c:v>910000</c:v>
                </c:pt>
                <c:pt idx="743">
                  <c:v>1890200</c:v>
                </c:pt>
                <c:pt idx="744">
                  <c:v>229000</c:v>
                </c:pt>
                <c:pt idx="751">
                  <c:v>145350</c:v>
                </c:pt>
                <c:pt idx="752">
                  <c:v>2000000</c:v>
                </c:pt>
                <c:pt idx="753">
                  <c:v>2600000</c:v>
                </c:pt>
                <c:pt idx="754">
                  <c:v>450000</c:v>
                </c:pt>
                <c:pt idx="760">
                  <c:v>250000</c:v>
                </c:pt>
                <c:pt idx="761">
                  <c:v>12156500</c:v>
                </c:pt>
                <c:pt idx="763">
                  <c:v>140000</c:v>
                </c:pt>
                <c:pt idx="765">
                  <c:v>837700</c:v>
                </c:pt>
                <c:pt idx="766">
                  <c:v>900000</c:v>
                </c:pt>
                <c:pt idx="789">
                  <c:v>311000</c:v>
                </c:pt>
                <c:pt idx="790">
                  <c:v>4555580</c:v>
                </c:pt>
                <c:pt idx="799">
                  <c:v>349000</c:v>
                </c:pt>
                <c:pt idx="800">
                  <c:v>6915000</c:v>
                </c:pt>
                <c:pt idx="803">
                  <c:v>6490500</c:v>
                </c:pt>
                <c:pt idx="804">
                  <c:v>580000</c:v>
                </c:pt>
                <c:pt idx="805">
                  <c:v>0</c:v>
                </c:pt>
                <c:pt idx="806">
                  <c:v>1600000</c:v>
                </c:pt>
                <c:pt idx="807">
                  <c:v>300000</c:v>
                </c:pt>
                <c:pt idx="808">
                  <c:v>1570000</c:v>
                </c:pt>
                <c:pt idx="810">
                  <c:v>3000000</c:v>
                </c:pt>
                <c:pt idx="811">
                  <c:v>97225</c:v>
                </c:pt>
                <c:pt idx="812">
                  <c:v>0</c:v>
                </c:pt>
                <c:pt idx="814">
                  <c:v>5327260</c:v>
                </c:pt>
                <c:pt idx="815">
                  <c:v>0</c:v>
                </c:pt>
                <c:pt idx="816">
                  <c:v>0</c:v>
                </c:pt>
                <c:pt idx="817">
                  <c:v>411000</c:v>
                </c:pt>
                <c:pt idx="819">
                  <c:v>500000</c:v>
                </c:pt>
                <c:pt idx="820">
                  <c:v>0</c:v>
                </c:pt>
                <c:pt idx="821">
                  <c:v>0</c:v>
                </c:pt>
                <c:pt idx="822">
                  <c:v>250000</c:v>
                </c:pt>
                <c:pt idx="823">
                  <c:v>2724000</c:v>
                </c:pt>
                <c:pt idx="824">
                  <c:v>100000</c:v>
                </c:pt>
                <c:pt idx="825">
                  <c:v>50000</c:v>
                </c:pt>
                <c:pt idx="826">
                  <c:v>3171100</c:v>
                </c:pt>
                <c:pt idx="827">
                  <c:v>139000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1127800</c:v>
                </c:pt>
                <c:pt idx="832">
                  <c:v>2380000</c:v>
                </c:pt>
                <c:pt idx="833">
                  <c:v>7530000</c:v>
                </c:pt>
                <c:pt idx="834">
                  <c:v>2158000</c:v>
                </c:pt>
                <c:pt idx="835">
                  <c:v>7500000</c:v>
                </c:pt>
                <c:pt idx="836">
                  <c:v>4435100</c:v>
                </c:pt>
                <c:pt idx="837">
                  <c:v>150000</c:v>
                </c:pt>
                <c:pt idx="838">
                  <c:v>1675000</c:v>
                </c:pt>
                <c:pt idx="839">
                  <c:v>1997810</c:v>
                </c:pt>
                <c:pt idx="841">
                  <c:v>311500</c:v>
                </c:pt>
                <c:pt idx="842">
                  <c:v>730000</c:v>
                </c:pt>
                <c:pt idx="843">
                  <c:v>44000</c:v>
                </c:pt>
                <c:pt idx="844">
                  <c:v>0</c:v>
                </c:pt>
                <c:pt idx="845">
                  <c:v>953650</c:v>
                </c:pt>
                <c:pt idx="846">
                  <c:v>5334000</c:v>
                </c:pt>
                <c:pt idx="847">
                  <c:v>14455000</c:v>
                </c:pt>
                <c:pt idx="850">
                  <c:v>648000</c:v>
                </c:pt>
                <c:pt idx="853">
                  <c:v>100000</c:v>
                </c:pt>
                <c:pt idx="854">
                  <c:v>3460000</c:v>
                </c:pt>
                <c:pt idx="855">
                  <c:v>200000</c:v>
                </c:pt>
                <c:pt idx="856">
                  <c:v>1100000</c:v>
                </c:pt>
                <c:pt idx="858">
                  <c:v>2110000</c:v>
                </c:pt>
                <c:pt idx="859">
                  <c:v>1720000</c:v>
                </c:pt>
                <c:pt idx="864">
                  <c:v>300000</c:v>
                </c:pt>
                <c:pt idx="865">
                  <c:v>150000</c:v>
                </c:pt>
                <c:pt idx="866">
                  <c:v>14029889</c:v>
                </c:pt>
                <c:pt idx="867">
                  <c:v>50000</c:v>
                </c:pt>
                <c:pt idx="868">
                  <c:v>3276313</c:v>
                </c:pt>
                <c:pt idx="870">
                  <c:v>37000</c:v>
                </c:pt>
                <c:pt idx="871">
                  <c:v>4575600</c:v>
                </c:pt>
                <c:pt idx="872">
                  <c:v>2390700</c:v>
                </c:pt>
                <c:pt idx="873">
                  <c:v>0</c:v>
                </c:pt>
                <c:pt idx="874">
                  <c:v>6879970</c:v>
                </c:pt>
                <c:pt idx="875">
                  <c:v>2394371</c:v>
                </c:pt>
                <c:pt idx="876">
                  <c:v>20000</c:v>
                </c:pt>
                <c:pt idx="877">
                  <c:v>1300000</c:v>
                </c:pt>
                <c:pt idx="878">
                  <c:v>13198000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93-4675-8CF1-E99C3E7C4480}"/>
            </c:ext>
          </c:extLst>
        </c:ser>
        <c:ser>
          <c:idx val="14"/>
          <c:order val="14"/>
          <c:tx>
            <c:strRef>
              <c:f>'CASH FLOW'!$P$1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FLOW'!$P$2:$P$969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0</c:v>
                </c:pt>
                <c:pt idx="4" formatCode="_-* #,##0_-;\-* #,##0_-;_-* &quot;-&quot;??_-;_-@_-">
                  <c:v>50000</c:v>
                </c:pt>
                <c:pt idx="5" formatCode="_-* #,##0_-;\-* #,##0_-;_-* &quot;-&quot;??_-;_-@_-">
                  <c:v>0</c:v>
                </c:pt>
                <c:pt idx="6" formatCode="_-* #,##0_-;\-* #,##0_-;_-* &quot;-&quot;??_-;_-@_-">
                  <c:v>0</c:v>
                </c:pt>
                <c:pt idx="7" formatCode="_-* #,##0_-;\-* #,##0_-;_-* &quot;-&quot;??_-;_-@_-">
                  <c:v>250000</c:v>
                </c:pt>
                <c:pt idx="8" formatCode="_-* #,##0_-;\-* #,##0_-;_-* &quot;-&quot;??_-;_-@_-">
                  <c:v>0</c:v>
                </c:pt>
                <c:pt idx="26" formatCode="_-* #,##0_-;\-* #,##0_-;_-* &quot;-&quot;??_-;_-@_-">
                  <c:v>65000</c:v>
                </c:pt>
                <c:pt idx="27" formatCode="_-* #,##0_-;\-* #,##0_-;_-* &quot;-&quot;??_-;_-@_-">
                  <c:v>0</c:v>
                </c:pt>
                <c:pt idx="36" formatCode="_-* #,##0_-;\-* #,##0_-;_-* &quot;-&quot;??_-;_-@_-">
                  <c:v>50000</c:v>
                </c:pt>
                <c:pt idx="37" formatCode="_-* #,##0_-;\-* #,##0_-;_-* &quot;-&quot;??_-;_-@_-">
                  <c:v>50000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50000</c:v>
                </c:pt>
                <c:pt idx="49" formatCode="_-* #,##0_-;\-* #,##0_-;_-* &quot;-&quot;??_-;_-@_-">
                  <c:v>0</c:v>
                </c:pt>
                <c:pt idx="50" formatCode="_-* #,##0_-;\-* #,##0_-;_-* &quot;-&quot;??_-;_-@_-">
                  <c:v>0</c:v>
                </c:pt>
                <c:pt idx="51" formatCode="_-* #,##0_-;\-* #,##0_-;_-* &quot;-&quot;??_-;_-@_-">
                  <c:v>0</c:v>
                </c:pt>
                <c:pt idx="57" formatCode="_-* #,##0_-;\-* #,##0_-;_-* &quot;-&quot;??_-;_-@_-">
                  <c:v>25000</c:v>
                </c:pt>
                <c:pt idx="58" formatCode="_-* #,##0_-;\-* #,##0_-;_-* &quot;-&quot;??_-;_-@_-">
                  <c:v>50000</c:v>
                </c:pt>
                <c:pt idx="59" formatCode="_-* #,##0_-;\-* #,##0_-;_-* &quot;-&quot;??_-;_-@_-">
                  <c:v>0</c:v>
                </c:pt>
                <c:pt idx="60" formatCode="_-* #,##0_-;\-* #,##0_-;_-* &quot;-&quot;??_-;_-@_-">
                  <c:v>0</c:v>
                </c:pt>
                <c:pt idx="66" formatCode="_-* #,##0_-;\-* #,##0_-;_-* &quot;-&quot;??_-;_-@_-">
                  <c:v>25000</c:v>
                </c:pt>
                <c:pt idx="68" formatCode="_-* #,##0_-;\-* #,##0_-;_-* &quot;-&quot;??_-;_-@_-">
                  <c:v>50000</c:v>
                </c:pt>
                <c:pt idx="79" formatCode="_-* #,##0_-;\-* #,##0_-;_-* &quot;-&quot;??_-;_-@_-">
                  <c:v>25000</c:v>
                </c:pt>
                <c:pt idx="81" formatCode="_-* #,##0_-;\-* #,##0_-;_-* &quot;-&quot;??_-;_-@_-">
                  <c:v>0</c:v>
                </c:pt>
                <c:pt idx="86" formatCode="_-* #,##0_-;\-* #,##0_-;_-* &quot;-&quot;??_-;_-@_-">
                  <c:v>60000</c:v>
                </c:pt>
                <c:pt idx="87" formatCode="_-* #,##0_-;\-* #,##0_-;_-* &quot;-&quot;??_-;_-@_-">
                  <c:v>0</c:v>
                </c:pt>
                <c:pt idx="96" formatCode="_-* #,##0_-;\-* #,##0_-;_-* &quot;-&quot;??_-;_-@_-">
                  <c:v>0</c:v>
                </c:pt>
                <c:pt idx="149" formatCode="_-* #,##0_-;\-* #,##0_-;_-* &quot;-&quot;??_-;_-@_-">
                  <c:v>25000</c:v>
                </c:pt>
                <c:pt idx="152" formatCode="_-* #,##0_-;\-* #,##0_-;_-* &quot;-&quot;??_-;_-@_-">
                  <c:v>0</c:v>
                </c:pt>
                <c:pt idx="163" formatCode="_-* #,##0_-;\-* #,##0_-;_-* &quot;-&quot;??_-;_-@_-">
                  <c:v>50000</c:v>
                </c:pt>
                <c:pt idx="170" formatCode="_-* #,##0_-;\-* #,##0_-;_-* &quot;-&quot;??_-;_-@_-">
                  <c:v>25000</c:v>
                </c:pt>
                <c:pt idx="171" formatCode="_-* #,##0_-;\-* #,##0_-;_-* &quot;-&quot;??_-;_-@_-">
                  <c:v>0</c:v>
                </c:pt>
                <c:pt idx="177" formatCode="_-* #,##0_-;\-* #,##0_-;_-* &quot;-&quot;??_-;_-@_-">
                  <c:v>50000</c:v>
                </c:pt>
                <c:pt idx="178" formatCode="_-* #,##0_-;\-* #,##0_-;_-* &quot;-&quot;??_-;_-@_-">
                  <c:v>25000</c:v>
                </c:pt>
                <c:pt idx="189" formatCode="_-* #,##0_-;\-* #,##0_-;_-* &quot;-&quot;??_-;_-@_-">
                  <c:v>25000</c:v>
                </c:pt>
                <c:pt idx="213" formatCode="_-* #,##0_-;\-* #,##0_-;_-* &quot;-&quot;??_-;_-@_-">
                  <c:v>75000</c:v>
                </c:pt>
                <c:pt idx="219" formatCode="_-* #,##0_-;\-* #,##0_-;_-* &quot;-&quot;??_-;_-@_-">
                  <c:v>25000</c:v>
                </c:pt>
                <c:pt idx="229" formatCode="_-* #,##0_-;\-* #,##0_-;_-* &quot;-&quot;??_-;_-@_-">
                  <c:v>25000</c:v>
                </c:pt>
                <c:pt idx="240" formatCode="_-* #,##0_-;\-* #,##0_-;_-* &quot;-&quot;??_-;_-@_-">
                  <c:v>75000</c:v>
                </c:pt>
                <c:pt idx="241" formatCode="_-* #,##0_-;\-* #,##0_-;_-* &quot;-&quot;??_-;_-@_-">
                  <c:v>0</c:v>
                </c:pt>
                <c:pt idx="246" formatCode="_-* #,##0_-;\-* #,##0_-;_-* &quot;-&quot;??_-;_-@_-">
                  <c:v>25000</c:v>
                </c:pt>
                <c:pt idx="247" formatCode="_-* #,##0_-;\-* #,##0_-;_-* &quot;-&quot;??_-;_-@_-">
                  <c:v>0</c:v>
                </c:pt>
                <c:pt idx="254" formatCode="_-* #,##0_-;\-* #,##0_-;_-* &quot;-&quot;??_-;_-@_-">
                  <c:v>50000</c:v>
                </c:pt>
                <c:pt idx="257" formatCode="_-* #,##0_-;\-* #,##0_-;_-* &quot;-&quot;??_-;_-@_-">
                  <c:v>0</c:v>
                </c:pt>
                <c:pt idx="264" formatCode="_-* #,##0_-;\-* #,##0_-;_-* &quot;-&quot;??_-;_-@_-">
                  <c:v>25000</c:v>
                </c:pt>
                <c:pt idx="269" formatCode="_-* #,##0_-;\-* #,##0_-;_-* &quot;-&quot;??_-;_-@_-">
                  <c:v>25000</c:v>
                </c:pt>
                <c:pt idx="276" formatCode="_-* #,##0_-;\-* #,##0_-;_-* &quot;-&quot;??_-;_-@_-">
                  <c:v>0</c:v>
                </c:pt>
                <c:pt idx="282" formatCode="_-* #,##0_-;\-* #,##0_-;_-* &quot;-&quot;??_-;_-@_-">
                  <c:v>25000</c:v>
                </c:pt>
                <c:pt idx="284" formatCode="_-* #,##0_-;\-* #,##0_-;_-* &quot;-&quot;??_-;_-@_-">
                  <c:v>0</c:v>
                </c:pt>
                <c:pt idx="289" formatCode="_-* #,##0_-;\-* #,##0_-;_-* &quot;-&quot;??_-;_-@_-">
                  <c:v>25000</c:v>
                </c:pt>
                <c:pt idx="290" formatCode="_-* #,##0_-;\-* #,##0_-;_-* &quot;-&quot;??_-;_-@_-">
                  <c:v>50000</c:v>
                </c:pt>
                <c:pt idx="291" formatCode="_-* #,##0_-;\-* #,##0_-;_-* &quot;-&quot;??_-;_-@_-">
                  <c:v>0</c:v>
                </c:pt>
                <c:pt idx="292" formatCode="_-* #,##0_-;\-* #,##0_-;_-* &quot;-&quot;??_-;_-@_-">
                  <c:v>0</c:v>
                </c:pt>
                <c:pt idx="300" formatCode="_-* #,##0_-;\-* #,##0_-;_-* &quot;-&quot;??_-;_-@_-">
                  <c:v>25000</c:v>
                </c:pt>
                <c:pt idx="306" formatCode="_-* #,##0_-;\-* #,##0_-;_-* &quot;-&quot;??_-;_-@_-">
                  <c:v>50000</c:v>
                </c:pt>
                <c:pt idx="307" formatCode="_-* #,##0_-;\-* #,##0_-;_-* &quot;-&quot;??_-;_-@_-">
                  <c:v>50000</c:v>
                </c:pt>
                <c:pt idx="318" formatCode="_-* #,##0_-;\-* #,##0_-;_-* &quot;-&quot;??_-;_-@_-">
                  <c:v>0</c:v>
                </c:pt>
                <c:pt idx="321" formatCode="_-* #,##0_-;\-* #,##0_-;_-* &quot;-&quot;??_-;_-@_-">
                  <c:v>50000</c:v>
                </c:pt>
                <c:pt idx="326" formatCode="_-* #,##0_-;\-* #,##0_-;_-* &quot;-&quot;??_-;_-@_-">
                  <c:v>25000</c:v>
                </c:pt>
                <c:pt idx="330" formatCode="_-* #,##0_-;\-* #,##0_-;_-* &quot;-&quot;??_-;_-@_-">
                  <c:v>0</c:v>
                </c:pt>
                <c:pt idx="331" formatCode="_-* #,##0_-;\-* #,##0_-;_-* &quot;-&quot;??_-;_-@_-">
                  <c:v>75000</c:v>
                </c:pt>
                <c:pt idx="346" formatCode="_-* #,##0_-;\-* #,##0_-;_-* &quot;-&quot;??_-;_-@_-">
                  <c:v>25000</c:v>
                </c:pt>
                <c:pt idx="352" formatCode="_-* #,##0_-;\-* #,##0_-;_-* &quot;-&quot;??_-;_-@_-">
                  <c:v>25000</c:v>
                </c:pt>
                <c:pt idx="357" formatCode="_-* #,##0_-;\-* #,##0_-;_-* &quot;-&quot;??_-;_-@_-">
                  <c:v>50000</c:v>
                </c:pt>
                <c:pt idx="380" formatCode="_-* #,##0_-;\-* #,##0_-;_-* &quot;-&quot;??_-;_-@_-">
                  <c:v>25000</c:v>
                </c:pt>
                <c:pt idx="387" formatCode="_-* #,##0_-;\-* #,##0_-;_-* &quot;-&quot;??_-;_-@_-">
                  <c:v>75000</c:v>
                </c:pt>
                <c:pt idx="401" formatCode="_-* #,##0_-;\-* #,##0_-;_-* &quot;-&quot;??_-;_-@_-">
                  <c:v>25000</c:v>
                </c:pt>
                <c:pt idx="404" formatCode="_-* #,##0_-;\-* #,##0_-;_-* &quot;-&quot;??_-;_-@_-">
                  <c:v>75000</c:v>
                </c:pt>
                <c:pt idx="408" formatCode="_-* #,##0_-;\-* #,##0_-;_-* &quot;-&quot;??_-;_-@_-">
                  <c:v>25000</c:v>
                </c:pt>
                <c:pt idx="429" formatCode="_-* #,##0_-;\-* #,##0_-;_-* &quot;-&quot;??_-;_-@_-">
                  <c:v>50000</c:v>
                </c:pt>
                <c:pt idx="443" formatCode="_-* #,##0_-;\-* #,##0_-;_-* &quot;-&quot;??_-;_-@_-">
                  <c:v>25000</c:v>
                </c:pt>
                <c:pt idx="446" formatCode="_-* #,##0_-;\-* #,##0_-;_-* &quot;-&quot;??_-;_-@_-">
                  <c:v>0</c:v>
                </c:pt>
                <c:pt idx="450" formatCode="_-* #,##0_-;\-* #,##0_-;_-* &quot;-&quot;??_-;_-@_-">
                  <c:v>0</c:v>
                </c:pt>
                <c:pt idx="451" formatCode="_-* #,##0_-;\-* #,##0_-;_-* &quot;-&quot;??_-;_-@_-">
                  <c:v>125000</c:v>
                </c:pt>
                <c:pt idx="457" formatCode="_-* #,##0_-;\-* #,##0_-;_-* &quot;-&quot;??_-;_-@_-">
                  <c:v>25000</c:v>
                </c:pt>
                <c:pt idx="462" formatCode="_-* #,##0_-;\-* #,##0_-;_-* &quot;-&quot;??_-;_-@_-">
                  <c:v>0</c:v>
                </c:pt>
                <c:pt idx="534" formatCode="_-* #,##0_-;\-* #,##0_-;_-* &quot;-&quot;??_-;_-@_-">
                  <c:v>0</c:v>
                </c:pt>
                <c:pt idx="535" formatCode="_-* #,##0_-;\-* #,##0_-;_-* &quot;-&quot;??_-;_-@_-">
                  <c:v>25000</c:v>
                </c:pt>
                <c:pt idx="536" formatCode="_-* #,##0_-;\-* #,##0_-;_-* &quot;-&quot;??_-;_-@_-">
                  <c:v>25000</c:v>
                </c:pt>
                <c:pt idx="545" formatCode="_-* #,##0_-;\-* #,##0_-;_-* &quot;-&quot;??_-;_-@_-">
                  <c:v>25000</c:v>
                </c:pt>
                <c:pt idx="546" formatCode="_-* #,##0_-;\-* #,##0_-;_-* &quot;-&quot;??_-;_-@_-">
                  <c:v>25000</c:v>
                </c:pt>
                <c:pt idx="548" formatCode="_-* #,##0_-;\-* #,##0_-;_-* &quot;-&quot;??_-;_-@_-">
                  <c:v>25000</c:v>
                </c:pt>
                <c:pt idx="549" formatCode="_-* #,##0_-;\-* #,##0_-;_-* &quot;-&quot;??_-;_-@_-">
                  <c:v>0</c:v>
                </c:pt>
                <c:pt idx="555" formatCode="_-* #,##0_-;\-* #,##0_-;_-* &quot;-&quot;??_-;_-@_-">
                  <c:v>75000</c:v>
                </c:pt>
                <c:pt idx="558" formatCode="_-* #,##0_-;\-* #,##0_-;_-* &quot;-&quot;??_-;_-@_-">
                  <c:v>0</c:v>
                </c:pt>
                <c:pt idx="559" formatCode="_-* #,##0_-;\-* #,##0_-;_-* &quot;-&quot;??_-;_-@_-">
                  <c:v>0</c:v>
                </c:pt>
                <c:pt idx="562" formatCode="_-* #,##0_-;\-* #,##0_-;_-* &quot;-&quot;??_-;_-@_-">
                  <c:v>50000</c:v>
                </c:pt>
                <c:pt idx="570" formatCode="_-* #,##0_-;\-* #,##0_-;_-* &quot;-&quot;??_-;_-@_-">
                  <c:v>50000</c:v>
                </c:pt>
                <c:pt idx="580" formatCode="_-* #,##0_-;\-* #,##0_-;_-* &quot;-&quot;??_-;_-@_-">
                  <c:v>25000</c:v>
                </c:pt>
                <c:pt idx="760" formatCode="_-* #,##0_-;\-* #,##0_-;_-* &quot;-&quot;??_-;_-@_-">
                  <c:v>20000</c:v>
                </c:pt>
                <c:pt idx="765" formatCode="_-* #,##0_-;\-* #,##0_-;_-* &quot;-&quot;??_-;_-@_-">
                  <c:v>40000</c:v>
                </c:pt>
                <c:pt idx="814" formatCode="_-* #,##0_-;\-* #,##0_-;_-* &quot;-&quot;??_-;_-@_-">
                  <c:v>0</c:v>
                </c:pt>
                <c:pt idx="815" formatCode="_-* #,##0_-;\-* #,##0_-;_-* &quot;-&quot;??_-;_-@_-">
                  <c:v>0</c:v>
                </c:pt>
                <c:pt idx="819" formatCode="_-* #,##0_-;\-* #,##0_-;_-* &quot;-&quot;??_-;_-@_-">
                  <c:v>0</c:v>
                </c:pt>
                <c:pt idx="832" formatCode="_-* #,##0_-;\-* #,##0_-;_-* &quot;-&quot;??_-;_-@_-">
                  <c:v>58000</c:v>
                </c:pt>
                <c:pt idx="833" formatCode="_-* #,##0_-;\-* #,##0_-;_-* &quot;-&quot;??_-;_-@_-">
                  <c:v>0</c:v>
                </c:pt>
                <c:pt idx="834" formatCode="_-* #,##0_-;\-* #,##0_-;_-* &quot;-&quot;??_-;_-@_-">
                  <c:v>0</c:v>
                </c:pt>
                <c:pt idx="837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93-4675-8CF1-E99C3E7C4480}"/>
            </c:ext>
          </c:extLst>
        </c:ser>
        <c:ser>
          <c:idx val="15"/>
          <c:order val="15"/>
          <c:tx>
            <c:strRef>
              <c:f>'CASH FLOW'!$Q$1</c:f>
              <c:strCache>
                <c:ptCount val="1"/>
                <c:pt idx="0">
                  <c:v> - 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FLOW'!$Q$2:$Q$969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23454269.497000001</c:v>
                </c:pt>
                <c:pt idx="3">
                  <c:v>22136460.619000003</c:v>
                </c:pt>
                <c:pt idx="4">
                  <c:v>37863217.870000005</c:v>
                </c:pt>
                <c:pt idx="5">
                  <c:v>20539757.402999997</c:v>
                </c:pt>
                <c:pt idx="6">
                  <c:v>26200917.950999998</c:v>
                </c:pt>
                <c:pt idx="7">
                  <c:v>42230644.201000005</c:v>
                </c:pt>
                <c:pt idx="8">
                  <c:v>34494225.068000004</c:v>
                </c:pt>
                <c:pt idx="9">
                  <c:v>22194922.984000001</c:v>
                </c:pt>
                <c:pt idx="10">
                  <c:v>33900321.439000003</c:v>
                </c:pt>
                <c:pt idx="11">
                  <c:v>32638725.794999998</c:v>
                </c:pt>
                <c:pt idx="12">
                  <c:v>22209595.677000001</c:v>
                </c:pt>
                <c:pt idx="13">
                  <c:v>16841739.848999999</c:v>
                </c:pt>
                <c:pt idx="14">
                  <c:v>48874495.130999997</c:v>
                </c:pt>
                <c:pt idx="15">
                  <c:v>16181225.436000001</c:v>
                </c:pt>
                <c:pt idx="16">
                  <c:v>25300850.074999999</c:v>
                </c:pt>
                <c:pt idx="17">
                  <c:v>33611150.066</c:v>
                </c:pt>
                <c:pt idx="18">
                  <c:v>18107051.952</c:v>
                </c:pt>
                <c:pt idx="19">
                  <c:v>29063389.5</c:v>
                </c:pt>
                <c:pt idx="20">
                  <c:v>21036998.647</c:v>
                </c:pt>
                <c:pt idx="21">
                  <c:v>31343084.289999999</c:v>
                </c:pt>
                <c:pt idx="22">
                  <c:v>28515164.140000001</c:v>
                </c:pt>
                <c:pt idx="23">
                  <c:v>21377450.846000001</c:v>
                </c:pt>
                <c:pt idx="24">
                  <c:v>24181268.403999999</c:v>
                </c:pt>
                <c:pt idx="25">
                  <c:v>30341417.405999996</c:v>
                </c:pt>
                <c:pt idx="26">
                  <c:v>27815186.688000001</c:v>
                </c:pt>
                <c:pt idx="27">
                  <c:v>23501435.282000002</c:v>
                </c:pt>
                <c:pt idx="28">
                  <c:v>45722152.055</c:v>
                </c:pt>
                <c:pt idx="29">
                  <c:v>34433479.355999999</c:v>
                </c:pt>
                <c:pt idx="30">
                  <c:v>24285566.839999996</c:v>
                </c:pt>
                <c:pt idx="31">
                  <c:v>58632952.620000005</c:v>
                </c:pt>
                <c:pt idx="32">
                  <c:v>38226399.170000002</c:v>
                </c:pt>
                <c:pt idx="33">
                  <c:v>32167455.740000002</c:v>
                </c:pt>
                <c:pt idx="34">
                  <c:v>36419624.5</c:v>
                </c:pt>
                <c:pt idx="35">
                  <c:v>28854658.970000003</c:v>
                </c:pt>
                <c:pt idx="36">
                  <c:v>32584089.920000002</c:v>
                </c:pt>
                <c:pt idx="37">
                  <c:v>27840334.079999998</c:v>
                </c:pt>
                <c:pt idx="38">
                  <c:v>72617464</c:v>
                </c:pt>
                <c:pt idx="39">
                  <c:v>27246484.719999999</c:v>
                </c:pt>
                <c:pt idx="40">
                  <c:v>27289790.77</c:v>
                </c:pt>
                <c:pt idx="41">
                  <c:v>30724577.030000001</c:v>
                </c:pt>
                <c:pt idx="42">
                  <c:v>18436534.829999998</c:v>
                </c:pt>
                <c:pt idx="43">
                  <c:v>23070493.25</c:v>
                </c:pt>
                <c:pt idx="44">
                  <c:v>34424510.549999997</c:v>
                </c:pt>
                <c:pt idx="45">
                  <c:v>44560441.82</c:v>
                </c:pt>
                <c:pt idx="46">
                  <c:v>28490055.399999999</c:v>
                </c:pt>
                <c:pt idx="47">
                  <c:v>34745039.409999996</c:v>
                </c:pt>
                <c:pt idx="48">
                  <c:v>29983227.300000001</c:v>
                </c:pt>
                <c:pt idx="49">
                  <c:v>35279350.090000004</c:v>
                </c:pt>
                <c:pt idx="50">
                  <c:v>22024199.34</c:v>
                </c:pt>
                <c:pt idx="51">
                  <c:v>19835586.060000002</c:v>
                </c:pt>
                <c:pt idx="52">
                  <c:v>36000641.810000002</c:v>
                </c:pt>
                <c:pt idx="53">
                  <c:v>30780906.349999998</c:v>
                </c:pt>
                <c:pt idx="54">
                  <c:v>26569057.145999998</c:v>
                </c:pt>
                <c:pt idx="55">
                  <c:v>29078115.868000001</c:v>
                </c:pt>
                <c:pt idx="56">
                  <c:v>23348616.828000002</c:v>
                </c:pt>
                <c:pt idx="57">
                  <c:v>29602915.156999998</c:v>
                </c:pt>
                <c:pt idx="58">
                  <c:v>23135144.818</c:v>
                </c:pt>
                <c:pt idx="59">
                  <c:v>43172470.037</c:v>
                </c:pt>
                <c:pt idx="60">
                  <c:v>26947042.649999999</c:v>
                </c:pt>
                <c:pt idx="61">
                  <c:v>24308264.16</c:v>
                </c:pt>
                <c:pt idx="62">
                  <c:v>25759504.372000001</c:v>
                </c:pt>
                <c:pt idx="63">
                  <c:v>23891680.362999998</c:v>
                </c:pt>
                <c:pt idx="64">
                  <c:v>35302553.063999996</c:v>
                </c:pt>
                <c:pt idx="65">
                  <c:v>28352088.719999999</c:v>
                </c:pt>
                <c:pt idx="66">
                  <c:v>29338817.494000003</c:v>
                </c:pt>
                <c:pt idx="67">
                  <c:v>45161310.43</c:v>
                </c:pt>
                <c:pt idx="68">
                  <c:v>17843416</c:v>
                </c:pt>
                <c:pt idx="69">
                  <c:v>19403553.026999999</c:v>
                </c:pt>
                <c:pt idx="70">
                  <c:v>22139151.278000001</c:v>
                </c:pt>
                <c:pt idx="71">
                  <c:v>14471779.869999999</c:v>
                </c:pt>
                <c:pt idx="72">
                  <c:v>27819950.52</c:v>
                </c:pt>
                <c:pt idx="73">
                  <c:v>28309045.030000001</c:v>
                </c:pt>
                <c:pt idx="74">
                  <c:v>27999311.892000001</c:v>
                </c:pt>
                <c:pt idx="75">
                  <c:v>29333478.653000001</c:v>
                </c:pt>
                <c:pt idx="76">
                  <c:v>24783297.649999999</c:v>
                </c:pt>
                <c:pt idx="77">
                  <c:v>27191008.688000001</c:v>
                </c:pt>
                <c:pt idx="78">
                  <c:v>27009165.25</c:v>
                </c:pt>
                <c:pt idx="79">
                  <c:v>19130889.816</c:v>
                </c:pt>
                <c:pt idx="80">
                  <c:v>33442510.868000001</c:v>
                </c:pt>
                <c:pt idx="81">
                  <c:v>24351935.435000002</c:v>
                </c:pt>
                <c:pt idx="82">
                  <c:v>39288763.362000003</c:v>
                </c:pt>
                <c:pt idx="83">
                  <c:v>27937249.182999998</c:v>
                </c:pt>
                <c:pt idx="84">
                  <c:v>30492044.357999999</c:v>
                </c:pt>
                <c:pt idx="85">
                  <c:v>20400818.298</c:v>
                </c:pt>
                <c:pt idx="86">
                  <c:v>18489571.280000001</c:v>
                </c:pt>
                <c:pt idx="87">
                  <c:v>25490886.528999999</c:v>
                </c:pt>
                <c:pt idx="88">
                  <c:v>30205765.638999999</c:v>
                </c:pt>
                <c:pt idx="89">
                  <c:v>30286445.254000001</c:v>
                </c:pt>
                <c:pt idx="90">
                  <c:v>25628464.979999997</c:v>
                </c:pt>
                <c:pt idx="91">
                  <c:v>35979752.809</c:v>
                </c:pt>
                <c:pt idx="92">
                  <c:v>23051184</c:v>
                </c:pt>
                <c:pt idx="93">
                  <c:v>14707121</c:v>
                </c:pt>
                <c:pt idx="94">
                  <c:v>32525897.728999998</c:v>
                </c:pt>
                <c:pt idx="95">
                  <c:v>27205283.630999997</c:v>
                </c:pt>
                <c:pt idx="96">
                  <c:v>24613690.196000002</c:v>
                </c:pt>
                <c:pt idx="97">
                  <c:v>45896266.814999998</c:v>
                </c:pt>
                <c:pt idx="98">
                  <c:v>25309260.395</c:v>
                </c:pt>
                <c:pt idx="99">
                  <c:v>17880656.144000001</c:v>
                </c:pt>
                <c:pt idx="100">
                  <c:v>16676588.368000001</c:v>
                </c:pt>
                <c:pt idx="101">
                  <c:v>34147056.377999999</c:v>
                </c:pt>
                <c:pt idx="102">
                  <c:v>25219443.370000001</c:v>
                </c:pt>
                <c:pt idx="103">
                  <c:v>21148798.892000001</c:v>
                </c:pt>
                <c:pt idx="104">
                  <c:v>27338991.285999998</c:v>
                </c:pt>
                <c:pt idx="105">
                  <c:v>20536634.764000002</c:v>
                </c:pt>
                <c:pt idx="106">
                  <c:v>31955220.467000004</c:v>
                </c:pt>
                <c:pt idx="107">
                  <c:v>17549784.728</c:v>
                </c:pt>
                <c:pt idx="108">
                  <c:v>31895541.307999998</c:v>
                </c:pt>
                <c:pt idx="109">
                  <c:v>27725842.229000002</c:v>
                </c:pt>
                <c:pt idx="110">
                  <c:v>27478813.925000001</c:v>
                </c:pt>
                <c:pt idx="111">
                  <c:v>27949699.153999999</c:v>
                </c:pt>
                <c:pt idx="112">
                  <c:v>29631824.449000001</c:v>
                </c:pt>
                <c:pt idx="113">
                  <c:v>17729985.052999999</c:v>
                </c:pt>
                <c:pt idx="114">
                  <c:v>14904846.517999999</c:v>
                </c:pt>
                <c:pt idx="115">
                  <c:v>25152684.473000001</c:v>
                </c:pt>
                <c:pt idx="116">
                  <c:v>21188024.991999999</c:v>
                </c:pt>
                <c:pt idx="117">
                  <c:v>26346081.864999998</c:v>
                </c:pt>
                <c:pt idx="118">
                  <c:v>32295741.100000001</c:v>
                </c:pt>
                <c:pt idx="119">
                  <c:v>27518480.748999998</c:v>
                </c:pt>
                <c:pt idx="120">
                  <c:v>7519691.4299999997</c:v>
                </c:pt>
                <c:pt idx="121">
                  <c:v>33179921.899999999</c:v>
                </c:pt>
                <c:pt idx="122">
                  <c:v>44490880.579999998</c:v>
                </c:pt>
                <c:pt idx="123">
                  <c:v>31551857.119999997</c:v>
                </c:pt>
                <c:pt idx="124">
                  <c:v>39093719.863000005</c:v>
                </c:pt>
                <c:pt idx="125">
                  <c:v>25003131.994000003</c:v>
                </c:pt>
                <c:pt idx="126">
                  <c:v>27885913.134</c:v>
                </c:pt>
                <c:pt idx="127">
                  <c:v>17193022.379999999</c:v>
                </c:pt>
                <c:pt idx="128">
                  <c:v>18307308.07</c:v>
                </c:pt>
                <c:pt idx="129">
                  <c:v>31750643.359999999</c:v>
                </c:pt>
                <c:pt idx="130">
                  <c:v>25294313.475000001</c:v>
                </c:pt>
                <c:pt idx="131">
                  <c:v>38511933.976000004</c:v>
                </c:pt>
                <c:pt idx="132">
                  <c:v>35056411.395000003</c:v>
                </c:pt>
                <c:pt idx="133">
                  <c:v>36596510.898000002</c:v>
                </c:pt>
                <c:pt idx="134">
                  <c:v>28493944.107000001</c:v>
                </c:pt>
                <c:pt idx="135">
                  <c:v>26908115.765000001</c:v>
                </c:pt>
                <c:pt idx="136">
                  <c:v>32196861.341999996</c:v>
                </c:pt>
                <c:pt idx="137">
                  <c:v>26900733.600000001</c:v>
                </c:pt>
                <c:pt idx="138">
                  <c:v>23619826.622000001</c:v>
                </c:pt>
                <c:pt idx="139">
                  <c:v>26947684.642000001</c:v>
                </c:pt>
                <c:pt idx="140">
                  <c:v>44588185.412</c:v>
                </c:pt>
                <c:pt idx="141">
                  <c:v>22865949.221000001</c:v>
                </c:pt>
                <c:pt idx="142">
                  <c:v>18374322.605</c:v>
                </c:pt>
                <c:pt idx="143">
                  <c:v>25518066.506000001</c:v>
                </c:pt>
                <c:pt idx="144">
                  <c:v>24567081.853</c:v>
                </c:pt>
                <c:pt idx="145">
                  <c:v>26437217.475000001</c:v>
                </c:pt>
                <c:pt idx="146">
                  <c:v>27101904.743000001</c:v>
                </c:pt>
                <c:pt idx="147">
                  <c:v>32040454.677000001</c:v>
                </c:pt>
                <c:pt idx="148">
                  <c:v>29734310.328000002</c:v>
                </c:pt>
                <c:pt idx="149">
                  <c:v>32502032.380000003</c:v>
                </c:pt>
                <c:pt idx="150">
                  <c:v>36630726.659000002</c:v>
                </c:pt>
                <c:pt idx="151">
                  <c:v>36615869.482000001</c:v>
                </c:pt>
                <c:pt idx="152">
                  <c:v>28535979.289000001</c:v>
                </c:pt>
                <c:pt idx="153">
                  <c:v>45865137.280000001</c:v>
                </c:pt>
                <c:pt idx="154">
                  <c:v>35889917.229000002</c:v>
                </c:pt>
                <c:pt idx="155">
                  <c:v>33044747.550999999</c:v>
                </c:pt>
                <c:pt idx="156">
                  <c:v>21408754.266999997</c:v>
                </c:pt>
                <c:pt idx="157">
                  <c:v>35912239.780000001</c:v>
                </c:pt>
                <c:pt idx="158">
                  <c:v>42461161.854000002</c:v>
                </c:pt>
                <c:pt idx="159">
                  <c:v>21247165.399999999</c:v>
                </c:pt>
                <c:pt idx="160">
                  <c:v>43297156.181999996</c:v>
                </c:pt>
                <c:pt idx="161">
                  <c:v>36848149.622999996</c:v>
                </c:pt>
                <c:pt idx="162">
                  <c:v>29932367.769000001</c:v>
                </c:pt>
                <c:pt idx="163">
                  <c:v>23274093.012000002</c:v>
                </c:pt>
                <c:pt idx="164">
                  <c:v>24706084.199999999</c:v>
                </c:pt>
                <c:pt idx="165">
                  <c:v>32073520.144000001</c:v>
                </c:pt>
                <c:pt idx="166">
                  <c:v>34278324.457000002</c:v>
                </c:pt>
                <c:pt idx="167">
                  <c:v>51078261.998999998</c:v>
                </c:pt>
                <c:pt idx="168">
                  <c:v>32392939.055</c:v>
                </c:pt>
                <c:pt idx="169">
                  <c:v>35048713.145999998</c:v>
                </c:pt>
                <c:pt idx="170">
                  <c:v>20443749.667999998</c:v>
                </c:pt>
                <c:pt idx="171">
                  <c:v>37455553.745999999</c:v>
                </c:pt>
                <c:pt idx="172">
                  <c:v>28828116.068</c:v>
                </c:pt>
                <c:pt idx="173">
                  <c:v>45972835.355000004</c:v>
                </c:pt>
                <c:pt idx="174">
                  <c:v>23107314.394000001</c:v>
                </c:pt>
                <c:pt idx="175">
                  <c:v>32905436.967</c:v>
                </c:pt>
                <c:pt idx="176">
                  <c:v>32520322.149999999</c:v>
                </c:pt>
                <c:pt idx="177">
                  <c:v>27224771.913999997</c:v>
                </c:pt>
                <c:pt idx="178">
                  <c:v>33765405.259999998</c:v>
                </c:pt>
                <c:pt idx="179">
                  <c:v>37126813.843999997</c:v>
                </c:pt>
                <c:pt idx="180">
                  <c:v>32929102.890000001</c:v>
                </c:pt>
                <c:pt idx="181">
                  <c:v>34818911.566</c:v>
                </c:pt>
                <c:pt idx="182">
                  <c:v>36408068.031000003</c:v>
                </c:pt>
                <c:pt idx="183">
                  <c:v>33478177.594000001</c:v>
                </c:pt>
                <c:pt idx="184">
                  <c:v>19383460.553000003</c:v>
                </c:pt>
                <c:pt idx="185">
                  <c:v>42321610.653999999</c:v>
                </c:pt>
                <c:pt idx="186">
                  <c:v>25845528.452</c:v>
                </c:pt>
                <c:pt idx="187">
                  <c:v>31569221.563999999</c:v>
                </c:pt>
                <c:pt idx="188">
                  <c:v>40975333.027999997</c:v>
                </c:pt>
                <c:pt idx="189">
                  <c:v>38681873.049999997</c:v>
                </c:pt>
                <c:pt idx="190">
                  <c:v>23884207.482999999</c:v>
                </c:pt>
                <c:pt idx="191">
                  <c:v>28424154.243000001</c:v>
                </c:pt>
                <c:pt idx="192">
                  <c:v>35354941.943999998</c:v>
                </c:pt>
                <c:pt idx="193">
                  <c:v>31878482.636999998</c:v>
                </c:pt>
                <c:pt idx="194">
                  <c:v>32070209.588</c:v>
                </c:pt>
                <c:pt idx="195">
                  <c:v>25106555.920000002</c:v>
                </c:pt>
                <c:pt idx="196">
                  <c:v>44426037.623999998</c:v>
                </c:pt>
                <c:pt idx="197">
                  <c:v>45152882.247000001</c:v>
                </c:pt>
                <c:pt idx="198">
                  <c:v>28341589.311999999</c:v>
                </c:pt>
                <c:pt idx="199">
                  <c:v>37037846.958000004</c:v>
                </c:pt>
                <c:pt idx="200">
                  <c:v>20208474.924999997</c:v>
                </c:pt>
                <c:pt idx="201">
                  <c:v>31111444.290999997</c:v>
                </c:pt>
                <c:pt idx="202">
                  <c:v>32566944.657000002</c:v>
                </c:pt>
                <c:pt idx="203">
                  <c:v>21895279.296000004</c:v>
                </c:pt>
                <c:pt idx="204">
                  <c:v>36292810.093000002</c:v>
                </c:pt>
                <c:pt idx="205">
                  <c:v>24166351.355999999</c:v>
                </c:pt>
                <c:pt idx="206">
                  <c:v>33808303.538000003</c:v>
                </c:pt>
                <c:pt idx="207">
                  <c:v>33358805.866999999</c:v>
                </c:pt>
                <c:pt idx="208">
                  <c:v>32347534.809</c:v>
                </c:pt>
                <c:pt idx="209">
                  <c:v>32016143.941</c:v>
                </c:pt>
                <c:pt idx="210">
                  <c:v>41456763.435000002</c:v>
                </c:pt>
                <c:pt idx="211">
                  <c:v>37259172.055999994</c:v>
                </c:pt>
                <c:pt idx="212">
                  <c:v>25777552.041000001</c:v>
                </c:pt>
                <c:pt idx="213">
                  <c:v>33130869.138</c:v>
                </c:pt>
                <c:pt idx="214">
                  <c:v>30005319.537999999</c:v>
                </c:pt>
                <c:pt idx="215">
                  <c:v>30378767.485999998</c:v>
                </c:pt>
                <c:pt idx="216">
                  <c:v>37529308.662</c:v>
                </c:pt>
                <c:pt idx="217">
                  <c:v>42175807.853</c:v>
                </c:pt>
                <c:pt idx="218">
                  <c:v>40142733.123000003</c:v>
                </c:pt>
                <c:pt idx="219">
                  <c:v>20580298.583000001</c:v>
                </c:pt>
                <c:pt idx="220">
                  <c:v>23435104.710000001</c:v>
                </c:pt>
                <c:pt idx="221">
                  <c:v>25233765.976</c:v>
                </c:pt>
                <c:pt idx="222">
                  <c:v>34729320.855999999</c:v>
                </c:pt>
                <c:pt idx="223">
                  <c:v>37513442.424000002</c:v>
                </c:pt>
                <c:pt idx="224">
                  <c:v>38834407.133999996</c:v>
                </c:pt>
                <c:pt idx="225">
                  <c:v>34078952.423999995</c:v>
                </c:pt>
                <c:pt idx="226">
                  <c:v>27298996.453000002</c:v>
                </c:pt>
                <c:pt idx="227">
                  <c:v>33690346.133000001</c:v>
                </c:pt>
                <c:pt idx="228">
                  <c:v>32838106.238000002</c:v>
                </c:pt>
                <c:pt idx="229">
                  <c:v>34532911.743000001</c:v>
                </c:pt>
                <c:pt idx="230">
                  <c:v>28889667.100000001</c:v>
                </c:pt>
                <c:pt idx="231">
                  <c:v>31951978.640000001</c:v>
                </c:pt>
                <c:pt idx="232">
                  <c:v>27972104.77</c:v>
                </c:pt>
                <c:pt idx="233">
                  <c:v>21905619.510000002</c:v>
                </c:pt>
                <c:pt idx="234">
                  <c:v>34452947.689999998</c:v>
                </c:pt>
                <c:pt idx="235">
                  <c:v>28040205.5</c:v>
                </c:pt>
                <c:pt idx="236">
                  <c:v>35715227.43</c:v>
                </c:pt>
                <c:pt idx="237">
                  <c:v>36452616.409999996</c:v>
                </c:pt>
                <c:pt idx="238">
                  <c:v>37556717.840000004</c:v>
                </c:pt>
                <c:pt idx="239">
                  <c:v>28274691.879999999</c:v>
                </c:pt>
                <c:pt idx="240">
                  <c:v>23437506.699999999</c:v>
                </c:pt>
                <c:pt idx="241">
                  <c:v>38967516.910000004</c:v>
                </c:pt>
                <c:pt idx="242">
                  <c:v>45063627.189999998</c:v>
                </c:pt>
                <c:pt idx="243">
                  <c:v>30984634.380000003</c:v>
                </c:pt>
                <c:pt idx="244">
                  <c:v>37709666.189999998</c:v>
                </c:pt>
                <c:pt idx="245">
                  <c:v>37417684.420000002</c:v>
                </c:pt>
                <c:pt idx="246">
                  <c:v>33040312.43</c:v>
                </c:pt>
                <c:pt idx="247">
                  <c:v>25003757.960000001</c:v>
                </c:pt>
                <c:pt idx="248">
                  <c:v>29928302.780000001</c:v>
                </c:pt>
                <c:pt idx="249">
                  <c:v>41808499.519999996</c:v>
                </c:pt>
                <c:pt idx="250">
                  <c:v>31701133.75</c:v>
                </c:pt>
                <c:pt idx="251">
                  <c:v>31794117.089999996</c:v>
                </c:pt>
                <c:pt idx="252">
                  <c:v>32592211.02</c:v>
                </c:pt>
                <c:pt idx="253">
                  <c:v>23306954.620000001</c:v>
                </c:pt>
                <c:pt idx="254">
                  <c:v>24189645.059999999</c:v>
                </c:pt>
                <c:pt idx="255">
                  <c:v>30296120.82</c:v>
                </c:pt>
                <c:pt idx="256">
                  <c:v>26717460.100000001</c:v>
                </c:pt>
                <c:pt idx="257">
                  <c:v>33388618.450000003</c:v>
                </c:pt>
                <c:pt idx="258">
                  <c:v>29215585</c:v>
                </c:pt>
                <c:pt idx="259">
                  <c:v>29483504.390000001</c:v>
                </c:pt>
                <c:pt idx="260">
                  <c:v>27969165.969999999</c:v>
                </c:pt>
                <c:pt idx="261">
                  <c:v>22826657.330000002</c:v>
                </c:pt>
                <c:pt idx="262">
                  <c:v>28043162.93</c:v>
                </c:pt>
                <c:pt idx="263">
                  <c:v>28966324.809999999</c:v>
                </c:pt>
                <c:pt idx="264">
                  <c:v>28444486.84</c:v>
                </c:pt>
                <c:pt idx="265">
                  <c:v>26809514.48</c:v>
                </c:pt>
                <c:pt idx="266">
                  <c:v>24522889.719999999</c:v>
                </c:pt>
                <c:pt idx="267">
                  <c:v>26102341.579999998</c:v>
                </c:pt>
                <c:pt idx="268">
                  <c:v>17833626.699999999</c:v>
                </c:pt>
                <c:pt idx="269">
                  <c:v>27763361.57</c:v>
                </c:pt>
                <c:pt idx="270">
                  <c:v>21920028.690000001</c:v>
                </c:pt>
                <c:pt idx="271">
                  <c:v>25009559.009999998</c:v>
                </c:pt>
                <c:pt idx="272">
                  <c:v>45836215.559999995</c:v>
                </c:pt>
                <c:pt idx="273">
                  <c:v>30327088.75</c:v>
                </c:pt>
                <c:pt idx="274">
                  <c:v>26848684.32</c:v>
                </c:pt>
                <c:pt idx="275">
                  <c:v>25435558.990000002</c:v>
                </c:pt>
                <c:pt idx="276">
                  <c:v>29001971.329999998</c:v>
                </c:pt>
                <c:pt idx="277">
                  <c:v>34101197.980000004</c:v>
                </c:pt>
                <c:pt idx="278">
                  <c:v>42001426.299999997</c:v>
                </c:pt>
                <c:pt idx="279">
                  <c:v>31285782.129999999</c:v>
                </c:pt>
                <c:pt idx="280">
                  <c:v>35651410.609999999</c:v>
                </c:pt>
                <c:pt idx="281">
                  <c:v>20896414.140000001</c:v>
                </c:pt>
                <c:pt idx="282">
                  <c:v>22054592</c:v>
                </c:pt>
                <c:pt idx="283">
                  <c:v>19368761.119999997</c:v>
                </c:pt>
                <c:pt idx="284">
                  <c:v>41493716.149999999</c:v>
                </c:pt>
                <c:pt idx="285">
                  <c:v>25337822.300000001</c:v>
                </c:pt>
                <c:pt idx="286">
                  <c:v>21051244.780000001</c:v>
                </c:pt>
                <c:pt idx="287">
                  <c:v>27713029.579999998</c:v>
                </c:pt>
                <c:pt idx="288">
                  <c:v>30114547.730000004</c:v>
                </c:pt>
                <c:pt idx="289">
                  <c:v>18087517.91</c:v>
                </c:pt>
                <c:pt idx="290">
                  <c:v>41467399.510000005</c:v>
                </c:pt>
                <c:pt idx="291">
                  <c:v>26471057.399999999</c:v>
                </c:pt>
                <c:pt idx="292">
                  <c:v>41775700.869999997</c:v>
                </c:pt>
                <c:pt idx="293">
                  <c:v>23685587.16</c:v>
                </c:pt>
                <c:pt idx="294">
                  <c:v>25691391.940000001</c:v>
                </c:pt>
                <c:pt idx="295">
                  <c:v>30642413.5</c:v>
                </c:pt>
                <c:pt idx="296">
                  <c:v>21738394.920000002</c:v>
                </c:pt>
                <c:pt idx="297">
                  <c:v>30760545.170000002</c:v>
                </c:pt>
                <c:pt idx="298">
                  <c:v>24923237.850000001</c:v>
                </c:pt>
                <c:pt idx="299">
                  <c:v>35798497.629999995</c:v>
                </c:pt>
                <c:pt idx="300">
                  <c:v>45775771.490000002</c:v>
                </c:pt>
                <c:pt idx="301">
                  <c:v>30071350.23</c:v>
                </c:pt>
                <c:pt idx="302">
                  <c:v>23274031</c:v>
                </c:pt>
                <c:pt idx="303">
                  <c:v>21746468.810000002</c:v>
                </c:pt>
                <c:pt idx="304">
                  <c:v>21889954.48</c:v>
                </c:pt>
                <c:pt idx="305">
                  <c:v>29710135</c:v>
                </c:pt>
                <c:pt idx="306">
                  <c:v>45687934.189999998</c:v>
                </c:pt>
                <c:pt idx="307">
                  <c:v>25226526.329999998</c:v>
                </c:pt>
                <c:pt idx="308">
                  <c:v>31989155.66</c:v>
                </c:pt>
                <c:pt idx="309">
                  <c:v>34423759.5</c:v>
                </c:pt>
                <c:pt idx="310">
                  <c:v>19062914.18</c:v>
                </c:pt>
                <c:pt idx="311">
                  <c:v>40792680.099999994</c:v>
                </c:pt>
                <c:pt idx="312">
                  <c:v>26828998.920000002</c:v>
                </c:pt>
                <c:pt idx="313">
                  <c:v>45817928.120000005</c:v>
                </c:pt>
                <c:pt idx="314">
                  <c:v>23807457.18</c:v>
                </c:pt>
                <c:pt idx="315">
                  <c:v>29737049.469999999</c:v>
                </c:pt>
                <c:pt idx="316">
                  <c:v>24179202.199999999</c:v>
                </c:pt>
                <c:pt idx="317">
                  <c:v>21440889.310000002</c:v>
                </c:pt>
                <c:pt idx="318">
                  <c:v>24589997.210000001</c:v>
                </c:pt>
                <c:pt idx="319">
                  <c:v>28752370.059999999</c:v>
                </c:pt>
                <c:pt idx="320">
                  <c:v>28291396.75</c:v>
                </c:pt>
                <c:pt idx="321">
                  <c:v>24724737.799999997</c:v>
                </c:pt>
                <c:pt idx="322">
                  <c:v>33533979.119999997</c:v>
                </c:pt>
                <c:pt idx="323">
                  <c:v>20490041.5</c:v>
                </c:pt>
                <c:pt idx="324">
                  <c:v>18613547.460000001</c:v>
                </c:pt>
                <c:pt idx="325">
                  <c:v>19577864.66</c:v>
                </c:pt>
                <c:pt idx="326">
                  <c:v>25110621.699999999</c:v>
                </c:pt>
                <c:pt idx="327">
                  <c:v>21828143.66</c:v>
                </c:pt>
                <c:pt idx="328">
                  <c:v>24481092.740000002</c:v>
                </c:pt>
                <c:pt idx="329">
                  <c:v>22338728.039999999</c:v>
                </c:pt>
                <c:pt idx="330">
                  <c:v>22406694.140000001</c:v>
                </c:pt>
                <c:pt idx="331">
                  <c:v>14006602.85</c:v>
                </c:pt>
                <c:pt idx="332">
                  <c:v>29407444.699999999</c:v>
                </c:pt>
                <c:pt idx="333">
                  <c:v>37223573.210000001</c:v>
                </c:pt>
                <c:pt idx="334">
                  <c:v>32809068.289999999</c:v>
                </c:pt>
                <c:pt idx="335">
                  <c:v>24429843.450000003</c:v>
                </c:pt>
                <c:pt idx="336">
                  <c:v>37458178.400000006</c:v>
                </c:pt>
                <c:pt idx="337">
                  <c:v>25163489.509999998</c:v>
                </c:pt>
                <c:pt idx="338">
                  <c:v>28350975.800000001</c:v>
                </c:pt>
                <c:pt idx="339">
                  <c:v>29768498.640000001</c:v>
                </c:pt>
                <c:pt idx="340">
                  <c:v>34603514.350000001</c:v>
                </c:pt>
                <c:pt idx="341">
                  <c:v>25023235.509999998</c:v>
                </c:pt>
                <c:pt idx="342">
                  <c:v>27003171.799999997</c:v>
                </c:pt>
                <c:pt idx="343">
                  <c:v>22101931.699999999</c:v>
                </c:pt>
                <c:pt idx="344">
                  <c:v>24398652.52</c:v>
                </c:pt>
                <c:pt idx="345">
                  <c:v>27549678.300000001</c:v>
                </c:pt>
                <c:pt idx="346">
                  <c:v>32089079.539999999</c:v>
                </c:pt>
                <c:pt idx="347">
                  <c:v>30212175.939999998</c:v>
                </c:pt>
                <c:pt idx="348">
                  <c:v>19441480.699999999</c:v>
                </c:pt>
                <c:pt idx="349">
                  <c:v>26410961.530000001</c:v>
                </c:pt>
                <c:pt idx="350">
                  <c:v>32717777.170000002</c:v>
                </c:pt>
                <c:pt idx="351">
                  <c:v>20492488.509999998</c:v>
                </c:pt>
                <c:pt idx="352">
                  <c:v>21811972.939999998</c:v>
                </c:pt>
                <c:pt idx="353">
                  <c:v>31992754.550000001</c:v>
                </c:pt>
                <c:pt idx="354">
                  <c:v>34430074.620000005</c:v>
                </c:pt>
                <c:pt idx="355">
                  <c:v>26058641.460000001</c:v>
                </c:pt>
                <c:pt idx="356">
                  <c:v>28850528.43</c:v>
                </c:pt>
                <c:pt idx="357">
                  <c:v>28132564.57</c:v>
                </c:pt>
                <c:pt idx="358">
                  <c:v>29893664.799999997</c:v>
                </c:pt>
                <c:pt idx="359">
                  <c:v>30877148.600000001</c:v>
                </c:pt>
                <c:pt idx="360">
                  <c:v>32352026.800000001</c:v>
                </c:pt>
                <c:pt idx="361">
                  <c:v>46951086.609999999</c:v>
                </c:pt>
                <c:pt idx="362">
                  <c:v>13757956.501</c:v>
                </c:pt>
                <c:pt idx="363">
                  <c:v>27739145.794</c:v>
                </c:pt>
                <c:pt idx="364">
                  <c:v>27933035.852000002</c:v>
                </c:pt>
                <c:pt idx="365">
                  <c:v>34266121.623000003</c:v>
                </c:pt>
                <c:pt idx="366">
                  <c:v>27734452.384999998</c:v>
                </c:pt>
                <c:pt idx="367">
                  <c:v>39671775.950000003</c:v>
                </c:pt>
                <c:pt idx="368">
                  <c:v>25582676.190000001</c:v>
                </c:pt>
                <c:pt idx="369">
                  <c:v>12265291.762</c:v>
                </c:pt>
                <c:pt idx="370">
                  <c:v>22677378.697999999</c:v>
                </c:pt>
                <c:pt idx="371">
                  <c:v>32910337.745999999</c:v>
                </c:pt>
                <c:pt idx="372">
                  <c:v>22069304.788000003</c:v>
                </c:pt>
                <c:pt idx="373">
                  <c:v>19632606.138999999</c:v>
                </c:pt>
                <c:pt idx="374">
                  <c:v>27124331.026000001</c:v>
                </c:pt>
                <c:pt idx="375">
                  <c:v>28944759.641999997</c:v>
                </c:pt>
                <c:pt idx="376">
                  <c:v>18186446.68</c:v>
                </c:pt>
                <c:pt idx="377">
                  <c:v>18459842.539999999</c:v>
                </c:pt>
                <c:pt idx="378">
                  <c:v>25854880.839999996</c:v>
                </c:pt>
                <c:pt idx="379">
                  <c:v>15402054.419999998</c:v>
                </c:pt>
                <c:pt idx="380">
                  <c:v>15013033.91</c:v>
                </c:pt>
                <c:pt idx="381">
                  <c:v>28572417.73</c:v>
                </c:pt>
                <c:pt idx="382">
                  <c:v>22429802.670000002</c:v>
                </c:pt>
                <c:pt idx="383">
                  <c:v>13375053.699999999</c:v>
                </c:pt>
                <c:pt idx="384">
                  <c:v>16445093.950000001</c:v>
                </c:pt>
                <c:pt idx="385">
                  <c:v>23336275.640000001</c:v>
                </c:pt>
                <c:pt idx="386">
                  <c:v>20157480.420000002</c:v>
                </c:pt>
                <c:pt idx="387">
                  <c:v>14111215.899999999</c:v>
                </c:pt>
                <c:pt idx="388">
                  <c:v>25918674.700000003</c:v>
                </c:pt>
                <c:pt idx="389">
                  <c:v>23081616.380000003</c:v>
                </c:pt>
                <c:pt idx="390">
                  <c:v>15546244.91</c:v>
                </c:pt>
                <c:pt idx="391">
                  <c:v>18564040.34</c:v>
                </c:pt>
                <c:pt idx="392">
                  <c:v>19118545.196999997</c:v>
                </c:pt>
                <c:pt idx="393">
                  <c:v>22365425.218999997</c:v>
                </c:pt>
                <c:pt idx="394">
                  <c:v>18677375.004000001</c:v>
                </c:pt>
                <c:pt idx="395">
                  <c:v>27380168.550999999</c:v>
                </c:pt>
                <c:pt idx="396">
                  <c:v>21755827.284000002</c:v>
                </c:pt>
                <c:pt idx="397">
                  <c:v>20224572.739</c:v>
                </c:pt>
                <c:pt idx="398">
                  <c:v>17583808.350000001</c:v>
                </c:pt>
                <c:pt idx="399">
                  <c:v>22690909.487</c:v>
                </c:pt>
                <c:pt idx="400">
                  <c:v>28213640.840999998</c:v>
                </c:pt>
                <c:pt idx="401">
                  <c:v>19937819.343000002</c:v>
                </c:pt>
                <c:pt idx="402">
                  <c:v>25917316.550000001</c:v>
                </c:pt>
                <c:pt idx="403">
                  <c:v>27795662.567000002</c:v>
                </c:pt>
                <c:pt idx="404">
                  <c:v>23378027.206</c:v>
                </c:pt>
                <c:pt idx="405">
                  <c:v>21519673.234999999</c:v>
                </c:pt>
                <c:pt idx="406">
                  <c:v>22408354.072999999</c:v>
                </c:pt>
                <c:pt idx="407">
                  <c:v>17052002.427999999</c:v>
                </c:pt>
                <c:pt idx="408">
                  <c:v>12731101.995999999</c:v>
                </c:pt>
                <c:pt idx="409">
                  <c:v>13097692.971999999</c:v>
                </c:pt>
                <c:pt idx="410">
                  <c:v>27520824.166999999</c:v>
                </c:pt>
                <c:pt idx="411">
                  <c:v>23777041.193000004</c:v>
                </c:pt>
                <c:pt idx="412">
                  <c:v>23071882.116</c:v>
                </c:pt>
                <c:pt idx="413">
                  <c:v>22130365.228</c:v>
                </c:pt>
                <c:pt idx="414">
                  <c:v>23088660.130000003</c:v>
                </c:pt>
                <c:pt idx="415">
                  <c:v>15276298.933</c:v>
                </c:pt>
                <c:pt idx="416">
                  <c:v>23518563.940000001</c:v>
                </c:pt>
                <c:pt idx="417">
                  <c:v>21911391.631999999</c:v>
                </c:pt>
                <c:pt idx="418">
                  <c:v>18326604.188999999</c:v>
                </c:pt>
                <c:pt idx="419">
                  <c:v>16746939.098999999</c:v>
                </c:pt>
                <c:pt idx="420">
                  <c:v>22984101.505000003</c:v>
                </c:pt>
                <c:pt idx="421">
                  <c:v>19582912.333999999</c:v>
                </c:pt>
                <c:pt idx="422">
                  <c:v>15495557.245999999</c:v>
                </c:pt>
                <c:pt idx="423">
                  <c:v>26826595.824000001</c:v>
                </c:pt>
                <c:pt idx="424">
                  <c:v>20945114.489</c:v>
                </c:pt>
                <c:pt idx="425">
                  <c:v>15594425.560999999</c:v>
                </c:pt>
                <c:pt idx="426">
                  <c:v>23253231.068999998</c:v>
                </c:pt>
                <c:pt idx="427">
                  <c:v>27862426.296</c:v>
                </c:pt>
                <c:pt idx="428">
                  <c:v>18622833.734999999</c:v>
                </c:pt>
                <c:pt idx="429">
                  <c:v>16247030.691</c:v>
                </c:pt>
                <c:pt idx="430">
                  <c:v>26783218.899999999</c:v>
                </c:pt>
                <c:pt idx="431">
                  <c:v>27673427.520999998</c:v>
                </c:pt>
                <c:pt idx="432">
                  <c:v>17021802.501000002</c:v>
                </c:pt>
                <c:pt idx="433">
                  <c:v>25183984.377999999</c:v>
                </c:pt>
                <c:pt idx="434">
                  <c:v>19613663.535</c:v>
                </c:pt>
                <c:pt idx="435">
                  <c:v>20865242.758000001</c:v>
                </c:pt>
                <c:pt idx="436">
                  <c:v>16934063.807999998</c:v>
                </c:pt>
                <c:pt idx="437">
                  <c:v>26381548.322999999</c:v>
                </c:pt>
                <c:pt idx="438">
                  <c:v>25708210.405000001</c:v>
                </c:pt>
                <c:pt idx="439">
                  <c:v>19727509.75</c:v>
                </c:pt>
                <c:pt idx="440">
                  <c:v>20210158.91</c:v>
                </c:pt>
                <c:pt idx="441">
                  <c:v>20361586.487</c:v>
                </c:pt>
                <c:pt idx="442">
                  <c:v>20998236.963</c:v>
                </c:pt>
                <c:pt idx="443">
                  <c:v>23080101.02</c:v>
                </c:pt>
                <c:pt idx="444">
                  <c:v>28400533.439999998</c:v>
                </c:pt>
                <c:pt idx="445">
                  <c:v>19043642.899999999</c:v>
                </c:pt>
                <c:pt idx="446">
                  <c:v>22003157.710000001</c:v>
                </c:pt>
                <c:pt idx="447">
                  <c:v>19278234.309999999</c:v>
                </c:pt>
                <c:pt idx="448">
                  <c:v>26369102.280000001</c:v>
                </c:pt>
                <c:pt idx="449">
                  <c:v>24408491.300000001</c:v>
                </c:pt>
                <c:pt idx="450">
                  <c:v>15963609.390000001</c:v>
                </c:pt>
                <c:pt idx="451">
                  <c:v>19712669.940000001</c:v>
                </c:pt>
                <c:pt idx="452">
                  <c:v>21370327.300000001</c:v>
                </c:pt>
                <c:pt idx="453">
                  <c:v>28260308.189999998</c:v>
                </c:pt>
                <c:pt idx="454">
                  <c:v>37513162.659999996</c:v>
                </c:pt>
                <c:pt idx="455">
                  <c:v>42107443.729999997</c:v>
                </c:pt>
                <c:pt idx="456">
                  <c:v>45308933.840000004</c:v>
                </c:pt>
                <c:pt idx="457">
                  <c:v>30003970.399999999</c:v>
                </c:pt>
                <c:pt idx="458">
                  <c:v>32802666.700000003</c:v>
                </c:pt>
                <c:pt idx="459">
                  <c:v>38969478.880000003</c:v>
                </c:pt>
                <c:pt idx="460">
                  <c:v>28869043.149999999</c:v>
                </c:pt>
                <c:pt idx="461">
                  <c:v>33751933.350000001</c:v>
                </c:pt>
                <c:pt idx="462">
                  <c:v>29742520.209999997</c:v>
                </c:pt>
                <c:pt idx="463">
                  <c:v>26148940.18</c:v>
                </c:pt>
                <c:pt idx="464">
                  <c:v>25205814.810000002</c:v>
                </c:pt>
                <c:pt idx="465">
                  <c:v>22337462.890000001</c:v>
                </c:pt>
                <c:pt idx="466">
                  <c:v>27604139.710000001</c:v>
                </c:pt>
                <c:pt idx="467">
                  <c:v>29239264.060000002</c:v>
                </c:pt>
                <c:pt idx="468">
                  <c:v>34686731.847000003</c:v>
                </c:pt>
                <c:pt idx="469">
                  <c:v>18929995.149999999</c:v>
                </c:pt>
                <c:pt idx="470">
                  <c:v>27053911.693</c:v>
                </c:pt>
                <c:pt idx="471">
                  <c:v>22988016.737</c:v>
                </c:pt>
                <c:pt idx="472">
                  <c:v>25894431.201000001</c:v>
                </c:pt>
                <c:pt idx="473">
                  <c:v>25663570.603</c:v>
                </c:pt>
                <c:pt idx="474">
                  <c:v>29209176.690000001</c:v>
                </c:pt>
                <c:pt idx="475">
                  <c:v>27926262.843000002</c:v>
                </c:pt>
                <c:pt idx="476">
                  <c:v>31248499.101999998</c:v>
                </c:pt>
                <c:pt idx="477">
                  <c:v>28427816.114</c:v>
                </c:pt>
                <c:pt idx="478">
                  <c:v>11349221.307</c:v>
                </c:pt>
                <c:pt idx="479">
                  <c:v>4661317</c:v>
                </c:pt>
                <c:pt idx="480">
                  <c:v>28111558.949000001</c:v>
                </c:pt>
                <c:pt idx="481">
                  <c:v>23960725.147999998</c:v>
                </c:pt>
                <c:pt idx="482">
                  <c:v>23577473.734999999</c:v>
                </c:pt>
                <c:pt idx="483">
                  <c:v>29501157.822000001</c:v>
                </c:pt>
                <c:pt idx="484">
                  <c:v>31426480.471999999</c:v>
                </c:pt>
                <c:pt idx="485">
                  <c:v>27532261.730999999</c:v>
                </c:pt>
                <c:pt idx="486">
                  <c:v>33002716.673</c:v>
                </c:pt>
                <c:pt idx="487">
                  <c:v>36691963.987000003</c:v>
                </c:pt>
                <c:pt idx="488">
                  <c:v>37529114.831</c:v>
                </c:pt>
                <c:pt idx="489">
                  <c:v>26250796.057000004</c:v>
                </c:pt>
                <c:pt idx="490">
                  <c:v>24616912.745000001</c:v>
                </c:pt>
                <c:pt idx="491">
                  <c:v>24841726.912</c:v>
                </c:pt>
                <c:pt idx="492">
                  <c:v>17606406.773000002</c:v>
                </c:pt>
                <c:pt idx="493">
                  <c:v>29369955.859999999</c:v>
                </c:pt>
                <c:pt idx="494">
                  <c:v>30662679.809</c:v>
                </c:pt>
                <c:pt idx="495">
                  <c:v>32089949.049000002</c:v>
                </c:pt>
                <c:pt idx="496">
                  <c:v>36887965.489</c:v>
                </c:pt>
                <c:pt idx="497">
                  <c:v>25741435.524</c:v>
                </c:pt>
                <c:pt idx="498">
                  <c:v>32153289.067999996</c:v>
                </c:pt>
                <c:pt idx="499">
                  <c:v>18712702.73</c:v>
                </c:pt>
                <c:pt idx="500">
                  <c:v>27443765.306000002</c:v>
                </c:pt>
                <c:pt idx="501">
                  <c:v>31040132.986000001</c:v>
                </c:pt>
                <c:pt idx="502">
                  <c:v>22293964.379999999</c:v>
                </c:pt>
                <c:pt idx="503">
                  <c:v>30751246.596999995</c:v>
                </c:pt>
                <c:pt idx="504">
                  <c:v>34839315.126000002</c:v>
                </c:pt>
                <c:pt idx="505">
                  <c:v>32771893.067000002</c:v>
                </c:pt>
                <c:pt idx="506">
                  <c:v>23649699.585000001</c:v>
                </c:pt>
                <c:pt idx="507">
                  <c:v>38707297.984999999</c:v>
                </c:pt>
                <c:pt idx="508">
                  <c:v>31340378.093000002</c:v>
                </c:pt>
                <c:pt idx="509">
                  <c:v>50441841.829999998</c:v>
                </c:pt>
                <c:pt idx="510">
                  <c:v>35585333.156000003</c:v>
                </c:pt>
                <c:pt idx="511">
                  <c:v>58119724.178000003</c:v>
                </c:pt>
                <c:pt idx="512">
                  <c:v>44392566.659999996</c:v>
                </c:pt>
                <c:pt idx="513">
                  <c:v>26712606.434</c:v>
                </c:pt>
                <c:pt idx="514">
                  <c:v>32406937.630000003</c:v>
                </c:pt>
                <c:pt idx="515">
                  <c:v>19962197.623999998</c:v>
                </c:pt>
                <c:pt idx="516">
                  <c:v>55670244.109999999</c:v>
                </c:pt>
                <c:pt idx="517">
                  <c:v>39979202.511999995</c:v>
                </c:pt>
                <c:pt idx="518">
                  <c:v>52648156.533</c:v>
                </c:pt>
                <c:pt idx="519">
                  <c:v>43551413.899999999</c:v>
                </c:pt>
                <c:pt idx="520">
                  <c:v>45397485.503000006</c:v>
                </c:pt>
                <c:pt idx="521">
                  <c:v>50331346.568999998</c:v>
                </c:pt>
                <c:pt idx="522">
                  <c:v>42919791.730000004</c:v>
                </c:pt>
                <c:pt idx="523">
                  <c:v>42362839.829999998</c:v>
                </c:pt>
                <c:pt idx="524">
                  <c:v>39981488.539999999</c:v>
                </c:pt>
                <c:pt idx="525">
                  <c:v>37346957.310000002</c:v>
                </c:pt>
                <c:pt idx="526">
                  <c:v>28194170.09</c:v>
                </c:pt>
                <c:pt idx="527">
                  <c:v>23887181.609999999</c:v>
                </c:pt>
                <c:pt idx="528">
                  <c:v>25553327.460000001</c:v>
                </c:pt>
                <c:pt idx="529">
                  <c:v>34873724.829999998</c:v>
                </c:pt>
                <c:pt idx="530">
                  <c:v>20413335.5</c:v>
                </c:pt>
                <c:pt idx="531">
                  <c:v>40122223.840000004</c:v>
                </c:pt>
                <c:pt idx="532">
                  <c:v>36970654.519999996</c:v>
                </c:pt>
                <c:pt idx="533">
                  <c:v>30212802.399999999</c:v>
                </c:pt>
                <c:pt idx="534">
                  <c:v>21619960.799999997</c:v>
                </c:pt>
                <c:pt idx="535">
                  <c:v>34593512.880000003</c:v>
                </c:pt>
                <c:pt idx="536">
                  <c:v>23105308.259999998</c:v>
                </c:pt>
                <c:pt idx="537">
                  <c:v>21634176.66</c:v>
                </c:pt>
                <c:pt idx="538">
                  <c:v>31876515.200000003</c:v>
                </c:pt>
                <c:pt idx="539">
                  <c:v>35191086.579999998</c:v>
                </c:pt>
                <c:pt idx="540">
                  <c:v>31270420.280000001</c:v>
                </c:pt>
                <c:pt idx="541">
                  <c:v>31624925.399999999</c:v>
                </c:pt>
                <c:pt idx="542">
                  <c:v>36127362.799999997</c:v>
                </c:pt>
                <c:pt idx="543">
                  <c:v>32819597.311999999</c:v>
                </c:pt>
                <c:pt idx="544">
                  <c:v>34636934.046000004</c:v>
                </c:pt>
                <c:pt idx="545">
                  <c:v>53292696.965000004</c:v>
                </c:pt>
                <c:pt idx="546">
                  <c:v>51589477.417999998</c:v>
                </c:pt>
                <c:pt idx="547">
                  <c:v>33370513.174999997</c:v>
                </c:pt>
                <c:pt idx="548">
                  <c:v>28443799.344000001</c:v>
                </c:pt>
                <c:pt idx="549">
                  <c:v>49927339.513999999</c:v>
                </c:pt>
                <c:pt idx="550">
                  <c:v>24468531.400000002</c:v>
                </c:pt>
                <c:pt idx="551">
                  <c:v>42216832.427999996</c:v>
                </c:pt>
                <c:pt idx="552">
                  <c:v>42014443.960000001</c:v>
                </c:pt>
                <c:pt idx="553">
                  <c:v>42054392.93</c:v>
                </c:pt>
                <c:pt idx="554">
                  <c:v>32259209.199999999</c:v>
                </c:pt>
                <c:pt idx="555">
                  <c:v>21660338.130000003</c:v>
                </c:pt>
                <c:pt idx="556">
                  <c:v>41511098.240000002</c:v>
                </c:pt>
                <c:pt idx="557">
                  <c:v>40473978.969999999</c:v>
                </c:pt>
                <c:pt idx="558">
                  <c:v>24699432.618000001</c:v>
                </c:pt>
                <c:pt idx="559">
                  <c:v>37822310.015000001</c:v>
                </c:pt>
                <c:pt idx="560">
                  <c:v>34518240.024999999</c:v>
                </c:pt>
                <c:pt idx="561">
                  <c:v>27534521.030000001</c:v>
                </c:pt>
                <c:pt idx="562">
                  <c:v>31577961.274999999</c:v>
                </c:pt>
                <c:pt idx="563">
                  <c:v>30782330.365000002</c:v>
                </c:pt>
                <c:pt idx="564">
                  <c:v>53905004.914999999</c:v>
                </c:pt>
                <c:pt idx="565">
                  <c:v>47036437.435000002</c:v>
                </c:pt>
                <c:pt idx="566">
                  <c:v>19948907.920000002</c:v>
                </c:pt>
                <c:pt idx="567">
                  <c:v>31156825.505000003</c:v>
                </c:pt>
                <c:pt idx="568">
                  <c:v>38601090.674999997</c:v>
                </c:pt>
                <c:pt idx="569">
                  <c:v>35871584.255000003</c:v>
                </c:pt>
                <c:pt idx="570">
                  <c:v>41192217.695</c:v>
                </c:pt>
                <c:pt idx="571">
                  <c:v>34406794.164999999</c:v>
                </c:pt>
                <c:pt idx="572">
                  <c:v>28652390.68</c:v>
                </c:pt>
                <c:pt idx="573">
                  <c:v>28592100.57</c:v>
                </c:pt>
                <c:pt idx="574">
                  <c:v>48165442.375</c:v>
                </c:pt>
                <c:pt idx="575">
                  <c:v>26506215.265000001</c:v>
                </c:pt>
                <c:pt idx="576">
                  <c:v>52182635.890000001</c:v>
                </c:pt>
                <c:pt idx="577">
                  <c:v>30394809.050000001</c:v>
                </c:pt>
                <c:pt idx="578">
                  <c:v>36776140.524999999</c:v>
                </c:pt>
                <c:pt idx="579">
                  <c:v>43557730.625</c:v>
                </c:pt>
                <c:pt idx="580">
                  <c:v>58834565.090000004</c:v>
                </c:pt>
                <c:pt idx="581">
                  <c:v>34412568.899999999</c:v>
                </c:pt>
                <c:pt idx="582">
                  <c:v>33316557.375</c:v>
                </c:pt>
                <c:pt idx="583">
                  <c:v>30134998.560999997</c:v>
                </c:pt>
                <c:pt idx="584">
                  <c:v>37261025.539999999</c:v>
                </c:pt>
                <c:pt idx="585">
                  <c:v>26345407.521000005</c:v>
                </c:pt>
                <c:pt idx="586">
                  <c:v>30779348.688999999</c:v>
                </c:pt>
                <c:pt idx="587">
                  <c:v>32956029.155000001</c:v>
                </c:pt>
                <c:pt idx="588">
                  <c:v>27646607.850000001</c:v>
                </c:pt>
                <c:pt idx="589">
                  <c:v>26531030.239999998</c:v>
                </c:pt>
                <c:pt idx="590">
                  <c:v>22415401.379999999</c:v>
                </c:pt>
                <c:pt idx="591">
                  <c:v>35515647.925999999</c:v>
                </c:pt>
                <c:pt idx="592">
                  <c:v>40173202.045000002</c:v>
                </c:pt>
                <c:pt idx="593">
                  <c:v>30274013.255999997</c:v>
                </c:pt>
                <c:pt idx="594">
                  <c:v>34746609.784999996</c:v>
                </c:pt>
                <c:pt idx="595">
                  <c:v>31290753.019000001</c:v>
                </c:pt>
                <c:pt idx="596">
                  <c:v>24633250.130000003</c:v>
                </c:pt>
                <c:pt idx="597">
                  <c:v>30256626.101</c:v>
                </c:pt>
                <c:pt idx="598">
                  <c:v>60737918.527999997</c:v>
                </c:pt>
                <c:pt idx="599">
                  <c:v>29781475.164999999</c:v>
                </c:pt>
                <c:pt idx="600">
                  <c:v>44045594.199000001</c:v>
                </c:pt>
                <c:pt idx="601">
                  <c:v>28043053.759000003</c:v>
                </c:pt>
                <c:pt idx="602">
                  <c:v>32700746.059</c:v>
                </c:pt>
                <c:pt idx="603">
                  <c:v>27531505.715</c:v>
                </c:pt>
                <c:pt idx="604">
                  <c:v>17196221.821000002</c:v>
                </c:pt>
                <c:pt idx="605">
                  <c:v>35654347.306000002</c:v>
                </c:pt>
                <c:pt idx="606">
                  <c:v>28996357.344000001</c:v>
                </c:pt>
                <c:pt idx="607">
                  <c:v>28344624.344999999</c:v>
                </c:pt>
                <c:pt idx="608">
                  <c:v>29121098.535999998</c:v>
                </c:pt>
                <c:pt idx="609">
                  <c:v>44728466.169</c:v>
                </c:pt>
                <c:pt idx="610">
                  <c:v>27975664.903000005</c:v>
                </c:pt>
                <c:pt idx="611">
                  <c:v>22505653.968000002</c:v>
                </c:pt>
                <c:pt idx="612">
                  <c:v>34134171.564999998</c:v>
                </c:pt>
                <c:pt idx="613">
                  <c:v>26325685.993000001</c:v>
                </c:pt>
                <c:pt idx="614">
                  <c:v>39148846.318000004</c:v>
                </c:pt>
                <c:pt idx="615">
                  <c:v>28709692.684999999</c:v>
                </c:pt>
                <c:pt idx="616">
                  <c:v>30970389.777999997</c:v>
                </c:pt>
                <c:pt idx="617">
                  <c:v>35785954.666000001</c:v>
                </c:pt>
                <c:pt idx="618">
                  <c:v>20209286.453000002</c:v>
                </c:pt>
                <c:pt idx="619">
                  <c:v>32841582.776000001</c:v>
                </c:pt>
                <c:pt idx="620">
                  <c:v>44336508.913000003</c:v>
                </c:pt>
                <c:pt idx="621">
                  <c:v>28726187.840000004</c:v>
                </c:pt>
                <c:pt idx="622">
                  <c:v>34812375.887000002</c:v>
                </c:pt>
                <c:pt idx="623">
                  <c:v>40866088.229000002</c:v>
                </c:pt>
                <c:pt idx="624">
                  <c:v>36073583.435000002</c:v>
                </c:pt>
                <c:pt idx="625">
                  <c:v>24548079.963</c:v>
                </c:pt>
                <c:pt idx="626">
                  <c:v>43328060.103</c:v>
                </c:pt>
                <c:pt idx="627">
                  <c:v>28814052.903999999</c:v>
                </c:pt>
                <c:pt idx="628">
                  <c:v>38455809.535999998</c:v>
                </c:pt>
                <c:pt idx="629">
                  <c:v>37346229.388999999</c:v>
                </c:pt>
                <c:pt idx="630">
                  <c:v>28308789.513999999</c:v>
                </c:pt>
                <c:pt idx="631">
                  <c:v>28538415.094000001</c:v>
                </c:pt>
                <c:pt idx="632">
                  <c:v>20699360.685000002</c:v>
                </c:pt>
                <c:pt idx="633">
                  <c:v>39004433.234999999</c:v>
                </c:pt>
                <c:pt idx="634">
                  <c:v>31607117.411000002</c:v>
                </c:pt>
                <c:pt idx="635">
                  <c:v>28850937.422000002</c:v>
                </c:pt>
                <c:pt idx="636">
                  <c:v>31757683.783</c:v>
                </c:pt>
                <c:pt idx="637">
                  <c:v>46916124.941</c:v>
                </c:pt>
                <c:pt idx="638">
                  <c:v>29654848.609000001</c:v>
                </c:pt>
                <c:pt idx="639">
                  <c:v>25163589.425000001</c:v>
                </c:pt>
                <c:pt idx="640">
                  <c:v>54886930.93</c:v>
                </c:pt>
                <c:pt idx="641">
                  <c:v>40877535.932999998</c:v>
                </c:pt>
                <c:pt idx="642">
                  <c:v>43928764.105999999</c:v>
                </c:pt>
                <c:pt idx="643">
                  <c:v>38312617.710000001</c:v>
                </c:pt>
                <c:pt idx="644">
                  <c:v>30979882.466000002</c:v>
                </c:pt>
                <c:pt idx="645">
                  <c:v>29020247.016000003</c:v>
                </c:pt>
                <c:pt idx="646">
                  <c:v>17959833.804000001</c:v>
                </c:pt>
                <c:pt idx="647">
                  <c:v>28468352.629000001</c:v>
                </c:pt>
                <c:pt idx="648">
                  <c:v>23127906.870999999</c:v>
                </c:pt>
                <c:pt idx="649">
                  <c:v>37214953.589000002</c:v>
                </c:pt>
                <c:pt idx="650">
                  <c:v>29522254.670000002</c:v>
                </c:pt>
                <c:pt idx="651">
                  <c:v>41522231.957000002</c:v>
                </c:pt>
                <c:pt idx="652">
                  <c:v>31134219.881999999</c:v>
                </c:pt>
                <c:pt idx="653">
                  <c:v>27425704.491</c:v>
                </c:pt>
                <c:pt idx="654">
                  <c:v>29575914.246999998</c:v>
                </c:pt>
                <c:pt idx="655">
                  <c:v>32116225.634000003</c:v>
                </c:pt>
                <c:pt idx="656">
                  <c:v>32360874.274</c:v>
                </c:pt>
                <c:pt idx="657">
                  <c:v>33248236.377999999</c:v>
                </c:pt>
                <c:pt idx="658">
                  <c:v>28897303.076000001</c:v>
                </c:pt>
                <c:pt idx="659">
                  <c:v>27892828.041999996</c:v>
                </c:pt>
                <c:pt idx="660">
                  <c:v>21755741.41</c:v>
                </c:pt>
                <c:pt idx="661">
                  <c:v>31666636.971000001</c:v>
                </c:pt>
                <c:pt idx="662">
                  <c:v>29162915.908</c:v>
                </c:pt>
                <c:pt idx="663">
                  <c:v>26906209.419</c:v>
                </c:pt>
                <c:pt idx="664">
                  <c:v>27404675.557</c:v>
                </c:pt>
                <c:pt idx="665">
                  <c:v>34330775.171000004</c:v>
                </c:pt>
                <c:pt idx="666">
                  <c:v>24901833.475000001</c:v>
                </c:pt>
                <c:pt idx="667">
                  <c:v>40143695.877999999</c:v>
                </c:pt>
                <c:pt idx="668">
                  <c:v>50576891.460000001</c:v>
                </c:pt>
                <c:pt idx="669">
                  <c:v>27030311.046000004</c:v>
                </c:pt>
                <c:pt idx="670">
                  <c:v>26653254.129000001</c:v>
                </c:pt>
                <c:pt idx="671">
                  <c:v>42931019.098999999</c:v>
                </c:pt>
                <c:pt idx="672">
                  <c:v>33146522.906999998</c:v>
                </c:pt>
                <c:pt idx="673">
                  <c:v>34235255.339000002</c:v>
                </c:pt>
                <c:pt idx="674">
                  <c:v>25775960.811000001</c:v>
                </c:pt>
                <c:pt idx="675">
                  <c:v>38172575.427000001</c:v>
                </c:pt>
                <c:pt idx="676">
                  <c:v>33385403.998</c:v>
                </c:pt>
                <c:pt idx="677">
                  <c:v>33504850.174999997</c:v>
                </c:pt>
                <c:pt idx="678">
                  <c:v>41189703.880999997</c:v>
                </c:pt>
                <c:pt idx="679">
                  <c:v>29269627.343999997</c:v>
                </c:pt>
                <c:pt idx="680">
                  <c:v>30356989.954999998</c:v>
                </c:pt>
                <c:pt idx="681">
                  <c:v>26847469.484000001</c:v>
                </c:pt>
                <c:pt idx="682">
                  <c:v>44851948.935999997</c:v>
                </c:pt>
                <c:pt idx="683">
                  <c:v>47592903.544</c:v>
                </c:pt>
                <c:pt idx="684">
                  <c:v>31664415.638</c:v>
                </c:pt>
                <c:pt idx="685">
                  <c:v>31168095.626000002</c:v>
                </c:pt>
                <c:pt idx="686">
                  <c:v>45919194.898000002</c:v>
                </c:pt>
                <c:pt idx="687">
                  <c:v>50820425.872999996</c:v>
                </c:pt>
                <c:pt idx="688">
                  <c:v>26479623.731000002</c:v>
                </c:pt>
                <c:pt idx="689">
                  <c:v>45125832.342</c:v>
                </c:pt>
                <c:pt idx="690">
                  <c:v>33672107.984999999</c:v>
                </c:pt>
                <c:pt idx="691">
                  <c:v>29542525.166999999</c:v>
                </c:pt>
                <c:pt idx="692">
                  <c:v>26070450.109999999</c:v>
                </c:pt>
                <c:pt idx="693">
                  <c:v>24925942.469999999</c:v>
                </c:pt>
                <c:pt idx="694">
                  <c:v>30691087.329999998</c:v>
                </c:pt>
                <c:pt idx="695">
                  <c:v>23567693.256999999</c:v>
                </c:pt>
                <c:pt idx="696">
                  <c:v>27231007.398000002</c:v>
                </c:pt>
                <c:pt idx="697">
                  <c:v>42046783.971000001</c:v>
                </c:pt>
                <c:pt idx="698">
                  <c:v>30887924.063000001</c:v>
                </c:pt>
                <c:pt idx="699">
                  <c:v>41002262.975000001</c:v>
                </c:pt>
                <c:pt idx="700">
                  <c:v>30079403.571999997</c:v>
                </c:pt>
                <c:pt idx="701">
                  <c:v>44343378.740999997</c:v>
                </c:pt>
                <c:pt idx="702">
                  <c:v>29323162.495999999</c:v>
                </c:pt>
                <c:pt idx="703">
                  <c:v>23372573.858999997</c:v>
                </c:pt>
                <c:pt idx="704">
                  <c:v>30897048.328000002</c:v>
                </c:pt>
                <c:pt idx="705">
                  <c:v>35941684.019999996</c:v>
                </c:pt>
                <c:pt idx="706">
                  <c:v>28588722.633000001</c:v>
                </c:pt>
                <c:pt idx="707">
                  <c:v>29098333.478</c:v>
                </c:pt>
                <c:pt idx="708">
                  <c:v>32059942.609000001</c:v>
                </c:pt>
                <c:pt idx="709">
                  <c:v>22010734.234999999</c:v>
                </c:pt>
                <c:pt idx="710">
                  <c:v>38248085.193999998</c:v>
                </c:pt>
                <c:pt idx="711">
                  <c:v>32766900.443</c:v>
                </c:pt>
                <c:pt idx="712">
                  <c:v>41198619.5</c:v>
                </c:pt>
                <c:pt idx="713">
                  <c:v>25073430.211000003</c:v>
                </c:pt>
                <c:pt idx="714">
                  <c:v>66593929.07</c:v>
                </c:pt>
                <c:pt idx="715">
                  <c:v>38267946.539999999</c:v>
                </c:pt>
                <c:pt idx="716">
                  <c:v>22847263.609000001</c:v>
                </c:pt>
                <c:pt idx="717">
                  <c:v>22758829.104000002</c:v>
                </c:pt>
                <c:pt idx="718">
                  <c:v>35196054.223999999</c:v>
                </c:pt>
                <c:pt idx="719">
                  <c:v>34695624.338</c:v>
                </c:pt>
                <c:pt idx="720">
                  <c:v>29514393.517999999</c:v>
                </c:pt>
                <c:pt idx="721">
                  <c:v>38702901.935999997</c:v>
                </c:pt>
                <c:pt idx="722">
                  <c:v>38227107.482999995</c:v>
                </c:pt>
                <c:pt idx="723">
                  <c:v>29261902.081999999</c:v>
                </c:pt>
                <c:pt idx="724">
                  <c:v>17267592.578999996</c:v>
                </c:pt>
                <c:pt idx="725">
                  <c:v>50537434.754999995</c:v>
                </c:pt>
                <c:pt idx="726">
                  <c:v>45541868.392999999</c:v>
                </c:pt>
                <c:pt idx="727">
                  <c:v>18681067.354000002</c:v>
                </c:pt>
                <c:pt idx="728">
                  <c:v>45291251.443000004</c:v>
                </c:pt>
                <c:pt idx="729">
                  <c:v>33378207.800999999</c:v>
                </c:pt>
                <c:pt idx="730">
                  <c:v>43487403.995000005</c:v>
                </c:pt>
                <c:pt idx="731">
                  <c:v>26356204.177000001</c:v>
                </c:pt>
                <c:pt idx="732">
                  <c:v>22601301.291000001</c:v>
                </c:pt>
                <c:pt idx="733">
                  <c:v>67356470.63499999</c:v>
                </c:pt>
                <c:pt idx="734">
                  <c:v>17443183.854000002</c:v>
                </c:pt>
                <c:pt idx="735">
                  <c:v>37150311.387999997</c:v>
                </c:pt>
                <c:pt idx="736">
                  <c:v>33375316.151000001</c:v>
                </c:pt>
                <c:pt idx="737">
                  <c:v>41330742.016000003</c:v>
                </c:pt>
                <c:pt idx="738">
                  <c:v>38148372.548000008</c:v>
                </c:pt>
                <c:pt idx="739">
                  <c:v>33415742.504000001</c:v>
                </c:pt>
                <c:pt idx="740">
                  <c:v>39304073.447999999</c:v>
                </c:pt>
                <c:pt idx="741">
                  <c:v>39818979.344999999</c:v>
                </c:pt>
                <c:pt idx="742">
                  <c:v>40834443.383000001</c:v>
                </c:pt>
                <c:pt idx="743">
                  <c:v>26647053.022</c:v>
                </c:pt>
                <c:pt idx="744">
                  <c:v>20341403.207000002</c:v>
                </c:pt>
                <c:pt idx="745">
                  <c:v>34046502.516000003</c:v>
                </c:pt>
                <c:pt idx="746">
                  <c:v>38654881.923500001</c:v>
                </c:pt>
                <c:pt idx="747">
                  <c:v>37338107.509000003</c:v>
                </c:pt>
                <c:pt idx="748">
                  <c:v>16703778.469000001</c:v>
                </c:pt>
                <c:pt idx="749">
                  <c:v>16129860.978</c:v>
                </c:pt>
                <c:pt idx="750">
                  <c:v>26778695.144000001</c:v>
                </c:pt>
                <c:pt idx="751">
                  <c:v>27817541.357999999</c:v>
                </c:pt>
                <c:pt idx="752">
                  <c:v>46964629.454999998</c:v>
                </c:pt>
                <c:pt idx="753">
                  <c:v>52533433.439999998</c:v>
                </c:pt>
                <c:pt idx="754">
                  <c:v>32179793.159000002</c:v>
                </c:pt>
                <c:pt idx="755">
                  <c:v>27412157.493000001</c:v>
                </c:pt>
                <c:pt idx="756">
                  <c:v>36415354.435000002</c:v>
                </c:pt>
                <c:pt idx="757">
                  <c:v>27087479.351999998</c:v>
                </c:pt>
                <c:pt idx="758">
                  <c:v>26056318.82</c:v>
                </c:pt>
                <c:pt idx="759">
                  <c:v>44907031.088</c:v>
                </c:pt>
                <c:pt idx="760">
                  <c:v>32427162.516000003</c:v>
                </c:pt>
                <c:pt idx="761">
                  <c:v>58006647.068999998</c:v>
                </c:pt>
                <c:pt idx="762">
                  <c:v>30154680.903000001</c:v>
                </c:pt>
                <c:pt idx="763">
                  <c:v>30930252.236000001</c:v>
                </c:pt>
                <c:pt idx="764">
                  <c:v>29826017.783</c:v>
                </c:pt>
                <c:pt idx="765">
                  <c:v>30927451.016000003</c:v>
                </c:pt>
                <c:pt idx="766">
                  <c:v>39610485.369000003</c:v>
                </c:pt>
                <c:pt idx="767">
                  <c:v>36773440.759999998</c:v>
                </c:pt>
                <c:pt idx="768">
                  <c:v>48619801.730999999</c:v>
                </c:pt>
                <c:pt idx="769">
                  <c:v>17960047.892999999</c:v>
                </c:pt>
                <c:pt idx="770">
                  <c:v>39811872.097999997</c:v>
                </c:pt>
                <c:pt idx="771">
                  <c:v>46202343.354999997</c:v>
                </c:pt>
                <c:pt idx="772">
                  <c:v>31515433.350000001</c:v>
                </c:pt>
                <c:pt idx="773">
                  <c:v>40323322.501999997</c:v>
                </c:pt>
                <c:pt idx="774">
                  <c:v>44339434.056000002</c:v>
                </c:pt>
                <c:pt idx="775">
                  <c:v>34005772.351999998</c:v>
                </c:pt>
                <c:pt idx="776">
                  <c:v>30197779.951000001</c:v>
                </c:pt>
                <c:pt idx="777">
                  <c:v>33113222.713</c:v>
                </c:pt>
                <c:pt idx="778">
                  <c:v>26951761.199000001</c:v>
                </c:pt>
                <c:pt idx="779">
                  <c:v>21517866.901999995</c:v>
                </c:pt>
                <c:pt idx="780">
                  <c:v>29633939.833000001</c:v>
                </c:pt>
                <c:pt idx="781">
                  <c:v>33971731.439999998</c:v>
                </c:pt>
                <c:pt idx="782">
                  <c:v>27250605.218999997</c:v>
                </c:pt>
                <c:pt idx="783">
                  <c:v>27640042.464000002</c:v>
                </c:pt>
                <c:pt idx="784">
                  <c:v>34715201.950999998</c:v>
                </c:pt>
                <c:pt idx="785">
                  <c:v>20950696.717</c:v>
                </c:pt>
                <c:pt idx="786">
                  <c:v>20639463.272999998</c:v>
                </c:pt>
                <c:pt idx="787">
                  <c:v>34785627.685999997</c:v>
                </c:pt>
                <c:pt idx="788">
                  <c:v>48149687.204000004</c:v>
                </c:pt>
                <c:pt idx="789">
                  <c:v>29142744.012000002</c:v>
                </c:pt>
                <c:pt idx="790">
                  <c:v>48584038.216000006</c:v>
                </c:pt>
                <c:pt idx="791">
                  <c:v>28053427.978</c:v>
                </c:pt>
                <c:pt idx="792">
                  <c:v>47122336.593000002</c:v>
                </c:pt>
                <c:pt idx="793">
                  <c:v>27099483.776000001</c:v>
                </c:pt>
                <c:pt idx="794">
                  <c:v>46427087.602000006</c:v>
                </c:pt>
                <c:pt idx="795">
                  <c:v>38184033.468999997</c:v>
                </c:pt>
                <c:pt idx="796">
                  <c:v>28724361.088</c:v>
                </c:pt>
                <c:pt idx="797">
                  <c:v>21682087.181999996</c:v>
                </c:pt>
                <c:pt idx="798">
                  <c:v>31227387.846999999</c:v>
                </c:pt>
                <c:pt idx="799">
                  <c:v>23417708.817000002</c:v>
                </c:pt>
                <c:pt idx="800">
                  <c:v>23507188.952999998</c:v>
                </c:pt>
                <c:pt idx="801">
                  <c:v>36028281.487999998</c:v>
                </c:pt>
                <c:pt idx="802">
                  <c:v>24904496.497000001</c:v>
                </c:pt>
                <c:pt idx="803">
                  <c:v>34920936.976999998</c:v>
                </c:pt>
                <c:pt idx="804">
                  <c:v>33202543.869000003</c:v>
                </c:pt>
                <c:pt idx="805">
                  <c:v>31840261.159000002</c:v>
                </c:pt>
                <c:pt idx="806">
                  <c:v>35391248.781000003</c:v>
                </c:pt>
                <c:pt idx="807">
                  <c:v>21643887.513</c:v>
                </c:pt>
                <c:pt idx="808">
                  <c:v>36370972.843999997</c:v>
                </c:pt>
                <c:pt idx="809">
                  <c:v>20323577.469000001</c:v>
                </c:pt>
                <c:pt idx="810">
                  <c:v>38352972.160000004</c:v>
                </c:pt>
                <c:pt idx="811">
                  <c:v>24622717.140999999</c:v>
                </c:pt>
                <c:pt idx="812">
                  <c:v>43078878.219999999</c:v>
                </c:pt>
                <c:pt idx="813">
                  <c:v>33564330.696999997</c:v>
                </c:pt>
                <c:pt idx="814">
                  <c:v>26084562.737</c:v>
                </c:pt>
                <c:pt idx="815">
                  <c:v>31061575.445999999</c:v>
                </c:pt>
                <c:pt idx="816">
                  <c:v>40454429.791999996</c:v>
                </c:pt>
                <c:pt idx="817">
                  <c:v>24301754.046999998</c:v>
                </c:pt>
                <c:pt idx="818">
                  <c:v>37106735.848999999</c:v>
                </c:pt>
                <c:pt idx="819">
                  <c:v>36045828.484999999</c:v>
                </c:pt>
                <c:pt idx="820">
                  <c:v>35012289.170000002</c:v>
                </c:pt>
                <c:pt idx="821">
                  <c:v>36771322.645000003</c:v>
                </c:pt>
                <c:pt idx="822">
                  <c:v>36411849.974999994</c:v>
                </c:pt>
                <c:pt idx="823">
                  <c:v>54302027.895000003</c:v>
                </c:pt>
                <c:pt idx="824">
                  <c:v>30478844.649999999</c:v>
                </c:pt>
                <c:pt idx="825">
                  <c:v>36645877.875</c:v>
                </c:pt>
                <c:pt idx="826">
                  <c:v>42618498.140000001</c:v>
                </c:pt>
                <c:pt idx="827">
                  <c:v>33723847.331</c:v>
                </c:pt>
                <c:pt idx="828">
                  <c:v>15022150.979</c:v>
                </c:pt>
                <c:pt idx="829">
                  <c:v>30238805.866999999</c:v>
                </c:pt>
                <c:pt idx="830">
                  <c:v>54118490.987999998</c:v>
                </c:pt>
                <c:pt idx="831">
                  <c:v>27713503.07</c:v>
                </c:pt>
                <c:pt idx="832">
                  <c:v>31232113.43</c:v>
                </c:pt>
                <c:pt idx="833">
                  <c:v>25063469.649999999</c:v>
                </c:pt>
                <c:pt idx="834">
                  <c:v>35563482.600000001</c:v>
                </c:pt>
                <c:pt idx="835">
                  <c:v>41139366.369999997</c:v>
                </c:pt>
                <c:pt idx="836">
                  <c:v>36685920.780000001</c:v>
                </c:pt>
                <c:pt idx="837">
                  <c:v>40373318.57</c:v>
                </c:pt>
                <c:pt idx="838">
                  <c:v>29518565.41</c:v>
                </c:pt>
                <c:pt idx="839">
                  <c:v>15513953.709999999</c:v>
                </c:pt>
                <c:pt idx="840">
                  <c:v>13587463.310000001</c:v>
                </c:pt>
                <c:pt idx="841">
                  <c:v>27856067.280000001</c:v>
                </c:pt>
                <c:pt idx="842">
                  <c:v>36146512.049999997</c:v>
                </c:pt>
                <c:pt idx="843">
                  <c:v>29859903.18</c:v>
                </c:pt>
                <c:pt idx="844">
                  <c:v>9990430.120000001</c:v>
                </c:pt>
                <c:pt idx="845">
                  <c:v>21596414.470000003</c:v>
                </c:pt>
                <c:pt idx="846">
                  <c:v>9459696.5399999991</c:v>
                </c:pt>
                <c:pt idx="847">
                  <c:v>77957623.032999992</c:v>
                </c:pt>
                <c:pt idx="848">
                  <c:v>5255972.5219999999</c:v>
                </c:pt>
                <c:pt idx="849">
                  <c:v>11099148.85</c:v>
                </c:pt>
                <c:pt idx="850">
                  <c:v>68030831.650999993</c:v>
                </c:pt>
                <c:pt idx="851">
                  <c:v>80291530.846000001</c:v>
                </c:pt>
                <c:pt idx="852">
                  <c:v>61895546.305000007</c:v>
                </c:pt>
                <c:pt idx="853">
                  <c:v>89873451.675999999</c:v>
                </c:pt>
                <c:pt idx="854">
                  <c:v>84790838.691</c:v>
                </c:pt>
                <c:pt idx="855">
                  <c:v>25957813.120000001</c:v>
                </c:pt>
                <c:pt idx="856">
                  <c:v>58286271</c:v>
                </c:pt>
                <c:pt idx="857">
                  <c:v>40714222.780000001</c:v>
                </c:pt>
                <c:pt idx="858">
                  <c:v>37134003.865000002</c:v>
                </c:pt>
                <c:pt idx="859">
                  <c:v>79541843.819999993</c:v>
                </c:pt>
                <c:pt idx="860">
                  <c:v>71310103.094999999</c:v>
                </c:pt>
                <c:pt idx="861">
                  <c:v>62823740.975000001</c:v>
                </c:pt>
                <c:pt idx="862">
                  <c:v>63097796.329999998</c:v>
                </c:pt>
                <c:pt idx="863">
                  <c:v>41835839.545000002</c:v>
                </c:pt>
                <c:pt idx="864">
                  <c:v>30203731.145000003</c:v>
                </c:pt>
                <c:pt idx="865">
                  <c:v>67925595.449999988</c:v>
                </c:pt>
                <c:pt idx="866">
                  <c:v>34169522.024999999</c:v>
                </c:pt>
                <c:pt idx="867">
                  <c:v>18825946.085000001</c:v>
                </c:pt>
                <c:pt idx="868">
                  <c:v>113630225.62</c:v>
                </c:pt>
                <c:pt idx="869">
                  <c:v>50463920.475000001</c:v>
                </c:pt>
                <c:pt idx="870">
                  <c:v>39743058.440000005</c:v>
                </c:pt>
                <c:pt idx="871">
                  <c:v>36568243.609999999</c:v>
                </c:pt>
                <c:pt idx="872">
                  <c:v>36531871</c:v>
                </c:pt>
                <c:pt idx="873">
                  <c:v>33121695.350000001</c:v>
                </c:pt>
                <c:pt idx="874">
                  <c:v>77172566.969999999</c:v>
                </c:pt>
                <c:pt idx="875">
                  <c:v>36800824.670000002</c:v>
                </c:pt>
                <c:pt idx="876">
                  <c:v>56996163.252999991</c:v>
                </c:pt>
                <c:pt idx="877">
                  <c:v>19948084.835000001</c:v>
                </c:pt>
                <c:pt idx="878">
                  <c:v>60252815.322999999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93-4675-8CF1-E99C3E7C4480}"/>
            </c:ext>
          </c:extLst>
        </c:ser>
        <c:ser>
          <c:idx val="16"/>
          <c:order val="16"/>
          <c:tx>
            <c:strRef>
              <c:f>'CASH FLOW'!$R$1</c:f>
              <c:strCache>
                <c:ptCount val="1"/>
                <c:pt idx="0">
                  <c:v> C   A   S   H   L   E   S   S       S   A   L   E   S 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FLOW'!$R$2:$R$969</c:f>
              <c:numCache>
                <c:formatCode>_-* #,##0_-;\-* #,##0_-;_-* "-"??_-;_-@_-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1229222</c:v>
                </c:pt>
                <c:pt idx="3">
                  <c:v>523970</c:v>
                </c:pt>
                <c:pt idx="4">
                  <c:v>1203917</c:v>
                </c:pt>
                <c:pt idx="5">
                  <c:v>1704607</c:v>
                </c:pt>
                <c:pt idx="6">
                  <c:v>729601</c:v>
                </c:pt>
                <c:pt idx="7">
                  <c:v>1156929</c:v>
                </c:pt>
                <c:pt idx="8">
                  <c:v>1388553</c:v>
                </c:pt>
                <c:pt idx="9">
                  <c:v>368280</c:v>
                </c:pt>
                <c:pt idx="10">
                  <c:v>1576975</c:v>
                </c:pt>
                <c:pt idx="11">
                  <c:v>957303</c:v>
                </c:pt>
                <c:pt idx="12">
                  <c:v>1657662</c:v>
                </c:pt>
                <c:pt idx="13">
                  <c:v>536070</c:v>
                </c:pt>
                <c:pt idx="14">
                  <c:v>1270327</c:v>
                </c:pt>
                <c:pt idx="15">
                  <c:v>752570</c:v>
                </c:pt>
                <c:pt idx="16">
                  <c:v>983409</c:v>
                </c:pt>
                <c:pt idx="17">
                  <c:v>786915</c:v>
                </c:pt>
                <c:pt idx="18">
                  <c:v>1250735</c:v>
                </c:pt>
                <c:pt idx="19">
                  <c:v>1644633</c:v>
                </c:pt>
                <c:pt idx="20">
                  <c:v>432015</c:v>
                </c:pt>
                <c:pt idx="21">
                  <c:v>1348602</c:v>
                </c:pt>
                <c:pt idx="22">
                  <c:v>2115479</c:v>
                </c:pt>
                <c:pt idx="23">
                  <c:v>1017250</c:v>
                </c:pt>
                <c:pt idx="24">
                  <c:v>915278</c:v>
                </c:pt>
                <c:pt idx="25">
                  <c:v>1171127</c:v>
                </c:pt>
                <c:pt idx="26">
                  <c:v>684974</c:v>
                </c:pt>
                <c:pt idx="27">
                  <c:v>822639</c:v>
                </c:pt>
                <c:pt idx="28">
                  <c:v>854250</c:v>
                </c:pt>
                <c:pt idx="29">
                  <c:v>752038</c:v>
                </c:pt>
                <c:pt idx="30">
                  <c:v>570900</c:v>
                </c:pt>
                <c:pt idx="31">
                  <c:v>1737133</c:v>
                </c:pt>
                <c:pt idx="32">
                  <c:v>1158710</c:v>
                </c:pt>
                <c:pt idx="33">
                  <c:v>1648454</c:v>
                </c:pt>
                <c:pt idx="34">
                  <c:v>1657857</c:v>
                </c:pt>
                <c:pt idx="35">
                  <c:v>1639649</c:v>
                </c:pt>
                <c:pt idx="36">
                  <c:v>2753066</c:v>
                </c:pt>
                <c:pt idx="37">
                  <c:v>1380818</c:v>
                </c:pt>
                <c:pt idx="38">
                  <c:v>2137696</c:v>
                </c:pt>
                <c:pt idx="39">
                  <c:v>1393996</c:v>
                </c:pt>
                <c:pt idx="40">
                  <c:v>1767295</c:v>
                </c:pt>
                <c:pt idx="41">
                  <c:v>1783153</c:v>
                </c:pt>
                <c:pt idx="42">
                  <c:v>2485423</c:v>
                </c:pt>
                <c:pt idx="43">
                  <c:v>2880807</c:v>
                </c:pt>
                <c:pt idx="44">
                  <c:v>1169119</c:v>
                </c:pt>
                <c:pt idx="45">
                  <c:v>2132477</c:v>
                </c:pt>
                <c:pt idx="46">
                  <c:v>1574599</c:v>
                </c:pt>
                <c:pt idx="47">
                  <c:v>1278531</c:v>
                </c:pt>
                <c:pt idx="48">
                  <c:v>1669937</c:v>
                </c:pt>
                <c:pt idx="49">
                  <c:v>1594755</c:v>
                </c:pt>
                <c:pt idx="50">
                  <c:v>1056300</c:v>
                </c:pt>
                <c:pt idx="51">
                  <c:v>646198</c:v>
                </c:pt>
                <c:pt idx="52">
                  <c:v>744559</c:v>
                </c:pt>
                <c:pt idx="53">
                  <c:v>1984771</c:v>
                </c:pt>
                <c:pt idx="54">
                  <c:v>2065750</c:v>
                </c:pt>
                <c:pt idx="55">
                  <c:v>1018748</c:v>
                </c:pt>
                <c:pt idx="56">
                  <c:v>1089851</c:v>
                </c:pt>
                <c:pt idx="57">
                  <c:v>1131530</c:v>
                </c:pt>
                <c:pt idx="58">
                  <c:v>1878265</c:v>
                </c:pt>
                <c:pt idx="59">
                  <c:v>2515586</c:v>
                </c:pt>
                <c:pt idx="60">
                  <c:v>919210</c:v>
                </c:pt>
                <c:pt idx="61">
                  <c:v>919210</c:v>
                </c:pt>
                <c:pt idx="62">
                  <c:v>510328</c:v>
                </c:pt>
                <c:pt idx="63">
                  <c:v>1376003</c:v>
                </c:pt>
                <c:pt idx="64">
                  <c:v>1455358</c:v>
                </c:pt>
                <c:pt idx="65">
                  <c:v>1353235</c:v>
                </c:pt>
                <c:pt idx="66">
                  <c:v>358253</c:v>
                </c:pt>
                <c:pt idx="67">
                  <c:v>1597632</c:v>
                </c:pt>
                <c:pt idx="68">
                  <c:v>785260</c:v>
                </c:pt>
                <c:pt idx="69">
                  <c:v>1343623</c:v>
                </c:pt>
                <c:pt idx="70">
                  <c:v>1747092</c:v>
                </c:pt>
                <c:pt idx="71">
                  <c:v>919052</c:v>
                </c:pt>
                <c:pt idx="72">
                  <c:v>609338</c:v>
                </c:pt>
                <c:pt idx="73">
                  <c:v>1623648</c:v>
                </c:pt>
                <c:pt idx="74">
                  <c:v>1235900</c:v>
                </c:pt>
                <c:pt idx="75">
                  <c:v>465287</c:v>
                </c:pt>
                <c:pt idx="76">
                  <c:v>1341486</c:v>
                </c:pt>
                <c:pt idx="77">
                  <c:v>961047</c:v>
                </c:pt>
                <c:pt idx="78">
                  <c:v>1418690</c:v>
                </c:pt>
                <c:pt idx="79">
                  <c:v>759343</c:v>
                </c:pt>
                <c:pt idx="80">
                  <c:v>1639595</c:v>
                </c:pt>
                <c:pt idx="81">
                  <c:v>1317930</c:v>
                </c:pt>
                <c:pt idx="82">
                  <c:v>1270727</c:v>
                </c:pt>
                <c:pt idx="83">
                  <c:v>1192116</c:v>
                </c:pt>
                <c:pt idx="84">
                  <c:v>897873</c:v>
                </c:pt>
                <c:pt idx="85">
                  <c:v>1234425</c:v>
                </c:pt>
                <c:pt idx="86">
                  <c:v>385880</c:v>
                </c:pt>
                <c:pt idx="87">
                  <c:v>1336485</c:v>
                </c:pt>
                <c:pt idx="88">
                  <c:v>300142</c:v>
                </c:pt>
                <c:pt idx="89">
                  <c:v>425919</c:v>
                </c:pt>
                <c:pt idx="90">
                  <c:v>1042448</c:v>
                </c:pt>
                <c:pt idx="91">
                  <c:v>1289156</c:v>
                </c:pt>
                <c:pt idx="92">
                  <c:v>747077</c:v>
                </c:pt>
                <c:pt idx="93">
                  <c:v>537254</c:v>
                </c:pt>
                <c:pt idx="94">
                  <c:v>715617</c:v>
                </c:pt>
                <c:pt idx="95">
                  <c:v>1176877</c:v>
                </c:pt>
                <c:pt idx="96">
                  <c:v>1065250</c:v>
                </c:pt>
                <c:pt idx="97">
                  <c:v>703575</c:v>
                </c:pt>
                <c:pt idx="98">
                  <c:v>807051</c:v>
                </c:pt>
                <c:pt idx="99">
                  <c:v>1180660</c:v>
                </c:pt>
                <c:pt idx="100">
                  <c:v>1486252</c:v>
                </c:pt>
                <c:pt idx="101">
                  <c:v>1352090</c:v>
                </c:pt>
                <c:pt idx="102">
                  <c:v>697856</c:v>
                </c:pt>
                <c:pt idx="103">
                  <c:v>1071451</c:v>
                </c:pt>
                <c:pt idx="104">
                  <c:v>1750956</c:v>
                </c:pt>
                <c:pt idx="105">
                  <c:v>1511400</c:v>
                </c:pt>
                <c:pt idx="106">
                  <c:v>1383509</c:v>
                </c:pt>
                <c:pt idx="107">
                  <c:v>859787</c:v>
                </c:pt>
                <c:pt idx="108">
                  <c:v>1827171</c:v>
                </c:pt>
                <c:pt idx="109">
                  <c:v>730866</c:v>
                </c:pt>
                <c:pt idx="110">
                  <c:v>1620722</c:v>
                </c:pt>
                <c:pt idx="111">
                  <c:v>822365</c:v>
                </c:pt>
                <c:pt idx="112">
                  <c:v>812498</c:v>
                </c:pt>
                <c:pt idx="113">
                  <c:v>644384</c:v>
                </c:pt>
                <c:pt idx="114">
                  <c:v>1101324</c:v>
                </c:pt>
                <c:pt idx="115">
                  <c:v>1480070</c:v>
                </c:pt>
                <c:pt idx="116">
                  <c:v>1440701</c:v>
                </c:pt>
                <c:pt idx="117">
                  <c:v>789661</c:v>
                </c:pt>
                <c:pt idx="118">
                  <c:v>1468790</c:v>
                </c:pt>
                <c:pt idx="119">
                  <c:v>1220360</c:v>
                </c:pt>
                <c:pt idx="120">
                  <c:v>413681</c:v>
                </c:pt>
                <c:pt idx="121">
                  <c:v>567800</c:v>
                </c:pt>
                <c:pt idx="122">
                  <c:v>400940</c:v>
                </c:pt>
                <c:pt idx="123">
                  <c:v>1054384</c:v>
                </c:pt>
                <c:pt idx="124">
                  <c:v>1849219</c:v>
                </c:pt>
                <c:pt idx="125">
                  <c:v>985543</c:v>
                </c:pt>
                <c:pt idx="126">
                  <c:v>1052517</c:v>
                </c:pt>
                <c:pt idx="127">
                  <c:v>387440</c:v>
                </c:pt>
                <c:pt idx="128">
                  <c:v>768608</c:v>
                </c:pt>
                <c:pt idx="129">
                  <c:v>1298525</c:v>
                </c:pt>
                <c:pt idx="130">
                  <c:v>868320</c:v>
                </c:pt>
                <c:pt idx="131">
                  <c:v>1904948</c:v>
                </c:pt>
                <c:pt idx="132">
                  <c:v>1037465</c:v>
                </c:pt>
                <c:pt idx="133">
                  <c:v>1048598</c:v>
                </c:pt>
                <c:pt idx="134">
                  <c:v>1763086</c:v>
                </c:pt>
                <c:pt idx="135">
                  <c:v>1375323</c:v>
                </c:pt>
                <c:pt idx="136">
                  <c:v>842501</c:v>
                </c:pt>
                <c:pt idx="137">
                  <c:v>2678250</c:v>
                </c:pt>
                <c:pt idx="138">
                  <c:v>1423345</c:v>
                </c:pt>
                <c:pt idx="139">
                  <c:v>1209124</c:v>
                </c:pt>
                <c:pt idx="140">
                  <c:v>1930493</c:v>
                </c:pt>
                <c:pt idx="141">
                  <c:v>1024071</c:v>
                </c:pt>
                <c:pt idx="142">
                  <c:v>1084444</c:v>
                </c:pt>
                <c:pt idx="143">
                  <c:v>954617</c:v>
                </c:pt>
                <c:pt idx="144">
                  <c:v>1261403</c:v>
                </c:pt>
                <c:pt idx="145">
                  <c:v>976835</c:v>
                </c:pt>
                <c:pt idx="146">
                  <c:v>1041400</c:v>
                </c:pt>
                <c:pt idx="147">
                  <c:v>734290</c:v>
                </c:pt>
                <c:pt idx="148">
                  <c:v>1377515</c:v>
                </c:pt>
                <c:pt idx="149">
                  <c:v>1028083</c:v>
                </c:pt>
                <c:pt idx="150">
                  <c:v>2826761</c:v>
                </c:pt>
                <c:pt idx="151">
                  <c:v>578330</c:v>
                </c:pt>
                <c:pt idx="152">
                  <c:v>804787</c:v>
                </c:pt>
                <c:pt idx="153">
                  <c:v>1413694</c:v>
                </c:pt>
                <c:pt idx="154">
                  <c:v>1483243</c:v>
                </c:pt>
                <c:pt idx="155">
                  <c:v>1787200</c:v>
                </c:pt>
                <c:pt idx="156">
                  <c:v>1254286</c:v>
                </c:pt>
                <c:pt idx="157">
                  <c:v>593981</c:v>
                </c:pt>
                <c:pt idx="158">
                  <c:v>2539717</c:v>
                </c:pt>
                <c:pt idx="159">
                  <c:v>0</c:v>
                </c:pt>
                <c:pt idx="160">
                  <c:v>2184850</c:v>
                </c:pt>
                <c:pt idx="161">
                  <c:v>2549300</c:v>
                </c:pt>
                <c:pt idx="162">
                  <c:v>1301480</c:v>
                </c:pt>
                <c:pt idx="163">
                  <c:v>864597</c:v>
                </c:pt>
                <c:pt idx="164">
                  <c:v>636534</c:v>
                </c:pt>
                <c:pt idx="165">
                  <c:v>975910</c:v>
                </c:pt>
                <c:pt idx="166">
                  <c:v>1713717</c:v>
                </c:pt>
                <c:pt idx="167">
                  <c:v>1199483</c:v>
                </c:pt>
                <c:pt idx="168">
                  <c:v>1735278</c:v>
                </c:pt>
                <c:pt idx="169">
                  <c:v>1297254</c:v>
                </c:pt>
                <c:pt idx="170">
                  <c:v>1452896</c:v>
                </c:pt>
                <c:pt idx="171">
                  <c:v>2030357</c:v>
                </c:pt>
                <c:pt idx="172">
                  <c:v>1177853</c:v>
                </c:pt>
                <c:pt idx="173">
                  <c:v>1681853</c:v>
                </c:pt>
                <c:pt idx="174">
                  <c:v>690494</c:v>
                </c:pt>
                <c:pt idx="175">
                  <c:v>1375634</c:v>
                </c:pt>
                <c:pt idx="176">
                  <c:v>800499</c:v>
                </c:pt>
                <c:pt idx="177">
                  <c:v>1731149</c:v>
                </c:pt>
                <c:pt idx="178">
                  <c:v>886998</c:v>
                </c:pt>
                <c:pt idx="179">
                  <c:v>698551</c:v>
                </c:pt>
                <c:pt idx="180">
                  <c:v>1808273</c:v>
                </c:pt>
                <c:pt idx="181">
                  <c:v>850990</c:v>
                </c:pt>
                <c:pt idx="182">
                  <c:v>840228</c:v>
                </c:pt>
                <c:pt idx="183">
                  <c:v>1847234</c:v>
                </c:pt>
                <c:pt idx="184">
                  <c:v>795826</c:v>
                </c:pt>
                <c:pt idx="185">
                  <c:v>1351642</c:v>
                </c:pt>
                <c:pt idx="186">
                  <c:v>493872</c:v>
                </c:pt>
                <c:pt idx="187">
                  <c:v>1304650</c:v>
                </c:pt>
                <c:pt idx="188">
                  <c:v>2868663</c:v>
                </c:pt>
                <c:pt idx="189">
                  <c:v>2563453</c:v>
                </c:pt>
                <c:pt idx="190">
                  <c:v>680871</c:v>
                </c:pt>
                <c:pt idx="191">
                  <c:v>1090232</c:v>
                </c:pt>
                <c:pt idx="192">
                  <c:v>2424049</c:v>
                </c:pt>
                <c:pt idx="193">
                  <c:v>1707256</c:v>
                </c:pt>
                <c:pt idx="194">
                  <c:v>1530587</c:v>
                </c:pt>
                <c:pt idx="195">
                  <c:v>1332958</c:v>
                </c:pt>
                <c:pt idx="196">
                  <c:v>1564483</c:v>
                </c:pt>
                <c:pt idx="197">
                  <c:v>1362702</c:v>
                </c:pt>
                <c:pt idx="198">
                  <c:v>3029193</c:v>
                </c:pt>
                <c:pt idx="199">
                  <c:v>1822383</c:v>
                </c:pt>
                <c:pt idx="200">
                  <c:v>1385561</c:v>
                </c:pt>
                <c:pt idx="201">
                  <c:v>876050</c:v>
                </c:pt>
                <c:pt idx="202">
                  <c:v>1390801</c:v>
                </c:pt>
                <c:pt idx="203">
                  <c:v>3682023</c:v>
                </c:pt>
                <c:pt idx="204">
                  <c:v>1117363</c:v>
                </c:pt>
                <c:pt idx="205">
                  <c:v>1187050</c:v>
                </c:pt>
                <c:pt idx="206">
                  <c:v>1617543</c:v>
                </c:pt>
                <c:pt idx="207">
                  <c:v>725495</c:v>
                </c:pt>
                <c:pt idx="208">
                  <c:v>1217427</c:v>
                </c:pt>
                <c:pt idx="209">
                  <c:v>829675</c:v>
                </c:pt>
                <c:pt idx="210">
                  <c:v>929141</c:v>
                </c:pt>
                <c:pt idx="211">
                  <c:v>584865</c:v>
                </c:pt>
                <c:pt idx="212">
                  <c:v>720680</c:v>
                </c:pt>
                <c:pt idx="213">
                  <c:v>1536858</c:v>
                </c:pt>
                <c:pt idx="214">
                  <c:v>1254158</c:v>
                </c:pt>
                <c:pt idx="215">
                  <c:v>1004583</c:v>
                </c:pt>
                <c:pt idx="216">
                  <c:v>1872482</c:v>
                </c:pt>
                <c:pt idx="217">
                  <c:v>689250</c:v>
                </c:pt>
                <c:pt idx="218">
                  <c:v>929305</c:v>
                </c:pt>
                <c:pt idx="219">
                  <c:v>760683</c:v>
                </c:pt>
                <c:pt idx="220">
                  <c:v>0</c:v>
                </c:pt>
                <c:pt idx="221">
                  <c:v>425500</c:v>
                </c:pt>
                <c:pt idx="222">
                  <c:v>923979</c:v>
                </c:pt>
                <c:pt idx="223">
                  <c:v>917217</c:v>
                </c:pt>
                <c:pt idx="224">
                  <c:v>1064980</c:v>
                </c:pt>
                <c:pt idx="225">
                  <c:v>886978</c:v>
                </c:pt>
                <c:pt idx="226">
                  <c:v>811317</c:v>
                </c:pt>
                <c:pt idx="227">
                  <c:v>367555</c:v>
                </c:pt>
                <c:pt idx="228">
                  <c:v>1008800</c:v>
                </c:pt>
                <c:pt idx="229">
                  <c:v>1206307</c:v>
                </c:pt>
                <c:pt idx="230">
                  <c:v>1034912</c:v>
                </c:pt>
                <c:pt idx="231">
                  <c:v>798630</c:v>
                </c:pt>
                <c:pt idx="232">
                  <c:v>546279</c:v>
                </c:pt>
                <c:pt idx="233">
                  <c:v>1231136</c:v>
                </c:pt>
                <c:pt idx="234">
                  <c:v>1146584</c:v>
                </c:pt>
                <c:pt idx="235">
                  <c:v>957522</c:v>
                </c:pt>
                <c:pt idx="236">
                  <c:v>569340</c:v>
                </c:pt>
                <c:pt idx="237">
                  <c:v>1177332</c:v>
                </c:pt>
                <c:pt idx="238">
                  <c:v>1092250</c:v>
                </c:pt>
                <c:pt idx="239">
                  <c:v>1775600</c:v>
                </c:pt>
                <c:pt idx="240">
                  <c:v>676194</c:v>
                </c:pt>
                <c:pt idx="241">
                  <c:v>602205</c:v>
                </c:pt>
                <c:pt idx="242">
                  <c:v>1791155</c:v>
                </c:pt>
                <c:pt idx="243">
                  <c:v>1279443</c:v>
                </c:pt>
                <c:pt idx="244">
                  <c:v>1481659</c:v>
                </c:pt>
                <c:pt idx="245">
                  <c:v>508605</c:v>
                </c:pt>
                <c:pt idx="246">
                  <c:v>1122150</c:v>
                </c:pt>
                <c:pt idx="247">
                  <c:v>740722</c:v>
                </c:pt>
                <c:pt idx="248">
                  <c:v>1476687</c:v>
                </c:pt>
                <c:pt idx="249">
                  <c:v>1646346</c:v>
                </c:pt>
                <c:pt idx="250">
                  <c:v>672086</c:v>
                </c:pt>
                <c:pt idx="251">
                  <c:v>1159571</c:v>
                </c:pt>
                <c:pt idx="252">
                  <c:v>1068583</c:v>
                </c:pt>
                <c:pt idx="253">
                  <c:v>1388377</c:v>
                </c:pt>
                <c:pt idx="254">
                  <c:v>703734</c:v>
                </c:pt>
                <c:pt idx="255">
                  <c:v>1286580</c:v>
                </c:pt>
                <c:pt idx="256">
                  <c:v>1277934</c:v>
                </c:pt>
                <c:pt idx="257">
                  <c:v>1261101</c:v>
                </c:pt>
                <c:pt idx="258">
                  <c:v>1286969</c:v>
                </c:pt>
                <c:pt idx="259">
                  <c:v>1203890</c:v>
                </c:pt>
                <c:pt idx="260">
                  <c:v>1382268</c:v>
                </c:pt>
                <c:pt idx="261">
                  <c:v>1222441</c:v>
                </c:pt>
                <c:pt idx="262">
                  <c:v>1548455</c:v>
                </c:pt>
                <c:pt idx="263">
                  <c:v>2085855</c:v>
                </c:pt>
                <c:pt idx="264">
                  <c:v>816415</c:v>
                </c:pt>
                <c:pt idx="265">
                  <c:v>2189549</c:v>
                </c:pt>
                <c:pt idx="266">
                  <c:v>1623341</c:v>
                </c:pt>
                <c:pt idx="267">
                  <c:v>761499</c:v>
                </c:pt>
                <c:pt idx="268">
                  <c:v>1221516</c:v>
                </c:pt>
                <c:pt idx="269">
                  <c:v>1395731</c:v>
                </c:pt>
                <c:pt idx="270">
                  <c:v>829724</c:v>
                </c:pt>
                <c:pt idx="271">
                  <c:v>1291285</c:v>
                </c:pt>
                <c:pt idx="272">
                  <c:v>873031</c:v>
                </c:pt>
                <c:pt idx="273">
                  <c:v>1452641</c:v>
                </c:pt>
                <c:pt idx="274">
                  <c:v>441368</c:v>
                </c:pt>
                <c:pt idx="275">
                  <c:v>1648950</c:v>
                </c:pt>
                <c:pt idx="276">
                  <c:v>1094544</c:v>
                </c:pt>
                <c:pt idx="277">
                  <c:v>2163809</c:v>
                </c:pt>
                <c:pt idx="278">
                  <c:v>1337739</c:v>
                </c:pt>
                <c:pt idx="279">
                  <c:v>578179</c:v>
                </c:pt>
                <c:pt idx="280">
                  <c:v>1678204</c:v>
                </c:pt>
                <c:pt idx="281">
                  <c:v>528965</c:v>
                </c:pt>
                <c:pt idx="282">
                  <c:v>1654400</c:v>
                </c:pt>
                <c:pt idx="283">
                  <c:v>1586889</c:v>
                </c:pt>
                <c:pt idx="284">
                  <c:v>1948351</c:v>
                </c:pt>
                <c:pt idx="285">
                  <c:v>1023568</c:v>
                </c:pt>
                <c:pt idx="286">
                  <c:v>2062387</c:v>
                </c:pt>
                <c:pt idx="287">
                  <c:v>1356293</c:v>
                </c:pt>
                <c:pt idx="288">
                  <c:v>1523607</c:v>
                </c:pt>
                <c:pt idx="289">
                  <c:v>918818</c:v>
                </c:pt>
                <c:pt idx="290">
                  <c:v>1031556</c:v>
                </c:pt>
                <c:pt idx="291">
                  <c:v>1570211</c:v>
                </c:pt>
                <c:pt idx="292">
                  <c:v>1849722</c:v>
                </c:pt>
                <c:pt idx="293">
                  <c:v>1470622</c:v>
                </c:pt>
                <c:pt idx="294">
                  <c:v>782507</c:v>
                </c:pt>
                <c:pt idx="295">
                  <c:v>1811473</c:v>
                </c:pt>
                <c:pt idx="296">
                  <c:v>1132680</c:v>
                </c:pt>
                <c:pt idx="297">
                  <c:v>1057037</c:v>
                </c:pt>
                <c:pt idx="298">
                  <c:v>1120412</c:v>
                </c:pt>
                <c:pt idx="299">
                  <c:v>933513</c:v>
                </c:pt>
                <c:pt idx="300">
                  <c:v>1318095</c:v>
                </c:pt>
                <c:pt idx="301">
                  <c:v>1241314</c:v>
                </c:pt>
                <c:pt idx="302">
                  <c:v>1486916</c:v>
                </c:pt>
                <c:pt idx="303">
                  <c:v>0</c:v>
                </c:pt>
                <c:pt idx="304">
                  <c:v>1180249</c:v>
                </c:pt>
                <c:pt idx="305">
                  <c:v>727144</c:v>
                </c:pt>
                <c:pt idx="306">
                  <c:v>988806</c:v>
                </c:pt>
                <c:pt idx="307">
                  <c:v>1016409</c:v>
                </c:pt>
                <c:pt idx="308">
                  <c:v>1443934</c:v>
                </c:pt>
                <c:pt idx="309">
                  <c:v>1717155</c:v>
                </c:pt>
                <c:pt idx="310">
                  <c:v>393200</c:v>
                </c:pt>
                <c:pt idx="311">
                  <c:v>1009996</c:v>
                </c:pt>
                <c:pt idx="312">
                  <c:v>974000</c:v>
                </c:pt>
                <c:pt idx="313">
                  <c:v>3046489</c:v>
                </c:pt>
                <c:pt idx="314">
                  <c:v>1407276</c:v>
                </c:pt>
                <c:pt idx="315">
                  <c:v>1362057</c:v>
                </c:pt>
                <c:pt idx="316">
                  <c:v>877614</c:v>
                </c:pt>
                <c:pt idx="317">
                  <c:v>1985248</c:v>
                </c:pt>
                <c:pt idx="318">
                  <c:v>1190859</c:v>
                </c:pt>
                <c:pt idx="319">
                  <c:v>635461</c:v>
                </c:pt>
                <c:pt idx="320">
                  <c:v>1940864</c:v>
                </c:pt>
                <c:pt idx="321">
                  <c:v>1701634</c:v>
                </c:pt>
                <c:pt idx="322">
                  <c:v>1535280</c:v>
                </c:pt>
                <c:pt idx="323">
                  <c:v>1775507</c:v>
                </c:pt>
                <c:pt idx="324">
                  <c:v>1665580</c:v>
                </c:pt>
                <c:pt idx="325">
                  <c:v>2164146</c:v>
                </c:pt>
                <c:pt idx="326">
                  <c:v>1533228</c:v>
                </c:pt>
                <c:pt idx="327">
                  <c:v>1262799</c:v>
                </c:pt>
                <c:pt idx="328">
                  <c:v>1070029</c:v>
                </c:pt>
                <c:pt idx="329">
                  <c:v>508500</c:v>
                </c:pt>
                <c:pt idx="330">
                  <c:v>928660</c:v>
                </c:pt>
                <c:pt idx="331">
                  <c:v>944200</c:v>
                </c:pt>
                <c:pt idx="332">
                  <c:v>2521032</c:v>
                </c:pt>
                <c:pt idx="333">
                  <c:v>1482226</c:v>
                </c:pt>
                <c:pt idx="334">
                  <c:v>271813</c:v>
                </c:pt>
                <c:pt idx="335">
                  <c:v>731600</c:v>
                </c:pt>
                <c:pt idx="336">
                  <c:v>1497687</c:v>
                </c:pt>
                <c:pt idx="337">
                  <c:v>350669</c:v>
                </c:pt>
                <c:pt idx="338">
                  <c:v>1163457</c:v>
                </c:pt>
                <c:pt idx="339">
                  <c:v>837730</c:v>
                </c:pt>
                <c:pt idx="340">
                  <c:v>1807517</c:v>
                </c:pt>
                <c:pt idx="341">
                  <c:v>1333959</c:v>
                </c:pt>
                <c:pt idx="342">
                  <c:v>709624</c:v>
                </c:pt>
                <c:pt idx="343">
                  <c:v>1134415</c:v>
                </c:pt>
                <c:pt idx="344">
                  <c:v>1687626</c:v>
                </c:pt>
                <c:pt idx="345">
                  <c:v>140900</c:v>
                </c:pt>
                <c:pt idx="346">
                  <c:v>1900047</c:v>
                </c:pt>
                <c:pt idx="347">
                  <c:v>2119199</c:v>
                </c:pt>
                <c:pt idx="348">
                  <c:v>1117998</c:v>
                </c:pt>
                <c:pt idx="349">
                  <c:v>956773</c:v>
                </c:pt>
                <c:pt idx="350">
                  <c:v>1444709</c:v>
                </c:pt>
                <c:pt idx="351">
                  <c:v>784404</c:v>
                </c:pt>
                <c:pt idx="352">
                  <c:v>398182</c:v>
                </c:pt>
                <c:pt idx="353">
                  <c:v>1760256</c:v>
                </c:pt>
                <c:pt idx="354">
                  <c:v>1497246</c:v>
                </c:pt>
                <c:pt idx="355">
                  <c:v>1235868</c:v>
                </c:pt>
                <c:pt idx="356">
                  <c:v>127051</c:v>
                </c:pt>
                <c:pt idx="357">
                  <c:v>1305546</c:v>
                </c:pt>
                <c:pt idx="358">
                  <c:v>850025</c:v>
                </c:pt>
                <c:pt idx="359">
                  <c:v>1217927</c:v>
                </c:pt>
                <c:pt idx="360">
                  <c:v>1891770</c:v>
                </c:pt>
                <c:pt idx="361">
                  <c:v>816076</c:v>
                </c:pt>
                <c:pt idx="362">
                  <c:v>208858</c:v>
                </c:pt>
                <c:pt idx="363">
                  <c:v>1049824</c:v>
                </c:pt>
                <c:pt idx="364">
                  <c:v>771328</c:v>
                </c:pt>
                <c:pt idx="365">
                  <c:v>1740978</c:v>
                </c:pt>
                <c:pt idx="366">
                  <c:v>290128</c:v>
                </c:pt>
                <c:pt idx="367">
                  <c:v>1200045</c:v>
                </c:pt>
                <c:pt idx="368">
                  <c:v>1183246</c:v>
                </c:pt>
                <c:pt idx="369">
                  <c:v>1379651</c:v>
                </c:pt>
                <c:pt idx="370">
                  <c:v>1898183</c:v>
                </c:pt>
                <c:pt idx="371">
                  <c:v>261044</c:v>
                </c:pt>
                <c:pt idx="372">
                  <c:v>709443</c:v>
                </c:pt>
                <c:pt idx="373">
                  <c:v>1203078</c:v>
                </c:pt>
                <c:pt idx="374">
                  <c:v>1004266</c:v>
                </c:pt>
                <c:pt idx="375">
                  <c:v>571198</c:v>
                </c:pt>
                <c:pt idx="376">
                  <c:v>320806</c:v>
                </c:pt>
                <c:pt idx="377">
                  <c:v>1151246</c:v>
                </c:pt>
                <c:pt idx="378">
                  <c:v>948910</c:v>
                </c:pt>
                <c:pt idx="379">
                  <c:v>328000</c:v>
                </c:pt>
                <c:pt idx="380">
                  <c:v>614132</c:v>
                </c:pt>
                <c:pt idx="381">
                  <c:v>2101867</c:v>
                </c:pt>
                <c:pt idx="382">
                  <c:v>852823</c:v>
                </c:pt>
                <c:pt idx="383">
                  <c:v>1960840</c:v>
                </c:pt>
                <c:pt idx="384">
                  <c:v>507356</c:v>
                </c:pt>
                <c:pt idx="385">
                  <c:v>1758520</c:v>
                </c:pt>
                <c:pt idx="386">
                  <c:v>1195474</c:v>
                </c:pt>
                <c:pt idx="387">
                  <c:v>869900</c:v>
                </c:pt>
                <c:pt idx="388">
                  <c:v>1487947</c:v>
                </c:pt>
                <c:pt idx="389">
                  <c:v>1236104</c:v>
                </c:pt>
                <c:pt idx="390">
                  <c:v>739374</c:v>
                </c:pt>
                <c:pt idx="391">
                  <c:v>1451954</c:v>
                </c:pt>
                <c:pt idx="392">
                  <c:v>874704</c:v>
                </c:pt>
                <c:pt idx="393">
                  <c:v>756738</c:v>
                </c:pt>
                <c:pt idx="394">
                  <c:v>619535</c:v>
                </c:pt>
                <c:pt idx="395">
                  <c:v>494308</c:v>
                </c:pt>
                <c:pt idx="396">
                  <c:v>210093</c:v>
                </c:pt>
                <c:pt idx="397">
                  <c:v>995777</c:v>
                </c:pt>
                <c:pt idx="398">
                  <c:v>832182</c:v>
                </c:pt>
                <c:pt idx="399">
                  <c:v>1909167</c:v>
                </c:pt>
                <c:pt idx="400">
                  <c:v>1891936</c:v>
                </c:pt>
                <c:pt idx="401">
                  <c:v>201200</c:v>
                </c:pt>
                <c:pt idx="402">
                  <c:v>1024613</c:v>
                </c:pt>
                <c:pt idx="403">
                  <c:v>1384896</c:v>
                </c:pt>
                <c:pt idx="404">
                  <c:v>535577</c:v>
                </c:pt>
                <c:pt idx="405">
                  <c:v>799607</c:v>
                </c:pt>
                <c:pt idx="406">
                  <c:v>771535</c:v>
                </c:pt>
                <c:pt idx="407">
                  <c:v>200000</c:v>
                </c:pt>
                <c:pt idx="408">
                  <c:v>206049</c:v>
                </c:pt>
                <c:pt idx="409">
                  <c:v>0</c:v>
                </c:pt>
                <c:pt idx="410">
                  <c:v>484083</c:v>
                </c:pt>
                <c:pt idx="411">
                  <c:v>711452</c:v>
                </c:pt>
                <c:pt idx="412">
                  <c:v>837203</c:v>
                </c:pt>
                <c:pt idx="413">
                  <c:v>809036</c:v>
                </c:pt>
                <c:pt idx="414">
                  <c:v>935235</c:v>
                </c:pt>
                <c:pt idx="415">
                  <c:v>1556709</c:v>
                </c:pt>
                <c:pt idx="416">
                  <c:v>1056403</c:v>
                </c:pt>
                <c:pt idx="417">
                  <c:v>717749</c:v>
                </c:pt>
                <c:pt idx="418">
                  <c:v>1042450</c:v>
                </c:pt>
                <c:pt idx="419">
                  <c:v>1331797</c:v>
                </c:pt>
                <c:pt idx="420">
                  <c:v>1657010</c:v>
                </c:pt>
                <c:pt idx="421">
                  <c:v>1472334</c:v>
                </c:pt>
                <c:pt idx="422">
                  <c:v>655933</c:v>
                </c:pt>
                <c:pt idx="423">
                  <c:v>553494</c:v>
                </c:pt>
                <c:pt idx="424">
                  <c:v>679775</c:v>
                </c:pt>
                <c:pt idx="425">
                  <c:v>446171</c:v>
                </c:pt>
                <c:pt idx="426">
                  <c:v>859192</c:v>
                </c:pt>
                <c:pt idx="427">
                  <c:v>636091</c:v>
                </c:pt>
                <c:pt idx="428">
                  <c:v>1024741</c:v>
                </c:pt>
                <c:pt idx="429">
                  <c:v>704593</c:v>
                </c:pt>
                <c:pt idx="430">
                  <c:v>1624003</c:v>
                </c:pt>
                <c:pt idx="431">
                  <c:v>449328</c:v>
                </c:pt>
                <c:pt idx="432">
                  <c:v>739418</c:v>
                </c:pt>
                <c:pt idx="433">
                  <c:v>994808</c:v>
                </c:pt>
                <c:pt idx="434">
                  <c:v>1754317</c:v>
                </c:pt>
                <c:pt idx="435">
                  <c:v>2201716</c:v>
                </c:pt>
                <c:pt idx="436">
                  <c:v>756638</c:v>
                </c:pt>
                <c:pt idx="437">
                  <c:v>1688086</c:v>
                </c:pt>
                <c:pt idx="438">
                  <c:v>841403</c:v>
                </c:pt>
                <c:pt idx="439">
                  <c:v>2109001</c:v>
                </c:pt>
                <c:pt idx="440">
                  <c:v>1287445</c:v>
                </c:pt>
                <c:pt idx="441">
                  <c:v>1622944</c:v>
                </c:pt>
                <c:pt idx="442">
                  <c:v>1019310</c:v>
                </c:pt>
                <c:pt idx="443">
                  <c:v>283024</c:v>
                </c:pt>
                <c:pt idx="444">
                  <c:v>506552</c:v>
                </c:pt>
                <c:pt idx="445">
                  <c:v>379024</c:v>
                </c:pt>
                <c:pt idx="446">
                  <c:v>727733</c:v>
                </c:pt>
                <c:pt idx="447">
                  <c:v>1188154</c:v>
                </c:pt>
                <c:pt idx="448">
                  <c:v>846715</c:v>
                </c:pt>
                <c:pt idx="449">
                  <c:v>408378</c:v>
                </c:pt>
                <c:pt idx="450">
                  <c:v>887765</c:v>
                </c:pt>
                <c:pt idx="451">
                  <c:v>504847</c:v>
                </c:pt>
                <c:pt idx="452">
                  <c:v>415650</c:v>
                </c:pt>
                <c:pt idx="453">
                  <c:v>760330</c:v>
                </c:pt>
                <c:pt idx="454">
                  <c:v>498383</c:v>
                </c:pt>
                <c:pt idx="455">
                  <c:v>1248304</c:v>
                </c:pt>
                <c:pt idx="456">
                  <c:v>1005536</c:v>
                </c:pt>
                <c:pt idx="457">
                  <c:v>430000</c:v>
                </c:pt>
                <c:pt idx="458">
                  <c:v>512514</c:v>
                </c:pt>
                <c:pt idx="459">
                  <c:v>2777532</c:v>
                </c:pt>
                <c:pt idx="460">
                  <c:v>671498</c:v>
                </c:pt>
                <c:pt idx="461">
                  <c:v>1075216</c:v>
                </c:pt>
                <c:pt idx="462">
                  <c:v>887681</c:v>
                </c:pt>
                <c:pt idx="463">
                  <c:v>910472</c:v>
                </c:pt>
                <c:pt idx="464">
                  <c:v>322503</c:v>
                </c:pt>
                <c:pt idx="465">
                  <c:v>419213</c:v>
                </c:pt>
                <c:pt idx="466">
                  <c:v>465810</c:v>
                </c:pt>
                <c:pt idx="467">
                  <c:v>1226784</c:v>
                </c:pt>
                <c:pt idx="468">
                  <c:v>599354</c:v>
                </c:pt>
                <c:pt idx="469">
                  <c:v>677857</c:v>
                </c:pt>
                <c:pt idx="470">
                  <c:v>637477</c:v>
                </c:pt>
                <c:pt idx="471">
                  <c:v>727565</c:v>
                </c:pt>
                <c:pt idx="472">
                  <c:v>1072706</c:v>
                </c:pt>
                <c:pt idx="473">
                  <c:v>667776</c:v>
                </c:pt>
                <c:pt idx="474">
                  <c:v>1195353</c:v>
                </c:pt>
                <c:pt idx="475">
                  <c:v>1207272</c:v>
                </c:pt>
                <c:pt idx="476">
                  <c:v>710285</c:v>
                </c:pt>
                <c:pt idx="477">
                  <c:v>1992097</c:v>
                </c:pt>
                <c:pt idx="478">
                  <c:v>627140</c:v>
                </c:pt>
                <c:pt idx="479">
                  <c:v>0</c:v>
                </c:pt>
                <c:pt idx="480">
                  <c:v>100000</c:v>
                </c:pt>
                <c:pt idx="481">
                  <c:v>565490</c:v>
                </c:pt>
                <c:pt idx="482">
                  <c:v>293183</c:v>
                </c:pt>
                <c:pt idx="483">
                  <c:v>756582</c:v>
                </c:pt>
                <c:pt idx="484">
                  <c:v>732559</c:v>
                </c:pt>
                <c:pt idx="485">
                  <c:v>764152</c:v>
                </c:pt>
                <c:pt idx="486">
                  <c:v>1059765</c:v>
                </c:pt>
                <c:pt idx="487">
                  <c:v>769402</c:v>
                </c:pt>
                <c:pt idx="488">
                  <c:v>1004778</c:v>
                </c:pt>
                <c:pt idx="489">
                  <c:v>913756</c:v>
                </c:pt>
                <c:pt idx="490">
                  <c:v>1939267</c:v>
                </c:pt>
                <c:pt idx="491">
                  <c:v>1454762</c:v>
                </c:pt>
                <c:pt idx="492">
                  <c:v>1128363</c:v>
                </c:pt>
                <c:pt idx="493">
                  <c:v>1626231</c:v>
                </c:pt>
                <c:pt idx="494">
                  <c:v>780079</c:v>
                </c:pt>
                <c:pt idx="495">
                  <c:v>1576042</c:v>
                </c:pt>
                <c:pt idx="496">
                  <c:v>1247910</c:v>
                </c:pt>
                <c:pt idx="497">
                  <c:v>1676333</c:v>
                </c:pt>
                <c:pt idx="498">
                  <c:v>2081922</c:v>
                </c:pt>
                <c:pt idx="499">
                  <c:v>1201998</c:v>
                </c:pt>
                <c:pt idx="500">
                  <c:v>2192374</c:v>
                </c:pt>
                <c:pt idx="501">
                  <c:v>1799286</c:v>
                </c:pt>
                <c:pt idx="502">
                  <c:v>435507</c:v>
                </c:pt>
                <c:pt idx="503">
                  <c:v>1505503</c:v>
                </c:pt>
                <c:pt idx="504">
                  <c:v>1091668</c:v>
                </c:pt>
                <c:pt idx="505">
                  <c:v>861519</c:v>
                </c:pt>
                <c:pt idx="506">
                  <c:v>1252226</c:v>
                </c:pt>
                <c:pt idx="507">
                  <c:v>1095770</c:v>
                </c:pt>
                <c:pt idx="508">
                  <c:v>686637</c:v>
                </c:pt>
                <c:pt idx="509">
                  <c:v>888714</c:v>
                </c:pt>
                <c:pt idx="510">
                  <c:v>893772</c:v>
                </c:pt>
                <c:pt idx="511">
                  <c:v>878632</c:v>
                </c:pt>
                <c:pt idx="512">
                  <c:v>889000</c:v>
                </c:pt>
                <c:pt idx="513">
                  <c:v>432025</c:v>
                </c:pt>
                <c:pt idx="514">
                  <c:v>0</c:v>
                </c:pt>
                <c:pt idx="515">
                  <c:v>0</c:v>
                </c:pt>
                <c:pt idx="516">
                  <c:v>624186</c:v>
                </c:pt>
                <c:pt idx="517">
                  <c:v>1006100</c:v>
                </c:pt>
                <c:pt idx="518">
                  <c:v>710203</c:v>
                </c:pt>
                <c:pt idx="519">
                  <c:v>519283</c:v>
                </c:pt>
                <c:pt idx="520">
                  <c:v>1978287</c:v>
                </c:pt>
                <c:pt idx="521">
                  <c:v>2155012</c:v>
                </c:pt>
                <c:pt idx="522">
                  <c:v>1043464</c:v>
                </c:pt>
                <c:pt idx="523">
                  <c:v>2009475</c:v>
                </c:pt>
                <c:pt idx="524">
                  <c:v>1057027</c:v>
                </c:pt>
                <c:pt idx="525">
                  <c:v>1056440</c:v>
                </c:pt>
                <c:pt idx="526">
                  <c:v>1173502</c:v>
                </c:pt>
                <c:pt idx="527">
                  <c:v>566330</c:v>
                </c:pt>
                <c:pt idx="528">
                  <c:v>794550</c:v>
                </c:pt>
                <c:pt idx="529">
                  <c:v>1881150</c:v>
                </c:pt>
                <c:pt idx="530">
                  <c:v>210000</c:v>
                </c:pt>
                <c:pt idx="531">
                  <c:v>1230074</c:v>
                </c:pt>
                <c:pt idx="532">
                  <c:v>1931274</c:v>
                </c:pt>
                <c:pt idx="533">
                  <c:v>1083648</c:v>
                </c:pt>
                <c:pt idx="534">
                  <c:v>492375</c:v>
                </c:pt>
                <c:pt idx="535">
                  <c:v>1020857</c:v>
                </c:pt>
                <c:pt idx="536">
                  <c:v>694008</c:v>
                </c:pt>
                <c:pt idx="537">
                  <c:v>1504929</c:v>
                </c:pt>
                <c:pt idx="538">
                  <c:v>645760</c:v>
                </c:pt>
                <c:pt idx="539">
                  <c:v>649899</c:v>
                </c:pt>
                <c:pt idx="540">
                  <c:v>467031</c:v>
                </c:pt>
                <c:pt idx="541">
                  <c:v>1287243</c:v>
                </c:pt>
                <c:pt idx="542">
                  <c:v>1756873</c:v>
                </c:pt>
                <c:pt idx="543">
                  <c:v>299368</c:v>
                </c:pt>
                <c:pt idx="544">
                  <c:v>1364511</c:v>
                </c:pt>
                <c:pt idx="545">
                  <c:v>667033</c:v>
                </c:pt>
                <c:pt idx="546">
                  <c:v>565053</c:v>
                </c:pt>
                <c:pt idx="547">
                  <c:v>643446</c:v>
                </c:pt>
                <c:pt idx="548">
                  <c:v>770435</c:v>
                </c:pt>
                <c:pt idx="549">
                  <c:v>997871</c:v>
                </c:pt>
                <c:pt idx="550">
                  <c:v>215760</c:v>
                </c:pt>
                <c:pt idx="551">
                  <c:v>1279272</c:v>
                </c:pt>
                <c:pt idx="552">
                  <c:v>1281232</c:v>
                </c:pt>
                <c:pt idx="553">
                  <c:v>1117520</c:v>
                </c:pt>
                <c:pt idx="554">
                  <c:v>897862</c:v>
                </c:pt>
                <c:pt idx="555">
                  <c:v>1240313</c:v>
                </c:pt>
                <c:pt idx="556">
                  <c:v>736823</c:v>
                </c:pt>
                <c:pt idx="557">
                  <c:v>3754426</c:v>
                </c:pt>
                <c:pt idx="558">
                  <c:v>894291</c:v>
                </c:pt>
                <c:pt idx="559">
                  <c:v>1645293</c:v>
                </c:pt>
                <c:pt idx="560">
                  <c:v>1244834</c:v>
                </c:pt>
                <c:pt idx="561">
                  <c:v>2037648</c:v>
                </c:pt>
                <c:pt idx="562">
                  <c:v>1723864</c:v>
                </c:pt>
                <c:pt idx="563">
                  <c:v>1716546</c:v>
                </c:pt>
                <c:pt idx="564">
                  <c:v>725005</c:v>
                </c:pt>
                <c:pt idx="565">
                  <c:v>1114622</c:v>
                </c:pt>
                <c:pt idx="566">
                  <c:v>420000</c:v>
                </c:pt>
                <c:pt idx="567">
                  <c:v>2805306</c:v>
                </c:pt>
                <c:pt idx="568">
                  <c:v>686528</c:v>
                </c:pt>
                <c:pt idx="569">
                  <c:v>1297421</c:v>
                </c:pt>
                <c:pt idx="570">
                  <c:v>1131679</c:v>
                </c:pt>
                <c:pt idx="571">
                  <c:v>427173</c:v>
                </c:pt>
                <c:pt idx="572">
                  <c:v>778905</c:v>
                </c:pt>
                <c:pt idx="573">
                  <c:v>1000291</c:v>
                </c:pt>
                <c:pt idx="574">
                  <c:v>708369</c:v>
                </c:pt>
                <c:pt idx="575">
                  <c:v>801953</c:v>
                </c:pt>
                <c:pt idx="576">
                  <c:v>580772</c:v>
                </c:pt>
                <c:pt idx="577">
                  <c:v>376009</c:v>
                </c:pt>
                <c:pt idx="578">
                  <c:v>1098675</c:v>
                </c:pt>
                <c:pt idx="579">
                  <c:v>1026255</c:v>
                </c:pt>
                <c:pt idx="580">
                  <c:v>2814099</c:v>
                </c:pt>
                <c:pt idx="581">
                  <c:v>2161381</c:v>
                </c:pt>
                <c:pt idx="582">
                  <c:v>1302339</c:v>
                </c:pt>
                <c:pt idx="583">
                  <c:v>854679</c:v>
                </c:pt>
                <c:pt idx="584">
                  <c:v>2096346</c:v>
                </c:pt>
                <c:pt idx="585">
                  <c:v>254675</c:v>
                </c:pt>
                <c:pt idx="586">
                  <c:v>1242073</c:v>
                </c:pt>
                <c:pt idx="587">
                  <c:v>1006606</c:v>
                </c:pt>
                <c:pt idx="588">
                  <c:v>404950</c:v>
                </c:pt>
                <c:pt idx="589">
                  <c:v>401975</c:v>
                </c:pt>
                <c:pt idx="590">
                  <c:v>920334</c:v>
                </c:pt>
                <c:pt idx="591">
                  <c:v>1114975</c:v>
                </c:pt>
                <c:pt idx="592">
                  <c:v>842357</c:v>
                </c:pt>
                <c:pt idx="593">
                  <c:v>1133201</c:v>
                </c:pt>
                <c:pt idx="594">
                  <c:v>866064</c:v>
                </c:pt>
                <c:pt idx="595">
                  <c:v>1084770</c:v>
                </c:pt>
                <c:pt idx="596">
                  <c:v>400000</c:v>
                </c:pt>
                <c:pt idx="597">
                  <c:v>1789442</c:v>
                </c:pt>
                <c:pt idx="598">
                  <c:v>1455632</c:v>
                </c:pt>
                <c:pt idx="599">
                  <c:v>2606356</c:v>
                </c:pt>
                <c:pt idx="600">
                  <c:v>1388240</c:v>
                </c:pt>
                <c:pt idx="601">
                  <c:v>683695</c:v>
                </c:pt>
                <c:pt idx="602">
                  <c:v>1425727</c:v>
                </c:pt>
                <c:pt idx="603">
                  <c:v>753789</c:v>
                </c:pt>
                <c:pt idx="604">
                  <c:v>318339</c:v>
                </c:pt>
                <c:pt idx="605">
                  <c:v>940070</c:v>
                </c:pt>
                <c:pt idx="606">
                  <c:v>1597447</c:v>
                </c:pt>
                <c:pt idx="607">
                  <c:v>461200</c:v>
                </c:pt>
                <c:pt idx="608">
                  <c:v>685661</c:v>
                </c:pt>
                <c:pt idx="609">
                  <c:v>1678412</c:v>
                </c:pt>
                <c:pt idx="610">
                  <c:v>394605</c:v>
                </c:pt>
                <c:pt idx="611">
                  <c:v>1514977</c:v>
                </c:pt>
                <c:pt idx="612">
                  <c:v>617659</c:v>
                </c:pt>
                <c:pt idx="613">
                  <c:v>849299</c:v>
                </c:pt>
                <c:pt idx="614">
                  <c:v>2461265</c:v>
                </c:pt>
                <c:pt idx="615">
                  <c:v>846738</c:v>
                </c:pt>
                <c:pt idx="616">
                  <c:v>1066506</c:v>
                </c:pt>
                <c:pt idx="617">
                  <c:v>1287172</c:v>
                </c:pt>
                <c:pt idx="618">
                  <c:v>1472246</c:v>
                </c:pt>
                <c:pt idx="619">
                  <c:v>1959682</c:v>
                </c:pt>
                <c:pt idx="620">
                  <c:v>1421666</c:v>
                </c:pt>
                <c:pt idx="621">
                  <c:v>753344</c:v>
                </c:pt>
                <c:pt idx="622">
                  <c:v>1708012</c:v>
                </c:pt>
                <c:pt idx="623">
                  <c:v>3321482</c:v>
                </c:pt>
                <c:pt idx="624">
                  <c:v>1675611</c:v>
                </c:pt>
                <c:pt idx="625">
                  <c:v>1293355</c:v>
                </c:pt>
                <c:pt idx="626">
                  <c:v>1005447</c:v>
                </c:pt>
                <c:pt idx="627">
                  <c:v>891568</c:v>
                </c:pt>
                <c:pt idx="628">
                  <c:v>781589</c:v>
                </c:pt>
                <c:pt idx="629">
                  <c:v>956650</c:v>
                </c:pt>
                <c:pt idx="630">
                  <c:v>278953</c:v>
                </c:pt>
                <c:pt idx="631">
                  <c:v>287220</c:v>
                </c:pt>
                <c:pt idx="632">
                  <c:v>1101628</c:v>
                </c:pt>
                <c:pt idx="633">
                  <c:v>700945</c:v>
                </c:pt>
                <c:pt idx="634">
                  <c:v>930052</c:v>
                </c:pt>
                <c:pt idx="635">
                  <c:v>1195142</c:v>
                </c:pt>
                <c:pt idx="636">
                  <c:v>703065</c:v>
                </c:pt>
                <c:pt idx="637">
                  <c:v>964343</c:v>
                </c:pt>
                <c:pt idx="638">
                  <c:v>650081</c:v>
                </c:pt>
                <c:pt idx="639">
                  <c:v>923702</c:v>
                </c:pt>
                <c:pt idx="640">
                  <c:v>1664407</c:v>
                </c:pt>
                <c:pt idx="641">
                  <c:v>667389</c:v>
                </c:pt>
                <c:pt idx="642">
                  <c:v>1557080</c:v>
                </c:pt>
                <c:pt idx="643">
                  <c:v>1816983</c:v>
                </c:pt>
                <c:pt idx="644">
                  <c:v>2010546</c:v>
                </c:pt>
                <c:pt idx="645">
                  <c:v>476710</c:v>
                </c:pt>
                <c:pt idx="646">
                  <c:v>476285</c:v>
                </c:pt>
                <c:pt idx="647">
                  <c:v>947760</c:v>
                </c:pt>
                <c:pt idx="648">
                  <c:v>681367</c:v>
                </c:pt>
                <c:pt idx="649">
                  <c:v>1722458</c:v>
                </c:pt>
                <c:pt idx="650">
                  <c:v>190000</c:v>
                </c:pt>
                <c:pt idx="651">
                  <c:v>452734</c:v>
                </c:pt>
                <c:pt idx="652">
                  <c:v>896631</c:v>
                </c:pt>
                <c:pt idx="653">
                  <c:v>310730</c:v>
                </c:pt>
                <c:pt idx="654">
                  <c:v>694012</c:v>
                </c:pt>
                <c:pt idx="655">
                  <c:v>1466802</c:v>
                </c:pt>
                <c:pt idx="656">
                  <c:v>2693906</c:v>
                </c:pt>
                <c:pt idx="657">
                  <c:v>721095</c:v>
                </c:pt>
                <c:pt idx="658">
                  <c:v>790592</c:v>
                </c:pt>
                <c:pt idx="659">
                  <c:v>1111232</c:v>
                </c:pt>
                <c:pt idx="660">
                  <c:v>1071067</c:v>
                </c:pt>
                <c:pt idx="661">
                  <c:v>1089117</c:v>
                </c:pt>
                <c:pt idx="662">
                  <c:v>699231</c:v>
                </c:pt>
                <c:pt idx="663">
                  <c:v>546305</c:v>
                </c:pt>
                <c:pt idx="664">
                  <c:v>624500</c:v>
                </c:pt>
                <c:pt idx="665">
                  <c:v>1779234</c:v>
                </c:pt>
                <c:pt idx="666">
                  <c:v>618000</c:v>
                </c:pt>
                <c:pt idx="667">
                  <c:v>627220</c:v>
                </c:pt>
                <c:pt idx="668">
                  <c:v>949722</c:v>
                </c:pt>
                <c:pt idx="669">
                  <c:v>961895</c:v>
                </c:pt>
                <c:pt idx="670">
                  <c:v>596541</c:v>
                </c:pt>
                <c:pt idx="671">
                  <c:v>1359877</c:v>
                </c:pt>
                <c:pt idx="672">
                  <c:v>611553</c:v>
                </c:pt>
                <c:pt idx="673">
                  <c:v>1371146</c:v>
                </c:pt>
                <c:pt idx="674">
                  <c:v>507765</c:v>
                </c:pt>
                <c:pt idx="675">
                  <c:v>773419</c:v>
                </c:pt>
                <c:pt idx="676">
                  <c:v>290059</c:v>
                </c:pt>
                <c:pt idx="677">
                  <c:v>1980763</c:v>
                </c:pt>
                <c:pt idx="678">
                  <c:v>1454188</c:v>
                </c:pt>
                <c:pt idx="679">
                  <c:v>1175986</c:v>
                </c:pt>
                <c:pt idx="680">
                  <c:v>1210981</c:v>
                </c:pt>
                <c:pt idx="681">
                  <c:v>1877819</c:v>
                </c:pt>
                <c:pt idx="682">
                  <c:v>1002285</c:v>
                </c:pt>
                <c:pt idx="683">
                  <c:v>2341250</c:v>
                </c:pt>
                <c:pt idx="684">
                  <c:v>1207266</c:v>
                </c:pt>
                <c:pt idx="685">
                  <c:v>1230240</c:v>
                </c:pt>
                <c:pt idx="686">
                  <c:v>752756</c:v>
                </c:pt>
                <c:pt idx="687">
                  <c:v>322019</c:v>
                </c:pt>
                <c:pt idx="688">
                  <c:v>1202219</c:v>
                </c:pt>
                <c:pt idx="689">
                  <c:v>1642896</c:v>
                </c:pt>
                <c:pt idx="690">
                  <c:v>1966151</c:v>
                </c:pt>
                <c:pt idx="691">
                  <c:v>873779</c:v>
                </c:pt>
                <c:pt idx="692">
                  <c:v>1099769</c:v>
                </c:pt>
                <c:pt idx="693">
                  <c:v>1441546</c:v>
                </c:pt>
                <c:pt idx="694">
                  <c:v>1216296</c:v>
                </c:pt>
                <c:pt idx="695">
                  <c:v>1885236</c:v>
                </c:pt>
                <c:pt idx="696">
                  <c:v>796090</c:v>
                </c:pt>
                <c:pt idx="697">
                  <c:v>469094</c:v>
                </c:pt>
                <c:pt idx="698">
                  <c:v>855365</c:v>
                </c:pt>
                <c:pt idx="699">
                  <c:v>1028950</c:v>
                </c:pt>
                <c:pt idx="700">
                  <c:v>2035452</c:v>
                </c:pt>
                <c:pt idx="701">
                  <c:v>1154042</c:v>
                </c:pt>
                <c:pt idx="702">
                  <c:v>496765</c:v>
                </c:pt>
                <c:pt idx="703">
                  <c:v>604098</c:v>
                </c:pt>
                <c:pt idx="704">
                  <c:v>783510</c:v>
                </c:pt>
                <c:pt idx="705">
                  <c:v>1521900</c:v>
                </c:pt>
                <c:pt idx="706">
                  <c:v>953912</c:v>
                </c:pt>
                <c:pt idx="707">
                  <c:v>768300</c:v>
                </c:pt>
                <c:pt idx="708">
                  <c:v>1251365</c:v>
                </c:pt>
                <c:pt idx="709">
                  <c:v>1048259</c:v>
                </c:pt>
                <c:pt idx="710">
                  <c:v>3790052</c:v>
                </c:pt>
                <c:pt idx="711">
                  <c:v>1665757</c:v>
                </c:pt>
                <c:pt idx="712">
                  <c:v>592027</c:v>
                </c:pt>
                <c:pt idx="713">
                  <c:v>469412</c:v>
                </c:pt>
                <c:pt idx="714">
                  <c:v>768116</c:v>
                </c:pt>
                <c:pt idx="715">
                  <c:v>1452106</c:v>
                </c:pt>
                <c:pt idx="716">
                  <c:v>359278</c:v>
                </c:pt>
                <c:pt idx="717">
                  <c:v>1801170</c:v>
                </c:pt>
                <c:pt idx="718">
                  <c:v>1280659</c:v>
                </c:pt>
                <c:pt idx="719">
                  <c:v>1362915</c:v>
                </c:pt>
                <c:pt idx="720">
                  <c:v>1003056</c:v>
                </c:pt>
                <c:pt idx="721">
                  <c:v>647972</c:v>
                </c:pt>
                <c:pt idx="722">
                  <c:v>2629639</c:v>
                </c:pt>
                <c:pt idx="723">
                  <c:v>1423881</c:v>
                </c:pt>
                <c:pt idx="724">
                  <c:v>1637620</c:v>
                </c:pt>
                <c:pt idx="725">
                  <c:v>1552967</c:v>
                </c:pt>
                <c:pt idx="726">
                  <c:v>1775868</c:v>
                </c:pt>
                <c:pt idx="727">
                  <c:v>849245</c:v>
                </c:pt>
                <c:pt idx="728">
                  <c:v>805041</c:v>
                </c:pt>
                <c:pt idx="729">
                  <c:v>2750801</c:v>
                </c:pt>
                <c:pt idx="730">
                  <c:v>1641507</c:v>
                </c:pt>
                <c:pt idx="731">
                  <c:v>1324579</c:v>
                </c:pt>
                <c:pt idx="732">
                  <c:v>807811</c:v>
                </c:pt>
                <c:pt idx="733">
                  <c:v>821089</c:v>
                </c:pt>
                <c:pt idx="734">
                  <c:v>1402256</c:v>
                </c:pt>
                <c:pt idx="735">
                  <c:v>1583931</c:v>
                </c:pt>
                <c:pt idx="736">
                  <c:v>1243051</c:v>
                </c:pt>
                <c:pt idx="737">
                  <c:v>1004166</c:v>
                </c:pt>
                <c:pt idx="738">
                  <c:v>814480</c:v>
                </c:pt>
                <c:pt idx="739">
                  <c:v>564152</c:v>
                </c:pt>
                <c:pt idx="740">
                  <c:v>339705</c:v>
                </c:pt>
                <c:pt idx="741">
                  <c:v>1346934</c:v>
                </c:pt>
                <c:pt idx="742">
                  <c:v>1037264</c:v>
                </c:pt>
                <c:pt idx="743">
                  <c:v>2086566</c:v>
                </c:pt>
                <c:pt idx="744">
                  <c:v>775989</c:v>
                </c:pt>
                <c:pt idx="745">
                  <c:v>372604</c:v>
                </c:pt>
                <c:pt idx="746">
                  <c:v>1200578</c:v>
                </c:pt>
                <c:pt idx="747">
                  <c:v>2089719</c:v>
                </c:pt>
                <c:pt idx="748">
                  <c:v>228352</c:v>
                </c:pt>
                <c:pt idx="749">
                  <c:v>0</c:v>
                </c:pt>
                <c:pt idx="750">
                  <c:v>83984</c:v>
                </c:pt>
                <c:pt idx="751">
                  <c:v>2601785</c:v>
                </c:pt>
                <c:pt idx="752">
                  <c:v>2011235</c:v>
                </c:pt>
                <c:pt idx="753">
                  <c:v>1395550</c:v>
                </c:pt>
                <c:pt idx="754">
                  <c:v>754293</c:v>
                </c:pt>
                <c:pt idx="755">
                  <c:v>1938163</c:v>
                </c:pt>
                <c:pt idx="756">
                  <c:v>646726</c:v>
                </c:pt>
                <c:pt idx="757">
                  <c:v>880129</c:v>
                </c:pt>
                <c:pt idx="758">
                  <c:v>427579</c:v>
                </c:pt>
                <c:pt idx="759">
                  <c:v>951458</c:v>
                </c:pt>
                <c:pt idx="760">
                  <c:v>1425664</c:v>
                </c:pt>
                <c:pt idx="761">
                  <c:v>1737822</c:v>
                </c:pt>
                <c:pt idx="762">
                  <c:v>382053</c:v>
                </c:pt>
                <c:pt idx="763">
                  <c:v>800179</c:v>
                </c:pt>
                <c:pt idx="764">
                  <c:v>144317</c:v>
                </c:pt>
                <c:pt idx="765">
                  <c:v>440938</c:v>
                </c:pt>
                <c:pt idx="766">
                  <c:v>2144132</c:v>
                </c:pt>
                <c:pt idx="767">
                  <c:v>945000</c:v>
                </c:pt>
                <c:pt idx="768">
                  <c:v>2170042</c:v>
                </c:pt>
                <c:pt idx="769">
                  <c:v>530057</c:v>
                </c:pt>
                <c:pt idx="789">
                  <c:v>1117230</c:v>
                </c:pt>
                <c:pt idx="790">
                  <c:v>1366494</c:v>
                </c:pt>
                <c:pt idx="798">
                  <c:v>961952</c:v>
                </c:pt>
                <c:pt idx="799">
                  <c:v>968420</c:v>
                </c:pt>
                <c:pt idx="800">
                  <c:v>96755</c:v>
                </c:pt>
                <c:pt idx="803">
                  <c:v>2392645</c:v>
                </c:pt>
                <c:pt idx="804">
                  <c:v>997658</c:v>
                </c:pt>
                <c:pt idx="805">
                  <c:v>1854007</c:v>
                </c:pt>
                <c:pt idx="806">
                  <c:v>712882</c:v>
                </c:pt>
                <c:pt idx="807">
                  <c:v>824150</c:v>
                </c:pt>
                <c:pt idx="808">
                  <c:v>1290583</c:v>
                </c:pt>
                <c:pt idx="809">
                  <c:v>596672</c:v>
                </c:pt>
                <c:pt idx="810">
                  <c:v>1762592</c:v>
                </c:pt>
                <c:pt idx="811">
                  <c:v>868695</c:v>
                </c:pt>
                <c:pt idx="812">
                  <c:v>901942</c:v>
                </c:pt>
                <c:pt idx="813">
                  <c:v>759177</c:v>
                </c:pt>
                <c:pt idx="814">
                  <c:v>1155855</c:v>
                </c:pt>
                <c:pt idx="815">
                  <c:v>1214645</c:v>
                </c:pt>
                <c:pt idx="816">
                  <c:v>1440238</c:v>
                </c:pt>
                <c:pt idx="817">
                  <c:v>1527627</c:v>
                </c:pt>
                <c:pt idx="818">
                  <c:v>769798</c:v>
                </c:pt>
                <c:pt idx="819">
                  <c:v>1432620</c:v>
                </c:pt>
                <c:pt idx="820">
                  <c:v>1536303</c:v>
                </c:pt>
                <c:pt idx="821">
                  <c:v>548771</c:v>
                </c:pt>
                <c:pt idx="822">
                  <c:v>986450</c:v>
                </c:pt>
                <c:pt idx="823">
                  <c:v>2503980</c:v>
                </c:pt>
                <c:pt idx="824">
                  <c:v>1514824</c:v>
                </c:pt>
                <c:pt idx="825">
                  <c:v>1246896</c:v>
                </c:pt>
                <c:pt idx="826">
                  <c:v>1295010</c:v>
                </c:pt>
                <c:pt idx="827">
                  <c:v>977146</c:v>
                </c:pt>
                <c:pt idx="828">
                  <c:v>504838</c:v>
                </c:pt>
                <c:pt idx="829">
                  <c:v>1678336</c:v>
                </c:pt>
                <c:pt idx="830">
                  <c:v>2160612</c:v>
                </c:pt>
                <c:pt idx="831">
                  <c:v>805650</c:v>
                </c:pt>
                <c:pt idx="832">
                  <c:v>908165</c:v>
                </c:pt>
                <c:pt idx="833">
                  <c:v>0</c:v>
                </c:pt>
                <c:pt idx="834">
                  <c:v>1704680</c:v>
                </c:pt>
                <c:pt idx="835">
                  <c:v>1756219</c:v>
                </c:pt>
                <c:pt idx="836">
                  <c:v>370010</c:v>
                </c:pt>
                <c:pt idx="837">
                  <c:v>915490</c:v>
                </c:pt>
                <c:pt idx="838">
                  <c:v>1440968</c:v>
                </c:pt>
                <c:pt idx="839">
                  <c:v>577032</c:v>
                </c:pt>
                <c:pt idx="840">
                  <c:v>1512943</c:v>
                </c:pt>
                <c:pt idx="841">
                  <c:v>1179340</c:v>
                </c:pt>
                <c:pt idx="842">
                  <c:v>1180339</c:v>
                </c:pt>
                <c:pt idx="843">
                  <c:v>595955</c:v>
                </c:pt>
                <c:pt idx="844">
                  <c:v>174866</c:v>
                </c:pt>
                <c:pt idx="845">
                  <c:v>5136609</c:v>
                </c:pt>
                <c:pt idx="846">
                  <c:v>1221716</c:v>
                </c:pt>
                <c:pt idx="847">
                  <c:v>1784442</c:v>
                </c:pt>
                <c:pt idx="848">
                  <c:v>55100</c:v>
                </c:pt>
                <c:pt idx="849">
                  <c:v>0</c:v>
                </c:pt>
                <c:pt idx="850">
                  <c:v>250141</c:v>
                </c:pt>
                <c:pt idx="851">
                  <c:v>1415951</c:v>
                </c:pt>
                <c:pt idx="852">
                  <c:v>1326318</c:v>
                </c:pt>
                <c:pt idx="853">
                  <c:v>962792</c:v>
                </c:pt>
                <c:pt idx="854">
                  <c:v>2876894</c:v>
                </c:pt>
                <c:pt idx="855">
                  <c:v>312873</c:v>
                </c:pt>
                <c:pt idx="856">
                  <c:v>2690153</c:v>
                </c:pt>
                <c:pt idx="857">
                  <c:v>1741116</c:v>
                </c:pt>
                <c:pt idx="858">
                  <c:v>784504</c:v>
                </c:pt>
                <c:pt idx="859">
                  <c:v>2507872</c:v>
                </c:pt>
                <c:pt idx="860">
                  <c:v>2022695</c:v>
                </c:pt>
                <c:pt idx="861">
                  <c:v>1268883</c:v>
                </c:pt>
                <c:pt idx="862">
                  <c:v>967263</c:v>
                </c:pt>
                <c:pt idx="863">
                  <c:v>324360</c:v>
                </c:pt>
                <c:pt idx="864">
                  <c:v>804370</c:v>
                </c:pt>
                <c:pt idx="865">
                  <c:v>2988044</c:v>
                </c:pt>
                <c:pt idx="866">
                  <c:v>99985</c:v>
                </c:pt>
                <c:pt idx="867">
                  <c:v>459412</c:v>
                </c:pt>
                <c:pt idx="868">
                  <c:v>4712696</c:v>
                </c:pt>
                <c:pt idx="869">
                  <c:v>2180416</c:v>
                </c:pt>
                <c:pt idx="870">
                  <c:v>395223</c:v>
                </c:pt>
                <c:pt idx="871">
                  <c:v>1066915</c:v>
                </c:pt>
                <c:pt idx="872">
                  <c:v>685952</c:v>
                </c:pt>
                <c:pt idx="873">
                  <c:v>370560</c:v>
                </c:pt>
                <c:pt idx="874">
                  <c:v>4273489</c:v>
                </c:pt>
                <c:pt idx="875">
                  <c:v>0</c:v>
                </c:pt>
                <c:pt idx="876">
                  <c:v>1585721</c:v>
                </c:pt>
                <c:pt idx="877">
                  <c:v>613968</c:v>
                </c:pt>
                <c:pt idx="878">
                  <c:v>840456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93-4675-8CF1-E99C3E7C4480}"/>
            </c:ext>
          </c:extLst>
        </c:ser>
        <c:ser>
          <c:idx val="17"/>
          <c:order val="17"/>
          <c:tx>
            <c:strRef>
              <c:f>'CASH FLOW'!$S$1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FLOW'!$S$2:$S$969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9181718</c:v>
                </c:pt>
                <c:pt idx="3">
                  <c:v>12614097</c:v>
                </c:pt>
                <c:pt idx="4">
                  <c:v>23883846</c:v>
                </c:pt>
                <c:pt idx="5">
                  <c:v>4995367</c:v>
                </c:pt>
                <c:pt idx="6">
                  <c:v>10636140</c:v>
                </c:pt>
                <c:pt idx="7">
                  <c:v>25526529</c:v>
                </c:pt>
                <c:pt idx="8">
                  <c:v>22686653</c:v>
                </c:pt>
                <c:pt idx="9">
                  <c:v>6908297</c:v>
                </c:pt>
                <c:pt idx="10">
                  <c:v>14980342</c:v>
                </c:pt>
                <c:pt idx="11">
                  <c:v>18990443</c:v>
                </c:pt>
                <c:pt idx="12">
                  <c:v>7966045</c:v>
                </c:pt>
                <c:pt idx="13">
                  <c:v>5242881</c:v>
                </c:pt>
                <c:pt idx="14">
                  <c:v>36250468</c:v>
                </c:pt>
                <c:pt idx="15">
                  <c:v>3591407</c:v>
                </c:pt>
                <c:pt idx="16">
                  <c:v>8265601</c:v>
                </c:pt>
                <c:pt idx="17">
                  <c:v>23093043</c:v>
                </c:pt>
                <c:pt idx="18">
                  <c:v>4825704</c:v>
                </c:pt>
                <c:pt idx="19">
                  <c:v>14695759</c:v>
                </c:pt>
                <c:pt idx="20">
                  <c:v>8820758</c:v>
                </c:pt>
                <c:pt idx="21">
                  <c:v>16626763</c:v>
                </c:pt>
                <c:pt idx="22">
                  <c:v>10447974</c:v>
                </c:pt>
                <c:pt idx="23">
                  <c:v>4888232</c:v>
                </c:pt>
                <c:pt idx="24">
                  <c:v>9843033</c:v>
                </c:pt>
                <c:pt idx="25">
                  <c:v>11835459</c:v>
                </c:pt>
                <c:pt idx="26">
                  <c:v>14492720</c:v>
                </c:pt>
                <c:pt idx="27">
                  <c:v>10846854</c:v>
                </c:pt>
                <c:pt idx="28">
                  <c:v>25840188</c:v>
                </c:pt>
                <c:pt idx="29">
                  <c:v>5126628</c:v>
                </c:pt>
                <c:pt idx="30">
                  <c:v>11388803</c:v>
                </c:pt>
                <c:pt idx="31">
                  <c:v>28176729</c:v>
                </c:pt>
                <c:pt idx="32">
                  <c:v>12204678</c:v>
                </c:pt>
                <c:pt idx="33">
                  <c:v>18242905</c:v>
                </c:pt>
                <c:pt idx="34">
                  <c:v>21925958</c:v>
                </c:pt>
                <c:pt idx="35">
                  <c:v>8650483</c:v>
                </c:pt>
                <c:pt idx="36">
                  <c:v>10611045</c:v>
                </c:pt>
                <c:pt idx="37">
                  <c:v>5901909</c:v>
                </c:pt>
                <c:pt idx="38">
                  <c:v>40624937</c:v>
                </c:pt>
                <c:pt idx="39">
                  <c:v>12795644</c:v>
                </c:pt>
                <c:pt idx="40">
                  <c:v>7882960</c:v>
                </c:pt>
                <c:pt idx="41">
                  <c:v>17303592</c:v>
                </c:pt>
                <c:pt idx="42">
                  <c:v>5763500</c:v>
                </c:pt>
                <c:pt idx="43">
                  <c:v>8193805</c:v>
                </c:pt>
                <c:pt idx="44">
                  <c:v>16456455</c:v>
                </c:pt>
                <c:pt idx="45">
                  <c:v>27945482</c:v>
                </c:pt>
                <c:pt idx="46">
                  <c:v>11485256</c:v>
                </c:pt>
                <c:pt idx="47">
                  <c:v>18324528</c:v>
                </c:pt>
                <c:pt idx="48">
                  <c:v>12611152</c:v>
                </c:pt>
                <c:pt idx="49">
                  <c:v>21679585</c:v>
                </c:pt>
                <c:pt idx="50">
                  <c:v>8090250</c:v>
                </c:pt>
                <c:pt idx="51">
                  <c:v>5844234</c:v>
                </c:pt>
                <c:pt idx="52">
                  <c:v>18353233</c:v>
                </c:pt>
                <c:pt idx="53">
                  <c:v>11700528</c:v>
                </c:pt>
                <c:pt idx="54">
                  <c:v>6503431</c:v>
                </c:pt>
                <c:pt idx="55">
                  <c:v>15094646</c:v>
                </c:pt>
                <c:pt idx="56">
                  <c:v>9007314</c:v>
                </c:pt>
                <c:pt idx="57">
                  <c:v>9083129</c:v>
                </c:pt>
                <c:pt idx="58">
                  <c:v>2904707</c:v>
                </c:pt>
                <c:pt idx="59">
                  <c:v>21903619</c:v>
                </c:pt>
                <c:pt idx="60">
                  <c:v>14064260</c:v>
                </c:pt>
                <c:pt idx="61">
                  <c:v>16137252</c:v>
                </c:pt>
                <c:pt idx="62">
                  <c:v>12673020</c:v>
                </c:pt>
                <c:pt idx="63">
                  <c:v>8664260</c:v>
                </c:pt>
                <c:pt idx="64">
                  <c:v>21126287</c:v>
                </c:pt>
                <c:pt idx="65">
                  <c:v>16941950</c:v>
                </c:pt>
                <c:pt idx="66">
                  <c:v>10013271</c:v>
                </c:pt>
                <c:pt idx="67">
                  <c:v>24982843</c:v>
                </c:pt>
                <c:pt idx="68">
                  <c:v>7120408</c:v>
                </c:pt>
                <c:pt idx="69">
                  <c:v>5344264</c:v>
                </c:pt>
                <c:pt idx="70">
                  <c:v>6046019</c:v>
                </c:pt>
                <c:pt idx="71">
                  <c:v>3190757</c:v>
                </c:pt>
                <c:pt idx="72">
                  <c:v>14426216</c:v>
                </c:pt>
                <c:pt idx="73">
                  <c:v>9657792</c:v>
                </c:pt>
                <c:pt idx="74">
                  <c:v>10881438</c:v>
                </c:pt>
                <c:pt idx="75">
                  <c:v>17031752</c:v>
                </c:pt>
                <c:pt idx="76">
                  <c:v>11199969</c:v>
                </c:pt>
                <c:pt idx="77">
                  <c:v>9533159</c:v>
                </c:pt>
                <c:pt idx="78">
                  <c:v>5071071</c:v>
                </c:pt>
                <c:pt idx="79">
                  <c:v>4270855</c:v>
                </c:pt>
                <c:pt idx="80">
                  <c:v>18586276</c:v>
                </c:pt>
                <c:pt idx="81">
                  <c:v>6047487</c:v>
                </c:pt>
                <c:pt idx="82">
                  <c:v>23321605</c:v>
                </c:pt>
                <c:pt idx="83">
                  <c:v>13563815</c:v>
                </c:pt>
                <c:pt idx="84">
                  <c:v>9204134</c:v>
                </c:pt>
                <c:pt idx="85">
                  <c:v>4414250</c:v>
                </c:pt>
                <c:pt idx="86">
                  <c:v>4476742</c:v>
                </c:pt>
                <c:pt idx="87">
                  <c:v>11147353</c:v>
                </c:pt>
                <c:pt idx="88">
                  <c:v>15735174</c:v>
                </c:pt>
                <c:pt idx="89">
                  <c:v>12335455</c:v>
                </c:pt>
                <c:pt idx="90">
                  <c:v>11083062</c:v>
                </c:pt>
                <c:pt idx="91">
                  <c:v>22692984</c:v>
                </c:pt>
                <c:pt idx="92">
                  <c:v>4977741</c:v>
                </c:pt>
                <c:pt idx="93">
                  <c:v>4246315</c:v>
                </c:pt>
                <c:pt idx="94">
                  <c:v>16192201</c:v>
                </c:pt>
                <c:pt idx="95">
                  <c:v>11254666</c:v>
                </c:pt>
                <c:pt idx="96">
                  <c:v>4181090</c:v>
                </c:pt>
                <c:pt idx="97">
                  <c:v>33694458</c:v>
                </c:pt>
                <c:pt idx="98">
                  <c:v>14720717</c:v>
                </c:pt>
                <c:pt idx="99">
                  <c:v>4210803</c:v>
                </c:pt>
                <c:pt idx="100">
                  <c:v>4896056</c:v>
                </c:pt>
                <c:pt idx="101">
                  <c:v>19468694</c:v>
                </c:pt>
                <c:pt idx="102">
                  <c:v>13638554</c:v>
                </c:pt>
                <c:pt idx="103">
                  <c:v>5341477</c:v>
                </c:pt>
                <c:pt idx="104">
                  <c:v>10583130</c:v>
                </c:pt>
                <c:pt idx="105">
                  <c:v>9980983</c:v>
                </c:pt>
                <c:pt idx="106">
                  <c:v>22414836</c:v>
                </c:pt>
                <c:pt idx="107">
                  <c:v>9359028</c:v>
                </c:pt>
                <c:pt idx="108">
                  <c:v>9190830</c:v>
                </c:pt>
                <c:pt idx="109">
                  <c:v>10482647</c:v>
                </c:pt>
                <c:pt idx="110">
                  <c:v>9459040</c:v>
                </c:pt>
                <c:pt idx="111">
                  <c:v>17779443</c:v>
                </c:pt>
                <c:pt idx="112">
                  <c:v>14372354</c:v>
                </c:pt>
                <c:pt idx="113">
                  <c:v>6901874</c:v>
                </c:pt>
                <c:pt idx="114">
                  <c:v>6105990</c:v>
                </c:pt>
                <c:pt idx="115">
                  <c:v>7462730</c:v>
                </c:pt>
                <c:pt idx="116">
                  <c:v>9330421</c:v>
                </c:pt>
                <c:pt idx="117">
                  <c:v>11599124</c:v>
                </c:pt>
                <c:pt idx="118">
                  <c:v>18591139</c:v>
                </c:pt>
                <c:pt idx="119">
                  <c:v>17933333</c:v>
                </c:pt>
                <c:pt idx="120">
                  <c:v>0</c:v>
                </c:pt>
                <c:pt idx="121">
                  <c:v>21082502</c:v>
                </c:pt>
                <c:pt idx="122">
                  <c:v>30947061</c:v>
                </c:pt>
                <c:pt idx="123">
                  <c:v>16892786</c:v>
                </c:pt>
                <c:pt idx="124">
                  <c:v>26630659</c:v>
                </c:pt>
                <c:pt idx="125">
                  <c:v>15186180</c:v>
                </c:pt>
                <c:pt idx="126">
                  <c:v>19240015</c:v>
                </c:pt>
                <c:pt idx="127">
                  <c:v>5561869</c:v>
                </c:pt>
                <c:pt idx="128">
                  <c:v>3012035</c:v>
                </c:pt>
                <c:pt idx="129">
                  <c:v>11849666</c:v>
                </c:pt>
                <c:pt idx="130">
                  <c:v>11824317</c:v>
                </c:pt>
                <c:pt idx="131">
                  <c:v>22266749</c:v>
                </c:pt>
                <c:pt idx="132">
                  <c:v>14991487</c:v>
                </c:pt>
                <c:pt idx="133">
                  <c:v>23276649</c:v>
                </c:pt>
                <c:pt idx="134">
                  <c:v>10157004</c:v>
                </c:pt>
                <c:pt idx="135">
                  <c:v>13170712</c:v>
                </c:pt>
                <c:pt idx="136">
                  <c:v>15900282</c:v>
                </c:pt>
                <c:pt idx="137">
                  <c:v>9306360</c:v>
                </c:pt>
                <c:pt idx="138">
                  <c:v>9708853</c:v>
                </c:pt>
                <c:pt idx="139">
                  <c:v>13632460</c:v>
                </c:pt>
                <c:pt idx="140">
                  <c:v>21562629</c:v>
                </c:pt>
                <c:pt idx="141">
                  <c:v>7040792</c:v>
                </c:pt>
                <c:pt idx="142">
                  <c:v>3307372</c:v>
                </c:pt>
                <c:pt idx="143">
                  <c:v>6929313</c:v>
                </c:pt>
                <c:pt idx="144">
                  <c:v>6094392</c:v>
                </c:pt>
                <c:pt idx="145">
                  <c:v>5069413</c:v>
                </c:pt>
                <c:pt idx="146">
                  <c:v>5216321</c:v>
                </c:pt>
                <c:pt idx="147">
                  <c:v>10160200</c:v>
                </c:pt>
                <c:pt idx="148">
                  <c:v>3664712</c:v>
                </c:pt>
                <c:pt idx="149">
                  <c:v>14319875</c:v>
                </c:pt>
                <c:pt idx="150">
                  <c:v>7539030</c:v>
                </c:pt>
                <c:pt idx="151">
                  <c:v>9710513</c:v>
                </c:pt>
                <c:pt idx="152">
                  <c:v>9813059</c:v>
                </c:pt>
                <c:pt idx="153">
                  <c:v>18920441</c:v>
                </c:pt>
                <c:pt idx="154">
                  <c:v>9387611</c:v>
                </c:pt>
                <c:pt idx="155">
                  <c:v>8767928</c:v>
                </c:pt>
                <c:pt idx="156">
                  <c:v>5382225</c:v>
                </c:pt>
                <c:pt idx="157">
                  <c:v>17656135</c:v>
                </c:pt>
                <c:pt idx="158">
                  <c:v>18805394</c:v>
                </c:pt>
                <c:pt idx="159">
                  <c:v>7640358</c:v>
                </c:pt>
                <c:pt idx="160">
                  <c:v>18732744</c:v>
                </c:pt>
                <c:pt idx="161">
                  <c:v>11145967</c:v>
                </c:pt>
                <c:pt idx="162">
                  <c:v>9965342</c:v>
                </c:pt>
                <c:pt idx="163">
                  <c:v>6256263</c:v>
                </c:pt>
                <c:pt idx="164">
                  <c:v>7181404</c:v>
                </c:pt>
                <c:pt idx="165">
                  <c:v>11002237</c:v>
                </c:pt>
                <c:pt idx="166">
                  <c:v>7725526</c:v>
                </c:pt>
                <c:pt idx="167">
                  <c:v>29699350</c:v>
                </c:pt>
                <c:pt idx="168">
                  <c:v>5671988</c:v>
                </c:pt>
                <c:pt idx="169">
                  <c:v>5610691</c:v>
                </c:pt>
                <c:pt idx="170">
                  <c:v>3238330</c:v>
                </c:pt>
                <c:pt idx="171">
                  <c:v>10709671</c:v>
                </c:pt>
                <c:pt idx="172">
                  <c:v>9118046</c:v>
                </c:pt>
                <c:pt idx="173">
                  <c:v>24177500</c:v>
                </c:pt>
                <c:pt idx="174">
                  <c:v>7387963</c:v>
                </c:pt>
                <c:pt idx="175">
                  <c:v>8099497</c:v>
                </c:pt>
                <c:pt idx="176">
                  <c:v>8377883</c:v>
                </c:pt>
                <c:pt idx="177">
                  <c:v>8816021</c:v>
                </c:pt>
                <c:pt idx="178">
                  <c:v>8749772</c:v>
                </c:pt>
                <c:pt idx="179">
                  <c:v>19485385</c:v>
                </c:pt>
                <c:pt idx="180">
                  <c:v>9549405</c:v>
                </c:pt>
                <c:pt idx="181">
                  <c:v>9682965</c:v>
                </c:pt>
                <c:pt idx="182">
                  <c:v>17851562</c:v>
                </c:pt>
                <c:pt idx="183">
                  <c:v>10476968</c:v>
                </c:pt>
                <c:pt idx="184">
                  <c:v>4093678</c:v>
                </c:pt>
                <c:pt idx="185">
                  <c:v>15453333</c:v>
                </c:pt>
                <c:pt idx="186">
                  <c:v>9757207</c:v>
                </c:pt>
                <c:pt idx="187">
                  <c:v>8912088</c:v>
                </c:pt>
                <c:pt idx="188">
                  <c:v>16331490</c:v>
                </c:pt>
                <c:pt idx="189">
                  <c:v>13255500</c:v>
                </c:pt>
                <c:pt idx="190">
                  <c:v>3188295</c:v>
                </c:pt>
                <c:pt idx="191">
                  <c:v>10194715</c:v>
                </c:pt>
                <c:pt idx="192">
                  <c:v>7865008</c:v>
                </c:pt>
                <c:pt idx="193">
                  <c:v>9941339</c:v>
                </c:pt>
                <c:pt idx="194">
                  <c:v>7107085</c:v>
                </c:pt>
                <c:pt idx="195">
                  <c:v>8809186</c:v>
                </c:pt>
                <c:pt idx="196">
                  <c:v>22325858</c:v>
                </c:pt>
                <c:pt idx="197">
                  <c:v>15354956</c:v>
                </c:pt>
                <c:pt idx="198">
                  <c:v>10456842</c:v>
                </c:pt>
                <c:pt idx="199">
                  <c:v>12766523</c:v>
                </c:pt>
                <c:pt idx="200">
                  <c:v>6475045</c:v>
                </c:pt>
                <c:pt idx="201">
                  <c:v>10011800</c:v>
                </c:pt>
                <c:pt idx="202">
                  <c:v>12253359</c:v>
                </c:pt>
                <c:pt idx="203">
                  <c:v>5401880</c:v>
                </c:pt>
                <c:pt idx="204">
                  <c:v>7450354</c:v>
                </c:pt>
                <c:pt idx="205">
                  <c:v>8353195</c:v>
                </c:pt>
                <c:pt idx="206">
                  <c:v>11305280</c:v>
                </c:pt>
                <c:pt idx="207">
                  <c:v>9760216</c:v>
                </c:pt>
                <c:pt idx="208">
                  <c:v>6140927</c:v>
                </c:pt>
                <c:pt idx="209">
                  <c:v>6549582</c:v>
                </c:pt>
                <c:pt idx="210">
                  <c:v>15728624</c:v>
                </c:pt>
                <c:pt idx="211">
                  <c:v>9820676</c:v>
                </c:pt>
                <c:pt idx="212">
                  <c:v>5441977</c:v>
                </c:pt>
                <c:pt idx="213">
                  <c:v>7211350</c:v>
                </c:pt>
                <c:pt idx="214">
                  <c:v>11932330</c:v>
                </c:pt>
                <c:pt idx="215">
                  <c:v>11987476</c:v>
                </c:pt>
                <c:pt idx="216">
                  <c:v>19810555</c:v>
                </c:pt>
                <c:pt idx="217">
                  <c:v>26915257</c:v>
                </c:pt>
                <c:pt idx="218">
                  <c:v>12290657</c:v>
                </c:pt>
                <c:pt idx="219">
                  <c:v>4275964</c:v>
                </c:pt>
                <c:pt idx="220">
                  <c:v>3775228</c:v>
                </c:pt>
                <c:pt idx="221">
                  <c:v>7077216</c:v>
                </c:pt>
                <c:pt idx="222">
                  <c:v>10015995</c:v>
                </c:pt>
                <c:pt idx="223">
                  <c:v>11881099</c:v>
                </c:pt>
                <c:pt idx="224">
                  <c:v>10012847</c:v>
                </c:pt>
                <c:pt idx="225">
                  <c:v>7447039</c:v>
                </c:pt>
                <c:pt idx="226">
                  <c:v>9788511</c:v>
                </c:pt>
                <c:pt idx="227">
                  <c:v>11993732</c:v>
                </c:pt>
                <c:pt idx="228">
                  <c:v>8906060</c:v>
                </c:pt>
                <c:pt idx="229">
                  <c:v>11428568</c:v>
                </c:pt>
                <c:pt idx="230">
                  <c:v>8572422</c:v>
                </c:pt>
                <c:pt idx="231">
                  <c:v>11287440</c:v>
                </c:pt>
                <c:pt idx="232">
                  <c:v>5905678</c:v>
                </c:pt>
                <c:pt idx="233">
                  <c:v>4629345</c:v>
                </c:pt>
                <c:pt idx="234">
                  <c:v>7851404</c:v>
                </c:pt>
                <c:pt idx="235">
                  <c:v>9308840</c:v>
                </c:pt>
                <c:pt idx="236">
                  <c:v>10214442</c:v>
                </c:pt>
                <c:pt idx="237">
                  <c:v>13236266</c:v>
                </c:pt>
                <c:pt idx="238">
                  <c:v>7000851</c:v>
                </c:pt>
                <c:pt idx="239">
                  <c:v>8162722</c:v>
                </c:pt>
                <c:pt idx="240">
                  <c:v>7916496</c:v>
                </c:pt>
                <c:pt idx="241">
                  <c:v>11164848</c:v>
                </c:pt>
                <c:pt idx="242">
                  <c:v>20743002</c:v>
                </c:pt>
                <c:pt idx="243">
                  <c:v>5700903</c:v>
                </c:pt>
                <c:pt idx="244">
                  <c:v>11391703</c:v>
                </c:pt>
                <c:pt idx="245">
                  <c:v>12825581</c:v>
                </c:pt>
                <c:pt idx="246">
                  <c:v>10799123</c:v>
                </c:pt>
                <c:pt idx="247">
                  <c:v>6406268</c:v>
                </c:pt>
                <c:pt idx="248">
                  <c:v>10284257</c:v>
                </c:pt>
                <c:pt idx="249">
                  <c:v>11285120</c:v>
                </c:pt>
                <c:pt idx="250">
                  <c:v>12298977</c:v>
                </c:pt>
                <c:pt idx="251">
                  <c:v>9256757</c:v>
                </c:pt>
                <c:pt idx="252">
                  <c:v>8919896</c:v>
                </c:pt>
                <c:pt idx="253">
                  <c:v>3364703</c:v>
                </c:pt>
                <c:pt idx="254">
                  <c:v>3561313</c:v>
                </c:pt>
                <c:pt idx="255">
                  <c:v>10009485</c:v>
                </c:pt>
                <c:pt idx="256">
                  <c:v>7495088</c:v>
                </c:pt>
                <c:pt idx="257">
                  <c:v>6623504</c:v>
                </c:pt>
                <c:pt idx="258">
                  <c:v>12051195</c:v>
                </c:pt>
                <c:pt idx="259">
                  <c:v>5567627</c:v>
                </c:pt>
                <c:pt idx="260">
                  <c:v>2293708</c:v>
                </c:pt>
                <c:pt idx="261">
                  <c:v>4336777</c:v>
                </c:pt>
                <c:pt idx="262">
                  <c:v>7887809</c:v>
                </c:pt>
                <c:pt idx="263">
                  <c:v>5973623</c:v>
                </c:pt>
                <c:pt idx="264">
                  <c:v>11704099</c:v>
                </c:pt>
                <c:pt idx="265">
                  <c:v>0</c:v>
                </c:pt>
                <c:pt idx="266">
                  <c:v>4752304</c:v>
                </c:pt>
                <c:pt idx="267">
                  <c:v>5026408</c:v>
                </c:pt>
                <c:pt idx="268">
                  <c:v>2291728</c:v>
                </c:pt>
                <c:pt idx="269">
                  <c:v>6638991</c:v>
                </c:pt>
                <c:pt idx="270">
                  <c:v>6756640</c:v>
                </c:pt>
                <c:pt idx="271">
                  <c:v>7210099</c:v>
                </c:pt>
                <c:pt idx="272">
                  <c:v>27669526</c:v>
                </c:pt>
                <c:pt idx="273">
                  <c:v>10897952</c:v>
                </c:pt>
                <c:pt idx="274">
                  <c:v>8274456</c:v>
                </c:pt>
                <c:pt idx="275">
                  <c:v>8948410</c:v>
                </c:pt>
                <c:pt idx="276">
                  <c:v>10921328</c:v>
                </c:pt>
                <c:pt idx="277">
                  <c:v>13426216</c:v>
                </c:pt>
                <c:pt idx="278">
                  <c:v>17845281</c:v>
                </c:pt>
                <c:pt idx="279">
                  <c:v>12006750</c:v>
                </c:pt>
                <c:pt idx="280">
                  <c:v>12725816</c:v>
                </c:pt>
                <c:pt idx="281">
                  <c:v>6430204</c:v>
                </c:pt>
                <c:pt idx="282">
                  <c:v>3581505</c:v>
                </c:pt>
                <c:pt idx="283">
                  <c:v>4957587</c:v>
                </c:pt>
                <c:pt idx="284">
                  <c:v>21791971</c:v>
                </c:pt>
                <c:pt idx="285">
                  <c:v>4375281</c:v>
                </c:pt>
                <c:pt idx="286">
                  <c:v>5363552</c:v>
                </c:pt>
                <c:pt idx="287">
                  <c:v>6884660</c:v>
                </c:pt>
                <c:pt idx="288">
                  <c:v>5617992</c:v>
                </c:pt>
                <c:pt idx="289">
                  <c:v>4723377</c:v>
                </c:pt>
                <c:pt idx="290">
                  <c:v>20129453</c:v>
                </c:pt>
                <c:pt idx="291">
                  <c:v>1953814</c:v>
                </c:pt>
                <c:pt idx="292">
                  <c:v>7701186</c:v>
                </c:pt>
                <c:pt idx="293">
                  <c:v>3230703</c:v>
                </c:pt>
                <c:pt idx="294">
                  <c:v>7467883</c:v>
                </c:pt>
                <c:pt idx="295">
                  <c:v>4675632</c:v>
                </c:pt>
                <c:pt idx="296">
                  <c:v>6887180</c:v>
                </c:pt>
                <c:pt idx="297">
                  <c:v>9622029</c:v>
                </c:pt>
                <c:pt idx="298">
                  <c:v>7340568</c:v>
                </c:pt>
                <c:pt idx="299">
                  <c:v>15636871</c:v>
                </c:pt>
                <c:pt idx="300">
                  <c:v>21828219</c:v>
                </c:pt>
                <c:pt idx="301">
                  <c:v>9531504</c:v>
                </c:pt>
                <c:pt idx="302">
                  <c:v>7430167</c:v>
                </c:pt>
                <c:pt idx="303">
                  <c:v>12173934</c:v>
                </c:pt>
                <c:pt idx="304">
                  <c:v>6774895</c:v>
                </c:pt>
                <c:pt idx="305">
                  <c:v>13748352</c:v>
                </c:pt>
                <c:pt idx="306">
                  <c:v>27265347</c:v>
                </c:pt>
                <c:pt idx="307">
                  <c:v>10839429</c:v>
                </c:pt>
                <c:pt idx="308">
                  <c:v>11657176</c:v>
                </c:pt>
                <c:pt idx="309">
                  <c:v>17381544</c:v>
                </c:pt>
                <c:pt idx="310">
                  <c:v>4790129</c:v>
                </c:pt>
                <c:pt idx="311">
                  <c:v>23548421</c:v>
                </c:pt>
                <c:pt idx="312">
                  <c:v>2617795</c:v>
                </c:pt>
                <c:pt idx="313">
                  <c:v>26082790</c:v>
                </c:pt>
                <c:pt idx="314">
                  <c:v>6532258</c:v>
                </c:pt>
                <c:pt idx="315">
                  <c:v>7604577</c:v>
                </c:pt>
                <c:pt idx="316">
                  <c:v>5945415</c:v>
                </c:pt>
                <c:pt idx="317">
                  <c:v>5787700</c:v>
                </c:pt>
                <c:pt idx="318">
                  <c:v>7364276</c:v>
                </c:pt>
                <c:pt idx="319">
                  <c:v>9084494</c:v>
                </c:pt>
                <c:pt idx="320">
                  <c:v>7973635</c:v>
                </c:pt>
                <c:pt idx="321">
                  <c:v>9900841</c:v>
                </c:pt>
                <c:pt idx="322">
                  <c:v>15782634</c:v>
                </c:pt>
                <c:pt idx="323">
                  <c:v>5108879</c:v>
                </c:pt>
                <c:pt idx="324">
                  <c:v>3058414</c:v>
                </c:pt>
                <c:pt idx="325">
                  <c:v>3511292</c:v>
                </c:pt>
                <c:pt idx="326">
                  <c:v>6855392</c:v>
                </c:pt>
                <c:pt idx="327">
                  <c:v>6639887</c:v>
                </c:pt>
                <c:pt idx="328">
                  <c:v>9286065</c:v>
                </c:pt>
                <c:pt idx="329">
                  <c:v>7792870</c:v>
                </c:pt>
                <c:pt idx="330">
                  <c:v>5495765</c:v>
                </c:pt>
                <c:pt idx="331">
                  <c:v>3955770</c:v>
                </c:pt>
                <c:pt idx="332">
                  <c:v>10035800</c:v>
                </c:pt>
                <c:pt idx="333">
                  <c:v>22993992</c:v>
                </c:pt>
                <c:pt idx="334">
                  <c:v>15331118</c:v>
                </c:pt>
                <c:pt idx="335">
                  <c:v>8720346</c:v>
                </c:pt>
                <c:pt idx="336">
                  <c:v>21977263</c:v>
                </c:pt>
                <c:pt idx="337">
                  <c:v>10708335</c:v>
                </c:pt>
                <c:pt idx="338">
                  <c:v>13867934</c:v>
                </c:pt>
                <c:pt idx="339">
                  <c:v>15640529</c:v>
                </c:pt>
                <c:pt idx="340">
                  <c:v>13098913</c:v>
                </c:pt>
                <c:pt idx="341">
                  <c:v>6525321</c:v>
                </c:pt>
                <c:pt idx="342">
                  <c:v>7027346</c:v>
                </c:pt>
                <c:pt idx="343">
                  <c:v>6316546</c:v>
                </c:pt>
                <c:pt idx="344">
                  <c:v>7441616</c:v>
                </c:pt>
                <c:pt idx="345">
                  <c:v>13576448</c:v>
                </c:pt>
                <c:pt idx="346">
                  <c:v>10028818</c:v>
                </c:pt>
                <c:pt idx="347">
                  <c:v>10021642</c:v>
                </c:pt>
                <c:pt idx="348">
                  <c:v>6676383</c:v>
                </c:pt>
                <c:pt idx="349">
                  <c:v>7362450</c:v>
                </c:pt>
                <c:pt idx="350">
                  <c:v>8663346</c:v>
                </c:pt>
                <c:pt idx="351">
                  <c:v>3214091</c:v>
                </c:pt>
                <c:pt idx="352">
                  <c:v>5971981</c:v>
                </c:pt>
                <c:pt idx="353">
                  <c:v>7650790</c:v>
                </c:pt>
                <c:pt idx="354">
                  <c:v>16750581</c:v>
                </c:pt>
                <c:pt idx="355">
                  <c:v>6412200</c:v>
                </c:pt>
                <c:pt idx="356">
                  <c:v>2880160</c:v>
                </c:pt>
                <c:pt idx="357">
                  <c:v>3817618</c:v>
                </c:pt>
                <c:pt idx="358">
                  <c:v>5911673</c:v>
                </c:pt>
                <c:pt idx="359">
                  <c:v>12201626</c:v>
                </c:pt>
                <c:pt idx="360">
                  <c:v>3382345</c:v>
                </c:pt>
                <c:pt idx="361">
                  <c:v>7520979</c:v>
                </c:pt>
                <c:pt idx="362">
                  <c:v>2964605</c:v>
                </c:pt>
                <c:pt idx="363">
                  <c:v>13893007</c:v>
                </c:pt>
                <c:pt idx="364">
                  <c:v>6395661</c:v>
                </c:pt>
                <c:pt idx="365">
                  <c:v>8436200</c:v>
                </c:pt>
                <c:pt idx="366">
                  <c:v>8983700</c:v>
                </c:pt>
                <c:pt idx="367">
                  <c:v>20202926</c:v>
                </c:pt>
                <c:pt idx="368">
                  <c:v>4332536</c:v>
                </c:pt>
                <c:pt idx="369">
                  <c:v>1224815</c:v>
                </c:pt>
                <c:pt idx="370">
                  <c:v>3935015</c:v>
                </c:pt>
                <c:pt idx="371">
                  <c:v>13457930</c:v>
                </c:pt>
                <c:pt idx="372">
                  <c:v>1479931</c:v>
                </c:pt>
                <c:pt idx="373">
                  <c:v>1488796</c:v>
                </c:pt>
                <c:pt idx="374">
                  <c:v>3051962</c:v>
                </c:pt>
                <c:pt idx="375">
                  <c:v>5262400</c:v>
                </c:pt>
                <c:pt idx="376">
                  <c:v>3146757</c:v>
                </c:pt>
                <c:pt idx="377">
                  <c:v>2761749</c:v>
                </c:pt>
                <c:pt idx="378">
                  <c:v>3075050</c:v>
                </c:pt>
                <c:pt idx="379">
                  <c:v>3900090</c:v>
                </c:pt>
                <c:pt idx="380">
                  <c:v>2432315</c:v>
                </c:pt>
                <c:pt idx="381">
                  <c:v>5410104</c:v>
                </c:pt>
                <c:pt idx="382">
                  <c:v>5096280</c:v>
                </c:pt>
                <c:pt idx="383">
                  <c:v>2813317</c:v>
                </c:pt>
                <c:pt idx="384">
                  <c:v>3234063</c:v>
                </c:pt>
                <c:pt idx="385">
                  <c:v>2315700</c:v>
                </c:pt>
                <c:pt idx="386">
                  <c:v>3312716</c:v>
                </c:pt>
                <c:pt idx="387">
                  <c:v>1938939</c:v>
                </c:pt>
                <c:pt idx="388">
                  <c:v>3485285</c:v>
                </c:pt>
                <c:pt idx="389">
                  <c:v>5287519</c:v>
                </c:pt>
                <c:pt idx="390">
                  <c:v>2618158</c:v>
                </c:pt>
                <c:pt idx="391">
                  <c:v>3865147</c:v>
                </c:pt>
                <c:pt idx="392">
                  <c:v>5031889</c:v>
                </c:pt>
                <c:pt idx="393">
                  <c:v>2117597</c:v>
                </c:pt>
                <c:pt idx="394">
                  <c:v>3360176</c:v>
                </c:pt>
                <c:pt idx="395">
                  <c:v>5061964</c:v>
                </c:pt>
                <c:pt idx="396">
                  <c:v>2943044</c:v>
                </c:pt>
                <c:pt idx="397">
                  <c:v>2969893</c:v>
                </c:pt>
                <c:pt idx="398">
                  <c:v>2550095</c:v>
                </c:pt>
                <c:pt idx="399">
                  <c:v>3500747</c:v>
                </c:pt>
                <c:pt idx="400">
                  <c:v>3574674</c:v>
                </c:pt>
                <c:pt idx="401">
                  <c:v>1707574</c:v>
                </c:pt>
                <c:pt idx="402">
                  <c:v>2643747</c:v>
                </c:pt>
                <c:pt idx="403">
                  <c:v>4607008</c:v>
                </c:pt>
                <c:pt idx="404">
                  <c:v>6352541</c:v>
                </c:pt>
                <c:pt idx="405">
                  <c:v>2727490</c:v>
                </c:pt>
                <c:pt idx="406">
                  <c:v>3871656</c:v>
                </c:pt>
                <c:pt idx="407">
                  <c:v>2645056</c:v>
                </c:pt>
                <c:pt idx="408">
                  <c:v>1187865</c:v>
                </c:pt>
                <c:pt idx="409">
                  <c:v>1986756</c:v>
                </c:pt>
                <c:pt idx="410">
                  <c:v>4311389</c:v>
                </c:pt>
                <c:pt idx="411">
                  <c:v>6089075</c:v>
                </c:pt>
                <c:pt idx="412">
                  <c:v>1930955</c:v>
                </c:pt>
                <c:pt idx="413">
                  <c:v>3596556</c:v>
                </c:pt>
                <c:pt idx="414">
                  <c:v>3009600</c:v>
                </c:pt>
                <c:pt idx="415">
                  <c:v>3375421</c:v>
                </c:pt>
                <c:pt idx="416">
                  <c:v>4570491</c:v>
                </c:pt>
                <c:pt idx="417">
                  <c:v>4440561</c:v>
                </c:pt>
                <c:pt idx="418">
                  <c:v>5464949</c:v>
                </c:pt>
                <c:pt idx="419">
                  <c:v>3910786</c:v>
                </c:pt>
                <c:pt idx="420">
                  <c:v>3633240</c:v>
                </c:pt>
                <c:pt idx="421">
                  <c:v>4637091</c:v>
                </c:pt>
                <c:pt idx="422">
                  <c:v>3621949</c:v>
                </c:pt>
                <c:pt idx="423">
                  <c:v>5948913</c:v>
                </c:pt>
                <c:pt idx="424">
                  <c:v>5259338</c:v>
                </c:pt>
                <c:pt idx="425">
                  <c:v>3762558</c:v>
                </c:pt>
                <c:pt idx="426">
                  <c:v>2682617</c:v>
                </c:pt>
                <c:pt idx="427">
                  <c:v>10765210</c:v>
                </c:pt>
                <c:pt idx="428">
                  <c:v>1717434</c:v>
                </c:pt>
                <c:pt idx="429">
                  <c:v>4635536</c:v>
                </c:pt>
                <c:pt idx="430">
                  <c:v>7342078</c:v>
                </c:pt>
                <c:pt idx="431">
                  <c:v>6252573</c:v>
                </c:pt>
                <c:pt idx="432">
                  <c:v>3545333</c:v>
                </c:pt>
                <c:pt idx="433">
                  <c:v>6970097</c:v>
                </c:pt>
                <c:pt idx="434">
                  <c:v>4174928</c:v>
                </c:pt>
                <c:pt idx="435">
                  <c:v>3139152</c:v>
                </c:pt>
                <c:pt idx="436">
                  <c:v>3073225</c:v>
                </c:pt>
                <c:pt idx="437">
                  <c:v>3735512</c:v>
                </c:pt>
                <c:pt idx="438">
                  <c:v>3489879</c:v>
                </c:pt>
                <c:pt idx="439">
                  <c:v>2984895</c:v>
                </c:pt>
                <c:pt idx="440">
                  <c:v>2163632</c:v>
                </c:pt>
                <c:pt idx="441">
                  <c:v>7243507</c:v>
                </c:pt>
                <c:pt idx="442">
                  <c:v>3027511</c:v>
                </c:pt>
                <c:pt idx="443">
                  <c:v>2103773</c:v>
                </c:pt>
                <c:pt idx="444">
                  <c:v>3190708</c:v>
                </c:pt>
                <c:pt idx="445">
                  <c:v>4709684</c:v>
                </c:pt>
                <c:pt idx="446">
                  <c:v>8009894</c:v>
                </c:pt>
                <c:pt idx="447">
                  <c:v>2085099</c:v>
                </c:pt>
                <c:pt idx="448">
                  <c:v>4041085</c:v>
                </c:pt>
                <c:pt idx="449">
                  <c:v>3414578</c:v>
                </c:pt>
                <c:pt idx="450">
                  <c:v>2435668</c:v>
                </c:pt>
                <c:pt idx="451">
                  <c:v>3275620</c:v>
                </c:pt>
                <c:pt idx="452">
                  <c:v>3097329</c:v>
                </c:pt>
                <c:pt idx="453">
                  <c:v>8760936</c:v>
                </c:pt>
                <c:pt idx="454">
                  <c:v>23087451</c:v>
                </c:pt>
                <c:pt idx="455">
                  <c:v>25611932</c:v>
                </c:pt>
                <c:pt idx="456">
                  <c:v>26780253</c:v>
                </c:pt>
                <c:pt idx="457">
                  <c:v>8033256</c:v>
                </c:pt>
                <c:pt idx="458">
                  <c:v>13228448</c:v>
                </c:pt>
                <c:pt idx="459">
                  <c:v>13977757</c:v>
                </c:pt>
                <c:pt idx="460">
                  <c:v>13579958</c:v>
                </c:pt>
                <c:pt idx="461">
                  <c:v>16169555</c:v>
                </c:pt>
                <c:pt idx="462">
                  <c:v>10633437</c:v>
                </c:pt>
                <c:pt idx="463">
                  <c:v>6867667</c:v>
                </c:pt>
                <c:pt idx="464">
                  <c:v>10566591</c:v>
                </c:pt>
                <c:pt idx="465">
                  <c:v>5344438</c:v>
                </c:pt>
                <c:pt idx="466">
                  <c:v>7408297</c:v>
                </c:pt>
                <c:pt idx="467">
                  <c:v>14888801</c:v>
                </c:pt>
                <c:pt idx="468">
                  <c:v>11078498</c:v>
                </c:pt>
                <c:pt idx="469">
                  <c:v>4077421</c:v>
                </c:pt>
                <c:pt idx="470">
                  <c:v>9055573</c:v>
                </c:pt>
                <c:pt idx="471">
                  <c:v>9657934</c:v>
                </c:pt>
                <c:pt idx="472">
                  <c:v>8364757</c:v>
                </c:pt>
                <c:pt idx="473">
                  <c:v>7465080</c:v>
                </c:pt>
                <c:pt idx="474">
                  <c:v>10449657</c:v>
                </c:pt>
                <c:pt idx="475">
                  <c:v>6481589</c:v>
                </c:pt>
                <c:pt idx="476">
                  <c:v>10928427</c:v>
                </c:pt>
                <c:pt idx="477">
                  <c:v>4286622</c:v>
                </c:pt>
                <c:pt idx="478">
                  <c:v>3994505</c:v>
                </c:pt>
                <c:pt idx="479">
                  <c:v>1280032</c:v>
                </c:pt>
                <c:pt idx="480">
                  <c:v>7964707</c:v>
                </c:pt>
                <c:pt idx="481">
                  <c:v>4705922</c:v>
                </c:pt>
                <c:pt idx="482">
                  <c:v>4534984</c:v>
                </c:pt>
                <c:pt idx="483">
                  <c:v>8528545</c:v>
                </c:pt>
                <c:pt idx="484">
                  <c:v>11093580</c:v>
                </c:pt>
                <c:pt idx="485">
                  <c:v>8718453</c:v>
                </c:pt>
                <c:pt idx="486">
                  <c:v>8894859</c:v>
                </c:pt>
                <c:pt idx="487">
                  <c:v>11597608</c:v>
                </c:pt>
                <c:pt idx="488">
                  <c:v>20549889</c:v>
                </c:pt>
                <c:pt idx="489">
                  <c:v>8537192</c:v>
                </c:pt>
                <c:pt idx="490">
                  <c:v>7894260</c:v>
                </c:pt>
                <c:pt idx="491">
                  <c:v>5891061</c:v>
                </c:pt>
                <c:pt idx="492">
                  <c:v>1539929</c:v>
                </c:pt>
                <c:pt idx="493">
                  <c:v>10445692</c:v>
                </c:pt>
                <c:pt idx="494">
                  <c:v>16695925</c:v>
                </c:pt>
                <c:pt idx="495">
                  <c:v>14363142</c:v>
                </c:pt>
                <c:pt idx="496">
                  <c:v>8965417</c:v>
                </c:pt>
                <c:pt idx="497">
                  <c:v>4726875</c:v>
                </c:pt>
                <c:pt idx="498">
                  <c:v>12259678</c:v>
                </c:pt>
                <c:pt idx="499">
                  <c:v>3233319</c:v>
                </c:pt>
                <c:pt idx="500">
                  <c:v>9332070</c:v>
                </c:pt>
                <c:pt idx="501">
                  <c:v>12365736</c:v>
                </c:pt>
                <c:pt idx="502">
                  <c:v>6934389</c:v>
                </c:pt>
                <c:pt idx="503">
                  <c:v>9191683</c:v>
                </c:pt>
                <c:pt idx="504">
                  <c:v>14048485</c:v>
                </c:pt>
                <c:pt idx="505">
                  <c:v>9590101</c:v>
                </c:pt>
                <c:pt idx="506">
                  <c:v>7637528</c:v>
                </c:pt>
                <c:pt idx="507">
                  <c:v>12913039</c:v>
                </c:pt>
                <c:pt idx="508">
                  <c:v>6903565</c:v>
                </c:pt>
                <c:pt idx="509">
                  <c:v>12724759</c:v>
                </c:pt>
                <c:pt idx="510">
                  <c:v>6555468</c:v>
                </c:pt>
                <c:pt idx="511">
                  <c:v>8417462</c:v>
                </c:pt>
                <c:pt idx="512">
                  <c:v>5833734</c:v>
                </c:pt>
                <c:pt idx="513">
                  <c:v>3074028</c:v>
                </c:pt>
                <c:pt idx="514">
                  <c:v>23881657</c:v>
                </c:pt>
                <c:pt idx="515">
                  <c:v>11605348</c:v>
                </c:pt>
                <c:pt idx="516">
                  <c:v>8087904</c:v>
                </c:pt>
                <c:pt idx="517">
                  <c:v>12410850</c:v>
                </c:pt>
                <c:pt idx="518">
                  <c:v>10390693</c:v>
                </c:pt>
                <c:pt idx="519">
                  <c:v>9586933</c:v>
                </c:pt>
                <c:pt idx="520">
                  <c:v>1729861</c:v>
                </c:pt>
                <c:pt idx="521">
                  <c:v>19846334</c:v>
                </c:pt>
                <c:pt idx="522">
                  <c:v>13818432</c:v>
                </c:pt>
                <c:pt idx="523">
                  <c:v>8684379</c:v>
                </c:pt>
                <c:pt idx="524">
                  <c:v>8405762</c:v>
                </c:pt>
                <c:pt idx="525">
                  <c:v>10682508</c:v>
                </c:pt>
                <c:pt idx="526">
                  <c:v>6549175</c:v>
                </c:pt>
                <c:pt idx="527">
                  <c:v>4812638</c:v>
                </c:pt>
                <c:pt idx="528">
                  <c:v>6222420</c:v>
                </c:pt>
                <c:pt idx="529">
                  <c:v>9025063</c:v>
                </c:pt>
                <c:pt idx="530">
                  <c:v>5049118</c:v>
                </c:pt>
                <c:pt idx="531">
                  <c:v>15605814</c:v>
                </c:pt>
                <c:pt idx="532">
                  <c:v>10738395</c:v>
                </c:pt>
                <c:pt idx="533">
                  <c:v>7739885</c:v>
                </c:pt>
                <c:pt idx="534">
                  <c:v>3437225</c:v>
                </c:pt>
                <c:pt idx="535">
                  <c:v>7485236</c:v>
                </c:pt>
                <c:pt idx="536">
                  <c:v>3682531</c:v>
                </c:pt>
                <c:pt idx="537">
                  <c:v>7167407</c:v>
                </c:pt>
                <c:pt idx="538">
                  <c:v>6585704</c:v>
                </c:pt>
                <c:pt idx="539">
                  <c:v>13360363</c:v>
                </c:pt>
                <c:pt idx="540">
                  <c:v>8154580</c:v>
                </c:pt>
                <c:pt idx="541">
                  <c:v>6905818</c:v>
                </c:pt>
                <c:pt idx="542">
                  <c:v>8985197</c:v>
                </c:pt>
                <c:pt idx="543">
                  <c:v>8839844</c:v>
                </c:pt>
                <c:pt idx="544">
                  <c:v>8530493</c:v>
                </c:pt>
                <c:pt idx="545">
                  <c:v>25106746</c:v>
                </c:pt>
                <c:pt idx="546">
                  <c:v>26897890</c:v>
                </c:pt>
                <c:pt idx="547">
                  <c:v>7919997</c:v>
                </c:pt>
                <c:pt idx="548">
                  <c:v>4677864</c:v>
                </c:pt>
                <c:pt idx="549">
                  <c:v>10266167</c:v>
                </c:pt>
                <c:pt idx="550">
                  <c:v>7277767</c:v>
                </c:pt>
                <c:pt idx="551">
                  <c:v>19241126</c:v>
                </c:pt>
                <c:pt idx="552">
                  <c:v>14031062</c:v>
                </c:pt>
                <c:pt idx="553">
                  <c:v>13590688</c:v>
                </c:pt>
                <c:pt idx="554">
                  <c:v>6217178</c:v>
                </c:pt>
                <c:pt idx="555">
                  <c:v>1438356</c:v>
                </c:pt>
                <c:pt idx="556">
                  <c:v>14749816</c:v>
                </c:pt>
                <c:pt idx="557">
                  <c:v>13653078</c:v>
                </c:pt>
                <c:pt idx="558">
                  <c:v>5126046</c:v>
                </c:pt>
                <c:pt idx="559">
                  <c:v>8339565</c:v>
                </c:pt>
                <c:pt idx="560">
                  <c:v>9500648</c:v>
                </c:pt>
                <c:pt idx="561">
                  <c:v>6312917</c:v>
                </c:pt>
                <c:pt idx="562">
                  <c:v>9614056</c:v>
                </c:pt>
                <c:pt idx="563">
                  <c:v>4760385</c:v>
                </c:pt>
                <c:pt idx="564">
                  <c:v>17822654</c:v>
                </c:pt>
                <c:pt idx="565">
                  <c:v>22203235</c:v>
                </c:pt>
                <c:pt idx="566">
                  <c:v>1881572</c:v>
                </c:pt>
                <c:pt idx="567">
                  <c:v>9108341</c:v>
                </c:pt>
                <c:pt idx="568">
                  <c:v>10609699</c:v>
                </c:pt>
                <c:pt idx="569">
                  <c:v>4039856</c:v>
                </c:pt>
                <c:pt idx="570">
                  <c:v>7005055</c:v>
                </c:pt>
                <c:pt idx="571">
                  <c:v>9416580</c:v>
                </c:pt>
                <c:pt idx="572">
                  <c:v>8583661</c:v>
                </c:pt>
                <c:pt idx="573">
                  <c:v>7276310</c:v>
                </c:pt>
                <c:pt idx="574">
                  <c:v>22927397</c:v>
                </c:pt>
                <c:pt idx="575">
                  <c:v>5161471</c:v>
                </c:pt>
                <c:pt idx="576">
                  <c:v>27727082</c:v>
                </c:pt>
                <c:pt idx="577">
                  <c:v>5572421</c:v>
                </c:pt>
                <c:pt idx="578">
                  <c:v>10749168</c:v>
                </c:pt>
                <c:pt idx="579">
                  <c:v>21461686</c:v>
                </c:pt>
                <c:pt idx="580">
                  <c:v>16477785</c:v>
                </c:pt>
                <c:pt idx="581">
                  <c:v>3391193</c:v>
                </c:pt>
                <c:pt idx="582">
                  <c:v>2670784</c:v>
                </c:pt>
                <c:pt idx="583">
                  <c:v>8276010</c:v>
                </c:pt>
                <c:pt idx="584">
                  <c:v>11037091</c:v>
                </c:pt>
                <c:pt idx="585">
                  <c:v>8228397</c:v>
                </c:pt>
                <c:pt idx="586">
                  <c:v>7578696</c:v>
                </c:pt>
                <c:pt idx="587">
                  <c:v>7427005</c:v>
                </c:pt>
                <c:pt idx="588">
                  <c:v>5348327</c:v>
                </c:pt>
                <c:pt idx="589">
                  <c:v>5316747</c:v>
                </c:pt>
                <c:pt idx="590">
                  <c:v>9192420</c:v>
                </c:pt>
                <c:pt idx="591">
                  <c:v>13013568</c:v>
                </c:pt>
                <c:pt idx="592">
                  <c:v>16791993</c:v>
                </c:pt>
                <c:pt idx="593">
                  <c:v>8453421</c:v>
                </c:pt>
                <c:pt idx="594">
                  <c:v>12808464</c:v>
                </c:pt>
                <c:pt idx="595">
                  <c:v>3022364</c:v>
                </c:pt>
                <c:pt idx="596">
                  <c:v>5529097</c:v>
                </c:pt>
                <c:pt idx="597">
                  <c:v>13104779</c:v>
                </c:pt>
                <c:pt idx="598">
                  <c:v>30174769</c:v>
                </c:pt>
                <c:pt idx="599">
                  <c:v>6041327</c:v>
                </c:pt>
                <c:pt idx="600">
                  <c:v>20926138</c:v>
                </c:pt>
                <c:pt idx="601">
                  <c:v>8812387</c:v>
                </c:pt>
                <c:pt idx="602">
                  <c:v>11247568</c:v>
                </c:pt>
                <c:pt idx="603">
                  <c:v>10077827</c:v>
                </c:pt>
                <c:pt idx="604">
                  <c:v>2664817</c:v>
                </c:pt>
                <c:pt idx="605">
                  <c:v>14068349</c:v>
                </c:pt>
                <c:pt idx="606">
                  <c:v>14172551</c:v>
                </c:pt>
                <c:pt idx="607">
                  <c:v>10491632</c:v>
                </c:pt>
                <c:pt idx="608">
                  <c:v>9931891</c:v>
                </c:pt>
                <c:pt idx="609">
                  <c:v>12604363</c:v>
                </c:pt>
                <c:pt idx="610">
                  <c:v>9671950</c:v>
                </c:pt>
                <c:pt idx="611">
                  <c:v>3042566</c:v>
                </c:pt>
                <c:pt idx="612">
                  <c:v>11995778</c:v>
                </c:pt>
                <c:pt idx="613">
                  <c:v>5976501</c:v>
                </c:pt>
                <c:pt idx="614">
                  <c:v>23311644</c:v>
                </c:pt>
                <c:pt idx="615">
                  <c:v>10299955</c:v>
                </c:pt>
                <c:pt idx="616">
                  <c:v>10100956</c:v>
                </c:pt>
                <c:pt idx="617">
                  <c:v>8682985</c:v>
                </c:pt>
                <c:pt idx="618">
                  <c:v>3403526</c:v>
                </c:pt>
                <c:pt idx="619">
                  <c:v>6087685</c:v>
                </c:pt>
                <c:pt idx="620">
                  <c:v>24876213</c:v>
                </c:pt>
                <c:pt idx="621">
                  <c:v>12695962</c:v>
                </c:pt>
                <c:pt idx="622">
                  <c:v>16393678</c:v>
                </c:pt>
                <c:pt idx="623">
                  <c:v>15307149</c:v>
                </c:pt>
                <c:pt idx="624">
                  <c:v>16311047</c:v>
                </c:pt>
                <c:pt idx="625">
                  <c:v>6180949</c:v>
                </c:pt>
                <c:pt idx="626">
                  <c:v>13165737</c:v>
                </c:pt>
                <c:pt idx="627">
                  <c:v>10803374</c:v>
                </c:pt>
                <c:pt idx="628">
                  <c:v>12160734</c:v>
                </c:pt>
                <c:pt idx="629">
                  <c:v>14492082</c:v>
                </c:pt>
                <c:pt idx="630">
                  <c:v>5793673</c:v>
                </c:pt>
                <c:pt idx="631">
                  <c:v>9939949</c:v>
                </c:pt>
                <c:pt idx="632">
                  <c:v>4156769</c:v>
                </c:pt>
                <c:pt idx="633">
                  <c:v>11932247</c:v>
                </c:pt>
                <c:pt idx="634">
                  <c:v>10688391</c:v>
                </c:pt>
                <c:pt idx="635">
                  <c:v>5217375</c:v>
                </c:pt>
                <c:pt idx="636">
                  <c:v>6406010</c:v>
                </c:pt>
                <c:pt idx="637">
                  <c:v>28260112</c:v>
                </c:pt>
                <c:pt idx="638">
                  <c:v>13685387</c:v>
                </c:pt>
                <c:pt idx="639">
                  <c:v>12027132</c:v>
                </c:pt>
                <c:pt idx="640">
                  <c:v>11724126</c:v>
                </c:pt>
                <c:pt idx="641">
                  <c:v>16712486</c:v>
                </c:pt>
                <c:pt idx="642">
                  <c:v>24697210</c:v>
                </c:pt>
                <c:pt idx="643">
                  <c:v>12289124</c:v>
                </c:pt>
                <c:pt idx="644">
                  <c:v>12356683</c:v>
                </c:pt>
                <c:pt idx="645">
                  <c:v>8225983</c:v>
                </c:pt>
                <c:pt idx="646">
                  <c:v>7363333</c:v>
                </c:pt>
                <c:pt idx="647">
                  <c:v>7592576</c:v>
                </c:pt>
                <c:pt idx="648">
                  <c:v>7631568</c:v>
                </c:pt>
                <c:pt idx="649">
                  <c:v>14319406</c:v>
                </c:pt>
                <c:pt idx="650">
                  <c:v>12464875</c:v>
                </c:pt>
                <c:pt idx="651">
                  <c:v>23080685</c:v>
                </c:pt>
                <c:pt idx="652">
                  <c:v>10129738</c:v>
                </c:pt>
                <c:pt idx="653">
                  <c:v>12562710</c:v>
                </c:pt>
                <c:pt idx="654">
                  <c:v>6262898</c:v>
                </c:pt>
                <c:pt idx="655">
                  <c:v>14486309</c:v>
                </c:pt>
                <c:pt idx="656">
                  <c:v>16089877</c:v>
                </c:pt>
                <c:pt idx="657">
                  <c:v>15448826</c:v>
                </c:pt>
                <c:pt idx="658">
                  <c:v>10612876</c:v>
                </c:pt>
                <c:pt idx="659">
                  <c:v>9641235</c:v>
                </c:pt>
                <c:pt idx="660">
                  <c:v>7113306</c:v>
                </c:pt>
                <c:pt idx="661">
                  <c:v>9260622</c:v>
                </c:pt>
                <c:pt idx="662">
                  <c:v>9169937</c:v>
                </c:pt>
                <c:pt idx="663">
                  <c:v>7893975</c:v>
                </c:pt>
                <c:pt idx="664">
                  <c:v>10178328</c:v>
                </c:pt>
                <c:pt idx="665">
                  <c:v>4978683</c:v>
                </c:pt>
                <c:pt idx="666">
                  <c:v>3206207</c:v>
                </c:pt>
                <c:pt idx="667">
                  <c:v>25025636</c:v>
                </c:pt>
                <c:pt idx="668">
                  <c:v>34414966</c:v>
                </c:pt>
                <c:pt idx="669">
                  <c:v>10106952</c:v>
                </c:pt>
                <c:pt idx="670">
                  <c:v>9250300</c:v>
                </c:pt>
                <c:pt idx="671">
                  <c:v>16252139</c:v>
                </c:pt>
                <c:pt idx="672">
                  <c:v>16087912</c:v>
                </c:pt>
                <c:pt idx="673">
                  <c:v>15049057</c:v>
                </c:pt>
                <c:pt idx="674">
                  <c:v>15361149</c:v>
                </c:pt>
                <c:pt idx="675">
                  <c:v>16548204</c:v>
                </c:pt>
                <c:pt idx="676">
                  <c:v>14123908</c:v>
                </c:pt>
                <c:pt idx="677">
                  <c:v>16348302</c:v>
                </c:pt>
                <c:pt idx="678">
                  <c:v>24704800</c:v>
                </c:pt>
                <c:pt idx="679">
                  <c:v>9445828</c:v>
                </c:pt>
                <c:pt idx="680">
                  <c:v>12160255</c:v>
                </c:pt>
                <c:pt idx="681">
                  <c:v>6986431</c:v>
                </c:pt>
                <c:pt idx="682">
                  <c:v>20147838</c:v>
                </c:pt>
                <c:pt idx="683">
                  <c:v>27104531</c:v>
                </c:pt>
                <c:pt idx="684">
                  <c:v>15330802</c:v>
                </c:pt>
                <c:pt idx="685">
                  <c:v>10904311</c:v>
                </c:pt>
                <c:pt idx="686">
                  <c:v>27303704</c:v>
                </c:pt>
                <c:pt idx="687">
                  <c:v>31401277</c:v>
                </c:pt>
                <c:pt idx="688">
                  <c:v>14440362</c:v>
                </c:pt>
                <c:pt idx="689">
                  <c:v>22609570</c:v>
                </c:pt>
                <c:pt idx="690">
                  <c:v>14677422</c:v>
                </c:pt>
                <c:pt idx="691">
                  <c:v>11230479</c:v>
                </c:pt>
                <c:pt idx="692">
                  <c:v>7851012</c:v>
                </c:pt>
                <c:pt idx="693">
                  <c:v>5193679</c:v>
                </c:pt>
                <c:pt idx="694">
                  <c:v>5296826</c:v>
                </c:pt>
                <c:pt idx="695">
                  <c:v>7293904</c:v>
                </c:pt>
                <c:pt idx="696">
                  <c:v>6608657</c:v>
                </c:pt>
                <c:pt idx="697">
                  <c:v>21965854</c:v>
                </c:pt>
                <c:pt idx="698">
                  <c:v>10606517</c:v>
                </c:pt>
                <c:pt idx="699">
                  <c:v>23771834</c:v>
                </c:pt>
                <c:pt idx="700">
                  <c:v>9289299</c:v>
                </c:pt>
                <c:pt idx="701">
                  <c:v>19982278</c:v>
                </c:pt>
                <c:pt idx="702">
                  <c:v>17121955</c:v>
                </c:pt>
                <c:pt idx="703">
                  <c:v>12019505</c:v>
                </c:pt>
                <c:pt idx="704">
                  <c:v>11761805</c:v>
                </c:pt>
                <c:pt idx="705">
                  <c:v>14033798</c:v>
                </c:pt>
                <c:pt idx="706">
                  <c:v>9243976</c:v>
                </c:pt>
                <c:pt idx="707">
                  <c:v>10189009</c:v>
                </c:pt>
                <c:pt idx="708">
                  <c:v>14492888</c:v>
                </c:pt>
                <c:pt idx="709">
                  <c:v>5719591</c:v>
                </c:pt>
                <c:pt idx="710">
                  <c:v>9881780</c:v>
                </c:pt>
                <c:pt idx="711">
                  <c:v>8672191</c:v>
                </c:pt>
                <c:pt idx="712">
                  <c:v>24505484</c:v>
                </c:pt>
                <c:pt idx="713">
                  <c:v>11134706</c:v>
                </c:pt>
                <c:pt idx="714">
                  <c:v>39439344</c:v>
                </c:pt>
                <c:pt idx="715">
                  <c:v>17171684</c:v>
                </c:pt>
                <c:pt idx="716">
                  <c:v>7798257</c:v>
                </c:pt>
                <c:pt idx="717">
                  <c:v>4687149</c:v>
                </c:pt>
                <c:pt idx="718">
                  <c:v>19105709</c:v>
                </c:pt>
                <c:pt idx="719">
                  <c:v>15383243</c:v>
                </c:pt>
                <c:pt idx="720">
                  <c:v>10338498</c:v>
                </c:pt>
                <c:pt idx="721">
                  <c:v>9667860</c:v>
                </c:pt>
                <c:pt idx="722">
                  <c:v>13506944</c:v>
                </c:pt>
                <c:pt idx="723">
                  <c:v>12195328</c:v>
                </c:pt>
                <c:pt idx="724">
                  <c:v>140160</c:v>
                </c:pt>
                <c:pt idx="725">
                  <c:v>13440152</c:v>
                </c:pt>
                <c:pt idx="726">
                  <c:v>12267872</c:v>
                </c:pt>
                <c:pt idx="727">
                  <c:v>4846561</c:v>
                </c:pt>
                <c:pt idx="728">
                  <c:v>22468160</c:v>
                </c:pt>
                <c:pt idx="729">
                  <c:v>1895519</c:v>
                </c:pt>
                <c:pt idx="730">
                  <c:v>19871411</c:v>
                </c:pt>
                <c:pt idx="731">
                  <c:v>11988166</c:v>
                </c:pt>
                <c:pt idx="732">
                  <c:v>13342135</c:v>
                </c:pt>
                <c:pt idx="733">
                  <c:v>30572219</c:v>
                </c:pt>
                <c:pt idx="734">
                  <c:v>7203606</c:v>
                </c:pt>
                <c:pt idx="735">
                  <c:v>19192396</c:v>
                </c:pt>
                <c:pt idx="736">
                  <c:v>15012909</c:v>
                </c:pt>
                <c:pt idx="737">
                  <c:v>17606878</c:v>
                </c:pt>
                <c:pt idx="738">
                  <c:v>13620665</c:v>
                </c:pt>
                <c:pt idx="739">
                  <c:v>13919427</c:v>
                </c:pt>
                <c:pt idx="740">
                  <c:v>13518328</c:v>
                </c:pt>
                <c:pt idx="741">
                  <c:v>12485103</c:v>
                </c:pt>
                <c:pt idx="742">
                  <c:v>18846090</c:v>
                </c:pt>
                <c:pt idx="743">
                  <c:v>6079484</c:v>
                </c:pt>
                <c:pt idx="744">
                  <c:v>5613156</c:v>
                </c:pt>
                <c:pt idx="745">
                  <c:v>9721509</c:v>
                </c:pt>
                <c:pt idx="746">
                  <c:v>17733200</c:v>
                </c:pt>
                <c:pt idx="747">
                  <c:v>15233345</c:v>
                </c:pt>
                <c:pt idx="748">
                  <c:v>5793774</c:v>
                </c:pt>
                <c:pt idx="749">
                  <c:v>5296360</c:v>
                </c:pt>
                <c:pt idx="750">
                  <c:v>5843690</c:v>
                </c:pt>
                <c:pt idx="751">
                  <c:v>5083474</c:v>
                </c:pt>
                <c:pt idx="752">
                  <c:v>17391088</c:v>
                </c:pt>
                <c:pt idx="753">
                  <c:v>23600733</c:v>
                </c:pt>
                <c:pt idx="754">
                  <c:v>9723560</c:v>
                </c:pt>
                <c:pt idx="755">
                  <c:v>5972983</c:v>
                </c:pt>
                <c:pt idx="756">
                  <c:v>15215218</c:v>
                </c:pt>
                <c:pt idx="757">
                  <c:v>4979250</c:v>
                </c:pt>
                <c:pt idx="758">
                  <c:v>16264360</c:v>
                </c:pt>
                <c:pt idx="759">
                  <c:v>29484413</c:v>
                </c:pt>
                <c:pt idx="760">
                  <c:v>10357479</c:v>
                </c:pt>
                <c:pt idx="761">
                  <c:v>30258289</c:v>
                </c:pt>
                <c:pt idx="762">
                  <c:v>13361068</c:v>
                </c:pt>
                <c:pt idx="763">
                  <c:v>11896351</c:v>
                </c:pt>
                <c:pt idx="764">
                  <c:v>12523063</c:v>
                </c:pt>
                <c:pt idx="765">
                  <c:v>18283199</c:v>
                </c:pt>
                <c:pt idx="766">
                  <c:v>12167597</c:v>
                </c:pt>
                <c:pt idx="767">
                  <c:v>13863942</c:v>
                </c:pt>
                <c:pt idx="768">
                  <c:v>15961743</c:v>
                </c:pt>
                <c:pt idx="769">
                  <c:v>4908921</c:v>
                </c:pt>
                <c:pt idx="789">
                  <c:v>7376442</c:v>
                </c:pt>
                <c:pt idx="790">
                  <c:v>23683803</c:v>
                </c:pt>
                <c:pt idx="798">
                  <c:v>7963842</c:v>
                </c:pt>
                <c:pt idx="799">
                  <c:v>6504263</c:v>
                </c:pt>
                <c:pt idx="800">
                  <c:v>5972691</c:v>
                </c:pt>
                <c:pt idx="803">
                  <c:v>12042687</c:v>
                </c:pt>
                <c:pt idx="804">
                  <c:v>12993065</c:v>
                </c:pt>
                <c:pt idx="805">
                  <c:v>7983579</c:v>
                </c:pt>
                <c:pt idx="806">
                  <c:v>14776826</c:v>
                </c:pt>
                <c:pt idx="807">
                  <c:v>8570418</c:v>
                </c:pt>
                <c:pt idx="808">
                  <c:v>10705973</c:v>
                </c:pt>
                <c:pt idx="809">
                  <c:v>7808245</c:v>
                </c:pt>
                <c:pt idx="810">
                  <c:v>17263545</c:v>
                </c:pt>
                <c:pt idx="811">
                  <c:v>6763172</c:v>
                </c:pt>
                <c:pt idx="812">
                  <c:v>22164588</c:v>
                </c:pt>
                <c:pt idx="813">
                  <c:v>6116296</c:v>
                </c:pt>
                <c:pt idx="814">
                  <c:v>3818211</c:v>
                </c:pt>
                <c:pt idx="815">
                  <c:v>9186564</c:v>
                </c:pt>
                <c:pt idx="816">
                  <c:v>20899834</c:v>
                </c:pt>
                <c:pt idx="817">
                  <c:v>4238926</c:v>
                </c:pt>
                <c:pt idx="818">
                  <c:v>12598420</c:v>
                </c:pt>
                <c:pt idx="819">
                  <c:v>16503004</c:v>
                </c:pt>
                <c:pt idx="820">
                  <c:v>8231169</c:v>
                </c:pt>
                <c:pt idx="821">
                  <c:v>22710955</c:v>
                </c:pt>
                <c:pt idx="822">
                  <c:v>12590051</c:v>
                </c:pt>
                <c:pt idx="823">
                  <c:v>22331792</c:v>
                </c:pt>
                <c:pt idx="824">
                  <c:v>8956961</c:v>
                </c:pt>
                <c:pt idx="825">
                  <c:v>13661331</c:v>
                </c:pt>
                <c:pt idx="826">
                  <c:v>13230394</c:v>
                </c:pt>
                <c:pt idx="827">
                  <c:v>8402031</c:v>
                </c:pt>
                <c:pt idx="828">
                  <c:v>1501039</c:v>
                </c:pt>
                <c:pt idx="829">
                  <c:v>6093855</c:v>
                </c:pt>
                <c:pt idx="830">
                  <c:v>23874203</c:v>
                </c:pt>
                <c:pt idx="831">
                  <c:v>7701104</c:v>
                </c:pt>
                <c:pt idx="832">
                  <c:v>9846080</c:v>
                </c:pt>
                <c:pt idx="833">
                  <c:v>7450864</c:v>
                </c:pt>
                <c:pt idx="834">
                  <c:v>9704035</c:v>
                </c:pt>
                <c:pt idx="835">
                  <c:v>8261947</c:v>
                </c:pt>
                <c:pt idx="836">
                  <c:v>11072831</c:v>
                </c:pt>
                <c:pt idx="837">
                  <c:v>19178853</c:v>
                </c:pt>
                <c:pt idx="838">
                  <c:v>6652803</c:v>
                </c:pt>
                <c:pt idx="839">
                  <c:v>0</c:v>
                </c:pt>
                <c:pt idx="840">
                  <c:v>199500</c:v>
                </c:pt>
                <c:pt idx="841">
                  <c:v>2780786</c:v>
                </c:pt>
                <c:pt idx="842">
                  <c:v>9772968</c:v>
                </c:pt>
                <c:pt idx="843">
                  <c:v>8908276</c:v>
                </c:pt>
                <c:pt idx="844">
                  <c:v>540629</c:v>
                </c:pt>
                <c:pt idx="845">
                  <c:v>0</c:v>
                </c:pt>
                <c:pt idx="846">
                  <c:v>0</c:v>
                </c:pt>
                <c:pt idx="847">
                  <c:v>26288811</c:v>
                </c:pt>
                <c:pt idx="848">
                  <c:v>2029386</c:v>
                </c:pt>
                <c:pt idx="849">
                  <c:v>1615580</c:v>
                </c:pt>
                <c:pt idx="850">
                  <c:v>27011471</c:v>
                </c:pt>
                <c:pt idx="851">
                  <c:v>18318231</c:v>
                </c:pt>
                <c:pt idx="852">
                  <c:v>19853894</c:v>
                </c:pt>
                <c:pt idx="853">
                  <c:v>33619040</c:v>
                </c:pt>
                <c:pt idx="854">
                  <c:v>10419924</c:v>
                </c:pt>
                <c:pt idx="855">
                  <c:v>6879936</c:v>
                </c:pt>
                <c:pt idx="856">
                  <c:v>21031543</c:v>
                </c:pt>
                <c:pt idx="857">
                  <c:v>5978514</c:v>
                </c:pt>
                <c:pt idx="858">
                  <c:v>10360420</c:v>
                </c:pt>
                <c:pt idx="859">
                  <c:v>26389629</c:v>
                </c:pt>
                <c:pt idx="860">
                  <c:v>39383886</c:v>
                </c:pt>
                <c:pt idx="861">
                  <c:v>26331349</c:v>
                </c:pt>
                <c:pt idx="862">
                  <c:v>9991976</c:v>
                </c:pt>
                <c:pt idx="863">
                  <c:v>9480872</c:v>
                </c:pt>
                <c:pt idx="864">
                  <c:v>6838891</c:v>
                </c:pt>
                <c:pt idx="865">
                  <c:v>19072230</c:v>
                </c:pt>
                <c:pt idx="866">
                  <c:v>5559988</c:v>
                </c:pt>
                <c:pt idx="867">
                  <c:v>6284691</c:v>
                </c:pt>
                <c:pt idx="868">
                  <c:v>6034096</c:v>
                </c:pt>
                <c:pt idx="869">
                  <c:v>1047990</c:v>
                </c:pt>
                <c:pt idx="870">
                  <c:v>25439953</c:v>
                </c:pt>
                <c:pt idx="871">
                  <c:v>13456764</c:v>
                </c:pt>
                <c:pt idx="872">
                  <c:v>16732586</c:v>
                </c:pt>
                <c:pt idx="873">
                  <c:v>19866593</c:v>
                </c:pt>
                <c:pt idx="874">
                  <c:v>12395565</c:v>
                </c:pt>
                <c:pt idx="875">
                  <c:v>10749158</c:v>
                </c:pt>
                <c:pt idx="876">
                  <c:v>6427954</c:v>
                </c:pt>
                <c:pt idx="877">
                  <c:v>3441361</c:v>
                </c:pt>
                <c:pt idx="878">
                  <c:v>12267574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93-4675-8CF1-E99C3E7C4480}"/>
            </c:ext>
          </c:extLst>
        </c:ser>
        <c:ser>
          <c:idx val="18"/>
          <c:order val="18"/>
          <c:tx>
            <c:strRef>
              <c:f>'CASH FLOW'!$T$1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FLOW'!$T$2:$T$969</c:f>
              <c:numCache>
                <c:formatCode>_-* #,##0_-;\-* #,##0_-;_-* "-"??_-;_-@_-</c:formatCode>
                <c:ptCount val="968"/>
                <c:pt idx="1">
                  <c:v>0</c:v>
                </c:pt>
                <c:pt idx="114">
                  <c:v>0</c:v>
                </c:pt>
                <c:pt idx="115">
                  <c:v>2994446</c:v>
                </c:pt>
                <c:pt idx="181">
                  <c:v>2140000</c:v>
                </c:pt>
                <c:pt idx="415">
                  <c:v>1300000</c:v>
                </c:pt>
                <c:pt idx="789">
                  <c:v>5000000</c:v>
                </c:pt>
                <c:pt idx="833">
                  <c:v>177000</c:v>
                </c:pt>
                <c:pt idx="835">
                  <c:v>35000</c:v>
                </c:pt>
                <c:pt idx="836">
                  <c:v>147000</c:v>
                </c:pt>
                <c:pt idx="837">
                  <c:v>464000</c:v>
                </c:pt>
                <c:pt idx="840">
                  <c:v>9000</c:v>
                </c:pt>
                <c:pt idx="843">
                  <c:v>300000</c:v>
                </c:pt>
                <c:pt idx="853">
                  <c:v>154000</c:v>
                </c:pt>
                <c:pt idx="854">
                  <c:v>60000</c:v>
                </c:pt>
                <c:pt idx="857">
                  <c:v>700000</c:v>
                </c:pt>
                <c:pt idx="858">
                  <c:v>300000</c:v>
                </c:pt>
                <c:pt idx="859">
                  <c:v>651000</c:v>
                </c:pt>
                <c:pt idx="875">
                  <c:v>62000</c:v>
                </c:pt>
                <c:pt idx="877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93-4675-8CF1-E99C3E7C4480}"/>
            </c:ext>
          </c:extLst>
        </c:ser>
        <c:ser>
          <c:idx val="19"/>
          <c:order val="19"/>
          <c:tx>
            <c:strRef>
              <c:f>'CASH FLOW'!$U$1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FLOW'!$U$2:$U$969</c:f>
              <c:numCache>
                <c:formatCode>_-* #,##0_-;\-* #,##0_-;_-* "-"??_-;_-@_-</c:formatCode>
                <c:ptCount val="968"/>
                <c:pt idx="0">
                  <c:v>0</c:v>
                </c:pt>
                <c:pt idx="1">
                  <c:v>0</c:v>
                </c:pt>
                <c:pt idx="52">
                  <c:v>896090</c:v>
                </c:pt>
                <c:pt idx="53">
                  <c:v>0</c:v>
                </c:pt>
                <c:pt idx="67">
                  <c:v>402000</c:v>
                </c:pt>
                <c:pt idx="70">
                  <c:v>789480</c:v>
                </c:pt>
                <c:pt idx="71">
                  <c:v>340000</c:v>
                </c:pt>
                <c:pt idx="72">
                  <c:v>1613000</c:v>
                </c:pt>
                <c:pt idx="73">
                  <c:v>0</c:v>
                </c:pt>
                <c:pt idx="74">
                  <c:v>1031890</c:v>
                </c:pt>
                <c:pt idx="75">
                  <c:v>990000</c:v>
                </c:pt>
                <c:pt idx="76">
                  <c:v>2079000</c:v>
                </c:pt>
                <c:pt idx="78">
                  <c:v>1766400</c:v>
                </c:pt>
                <c:pt idx="79">
                  <c:v>670600</c:v>
                </c:pt>
                <c:pt idx="80">
                  <c:v>1207000</c:v>
                </c:pt>
                <c:pt idx="81">
                  <c:v>615000</c:v>
                </c:pt>
                <c:pt idx="82">
                  <c:v>426000</c:v>
                </c:pt>
                <c:pt idx="83">
                  <c:v>870800</c:v>
                </c:pt>
                <c:pt idx="84">
                  <c:v>0</c:v>
                </c:pt>
                <c:pt idx="86">
                  <c:v>1735000</c:v>
                </c:pt>
                <c:pt idx="87">
                  <c:v>998109</c:v>
                </c:pt>
                <c:pt idx="88">
                  <c:v>777000</c:v>
                </c:pt>
                <c:pt idx="89">
                  <c:v>1483700</c:v>
                </c:pt>
                <c:pt idx="90">
                  <c:v>0</c:v>
                </c:pt>
                <c:pt idx="91">
                  <c:v>1205800</c:v>
                </c:pt>
                <c:pt idx="92">
                  <c:v>0</c:v>
                </c:pt>
                <c:pt idx="93">
                  <c:v>4111000</c:v>
                </c:pt>
                <c:pt idx="94">
                  <c:v>2179000</c:v>
                </c:pt>
                <c:pt idx="95">
                  <c:v>1200000</c:v>
                </c:pt>
                <c:pt idx="96">
                  <c:v>1585600</c:v>
                </c:pt>
                <c:pt idx="97">
                  <c:v>550000</c:v>
                </c:pt>
                <c:pt idx="98">
                  <c:v>893300</c:v>
                </c:pt>
                <c:pt idx="100">
                  <c:v>3827092</c:v>
                </c:pt>
                <c:pt idx="101">
                  <c:v>190000</c:v>
                </c:pt>
                <c:pt idx="103">
                  <c:v>2322990</c:v>
                </c:pt>
                <c:pt idx="104">
                  <c:v>2269000</c:v>
                </c:pt>
                <c:pt idx="105">
                  <c:v>872960</c:v>
                </c:pt>
                <c:pt idx="107">
                  <c:v>480774</c:v>
                </c:pt>
                <c:pt idx="108">
                  <c:v>962900</c:v>
                </c:pt>
                <c:pt idx="109">
                  <c:v>382000</c:v>
                </c:pt>
                <c:pt idx="110">
                  <c:v>1397000</c:v>
                </c:pt>
                <c:pt idx="111">
                  <c:v>671633</c:v>
                </c:pt>
                <c:pt idx="112">
                  <c:v>2013890</c:v>
                </c:pt>
                <c:pt idx="114">
                  <c:v>1781989</c:v>
                </c:pt>
                <c:pt idx="115">
                  <c:v>461000</c:v>
                </c:pt>
                <c:pt idx="116">
                  <c:v>405000</c:v>
                </c:pt>
                <c:pt idx="117">
                  <c:v>509000</c:v>
                </c:pt>
                <c:pt idx="118">
                  <c:v>1903016</c:v>
                </c:pt>
                <c:pt idx="121">
                  <c:v>2344000</c:v>
                </c:pt>
                <c:pt idx="122">
                  <c:v>753346</c:v>
                </c:pt>
                <c:pt idx="123">
                  <c:v>510000</c:v>
                </c:pt>
                <c:pt idx="124">
                  <c:v>0</c:v>
                </c:pt>
                <c:pt idx="125">
                  <c:v>0</c:v>
                </c:pt>
                <c:pt idx="137">
                  <c:v>589086</c:v>
                </c:pt>
                <c:pt idx="149">
                  <c:v>2000000</c:v>
                </c:pt>
                <c:pt idx="5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093-4675-8CF1-E99C3E7C4480}"/>
            </c:ext>
          </c:extLst>
        </c:ser>
        <c:ser>
          <c:idx val="20"/>
          <c:order val="20"/>
          <c:tx>
            <c:strRef>
              <c:f>'CASH FLOW'!$V$1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FLOW'!$V$2:$V$969</c:f>
              <c:numCache>
                <c:formatCode>_-* #,##0_-;\-* #,##0_-;_-* "-"??_-;_-@_-</c:formatCode>
                <c:ptCount val="968"/>
                <c:pt idx="1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093-4675-8CF1-E99C3E7C4480}"/>
            </c:ext>
          </c:extLst>
        </c:ser>
        <c:ser>
          <c:idx val="21"/>
          <c:order val="21"/>
          <c:tx>
            <c:strRef>
              <c:f>'CASH FLOW'!$W$1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FLOW'!$W$2:$W$969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782297</c:v>
                </c:pt>
                <c:pt idx="3">
                  <c:v>392000</c:v>
                </c:pt>
                <c:pt idx="4">
                  <c:v>410000</c:v>
                </c:pt>
                <c:pt idx="5">
                  <c:v>590000</c:v>
                </c:pt>
                <c:pt idx="6">
                  <c:v>377000</c:v>
                </c:pt>
                <c:pt idx="7">
                  <c:v>225000</c:v>
                </c:pt>
                <c:pt idx="8">
                  <c:v>285092</c:v>
                </c:pt>
                <c:pt idx="9">
                  <c:v>1402598</c:v>
                </c:pt>
                <c:pt idx="10">
                  <c:v>605940</c:v>
                </c:pt>
                <c:pt idx="11">
                  <c:v>429010</c:v>
                </c:pt>
                <c:pt idx="12">
                  <c:v>15000</c:v>
                </c:pt>
                <c:pt idx="13">
                  <c:v>200000</c:v>
                </c:pt>
                <c:pt idx="14">
                  <c:v>759618</c:v>
                </c:pt>
                <c:pt idx="15">
                  <c:v>250000</c:v>
                </c:pt>
                <c:pt idx="16">
                  <c:v>454000</c:v>
                </c:pt>
                <c:pt idx="17">
                  <c:v>0</c:v>
                </c:pt>
                <c:pt idx="18">
                  <c:v>386195</c:v>
                </c:pt>
                <c:pt idx="19">
                  <c:v>424000</c:v>
                </c:pt>
                <c:pt idx="20">
                  <c:v>1247636</c:v>
                </c:pt>
                <c:pt idx="21">
                  <c:v>179969</c:v>
                </c:pt>
                <c:pt idx="22">
                  <c:v>327727</c:v>
                </c:pt>
                <c:pt idx="23">
                  <c:v>467960</c:v>
                </c:pt>
                <c:pt idx="24">
                  <c:v>1059000</c:v>
                </c:pt>
                <c:pt idx="25">
                  <c:v>45000</c:v>
                </c:pt>
                <c:pt idx="26">
                  <c:v>0</c:v>
                </c:pt>
                <c:pt idx="27">
                  <c:v>80000</c:v>
                </c:pt>
                <c:pt idx="28">
                  <c:v>60000</c:v>
                </c:pt>
                <c:pt idx="29">
                  <c:v>860000</c:v>
                </c:pt>
                <c:pt idx="30">
                  <c:v>730593</c:v>
                </c:pt>
                <c:pt idx="31">
                  <c:v>427884</c:v>
                </c:pt>
                <c:pt idx="32">
                  <c:v>214000</c:v>
                </c:pt>
                <c:pt idx="33">
                  <c:v>0</c:v>
                </c:pt>
                <c:pt idx="34">
                  <c:v>0</c:v>
                </c:pt>
                <c:pt idx="39">
                  <c:v>114500</c:v>
                </c:pt>
                <c:pt idx="40">
                  <c:v>0</c:v>
                </c:pt>
                <c:pt idx="47">
                  <c:v>139573</c:v>
                </c:pt>
                <c:pt idx="49">
                  <c:v>377000</c:v>
                </c:pt>
                <c:pt idx="50">
                  <c:v>220000</c:v>
                </c:pt>
                <c:pt idx="52">
                  <c:v>150000</c:v>
                </c:pt>
                <c:pt idx="53">
                  <c:v>672031</c:v>
                </c:pt>
                <c:pt idx="56">
                  <c:v>140000</c:v>
                </c:pt>
                <c:pt idx="57">
                  <c:v>1105934</c:v>
                </c:pt>
                <c:pt idx="58">
                  <c:v>240000</c:v>
                </c:pt>
                <c:pt idx="59">
                  <c:v>606439</c:v>
                </c:pt>
                <c:pt idx="60">
                  <c:v>310000</c:v>
                </c:pt>
                <c:pt idx="61">
                  <c:v>300000</c:v>
                </c:pt>
                <c:pt idx="62">
                  <c:v>50000</c:v>
                </c:pt>
                <c:pt idx="63">
                  <c:v>498777</c:v>
                </c:pt>
                <c:pt idx="64">
                  <c:v>100000</c:v>
                </c:pt>
                <c:pt idx="65">
                  <c:v>639621</c:v>
                </c:pt>
                <c:pt idx="66">
                  <c:v>347100</c:v>
                </c:pt>
                <c:pt idx="67">
                  <c:v>276005</c:v>
                </c:pt>
                <c:pt idx="68">
                  <c:v>0</c:v>
                </c:pt>
                <c:pt idx="69">
                  <c:v>100000</c:v>
                </c:pt>
                <c:pt idx="71">
                  <c:v>150000</c:v>
                </c:pt>
                <c:pt idx="72">
                  <c:v>214000</c:v>
                </c:pt>
                <c:pt idx="73">
                  <c:v>368301</c:v>
                </c:pt>
                <c:pt idx="74">
                  <c:v>60000</c:v>
                </c:pt>
                <c:pt idx="75">
                  <c:v>84000</c:v>
                </c:pt>
                <c:pt idx="76">
                  <c:v>0</c:v>
                </c:pt>
                <c:pt idx="77">
                  <c:v>230700</c:v>
                </c:pt>
                <c:pt idx="78">
                  <c:v>520000</c:v>
                </c:pt>
                <c:pt idx="79">
                  <c:v>130000</c:v>
                </c:pt>
                <c:pt idx="80">
                  <c:v>50000</c:v>
                </c:pt>
                <c:pt idx="81">
                  <c:v>0</c:v>
                </c:pt>
                <c:pt idx="83">
                  <c:v>0</c:v>
                </c:pt>
                <c:pt idx="84">
                  <c:v>559189</c:v>
                </c:pt>
                <c:pt idx="85">
                  <c:v>425000</c:v>
                </c:pt>
                <c:pt idx="86">
                  <c:v>392800</c:v>
                </c:pt>
                <c:pt idx="87">
                  <c:v>330344</c:v>
                </c:pt>
                <c:pt idx="88">
                  <c:v>0</c:v>
                </c:pt>
                <c:pt idx="89">
                  <c:v>337888</c:v>
                </c:pt>
                <c:pt idx="90">
                  <c:v>83000</c:v>
                </c:pt>
                <c:pt idx="91">
                  <c:v>330000</c:v>
                </c:pt>
                <c:pt idx="92">
                  <c:v>290000</c:v>
                </c:pt>
                <c:pt idx="93">
                  <c:v>474000</c:v>
                </c:pt>
                <c:pt idx="94">
                  <c:v>740000</c:v>
                </c:pt>
                <c:pt idx="95">
                  <c:v>339000</c:v>
                </c:pt>
                <c:pt idx="96">
                  <c:v>114500</c:v>
                </c:pt>
                <c:pt idx="97">
                  <c:v>0</c:v>
                </c:pt>
                <c:pt idx="98">
                  <c:v>153000</c:v>
                </c:pt>
                <c:pt idx="99">
                  <c:v>634000</c:v>
                </c:pt>
                <c:pt idx="100">
                  <c:v>70000</c:v>
                </c:pt>
                <c:pt idx="101">
                  <c:v>150000</c:v>
                </c:pt>
                <c:pt idx="102">
                  <c:v>100000</c:v>
                </c:pt>
                <c:pt idx="103">
                  <c:v>639800</c:v>
                </c:pt>
                <c:pt idx="104">
                  <c:v>166000</c:v>
                </c:pt>
                <c:pt idx="105">
                  <c:v>306500</c:v>
                </c:pt>
                <c:pt idx="106">
                  <c:v>46000</c:v>
                </c:pt>
                <c:pt idx="107">
                  <c:v>213500</c:v>
                </c:pt>
                <c:pt idx="108">
                  <c:v>332536</c:v>
                </c:pt>
                <c:pt idx="109">
                  <c:v>347500</c:v>
                </c:pt>
                <c:pt idx="110">
                  <c:v>99000</c:v>
                </c:pt>
                <c:pt idx="111">
                  <c:v>505538</c:v>
                </c:pt>
                <c:pt idx="112">
                  <c:v>187000</c:v>
                </c:pt>
                <c:pt idx="113">
                  <c:v>99500</c:v>
                </c:pt>
                <c:pt idx="114">
                  <c:v>0</c:v>
                </c:pt>
                <c:pt idx="115">
                  <c:v>58000</c:v>
                </c:pt>
                <c:pt idx="116">
                  <c:v>392540</c:v>
                </c:pt>
                <c:pt idx="117">
                  <c:v>20000</c:v>
                </c:pt>
                <c:pt idx="118">
                  <c:v>470000</c:v>
                </c:pt>
                <c:pt idx="119">
                  <c:v>413000</c:v>
                </c:pt>
                <c:pt idx="120">
                  <c:v>157500</c:v>
                </c:pt>
                <c:pt idx="121">
                  <c:v>548000</c:v>
                </c:pt>
                <c:pt idx="122">
                  <c:v>293000</c:v>
                </c:pt>
                <c:pt idx="123">
                  <c:v>0</c:v>
                </c:pt>
                <c:pt idx="124">
                  <c:v>429000</c:v>
                </c:pt>
                <c:pt idx="125">
                  <c:v>300000</c:v>
                </c:pt>
                <c:pt idx="126">
                  <c:v>100000</c:v>
                </c:pt>
                <c:pt idx="127">
                  <c:v>198000</c:v>
                </c:pt>
                <c:pt idx="128">
                  <c:v>250000</c:v>
                </c:pt>
                <c:pt idx="129">
                  <c:v>248000</c:v>
                </c:pt>
                <c:pt idx="130">
                  <c:v>394000</c:v>
                </c:pt>
                <c:pt idx="131">
                  <c:v>0</c:v>
                </c:pt>
                <c:pt idx="132">
                  <c:v>735500</c:v>
                </c:pt>
                <c:pt idx="133">
                  <c:v>674000</c:v>
                </c:pt>
                <c:pt idx="134">
                  <c:v>392491</c:v>
                </c:pt>
                <c:pt idx="135">
                  <c:v>351027</c:v>
                </c:pt>
                <c:pt idx="136">
                  <c:v>148500</c:v>
                </c:pt>
                <c:pt idx="137">
                  <c:v>49500</c:v>
                </c:pt>
                <c:pt idx="138">
                  <c:v>599332</c:v>
                </c:pt>
                <c:pt idx="139">
                  <c:v>552000</c:v>
                </c:pt>
                <c:pt idx="140">
                  <c:v>316800</c:v>
                </c:pt>
                <c:pt idx="141">
                  <c:v>0</c:v>
                </c:pt>
                <c:pt idx="142">
                  <c:v>560360</c:v>
                </c:pt>
                <c:pt idx="143">
                  <c:v>997055</c:v>
                </c:pt>
                <c:pt idx="144">
                  <c:v>510700</c:v>
                </c:pt>
                <c:pt idx="145">
                  <c:v>561000</c:v>
                </c:pt>
                <c:pt idx="146">
                  <c:v>270000</c:v>
                </c:pt>
                <c:pt idx="147">
                  <c:v>0</c:v>
                </c:pt>
                <c:pt idx="148">
                  <c:v>493400</c:v>
                </c:pt>
                <c:pt idx="149">
                  <c:v>1197613</c:v>
                </c:pt>
                <c:pt idx="150">
                  <c:v>481980</c:v>
                </c:pt>
                <c:pt idx="151">
                  <c:v>589000</c:v>
                </c:pt>
                <c:pt idx="152">
                  <c:v>99000</c:v>
                </c:pt>
                <c:pt idx="153">
                  <c:v>0</c:v>
                </c:pt>
                <c:pt idx="154">
                  <c:v>2093451</c:v>
                </c:pt>
                <c:pt idx="156">
                  <c:v>508320</c:v>
                </c:pt>
                <c:pt idx="157">
                  <c:v>0</c:v>
                </c:pt>
                <c:pt idx="158">
                  <c:v>274500</c:v>
                </c:pt>
                <c:pt idx="159">
                  <c:v>0</c:v>
                </c:pt>
                <c:pt idx="160">
                  <c:v>0</c:v>
                </c:pt>
                <c:pt idx="161">
                  <c:v>200000</c:v>
                </c:pt>
                <c:pt idx="162">
                  <c:v>441700</c:v>
                </c:pt>
                <c:pt idx="164">
                  <c:v>158700</c:v>
                </c:pt>
                <c:pt idx="165">
                  <c:v>100000</c:v>
                </c:pt>
                <c:pt idx="166">
                  <c:v>20000</c:v>
                </c:pt>
                <c:pt idx="167">
                  <c:v>466767</c:v>
                </c:pt>
                <c:pt idx="168">
                  <c:v>1317200</c:v>
                </c:pt>
                <c:pt idx="169">
                  <c:v>402137</c:v>
                </c:pt>
                <c:pt idx="170">
                  <c:v>149500</c:v>
                </c:pt>
                <c:pt idx="171">
                  <c:v>170000</c:v>
                </c:pt>
                <c:pt idx="172">
                  <c:v>59500</c:v>
                </c:pt>
                <c:pt idx="173">
                  <c:v>248500</c:v>
                </c:pt>
                <c:pt idx="174">
                  <c:v>250000</c:v>
                </c:pt>
                <c:pt idx="176">
                  <c:v>731000</c:v>
                </c:pt>
                <c:pt idx="177">
                  <c:v>199000</c:v>
                </c:pt>
                <c:pt idx="178">
                  <c:v>405000</c:v>
                </c:pt>
                <c:pt idx="179">
                  <c:v>149700</c:v>
                </c:pt>
                <c:pt idx="180">
                  <c:v>73000</c:v>
                </c:pt>
                <c:pt idx="181">
                  <c:v>0</c:v>
                </c:pt>
                <c:pt idx="182">
                  <c:v>30000</c:v>
                </c:pt>
                <c:pt idx="183">
                  <c:v>0</c:v>
                </c:pt>
                <c:pt idx="184">
                  <c:v>339800</c:v>
                </c:pt>
                <c:pt idx="185">
                  <c:v>544000</c:v>
                </c:pt>
                <c:pt idx="186">
                  <c:v>50000</c:v>
                </c:pt>
                <c:pt idx="187">
                  <c:v>250000</c:v>
                </c:pt>
                <c:pt idx="188">
                  <c:v>194535</c:v>
                </c:pt>
                <c:pt idx="189">
                  <c:v>362000</c:v>
                </c:pt>
                <c:pt idx="190">
                  <c:v>249500</c:v>
                </c:pt>
                <c:pt idx="191">
                  <c:v>361800</c:v>
                </c:pt>
                <c:pt idx="192">
                  <c:v>127000</c:v>
                </c:pt>
                <c:pt idx="193">
                  <c:v>68000</c:v>
                </c:pt>
                <c:pt idx="194">
                  <c:v>83655</c:v>
                </c:pt>
                <c:pt idx="195">
                  <c:v>219500</c:v>
                </c:pt>
                <c:pt idx="196">
                  <c:v>623325</c:v>
                </c:pt>
                <c:pt idx="197">
                  <c:v>170100</c:v>
                </c:pt>
                <c:pt idx="198">
                  <c:v>219000</c:v>
                </c:pt>
                <c:pt idx="199">
                  <c:v>229000</c:v>
                </c:pt>
                <c:pt idx="200">
                  <c:v>450000</c:v>
                </c:pt>
                <c:pt idx="201">
                  <c:v>380000</c:v>
                </c:pt>
                <c:pt idx="202">
                  <c:v>0</c:v>
                </c:pt>
                <c:pt idx="203">
                  <c:v>185500</c:v>
                </c:pt>
                <c:pt idx="204">
                  <c:v>222000</c:v>
                </c:pt>
                <c:pt idx="205">
                  <c:v>20000</c:v>
                </c:pt>
                <c:pt idx="206">
                  <c:v>318000</c:v>
                </c:pt>
                <c:pt idx="207">
                  <c:v>674532</c:v>
                </c:pt>
                <c:pt idx="208">
                  <c:v>1870121</c:v>
                </c:pt>
                <c:pt idx="209">
                  <c:v>394950</c:v>
                </c:pt>
                <c:pt idx="210">
                  <c:v>274230</c:v>
                </c:pt>
                <c:pt idx="211">
                  <c:v>520000</c:v>
                </c:pt>
                <c:pt idx="212">
                  <c:v>600000</c:v>
                </c:pt>
                <c:pt idx="213">
                  <c:v>199000</c:v>
                </c:pt>
                <c:pt idx="214">
                  <c:v>0</c:v>
                </c:pt>
                <c:pt idx="215">
                  <c:v>184154</c:v>
                </c:pt>
                <c:pt idx="216">
                  <c:v>30000</c:v>
                </c:pt>
                <c:pt idx="217">
                  <c:v>428500</c:v>
                </c:pt>
                <c:pt idx="218">
                  <c:v>554359</c:v>
                </c:pt>
                <c:pt idx="219">
                  <c:v>100000</c:v>
                </c:pt>
                <c:pt idx="220">
                  <c:v>1109751</c:v>
                </c:pt>
                <c:pt idx="221">
                  <c:v>648500</c:v>
                </c:pt>
                <c:pt idx="222">
                  <c:v>467000</c:v>
                </c:pt>
                <c:pt idx="223">
                  <c:v>364000</c:v>
                </c:pt>
                <c:pt idx="224">
                  <c:v>11000</c:v>
                </c:pt>
                <c:pt idx="225">
                  <c:v>60000</c:v>
                </c:pt>
                <c:pt idx="226">
                  <c:v>1094246</c:v>
                </c:pt>
                <c:pt idx="227">
                  <c:v>839497</c:v>
                </c:pt>
                <c:pt idx="228">
                  <c:v>100000</c:v>
                </c:pt>
                <c:pt idx="229">
                  <c:v>100000</c:v>
                </c:pt>
                <c:pt idx="230">
                  <c:v>765557</c:v>
                </c:pt>
                <c:pt idx="231">
                  <c:v>220000</c:v>
                </c:pt>
                <c:pt idx="232">
                  <c:v>369000</c:v>
                </c:pt>
                <c:pt idx="233">
                  <c:v>50000</c:v>
                </c:pt>
                <c:pt idx="234">
                  <c:v>183000</c:v>
                </c:pt>
                <c:pt idx="235">
                  <c:v>391859</c:v>
                </c:pt>
                <c:pt idx="236">
                  <c:v>50500</c:v>
                </c:pt>
                <c:pt idx="237">
                  <c:v>250000</c:v>
                </c:pt>
                <c:pt idx="238">
                  <c:v>480000</c:v>
                </c:pt>
                <c:pt idx="239">
                  <c:v>267958</c:v>
                </c:pt>
                <c:pt idx="240">
                  <c:v>265000</c:v>
                </c:pt>
                <c:pt idx="241">
                  <c:v>436000</c:v>
                </c:pt>
                <c:pt idx="242">
                  <c:v>450200</c:v>
                </c:pt>
                <c:pt idx="243">
                  <c:v>197716</c:v>
                </c:pt>
                <c:pt idx="244">
                  <c:v>680676</c:v>
                </c:pt>
                <c:pt idx="245">
                  <c:v>239000</c:v>
                </c:pt>
                <c:pt idx="246">
                  <c:v>403000</c:v>
                </c:pt>
                <c:pt idx="247">
                  <c:v>656565</c:v>
                </c:pt>
                <c:pt idx="248">
                  <c:v>588549</c:v>
                </c:pt>
                <c:pt idx="249">
                  <c:v>0</c:v>
                </c:pt>
                <c:pt idx="250">
                  <c:v>28500</c:v>
                </c:pt>
                <c:pt idx="252">
                  <c:v>248000</c:v>
                </c:pt>
                <c:pt idx="253">
                  <c:v>532000</c:v>
                </c:pt>
                <c:pt idx="254">
                  <c:v>238000</c:v>
                </c:pt>
                <c:pt idx="255">
                  <c:v>285000</c:v>
                </c:pt>
                <c:pt idx="256">
                  <c:v>320200</c:v>
                </c:pt>
                <c:pt idx="257">
                  <c:v>20000</c:v>
                </c:pt>
                <c:pt idx="258">
                  <c:v>304500</c:v>
                </c:pt>
                <c:pt idx="259">
                  <c:v>353000</c:v>
                </c:pt>
                <c:pt idx="260">
                  <c:v>838800</c:v>
                </c:pt>
                <c:pt idx="261">
                  <c:v>300000</c:v>
                </c:pt>
                <c:pt idx="262">
                  <c:v>424000</c:v>
                </c:pt>
                <c:pt idx="263">
                  <c:v>129000</c:v>
                </c:pt>
                <c:pt idx="264">
                  <c:v>200000</c:v>
                </c:pt>
                <c:pt idx="265">
                  <c:v>100000</c:v>
                </c:pt>
                <c:pt idx="266">
                  <c:v>1196000</c:v>
                </c:pt>
                <c:pt idx="267">
                  <c:v>481224</c:v>
                </c:pt>
                <c:pt idx="268">
                  <c:v>290000</c:v>
                </c:pt>
                <c:pt idx="269">
                  <c:v>477300</c:v>
                </c:pt>
                <c:pt idx="270">
                  <c:v>385500</c:v>
                </c:pt>
                <c:pt idx="271">
                  <c:v>166537</c:v>
                </c:pt>
                <c:pt idx="272">
                  <c:v>130000</c:v>
                </c:pt>
                <c:pt idx="273">
                  <c:v>200000</c:v>
                </c:pt>
                <c:pt idx="274">
                  <c:v>1438100</c:v>
                </c:pt>
                <c:pt idx="275">
                  <c:v>500000</c:v>
                </c:pt>
                <c:pt idx="276">
                  <c:v>400000</c:v>
                </c:pt>
                <c:pt idx="277">
                  <c:v>270268</c:v>
                </c:pt>
                <c:pt idx="278">
                  <c:v>578000</c:v>
                </c:pt>
                <c:pt idx="279">
                  <c:v>390500</c:v>
                </c:pt>
                <c:pt idx="280">
                  <c:v>100000</c:v>
                </c:pt>
                <c:pt idx="281">
                  <c:v>0</c:v>
                </c:pt>
                <c:pt idx="282">
                  <c:v>0</c:v>
                </c:pt>
                <c:pt idx="283">
                  <c:v>125000</c:v>
                </c:pt>
                <c:pt idx="284">
                  <c:v>27379</c:v>
                </c:pt>
                <c:pt idx="285">
                  <c:v>119800</c:v>
                </c:pt>
                <c:pt idx="286">
                  <c:v>200933</c:v>
                </c:pt>
                <c:pt idx="287">
                  <c:v>490600</c:v>
                </c:pt>
                <c:pt idx="288">
                  <c:v>626085</c:v>
                </c:pt>
                <c:pt idx="289">
                  <c:v>458000</c:v>
                </c:pt>
                <c:pt idx="290">
                  <c:v>58500</c:v>
                </c:pt>
                <c:pt idx="291">
                  <c:v>354861</c:v>
                </c:pt>
                <c:pt idx="292">
                  <c:v>2936000</c:v>
                </c:pt>
                <c:pt idx="293">
                  <c:v>350000</c:v>
                </c:pt>
                <c:pt idx="294">
                  <c:v>1164962</c:v>
                </c:pt>
                <c:pt idx="295">
                  <c:v>955604</c:v>
                </c:pt>
                <c:pt idx="296">
                  <c:v>678736</c:v>
                </c:pt>
                <c:pt idx="297">
                  <c:v>546200</c:v>
                </c:pt>
                <c:pt idx="298">
                  <c:v>12000</c:v>
                </c:pt>
                <c:pt idx="299">
                  <c:v>302265</c:v>
                </c:pt>
                <c:pt idx="300">
                  <c:v>630149</c:v>
                </c:pt>
                <c:pt idx="301">
                  <c:v>0</c:v>
                </c:pt>
                <c:pt idx="302">
                  <c:v>0</c:v>
                </c:pt>
                <c:pt idx="307">
                  <c:v>91500</c:v>
                </c:pt>
                <c:pt idx="309">
                  <c:v>260000</c:v>
                </c:pt>
                <c:pt idx="310">
                  <c:v>400000</c:v>
                </c:pt>
                <c:pt idx="315">
                  <c:v>100000</c:v>
                </c:pt>
                <c:pt idx="316">
                  <c:v>0</c:v>
                </c:pt>
                <c:pt idx="317">
                  <c:v>104400</c:v>
                </c:pt>
                <c:pt idx="318">
                  <c:v>429000</c:v>
                </c:pt>
                <c:pt idx="319">
                  <c:v>105000</c:v>
                </c:pt>
                <c:pt idx="320">
                  <c:v>0</c:v>
                </c:pt>
                <c:pt idx="322">
                  <c:v>50000</c:v>
                </c:pt>
                <c:pt idx="323">
                  <c:v>0</c:v>
                </c:pt>
                <c:pt idx="324">
                  <c:v>118800</c:v>
                </c:pt>
                <c:pt idx="325">
                  <c:v>391500</c:v>
                </c:pt>
                <c:pt idx="326">
                  <c:v>0</c:v>
                </c:pt>
                <c:pt idx="328">
                  <c:v>155000</c:v>
                </c:pt>
                <c:pt idx="329">
                  <c:v>0</c:v>
                </c:pt>
                <c:pt idx="330">
                  <c:v>308000</c:v>
                </c:pt>
                <c:pt idx="331">
                  <c:v>0</c:v>
                </c:pt>
                <c:pt idx="332">
                  <c:v>470000</c:v>
                </c:pt>
                <c:pt idx="333">
                  <c:v>0</c:v>
                </c:pt>
                <c:pt idx="334">
                  <c:v>100000</c:v>
                </c:pt>
                <c:pt idx="335">
                  <c:v>0</c:v>
                </c:pt>
                <c:pt idx="336">
                  <c:v>14500</c:v>
                </c:pt>
                <c:pt idx="337">
                  <c:v>94000</c:v>
                </c:pt>
                <c:pt idx="338">
                  <c:v>0</c:v>
                </c:pt>
                <c:pt idx="339">
                  <c:v>100000</c:v>
                </c:pt>
                <c:pt idx="340">
                  <c:v>35000</c:v>
                </c:pt>
                <c:pt idx="341">
                  <c:v>0</c:v>
                </c:pt>
                <c:pt idx="342">
                  <c:v>195000</c:v>
                </c:pt>
                <c:pt idx="343">
                  <c:v>0</c:v>
                </c:pt>
                <c:pt idx="345">
                  <c:v>200000</c:v>
                </c:pt>
                <c:pt idx="346">
                  <c:v>90000</c:v>
                </c:pt>
                <c:pt idx="347">
                  <c:v>230000</c:v>
                </c:pt>
                <c:pt idx="348">
                  <c:v>149500</c:v>
                </c:pt>
                <c:pt idx="349">
                  <c:v>331500</c:v>
                </c:pt>
                <c:pt idx="350">
                  <c:v>278436</c:v>
                </c:pt>
                <c:pt idx="351">
                  <c:v>220000</c:v>
                </c:pt>
                <c:pt idx="352">
                  <c:v>152000</c:v>
                </c:pt>
                <c:pt idx="353">
                  <c:v>0</c:v>
                </c:pt>
                <c:pt idx="354">
                  <c:v>434500</c:v>
                </c:pt>
                <c:pt idx="355">
                  <c:v>92000</c:v>
                </c:pt>
                <c:pt idx="356">
                  <c:v>277000</c:v>
                </c:pt>
                <c:pt idx="357">
                  <c:v>337000</c:v>
                </c:pt>
                <c:pt idx="358">
                  <c:v>299500</c:v>
                </c:pt>
                <c:pt idx="359">
                  <c:v>349000</c:v>
                </c:pt>
                <c:pt idx="360">
                  <c:v>703000</c:v>
                </c:pt>
                <c:pt idx="361">
                  <c:v>686500</c:v>
                </c:pt>
                <c:pt idx="362">
                  <c:v>623800</c:v>
                </c:pt>
                <c:pt idx="363">
                  <c:v>642500</c:v>
                </c:pt>
                <c:pt idx="364">
                  <c:v>49500</c:v>
                </c:pt>
                <c:pt idx="365">
                  <c:v>166000</c:v>
                </c:pt>
                <c:pt idx="366">
                  <c:v>0</c:v>
                </c:pt>
                <c:pt idx="367">
                  <c:v>498400</c:v>
                </c:pt>
                <c:pt idx="368">
                  <c:v>0</c:v>
                </c:pt>
                <c:pt idx="369">
                  <c:v>0</c:v>
                </c:pt>
                <c:pt idx="370">
                  <c:v>202000</c:v>
                </c:pt>
                <c:pt idx="371">
                  <c:v>464800</c:v>
                </c:pt>
                <c:pt idx="372">
                  <c:v>0</c:v>
                </c:pt>
                <c:pt idx="373">
                  <c:v>316000</c:v>
                </c:pt>
                <c:pt idx="376">
                  <c:v>0</c:v>
                </c:pt>
                <c:pt idx="377">
                  <c:v>0</c:v>
                </c:pt>
                <c:pt idx="379">
                  <c:v>84000</c:v>
                </c:pt>
                <c:pt idx="380">
                  <c:v>0</c:v>
                </c:pt>
                <c:pt idx="386">
                  <c:v>100000</c:v>
                </c:pt>
                <c:pt idx="387">
                  <c:v>0</c:v>
                </c:pt>
                <c:pt idx="389">
                  <c:v>50000</c:v>
                </c:pt>
                <c:pt idx="390">
                  <c:v>230000</c:v>
                </c:pt>
                <c:pt idx="391">
                  <c:v>0</c:v>
                </c:pt>
                <c:pt idx="393">
                  <c:v>110000</c:v>
                </c:pt>
                <c:pt idx="395">
                  <c:v>0</c:v>
                </c:pt>
                <c:pt idx="396">
                  <c:v>100000</c:v>
                </c:pt>
                <c:pt idx="399">
                  <c:v>50000</c:v>
                </c:pt>
                <c:pt idx="400">
                  <c:v>70000</c:v>
                </c:pt>
                <c:pt idx="401">
                  <c:v>209700</c:v>
                </c:pt>
                <c:pt idx="402">
                  <c:v>100000</c:v>
                </c:pt>
                <c:pt idx="403">
                  <c:v>38300</c:v>
                </c:pt>
                <c:pt idx="404">
                  <c:v>650000</c:v>
                </c:pt>
                <c:pt idx="405">
                  <c:v>219800</c:v>
                </c:pt>
                <c:pt idx="406">
                  <c:v>589800</c:v>
                </c:pt>
                <c:pt idx="407">
                  <c:v>561000</c:v>
                </c:pt>
                <c:pt idx="408">
                  <c:v>0</c:v>
                </c:pt>
                <c:pt idx="409">
                  <c:v>0</c:v>
                </c:pt>
                <c:pt idx="410">
                  <c:v>30000</c:v>
                </c:pt>
                <c:pt idx="411">
                  <c:v>250000</c:v>
                </c:pt>
                <c:pt idx="412">
                  <c:v>190000</c:v>
                </c:pt>
                <c:pt idx="413">
                  <c:v>145000</c:v>
                </c:pt>
                <c:pt idx="414">
                  <c:v>0</c:v>
                </c:pt>
                <c:pt idx="415">
                  <c:v>0</c:v>
                </c:pt>
                <c:pt idx="416">
                  <c:v>150000</c:v>
                </c:pt>
                <c:pt idx="417">
                  <c:v>50000</c:v>
                </c:pt>
                <c:pt idx="418">
                  <c:v>118800</c:v>
                </c:pt>
                <c:pt idx="419">
                  <c:v>203000</c:v>
                </c:pt>
                <c:pt idx="420">
                  <c:v>171000</c:v>
                </c:pt>
                <c:pt idx="421">
                  <c:v>321000</c:v>
                </c:pt>
                <c:pt idx="422">
                  <c:v>534092</c:v>
                </c:pt>
                <c:pt idx="423">
                  <c:v>0</c:v>
                </c:pt>
                <c:pt idx="424">
                  <c:v>130000</c:v>
                </c:pt>
                <c:pt idx="425">
                  <c:v>349230</c:v>
                </c:pt>
                <c:pt idx="426">
                  <c:v>209000</c:v>
                </c:pt>
                <c:pt idx="427">
                  <c:v>0</c:v>
                </c:pt>
                <c:pt idx="428">
                  <c:v>448000</c:v>
                </c:pt>
                <c:pt idx="429">
                  <c:v>773000</c:v>
                </c:pt>
                <c:pt idx="430">
                  <c:v>283042</c:v>
                </c:pt>
                <c:pt idx="431">
                  <c:v>0</c:v>
                </c:pt>
                <c:pt idx="433">
                  <c:v>0</c:v>
                </c:pt>
                <c:pt idx="434">
                  <c:v>614665</c:v>
                </c:pt>
                <c:pt idx="435">
                  <c:v>0</c:v>
                </c:pt>
                <c:pt idx="436">
                  <c:v>546281</c:v>
                </c:pt>
                <c:pt idx="437">
                  <c:v>319000</c:v>
                </c:pt>
                <c:pt idx="438">
                  <c:v>340000</c:v>
                </c:pt>
                <c:pt idx="439">
                  <c:v>110000</c:v>
                </c:pt>
                <c:pt idx="440">
                  <c:v>40000</c:v>
                </c:pt>
                <c:pt idx="441">
                  <c:v>110000</c:v>
                </c:pt>
                <c:pt idx="442">
                  <c:v>129000</c:v>
                </c:pt>
                <c:pt idx="443">
                  <c:v>472300</c:v>
                </c:pt>
                <c:pt idx="444">
                  <c:v>227500</c:v>
                </c:pt>
                <c:pt idx="445">
                  <c:v>208500</c:v>
                </c:pt>
                <c:pt idx="446">
                  <c:v>49500</c:v>
                </c:pt>
                <c:pt idx="447">
                  <c:v>0</c:v>
                </c:pt>
                <c:pt idx="448">
                  <c:v>353500</c:v>
                </c:pt>
                <c:pt idx="449">
                  <c:v>259000</c:v>
                </c:pt>
                <c:pt idx="450">
                  <c:v>261876</c:v>
                </c:pt>
                <c:pt idx="451">
                  <c:v>254000</c:v>
                </c:pt>
                <c:pt idx="452">
                  <c:v>0</c:v>
                </c:pt>
                <c:pt idx="453">
                  <c:v>0</c:v>
                </c:pt>
                <c:pt idx="454">
                  <c:v>785000</c:v>
                </c:pt>
                <c:pt idx="455">
                  <c:v>140000</c:v>
                </c:pt>
                <c:pt idx="456">
                  <c:v>100000</c:v>
                </c:pt>
                <c:pt idx="457">
                  <c:v>443000</c:v>
                </c:pt>
                <c:pt idx="458">
                  <c:v>0</c:v>
                </c:pt>
                <c:pt idx="459">
                  <c:v>401000</c:v>
                </c:pt>
                <c:pt idx="461">
                  <c:v>501000</c:v>
                </c:pt>
                <c:pt idx="462">
                  <c:v>49500</c:v>
                </c:pt>
                <c:pt idx="463">
                  <c:v>520000</c:v>
                </c:pt>
                <c:pt idx="465">
                  <c:v>315800</c:v>
                </c:pt>
                <c:pt idx="466">
                  <c:v>254000</c:v>
                </c:pt>
                <c:pt idx="467">
                  <c:v>0</c:v>
                </c:pt>
                <c:pt idx="468">
                  <c:v>193587</c:v>
                </c:pt>
                <c:pt idx="478">
                  <c:v>497000</c:v>
                </c:pt>
                <c:pt idx="481">
                  <c:v>160000</c:v>
                </c:pt>
                <c:pt idx="482">
                  <c:v>239400</c:v>
                </c:pt>
                <c:pt idx="483">
                  <c:v>478750</c:v>
                </c:pt>
                <c:pt idx="484">
                  <c:v>352500</c:v>
                </c:pt>
                <c:pt idx="485">
                  <c:v>378000</c:v>
                </c:pt>
                <c:pt idx="486">
                  <c:v>129000</c:v>
                </c:pt>
                <c:pt idx="487">
                  <c:v>820967</c:v>
                </c:pt>
                <c:pt idx="488">
                  <c:v>579306</c:v>
                </c:pt>
                <c:pt idx="489">
                  <c:v>311000</c:v>
                </c:pt>
                <c:pt idx="490">
                  <c:v>416000</c:v>
                </c:pt>
                <c:pt idx="491">
                  <c:v>30000</c:v>
                </c:pt>
                <c:pt idx="492">
                  <c:v>210000</c:v>
                </c:pt>
                <c:pt idx="493">
                  <c:v>99000</c:v>
                </c:pt>
                <c:pt idx="494">
                  <c:v>0</c:v>
                </c:pt>
                <c:pt idx="495">
                  <c:v>96600</c:v>
                </c:pt>
                <c:pt idx="496">
                  <c:v>852345</c:v>
                </c:pt>
                <c:pt idx="497">
                  <c:v>318800</c:v>
                </c:pt>
                <c:pt idx="498">
                  <c:v>150000</c:v>
                </c:pt>
                <c:pt idx="499">
                  <c:v>631670</c:v>
                </c:pt>
                <c:pt idx="500">
                  <c:v>150000</c:v>
                </c:pt>
                <c:pt idx="501">
                  <c:v>109400</c:v>
                </c:pt>
                <c:pt idx="502">
                  <c:v>480000</c:v>
                </c:pt>
                <c:pt idx="503">
                  <c:v>180000</c:v>
                </c:pt>
                <c:pt idx="504">
                  <c:v>2300000</c:v>
                </c:pt>
                <c:pt idx="505">
                  <c:v>0</c:v>
                </c:pt>
                <c:pt idx="506">
                  <c:v>269800</c:v>
                </c:pt>
                <c:pt idx="507">
                  <c:v>5000</c:v>
                </c:pt>
                <c:pt idx="508">
                  <c:v>139000</c:v>
                </c:pt>
                <c:pt idx="509">
                  <c:v>760000</c:v>
                </c:pt>
                <c:pt idx="510">
                  <c:v>466000</c:v>
                </c:pt>
                <c:pt idx="511">
                  <c:v>471000</c:v>
                </c:pt>
                <c:pt idx="512">
                  <c:v>340000</c:v>
                </c:pt>
                <c:pt idx="513">
                  <c:v>50000</c:v>
                </c:pt>
                <c:pt idx="514">
                  <c:v>0</c:v>
                </c:pt>
                <c:pt idx="515">
                  <c:v>0</c:v>
                </c:pt>
                <c:pt idx="516">
                  <c:v>50000</c:v>
                </c:pt>
                <c:pt idx="518">
                  <c:v>220000</c:v>
                </c:pt>
                <c:pt idx="519">
                  <c:v>20000</c:v>
                </c:pt>
                <c:pt idx="520">
                  <c:v>19500</c:v>
                </c:pt>
                <c:pt idx="521">
                  <c:v>417500</c:v>
                </c:pt>
                <c:pt idx="522">
                  <c:v>411937</c:v>
                </c:pt>
                <c:pt idx="523">
                  <c:v>100000</c:v>
                </c:pt>
                <c:pt idx="524">
                  <c:v>264000</c:v>
                </c:pt>
                <c:pt idx="525">
                  <c:v>0</c:v>
                </c:pt>
                <c:pt idx="526">
                  <c:v>923911</c:v>
                </c:pt>
                <c:pt idx="527">
                  <c:v>1247071</c:v>
                </c:pt>
                <c:pt idx="528">
                  <c:v>150000</c:v>
                </c:pt>
                <c:pt idx="529">
                  <c:v>40000</c:v>
                </c:pt>
                <c:pt idx="530">
                  <c:v>1369200</c:v>
                </c:pt>
                <c:pt idx="531">
                  <c:v>200000</c:v>
                </c:pt>
                <c:pt idx="532">
                  <c:v>198000</c:v>
                </c:pt>
                <c:pt idx="533">
                  <c:v>997000</c:v>
                </c:pt>
                <c:pt idx="534">
                  <c:v>676000</c:v>
                </c:pt>
                <c:pt idx="535">
                  <c:v>0</c:v>
                </c:pt>
                <c:pt idx="536">
                  <c:v>721404</c:v>
                </c:pt>
                <c:pt idx="537">
                  <c:v>50000</c:v>
                </c:pt>
                <c:pt idx="538">
                  <c:v>270000</c:v>
                </c:pt>
                <c:pt idx="539">
                  <c:v>447960</c:v>
                </c:pt>
                <c:pt idx="540">
                  <c:v>294000</c:v>
                </c:pt>
                <c:pt idx="541">
                  <c:v>560700</c:v>
                </c:pt>
                <c:pt idx="542">
                  <c:v>196000</c:v>
                </c:pt>
                <c:pt idx="543">
                  <c:v>876700</c:v>
                </c:pt>
                <c:pt idx="544">
                  <c:v>345500</c:v>
                </c:pt>
                <c:pt idx="545">
                  <c:v>0</c:v>
                </c:pt>
                <c:pt idx="546">
                  <c:v>800037</c:v>
                </c:pt>
                <c:pt idx="547">
                  <c:v>1080885</c:v>
                </c:pt>
                <c:pt idx="548">
                  <c:v>241000</c:v>
                </c:pt>
                <c:pt idx="549">
                  <c:v>277600</c:v>
                </c:pt>
                <c:pt idx="550">
                  <c:v>300000</c:v>
                </c:pt>
                <c:pt idx="551">
                  <c:v>348000</c:v>
                </c:pt>
                <c:pt idx="552">
                  <c:v>548000</c:v>
                </c:pt>
                <c:pt idx="553">
                  <c:v>468500</c:v>
                </c:pt>
                <c:pt idx="554">
                  <c:v>692321</c:v>
                </c:pt>
                <c:pt idx="555">
                  <c:v>370000</c:v>
                </c:pt>
                <c:pt idx="556">
                  <c:v>445000</c:v>
                </c:pt>
                <c:pt idx="557">
                  <c:v>0</c:v>
                </c:pt>
                <c:pt idx="558">
                  <c:v>630849</c:v>
                </c:pt>
                <c:pt idx="559">
                  <c:v>341000</c:v>
                </c:pt>
                <c:pt idx="560">
                  <c:v>188000</c:v>
                </c:pt>
                <c:pt idx="561">
                  <c:v>100000</c:v>
                </c:pt>
                <c:pt idx="562">
                  <c:v>823000</c:v>
                </c:pt>
                <c:pt idx="563">
                  <c:v>100000</c:v>
                </c:pt>
                <c:pt idx="564">
                  <c:v>852150</c:v>
                </c:pt>
                <c:pt idx="565">
                  <c:v>556500</c:v>
                </c:pt>
                <c:pt idx="566">
                  <c:v>250000</c:v>
                </c:pt>
                <c:pt idx="567">
                  <c:v>179200</c:v>
                </c:pt>
                <c:pt idx="568">
                  <c:v>246124</c:v>
                </c:pt>
                <c:pt idx="569">
                  <c:v>0</c:v>
                </c:pt>
                <c:pt idx="570">
                  <c:v>463418</c:v>
                </c:pt>
                <c:pt idx="571">
                  <c:v>400705</c:v>
                </c:pt>
                <c:pt idx="572">
                  <c:v>120000</c:v>
                </c:pt>
                <c:pt idx="573">
                  <c:v>306500</c:v>
                </c:pt>
                <c:pt idx="574">
                  <c:v>535221</c:v>
                </c:pt>
                <c:pt idx="575">
                  <c:v>727500</c:v>
                </c:pt>
                <c:pt idx="576">
                  <c:v>128700</c:v>
                </c:pt>
                <c:pt idx="577">
                  <c:v>300000</c:v>
                </c:pt>
                <c:pt idx="578">
                  <c:v>408800</c:v>
                </c:pt>
                <c:pt idx="579">
                  <c:v>85500</c:v>
                </c:pt>
                <c:pt idx="580">
                  <c:v>135500</c:v>
                </c:pt>
                <c:pt idx="581">
                  <c:v>1584069</c:v>
                </c:pt>
                <c:pt idx="582">
                  <c:v>289000</c:v>
                </c:pt>
                <c:pt idx="583">
                  <c:v>0</c:v>
                </c:pt>
                <c:pt idx="584">
                  <c:v>341000</c:v>
                </c:pt>
                <c:pt idx="585">
                  <c:v>433640</c:v>
                </c:pt>
                <c:pt idx="586">
                  <c:v>343000</c:v>
                </c:pt>
                <c:pt idx="587">
                  <c:v>310000</c:v>
                </c:pt>
                <c:pt idx="588">
                  <c:v>169000</c:v>
                </c:pt>
                <c:pt idx="589">
                  <c:v>326750</c:v>
                </c:pt>
                <c:pt idx="590">
                  <c:v>509000</c:v>
                </c:pt>
                <c:pt idx="591">
                  <c:v>0</c:v>
                </c:pt>
                <c:pt idx="592">
                  <c:v>149500</c:v>
                </c:pt>
                <c:pt idx="593">
                  <c:v>140000</c:v>
                </c:pt>
                <c:pt idx="594">
                  <c:v>1056966</c:v>
                </c:pt>
                <c:pt idx="595">
                  <c:v>314000</c:v>
                </c:pt>
                <c:pt idx="596">
                  <c:v>887753</c:v>
                </c:pt>
                <c:pt idx="597">
                  <c:v>50000</c:v>
                </c:pt>
                <c:pt idx="598">
                  <c:v>0</c:v>
                </c:pt>
                <c:pt idx="599">
                  <c:v>50000</c:v>
                </c:pt>
                <c:pt idx="600">
                  <c:v>290000</c:v>
                </c:pt>
                <c:pt idx="601">
                  <c:v>168800</c:v>
                </c:pt>
                <c:pt idx="602">
                  <c:v>40000</c:v>
                </c:pt>
                <c:pt idx="603">
                  <c:v>260000</c:v>
                </c:pt>
                <c:pt idx="604">
                  <c:v>307000</c:v>
                </c:pt>
                <c:pt idx="605">
                  <c:v>390000</c:v>
                </c:pt>
                <c:pt idx="606">
                  <c:v>532566</c:v>
                </c:pt>
                <c:pt idx="607">
                  <c:v>100000</c:v>
                </c:pt>
                <c:pt idx="608">
                  <c:v>470000</c:v>
                </c:pt>
                <c:pt idx="609">
                  <c:v>578931</c:v>
                </c:pt>
                <c:pt idx="610">
                  <c:v>189000</c:v>
                </c:pt>
                <c:pt idx="611">
                  <c:v>648400</c:v>
                </c:pt>
                <c:pt idx="612">
                  <c:v>29700</c:v>
                </c:pt>
                <c:pt idx="613">
                  <c:v>777700</c:v>
                </c:pt>
                <c:pt idx="614">
                  <c:v>58000</c:v>
                </c:pt>
                <c:pt idx="615">
                  <c:v>393000</c:v>
                </c:pt>
                <c:pt idx="616">
                  <c:v>150000</c:v>
                </c:pt>
                <c:pt idx="617">
                  <c:v>920420</c:v>
                </c:pt>
                <c:pt idx="618">
                  <c:v>143000</c:v>
                </c:pt>
                <c:pt idx="619">
                  <c:v>50000</c:v>
                </c:pt>
                <c:pt idx="620">
                  <c:v>426950</c:v>
                </c:pt>
                <c:pt idx="621">
                  <c:v>100000</c:v>
                </c:pt>
                <c:pt idx="622">
                  <c:v>240000</c:v>
                </c:pt>
                <c:pt idx="623">
                  <c:v>160000</c:v>
                </c:pt>
                <c:pt idx="624">
                  <c:v>0</c:v>
                </c:pt>
                <c:pt idx="625">
                  <c:v>100000</c:v>
                </c:pt>
                <c:pt idx="626">
                  <c:v>49500</c:v>
                </c:pt>
                <c:pt idx="627">
                  <c:v>50000</c:v>
                </c:pt>
                <c:pt idx="628">
                  <c:v>283595</c:v>
                </c:pt>
                <c:pt idx="629">
                  <c:v>100000</c:v>
                </c:pt>
                <c:pt idx="630">
                  <c:v>80000</c:v>
                </c:pt>
                <c:pt idx="631">
                  <c:v>250000</c:v>
                </c:pt>
                <c:pt idx="632">
                  <c:v>265827</c:v>
                </c:pt>
                <c:pt idx="633">
                  <c:v>453000</c:v>
                </c:pt>
                <c:pt idx="634">
                  <c:v>230000</c:v>
                </c:pt>
                <c:pt idx="635">
                  <c:v>270000</c:v>
                </c:pt>
                <c:pt idx="636">
                  <c:v>504050</c:v>
                </c:pt>
                <c:pt idx="637">
                  <c:v>50000</c:v>
                </c:pt>
                <c:pt idx="638">
                  <c:v>150000</c:v>
                </c:pt>
                <c:pt idx="639">
                  <c:v>371250</c:v>
                </c:pt>
                <c:pt idx="640">
                  <c:v>732700</c:v>
                </c:pt>
                <c:pt idx="641">
                  <c:v>159000</c:v>
                </c:pt>
                <c:pt idx="642">
                  <c:v>0</c:v>
                </c:pt>
                <c:pt idx="643">
                  <c:v>700000</c:v>
                </c:pt>
                <c:pt idx="644">
                  <c:v>247075</c:v>
                </c:pt>
                <c:pt idx="645">
                  <c:v>862000</c:v>
                </c:pt>
                <c:pt idx="646">
                  <c:v>200000</c:v>
                </c:pt>
                <c:pt idx="647">
                  <c:v>105000</c:v>
                </c:pt>
                <c:pt idx="648">
                  <c:v>50000</c:v>
                </c:pt>
                <c:pt idx="649">
                  <c:v>674000</c:v>
                </c:pt>
                <c:pt idx="650">
                  <c:v>119500</c:v>
                </c:pt>
                <c:pt idx="651">
                  <c:v>390000</c:v>
                </c:pt>
                <c:pt idx="652">
                  <c:v>248500</c:v>
                </c:pt>
                <c:pt idx="653">
                  <c:v>0</c:v>
                </c:pt>
                <c:pt idx="654">
                  <c:v>149500</c:v>
                </c:pt>
                <c:pt idx="655">
                  <c:v>105000</c:v>
                </c:pt>
                <c:pt idx="656">
                  <c:v>299300</c:v>
                </c:pt>
                <c:pt idx="657">
                  <c:v>60000</c:v>
                </c:pt>
                <c:pt idx="658">
                  <c:v>280000</c:v>
                </c:pt>
                <c:pt idx="659">
                  <c:v>141000</c:v>
                </c:pt>
                <c:pt idx="660">
                  <c:v>844000</c:v>
                </c:pt>
                <c:pt idx="661">
                  <c:v>830949</c:v>
                </c:pt>
                <c:pt idx="662">
                  <c:v>288800</c:v>
                </c:pt>
                <c:pt idx="663">
                  <c:v>543000</c:v>
                </c:pt>
                <c:pt idx="664">
                  <c:v>100000</c:v>
                </c:pt>
                <c:pt idx="665">
                  <c:v>398000</c:v>
                </c:pt>
                <c:pt idx="666">
                  <c:v>623500</c:v>
                </c:pt>
                <c:pt idx="667">
                  <c:v>30000</c:v>
                </c:pt>
                <c:pt idx="668">
                  <c:v>100000</c:v>
                </c:pt>
                <c:pt idx="669">
                  <c:v>443350</c:v>
                </c:pt>
                <c:pt idx="670">
                  <c:v>0</c:v>
                </c:pt>
                <c:pt idx="671">
                  <c:v>282900</c:v>
                </c:pt>
                <c:pt idx="672">
                  <c:v>349500</c:v>
                </c:pt>
                <c:pt idx="673">
                  <c:v>50000</c:v>
                </c:pt>
                <c:pt idx="674">
                  <c:v>256300</c:v>
                </c:pt>
                <c:pt idx="675">
                  <c:v>30000</c:v>
                </c:pt>
                <c:pt idx="676">
                  <c:v>0</c:v>
                </c:pt>
                <c:pt idx="677">
                  <c:v>159000</c:v>
                </c:pt>
                <c:pt idx="678">
                  <c:v>120000</c:v>
                </c:pt>
                <c:pt idx="679">
                  <c:v>200000</c:v>
                </c:pt>
                <c:pt idx="682">
                  <c:v>1203476</c:v>
                </c:pt>
                <c:pt idx="684">
                  <c:v>343700</c:v>
                </c:pt>
                <c:pt idx="685">
                  <c:v>269000</c:v>
                </c:pt>
                <c:pt idx="686">
                  <c:v>332000</c:v>
                </c:pt>
                <c:pt idx="687">
                  <c:v>909745</c:v>
                </c:pt>
                <c:pt idx="688">
                  <c:v>99000</c:v>
                </c:pt>
                <c:pt idx="689">
                  <c:v>573000</c:v>
                </c:pt>
                <c:pt idx="690">
                  <c:v>246900</c:v>
                </c:pt>
                <c:pt idx="691">
                  <c:v>130000</c:v>
                </c:pt>
                <c:pt idx="692">
                  <c:v>1078400</c:v>
                </c:pt>
                <c:pt idx="693">
                  <c:v>100000</c:v>
                </c:pt>
                <c:pt idx="694">
                  <c:v>170000</c:v>
                </c:pt>
                <c:pt idx="695">
                  <c:v>1040000</c:v>
                </c:pt>
                <c:pt idx="696">
                  <c:v>469000</c:v>
                </c:pt>
                <c:pt idx="698">
                  <c:v>279000</c:v>
                </c:pt>
                <c:pt idx="699">
                  <c:v>560000</c:v>
                </c:pt>
                <c:pt idx="700">
                  <c:v>374000</c:v>
                </c:pt>
                <c:pt idx="701">
                  <c:v>639000</c:v>
                </c:pt>
                <c:pt idx="702">
                  <c:v>323200</c:v>
                </c:pt>
                <c:pt idx="703">
                  <c:v>899599</c:v>
                </c:pt>
                <c:pt idx="704">
                  <c:v>633000</c:v>
                </c:pt>
                <c:pt idx="705">
                  <c:v>393207</c:v>
                </c:pt>
                <c:pt idx="706">
                  <c:v>388000</c:v>
                </c:pt>
                <c:pt idx="707">
                  <c:v>494000</c:v>
                </c:pt>
                <c:pt idx="708">
                  <c:v>681400</c:v>
                </c:pt>
                <c:pt idx="709">
                  <c:v>75000</c:v>
                </c:pt>
                <c:pt idx="710">
                  <c:v>60000</c:v>
                </c:pt>
                <c:pt idx="711">
                  <c:v>199000</c:v>
                </c:pt>
                <c:pt idx="712">
                  <c:v>198400</c:v>
                </c:pt>
                <c:pt idx="713">
                  <c:v>668000</c:v>
                </c:pt>
                <c:pt idx="714">
                  <c:v>270000</c:v>
                </c:pt>
                <c:pt idx="715">
                  <c:v>891265</c:v>
                </c:pt>
                <c:pt idx="716">
                  <c:v>180000</c:v>
                </c:pt>
                <c:pt idx="717">
                  <c:v>150000</c:v>
                </c:pt>
                <c:pt idx="718">
                  <c:v>389400</c:v>
                </c:pt>
                <c:pt idx="719">
                  <c:v>199500</c:v>
                </c:pt>
                <c:pt idx="720">
                  <c:v>250500</c:v>
                </c:pt>
                <c:pt idx="721">
                  <c:v>824027</c:v>
                </c:pt>
                <c:pt idx="722">
                  <c:v>763000</c:v>
                </c:pt>
                <c:pt idx="723">
                  <c:v>28000</c:v>
                </c:pt>
                <c:pt idx="724">
                  <c:v>320500</c:v>
                </c:pt>
                <c:pt idx="725">
                  <c:v>968958</c:v>
                </c:pt>
                <c:pt idx="726">
                  <c:v>1641717</c:v>
                </c:pt>
                <c:pt idx="727">
                  <c:v>1299333</c:v>
                </c:pt>
                <c:pt idx="728">
                  <c:v>1810027</c:v>
                </c:pt>
                <c:pt idx="729">
                  <c:v>538500</c:v>
                </c:pt>
                <c:pt idx="730">
                  <c:v>318000</c:v>
                </c:pt>
                <c:pt idx="731">
                  <c:v>122000</c:v>
                </c:pt>
                <c:pt idx="732">
                  <c:v>317800</c:v>
                </c:pt>
                <c:pt idx="733">
                  <c:v>1543046</c:v>
                </c:pt>
                <c:pt idx="734">
                  <c:v>122800</c:v>
                </c:pt>
                <c:pt idx="735">
                  <c:v>829531</c:v>
                </c:pt>
                <c:pt idx="736">
                  <c:v>404200</c:v>
                </c:pt>
                <c:pt idx="737">
                  <c:v>280000</c:v>
                </c:pt>
                <c:pt idx="738">
                  <c:v>200000</c:v>
                </c:pt>
                <c:pt idx="739">
                  <c:v>635000</c:v>
                </c:pt>
                <c:pt idx="740">
                  <c:v>70000</c:v>
                </c:pt>
                <c:pt idx="741">
                  <c:v>100000</c:v>
                </c:pt>
                <c:pt idx="742">
                  <c:v>152990</c:v>
                </c:pt>
                <c:pt idx="743">
                  <c:v>309000</c:v>
                </c:pt>
                <c:pt idx="744">
                  <c:v>257400</c:v>
                </c:pt>
                <c:pt idx="745">
                  <c:v>50000</c:v>
                </c:pt>
                <c:pt idx="746">
                  <c:v>325811</c:v>
                </c:pt>
                <c:pt idx="747">
                  <c:v>320790</c:v>
                </c:pt>
                <c:pt idx="748">
                  <c:v>283560</c:v>
                </c:pt>
                <c:pt idx="749">
                  <c:v>459365</c:v>
                </c:pt>
                <c:pt idx="750">
                  <c:v>829880</c:v>
                </c:pt>
                <c:pt idx="751">
                  <c:v>500200</c:v>
                </c:pt>
                <c:pt idx="752">
                  <c:v>200000</c:v>
                </c:pt>
                <c:pt idx="753">
                  <c:v>474000</c:v>
                </c:pt>
                <c:pt idx="754">
                  <c:v>420000</c:v>
                </c:pt>
                <c:pt idx="755">
                  <c:v>400000</c:v>
                </c:pt>
                <c:pt idx="756">
                  <c:v>360000</c:v>
                </c:pt>
                <c:pt idx="757">
                  <c:v>593000</c:v>
                </c:pt>
                <c:pt idx="758">
                  <c:v>110000</c:v>
                </c:pt>
                <c:pt idx="759">
                  <c:v>113000</c:v>
                </c:pt>
                <c:pt idx="760">
                  <c:v>111000</c:v>
                </c:pt>
                <c:pt idx="761">
                  <c:v>499000</c:v>
                </c:pt>
                <c:pt idx="762">
                  <c:v>732500</c:v>
                </c:pt>
                <c:pt idx="763">
                  <c:v>575042</c:v>
                </c:pt>
                <c:pt idx="764">
                  <c:v>432500</c:v>
                </c:pt>
                <c:pt idx="765">
                  <c:v>446000</c:v>
                </c:pt>
                <c:pt idx="766">
                  <c:v>320000</c:v>
                </c:pt>
                <c:pt idx="767">
                  <c:v>447000</c:v>
                </c:pt>
                <c:pt idx="768">
                  <c:v>190000</c:v>
                </c:pt>
                <c:pt idx="789">
                  <c:v>718000</c:v>
                </c:pt>
                <c:pt idx="790">
                  <c:v>405000</c:v>
                </c:pt>
                <c:pt idx="798">
                  <c:v>453490</c:v>
                </c:pt>
                <c:pt idx="799">
                  <c:v>544000</c:v>
                </c:pt>
                <c:pt idx="800">
                  <c:v>224000</c:v>
                </c:pt>
                <c:pt idx="803">
                  <c:v>471700</c:v>
                </c:pt>
                <c:pt idx="804">
                  <c:v>845000</c:v>
                </c:pt>
                <c:pt idx="805">
                  <c:v>50000</c:v>
                </c:pt>
                <c:pt idx="806">
                  <c:v>1036000</c:v>
                </c:pt>
                <c:pt idx="807">
                  <c:v>307000</c:v>
                </c:pt>
                <c:pt idx="808">
                  <c:v>973000</c:v>
                </c:pt>
                <c:pt idx="809">
                  <c:v>190000</c:v>
                </c:pt>
                <c:pt idx="810">
                  <c:v>0</c:v>
                </c:pt>
                <c:pt idx="811">
                  <c:v>515000</c:v>
                </c:pt>
                <c:pt idx="812">
                  <c:v>1735123</c:v>
                </c:pt>
                <c:pt idx="813">
                  <c:v>655000</c:v>
                </c:pt>
                <c:pt idx="814">
                  <c:v>182000</c:v>
                </c:pt>
                <c:pt idx="815">
                  <c:v>150000</c:v>
                </c:pt>
                <c:pt idx="816">
                  <c:v>120000</c:v>
                </c:pt>
                <c:pt idx="817">
                  <c:v>200000</c:v>
                </c:pt>
                <c:pt idx="818">
                  <c:v>812393</c:v>
                </c:pt>
                <c:pt idx="819">
                  <c:v>829900</c:v>
                </c:pt>
                <c:pt idx="820">
                  <c:v>1276248</c:v>
                </c:pt>
                <c:pt idx="821">
                  <c:v>350000</c:v>
                </c:pt>
                <c:pt idx="822">
                  <c:v>150000</c:v>
                </c:pt>
                <c:pt idx="823">
                  <c:v>120000</c:v>
                </c:pt>
                <c:pt idx="824">
                  <c:v>651400</c:v>
                </c:pt>
                <c:pt idx="825">
                  <c:v>441027</c:v>
                </c:pt>
                <c:pt idx="826">
                  <c:v>685000</c:v>
                </c:pt>
                <c:pt idx="827">
                  <c:v>456797</c:v>
                </c:pt>
                <c:pt idx="828">
                  <c:v>372700</c:v>
                </c:pt>
                <c:pt idx="829">
                  <c:v>972932</c:v>
                </c:pt>
                <c:pt idx="830">
                  <c:v>519786</c:v>
                </c:pt>
                <c:pt idx="831">
                  <c:v>470000</c:v>
                </c:pt>
                <c:pt idx="832">
                  <c:v>0</c:v>
                </c:pt>
                <c:pt idx="833">
                  <c:v>0</c:v>
                </c:pt>
                <c:pt idx="834">
                  <c:v>494000</c:v>
                </c:pt>
                <c:pt idx="835">
                  <c:v>926000</c:v>
                </c:pt>
                <c:pt idx="836">
                  <c:v>0</c:v>
                </c:pt>
                <c:pt idx="837">
                  <c:v>248000</c:v>
                </c:pt>
                <c:pt idx="838">
                  <c:v>364000</c:v>
                </c:pt>
                <c:pt idx="839">
                  <c:v>0</c:v>
                </c:pt>
                <c:pt idx="840">
                  <c:v>115000</c:v>
                </c:pt>
                <c:pt idx="841">
                  <c:v>200000</c:v>
                </c:pt>
                <c:pt idx="842">
                  <c:v>746500</c:v>
                </c:pt>
                <c:pt idx="843">
                  <c:v>30000</c:v>
                </c:pt>
                <c:pt idx="844">
                  <c:v>0</c:v>
                </c:pt>
                <c:pt idx="845">
                  <c:v>597000</c:v>
                </c:pt>
                <c:pt idx="846">
                  <c:v>0</c:v>
                </c:pt>
                <c:pt idx="847">
                  <c:v>920000</c:v>
                </c:pt>
                <c:pt idx="849">
                  <c:v>0</c:v>
                </c:pt>
                <c:pt idx="850">
                  <c:v>71500</c:v>
                </c:pt>
                <c:pt idx="851">
                  <c:v>493113</c:v>
                </c:pt>
                <c:pt idx="852">
                  <c:v>720400</c:v>
                </c:pt>
                <c:pt idx="853">
                  <c:v>851000</c:v>
                </c:pt>
                <c:pt idx="854">
                  <c:v>1658000</c:v>
                </c:pt>
                <c:pt idx="855">
                  <c:v>393000</c:v>
                </c:pt>
                <c:pt idx="856">
                  <c:v>490000</c:v>
                </c:pt>
                <c:pt idx="857">
                  <c:v>659818</c:v>
                </c:pt>
                <c:pt idx="859">
                  <c:v>1288449</c:v>
                </c:pt>
                <c:pt idx="860">
                  <c:v>906962</c:v>
                </c:pt>
                <c:pt idx="861">
                  <c:v>850471</c:v>
                </c:pt>
                <c:pt idx="862">
                  <c:v>895000</c:v>
                </c:pt>
                <c:pt idx="863">
                  <c:v>1155000</c:v>
                </c:pt>
                <c:pt idx="864">
                  <c:v>675811</c:v>
                </c:pt>
                <c:pt idx="865">
                  <c:v>447000</c:v>
                </c:pt>
                <c:pt idx="866">
                  <c:v>914629</c:v>
                </c:pt>
                <c:pt idx="867">
                  <c:v>250000</c:v>
                </c:pt>
                <c:pt idx="868">
                  <c:v>2160860</c:v>
                </c:pt>
                <c:pt idx="869">
                  <c:v>1081062</c:v>
                </c:pt>
                <c:pt idx="870">
                  <c:v>4000</c:v>
                </c:pt>
                <c:pt idx="871">
                  <c:v>557011</c:v>
                </c:pt>
                <c:pt idx="872">
                  <c:v>0</c:v>
                </c:pt>
                <c:pt idx="873">
                  <c:v>314486</c:v>
                </c:pt>
                <c:pt idx="874">
                  <c:v>1425900</c:v>
                </c:pt>
                <c:pt idx="875">
                  <c:v>347000</c:v>
                </c:pt>
                <c:pt idx="876">
                  <c:v>1178400</c:v>
                </c:pt>
                <c:pt idx="877">
                  <c:v>969572</c:v>
                </c:pt>
                <c:pt idx="878">
                  <c:v>1435868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93-4675-8CF1-E99C3E7C4480}"/>
            </c:ext>
          </c:extLst>
        </c:ser>
        <c:ser>
          <c:idx val="22"/>
          <c:order val="22"/>
          <c:tx>
            <c:strRef>
              <c:f>'CASH FLOW'!$X$1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FLOW'!$X$2:$X$969</c:f>
              <c:numCache>
                <c:formatCode>General</c:formatCode>
                <c:ptCount val="968"/>
                <c:pt idx="0">
                  <c:v>0</c:v>
                </c:pt>
                <c:pt idx="1">
                  <c:v>0</c:v>
                </c:pt>
                <c:pt idx="2" formatCode="_-* #,##0_-;\-* #,##0_-;_-* &quot;-&quot;??_-;_-@_-">
                  <c:v>3409463</c:v>
                </c:pt>
                <c:pt idx="3" formatCode="_-* #,##0_-;\-* #,##0_-;_-* &quot;-&quot;??_-;_-@_-">
                  <c:v>2357119</c:v>
                </c:pt>
                <c:pt idx="4" formatCode="_-* #,##0_-;\-* #,##0_-;_-* &quot;-&quot;??_-;_-@_-">
                  <c:v>4918083</c:v>
                </c:pt>
                <c:pt idx="5" formatCode="_-* #,##0_-;\-* #,##0_-;_-* &quot;-&quot;??_-;_-@_-">
                  <c:v>7347793</c:v>
                </c:pt>
                <c:pt idx="6" formatCode="_-* #,##0_-;\-* #,##0_-;_-* &quot;-&quot;??_-;_-@_-">
                  <c:v>4617060</c:v>
                </c:pt>
                <c:pt idx="7" formatCode="_-* #,##0_-;\-* #,##0_-;_-* &quot;-&quot;??_-;_-@_-">
                  <c:v>10445731</c:v>
                </c:pt>
                <c:pt idx="8" formatCode="_-* #,##0_-;\-* #,##0_-;_-* &quot;-&quot;??_-;_-@_-">
                  <c:v>3423869</c:v>
                </c:pt>
                <c:pt idx="9" formatCode="_-* #,##0_-;\-* #,##0_-;_-* &quot;-&quot;??_-;_-@_-">
                  <c:v>6939576</c:v>
                </c:pt>
                <c:pt idx="10" formatCode="_-* #,##0_-;\-* #,##0_-;_-* &quot;-&quot;??_-;_-@_-">
                  <c:v>11159558</c:v>
                </c:pt>
                <c:pt idx="11" formatCode="_-* #,##0_-;\-* #,##0_-;_-* &quot;-&quot;??_-;_-@_-">
                  <c:v>5942995</c:v>
                </c:pt>
                <c:pt idx="12" formatCode="_-* #,##0_-;\-* #,##0_-;_-* &quot;-&quot;??_-;_-@_-">
                  <c:v>6093605</c:v>
                </c:pt>
                <c:pt idx="13" formatCode="_-* #,##0_-;\-* #,##0_-;_-* &quot;-&quot;??_-;_-@_-">
                  <c:v>6096846</c:v>
                </c:pt>
                <c:pt idx="14" formatCode="_-* #,##0_-;\-* #,##0_-;_-* &quot;-&quot;??_-;_-@_-">
                  <c:v>7082380</c:v>
                </c:pt>
                <c:pt idx="15" formatCode="_-* #,##0_-;\-* #,##0_-;_-* &quot;-&quot;??_-;_-@_-">
                  <c:v>4367831</c:v>
                </c:pt>
                <c:pt idx="16" formatCode="_-* #,##0_-;\-* #,##0_-;_-* &quot;-&quot;??_-;_-@_-">
                  <c:v>5229887</c:v>
                </c:pt>
                <c:pt idx="17" formatCode="_-* #,##0_-;\-* #,##0_-;_-* &quot;-&quot;??_-;_-@_-">
                  <c:v>6252457</c:v>
                </c:pt>
                <c:pt idx="18" formatCode="_-* #,##0_-;\-* #,##0_-;_-* &quot;-&quot;??_-;_-@_-">
                  <c:v>5392647</c:v>
                </c:pt>
                <c:pt idx="19" formatCode="_-* #,##0_-;\-* #,##0_-;_-* &quot;-&quot;??_-;_-@_-">
                  <c:v>7911698</c:v>
                </c:pt>
                <c:pt idx="20" formatCode="_-* #,##0_-;\-* #,##0_-;_-* &quot;-&quot;??_-;_-@_-">
                  <c:v>5343519</c:v>
                </c:pt>
                <c:pt idx="21" formatCode="_-* #,##0_-;\-* #,##0_-;_-* &quot;-&quot;??_-;_-@_-">
                  <c:v>5923607</c:v>
                </c:pt>
                <c:pt idx="22" formatCode="_-* #,##0_-;\-* #,##0_-;_-* &quot;-&quot;??_-;_-@_-">
                  <c:v>8700776</c:v>
                </c:pt>
                <c:pt idx="23" formatCode="_-* #,##0_-;\-* #,##0_-;_-* &quot;-&quot;??_-;_-@_-">
                  <c:v>3950670</c:v>
                </c:pt>
                <c:pt idx="24" formatCode="_-* #,##0_-;\-* #,##0_-;_-* &quot;-&quot;??_-;_-@_-">
                  <c:v>5674431</c:v>
                </c:pt>
                <c:pt idx="25" formatCode="_-* #,##0_-;\-* #,##0_-;_-* &quot;-&quot;??_-;_-@_-">
                  <c:v>9066131</c:v>
                </c:pt>
                <c:pt idx="26" formatCode="_-* #,##0_-;\-* #,##0_-;_-* &quot;-&quot;??_-;_-@_-">
                  <c:v>8137390</c:v>
                </c:pt>
                <c:pt idx="27" formatCode="_-* #,##0_-;\-* #,##0_-;_-* &quot;-&quot;??_-;_-@_-">
                  <c:v>5773100</c:v>
                </c:pt>
                <c:pt idx="28" formatCode="_-* #,##0_-;\-* #,##0_-;_-* &quot;-&quot;??_-;_-@_-">
                  <c:v>12307270</c:v>
                </c:pt>
                <c:pt idx="29" formatCode="_-* #,##0_-;\-* #,##0_-;_-* &quot;-&quot;??_-;_-@_-">
                  <c:v>11909277</c:v>
                </c:pt>
                <c:pt idx="30" formatCode="_-* #,##0_-;\-* #,##0_-;_-* &quot;-&quot;??_-;_-@_-">
                  <c:v>3893763</c:v>
                </c:pt>
                <c:pt idx="31" formatCode="_-* #,##0_-;\-* #,##0_-;_-* &quot;-&quot;??_-;_-@_-">
                  <c:v>14445975</c:v>
                </c:pt>
                <c:pt idx="32" formatCode="_-* #,##0_-;\-* #,##0_-;_-* &quot;-&quot;??_-;_-@_-">
                  <c:v>15642311</c:v>
                </c:pt>
                <c:pt idx="33" formatCode="_-* #,##0_-;\-* #,##0_-;_-* &quot;-&quot;??_-;_-@_-">
                  <c:v>3465467</c:v>
                </c:pt>
                <c:pt idx="34" formatCode="_-* #,##0_-;\-* #,##0_-;_-* &quot;-&quot;??_-;_-@_-">
                  <c:v>4871217</c:v>
                </c:pt>
                <c:pt idx="35" formatCode="_-* #,##0_-;\-* #,##0_-;_-* &quot;-&quot;??_-;_-@_-">
                  <c:v>6186957</c:v>
                </c:pt>
                <c:pt idx="36" formatCode="_-* #,##0_-;\-* #,##0_-;_-* &quot;-&quot;??_-;_-@_-">
                  <c:v>4828747</c:v>
                </c:pt>
                <c:pt idx="37" formatCode="_-* #,##0_-;\-* #,##0_-;_-* &quot;-&quot;??_-;_-@_-">
                  <c:v>3050125</c:v>
                </c:pt>
                <c:pt idx="38" formatCode="_-* #,##0_-;\-* #,##0_-;_-* &quot;-&quot;??_-;_-@_-">
                  <c:v>18521228</c:v>
                </c:pt>
                <c:pt idx="39" formatCode="_-* #,##0_-;\-* #,##0_-;_-* &quot;-&quot;??_-;_-@_-">
                  <c:v>5182414</c:v>
                </c:pt>
                <c:pt idx="40" formatCode="_-* #,##0_-;\-* #,##0_-;_-* &quot;-&quot;??_-;_-@_-">
                  <c:v>4641197</c:v>
                </c:pt>
                <c:pt idx="41" formatCode="_-* #,##0_-;\-* #,##0_-;_-* &quot;-&quot;??_-;_-@_-">
                  <c:v>2709846</c:v>
                </c:pt>
                <c:pt idx="42" formatCode="_-* #,##0_-;\-* #,##0_-;_-* &quot;-&quot;??_-;_-@_-">
                  <c:v>4503517</c:v>
                </c:pt>
                <c:pt idx="43" formatCode="_-* #,##0_-;\-* #,##0_-;_-* &quot;-&quot;??_-;_-@_-">
                  <c:v>3308000</c:v>
                </c:pt>
                <c:pt idx="44" formatCode="_-* #,##0_-;\-* #,##0_-;_-* &quot;-&quot;??_-;_-@_-">
                  <c:v>12990007</c:v>
                </c:pt>
                <c:pt idx="45" formatCode="_-* #,##0_-;\-* #,##0_-;_-* &quot;-&quot;??_-;_-@_-">
                  <c:v>8276546</c:v>
                </c:pt>
                <c:pt idx="46" formatCode="_-* #,##0_-;\-* #,##0_-;_-* &quot;-&quot;??_-;_-@_-">
                  <c:v>6092905</c:v>
                </c:pt>
                <c:pt idx="47" formatCode="_-* #,##0_-;\-* #,##0_-;_-* &quot;-&quot;??_-;_-@_-">
                  <c:v>10245084</c:v>
                </c:pt>
                <c:pt idx="48" formatCode="_-* #,##0_-;\-* #,##0_-;_-* &quot;-&quot;??_-;_-@_-">
                  <c:v>7650520</c:v>
                </c:pt>
                <c:pt idx="49" formatCode="_-* #,##0_-;\-* #,##0_-;_-* &quot;-&quot;??_-;_-@_-">
                  <c:v>3776400</c:v>
                </c:pt>
                <c:pt idx="50" formatCode="_-* #,##0_-;\-* #,##0_-;_-* &quot;-&quot;??_-;_-@_-">
                  <c:v>5105279</c:v>
                </c:pt>
                <c:pt idx="51" formatCode="_-* #,##0_-;\-* #,##0_-;_-* &quot;-&quot;??_-;_-@_-">
                  <c:v>3273085</c:v>
                </c:pt>
                <c:pt idx="52" formatCode="_-* #,##0_-;\-* #,##0_-;_-* &quot;-&quot;??_-;_-@_-">
                  <c:v>4371553</c:v>
                </c:pt>
                <c:pt idx="53" formatCode="_-* #,##0_-;\-* #,##0_-;_-* &quot;-&quot;??_-;_-@_-">
                  <c:v>7677969</c:v>
                </c:pt>
                <c:pt idx="54" formatCode="_-* #,##0_-;\-* #,##0_-;_-* &quot;-&quot;??_-;_-@_-">
                  <c:v>6695626</c:v>
                </c:pt>
                <c:pt idx="55" formatCode="_-* #,##0_-;\-* #,##0_-;_-* &quot;-&quot;??_-;_-@_-">
                  <c:v>4371400</c:v>
                </c:pt>
                <c:pt idx="56" formatCode="_-* #,##0_-;\-* #,##0_-;_-* &quot;-&quot;??_-;_-@_-">
                  <c:v>3787360</c:v>
                </c:pt>
                <c:pt idx="57" formatCode="_-* #,##0_-;\-* #,##0_-;_-* &quot;-&quot;??_-;_-@_-">
                  <c:v>10674823</c:v>
                </c:pt>
                <c:pt idx="58" formatCode="_-* #,##0_-;\-* #,##0_-;_-* &quot;-&quot;??_-;_-@_-">
                  <c:v>9547978</c:v>
                </c:pt>
                <c:pt idx="59" formatCode="_-* #,##0_-;\-* #,##0_-;_-* &quot;-&quot;??_-;_-@_-">
                  <c:v>8628601</c:v>
                </c:pt>
                <c:pt idx="60" formatCode="_-* #,##0_-;\-* #,##0_-;_-* &quot;-&quot;??_-;_-@_-">
                  <c:v>4518085</c:v>
                </c:pt>
                <c:pt idx="61" formatCode="_-* #,##0_-;\-* #,##0_-;_-* &quot;-&quot;??_-;_-@_-">
                  <c:v>1825045</c:v>
                </c:pt>
                <c:pt idx="62" formatCode="_-* #,##0_-;\-* #,##0_-;_-* &quot;-&quot;??_-;_-@_-">
                  <c:v>4235536</c:v>
                </c:pt>
                <c:pt idx="63" formatCode="_-* #,##0_-;\-* #,##0_-;_-* &quot;-&quot;??_-;_-@_-">
                  <c:v>3935343</c:v>
                </c:pt>
                <c:pt idx="64" formatCode="_-* #,##0_-;\-* #,##0_-;_-* &quot;-&quot;??_-;_-@_-">
                  <c:v>5733184</c:v>
                </c:pt>
                <c:pt idx="65" formatCode="_-* #,##0_-;\-* #,##0_-;_-* &quot;-&quot;??_-;_-@_-">
                  <c:v>3040480</c:v>
                </c:pt>
                <c:pt idx="66" formatCode="_-* #,##0_-;\-* #,##0_-;_-* &quot;-&quot;??_-;_-@_-">
                  <c:v>6899374</c:v>
                </c:pt>
                <c:pt idx="67" formatCode="_-* #,##0_-;\-* #,##0_-;_-* &quot;-&quot;??_-;_-@_-">
                  <c:v>9078160</c:v>
                </c:pt>
                <c:pt idx="68" formatCode="_-* #,##0_-;\-* #,##0_-;_-* &quot;-&quot;??_-;_-@_-">
                  <c:v>3327559</c:v>
                </c:pt>
                <c:pt idx="69" formatCode="_-* #,##0_-;\-* #,##0_-;_-* &quot;-&quot;??_-;_-@_-">
                  <c:v>4424877</c:v>
                </c:pt>
                <c:pt idx="70" formatCode="_-* #,##0_-;\-* #,##0_-;_-* &quot;-&quot;??_-;_-@_-">
                  <c:v>6284655</c:v>
                </c:pt>
                <c:pt idx="71" formatCode="_-* #,##0_-;\-* #,##0_-;_-* &quot;-&quot;??_-;_-@_-">
                  <c:v>3688610</c:v>
                </c:pt>
                <c:pt idx="72" formatCode="_-* #,##0_-;\-* #,##0_-;_-* &quot;-&quot;??_-;_-@_-">
                  <c:v>6595120</c:v>
                </c:pt>
                <c:pt idx="73" formatCode="_-* #,##0_-;\-* #,##0_-;_-* &quot;-&quot;??_-;_-@_-">
                  <c:v>8509866</c:v>
                </c:pt>
                <c:pt idx="74" formatCode="_-* #,##0_-;\-* #,##0_-;_-* &quot;-&quot;??_-;_-@_-">
                  <c:v>3995120</c:v>
                </c:pt>
                <c:pt idx="75" formatCode="_-* #,##0_-;\-* #,##0_-;_-* &quot;-&quot;??_-;_-@_-">
                  <c:v>2108060</c:v>
                </c:pt>
                <c:pt idx="76" formatCode="_-* #,##0_-;\-* #,##0_-;_-* &quot;-&quot;??_-;_-@_-">
                  <c:v>6443312</c:v>
                </c:pt>
                <c:pt idx="77" formatCode="_-* #,##0_-;\-* #,##0_-;_-* &quot;-&quot;??_-;_-@_-">
                  <c:v>9097856</c:v>
                </c:pt>
                <c:pt idx="78" formatCode="_-* #,##0_-;\-* #,##0_-;_-* &quot;-&quot;??_-;_-@_-">
                  <c:v>8828701</c:v>
                </c:pt>
                <c:pt idx="79" formatCode="_-* #,##0_-;\-* #,##0_-;_-* &quot;-&quot;??_-;_-@_-">
                  <c:v>8085885</c:v>
                </c:pt>
                <c:pt idx="80" formatCode="_-* #,##0_-;\-* #,##0_-;_-* &quot;-&quot;??_-;_-@_-">
                  <c:v>4856637</c:v>
                </c:pt>
                <c:pt idx="81" formatCode="_-* #,##0_-;\-* #,##0_-;_-* &quot;-&quot;??_-;_-@_-">
                  <c:v>11436219</c:v>
                </c:pt>
                <c:pt idx="82" formatCode="_-* #,##0_-;\-* #,##0_-;_-* &quot;-&quot;??_-;_-@_-">
                  <c:v>11203568</c:v>
                </c:pt>
                <c:pt idx="83" formatCode="_-* #,##0_-;\-* #,##0_-;_-* &quot;-&quot;??_-;_-@_-">
                  <c:v>6339047</c:v>
                </c:pt>
                <c:pt idx="84" formatCode="_-* #,##0_-;\-* #,##0_-;_-* &quot;-&quot;??_-;_-@_-">
                  <c:v>11806175</c:v>
                </c:pt>
                <c:pt idx="85" formatCode="_-* #,##0_-;\-* #,##0_-;_-* &quot;-&quot;??_-;_-@_-">
                  <c:v>5161360</c:v>
                </c:pt>
                <c:pt idx="86" formatCode="_-* #,##0_-;\-* #,##0_-;_-* &quot;-&quot;??_-;_-@_-">
                  <c:v>3597769</c:v>
                </c:pt>
                <c:pt idx="87" formatCode="_-* #,##0_-;\-* #,##0_-;_-* &quot;-&quot;??_-;_-@_-">
                  <c:v>4764786</c:v>
                </c:pt>
                <c:pt idx="88" formatCode="_-* #,##0_-;\-* #,##0_-;_-* &quot;-&quot;??_-;_-@_-">
                  <c:v>8947256</c:v>
                </c:pt>
                <c:pt idx="89" formatCode="_-* #,##0_-;\-* #,##0_-;_-* &quot;-&quot;??_-;_-@_-">
                  <c:v>6832063</c:v>
                </c:pt>
                <c:pt idx="90" formatCode="_-* #,##0_-;\-* #,##0_-;_-* &quot;-&quot;??_-;_-@_-">
                  <c:v>6736970</c:v>
                </c:pt>
                <c:pt idx="91" formatCode="_-* #,##0_-;\-* #,##0_-;_-* &quot;-&quot;??_-;_-@_-">
                  <c:v>5437524</c:v>
                </c:pt>
                <c:pt idx="92" formatCode="_-* #,##0_-;\-* #,##0_-;_-* &quot;-&quot;??_-;_-@_-">
                  <c:v>4530669</c:v>
                </c:pt>
                <c:pt idx="93" formatCode="_-* #,##0_-;\-* #,##0_-;_-* &quot;-&quot;??_-;_-@_-">
                  <c:v>726724</c:v>
                </c:pt>
                <c:pt idx="94" formatCode="_-* #,##0_-;\-* #,##0_-;_-* &quot;-&quot;??_-;_-@_-">
                  <c:v>3115815</c:v>
                </c:pt>
                <c:pt idx="95" formatCode="_-* #,##0_-;\-* #,##0_-;_-* &quot;-&quot;??_-;_-@_-">
                  <c:v>8385186</c:v>
                </c:pt>
                <c:pt idx="96" formatCode="_-* #,##0_-;\-* #,##0_-;_-* &quot;-&quot;??_-;_-@_-">
                  <c:v>7479532</c:v>
                </c:pt>
                <c:pt idx="97" formatCode="_-* #,##0_-;\-* #,##0_-;_-* &quot;-&quot;??_-;_-@_-">
                  <c:v>5343590</c:v>
                </c:pt>
                <c:pt idx="98" formatCode="_-* #,##0_-;\-* #,##0_-;_-* &quot;-&quot;??_-;_-@_-">
                  <c:v>2174746</c:v>
                </c:pt>
                <c:pt idx="99" formatCode="_-* #,##0_-;\-* #,##0_-;_-* &quot;-&quot;??_-;_-@_-">
                  <c:v>3188118</c:v>
                </c:pt>
                <c:pt idx="100" formatCode="_-* #,##0_-;\-* #,##0_-;_-* &quot;-&quot;??_-;_-@_-">
                  <c:v>1981161</c:v>
                </c:pt>
                <c:pt idx="101" formatCode="_-* #,##0_-;\-* #,##0_-;_-* &quot;-&quot;??_-;_-@_-">
                  <c:v>7865507</c:v>
                </c:pt>
                <c:pt idx="102" formatCode="_-* #,##0_-;\-* #,##0_-;_-* &quot;-&quot;??_-;_-@_-">
                  <c:v>4802586</c:v>
                </c:pt>
                <c:pt idx="103" formatCode="_-* #,##0_-;\-* #,##0_-;_-* &quot;-&quot;??_-;_-@_-">
                  <c:v>6881814</c:v>
                </c:pt>
                <c:pt idx="104" formatCode="_-* #,##0_-;\-* #,##0_-;_-* &quot;-&quot;??_-;_-@_-">
                  <c:v>5070475</c:v>
                </c:pt>
                <c:pt idx="105" formatCode="_-* #,##0_-;\-* #,##0_-;_-* &quot;-&quot;??_-;_-@_-">
                  <c:v>4503603</c:v>
                </c:pt>
                <c:pt idx="106" formatCode="_-* #,##0_-;\-* #,##0_-;_-* &quot;-&quot;??_-;_-@_-">
                  <c:v>5626738</c:v>
                </c:pt>
                <c:pt idx="107" formatCode="_-* #,##0_-;\-* #,##0_-;_-* &quot;-&quot;??_-;_-@_-">
                  <c:v>2855840</c:v>
                </c:pt>
                <c:pt idx="108" formatCode="_-* #,##0_-;\-* #,##0_-;_-* &quot;-&quot;??_-;_-@_-">
                  <c:v>13891194</c:v>
                </c:pt>
                <c:pt idx="109" formatCode="_-* #,##0_-;\-* #,##0_-;_-* &quot;-&quot;??_-;_-@_-">
                  <c:v>10782928</c:v>
                </c:pt>
                <c:pt idx="110" formatCode="_-* #,##0_-;\-* #,##0_-;_-* &quot;-&quot;??_-;_-@_-">
                  <c:v>5369905</c:v>
                </c:pt>
                <c:pt idx="111" formatCode="_-* #,##0_-;\-* #,##0_-;_-* &quot;-&quot;??_-;_-@_-">
                  <c:v>5256298</c:v>
                </c:pt>
                <c:pt idx="112" formatCode="_-* #,##0_-;\-* #,##0_-;_-* &quot;-&quot;??_-;_-@_-">
                  <c:v>6397130</c:v>
                </c:pt>
                <c:pt idx="113" formatCode="_-* #,##0_-;\-* #,##0_-;_-* &quot;-&quot;??_-;_-@_-">
                  <c:v>5416351</c:v>
                </c:pt>
                <c:pt idx="114" formatCode="_-* #,##0_-;\-* #,##0_-;_-* &quot;-&quot;??_-;_-@_-">
                  <c:v>2884035</c:v>
                </c:pt>
                <c:pt idx="115" formatCode="_-* #,##0_-;\-* #,##0_-;_-* &quot;-&quot;??_-;_-@_-">
                  <c:v>5527294</c:v>
                </c:pt>
                <c:pt idx="116" formatCode="_-* #,##0_-;\-* #,##0_-;_-* &quot;-&quot;??_-;_-@_-">
                  <c:v>8186778</c:v>
                </c:pt>
                <c:pt idx="117" formatCode="_-* #,##0_-;\-* #,##0_-;_-* &quot;-&quot;??_-;_-@_-">
                  <c:v>11263402</c:v>
                </c:pt>
                <c:pt idx="118" formatCode="_-* #,##0_-;\-* #,##0_-;_-* &quot;-&quot;??_-;_-@_-">
                  <c:v>7685491</c:v>
                </c:pt>
                <c:pt idx="119" formatCode="_-* #,##0_-;\-* #,##0_-;_-* &quot;-&quot;??_-;_-@_-">
                  <c:v>5348626</c:v>
                </c:pt>
                <c:pt idx="120" formatCode="_-* #,##0_-;\-* #,##0_-;_-* &quot;-&quot;??_-;_-@_-">
                  <c:v>2734275</c:v>
                </c:pt>
                <c:pt idx="121" formatCode="_-* #,##0_-;\-* #,##0_-;_-* &quot;-&quot;??_-;_-@_-">
                  <c:v>6014280</c:v>
                </c:pt>
                <c:pt idx="122" formatCode="_-* #,##0_-;\-* #,##0_-;_-* &quot;-&quot;??_-;_-@_-">
                  <c:v>6624766</c:v>
                </c:pt>
                <c:pt idx="123" formatCode="_-* #,##0_-;\-* #,##0_-;_-* &quot;-&quot;??_-;_-@_-">
                  <c:v>7021351</c:v>
                </c:pt>
                <c:pt idx="124" formatCode="_-* #,##0_-;\-* #,##0_-;_-* &quot;-&quot;??_-;_-@_-">
                  <c:v>3393700</c:v>
                </c:pt>
                <c:pt idx="125" formatCode="_-* #,##0_-;\-* #,##0_-;_-* &quot;-&quot;??_-;_-@_-">
                  <c:v>4001799</c:v>
                </c:pt>
                <c:pt idx="126" formatCode="_-* #,##0_-;\-* #,##0_-;_-* &quot;-&quot;??_-;_-@_-">
                  <c:v>2876474</c:v>
                </c:pt>
                <c:pt idx="127" formatCode="_-* #,##0_-;\-* #,##0_-;_-* &quot;-&quot;??_-;_-@_-">
                  <c:v>7025325</c:v>
                </c:pt>
                <c:pt idx="128" formatCode="_-* #,##0_-;\-* #,##0_-;_-* &quot;-&quot;??_-;_-@_-">
                  <c:v>10439487</c:v>
                </c:pt>
                <c:pt idx="129" formatCode="_-* #,##0_-;\-* #,##0_-;_-* &quot;-&quot;??_-;_-@_-">
                  <c:v>13203780</c:v>
                </c:pt>
                <c:pt idx="130" formatCode="_-* #,##0_-;\-* #,##0_-;_-* &quot;-&quot;??_-;_-@_-">
                  <c:v>9314952</c:v>
                </c:pt>
                <c:pt idx="131" formatCode="_-* #,##0_-;\-* #,##0_-;_-* &quot;-&quot;??_-;_-@_-">
                  <c:v>9133906</c:v>
                </c:pt>
                <c:pt idx="132" formatCode="_-* #,##0_-;\-* #,##0_-;_-* &quot;-&quot;??_-;_-@_-">
                  <c:v>11898560</c:v>
                </c:pt>
                <c:pt idx="133" formatCode="_-* #,##0_-;\-* #,##0_-;_-* &quot;-&quot;??_-;_-@_-">
                  <c:v>8225580</c:v>
                </c:pt>
                <c:pt idx="134" formatCode="_-* #,##0_-;\-* #,##0_-;_-* &quot;-&quot;??_-;_-@_-">
                  <c:v>7039360</c:v>
                </c:pt>
                <c:pt idx="135" formatCode="_-* #,##0_-;\-* #,##0_-;_-* &quot;-&quot;??_-;_-@_-">
                  <c:v>4616840</c:v>
                </c:pt>
                <c:pt idx="136" formatCode="_-* #,##0_-;\-* #,##0_-;_-* &quot;-&quot;??_-;_-@_-">
                  <c:v>6005886</c:v>
                </c:pt>
                <c:pt idx="137" formatCode="_-* #,##0_-;\-* #,##0_-;_-* &quot;-&quot;??_-;_-@_-">
                  <c:v>8861363</c:v>
                </c:pt>
                <c:pt idx="138" formatCode="_-* #,##0_-;\-* #,##0_-;_-* &quot;-&quot;??_-;_-@_-">
                  <c:v>8494523</c:v>
                </c:pt>
                <c:pt idx="139" formatCode="_-* #,##0_-;\-* #,##0_-;_-* &quot;-&quot;??_-;_-@_-">
                  <c:v>5469306</c:v>
                </c:pt>
                <c:pt idx="140" formatCode="_-* #,##0_-;\-* #,##0_-;_-* &quot;-&quot;??_-;_-@_-">
                  <c:v>14131388</c:v>
                </c:pt>
                <c:pt idx="141" formatCode="_-* #,##0_-;\-* #,##0_-;_-* &quot;-&quot;??_-;_-@_-">
                  <c:v>8092855</c:v>
                </c:pt>
                <c:pt idx="142" formatCode="_-* #,##0_-;\-* #,##0_-;_-* &quot;-&quot;??_-;_-@_-">
                  <c:v>5041447</c:v>
                </c:pt>
                <c:pt idx="143" formatCode="_-* #,##0_-;\-* #,##0_-;_-* &quot;-&quot;??_-;_-@_-">
                  <c:v>12291408</c:v>
                </c:pt>
                <c:pt idx="144" formatCode="_-* #,##0_-;\-* #,##0_-;_-* &quot;-&quot;??_-;_-@_-">
                  <c:v>9672540</c:v>
                </c:pt>
                <c:pt idx="145" formatCode="_-* #,##0_-;\-* #,##0_-;_-* &quot;-&quot;??_-;_-@_-">
                  <c:v>10340654</c:v>
                </c:pt>
                <c:pt idx="146" formatCode="_-* #,##0_-;\-* #,##0_-;_-* &quot;-&quot;??_-;_-@_-">
                  <c:v>12883816</c:v>
                </c:pt>
                <c:pt idx="147" formatCode="_-* #,##0_-;\-* #,##0_-;_-* &quot;-&quot;??_-;_-@_-">
                  <c:v>10528007</c:v>
                </c:pt>
                <c:pt idx="148" formatCode="_-* #,##0_-;\-* #,##0_-;_-* &quot;-&quot;??_-;_-@_-">
                  <c:v>16384700</c:v>
                </c:pt>
                <c:pt idx="149" formatCode="_-* #,##0_-;\-* #,##0_-;_-* &quot;-&quot;??_-;_-@_-">
                  <c:v>5582333</c:v>
                </c:pt>
                <c:pt idx="150" formatCode="_-* #,##0_-;\-* #,##0_-;_-* &quot;-&quot;??_-;_-@_-">
                  <c:v>14624401</c:v>
                </c:pt>
                <c:pt idx="151" formatCode="_-* #,##0_-;\-* #,##0_-;_-* &quot;-&quot;??_-;_-@_-">
                  <c:v>17544492</c:v>
                </c:pt>
                <c:pt idx="152" formatCode="_-* #,##0_-;\-* #,##0_-;_-* &quot;-&quot;??_-;_-@_-">
                  <c:v>10120321</c:v>
                </c:pt>
                <c:pt idx="153" formatCode="_-* #,##0_-;\-* #,##0_-;_-* &quot;-&quot;??_-;_-@_-">
                  <c:v>18179262</c:v>
                </c:pt>
                <c:pt idx="154" formatCode="_-* #,##0_-;\-* #,##0_-;_-* &quot;-&quot;??_-;_-@_-">
                  <c:v>16935784</c:v>
                </c:pt>
                <c:pt idx="155" formatCode="_-* #,##0_-;\-* #,##0_-;_-* &quot;-&quot;??_-;_-@_-">
                  <c:v>11520083</c:v>
                </c:pt>
                <c:pt idx="156" formatCode="_-* #,##0_-;\-* #,##0_-;_-* &quot;-&quot;??_-;_-@_-">
                  <c:v>9217627</c:v>
                </c:pt>
                <c:pt idx="157" formatCode="_-* #,##0_-;\-* #,##0_-;_-* &quot;-&quot;??_-;_-@_-">
                  <c:v>8981455</c:v>
                </c:pt>
                <c:pt idx="158" formatCode="_-* #,##0_-;\-* #,##0_-;_-* &quot;-&quot;??_-;_-@_-">
                  <c:v>12241963</c:v>
                </c:pt>
                <c:pt idx="159" formatCode="_-* #,##0_-;\-* #,##0_-;_-* &quot;-&quot;??_-;_-@_-">
                  <c:v>9947678</c:v>
                </c:pt>
                <c:pt idx="160" formatCode="_-* #,##0_-;\-* #,##0_-;_-* &quot;-&quot;??_-;_-@_-">
                  <c:v>15050590</c:v>
                </c:pt>
                <c:pt idx="161" formatCode="_-* #,##0_-;\-* #,##0_-;_-* &quot;-&quot;??_-;_-@_-">
                  <c:v>18261884</c:v>
                </c:pt>
                <c:pt idx="162" formatCode="_-* #,##0_-;\-* #,##0_-;_-* &quot;-&quot;??_-;_-@_-">
                  <c:v>13743587</c:v>
                </c:pt>
                <c:pt idx="163" formatCode="_-* #,##0_-;\-* #,##0_-;_-* &quot;-&quot;??_-;_-@_-">
                  <c:v>12349456</c:v>
                </c:pt>
                <c:pt idx="164" formatCode="_-* #,##0_-;\-* #,##0_-;_-* &quot;-&quot;??_-;_-@_-">
                  <c:v>10202635</c:v>
                </c:pt>
                <c:pt idx="165" formatCode="_-* #,##0_-;\-* #,##0_-;_-* &quot;-&quot;??_-;_-@_-">
                  <c:v>12385580</c:v>
                </c:pt>
                <c:pt idx="166" formatCode="_-* #,##0_-;\-* #,##0_-;_-* &quot;-&quot;??_-;_-@_-">
                  <c:v>11868760</c:v>
                </c:pt>
                <c:pt idx="167" formatCode="_-* #,##0_-;\-* #,##0_-;_-* &quot;-&quot;??_-;_-@_-">
                  <c:v>11522933</c:v>
                </c:pt>
                <c:pt idx="168" formatCode="_-* #,##0_-;\-* #,##0_-;_-* &quot;-&quot;??_-;_-@_-">
                  <c:v>17649077</c:v>
                </c:pt>
                <c:pt idx="169" formatCode="_-* #,##0_-;\-* #,##0_-;_-* &quot;-&quot;??_-;_-@_-">
                  <c:v>16779378</c:v>
                </c:pt>
                <c:pt idx="170" formatCode="_-* #,##0_-;\-* #,##0_-;_-* &quot;-&quot;??_-;_-@_-">
                  <c:v>7246114</c:v>
                </c:pt>
                <c:pt idx="171" formatCode="_-* #,##0_-;\-* #,##0_-;_-* &quot;-&quot;??_-;_-@_-">
                  <c:v>13491665</c:v>
                </c:pt>
                <c:pt idx="172" formatCode="_-* #,##0_-;\-* #,##0_-;_-* &quot;-&quot;??_-;_-@_-">
                  <c:v>14509703</c:v>
                </c:pt>
                <c:pt idx="173" formatCode="_-* #,##0_-;\-* #,##0_-;_-* &quot;-&quot;??_-;_-@_-">
                  <c:v>12415643</c:v>
                </c:pt>
                <c:pt idx="174" formatCode="_-* #,##0_-;\-* #,##0_-;_-* &quot;-&quot;??_-;_-@_-">
                  <c:v>11134068</c:v>
                </c:pt>
                <c:pt idx="175" formatCode="_-* #,##0_-;\-* #,##0_-;_-* &quot;-&quot;??_-;_-@_-">
                  <c:v>14715695</c:v>
                </c:pt>
                <c:pt idx="176" formatCode="_-* #,##0_-;\-* #,##0_-;_-* &quot;-&quot;??_-;_-@_-">
                  <c:v>17366587</c:v>
                </c:pt>
                <c:pt idx="177" formatCode="_-* #,##0_-;\-* #,##0_-;_-* &quot;-&quot;??_-;_-@_-">
                  <c:v>13473303</c:v>
                </c:pt>
                <c:pt idx="178" formatCode="_-* #,##0_-;\-* #,##0_-;_-* &quot;-&quot;??_-;_-@_-">
                  <c:v>14949144</c:v>
                </c:pt>
                <c:pt idx="179" formatCode="_-* #,##0_-;\-* #,##0_-;_-* &quot;-&quot;??_-;_-@_-">
                  <c:v>8380190</c:v>
                </c:pt>
                <c:pt idx="180" formatCode="_-* #,##0_-;\-* #,##0_-;_-* &quot;-&quot;??_-;_-@_-">
                  <c:v>14290660</c:v>
                </c:pt>
                <c:pt idx="181" formatCode="_-* #,##0_-;\-* #,##0_-;_-* &quot;-&quot;??_-;_-@_-">
                  <c:v>14884308</c:v>
                </c:pt>
                <c:pt idx="182" formatCode="_-* #,##0_-;\-* #,##0_-;_-* &quot;-&quot;??_-;_-@_-">
                  <c:v>13980326</c:v>
                </c:pt>
                <c:pt idx="183" formatCode="_-* #,##0_-;\-* #,##0_-;_-* &quot;-&quot;??_-;_-@_-">
                  <c:v>8647882</c:v>
                </c:pt>
                <c:pt idx="184" formatCode="_-* #,##0_-;\-* #,##0_-;_-* &quot;-&quot;??_-;_-@_-">
                  <c:v>7998211</c:v>
                </c:pt>
                <c:pt idx="185" formatCode="_-* #,##0_-;\-* #,##0_-;_-* &quot;-&quot;??_-;_-@_-">
                  <c:v>19837031</c:v>
                </c:pt>
                <c:pt idx="186" formatCode="_-* #,##0_-;\-* #,##0_-;_-* &quot;-&quot;??_-;_-@_-">
                  <c:v>10710466</c:v>
                </c:pt>
                <c:pt idx="187" formatCode="_-* #,##0_-;\-* #,##0_-;_-* &quot;-&quot;??_-;_-@_-">
                  <c:v>17480728</c:v>
                </c:pt>
                <c:pt idx="188" formatCode="_-* #,##0_-;\-* #,##0_-;_-* &quot;-&quot;??_-;_-@_-">
                  <c:v>12682008</c:v>
                </c:pt>
                <c:pt idx="189" formatCode="_-* #,##0_-;\-* #,##0_-;_-* &quot;-&quot;??_-;_-@_-">
                  <c:v>15545146</c:v>
                </c:pt>
                <c:pt idx="190" formatCode="_-* #,##0_-;\-* #,##0_-;_-* &quot;-&quot;??_-;_-@_-">
                  <c:v>10109923</c:v>
                </c:pt>
                <c:pt idx="191" formatCode="_-* #,##0_-;\-* #,##0_-;_-* &quot;-&quot;??_-;_-@_-">
                  <c:v>10127365</c:v>
                </c:pt>
                <c:pt idx="192" formatCode="_-* #,##0_-;\-* #,##0_-;_-* &quot;-&quot;??_-;_-@_-">
                  <c:v>13953602</c:v>
                </c:pt>
                <c:pt idx="193" formatCode="_-* #,##0_-;\-* #,##0_-;_-* &quot;-&quot;??_-;_-@_-">
                  <c:v>12506111</c:v>
                </c:pt>
                <c:pt idx="194" formatCode="_-* #,##0_-;\-* #,##0_-;_-* &quot;-&quot;??_-;_-@_-">
                  <c:v>14905876</c:v>
                </c:pt>
                <c:pt idx="195" formatCode="_-* #,##0_-;\-* #,##0_-;_-* &quot;-&quot;??_-;_-@_-">
                  <c:v>6976155</c:v>
                </c:pt>
                <c:pt idx="196" formatCode="_-* #,##0_-;\-* #,##0_-;_-* &quot;-&quot;??_-;_-@_-">
                  <c:v>13633580</c:v>
                </c:pt>
                <c:pt idx="197" formatCode="_-* #,##0_-;\-* #,##0_-;_-* &quot;-&quot;??_-;_-@_-">
                  <c:v>16200277</c:v>
                </c:pt>
                <c:pt idx="198" formatCode="_-* #,##0_-;\-* #,##0_-;_-* &quot;-&quot;??_-;_-@_-">
                  <c:v>8279131</c:v>
                </c:pt>
                <c:pt idx="199" formatCode="_-* #,##0_-;\-* #,##0_-;_-* &quot;-&quot;??_-;_-@_-">
                  <c:v>14449046</c:v>
                </c:pt>
                <c:pt idx="200" formatCode="_-* #,##0_-;\-* #,##0_-;_-* &quot;-&quot;??_-;_-@_-">
                  <c:v>6844949</c:v>
                </c:pt>
                <c:pt idx="201" formatCode="_-* #,##0_-;\-* #,##0_-;_-* &quot;-&quot;??_-;_-@_-">
                  <c:v>12503828</c:v>
                </c:pt>
                <c:pt idx="202" formatCode="_-* #,##0_-;\-* #,##0_-;_-* &quot;-&quot;??_-;_-@_-">
                  <c:v>10046595</c:v>
                </c:pt>
                <c:pt idx="203" formatCode="_-* #,##0_-;\-* #,##0_-;_-* &quot;-&quot;??_-;_-@_-">
                  <c:v>8343020</c:v>
                </c:pt>
                <c:pt idx="204" formatCode="_-* #,##0_-;\-* #,##0_-;_-* &quot;-&quot;??_-;_-@_-">
                  <c:v>16844428</c:v>
                </c:pt>
                <c:pt idx="205" formatCode="_-* #,##0_-;\-* #,##0_-;_-* &quot;-&quot;??_-;_-@_-">
                  <c:v>6708980</c:v>
                </c:pt>
                <c:pt idx="206" formatCode="_-* #,##0_-;\-* #,##0_-;_-* &quot;-&quot;??_-;_-@_-">
                  <c:v>13900060</c:v>
                </c:pt>
                <c:pt idx="207" formatCode="_-* #,##0_-;\-* #,##0_-;_-* &quot;-&quot;??_-;_-@_-">
                  <c:v>8603407</c:v>
                </c:pt>
                <c:pt idx="208" formatCode="_-* #,##0_-;\-* #,##0_-;_-* &quot;-&quot;??_-;_-@_-">
                  <c:v>13546323</c:v>
                </c:pt>
                <c:pt idx="209" formatCode="_-* #,##0_-;\-* #,##0_-;_-* &quot;-&quot;??_-;_-@_-">
                  <c:v>13912937</c:v>
                </c:pt>
                <c:pt idx="210" formatCode="_-* #,##0_-;\-* #,##0_-;_-* &quot;-&quot;??_-;_-@_-">
                  <c:v>18039771</c:v>
                </c:pt>
                <c:pt idx="211" formatCode="_-* #,##0_-;\-* #,##0_-;_-* &quot;-&quot;??_-;_-@_-">
                  <c:v>17788653</c:v>
                </c:pt>
                <c:pt idx="212" formatCode="_-* #,##0_-;\-* #,##0_-;_-* &quot;-&quot;??_-;_-@_-">
                  <c:v>11855170</c:v>
                </c:pt>
                <c:pt idx="213" formatCode="_-* #,##0_-;\-* #,##0_-;_-* &quot;-&quot;??_-;_-@_-">
                  <c:v>16685380</c:v>
                </c:pt>
                <c:pt idx="214" formatCode="_-* #,##0_-;\-* #,##0_-;_-* &quot;-&quot;??_-;_-@_-">
                  <c:v>10416328</c:v>
                </c:pt>
                <c:pt idx="215" formatCode="_-* #,##0_-;\-* #,##0_-;_-* &quot;-&quot;??_-;_-@_-">
                  <c:v>10206944</c:v>
                </c:pt>
                <c:pt idx="216" formatCode="_-* #,##0_-;\-* #,##0_-;_-* &quot;-&quot;??_-;_-@_-">
                  <c:v>11196509</c:v>
                </c:pt>
                <c:pt idx="217" formatCode="_-* #,##0_-;\-* #,##0_-;_-* &quot;-&quot;??_-;_-@_-">
                  <c:v>9586754</c:v>
                </c:pt>
                <c:pt idx="218" formatCode="_-* #,##0_-;\-* #,##0_-;_-* &quot;-&quot;??_-;_-@_-">
                  <c:v>22519115</c:v>
                </c:pt>
                <c:pt idx="219" formatCode="_-* #,##0_-;\-* #,##0_-;_-* &quot;-&quot;??_-;_-@_-">
                  <c:v>9118510</c:v>
                </c:pt>
                <c:pt idx="220" formatCode="_-* #,##0_-;\-* #,##0_-;_-* &quot;-&quot;??_-;_-@_-">
                  <c:v>14250770</c:v>
                </c:pt>
                <c:pt idx="221" formatCode="_-* #,##0_-;\-* #,##0_-;_-* &quot;-&quot;??_-;_-@_-">
                  <c:v>9242488</c:v>
                </c:pt>
                <c:pt idx="222" formatCode="_-* #,##0_-;\-* #,##0_-;_-* &quot;-&quot;??_-;_-@_-">
                  <c:v>13532511</c:v>
                </c:pt>
                <c:pt idx="223" formatCode="_-* #,##0_-;\-* #,##0_-;_-* &quot;-&quot;??_-;_-@_-">
                  <c:v>18362301</c:v>
                </c:pt>
                <c:pt idx="224" formatCode="_-* #,##0_-;\-* #,##0_-;_-* &quot;-&quot;??_-;_-@_-">
                  <c:v>21141902</c:v>
                </c:pt>
                <c:pt idx="225" formatCode="_-* #,##0_-;\-* #,##0_-;_-* &quot;-&quot;??_-;_-@_-">
                  <c:v>16612225</c:v>
                </c:pt>
                <c:pt idx="226" formatCode="_-* #,##0_-;\-* #,##0_-;_-* &quot;-&quot;??_-;_-@_-">
                  <c:v>8076678</c:v>
                </c:pt>
                <c:pt idx="227" formatCode="_-* #,##0_-;\-* #,##0_-;_-* &quot;-&quot;??_-;_-@_-">
                  <c:v>14269066</c:v>
                </c:pt>
                <c:pt idx="228" formatCode="_-* #,##0_-;\-* #,##0_-;_-* &quot;-&quot;??_-;_-@_-">
                  <c:v>10913415</c:v>
                </c:pt>
                <c:pt idx="229" formatCode="_-* #,##0_-;\-* #,##0_-;_-* &quot;-&quot;??_-;_-@_-">
                  <c:v>13666247</c:v>
                </c:pt>
                <c:pt idx="230" formatCode="_-* #,##0_-;\-* #,##0_-;_-* &quot;-&quot;??_-;_-@_-">
                  <c:v>11382801</c:v>
                </c:pt>
                <c:pt idx="231" formatCode="_-* #,##0_-;\-* #,##0_-;_-* &quot;-&quot;??_-;_-@_-">
                  <c:v>14211890</c:v>
                </c:pt>
                <c:pt idx="232" formatCode="_-* #,##0_-;\-* #,##0_-;_-* &quot;-&quot;??_-;_-@_-">
                  <c:v>9327243</c:v>
                </c:pt>
                <c:pt idx="233" formatCode="_-* #,##0_-;\-* #,##0_-;_-* &quot;-&quot;??_-;_-@_-">
                  <c:v>6434136</c:v>
                </c:pt>
                <c:pt idx="234" formatCode="_-* #,##0_-;\-* #,##0_-;_-* &quot;-&quot;??_-;_-@_-">
                  <c:v>8920948</c:v>
                </c:pt>
                <c:pt idx="235" formatCode="_-* #,##0_-;\-* #,##0_-;_-* &quot;-&quot;??_-;_-@_-">
                  <c:v>9907264</c:v>
                </c:pt>
                <c:pt idx="236" formatCode="_-* #,##0_-;\-* #,##0_-;_-* &quot;-&quot;??_-;_-@_-">
                  <c:v>14127651</c:v>
                </c:pt>
                <c:pt idx="237" formatCode="_-* #,##0_-;\-* #,##0_-;_-* &quot;-&quot;??_-;_-@_-">
                  <c:v>17109346</c:v>
                </c:pt>
                <c:pt idx="238" formatCode="_-* #,##0_-;\-* #,##0_-;_-* &quot;-&quot;??_-;_-@_-">
                  <c:v>22906250</c:v>
                </c:pt>
                <c:pt idx="239" formatCode="_-* #,##0_-;\-* #,##0_-;_-* &quot;-&quot;??_-;_-@_-">
                  <c:v>11629515</c:v>
                </c:pt>
                <c:pt idx="240" formatCode="_-* #,##0_-;\-* #,##0_-;_-* &quot;-&quot;??_-;_-@_-">
                  <c:v>10465557</c:v>
                </c:pt>
                <c:pt idx="241" formatCode="_-* #,##0_-;\-* #,##0_-;_-* &quot;-&quot;??_-;_-@_-">
                  <c:v>19432871</c:v>
                </c:pt>
                <c:pt idx="242" formatCode="_-* #,##0_-;\-* #,##0_-;_-* &quot;-&quot;??_-;_-@_-">
                  <c:v>11866992</c:v>
                </c:pt>
                <c:pt idx="243" formatCode="_-* #,##0_-;\-* #,##0_-;_-* &quot;-&quot;??_-;_-@_-">
                  <c:v>13912708</c:v>
                </c:pt>
                <c:pt idx="244" formatCode="_-* #,##0_-;\-* #,##0_-;_-* &quot;-&quot;??_-;_-@_-">
                  <c:v>19158527</c:v>
                </c:pt>
                <c:pt idx="245" formatCode="_-* #,##0_-;\-* #,##0_-;_-* &quot;-&quot;??_-;_-@_-">
                  <c:v>18107393</c:v>
                </c:pt>
                <c:pt idx="246" formatCode="_-* #,##0_-;\-* #,##0_-;_-* &quot;-&quot;??_-;_-@_-">
                  <c:v>9214447</c:v>
                </c:pt>
                <c:pt idx="247" formatCode="_-* #,##0_-;\-* #,##0_-;_-* &quot;-&quot;??_-;_-@_-">
                  <c:v>3221596</c:v>
                </c:pt>
                <c:pt idx="248" formatCode="_-* #,##0_-;\-* #,##0_-;_-* &quot;-&quot;??_-;_-@_-">
                  <c:v>12316800</c:v>
                </c:pt>
                <c:pt idx="249" formatCode="_-* #,##0_-;\-* #,##0_-;_-* &quot;-&quot;??_-;_-@_-">
                  <c:v>19436051</c:v>
                </c:pt>
                <c:pt idx="250" formatCode="_-* #,##0_-;\-* #,##0_-;_-* &quot;-&quot;??_-;_-@_-">
                  <c:v>9805878</c:v>
                </c:pt>
                <c:pt idx="251" formatCode="_-* #,##0_-;\-* #,##0_-;_-* &quot;-&quot;??_-;_-@_-">
                  <c:v>15231188</c:v>
                </c:pt>
                <c:pt idx="252" formatCode="_-* #,##0_-;\-* #,##0_-;_-* &quot;-&quot;??_-;_-@_-">
                  <c:v>15220448</c:v>
                </c:pt>
                <c:pt idx="253" formatCode="_-* #,##0_-;\-* #,##0_-;_-* &quot;-&quot;??_-;_-@_-">
                  <c:v>11492435</c:v>
                </c:pt>
                <c:pt idx="254" formatCode="_-* #,##0_-;\-* #,##0_-;_-* &quot;-&quot;??_-;_-@_-">
                  <c:v>10896399</c:v>
                </c:pt>
                <c:pt idx="255" formatCode="_-* #,##0_-;\-* #,##0_-;_-* &quot;-&quot;??_-;_-@_-">
                  <c:v>12238650</c:v>
                </c:pt>
                <c:pt idx="256" formatCode="_-* #,##0_-;\-* #,##0_-;_-* &quot;-&quot;??_-;_-@_-">
                  <c:v>9398065</c:v>
                </c:pt>
                <c:pt idx="257" formatCode="_-* #,##0_-;\-* #,##0_-;_-* &quot;-&quot;??_-;_-@_-">
                  <c:v>16762319</c:v>
                </c:pt>
                <c:pt idx="258" formatCode="_-* #,##0_-;\-* #,##0_-;_-* &quot;-&quot;??_-;_-@_-">
                  <c:v>8514274</c:v>
                </c:pt>
                <c:pt idx="259" formatCode="_-* #,##0_-;\-* #,##0_-;_-* &quot;-&quot;??_-;_-@_-">
                  <c:v>16517560</c:v>
                </c:pt>
                <c:pt idx="260" formatCode="_-* #,##0_-;\-* #,##0_-;_-* &quot;-&quot;??_-;_-@_-">
                  <c:v>13165690</c:v>
                </c:pt>
                <c:pt idx="261" formatCode="_-* #,##0_-;\-* #,##0_-;_-* &quot;-&quot;??_-;_-@_-">
                  <c:v>8829840</c:v>
                </c:pt>
                <c:pt idx="262" formatCode="_-* #,##0_-;\-* #,##0_-;_-* &quot;-&quot;??_-;_-@_-">
                  <c:v>10034311</c:v>
                </c:pt>
                <c:pt idx="263" formatCode="_-* #,##0_-;\-* #,##0_-;_-* &quot;-&quot;??_-;_-@_-">
                  <c:v>12241260</c:v>
                </c:pt>
                <c:pt idx="264" formatCode="_-* #,##0_-;\-* #,##0_-;_-* &quot;-&quot;??_-;_-@_-">
                  <c:v>9754190</c:v>
                </c:pt>
                <c:pt idx="265" formatCode="_-* #,##0_-;\-* #,##0_-;_-* &quot;-&quot;??_-;_-@_-">
                  <c:v>12491950</c:v>
                </c:pt>
                <c:pt idx="266" formatCode="_-* #,##0_-;\-* #,##0_-;_-* &quot;-&quot;??_-;_-@_-">
                  <c:v>9746852</c:v>
                </c:pt>
                <c:pt idx="267" formatCode="_-* #,##0_-;\-* #,##0_-;_-* &quot;-&quot;??_-;_-@_-">
                  <c:v>11344993</c:v>
                </c:pt>
                <c:pt idx="268" formatCode="_-* #,##0_-;\-* #,##0_-;_-* &quot;-&quot;??_-;_-@_-">
                  <c:v>8685159</c:v>
                </c:pt>
                <c:pt idx="269" formatCode="_-* #,##0_-;\-* #,##0_-;_-* &quot;-&quot;??_-;_-@_-">
                  <c:v>3807450</c:v>
                </c:pt>
                <c:pt idx="270" formatCode="_-* #,##0_-;\-* #,##0_-;_-* &quot;-&quot;??_-;_-@_-">
                  <c:v>6998326</c:v>
                </c:pt>
                <c:pt idx="271" formatCode="_-* #,##0_-;\-* #,##0_-;_-* &quot;-&quot;??_-;_-@_-">
                  <c:v>7939883</c:v>
                </c:pt>
                <c:pt idx="272" formatCode="_-* #,##0_-;\-* #,##0_-;_-* &quot;-&quot;??_-;_-@_-">
                  <c:v>7557580</c:v>
                </c:pt>
                <c:pt idx="273" formatCode="_-* #,##0_-;\-* #,##0_-;_-* &quot;-&quot;??_-;_-@_-">
                  <c:v>10386283</c:v>
                </c:pt>
                <c:pt idx="274" formatCode="_-* #,##0_-;\-* #,##0_-;_-* &quot;-&quot;??_-;_-@_-">
                  <c:v>2318717</c:v>
                </c:pt>
                <c:pt idx="275" formatCode="_-* #,##0_-;\-* #,##0_-;_-* &quot;-&quot;??_-;_-@_-">
                  <c:v>3889642</c:v>
                </c:pt>
                <c:pt idx="276" formatCode="_-* #,##0_-;\-* #,##0_-;_-* &quot;-&quot;??_-;_-@_-">
                  <c:v>2019890</c:v>
                </c:pt>
                <c:pt idx="277" formatCode="_-* #,##0_-;\-* #,##0_-;_-* &quot;-&quot;??_-;_-@_-">
                  <c:v>13773043</c:v>
                </c:pt>
                <c:pt idx="278" formatCode="_-* #,##0_-;\-* #,##0_-;_-* &quot;-&quot;??_-;_-@_-">
                  <c:v>13705474</c:v>
                </c:pt>
                <c:pt idx="279" formatCode="_-* #,##0_-;\-* #,##0_-;_-* &quot;-&quot;??_-;_-@_-">
                  <c:v>8299358</c:v>
                </c:pt>
                <c:pt idx="280" formatCode="_-* #,##0_-;\-* #,##0_-;_-* &quot;-&quot;??_-;_-@_-">
                  <c:v>14548973</c:v>
                </c:pt>
                <c:pt idx="281" formatCode="_-* #,##0_-;\-* #,##0_-;_-* &quot;-&quot;??_-;_-@_-">
                  <c:v>4465837</c:v>
                </c:pt>
                <c:pt idx="282" formatCode="_-* #,##0_-;\-* #,##0_-;_-* &quot;-&quot;??_-;_-@_-">
                  <c:v>7684189</c:v>
                </c:pt>
                <c:pt idx="283" formatCode="_-* #,##0_-;\-* #,##0_-;_-* &quot;-&quot;??_-;_-@_-">
                  <c:v>2960715</c:v>
                </c:pt>
                <c:pt idx="284" formatCode="_-* #,##0_-;\-* #,##0_-;_-* &quot;-&quot;??_-;_-@_-">
                  <c:v>6485174</c:v>
                </c:pt>
                <c:pt idx="285" formatCode="_-* #,##0_-;\-* #,##0_-;_-* &quot;-&quot;??_-;_-@_-">
                  <c:v>13537080</c:v>
                </c:pt>
                <c:pt idx="286" formatCode="_-* #,##0_-;\-* #,##0_-;_-* &quot;-&quot;??_-;_-@_-">
                  <c:v>7731067</c:v>
                </c:pt>
                <c:pt idx="287" formatCode="_-* #,##0_-;\-* #,##0_-;_-* &quot;-&quot;??_-;_-@_-">
                  <c:v>11262110</c:v>
                </c:pt>
                <c:pt idx="288" formatCode="_-* #,##0_-;\-* #,##0_-;_-* &quot;-&quot;??_-;_-@_-">
                  <c:v>10601530</c:v>
                </c:pt>
                <c:pt idx="289" formatCode="_-* #,##0_-;\-* #,##0_-;_-* &quot;-&quot;??_-;_-@_-">
                  <c:v>5427500</c:v>
                </c:pt>
                <c:pt idx="290" formatCode="_-* #,##0_-;\-* #,##0_-;_-* &quot;-&quot;??_-;_-@_-">
                  <c:v>10565875</c:v>
                </c:pt>
                <c:pt idx="291" formatCode="_-* #,##0_-;\-* #,##0_-;_-* &quot;-&quot;??_-;_-@_-">
                  <c:v>9825977</c:v>
                </c:pt>
                <c:pt idx="292" formatCode="_-* #,##0_-;\-* #,##0_-;_-* &quot;-&quot;??_-;_-@_-">
                  <c:v>12908522</c:v>
                </c:pt>
                <c:pt idx="293" formatCode="_-* #,##0_-;\-* #,##0_-;_-* &quot;-&quot;??_-;_-@_-">
                  <c:v>7456195</c:v>
                </c:pt>
                <c:pt idx="294" formatCode="_-* #,##0_-;\-* #,##0_-;_-* &quot;-&quot;??_-;_-@_-">
                  <c:v>10751728</c:v>
                </c:pt>
                <c:pt idx="295" formatCode="_-* #,##0_-;\-* #,##0_-;_-* &quot;-&quot;??_-;_-@_-">
                  <c:v>12279505</c:v>
                </c:pt>
                <c:pt idx="296" formatCode="_-* #,##0_-;\-* #,##0_-;_-* &quot;-&quot;??_-;_-@_-">
                  <c:v>3428140</c:v>
                </c:pt>
                <c:pt idx="297" formatCode="_-* #,##0_-;\-* #,##0_-;_-* &quot;-&quot;??_-;_-@_-">
                  <c:v>13512465</c:v>
                </c:pt>
                <c:pt idx="298" formatCode="_-* #,##0_-;\-* #,##0_-;_-* &quot;-&quot;??_-;_-@_-">
                  <c:v>11170144</c:v>
                </c:pt>
                <c:pt idx="299" formatCode="_-* #,##0_-;\-* #,##0_-;_-* &quot;-&quot;??_-;_-@_-">
                  <c:v>7710000</c:v>
                </c:pt>
                <c:pt idx="300" formatCode="_-* #,##0_-;\-* #,##0_-;_-* &quot;-&quot;??_-;_-@_-">
                  <c:v>15117160</c:v>
                </c:pt>
                <c:pt idx="301" formatCode="_-* #,##0_-;\-* #,##0_-;_-* &quot;-&quot;??_-;_-@_-">
                  <c:v>5157662</c:v>
                </c:pt>
                <c:pt idx="302" formatCode="_-* #,##0_-;\-* #,##0_-;_-* &quot;-&quot;??_-;_-@_-">
                  <c:v>10897383</c:v>
                </c:pt>
                <c:pt idx="303" formatCode="_-* #,##0_-;\-* #,##0_-;_-* &quot;-&quot;??_-;_-@_-">
                  <c:v>2832900</c:v>
                </c:pt>
                <c:pt idx="304" formatCode="_-* #,##0_-;\-* #,##0_-;_-* &quot;-&quot;??_-;_-@_-">
                  <c:v>9236300</c:v>
                </c:pt>
                <c:pt idx="305" formatCode="_-* #,##0_-;\-* #,##0_-;_-* &quot;-&quot;??_-;_-@_-">
                  <c:v>10309508</c:v>
                </c:pt>
                <c:pt idx="306" formatCode="_-* #,##0_-;\-* #,##0_-;_-* &quot;-&quot;??_-;_-@_-">
                  <c:v>10776796</c:v>
                </c:pt>
                <c:pt idx="307" formatCode="_-* #,##0_-;\-* #,##0_-;_-* &quot;-&quot;??_-;_-@_-">
                  <c:v>5880477</c:v>
                </c:pt>
                <c:pt idx="308" formatCode="_-* #,##0_-;\-* #,##0_-;_-* &quot;-&quot;??_-;_-@_-">
                  <c:v>9565071</c:v>
                </c:pt>
                <c:pt idx="309" formatCode="_-* #,##0_-;\-* #,##0_-;_-* &quot;-&quot;??_-;_-@_-">
                  <c:v>9954143</c:v>
                </c:pt>
                <c:pt idx="310" formatCode="_-* #,##0_-;\-* #,##0_-;_-* &quot;-&quot;??_-;_-@_-">
                  <c:v>9495300</c:v>
                </c:pt>
                <c:pt idx="311" formatCode="_-* #,##0_-;\-* #,##0_-;_-* &quot;-&quot;??_-;_-@_-">
                  <c:v>9482386</c:v>
                </c:pt>
                <c:pt idx="312" formatCode="_-* #,##0_-;\-* #,##0_-;_-* &quot;-&quot;??_-;_-@_-">
                  <c:v>16010027</c:v>
                </c:pt>
                <c:pt idx="313" formatCode="_-* #,##0_-;\-* #,##0_-;_-* &quot;-&quot;??_-;_-@_-">
                  <c:v>11669000</c:v>
                </c:pt>
                <c:pt idx="314" formatCode="_-* #,##0_-;\-* #,##0_-;_-* &quot;-&quot;??_-;_-@_-">
                  <c:v>7463502</c:v>
                </c:pt>
                <c:pt idx="315" formatCode="_-* #,##0_-;\-* #,##0_-;_-* &quot;-&quot;??_-;_-@_-">
                  <c:v>12548041</c:v>
                </c:pt>
                <c:pt idx="316" formatCode="_-* #,##0_-;\-* #,##0_-;_-* &quot;-&quot;??_-;_-@_-">
                  <c:v>9623662</c:v>
                </c:pt>
                <c:pt idx="317" formatCode="_-* #,##0_-;\-* #,##0_-;_-* &quot;-&quot;??_-;_-@_-">
                  <c:v>8116780</c:v>
                </c:pt>
                <c:pt idx="318" formatCode="_-* #,##0_-;\-* #,##0_-;_-* &quot;-&quot;??_-;_-@_-">
                  <c:v>9084848</c:v>
                </c:pt>
                <c:pt idx="319" formatCode="_-* #,##0_-;\-* #,##0_-;_-* &quot;-&quot;??_-;_-@_-">
                  <c:v>9681427</c:v>
                </c:pt>
                <c:pt idx="320" formatCode="_-* #,##0_-;\-* #,##0_-;_-* &quot;-&quot;??_-;_-@_-">
                  <c:v>9793757</c:v>
                </c:pt>
                <c:pt idx="321" formatCode="_-* #,##0_-;\-* #,##0_-;_-* &quot;-&quot;??_-;_-@_-">
                  <c:v>9254100</c:v>
                </c:pt>
                <c:pt idx="322" formatCode="_-* #,##0_-;\-* #,##0_-;_-* &quot;-&quot;??_-;_-@_-">
                  <c:v>10929393</c:v>
                </c:pt>
                <c:pt idx="323" formatCode="_-* #,##0_-;\-* #,##0_-;_-* &quot;-&quot;??_-;_-@_-">
                  <c:v>9511300</c:v>
                </c:pt>
                <c:pt idx="324" formatCode="_-* #,##0_-;\-* #,##0_-;_-* &quot;-&quot;??_-;_-@_-">
                  <c:v>6421700</c:v>
                </c:pt>
                <c:pt idx="325" formatCode="_-* #,##0_-;\-* #,##0_-;_-* &quot;-&quot;??_-;_-@_-">
                  <c:v>9847742</c:v>
                </c:pt>
                <c:pt idx="326" formatCode="_-* #,##0_-;\-* #,##0_-;_-* &quot;-&quot;??_-;_-@_-">
                  <c:v>11076669</c:v>
                </c:pt>
                <c:pt idx="327" formatCode="_-* #,##0_-;\-* #,##0_-;_-* &quot;-&quot;??_-;_-@_-">
                  <c:v>10783361</c:v>
                </c:pt>
                <c:pt idx="328" formatCode="_-* #,##0_-;\-* #,##0_-;_-* &quot;-&quot;??_-;_-@_-">
                  <c:v>8958400</c:v>
                </c:pt>
                <c:pt idx="329" formatCode="_-* #,##0_-;\-* #,##0_-;_-* &quot;-&quot;??_-;_-@_-">
                  <c:v>4563193</c:v>
                </c:pt>
                <c:pt idx="330" formatCode="_-* #,##0_-;\-* #,##0_-;_-* &quot;-&quot;??_-;_-@_-">
                  <c:v>10431130</c:v>
                </c:pt>
                <c:pt idx="331" formatCode="_-* #,##0_-;\-* #,##0_-;_-* &quot;-&quot;??_-;_-@_-">
                  <c:v>1645802</c:v>
                </c:pt>
                <c:pt idx="332" formatCode="_-* #,##0_-;\-* #,##0_-;_-* &quot;-&quot;??_-;_-@_-">
                  <c:v>6751316</c:v>
                </c:pt>
                <c:pt idx="333" formatCode="_-* #,##0_-;\-* #,##0_-;_-* &quot;-&quot;??_-;_-@_-">
                  <c:v>7575834</c:v>
                </c:pt>
                <c:pt idx="334" formatCode="_-* #,##0_-;\-* #,##0_-;_-* &quot;-&quot;??_-;_-@_-">
                  <c:v>7216444</c:v>
                </c:pt>
                <c:pt idx="335" formatCode="_-* #,##0_-;\-* #,##0_-;_-* &quot;-&quot;??_-;_-@_-">
                  <c:v>6744024</c:v>
                </c:pt>
                <c:pt idx="336" formatCode="_-* #,##0_-;\-* #,##0_-;_-* &quot;-&quot;??_-;_-@_-">
                  <c:v>8878380</c:v>
                </c:pt>
                <c:pt idx="337" formatCode="_-* #,##0_-;\-* #,##0_-;_-* &quot;-&quot;??_-;_-@_-">
                  <c:v>4285640</c:v>
                </c:pt>
                <c:pt idx="338" formatCode="_-* #,##0_-;\-* #,##0_-;_-* &quot;-&quot;??_-;_-@_-">
                  <c:v>5003040</c:v>
                </c:pt>
                <c:pt idx="339" formatCode="_-* #,##0_-;\-* #,##0_-;_-* &quot;-&quot;??_-;_-@_-">
                  <c:v>4629185</c:v>
                </c:pt>
                <c:pt idx="340" formatCode="_-* #,##0_-;\-* #,##0_-;_-* &quot;-&quot;??_-;_-@_-">
                  <c:v>10393000</c:v>
                </c:pt>
                <c:pt idx="341" formatCode="_-* #,##0_-;\-* #,##0_-;_-* &quot;-&quot;??_-;_-@_-">
                  <c:v>9145630</c:v>
                </c:pt>
                <c:pt idx="342" formatCode="_-* #,##0_-;\-* #,##0_-;_-* &quot;-&quot;??_-;_-@_-">
                  <c:v>10479700</c:v>
                </c:pt>
                <c:pt idx="343" formatCode="_-* #,##0_-;\-* #,##0_-;_-* &quot;-&quot;??_-;_-@_-">
                  <c:v>6998687</c:v>
                </c:pt>
                <c:pt idx="344" formatCode="_-* #,##0_-;\-* #,##0_-;_-* &quot;-&quot;??_-;_-@_-">
                  <c:v>9323616</c:v>
                </c:pt>
                <c:pt idx="345" formatCode="_-* #,##0_-;\-* #,##0_-;_-* &quot;-&quot;??_-;_-@_-">
                  <c:v>5554375</c:v>
                </c:pt>
                <c:pt idx="346" formatCode="_-* #,##0_-;\-* #,##0_-;_-* &quot;-&quot;??_-;_-@_-">
                  <c:v>9890581</c:v>
                </c:pt>
                <c:pt idx="347" formatCode="_-* #,##0_-;\-* #,##0_-;_-* &quot;-&quot;??_-;_-@_-">
                  <c:v>10725544</c:v>
                </c:pt>
                <c:pt idx="348" formatCode="_-* #,##0_-;\-* #,##0_-;_-* &quot;-&quot;??_-;_-@_-">
                  <c:v>5476429</c:v>
                </c:pt>
                <c:pt idx="349" formatCode="_-* #,##0_-;\-* #,##0_-;_-* &quot;-&quot;??_-;_-@_-">
                  <c:v>7991919</c:v>
                </c:pt>
                <c:pt idx="350" formatCode="_-* #,##0_-;\-* #,##0_-;_-* &quot;-&quot;??_-;_-@_-">
                  <c:v>15131553</c:v>
                </c:pt>
                <c:pt idx="351" formatCode="_-* #,##0_-;\-* #,##0_-;_-* &quot;-&quot;??_-;_-@_-">
                  <c:v>7893660</c:v>
                </c:pt>
                <c:pt idx="352" formatCode="_-* #,##0_-;\-* #,##0_-;_-* &quot;-&quot;??_-;_-@_-">
                  <c:v>4302341</c:v>
                </c:pt>
                <c:pt idx="353" formatCode="_-* #,##0_-;\-* #,##0_-;_-* &quot;-&quot;??_-;_-@_-">
                  <c:v>17333203</c:v>
                </c:pt>
                <c:pt idx="354" formatCode="_-* #,##0_-;\-* #,##0_-;_-* &quot;-&quot;??_-;_-@_-">
                  <c:v>10771192</c:v>
                </c:pt>
                <c:pt idx="355" formatCode="_-* #,##0_-;\-* #,##0_-;_-* &quot;-&quot;??_-;_-@_-">
                  <c:v>12160526</c:v>
                </c:pt>
                <c:pt idx="356" formatCode="_-* #,##0_-;\-* #,##0_-;_-* &quot;-&quot;??_-;_-@_-">
                  <c:v>19413713</c:v>
                </c:pt>
                <c:pt idx="357" formatCode="_-* #,##0_-;\-* #,##0_-;_-* &quot;-&quot;??_-;_-@_-">
                  <c:v>16525871</c:v>
                </c:pt>
                <c:pt idx="358" formatCode="_-* #,##0_-;\-* #,##0_-;_-* &quot;-&quot;??_-;_-@_-">
                  <c:v>17132867</c:v>
                </c:pt>
                <c:pt idx="359" formatCode="_-* #,##0_-;\-* #,##0_-;_-* &quot;-&quot;??_-;_-@_-">
                  <c:v>9208469</c:v>
                </c:pt>
                <c:pt idx="360" formatCode="_-* #,##0_-;\-* #,##0_-;_-* &quot;-&quot;??_-;_-@_-">
                  <c:v>13559065</c:v>
                </c:pt>
                <c:pt idx="361" formatCode="_-* #,##0_-;\-* #,##0_-;_-* &quot;-&quot;??_-;_-@_-">
                  <c:v>17268017</c:v>
                </c:pt>
                <c:pt idx="362" formatCode="_-* #,##0_-;\-* #,##0_-;_-* &quot;-&quot;??_-;_-@_-">
                  <c:v>2733000</c:v>
                </c:pt>
                <c:pt idx="363" formatCode="_-* #,##0_-;\-* #,##0_-;_-* &quot;-&quot;??_-;_-@_-">
                  <c:v>289437</c:v>
                </c:pt>
                <c:pt idx="364" formatCode="_-* #,##0_-;\-* #,##0_-;_-* &quot;-&quot;??_-;_-@_-">
                  <c:v>7018641</c:v>
                </c:pt>
                <c:pt idx="365" formatCode="_-* #,##0_-;\-* #,##0_-;_-* &quot;-&quot;??_-;_-@_-">
                  <c:v>12509109</c:v>
                </c:pt>
                <c:pt idx="366" formatCode="_-* #,##0_-;\-* #,##0_-;_-* &quot;-&quot;??_-;_-@_-">
                  <c:v>9064500</c:v>
                </c:pt>
                <c:pt idx="367" formatCode="_-* #,##0_-;\-* #,##0_-;_-* &quot;-&quot;??_-;_-@_-">
                  <c:v>3067133</c:v>
                </c:pt>
                <c:pt idx="368" formatCode="_-* #,##0_-;\-* #,##0_-;_-* &quot;-&quot;??_-;_-@_-">
                  <c:v>5730966</c:v>
                </c:pt>
                <c:pt idx="369" formatCode="_-* #,##0_-;\-* #,##0_-;_-* &quot;-&quot;??_-;_-@_-">
                  <c:v>287577</c:v>
                </c:pt>
                <c:pt idx="370" formatCode="_-* #,##0_-;\-* #,##0_-;_-* &quot;-&quot;??_-;_-@_-">
                  <c:v>5236478</c:v>
                </c:pt>
                <c:pt idx="371" formatCode="_-* #,##0_-;\-* #,##0_-;_-* &quot;-&quot;??_-;_-@_-">
                  <c:v>8746229</c:v>
                </c:pt>
                <c:pt idx="372" formatCode="_-* #,##0_-;\-* #,##0_-;_-* &quot;-&quot;??_-;_-@_-">
                  <c:v>10216460</c:v>
                </c:pt>
                <c:pt idx="373" formatCode="_-* #,##0_-;\-* #,##0_-;_-* &quot;-&quot;??_-;_-@_-">
                  <c:v>6218000</c:v>
                </c:pt>
                <c:pt idx="374" formatCode="_-* #,##0_-;\-* #,##0_-;_-* &quot;-&quot;??_-;_-@_-">
                  <c:v>9101613</c:v>
                </c:pt>
                <c:pt idx="375" formatCode="_-* #,##0_-;\-* #,##0_-;_-* &quot;-&quot;??_-;_-@_-">
                  <c:v>17177814</c:v>
                </c:pt>
                <c:pt idx="376" formatCode="_-* #,##0_-;\-* #,##0_-;_-* &quot;-&quot;??_-;_-@_-">
                  <c:v>6492048</c:v>
                </c:pt>
                <c:pt idx="377" formatCode="_-* #,##0_-;\-* #,##0_-;_-* &quot;-&quot;??_-;_-@_-">
                  <c:v>8426041</c:v>
                </c:pt>
                <c:pt idx="378" formatCode="_-* #,##0_-;\-* #,##0_-;_-* &quot;-&quot;??_-;_-@_-">
                  <c:v>14826011</c:v>
                </c:pt>
                <c:pt idx="379" formatCode="_-* #,##0_-;\-* #,##0_-;_-* &quot;-&quot;??_-;_-@_-">
                  <c:v>4382617</c:v>
                </c:pt>
                <c:pt idx="380" formatCode="_-* #,##0_-;\-* #,##0_-;_-* &quot;-&quot;??_-;_-@_-">
                  <c:v>2882350</c:v>
                </c:pt>
                <c:pt idx="381" formatCode="_-* #,##0_-;\-* #,##0_-;_-* &quot;-&quot;??_-;_-@_-">
                  <c:v>10984251</c:v>
                </c:pt>
                <c:pt idx="382" formatCode="_-* #,##0_-;\-* #,##0_-;_-* &quot;-&quot;??_-;_-@_-">
                  <c:v>7902642</c:v>
                </c:pt>
                <c:pt idx="383" formatCode="_-* #,##0_-;\-* #,##0_-;_-* &quot;-&quot;??_-;_-@_-">
                  <c:v>5011267</c:v>
                </c:pt>
                <c:pt idx="384" formatCode="_-* #,##0_-;\-* #,##0_-;_-* &quot;-&quot;??_-;_-@_-">
                  <c:v>3835820</c:v>
                </c:pt>
                <c:pt idx="385" formatCode="_-* #,##0_-;\-* #,##0_-;_-* &quot;-&quot;??_-;_-@_-">
                  <c:v>11860891</c:v>
                </c:pt>
                <c:pt idx="386" formatCode="_-* #,##0_-;\-* #,##0_-;_-* &quot;-&quot;??_-;_-@_-">
                  <c:v>10319650</c:v>
                </c:pt>
                <c:pt idx="387" formatCode="_-* #,##0_-;\-* #,##0_-;_-* &quot;-&quot;??_-;_-@_-">
                  <c:v>6298758</c:v>
                </c:pt>
                <c:pt idx="388" formatCode="_-* #,##0_-;\-* #,##0_-;_-* &quot;-&quot;??_-;_-@_-">
                  <c:v>16768753</c:v>
                </c:pt>
                <c:pt idx="389" formatCode="_-* #,##0_-;\-* #,##0_-;_-* &quot;-&quot;??_-;_-@_-">
                  <c:v>11150150</c:v>
                </c:pt>
                <c:pt idx="390" formatCode="_-* #,##0_-;\-* #,##0_-;_-* &quot;-&quot;??_-;_-@_-">
                  <c:v>6478622</c:v>
                </c:pt>
                <c:pt idx="391" formatCode="_-* #,##0_-;\-* #,##0_-;_-* &quot;-&quot;??_-;_-@_-">
                  <c:v>9106200</c:v>
                </c:pt>
                <c:pt idx="392" formatCode="_-* #,##0_-;\-* #,##0_-;_-* &quot;-&quot;??_-;_-@_-">
                  <c:v>7841879</c:v>
                </c:pt>
                <c:pt idx="393" formatCode="_-* #,##0_-;\-* #,##0_-;_-* &quot;-&quot;??_-;_-@_-">
                  <c:v>5653237</c:v>
                </c:pt>
                <c:pt idx="394" formatCode="_-* #,##0_-;\-* #,##0_-;_-* &quot;-&quot;??_-;_-@_-">
                  <c:v>7972440</c:v>
                </c:pt>
                <c:pt idx="395" formatCode="_-* #,##0_-;\-* #,##0_-;_-* &quot;-&quot;??_-;_-@_-">
                  <c:v>8665053</c:v>
                </c:pt>
                <c:pt idx="396" formatCode="_-* #,##0_-;\-* #,##0_-;_-* &quot;-&quot;??_-;_-@_-">
                  <c:v>10579021</c:v>
                </c:pt>
                <c:pt idx="397" formatCode="_-* #,##0_-;\-* #,##0_-;_-* &quot;-&quot;??_-;_-@_-">
                  <c:v>9749294</c:v>
                </c:pt>
                <c:pt idx="398" formatCode="_-* #,##0_-;\-* #,##0_-;_-* &quot;-&quot;??_-;_-@_-">
                  <c:v>6441271</c:v>
                </c:pt>
                <c:pt idx="399" formatCode="_-* #,##0_-;\-* #,##0_-;_-* &quot;-&quot;??_-;_-@_-">
                  <c:v>5547123</c:v>
                </c:pt>
                <c:pt idx="400" formatCode="_-* #,##0_-;\-* #,##0_-;_-* &quot;-&quot;??_-;_-@_-">
                  <c:v>15580164</c:v>
                </c:pt>
                <c:pt idx="401" formatCode="_-* #,##0_-;\-* #,##0_-;_-* &quot;-&quot;??_-;_-@_-">
                  <c:v>11286030</c:v>
                </c:pt>
                <c:pt idx="402" formatCode="_-* #,##0_-;\-* #,##0_-;_-* &quot;-&quot;??_-;_-@_-">
                  <c:v>12518865</c:v>
                </c:pt>
                <c:pt idx="403" formatCode="_-* #,##0_-;\-* #,##0_-;_-* &quot;-&quot;??_-;_-@_-">
                  <c:v>8940352</c:v>
                </c:pt>
                <c:pt idx="404" formatCode="_-* #,##0_-;\-* #,##0_-;_-* &quot;-&quot;??_-;_-@_-">
                  <c:v>3186913</c:v>
                </c:pt>
                <c:pt idx="405" formatCode="_-* #,##0_-;\-* #,##0_-;_-* &quot;-&quot;??_-;_-@_-">
                  <c:v>8274270</c:v>
                </c:pt>
                <c:pt idx="406" formatCode="_-* #,##0_-;\-* #,##0_-;_-* &quot;-&quot;??_-;_-@_-">
                  <c:v>9508555</c:v>
                </c:pt>
                <c:pt idx="407" formatCode="_-* #,##0_-;\-* #,##0_-;_-* &quot;-&quot;??_-;_-@_-">
                  <c:v>4100786</c:v>
                </c:pt>
                <c:pt idx="408" formatCode="_-* #,##0_-;\-* #,##0_-;_-* &quot;-&quot;??_-;_-@_-">
                  <c:v>5626660</c:v>
                </c:pt>
                <c:pt idx="409" formatCode="_-* #,##0_-;\-* #,##0_-;_-* &quot;-&quot;??_-;_-@_-">
                  <c:v>4709722</c:v>
                </c:pt>
                <c:pt idx="410" formatCode="_-* #,##0_-;\-* #,##0_-;_-* &quot;-&quot;??_-;_-@_-">
                  <c:v>15383050</c:v>
                </c:pt>
                <c:pt idx="411" formatCode="_-* #,##0_-;\-* #,##0_-;_-* &quot;-&quot;??_-;_-@_-">
                  <c:v>9781513</c:v>
                </c:pt>
                <c:pt idx="412" formatCode="_-* #,##0_-;\-* #,##0_-;_-* &quot;-&quot;??_-;_-@_-">
                  <c:v>10395670</c:v>
                </c:pt>
                <c:pt idx="413" formatCode="_-* #,##0_-;\-* #,##0_-;_-* &quot;-&quot;??_-;_-@_-">
                  <c:v>4934734</c:v>
                </c:pt>
                <c:pt idx="414" formatCode="_-* #,##0_-;\-* #,##0_-;_-* &quot;-&quot;??_-;_-@_-">
                  <c:v>8761400</c:v>
                </c:pt>
                <c:pt idx="415" formatCode="_-* #,##0_-;\-* #,##0_-;_-* &quot;-&quot;??_-;_-@_-">
                  <c:v>2945790</c:v>
                </c:pt>
                <c:pt idx="416" formatCode="_-* #,##0_-;\-* #,##0_-;_-* &quot;-&quot;??_-;_-@_-">
                  <c:v>9218806</c:v>
                </c:pt>
                <c:pt idx="417" formatCode="_-* #,##0_-;\-* #,##0_-;_-* &quot;-&quot;??_-;_-@_-">
                  <c:v>8765867</c:v>
                </c:pt>
                <c:pt idx="418" formatCode="_-* #,##0_-;\-* #,##0_-;_-* &quot;-&quot;??_-;_-@_-">
                  <c:v>4515702</c:v>
                </c:pt>
                <c:pt idx="419" formatCode="_-* #,##0_-;\-* #,##0_-;_-* &quot;-&quot;??_-;_-@_-">
                  <c:v>5897743</c:v>
                </c:pt>
                <c:pt idx="420" formatCode="_-* #,##0_-;\-* #,##0_-;_-* &quot;-&quot;??_-;_-@_-">
                  <c:v>10141895</c:v>
                </c:pt>
                <c:pt idx="421" formatCode="_-* #,##0_-;\-* #,##0_-;_-* &quot;-&quot;??_-;_-@_-">
                  <c:v>6419455</c:v>
                </c:pt>
                <c:pt idx="422" formatCode="_-* #,##0_-;\-* #,##0_-;_-* &quot;-&quot;??_-;_-@_-">
                  <c:v>4125478</c:v>
                </c:pt>
                <c:pt idx="423" formatCode="_-* #,##0_-;\-* #,##0_-;_-* &quot;-&quot;??_-;_-@_-">
                  <c:v>4689138</c:v>
                </c:pt>
                <c:pt idx="424" formatCode="_-* #,##0_-;\-* #,##0_-;_-* &quot;-&quot;??_-;_-@_-">
                  <c:v>6840609</c:v>
                </c:pt>
                <c:pt idx="425" formatCode="_-* #,##0_-;\-* #,##0_-;_-* &quot;-&quot;??_-;_-@_-">
                  <c:v>5138036</c:v>
                </c:pt>
                <c:pt idx="426" formatCode="_-* #,##0_-;\-* #,##0_-;_-* &quot;-&quot;??_-;_-@_-">
                  <c:v>4421182</c:v>
                </c:pt>
                <c:pt idx="427" formatCode="_-* #,##0_-;\-* #,##0_-;_-* &quot;-&quot;??_-;_-@_-">
                  <c:v>6675980</c:v>
                </c:pt>
                <c:pt idx="428" formatCode="_-* #,##0_-;\-* #,##0_-;_-* &quot;-&quot;??_-;_-@_-">
                  <c:v>3265900</c:v>
                </c:pt>
                <c:pt idx="429" formatCode="_-* #,##0_-;\-* #,##0_-;_-* &quot;-&quot;??_-;_-@_-">
                  <c:v>2765950</c:v>
                </c:pt>
                <c:pt idx="430" formatCode="_-* #,##0_-;\-* #,##0_-;_-* &quot;-&quot;??_-;_-@_-">
                  <c:v>9514701</c:v>
                </c:pt>
                <c:pt idx="431" formatCode="_-* #,##0_-;\-* #,##0_-;_-* &quot;-&quot;??_-;_-@_-">
                  <c:v>9569142</c:v>
                </c:pt>
                <c:pt idx="432" formatCode="_-* #,##0_-;\-* #,##0_-;_-* &quot;-&quot;??_-;_-@_-">
                  <c:v>2593802</c:v>
                </c:pt>
                <c:pt idx="433" formatCode="_-* #,##0_-;\-* #,##0_-;_-* &quot;-&quot;??_-;_-@_-">
                  <c:v>5966353</c:v>
                </c:pt>
                <c:pt idx="434" formatCode="_-* #,##0_-;\-* #,##0_-;_-* &quot;-&quot;??_-;_-@_-">
                  <c:v>3521795</c:v>
                </c:pt>
                <c:pt idx="435" formatCode="_-* #,##0_-;\-* #,##0_-;_-* &quot;-&quot;??_-;_-@_-">
                  <c:v>10105248</c:v>
                </c:pt>
                <c:pt idx="436" formatCode="_-* #,##0_-;\-* #,##0_-;_-* &quot;-&quot;??_-;_-@_-">
                  <c:v>5388555</c:v>
                </c:pt>
                <c:pt idx="437" formatCode="_-* #,##0_-;\-* #,##0_-;_-* &quot;-&quot;??_-;_-@_-">
                  <c:v>10878649</c:v>
                </c:pt>
                <c:pt idx="438" formatCode="_-* #,##0_-;\-* #,##0_-;_-* &quot;-&quot;??_-;_-@_-">
                  <c:v>11805710</c:v>
                </c:pt>
                <c:pt idx="439" formatCode="_-* #,##0_-;\-* #,##0_-;_-* &quot;-&quot;??_-;_-@_-">
                  <c:v>7788465</c:v>
                </c:pt>
                <c:pt idx="440" formatCode="_-* #,##0_-;\-* #,##0_-;_-* &quot;-&quot;??_-;_-@_-">
                  <c:v>10178375</c:v>
                </c:pt>
                <c:pt idx="441" formatCode="_-* #,##0_-;\-* #,##0_-;_-* &quot;-&quot;??_-;_-@_-">
                  <c:v>6050054</c:v>
                </c:pt>
                <c:pt idx="442" formatCode="_-* #,##0_-;\-* #,##0_-;_-* &quot;-&quot;??_-;_-@_-">
                  <c:v>10433356</c:v>
                </c:pt>
                <c:pt idx="443" formatCode="_-* #,##0_-;\-* #,##0_-;_-* &quot;-&quot;??_-;_-@_-">
                  <c:v>13845959</c:v>
                </c:pt>
                <c:pt idx="444" formatCode="_-* #,##0_-;\-* #,##0_-;_-* &quot;-&quot;??_-;_-@_-">
                  <c:v>13119275</c:v>
                </c:pt>
                <c:pt idx="445" formatCode="_-* #,##0_-;\-* #,##0_-;_-* &quot;-&quot;??_-;_-@_-">
                  <c:v>6126971</c:v>
                </c:pt>
                <c:pt idx="446" formatCode="_-* #,##0_-;\-* #,##0_-;_-* &quot;-&quot;??_-;_-@_-">
                  <c:v>7866893</c:v>
                </c:pt>
                <c:pt idx="447" formatCode="_-* #,##0_-;\-* #,##0_-;_-* &quot;-&quot;??_-;_-@_-">
                  <c:v>9077250</c:v>
                </c:pt>
                <c:pt idx="448" formatCode="_-* #,##0_-;\-* #,##0_-;_-* &quot;-&quot;??_-;_-@_-">
                  <c:v>13259370</c:v>
                </c:pt>
                <c:pt idx="449" formatCode="_-* #,##0_-;\-* #,##0_-;_-* &quot;-&quot;??_-;_-@_-">
                  <c:v>13545650</c:v>
                </c:pt>
                <c:pt idx="450" formatCode="_-* #,##0_-;\-* #,##0_-;_-* &quot;-&quot;??_-;_-@_-">
                  <c:v>6619250</c:v>
                </c:pt>
                <c:pt idx="451" formatCode="_-* #,##0_-;\-* #,##0_-;_-* &quot;-&quot;??_-;_-@_-">
                  <c:v>10430704</c:v>
                </c:pt>
                <c:pt idx="452" formatCode="_-* #,##0_-;\-* #,##0_-;_-* &quot;-&quot;??_-;_-@_-">
                  <c:v>9935000</c:v>
                </c:pt>
                <c:pt idx="453" formatCode="_-* #,##0_-;\-* #,##0_-;_-* &quot;-&quot;??_-;_-@_-">
                  <c:v>13271024</c:v>
                </c:pt>
                <c:pt idx="454" formatCode="_-* #,##0_-;\-* #,##0_-;_-* &quot;-&quot;??_-;_-@_-">
                  <c:v>4067800</c:v>
                </c:pt>
                <c:pt idx="455" formatCode="_-* #,##0_-;\-* #,##0_-;_-* &quot;-&quot;??_-;_-@_-">
                  <c:v>10417320</c:v>
                </c:pt>
                <c:pt idx="456" formatCode="_-* #,##0_-;\-* #,##0_-;_-* &quot;-&quot;??_-;_-@_-">
                  <c:v>3011935</c:v>
                </c:pt>
                <c:pt idx="457" formatCode="_-* #,##0_-;\-* #,##0_-;_-* &quot;-&quot;??_-;_-@_-">
                  <c:v>6390317</c:v>
                </c:pt>
                <c:pt idx="458" formatCode="_-* #,##0_-;\-* #,##0_-;_-* &quot;-&quot;??_-;_-@_-">
                  <c:v>5476291</c:v>
                </c:pt>
                <c:pt idx="459" formatCode="_-* #,##0_-;\-* #,##0_-;_-* &quot;-&quot;??_-;_-@_-">
                  <c:v>12263907</c:v>
                </c:pt>
                <c:pt idx="460" formatCode="_-* #,##0_-;\-* #,##0_-;_-* &quot;-&quot;??_-;_-@_-">
                  <c:v>5880716</c:v>
                </c:pt>
                <c:pt idx="461" formatCode="_-* #,##0_-;\-* #,##0_-;_-* &quot;-&quot;??_-;_-@_-">
                  <c:v>7750588</c:v>
                </c:pt>
                <c:pt idx="462" formatCode="_-* #,##0_-;\-* #,##0_-;_-* &quot;-&quot;??_-;_-@_-">
                  <c:v>9270550</c:v>
                </c:pt>
                <c:pt idx="463" formatCode="_-* #,##0_-;\-* #,##0_-;_-* &quot;-&quot;??_-;_-@_-">
                  <c:v>10993920</c:v>
                </c:pt>
                <c:pt idx="464" formatCode="_-* #,##0_-;\-* #,##0_-;_-* &quot;-&quot;??_-;_-@_-">
                  <c:v>2238185</c:v>
                </c:pt>
                <c:pt idx="465" formatCode="_-* #,##0_-;\-* #,##0_-;_-* &quot;-&quot;??_-;_-@_-">
                  <c:v>6189162</c:v>
                </c:pt>
                <c:pt idx="466" formatCode="_-* #,##0_-;\-* #,##0_-;_-* &quot;-&quot;??_-;_-@_-">
                  <c:v>11841552</c:v>
                </c:pt>
                <c:pt idx="467" formatCode="_-* #,##0_-;\-* #,##0_-;_-* &quot;-&quot;??_-;_-@_-">
                  <c:v>7237656</c:v>
                </c:pt>
                <c:pt idx="468" formatCode="_-* #,##0_-;\-* #,##0_-;_-* &quot;-&quot;??_-;_-@_-">
                  <c:v>11791264</c:v>
                </c:pt>
                <c:pt idx="469" formatCode="_-* #,##0_-;\-* #,##0_-;_-* &quot;-&quot;??_-;_-@_-">
                  <c:v>6129790</c:v>
                </c:pt>
                <c:pt idx="470" formatCode="_-* #,##0_-;\-* #,##0_-;_-* &quot;-&quot;??_-;_-@_-">
                  <c:v>10177170</c:v>
                </c:pt>
                <c:pt idx="471" formatCode="_-* #,##0_-;\-* #,##0_-;_-* &quot;-&quot;??_-;_-@_-">
                  <c:v>4887054</c:v>
                </c:pt>
                <c:pt idx="472" formatCode="_-* #,##0_-;\-* #,##0_-;_-* &quot;-&quot;??_-;_-@_-">
                  <c:v>7034511</c:v>
                </c:pt>
                <c:pt idx="473" formatCode="_-* #,##0_-;\-* #,##0_-;_-* &quot;-&quot;??_-;_-@_-">
                  <c:v>6654982</c:v>
                </c:pt>
                <c:pt idx="474" formatCode="_-* #,##0_-;\-* #,##0_-;_-* &quot;-&quot;??_-;_-@_-">
                  <c:v>6972168</c:v>
                </c:pt>
                <c:pt idx="475" formatCode="_-* #,##0_-;\-* #,##0_-;_-* &quot;-&quot;??_-;_-@_-">
                  <c:v>11980287</c:v>
                </c:pt>
                <c:pt idx="476" formatCode="_-* #,##0_-;\-* #,##0_-;_-* &quot;-&quot;??_-;_-@_-">
                  <c:v>12463253</c:v>
                </c:pt>
                <c:pt idx="477" formatCode="_-* #,##0_-;\-* #,##0_-;_-* &quot;-&quot;??_-;_-@_-">
                  <c:v>12755145</c:v>
                </c:pt>
                <c:pt idx="478" formatCode="_-* #,##0_-;\-* #,##0_-;_-* &quot;-&quot;??_-;_-@_-">
                  <c:v>1281080</c:v>
                </c:pt>
                <c:pt idx="479" formatCode="_-* #,##0_-;\-* #,##0_-;_-* &quot;-&quot;??_-;_-@_-">
                  <c:v>360039</c:v>
                </c:pt>
                <c:pt idx="480" formatCode="_-* #,##0_-;\-* #,##0_-;_-* &quot;-&quot;??_-;_-@_-">
                  <c:v>10851117</c:v>
                </c:pt>
                <c:pt idx="481" formatCode="_-* #,##0_-;\-* #,##0_-;_-* &quot;-&quot;??_-;_-@_-">
                  <c:v>6969100</c:v>
                </c:pt>
                <c:pt idx="482" formatCode="_-* #,##0_-;\-* #,##0_-;_-* &quot;-&quot;??_-;_-@_-">
                  <c:v>7874602</c:v>
                </c:pt>
                <c:pt idx="483" formatCode="_-* #,##0_-;\-* #,##0_-;_-* &quot;-&quot;??_-;_-@_-">
                  <c:v>10622345</c:v>
                </c:pt>
                <c:pt idx="484" formatCode="_-* #,##0_-;\-* #,##0_-;_-* &quot;-&quot;??_-;_-@_-">
                  <c:v>7524931</c:v>
                </c:pt>
                <c:pt idx="485" formatCode="_-* #,##0_-;\-* #,##0_-;_-* &quot;-&quot;??_-;_-@_-">
                  <c:v>7456253</c:v>
                </c:pt>
                <c:pt idx="486" formatCode="_-* #,##0_-;\-* #,##0_-;_-* &quot;-&quot;??_-;_-@_-">
                  <c:v>9063582</c:v>
                </c:pt>
                <c:pt idx="487" formatCode="_-* #,##0_-;\-* #,##0_-;_-* &quot;-&quot;??_-;_-@_-">
                  <c:v>6603649</c:v>
                </c:pt>
                <c:pt idx="488" formatCode="_-* #,##0_-;\-* #,##0_-;_-* &quot;-&quot;??_-;_-@_-">
                  <c:v>5573318</c:v>
                </c:pt>
                <c:pt idx="489" formatCode="_-* #,##0_-;\-* #,##0_-;_-* &quot;-&quot;??_-;_-@_-">
                  <c:v>5495625</c:v>
                </c:pt>
                <c:pt idx="490" formatCode="_-* #,##0_-;\-* #,##0_-;_-* &quot;-&quot;??_-;_-@_-">
                  <c:v>4385882</c:v>
                </c:pt>
                <c:pt idx="491" formatCode="_-* #,##0_-;\-* #,##0_-;_-* &quot;-&quot;??_-;_-@_-">
                  <c:v>3779396</c:v>
                </c:pt>
                <c:pt idx="492" formatCode="_-* #,##0_-;\-* #,##0_-;_-* &quot;-&quot;??_-;_-@_-">
                  <c:v>4422939</c:v>
                </c:pt>
                <c:pt idx="493" formatCode="_-* #,##0_-;\-* #,##0_-;_-* &quot;-&quot;??_-;_-@_-">
                  <c:v>4008749</c:v>
                </c:pt>
                <c:pt idx="494" formatCode="_-* #,##0_-;\-* #,##0_-;_-* &quot;-&quot;??_-;_-@_-">
                  <c:v>5023593</c:v>
                </c:pt>
                <c:pt idx="495" formatCode="_-* #,##0_-;\-* #,##0_-;_-* &quot;-&quot;??_-;_-@_-">
                  <c:v>5300598</c:v>
                </c:pt>
                <c:pt idx="496" formatCode="_-* #,##0_-;\-* #,##0_-;_-* &quot;-&quot;??_-;_-@_-">
                  <c:v>8339181</c:v>
                </c:pt>
                <c:pt idx="497" formatCode="_-* #,##0_-;\-* #,##0_-;_-* &quot;-&quot;??_-;_-@_-">
                  <c:v>5750354</c:v>
                </c:pt>
                <c:pt idx="498" formatCode="_-* #,##0_-;\-* #,##0_-;_-* &quot;-&quot;??_-;_-@_-">
                  <c:v>2598561</c:v>
                </c:pt>
                <c:pt idx="499" formatCode="_-* #,##0_-;\-* #,##0_-;_-* &quot;-&quot;??_-;_-@_-">
                  <c:v>2047095</c:v>
                </c:pt>
                <c:pt idx="500" formatCode="_-* #,##0_-;\-* #,##0_-;_-* &quot;-&quot;??_-;_-@_-">
                  <c:v>7672116</c:v>
                </c:pt>
                <c:pt idx="501" formatCode="_-* #,##0_-;\-* #,##0_-;_-* &quot;-&quot;??_-;_-@_-">
                  <c:v>7201645</c:v>
                </c:pt>
                <c:pt idx="502" formatCode="_-* #,##0_-;\-* #,##0_-;_-* &quot;-&quot;??_-;_-@_-">
                  <c:v>7147788</c:v>
                </c:pt>
                <c:pt idx="503" formatCode="_-* #,##0_-;\-* #,##0_-;_-* &quot;-&quot;??_-;_-@_-">
                  <c:v>10657989</c:v>
                </c:pt>
                <c:pt idx="504" formatCode="_-* #,##0_-;\-* #,##0_-;_-* &quot;-&quot;??_-;_-@_-">
                  <c:v>10372597</c:v>
                </c:pt>
                <c:pt idx="505" formatCode="_-* #,##0_-;\-* #,##0_-;_-* &quot;-&quot;??_-;_-@_-">
                  <c:v>10507275</c:v>
                </c:pt>
                <c:pt idx="506" formatCode="_-* #,##0_-;\-* #,##0_-;_-* &quot;-&quot;??_-;_-@_-">
                  <c:v>7337222</c:v>
                </c:pt>
                <c:pt idx="507" formatCode="_-* #,##0_-;\-* #,##0_-;_-* &quot;-&quot;??_-;_-@_-">
                  <c:v>11238424</c:v>
                </c:pt>
                <c:pt idx="508" formatCode="_-* #,##0_-;\-* #,##0_-;_-* &quot;-&quot;??_-;_-@_-">
                  <c:v>12759178</c:v>
                </c:pt>
                <c:pt idx="509" formatCode="_-* #,##0_-;\-* #,##0_-;_-* &quot;-&quot;??_-;_-@_-">
                  <c:v>13436025</c:v>
                </c:pt>
                <c:pt idx="510" formatCode="_-* #,##0_-;\-* #,##0_-;_-* &quot;-&quot;??_-;_-@_-">
                  <c:v>18021746</c:v>
                </c:pt>
                <c:pt idx="511" formatCode="_-* #,##0_-;\-* #,##0_-;_-* &quot;-&quot;??_-;_-@_-">
                  <c:v>18808089</c:v>
                </c:pt>
                <c:pt idx="512" formatCode="_-* #,##0_-;\-* #,##0_-;_-* &quot;-&quot;??_-;_-@_-">
                  <c:v>15700000</c:v>
                </c:pt>
                <c:pt idx="513" formatCode="_-* #,##0_-;\-* #,##0_-;_-* &quot;-&quot;??_-;_-@_-">
                  <c:v>11600282</c:v>
                </c:pt>
                <c:pt idx="514" formatCode="_-* #,##0_-;\-* #,##0_-;_-* &quot;-&quot;??_-;_-@_-">
                  <c:v>6019075</c:v>
                </c:pt>
                <c:pt idx="515" formatCode="_-* #,##0_-;\-* #,##0_-;_-* &quot;-&quot;??_-;_-@_-">
                  <c:v>5359267</c:v>
                </c:pt>
                <c:pt idx="516" formatCode="_-* #,##0_-;\-* #,##0_-;_-* &quot;-&quot;??_-;_-@_-">
                  <c:v>12420327</c:v>
                </c:pt>
                <c:pt idx="517" formatCode="_-* #,##0_-;\-* #,##0_-;_-* &quot;-&quot;??_-;_-@_-">
                  <c:v>14889713</c:v>
                </c:pt>
                <c:pt idx="518" formatCode="_-* #,##0_-;\-* #,##0_-;_-* &quot;-&quot;??_-;_-@_-">
                  <c:v>9486239</c:v>
                </c:pt>
                <c:pt idx="519" formatCode="_-* #,##0_-;\-* #,##0_-;_-* &quot;-&quot;??_-;_-@_-">
                  <c:v>6832288</c:v>
                </c:pt>
                <c:pt idx="520" formatCode="_-* #,##0_-;\-* #,##0_-;_-* &quot;-&quot;??_-;_-@_-">
                  <c:v>7774738</c:v>
                </c:pt>
                <c:pt idx="521" formatCode="_-* #,##0_-;\-* #,##0_-;_-* &quot;-&quot;??_-;_-@_-">
                  <c:v>12010473</c:v>
                </c:pt>
                <c:pt idx="522" formatCode="_-* #,##0_-;\-* #,##0_-;_-* &quot;-&quot;??_-;_-@_-">
                  <c:v>9673948</c:v>
                </c:pt>
                <c:pt idx="523" formatCode="_-* #,##0_-;\-* #,##0_-;_-* &quot;-&quot;??_-;_-@_-">
                  <c:v>9937586</c:v>
                </c:pt>
                <c:pt idx="524" formatCode="_-* #,##0_-;\-* #,##0_-;_-* &quot;-&quot;??_-;_-@_-">
                  <c:v>11949767</c:v>
                </c:pt>
                <c:pt idx="525" formatCode="_-* #,##0_-;\-* #,##0_-;_-* &quot;-&quot;??_-;_-@_-">
                  <c:v>10463604</c:v>
                </c:pt>
                <c:pt idx="526" formatCode="_-* #,##0_-;\-* #,##0_-;_-* &quot;-&quot;??_-;_-@_-">
                  <c:v>3927145</c:v>
                </c:pt>
                <c:pt idx="527" formatCode="_-* #,##0_-;\-* #,##0_-;_-* &quot;-&quot;??_-;_-@_-">
                  <c:v>5155863</c:v>
                </c:pt>
                <c:pt idx="528" formatCode="_-* #,##0_-;\-* #,##0_-;_-* &quot;-&quot;??_-;_-@_-">
                  <c:v>4650012</c:v>
                </c:pt>
                <c:pt idx="529" formatCode="_-* #,##0_-;\-* #,##0_-;_-* &quot;-&quot;??_-;_-@_-">
                  <c:v>6756624</c:v>
                </c:pt>
                <c:pt idx="530" formatCode="_-* #,##0_-;\-* #,##0_-;_-* &quot;-&quot;??_-;_-@_-">
                  <c:v>4479139</c:v>
                </c:pt>
                <c:pt idx="531" formatCode="_-* #,##0_-;\-* #,##0_-;_-* &quot;-&quot;??_-;_-@_-">
                  <c:v>8653950</c:v>
                </c:pt>
                <c:pt idx="532" formatCode="_-* #,##0_-;\-* #,##0_-;_-* &quot;-&quot;??_-;_-@_-">
                  <c:v>8989360</c:v>
                </c:pt>
                <c:pt idx="533" formatCode="_-* #,##0_-;\-* #,##0_-;_-* &quot;-&quot;??_-;_-@_-">
                  <c:v>7108785</c:v>
                </c:pt>
                <c:pt idx="534" formatCode="_-* #,##0_-;\-* #,##0_-;_-* &quot;-&quot;??_-;_-@_-">
                  <c:v>2511950</c:v>
                </c:pt>
                <c:pt idx="535" formatCode="_-* #,##0_-;\-* #,##0_-;_-* &quot;-&quot;??_-;_-@_-">
                  <c:v>11836668</c:v>
                </c:pt>
                <c:pt idx="536" formatCode="_-* #,##0_-;\-* #,##0_-;_-* &quot;-&quot;??_-;_-@_-">
                  <c:v>6465146</c:v>
                </c:pt>
                <c:pt idx="537" formatCode="_-* #,##0_-;\-* #,##0_-;_-* &quot;-&quot;??_-;_-@_-">
                  <c:v>2371500</c:v>
                </c:pt>
                <c:pt idx="538" formatCode="_-* #,##0_-;\-* #,##0_-;_-* &quot;-&quot;??_-;_-@_-">
                  <c:v>10309001</c:v>
                </c:pt>
                <c:pt idx="539" formatCode="_-* #,##0_-;\-* #,##0_-;_-* &quot;-&quot;??_-;_-@_-">
                  <c:v>11146538</c:v>
                </c:pt>
                <c:pt idx="540" formatCode="_-* #,##0_-;\-* #,##0_-;_-* &quot;-&quot;??_-;_-@_-">
                  <c:v>14119349</c:v>
                </c:pt>
                <c:pt idx="541" formatCode="_-* #,##0_-;\-* #,##0_-;_-* &quot;-&quot;??_-;_-@_-">
                  <c:v>16186224</c:v>
                </c:pt>
                <c:pt idx="542" formatCode="_-* #,##0_-;\-* #,##0_-;_-* &quot;-&quot;??_-;_-@_-">
                  <c:v>15779445</c:v>
                </c:pt>
                <c:pt idx="543" formatCode="_-* #,##0_-;\-* #,##0_-;_-* &quot;-&quot;??_-;_-@_-">
                  <c:v>8389459</c:v>
                </c:pt>
                <c:pt idx="544" formatCode="_-* #,##0_-;\-* #,##0_-;_-* &quot;-&quot;??_-;_-@_-">
                  <c:v>13058770</c:v>
                </c:pt>
                <c:pt idx="545" formatCode="_-* #,##0_-;\-* #,##0_-;_-* &quot;-&quot;??_-;_-@_-">
                  <c:v>11154322</c:v>
                </c:pt>
                <c:pt idx="546" formatCode="_-* #,##0_-;\-* #,##0_-;_-* &quot;-&quot;??_-;_-@_-">
                  <c:v>7486200</c:v>
                </c:pt>
                <c:pt idx="547" formatCode="_-* #,##0_-;\-* #,##0_-;_-* &quot;-&quot;??_-;_-@_-">
                  <c:v>9989670</c:v>
                </c:pt>
                <c:pt idx="548" formatCode="_-* #,##0_-;\-* #,##0_-;_-* &quot;-&quot;??_-;_-@_-">
                  <c:v>6333695</c:v>
                </c:pt>
                <c:pt idx="549" formatCode="_-* #,##0_-;\-* #,##0_-;_-* &quot;-&quot;??_-;_-@_-">
                  <c:v>9930288</c:v>
                </c:pt>
                <c:pt idx="550" formatCode="_-* #,##0_-;\-* #,##0_-;_-* &quot;-&quot;??_-;_-@_-">
                  <c:v>10849030</c:v>
                </c:pt>
                <c:pt idx="551" formatCode="_-* #,##0_-;\-* #,##0_-;_-* &quot;-&quot;??_-;_-@_-">
                  <c:v>7199028</c:v>
                </c:pt>
                <c:pt idx="552" formatCode="_-* #,##0_-;\-* #,##0_-;_-* &quot;-&quot;??_-;_-@_-">
                  <c:v>11422080</c:v>
                </c:pt>
                <c:pt idx="553" formatCode="_-* #,##0_-;\-* #,##0_-;_-* &quot;-&quot;??_-;_-@_-">
                  <c:v>12803644</c:v>
                </c:pt>
                <c:pt idx="554" formatCode="_-* #,##0_-;\-* #,##0_-;_-* &quot;-&quot;??_-;_-@_-">
                  <c:v>11917066</c:v>
                </c:pt>
                <c:pt idx="555" formatCode="_-* #,##0_-;\-* #,##0_-;_-* &quot;-&quot;??_-;_-@_-">
                  <c:v>7530211</c:v>
                </c:pt>
                <c:pt idx="556" formatCode="_-* #,##0_-;\-* #,##0_-;_-* &quot;-&quot;??_-;_-@_-">
                  <c:v>13005443</c:v>
                </c:pt>
                <c:pt idx="557" formatCode="_-* #,##0_-;\-* #,##0_-;_-* &quot;-&quot;??_-;_-@_-">
                  <c:v>12085959</c:v>
                </c:pt>
                <c:pt idx="558" formatCode="_-* #,##0_-;\-* #,##0_-;_-* &quot;-&quot;??_-;_-@_-">
                  <c:v>7704334</c:v>
                </c:pt>
                <c:pt idx="559" formatCode="_-* #,##0_-;\-* #,##0_-;_-* &quot;-&quot;??_-;_-@_-">
                  <c:v>12996096</c:v>
                </c:pt>
                <c:pt idx="560" formatCode="_-* #,##0_-;\-* #,##0_-;_-* &quot;-&quot;??_-;_-@_-">
                  <c:v>9832684</c:v>
                </c:pt>
                <c:pt idx="561" formatCode="_-* #,##0_-;\-* #,##0_-;_-* &quot;-&quot;??_-;_-@_-">
                  <c:v>9408160</c:v>
                </c:pt>
                <c:pt idx="562" formatCode="_-* #,##0_-;\-* #,##0_-;_-* &quot;-&quot;??_-;_-@_-">
                  <c:v>7288660</c:v>
                </c:pt>
                <c:pt idx="563" formatCode="_-* #,##0_-;\-* #,##0_-;_-* &quot;-&quot;??_-;_-@_-">
                  <c:v>13548152</c:v>
                </c:pt>
                <c:pt idx="564" formatCode="_-* #,##0_-;\-* #,##0_-;_-* &quot;-&quot;??_-;_-@_-">
                  <c:v>24899142</c:v>
                </c:pt>
                <c:pt idx="565" formatCode="_-* #,##0_-;\-* #,##0_-;_-* &quot;-&quot;??_-;_-@_-">
                  <c:v>14294383</c:v>
                </c:pt>
                <c:pt idx="566" formatCode="_-* #,##0_-;\-* #,##0_-;_-* &quot;-&quot;??_-;_-@_-">
                  <c:v>7285945</c:v>
                </c:pt>
                <c:pt idx="567" formatCode="_-* #,##0_-;\-* #,##0_-;_-* &quot;-&quot;??_-;_-@_-">
                  <c:v>8584718</c:v>
                </c:pt>
                <c:pt idx="568" formatCode="_-* #,##0_-;\-* #,##0_-;_-* &quot;-&quot;??_-;_-@_-">
                  <c:v>16608209</c:v>
                </c:pt>
                <c:pt idx="569" formatCode="_-* #,##0_-;\-* #,##0_-;_-* &quot;-&quot;??_-;_-@_-">
                  <c:v>10557209</c:v>
                </c:pt>
                <c:pt idx="570" formatCode="_-* #,##0_-;\-* #,##0_-;_-* &quot;-&quot;??_-;_-@_-">
                  <c:v>21087511</c:v>
                </c:pt>
                <c:pt idx="571" formatCode="_-* #,##0_-;\-* #,##0_-;_-* &quot;-&quot;??_-;_-@_-">
                  <c:v>16434249</c:v>
                </c:pt>
                <c:pt idx="572" formatCode="_-* #,##0_-;\-* #,##0_-;_-* &quot;-&quot;??_-;_-@_-">
                  <c:v>10558276</c:v>
                </c:pt>
                <c:pt idx="573" formatCode="_-* #,##0_-;\-* #,##0_-;_-* &quot;-&quot;??_-;_-@_-">
                  <c:v>9253700</c:v>
                </c:pt>
                <c:pt idx="574" formatCode="_-* #,##0_-;\-* #,##0_-;_-* &quot;-&quot;??_-;_-@_-">
                  <c:v>15158583</c:v>
                </c:pt>
                <c:pt idx="575" formatCode="_-* #,##0_-;\-* #,##0_-;_-* &quot;-&quot;??_-;_-@_-">
                  <c:v>5278061</c:v>
                </c:pt>
                <c:pt idx="576" formatCode="_-* #,##0_-;\-* #,##0_-;_-* &quot;-&quot;??_-;_-@_-">
                  <c:v>7616517</c:v>
                </c:pt>
                <c:pt idx="577" formatCode="_-* #,##0_-;\-* #,##0_-;_-* &quot;-&quot;??_-;_-@_-">
                  <c:v>9088396</c:v>
                </c:pt>
                <c:pt idx="578" formatCode="_-* #,##0_-;\-* #,##0_-;_-* &quot;-&quot;??_-;_-@_-">
                  <c:v>13521793</c:v>
                </c:pt>
                <c:pt idx="579" formatCode="_-* #,##0_-;\-* #,##0_-;_-* &quot;-&quot;??_-;_-@_-">
                  <c:v>5994050</c:v>
                </c:pt>
                <c:pt idx="580" formatCode="_-* #,##0_-;\-* #,##0_-;_-* &quot;-&quot;??_-;_-@_-">
                  <c:v>9432539</c:v>
                </c:pt>
                <c:pt idx="581" formatCode="_-* #,##0_-;\-* #,##0_-;_-* &quot;-&quot;??_-;_-@_-">
                  <c:v>9381293</c:v>
                </c:pt>
                <c:pt idx="582" formatCode="_-* #,##0_-;\-* #,##0_-;_-* &quot;-&quot;??_-;_-@_-">
                  <c:v>8438540</c:v>
                </c:pt>
                <c:pt idx="583" formatCode="_-* #,##0_-;\-* #,##0_-;_-* &quot;-&quot;??_-;_-@_-">
                  <c:v>5367220</c:v>
                </c:pt>
                <c:pt idx="584" formatCode="_-* #,##0_-;\-* #,##0_-;_-* &quot;-&quot;??_-;_-@_-">
                  <c:v>13101759</c:v>
                </c:pt>
                <c:pt idx="585" formatCode="_-* #,##0_-;\-* #,##0_-;_-* &quot;-&quot;??_-;_-@_-">
                  <c:v>3985982</c:v>
                </c:pt>
                <c:pt idx="586" formatCode="_-* #,##0_-;\-* #,##0_-;_-* &quot;-&quot;??_-;_-@_-">
                  <c:v>10854196</c:v>
                </c:pt>
                <c:pt idx="587" formatCode="_-* #,##0_-;\-* #,##0_-;_-* &quot;-&quot;??_-;_-@_-">
                  <c:v>12937700</c:v>
                </c:pt>
                <c:pt idx="588" formatCode="_-* #,##0_-;\-* #,##0_-;_-* &quot;-&quot;??_-;_-@_-">
                  <c:v>9420014</c:v>
                </c:pt>
                <c:pt idx="589" formatCode="_-* #,##0_-;\-* #,##0_-;_-* &quot;-&quot;??_-;_-@_-">
                  <c:v>4331493</c:v>
                </c:pt>
                <c:pt idx="590" formatCode="_-* #,##0_-;\-* #,##0_-;_-* &quot;-&quot;??_-;_-@_-">
                  <c:v>2213655</c:v>
                </c:pt>
                <c:pt idx="591" formatCode="_-* #,##0_-;\-* #,##0_-;_-* &quot;-&quot;??_-;_-@_-">
                  <c:v>3034786</c:v>
                </c:pt>
                <c:pt idx="592" formatCode="_-* #,##0_-;\-* #,##0_-;_-* &quot;-&quot;??_-;_-@_-">
                  <c:v>6488437</c:v>
                </c:pt>
                <c:pt idx="593" formatCode="_-* #,##0_-;\-* #,##0_-;_-* &quot;-&quot;??_-;_-@_-">
                  <c:v>5913759</c:v>
                </c:pt>
                <c:pt idx="594" formatCode="_-* #,##0_-;\-* #,##0_-;_-* &quot;-&quot;??_-;_-@_-">
                  <c:v>5118866</c:v>
                </c:pt>
                <c:pt idx="595" formatCode="_-* #,##0_-;\-* #,##0_-;_-* &quot;-&quot;??_-;_-@_-">
                  <c:v>6001324</c:v>
                </c:pt>
                <c:pt idx="596" formatCode="_-* #,##0_-;\-* #,##0_-;_-* &quot;-&quot;??_-;_-@_-">
                  <c:v>2781545</c:v>
                </c:pt>
                <c:pt idx="597" formatCode="_-* #,##0_-;\-* #,##0_-;_-* &quot;-&quot;??_-;_-@_-">
                  <c:v>1677070</c:v>
                </c:pt>
                <c:pt idx="598" formatCode="_-* #,##0_-;\-* #,##0_-;_-* &quot;-&quot;??_-;_-@_-">
                  <c:v>8600149</c:v>
                </c:pt>
                <c:pt idx="599" formatCode="_-* #,##0_-;\-* #,##0_-;_-* &quot;-&quot;??_-;_-@_-">
                  <c:v>6603888</c:v>
                </c:pt>
                <c:pt idx="600" formatCode="_-* #,##0_-;\-* #,##0_-;_-* &quot;-&quot;??_-;_-@_-">
                  <c:v>10159120</c:v>
                </c:pt>
                <c:pt idx="601" formatCode="_-* #,##0_-;\-* #,##0_-;_-* &quot;-&quot;??_-;_-@_-">
                  <c:v>4488259</c:v>
                </c:pt>
                <c:pt idx="602" formatCode="_-* #,##0_-;\-* #,##0_-;_-* &quot;-&quot;??_-;_-@_-">
                  <c:v>5913722</c:v>
                </c:pt>
                <c:pt idx="603" formatCode="_-* #,##0_-;\-* #,##0_-;_-* &quot;-&quot;??_-;_-@_-">
                  <c:v>3386876</c:v>
                </c:pt>
                <c:pt idx="604" formatCode="_-* #,##0_-;\-* #,##0_-;_-* &quot;-&quot;??_-;_-@_-">
                  <c:v>2504518</c:v>
                </c:pt>
                <c:pt idx="605" formatCode="_-* #,##0_-;\-* #,##0_-;_-* &quot;-&quot;??_-;_-@_-">
                  <c:v>9727332</c:v>
                </c:pt>
                <c:pt idx="606" formatCode="_-* #,##0_-;\-* #,##0_-;_-* &quot;-&quot;??_-;_-@_-">
                  <c:v>3968643</c:v>
                </c:pt>
                <c:pt idx="607" formatCode="_-* #,##0_-;\-* #,##0_-;_-* &quot;-&quot;??_-;_-@_-">
                  <c:v>5227744</c:v>
                </c:pt>
                <c:pt idx="608" formatCode="_-* #,##0_-;\-* #,##0_-;_-* &quot;-&quot;??_-;_-@_-">
                  <c:v>1956722</c:v>
                </c:pt>
                <c:pt idx="609" formatCode="_-* #,##0_-;\-* #,##0_-;_-* &quot;-&quot;??_-;_-@_-">
                  <c:v>5766770</c:v>
                </c:pt>
                <c:pt idx="610" formatCode="_-* #,##0_-;\-* #,##0_-;_-* &quot;-&quot;??_-;_-@_-">
                  <c:v>1573062</c:v>
                </c:pt>
                <c:pt idx="611" formatCode="_-* #,##0_-;\-* #,##0_-;_-* &quot;-&quot;??_-;_-@_-">
                  <c:v>1783480</c:v>
                </c:pt>
                <c:pt idx="612" formatCode="_-* #,##0_-;\-* #,##0_-;_-* &quot;-&quot;??_-;_-@_-">
                  <c:v>5589488</c:v>
                </c:pt>
                <c:pt idx="613" formatCode="_-* #,##0_-;\-* #,##0_-;_-* &quot;-&quot;??_-;_-@_-">
                  <c:v>8515198</c:v>
                </c:pt>
                <c:pt idx="614" formatCode="_-* #,##0_-;\-* #,##0_-;_-* &quot;-&quot;??_-;_-@_-">
                  <c:v>3829580</c:v>
                </c:pt>
                <c:pt idx="615" formatCode="_-* #,##0_-;\-* #,##0_-;_-* &quot;-&quot;??_-;_-@_-">
                  <c:v>5586958</c:v>
                </c:pt>
                <c:pt idx="616" formatCode="_-* #,##0_-;\-* #,##0_-;_-* &quot;-&quot;??_-;_-@_-">
                  <c:v>3768309</c:v>
                </c:pt>
                <c:pt idx="617" formatCode="_-* #,##0_-;\-* #,##0_-;_-* &quot;-&quot;??_-;_-@_-">
                  <c:v>6505875</c:v>
                </c:pt>
                <c:pt idx="618" formatCode="_-* #,##0_-;\-* #,##0_-;_-* &quot;-&quot;??_-;_-@_-">
                  <c:v>3230766</c:v>
                </c:pt>
                <c:pt idx="619" formatCode="_-* #,##0_-;\-* #,##0_-;_-* &quot;-&quot;??_-;_-@_-">
                  <c:v>4351508</c:v>
                </c:pt>
                <c:pt idx="620" formatCode="_-* #,##0_-;\-* #,##0_-;_-* &quot;-&quot;??_-;_-@_-">
                  <c:v>9382073</c:v>
                </c:pt>
                <c:pt idx="621" formatCode="_-* #,##0_-;\-* #,##0_-;_-* &quot;-&quot;??_-;_-@_-">
                  <c:v>5643778</c:v>
                </c:pt>
                <c:pt idx="622" formatCode="_-* #,##0_-;\-* #,##0_-;_-* &quot;-&quot;??_-;_-@_-">
                  <c:v>9435807</c:v>
                </c:pt>
                <c:pt idx="623" formatCode="_-* #,##0_-;\-* #,##0_-;_-* &quot;-&quot;??_-;_-@_-">
                  <c:v>10476750</c:v>
                </c:pt>
                <c:pt idx="624" formatCode="_-* #,##0_-;\-* #,##0_-;_-* &quot;-&quot;??_-;_-@_-">
                  <c:v>8767248</c:v>
                </c:pt>
                <c:pt idx="625" formatCode="_-* #,##0_-;\-* #,##0_-;_-* &quot;-&quot;??_-;_-@_-">
                  <c:v>4292541</c:v>
                </c:pt>
                <c:pt idx="626" formatCode="_-* #,##0_-;\-* #,##0_-;_-* &quot;-&quot;??_-;_-@_-">
                  <c:v>16717383</c:v>
                </c:pt>
                <c:pt idx="627" formatCode="_-* #,##0_-;\-* #,##0_-;_-* &quot;-&quot;??_-;_-@_-">
                  <c:v>7759530</c:v>
                </c:pt>
                <c:pt idx="628" formatCode="_-* #,##0_-;\-* #,##0_-;_-* &quot;-&quot;??_-;_-@_-">
                  <c:v>6281763</c:v>
                </c:pt>
                <c:pt idx="629" formatCode="_-* #,##0_-;\-* #,##0_-;_-* &quot;-&quot;??_-;_-@_-">
                  <c:v>10960614</c:v>
                </c:pt>
                <c:pt idx="630" formatCode="_-* #,##0_-;\-* #,##0_-;_-* &quot;-&quot;??_-;_-@_-">
                  <c:v>13685100</c:v>
                </c:pt>
                <c:pt idx="631" formatCode="_-* #,##0_-;\-* #,##0_-;_-* &quot;-&quot;??_-;_-@_-">
                  <c:v>8373227</c:v>
                </c:pt>
                <c:pt idx="632" formatCode="_-* #,##0_-;\-* #,##0_-;_-* &quot;-&quot;??_-;_-@_-">
                  <c:v>2789335</c:v>
                </c:pt>
                <c:pt idx="633" formatCode="_-* #,##0_-;\-* #,##0_-;_-* &quot;-&quot;??_-;_-@_-">
                  <c:v>14065741</c:v>
                </c:pt>
                <c:pt idx="634" formatCode="_-* #,##0_-;\-* #,##0_-;_-* &quot;-&quot;??_-;_-@_-">
                  <c:v>8008929</c:v>
                </c:pt>
                <c:pt idx="635" formatCode="_-* #,##0_-;\-* #,##0_-;_-* &quot;-&quot;??_-;_-@_-">
                  <c:v>15037858</c:v>
                </c:pt>
                <c:pt idx="636" formatCode="_-* #,##0_-;\-* #,##0_-;_-* &quot;-&quot;??_-;_-@_-">
                  <c:v>16525414</c:v>
                </c:pt>
                <c:pt idx="637" formatCode="_-* #,##0_-;\-* #,##0_-;_-* &quot;-&quot;??_-;_-@_-">
                  <c:v>8742997</c:v>
                </c:pt>
                <c:pt idx="638" formatCode="_-* #,##0_-;\-* #,##0_-;_-* &quot;-&quot;??_-;_-@_-">
                  <c:v>8942979</c:v>
                </c:pt>
                <c:pt idx="639" formatCode="_-* #,##0_-;\-* #,##0_-;_-* &quot;-&quot;??_-;_-@_-">
                  <c:v>3856550</c:v>
                </c:pt>
                <c:pt idx="640" formatCode="_-* #,##0_-;\-* #,##0_-;_-* &quot;-&quot;??_-;_-@_-">
                  <c:v>9713414</c:v>
                </c:pt>
                <c:pt idx="641" formatCode="_-* #,##0_-;\-* #,##0_-;_-* &quot;-&quot;??_-;_-@_-">
                  <c:v>11872288</c:v>
                </c:pt>
                <c:pt idx="642" formatCode="_-* #,##0_-;\-* #,##0_-;_-* &quot;-&quot;??_-;_-@_-">
                  <c:v>7643323</c:v>
                </c:pt>
                <c:pt idx="643" formatCode="_-* #,##0_-;\-* #,##0_-;_-* &quot;-&quot;??_-;_-@_-">
                  <c:v>6931274</c:v>
                </c:pt>
                <c:pt idx="644" formatCode="_-* #,##0_-;\-* #,##0_-;_-* &quot;-&quot;??_-;_-@_-">
                  <c:v>6508528</c:v>
                </c:pt>
                <c:pt idx="645" formatCode="_-* #,##0_-;\-* #,##0_-;_-* &quot;-&quot;??_-;_-@_-">
                  <c:v>6406839</c:v>
                </c:pt>
                <c:pt idx="646" formatCode="_-* #,##0_-;\-* #,##0_-;_-* &quot;-&quot;??_-;_-@_-">
                  <c:v>1302671</c:v>
                </c:pt>
                <c:pt idx="647" formatCode="_-* #,##0_-;\-* #,##0_-;_-* &quot;-&quot;??_-;_-@_-">
                  <c:v>8795040</c:v>
                </c:pt>
                <c:pt idx="648" formatCode="_-* #,##0_-;\-* #,##0_-;_-* &quot;-&quot;??_-;_-@_-">
                  <c:v>5501025</c:v>
                </c:pt>
                <c:pt idx="649" formatCode="_-* #,##0_-;\-* #,##0_-;_-* &quot;-&quot;??_-;_-@_-">
                  <c:v>8778736</c:v>
                </c:pt>
                <c:pt idx="650" formatCode="_-* #,##0_-;\-* #,##0_-;_-* &quot;-&quot;??_-;_-@_-">
                  <c:v>4543898</c:v>
                </c:pt>
                <c:pt idx="651" formatCode="_-* #,##0_-;\-* #,##0_-;_-* &quot;-&quot;??_-;_-@_-">
                  <c:v>2083260</c:v>
                </c:pt>
                <c:pt idx="652" formatCode="_-* #,##0_-;\-* #,##0_-;_-* &quot;-&quot;??_-;_-@_-">
                  <c:v>4786587</c:v>
                </c:pt>
                <c:pt idx="653" formatCode="_-* #,##0_-;\-* #,##0_-;_-* &quot;-&quot;??_-;_-@_-">
                  <c:v>4348786</c:v>
                </c:pt>
                <c:pt idx="654" formatCode="_-* #,##0_-;\-* #,##0_-;_-* &quot;-&quot;??_-;_-@_-">
                  <c:v>8666192</c:v>
                </c:pt>
                <c:pt idx="655" formatCode="_-* #,##0_-;\-* #,##0_-;_-* &quot;-&quot;??_-;_-@_-">
                  <c:v>4579167</c:v>
                </c:pt>
                <c:pt idx="656" formatCode="_-* #,##0_-;\-* #,##0_-;_-* &quot;-&quot;??_-;_-@_-">
                  <c:v>3207640</c:v>
                </c:pt>
                <c:pt idx="657" formatCode="_-* #,##0_-;\-* #,##0_-;_-* &quot;-&quot;??_-;_-@_-">
                  <c:v>4190262</c:v>
                </c:pt>
                <c:pt idx="658" formatCode="_-* #,##0_-;\-* #,##0_-;_-* &quot;-&quot;??_-;_-@_-">
                  <c:v>4968297</c:v>
                </c:pt>
                <c:pt idx="659" formatCode="_-* #,##0_-;\-* #,##0_-;_-* &quot;-&quot;??_-;_-@_-">
                  <c:v>7099659</c:v>
                </c:pt>
                <c:pt idx="660" formatCode="_-* #,##0_-;\-* #,##0_-;_-* &quot;-&quot;??_-;_-@_-">
                  <c:v>2725120</c:v>
                </c:pt>
                <c:pt idx="661" formatCode="_-* #,##0_-;\-* #,##0_-;_-* &quot;-&quot;??_-;_-@_-">
                  <c:v>7924947</c:v>
                </c:pt>
                <c:pt idx="662" formatCode="_-* #,##0_-;\-* #,##0_-;_-* &quot;-&quot;??_-;_-@_-">
                  <c:v>2249980</c:v>
                </c:pt>
                <c:pt idx="663" formatCode="_-* #,##0_-;\-* #,##0_-;_-* &quot;-&quot;??_-;_-@_-">
                  <c:v>7314611</c:v>
                </c:pt>
                <c:pt idx="664" formatCode="_-* #,##0_-;\-* #,##0_-;_-* &quot;-&quot;??_-;_-@_-">
                  <c:v>8950510</c:v>
                </c:pt>
                <c:pt idx="665" formatCode="_-* #,##0_-;\-* #,##0_-;_-* &quot;-&quot;??_-;_-@_-">
                  <c:v>6420261</c:v>
                </c:pt>
                <c:pt idx="666" formatCode="_-* #,##0_-;\-* #,##0_-;_-* &quot;-&quot;??_-;_-@_-">
                  <c:v>3828760</c:v>
                </c:pt>
                <c:pt idx="667" formatCode="_-* #,##0_-;\-* #,##0_-;_-* &quot;-&quot;??_-;_-@_-">
                  <c:v>2192914</c:v>
                </c:pt>
                <c:pt idx="668" formatCode="_-* #,##0_-;\-* #,##0_-;_-* &quot;-&quot;??_-;_-@_-">
                  <c:v>6528130</c:v>
                </c:pt>
                <c:pt idx="669" formatCode="_-* #,##0_-;\-* #,##0_-;_-* &quot;-&quot;??_-;_-@_-">
                  <c:v>3268274</c:v>
                </c:pt>
                <c:pt idx="670" formatCode="_-* #,##0_-;\-* #,##0_-;_-* &quot;-&quot;??_-;_-@_-">
                  <c:v>8742636</c:v>
                </c:pt>
                <c:pt idx="671" formatCode="_-* #,##0_-;\-* #,##0_-;_-* &quot;-&quot;??_-;_-@_-">
                  <c:v>7824774</c:v>
                </c:pt>
                <c:pt idx="672" formatCode="_-* #,##0_-;\-* #,##0_-;_-* &quot;-&quot;??_-;_-@_-">
                  <c:v>1793625</c:v>
                </c:pt>
                <c:pt idx="673" formatCode="_-* #,##0_-;\-* #,##0_-;_-* &quot;-&quot;??_-;_-@_-">
                  <c:v>5920587</c:v>
                </c:pt>
                <c:pt idx="674" formatCode="_-* #,##0_-;\-* #,##0_-;_-* &quot;-&quot;??_-;_-@_-">
                  <c:v>2861835</c:v>
                </c:pt>
                <c:pt idx="675" formatCode="_-* #,##0_-;\-* #,##0_-;_-* &quot;-&quot;??_-;_-@_-">
                  <c:v>5533000</c:v>
                </c:pt>
                <c:pt idx="676" formatCode="_-* #,##0_-;\-* #,##0_-;_-* &quot;-&quot;??_-;_-@_-">
                  <c:v>7342802</c:v>
                </c:pt>
                <c:pt idx="677" formatCode="_-* #,##0_-;\-* #,##0_-;_-* &quot;-&quot;??_-;_-@_-">
                  <c:v>2884877</c:v>
                </c:pt>
                <c:pt idx="678" formatCode="_-* #,##0_-;\-* #,##0_-;_-* &quot;-&quot;??_-;_-@_-">
                  <c:v>6285940</c:v>
                </c:pt>
                <c:pt idx="679" formatCode="_-* #,##0_-;\-* #,##0_-;_-* &quot;-&quot;??_-;_-@_-">
                  <c:v>3657640</c:v>
                </c:pt>
                <c:pt idx="680" formatCode="_-* #,##0_-;\-* #,##0_-;_-* &quot;-&quot;??_-;_-@_-">
                  <c:v>4080369</c:v>
                </c:pt>
                <c:pt idx="681" formatCode="_-* #,##0_-;\-* #,##0_-;_-* &quot;-&quot;??_-;_-@_-">
                  <c:v>3624414</c:v>
                </c:pt>
                <c:pt idx="682" formatCode="_-* #,##0_-;\-* #,##0_-;_-* &quot;-&quot;??_-;_-@_-">
                  <c:v>5009978</c:v>
                </c:pt>
                <c:pt idx="683" formatCode="_-* #,##0_-;\-* #,##0_-;_-* &quot;-&quot;??_-;_-@_-">
                  <c:v>6284568</c:v>
                </c:pt>
                <c:pt idx="684" formatCode="_-* #,##0_-;\-* #,##0_-;_-* &quot;-&quot;??_-;_-@_-">
                  <c:v>6023155</c:v>
                </c:pt>
                <c:pt idx="685" formatCode="_-* #,##0_-;\-* #,##0_-;_-* &quot;-&quot;??_-;_-@_-">
                  <c:v>11576154</c:v>
                </c:pt>
                <c:pt idx="686" formatCode="_-* #,##0_-;\-* #,##0_-;_-* &quot;-&quot;??_-;_-@_-">
                  <c:v>9859702</c:v>
                </c:pt>
                <c:pt idx="687" formatCode="_-* #,##0_-;\-* #,##0_-;_-* &quot;-&quot;??_-;_-@_-">
                  <c:v>9222085</c:v>
                </c:pt>
                <c:pt idx="688" formatCode="_-* #,##0_-;\-* #,##0_-;_-* &quot;-&quot;??_-;_-@_-">
                  <c:v>4707890</c:v>
                </c:pt>
                <c:pt idx="689" formatCode="_-* #,##0_-;\-* #,##0_-;_-* &quot;-&quot;??_-;_-@_-">
                  <c:v>10626928</c:v>
                </c:pt>
                <c:pt idx="690" formatCode="_-* #,##0_-;\-* #,##0_-;_-* &quot;-&quot;??_-;_-@_-">
                  <c:v>10086530</c:v>
                </c:pt>
                <c:pt idx="691" formatCode="_-* #,##0_-;\-* #,##0_-;_-* &quot;-&quot;??_-;_-@_-">
                  <c:v>7751538</c:v>
                </c:pt>
                <c:pt idx="692" formatCode="_-* #,##0_-;\-* #,##0_-;_-* &quot;-&quot;??_-;_-@_-">
                  <c:v>7876866</c:v>
                </c:pt>
                <c:pt idx="693" formatCode="_-* #,##0_-;\-* #,##0_-;_-* &quot;-&quot;??_-;_-@_-">
                  <c:v>10851414</c:v>
                </c:pt>
                <c:pt idx="694" formatCode="_-* #,##0_-;\-* #,##0_-;_-* &quot;-&quot;??_-;_-@_-">
                  <c:v>9957621</c:v>
                </c:pt>
                <c:pt idx="695" formatCode="_-* #,##0_-;\-* #,##0_-;_-* &quot;-&quot;??_-;_-@_-">
                  <c:v>3855400</c:v>
                </c:pt>
                <c:pt idx="696" formatCode="_-* #,##0_-;\-* #,##0_-;_-* &quot;-&quot;??_-;_-@_-">
                  <c:v>6191667</c:v>
                </c:pt>
                <c:pt idx="697" formatCode="_-* #,##0_-;\-* #,##0_-;_-* &quot;-&quot;??_-;_-@_-">
                  <c:v>7166828</c:v>
                </c:pt>
                <c:pt idx="698" formatCode="_-* #,##0_-;\-* #,##0_-;_-* &quot;-&quot;??_-;_-@_-">
                  <c:v>4118722</c:v>
                </c:pt>
                <c:pt idx="699" formatCode="_-* #,##0_-;\-* #,##0_-;_-* &quot;-&quot;??_-;_-@_-">
                  <c:v>4209596</c:v>
                </c:pt>
                <c:pt idx="700" formatCode="_-* #,##0_-;\-* #,##0_-;_-* &quot;-&quot;??_-;_-@_-">
                  <c:v>1937595</c:v>
                </c:pt>
                <c:pt idx="701" formatCode="_-* #,##0_-;\-* #,##0_-;_-* &quot;-&quot;??_-;_-@_-">
                  <c:v>7232994</c:v>
                </c:pt>
                <c:pt idx="702" formatCode="_-* #,##0_-;\-* #,##0_-;_-* &quot;-&quot;??_-;_-@_-">
                  <c:v>4467131</c:v>
                </c:pt>
                <c:pt idx="703" formatCode="_-* #,##0_-;\-* #,##0_-;_-* &quot;-&quot;??_-;_-@_-">
                  <c:v>3708391</c:v>
                </c:pt>
                <c:pt idx="704" formatCode="_-* #,##0_-;\-* #,##0_-;_-* &quot;-&quot;??_-;_-@_-">
                  <c:v>6021385</c:v>
                </c:pt>
                <c:pt idx="705" formatCode="_-* #,##0_-;\-* #,##0_-;_-* &quot;-&quot;??_-;_-@_-">
                  <c:v>4869655</c:v>
                </c:pt>
                <c:pt idx="706" formatCode="_-* #,##0_-;\-* #,##0_-;_-* &quot;-&quot;??_-;_-@_-">
                  <c:v>5614001</c:v>
                </c:pt>
                <c:pt idx="707" formatCode="_-* #,##0_-;\-* #,##0_-;_-* &quot;-&quot;??_-;_-@_-">
                  <c:v>7310078</c:v>
                </c:pt>
                <c:pt idx="708" formatCode="_-* #,##0_-;\-* #,##0_-;_-* &quot;-&quot;??_-;_-@_-">
                  <c:v>3774270</c:v>
                </c:pt>
                <c:pt idx="709" formatCode="_-* #,##0_-;\-* #,##0_-;_-* &quot;-&quot;??_-;_-@_-">
                  <c:v>3608050</c:v>
                </c:pt>
                <c:pt idx="710" formatCode="_-* #,##0_-;\-* #,##0_-;_-* &quot;-&quot;??_-;_-@_-">
                  <c:v>9001350</c:v>
                </c:pt>
                <c:pt idx="711" formatCode="_-* #,##0_-;\-* #,##0_-;_-* &quot;-&quot;??_-;_-@_-">
                  <c:v>8519806</c:v>
                </c:pt>
                <c:pt idx="712" formatCode="_-* #,##0_-;\-* #,##0_-;_-* &quot;-&quot;??_-;_-@_-">
                  <c:v>7786078</c:v>
                </c:pt>
                <c:pt idx="713" formatCode="_-* #,##0_-;\-* #,##0_-;_-* &quot;-&quot;??_-;_-@_-">
                  <c:v>7073376</c:v>
                </c:pt>
                <c:pt idx="714" formatCode="_-* #,##0_-;\-* #,##0_-;_-* &quot;-&quot;??_-;_-@_-">
                  <c:v>9067882</c:v>
                </c:pt>
                <c:pt idx="715" formatCode="_-* #,##0_-;\-* #,##0_-;_-* &quot;-&quot;??_-;_-@_-">
                  <c:v>7533150</c:v>
                </c:pt>
                <c:pt idx="716" formatCode="_-* #,##0_-;\-* #,##0_-;_-* &quot;-&quot;??_-;_-@_-">
                  <c:v>5522025</c:v>
                </c:pt>
                <c:pt idx="717" formatCode="_-* #,##0_-;\-* #,##0_-;_-* &quot;-&quot;??_-;_-@_-">
                  <c:v>8808715</c:v>
                </c:pt>
                <c:pt idx="718" formatCode="_-* #,##0_-;\-* #,##0_-;_-* &quot;-&quot;??_-;_-@_-">
                  <c:v>6278099</c:v>
                </c:pt>
                <c:pt idx="719" formatCode="_-* #,##0_-;\-* #,##0_-;_-* &quot;-&quot;??_-;_-@_-">
                  <c:v>9009774</c:v>
                </c:pt>
                <c:pt idx="720" formatCode="_-* #,##0_-;\-* #,##0_-;_-* &quot;-&quot;??_-;_-@_-">
                  <c:v>11584229</c:v>
                </c:pt>
                <c:pt idx="721" formatCode="_-* #,##0_-;\-* #,##0_-;_-* &quot;-&quot;??_-;_-@_-">
                  <c:v>12791682</c:v>
                </c:pt>
                <c:pt idx="722" formatCode="_-* #,##0_-;\-* #,##0_-;_-* &quot;-&quot;??_-;_-@_-">
                  <c:v>11989684</c:v>
                </c:pt>
                <c:pt idx="723" formatCode="_-* #,##0_-;\-* #,##0_-;_-* &quot;-&quot;??_-;_-@_-">
                  <c:v>6520399</c:v>
                </c:pt>
                <c:pt idx="724" formatCode="_-* #,##0_-;\-* #,##0_-;_-* &quot;-&quot;??_-;_-@_-">
                  <c:v>7162456</c:v>
                </c:pt>
                <c:pt idx="725" formatCode="_-* #,##0_-;\-* #,##0_-;_-* &quot;-&quot;??_-;_-@_-">
                  <c:v>19858830</c:v>
                </c:pt>
                <c:pt idx="726" formatCode="_-* #,##0_-;\-* #,##0_-;_-* &quot;-&quot;??_-;_-@_-">
                  <c:v>18132571</c:v>
                </c:pt>
                <c:pt idx="727" formatCode="_-* #,##0_-;\-* #,##0_-;_-* &quot;-&quot;??_-;_-@_-">
                  <c:v>6094206</c:v>
                </c:pt>
                <c:pt idx="728" formatCode="_-* #,##0_-;\-* #,##0_-;_-* &quot;-&quot;??_-;_-@_-">
                  <c:v>9153248</c:v>
                </c:pt>
                <c:pt idx="729" formatCode="_-* #,##0_-;\-* #,##0_-;_-* &quot;-&quot;??_-;_-@_-">
                  <c:v>8571503</c:v>
                </c:pt>
                <c:pt idx="730" formatCode="_-* #,##0_-;\-* #,##0_-;_-* &quot;-&quot;??_-;_-@_-">
                  <c:v>6577399</c:v>
                </c:pt>
                <c:pt idx="731" formatCode="_-* #,##0_-;\-* #,##0_-;_-* &quot;-&quot;??_-;_-@_-">
                  <c:v>6145510</c:v>
                </c:pt>
                <c:pt idx="732" formatCode="_-* #,##0_-;\-* #,##0_-;_-* &quot;-&quot;??_-;_-@_-">
                  <c:v>1299320</c:v>
                </c:pt>
                <c:pt idx="733" formatCode="_-* #,##0_-;\-* #,##0_-;_-* &quot;-&quot;??_-;_-@_-">
                  <c:v>19525892</c:v>
                </c:pt>
                <c:pt idx="734" formatCode="_-* #,##0_-;\-* #,##0_-;_-* &quot;-&quot;??_-;_-@_-">
                  <c:v>2348863</c:v>
                </c:pt>
                <c:pt idx="735" formatCode="_-* #,##0_-;\-* #,##0_-;_-* &quot;-&quot;??_-;_-@_-">
                  <c:v>11937250</c:v>
                </c:pt>
                <c:pt idx="736" formatCode="_-* #,##0_-;\-* #,##0_-;_-* &quot;-&quot;??_-;_-@_-">
                  <c:v>9982060</c:v>
                </c:pt>
                <c:pt idx="737" formatCode="_-* #,##0_-;\-* #,##0_-;_-* &quot;-&quot;??_-;_-@_-">
                  <c:v>11101884</c:v>
                </c:pt>
                <c:pt idx="738" formatCode="_-* #,##0_-;\-* #,##0_-;_-* &quot;-&quot;??_-;_-@_-">
                  <c:v>18423802</c:v>
                </c:pt>
                <c:pt idx="739" formatCode="_-* #,##0_-;\-* #,##0_-;_-* &quot;-&quot;??_-;_-@_-">
                  <c:v>10235427</c:v>
                </c:pt>
                <c:pt idx="740" formatCode="_-* #,##0_-;\-* #,##0_-;_-* &quot;-&quot;??_-;_-@_-">
                  <c:v>15376338</c:v>
                </c:pt>
                <c:pt idx="741" formatCode="_-* #,##0_-;\-* #,##0_-;_-* &quot;-&quot;??_-;_-@_-">
                  <c:v>20364675</c:v>
                </c:pt>
                <c:pt idx="742" formatCode="_-* #,##0_-;\-* #,##0_-;_-* &quot;-&quot;??_-;_-@_-">
                  <c:v>11853698</c:v>
                </c:pt>
                <c:pt idx="743" formatCode="_-* #,##0_-;\-* #,##0_-;_-* &quot;-&quot;??_-;_-@_-">
                  <c:v>5794808</c:v>
                </c:pt>
                <c:pt idx="744" formatCode="_-* #,##0_-;\-* #,##0_-;_-* &quot;-&quot;??_-;_-@_-">
                  <c:v>5449820</c:v>
                </c:pt>
                <c:pt idx="745" formatCode="_-* #,##0_-;\-* #,##0_-;_-* &quot;-&quot;??_-;_-@_-">
                  <c:v>12295064</c:v>
                </c:pt>
                <c:pt idx="746" formatCode="_-* #,##0_-;\-* #,##0_-;_-* &quot;-&quot;??_-;_-@_-">
                  <c:v>13189568</c:v>
                </c:pt>
                <c:pt idx="747" formatCode="_-* #,##0_-;\-* #,##0_-;_-* &quot;-&quot;??_-;_-@_-">
                  <c:v>6429450</c:v>
                </c:pt>
                <c:pt idx="748" formatCode="_-* #,##0_-;\-* #,##0_-;_-* &quot;-&quot;??_-;_-@_-">
                  <c:v>3673186</c:v>
                </c:pt>
                <c:pt idx="749" formatCode="_-* #,##0_-;\-* #,##0_-;_-* &quot;-&quot;??_-;_-@_-">
                  <c:v>2256943</c:v>
                </c:pt>
                <c:pt idx="750" formatCode="_-* #,##0_-;\-* #,##0_-;_-* &quot;-&quot;??_-;_-@_-">
                  <c:v>6875151</c:v>
                </c:pt>
                <c:pt idx="751" formatCode="_-* #,##0_-;\-* #,##0_-;_-* &quot;-&quot;??_-;_-@_-">
                  <c:v>9196092</c:v>
                </c:pt>
                <c:pt idx="752" formatCode="_-* #,##0_-;\-* #,##0_-;_-* &quot;-&quot;??_-;_-@_-">
                  <c:v>8303690</c:v>
                </c:pt>
                <c:pt idx="753" formatCode="_-* #,##0_-;\-* #,##0_-;_-* &quot;-&quot;??_-;_-@_-">
                  <c:v>7531779</c:v>
                </c:pt>
                <c:pt idx="754" formatCode="_-* #,##0_-;\-* #,##0_-;_-* &quot;-&quot;??_-;_-@_-">
                  <c:v>12053616</c:v>
                </c:pt>
                <c:pt idx="755" formatCode="_-* #,##0_-;\-* #,##0_-;_-* &quot;-&quot;??_-;_-@_-">
                  <c:v>5876359</c:v>
                </c:pt>
                <c:pt idx="756" formatCode="_-* #,##0_-;\-* #,##0_-;_-* &quot;-&quot;??_-;_-@_-">
                  <c:v>6850498</c:v>
                </c:pt>
                <c:pt idx="757" formatCode="_-* #,##0_-;\-* #,##0_-;_-* &quot;-&quot;??_-;_-@_-">
                  <c:v>5811296</c:v>
                </c:pt>
                <c:pt idx="758" formatCode="_-* #,##0_-;\-* #,##0_-;_-* &quot;-&quot;??_-;_-@_-">
                  <c:v>3730229</c:v>
                </c:pt>
                <c:pt idx="759" formatCode="_-* #,##0_-;\-* #,##0_-;_-* &quot;-&quot;??_-;_-@_-">
                  <c:v>3908045</c:v>
                </c:pt>
                <c:pt idx="760" formatCode="_-* #,##0_-;\-* #,##0_-;_-* &quot;-&quot;??_-;_-@_-">
                  <c:v>14493929</c:v>
                </c:pt>
                <c:pt idx="761" formatCode="_-* #,##0_-;\-* #,##0_-;_-* &quot;-&quot;??_-;_-@_-">
                  <c:v>4619196</c:v>
                </c:pt>
                <c:pt idx="762" formatCode="_-* #,##0_-;\-* #,##0_-;_-* &quot;-&quot;??_-;_-@_-">
                  <c:v>4496143</c:v>
                </c:pt>
                <c:pt idx="763" formatCode="_-* #,##0_-;\-* #,##0_-;_-* &quot;-&quot;??_-;_-@_-">
                  <c:v>9440745</c:v>
                </c:pt>
                <c:pt idx="764" formatCode="_-* #,##0_-;\-* #,##0_-;_-* &quot;-&quot;??_-;_-@_-">
                  <c:v>2784402</c:v>
                </c:pt>
                <c:pt idx="765" formatCode="_-* #,##0_-;\-* #,##0_-;_-* &quot;-&quot;??_-;_-@_-">
                  <c:v>3786065</c:v>
                </c:pt>
                <c:pt idx="766" formatCode="_-* #,##0_-;\-* #,##0_-;_-* &quot;-&quot;??_-;_-@_-">
                  <c:v>16978908</c:v>
                </c:pt>
                <c:pt idx="789" formatCode="_-* #,##0_-;\-* #,##0_-;_-* &quot;-&quot;??_-;_-@_-">
                  <c:v>8789154</c:v>
                </c:pt>
                <c:pt idx="790" formatCode="_-* #,##0_-;\-* #,##0_-;_-* &quot;-&quot;??_-;_-@_-">
                  <c:v>11725881</c:v>
                </c:pt>
                <c:pt idx="798" formatCode="_-* #,##0_-;\-* #,##0_-;_-* &quot;-&quot;??_-;_-@_-">
                  <c:v>10730571</c:v>
                </c:pt>
                <c:pt idx="799" formatCode="_-* #,##0_-;\-* #,##0_-;_-* &quot;-&quot;??_-;_-@_-">
                  <c:v>6125878</c:v>
                </c:pt>
                <c:pt idx="800" formatCode="_-* #,##0_-;\-* #,##0_-;_-* &quot;-&quot;??_-;_-@_-">
                  <c:v>1825107</c:v>
                </c:pt>
                <c:pt idx="803" formatCode="_-* #,##0_-;\-* #,##0_-;_-* &quot;-&quot;??_-;_-@_-">
                  <c:v>5028602</c:v>
                </c:pt>
                <c:pt idx="804" formatCode="_-* #,##0_-;\-* #,##0_-;_-* &quot;-&quot;??_-;_-@_-">
                  <c:v>10226327</c:v>
                </c:pt>
                <c:pt idx="805" formatCode="_-* #,##0_-;\-* #,##0_-;_-* &quot;-&quot;??_-;_-@_-">
                  <c:v>17167096</c:v>
                </c:pt>
                <c:pt idx="806" formatCode="_-* #,##0_-;\-* #,##0_-;_-* &quot;-&quot;??_-;_-@_-">
                  <c:v>8130811</c:v>
                </c:pt>
                <c:pt idx="807" formatCode="_-* #,##0_-;\-* #,##0_-;_-* &quot;-&quot;??_-;_-@_-">
                  <c:v>3050788</c:v>
                </c:pt>
                <c:pt idx="808" formatCode="_-* #,##0_-;\-* #,##0_-;_-* &quot;-&quot;??_-;_-@_-">
                  <c:v>11876810</c:v>
                </c:pt>
                <c:pt idx="809" formatCode="_-* #,##0_-;\-* #,##0_-;_-* &quot;-&quot;??_-;_-@_-">
                  <c:v>7148981</c:v>
                </c:pt>
                <c:pt idx="810" formatCode="_-* #,##0_-;\-* #,##0_-;_-* &quot;-&quot;??_-;_-@_-">
                  <c:v>12964083</c:v>
                </c:pt>
                <c:pt idx="811" formatCode="_-* #,##0_-;\-* #,##0_-;_-* &quot;-&quot;??_-;_-@_-">
                  <c:v>7698627</c:v>
                </c:pt>
                <c:pt idx="812" formatCode="_-* #,##0_-;\-* #,##0_-;_-* &quot;-&quot;??_-;_-@_-">
                  <c:v>12965615</c:v>
                </c:pt>
                <c:pt idx="813" formatCode="_-* #,##0_-;\-* #,##0_-;_-* &quot;-&quot;??_-;_-@_-">
                  <c:v>6059278</c:v>
                </c:pt>
                <c:pt idx="814" formatCode="_-* #,##0_-;\-* #,##0_-;_-* &quot;-&quot;??_-;_-@_-">
                  <c:v>3532848</c:v>
                </c:pt>
                <c:pt idx="815" formatCode="_-* #,##0_-;\-* #,##0_-;_-* &quot;-&quot;??_-;_-@_-">
                  <c:v>15745643</c:v>
                </c:pt>
                <c:pt idx="816" formatCode="_-* #,##0_-;\-* #,##0_-;_-* &quot;-&quot;??_-;_-@_-">
                  <c:v>7914111</c:v>
                </c:pt>
                <c:pt idx="817" formatCode="_-* #,##0_-;\-* #,##0_-;_-* &quot;-&quot;??_-;_-@_-">
                  <c:v>11937177</c:v>
                </c:pt>
                <c:pt idx="818" formatCode="_-* #,##0_-;\-* #,##0_-;_-* &quot;-&quot;??_-;_-@_-">
                  <c:v>14038709</c:v>
                </c:pt>
                <c:pt idx="819" formatCode="_-* #,##0_-;\-* #,##0_-;_-* &quot;-&quot;??_-;_-@_-">
                  <c:v>8055085</c:v>
                </c:pt>
                <c:pt idx="820" formatCode="_-* #,##0_-;\-* #,##0_-;_-* &quot;-&quot;??_-;_-@_-">
                  <c:v>7555076</c:v>
                </c:pt>
                <c:pt idx="821" formatCode="_-* #,##0_-;\-* #,##0_-;_-* &quot;-&quot;??_-;_-@_-">
                  <c:v>1829800</c:v>
                </c:pt>
                <c:pt idx="822" formatCode="_-* #,##0_-;\-* #,##0_-;_-* &quot;-&quot;??_-;_-@_-">
                  <c:v>11690436</c:v>
                </c:pt>
                <c:pt idx="823" formatCode="_-* #,##0_-;\-* #,##0_-;_-* &quot;-&quot;??_-;_-@_-">
                  <c:v>10603889</c:v>
                </c:pt>
                <c:pt idx="824" formatCode="_-* #,##0_-;\-* #,##0_-;_-* &quot;-&quot;??_-;_-@_-">
                  <c:v>8038330</c:v>
                </c:pt>
                <c:pt idx="825" formatCode="_-* #,##0_-;\-* #,##0_-;_-* &quot;-&quot;??_-;_-@_-">
                  <c:v>7679754</c:v>
                </c:pt>
                <c:pt idx="826" formatCode="_-* #,##0_-;\-* #,##0_-;_-* &quot;-&quot;??_-;_-@_-">
                  <c:v>12422923</c:v>
                </c:pt>
                <c:pt idx="827" formatCode="_-* #,##0_-;\-* #,##0_-;_-* &quot;-&quot;??_-;_-@_-">
                  <c:v>4518685</c:v>
                </c:pt>
                <c:pt idx="828" formatCode="_-* #,##0_-;\-* #,##0_-;_-* &quot;-&quot;??_-;_-@_-">
                  <c:v>1590841</c:v>
                </c:pt>
                <c:pt idx="829" formatCode="_-* #,##0_-;\-* #,##0_-;_-* &quot;-&quot;??_-;_-@_-">
                  <c:v>3533962</c:v>
                </c:pt>
                <c:pt idx="830" formatCode="_-* #,##0_-;\-* #,##0_-;_-* &quot;-&quot;??_-;_-@_-">
                  <c:v>15148207</c:v>
                </c:pt>
                <c:pt idx="831" formatCode="_-* #,##0_-;\-* #,##0_-;_-* &quot;-&quot;??_-;_-@_-">
                  <c:v>2934121</c:v>
                </c:pt>
                <c:pt idx="832" formatCode="_-* #,##0_-;\-* #,##0_-;_-* &quot;-&quot;??_-;_-@_-">
                  <c:v>8454341</c:v>
                </c:pt>
                <c:pt idx="833" formatCode="_-* #,##0_-;\-* #,##0_-;_-* &quot;-&quot;??_-;_-@_-">
                  <c:v>4874091</c:v>
                </c:pt>
                <c:pt idx="834" formatCode="_-* #,##0_-;\-* #,##0_-;_-* &quot;-&quot;??_-;_-@_-">
                  <c:v>4157306</c:v>
                </c:pt>
                <c:pt idx="835" formatCode="_-* #,##0_-;\-* #,##0_-;_-* &quot;-&quot;??_-;_-@_-">
                  <c:v>7183527</c:v>
                </c:pt>
                <c:pt idx="836" formatCode="_-* #,##0_-;\-* #,##0_-;_-* &quot;-&quot;??_-;_-@_-">
                  <c:v>10187149</c:v>
                </c:pt>
                <c:pt idx="837" formatCode="_-* #,##0_-;\-* #,##0_-;_-* &quot;-&quot;??_-;_-@_-">
                  <c:v>5712109</c:v>
                </c:pt>
                <c:pt idx="838" formatCode="_-* #,##0_-;\-* #,##0_-;_-* &quot;-&quot;??_-;_-@_-">
                  <c:v>10766095</c:v>
                </c:pt>
                <c:pt idx="839" formatCode="_-* #,##0_-;\-* #,##0_-;_-* &quot;-&quot;??_-;_-@_-">
                  <c:v>5835225</c:v>
                </c:pt>
                <c:pt idx="840" formatCode="_-* #,##0_-;\-* #,##0_-;_-* &quot;-&quot;??_-;_-@_-">
                  <c:v>4828587</c:v>
                </c:pt>
                <c:pt idx="841" formatCode="_-* #,##0_-;\-* #,##0_-;_-* &quot;-&quot;??_-;_-@_-">
                  <c:v>7675954</c:v>
                </c:pt>
                <c:pt idx="842" formatCode="_-* #,##0_-;\-* #,##0_-;_-* &quot;-&quot;??_-;_-@_-">
                  <c:v>5240990</c:v>
                </c:pt>
                <c:pt idx="843" formatCode="_-* #,##0_-;\-* #,##0_-;_-* &quot;-&quot;??_-;_-@_-">
                  <c:v>14617500</c:v>
                </c:pt>
                <c:pt idx="844" formatCode="_-* #,##0_-;\-* #,##0_-;_-* &quot;-&quot;??_-;_-@_-">
                  <c:v>4723292</c:v>
                </c:pt>
                <c:pt idx="845" formatCode="_-* #,##0_-;\-* #,##0_-;_-* &quot;-&quot;??_-;_-@_-">
                  <c:v>12169503</c:v>
                </c:pt>
                <c:pt idx="846" formatCode="_-* #,##0_-;\-* #,##0_-;_-* &quot;-&quot;??_-;_-@_-">
                  <c:v>580000</c:v>
                </c:pt>
                <c:pt idx="847" formatCode="_-* #,##0_-;\-* #,##0_-;_-* &quot;-&quot;??_-;_-@_-">
                  <c:v>8414951</c:v>
                </c:pt>
                <c:pt idx="848" formatCode="_-* #,##0_-;\-* #,##0_-;_-* &quot;-&quot;??_-;_-@_-">
                  <c:v>400000</c:v>
                </c:pt>
                <c:pt idx="849" formatCode="_-* #,##0_-;\-* #,##0_-;_-* &quot;-&quot;??_-;_-@_-">
                  <c:v>1839700</c:v>
                </c:pt>
                <c:pt idx="850" formatCode="_-* #,##0_-;\-* #,##0_-;_-* &quot;-&quot;??_-;_-@_-">
                  <c:v>23748963</c:v>
                </c:pt>
                <c:pt idx="851" formatCode="_-* #,##0_-;\-* #,##0_-;_-* &quot;-&quot;??_-;_-@_-">
                  <c:v>17037802</c:v>
                </c:pt>
                <c:pt idx="852" formatCode="_-* #,##0_-;\-* #,##0_-;_-* &quot;-&quot;??_-;_-@_-">
                  <c:v>6893290</c:v>
                </c:pt>
                <c:pt idx="853" formatCode="_-* #,##0_-;\-* #,##0_-;_-* &quot;-&quot;??_-;_-@_-">
                  <c:v>9732038</c:v>
                </c:pt>
                <c:pt idx="854" formatCode="_-* #,##0_-;\-* #,##0_-;_-* &quot;-&quot;??_-;_-@_-">
                  <c:v>9424584</c:v>
                </c:pt>
                <c:pt idx="855" formatCode="_-* #,##0_-;\-* #,##0_-;_-* &quot;-&quot;??_-;_-@_-">
                  <c:v>4144740</c:v>
                </c:pt>
                <c:pt idx="856" formatCode="_-* #,##0_-;\-* #,##0_-;_-* &quot;-&quot;??_-;_-@_-">
                  <c:v>3082232</c:v>
                </c:pt>
                <c:pt idx="857" formatCode="_-* #,##0_-;\-* #,##0_-;_-* &quot;-&quot;??_-;_-@_-">
                  <c:v>8938764</c:v>
                </c:pt>
                <c:pt idx="858" formatCode="_-* #,##0_-;\-* #,##0_-;_-* &quot;-&quot;??_-;_-@_-">
                  <c:v>10678117</c:v>
                </c:pt>
                <c:pt idx="859" formatCode="_-* #,##0_-;\-* #,##0_-;_-* &quot;-&quot;??_-;_-@_-">
                  <c:v>4670665</c:v>
                </c:pt>
                <c:pt idx="860" formatCode="_-* #,##0_-;\-* #,##0_-;_-* &quot;-&quot;??_-;_-@_-">
                  <c:v>6633394</c:v>
                </c:pt>
                <c:pt idx="861" formatCode="_-* #,##0_-;\-* #,##0_-;_-* &quot;-&quot;??_-;_-@_-">
                  <c:v>9181285</c:v>
                </c:pt>
                <c:pt idx="862" formatCode="_-* #,##0_-;\-* #,##0_-;_-* &quot;-&quot;??_-;_-@_-">
                  <c:v>6982355</c:v>
                </c:pt>
                <c:pt idx="863" formatCode="_-* #,##0_-;\-* #,##0_-;_-* &quot;-&quot;??_-;_-@_-">
                  <c:v>7387200</c:v>
                </c:pt>
                <c:pt idx="864" formatCode="_-* #,##0_-;\-* #,##0_-;_-* &quot;-&quot;??_-;_-@_-">
                  <c:v>7368543</c:v>
                </c:pt>
                <c:pt idx="865" formatCode="_-* #,##0_-;\-* #,##0_-;_-* &quot;-&quot;??_-;_-@_-">
                  <c:v>14283708</c:v>
                </c:pt>
                <c:pt idx="866" formatCode="_-* #,##0_-;\-* #,##0_-;_-* &quot;-&quot;??_-;_-@_-">
                  <c:v>5552624</c:v>
                </c:pt>
                <c:pt idx="867" formatCode="_-* #,##0_-;\-* #,##0_-;_-* &quot;-&quot;??_-;_-@_-">
                  <c:v>5718800</c:v>
                </c:pt>
                <c:pt idx="868" formatCode="_-* #,##0_-;\-* #,##0_-;_-* &quot;-&quot;??_-;_-@_-">
                  <c:v>28429535</c:v>
                </c:pt>
                <c:pt idx="869" formatCode="_-* #,##0_-;\-* #,##0_-;_-* &quot;-&quot;??_-;_-@_-">
                  <c:v>7259345</c:v>
                </c:pt>
                <c:pt idx="870" formatCode="_-* #,##0_-;\-* #,##0_-;_-* &quot;-&quot;??_-;_-@_-">
                  <c:v>5629319</c:v>
                </c:pt>
                <c:pt idx="871" formatCode="_-* #,##0_-;\-* #,##0_-;_-* &quot;-&quot;??_-;_-@_-">
                  <c:v>6926430</c:v>
                </c:pt>
                <c:pt idx="872" formatCode="_-* #,##0_-;\-* #,##0_-;_-* &quot;-&quot;??_-;_-@_-">
                  <c:v>11347545</c:v>
                </c:pt>
                <c:pt idx="873" formatCode="_-* #,##0_-;\-* #,##0_-;_-* &quot;-&quot;??_-;_-@_-">
                  <c:v>3760030</c:v>
                </c:pt>
                <c:pt idx="874" formatCode="_-* #,##0_-;\-* #,##0_-;_-* &quot;-&quot;??_-;_-@_-">
                  <c:v>9942207</c:v>
                </c:pt>
                <c:pt idx="875" formatCode="_-* #,##0_-;\-* #,##0_-;_-* &quot;-&quot;??_-;_-@_-">
                  <c:v>4696820</c:v>
                </c:pt>
                <c:pt idx="876" formatCode="_-* #,##0_-;\-* #,##0_-;_-* &quot;-&quot;??_-;_-@_-">
                  <c:v>8020334</c:v>
                </c:pt>
                <c:pt idx="877" formatCode="_-* #,##0_-;\-* #,##0_-;_-* &quot;-&quot;??_-;_-@_-">
                  <c:v>2035900</c:v>
                </c:pt>
                <c:pt idx="878" formatCode="_-* #,##0_-;\-* #,##0_-;_-* &quot;-&quot;??_-;_-@_-">
                  <c:v>8037088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93-4675-8CF1-E99C3E7C4480}"/>
            </c:ext>
          </c:extLst>
        </c:ser>
        <c:ser>
          <c:idx val="23"/>
          <c:order val="23"/>
          <c:tx>
            <c:strRef>
              <c:f>'CASH FLOW'!$Y$1</c:f>
              <c:strCache>
                <c:ptCount val="1"/>
                <c:pt idx="0">
                  <c:v> -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FLOW'!$Y$2:$Y$969</c:f>
              <c:numCache>
                <c:formatCode>_-* #,##0_-;\-* #,##0_-;_-* "-"??_-;_-@_-</c:formatCode>
                <c:ptCount val="968"/>
                <c:pt idx="1">
                  <c:v>0</c:v>
                </c:pt>
                <c:pt idx="2">
                  <c:v>8851569.4970000014</c:v>
                </c:pt>
                <c:pt idx="3">
                  <c:v>6249274.6190000027</c:v>
                </c:pt>
                <c:pt idx="4">
                  <c:v>7447371.8700000048</c:v>
                </c:pt>
                <c:pt idx="5">
                  <c:v>5901990.4029999971</c:v>
                </c:pt>
                <c:pt idx="6">
                  <c:v>9841116.9509999976</c:v>
                </c:pt>
                <c:pt idx="7">
                  <c:v>4876455.201000005</c:v>
                </c:pt>
                <c:pt idx="8">
                  <c:v>6710058.0680000037</c:v>
                </c:pt>
                <c:pt idx="9">
                  <c:v>6576171.9840000011</c:v>
                </c:pt>
                <c:pt idx="10">
                  <c:v>5577506.439000003</c:v>
                </c:pt>
                <c:pt idx="11">
                  <c:v>6318974.7949999981</c:v>
                </c:pt>
                <c:pt idx="12">
                  <c:v>6477283.6770000011</c:v>
                </c:pt>
                <c:pt idx="13">
                  <c:v>4765942.8489999995</c:v>
                </c:pt>
                <c:pt idx="14">
                  <c:v>3511702.1309999973</c:v>
                </c:pt>
                <c:pt idx="15">
                  <c:v>7219417.4360000007</c:v>
                </c:pt>
                <c:pt idx="16">
                  <c:v>10367953.074999999</c:v>
                </c:pt>
                <c:pt idx="17">
                  <c:v>3478735.0659999996</c:v>
                </c:pt>
                <c:pt idx="18">
                  <c:v>6251770.9519999996</c:v>
                </c:pt>
                <c:pt idx="19">
                  <c:v>4387299.5</c:v>
                </c:pt>
                <c:pt idx="20">
                  <c:v>5193070.6469999999</c:v>
                </c:pt>
                <c:pt idx="21">
                  <c:v>7264143.2899999991</c:v>
                </c:pt>
                <c:pt idx="22">
                  <c:v>6923208.1400000006</c:v>
                </c:pt>
                <c:pt idx="23">
                  <c:v>11053338.846000001</c:v>
                </c:pt>
                <c:pt idx="24">
                  <c:v>6689526.4039999992</c:v>
                </c:pt>
                <c:pt idx="25">
                  <c:v>8223700.4059999958</c:v>
                </c:pt>
                <c:pt idx="26">
                  <c:v>4500102.688000001</c:v>
                </c:pt>
                <c:pt idx="27">
                  <c:v>5978842.2820000015</c:v>
                </c:pt>
                <c:pt idx="28">
                  <c:v>6660444.0549999997</c:v>
                </c:pt>
                <c:pt idx="29">
                  <c:v>15785536.355999999</c:v>
                </c:pt>
                <c:pt idx="30">
                  <c:v>7701507.8399999961</c:v>
                </c:pt>
                <c:pt idx="31">
                  <c:v>13845231.620000005</c:v>
                </c:pt>
                <c:pt idx="32">
                  <c:v>9006700.1700000018</c:v>
                </c:pt>
                <c:pt idx="33">
                  <c:v>8810629.7400000021</c:v>
                </c:pt>
                <c:pt idx="34">
                  <c:v>7964592.5</c:v>
                </c:pt>
                <c:pt idx="35">
                  <c:v>12377569.970000003</c:v>
                </c:pt>
                <c:pt idx="36">
                  <c:v>14391231.920000002</c:v>
                </c:pt>
                <c:pt idx="37">
                  <c:v>17507482.079999998</c:v>
                </c:pt>
                <c:pt idx="38">
                  <c:v>11333603</c:v>
                </c:pt>
                <c:pt idx="39">
                  <c:v>7759930.7199999988</c:v>
                </c:pt>
                <c:pt idx="40">
                  <c:v>12998338.77</c:v>
                </c:pt>
                <c:pt idx="41">
                  <c:v>8927986.0300000012</c:v>
                </c:pt>
                <c:pt idx="42">
                  <c:v>5684094.8299999982</c:v>
                </c:pt>
                <c:pt idx="43">
                  <c:v>8687881.25</c:v>
                </c:pt>
                <c:pt idx="44">
                  <c:v>3808929.549999997</c:v>
                </c:pt>
                <c:pt idx="45">
                  <c:v>6205936.8200000003</c:v>
                </c:pt>
                <c:pt idx="46">
                  <c:v>9337295.3999999985</c:v>
                </c:pt>
                <c:pt idx="47">
                  <c:v>4757323.4099999964</c:v>
                </c:pt>
                <c:pt idx="48">
                  <c:v>8051618.3000000007</c:v>
                </c:pt>
                <c:pt idx="49">
                  <c:v>7851610.0900000036</c:v>
                </c:pt>
                <c:pt idx="50">
                  <c:v>7552370.3399999999</c:v>
                </c:pt>
                <c:pt idx="51">
                  <c:v>10072069.060000002</c:v>
                </c:pt>
                <c:pt idx="52">
                  <c:v>11485206.810000002</c:v>
                </c:pt>
                <c:pt idx="53">
                  <c:v>8745607.3499999978</c:v>
                </c:pt>
                <c:pt idx="54">
                  <c:v>11304250.145999998</c:v>
                </c:pt>
                <c:pt idx="55">
                  <c:v>8593321.8680000007</c:v>
                </c:pt>
                <c:pt idx="56">
                  <c:v>9324091.8280000016</c:v>
                </c:pt>
                <c:pt idx="57">
                  <c:v>7607499.1569999978</c:v>
                </c:pt>
                <c:pt idx="58">
                  <c:v>8564194.818</c:v>
                </c:pt>
                <c:pt idx="59">
                  <c:v>9518225.0370000005</c:v>
                </c:pt>
                <c:pt idx="60">
                  <c:v>7135487.6499999985</c:v>
                </c:pt>
                <c:pt idx="61">
                  <c:v>5126757.16</c:v>
                </c:pt>
                <c:pt idx="62">
                  <c:v>8290620.3720000014</c:v>
                </c:pt>
                <c:pt idx="63">
                  <c:v>9417297.362999998</c:v>
                </c:pt>
                <c:pt idx="64">
                  <c:v>6887724.0639999956</c:v>
                </c:pt>
                <c:pt idx="65">
                  <c:v>6376802.7199999988</c:v>
                </c:pt>
                <c:pt idx="66">
                  <c:v>11720819.494000003</c:v>
                </c:pt>
                <c:pt idx="67">
                  <c:v>8824670.4299999997</c:v>
                </c:pt>
                <c:pt idx="68">
                  <c:v>6610189</c:v>
                </c:pt>
                <c:pt idx="69">
                  <c:v>8190789.0269999988</c:v>
                </c:pt>
                <c:pt idx="70">
                  <c:v>7271905.2780000009</c:v>
                </c:pt>
                <c:pt idx="71">
                  <c:v>6183360.8699999992</c:v>
                </c:pt>
                <c:pt idx="72">
                  <c:v>4362276.5199999996</c:v>
                </c:pt>
                <c:pt idx="73">
                  <c:v>8149438.0300000012</c:v>
                </c:pt>
                <c:pt idx="74">
                  <c:v>10794963.892000001</c:v>
                </c:pt>
                <c:pt idx="75">
                  <c:v>8654379.6530000009</c:v>
                </c:pt>
                <c:pt idx="76">
                  <c:v>3719530.6499999985</c:v>
                </c:pt>
                <c:pt idx="77">
                  <c:v>7368246.688000001</c:v>
                </c:pt>
                <c:pt idx="78">
                  <c:v>9404303.25</c:v>
                </c:pt>
                <c:pt idx="79">
                  <c:v>5214206.8159999996</c:v>
                </c:pt>
                <c:pt idx="80">
                  <c:v>7103002.8680000007</c:v>
                </c:pt>
                <c:pt idx="81">
                  <c:v>4935299.4350000024</c:v>
                </c:pt>
                <c:pt idx="82">
                  <c:v>3066863.3620000035</c:v>
                </c:pt>
                <c:pt idx="83">
                  <c:v>5971471.1829999983</c:v>
                </c:pt>
                <c:pt idx="84">
                  <c:v>8024673.3579999991</c:v>
                </c:pt>
                <c:pt idx="85">
                  <c:v>9165783.2980000004</c:v>
                </c:pt>
                <c:pt idx="86">
                  <c:v>7901380.2800000012</c:v>
                </c:pt>
                <c:pt idx="87">
                  <c:v>6913809.5289999992</c:v>
                </c:pt>
                <c:pt idx="88">
                  <c:v>4446193.6389999986</c:v>
                </c:pt>
                <c:pt idx="89">
                  <c:v>8871420.2540000007</c:v>
                </c:pt>
                <c:pt idx="90">
                  <c:v>6682984.9799999967</c:v>
                </c:pt>
                <c:pt idx="91">
                  <c:v>5024288.8090000004</c:v>
                </c:pt>
                <c:pt idx="92">
                  <c:v>12505697</c:v>
                </c:pt>
                <c:pt idx="93">
                  <c:v>4611828</c:v>
                </c:pt>
                <c:pt idx="94">
                  <c:v>9583264.7289999984</c:v>
                </c:pt>
                <c:pt idx="95">
                  <c:v>4849554.6309999973</c:v>
                </c:pt>
                <c:pt idx="96">
                  <c:v>10187718.196000002</c:v>
                </c:pt>
                <c:pt idx="97">
                  <c:v>5604643.8149999976</c:v>
                </c:pt>
                <c:pt idx="98">
                  <c:v>6560446.3949999996</c:v>
                </c:pt>
                <c:pt idx="99">
                  <c:v>8667075.1440000013</c:v>
                </c:pt>
                <c:pt idx="100">
                  <c:v>4416027.3680000007</c:v>
                </c:pt>
                <c:pt idx="101">
                  <c:v>5120765.3779999986</c:v>
                </c:pt>
                <c:pt idx="102">
                  <c:v>5980447.370000001</c:v>
                </c:pt>
                <c:pt idx="103">
                  <c:v>4891266.8920000009</c:v>
                </c:pt>
                <c:pt idx="104">
                  <c:v>7499430.2859999985</c:v>
                </c:pt>
                <c:pt idx="105">
                  <c:v>3361188.7640000023</c:v>
                </c:pt>
                <c:pt idx="106">
                  <c:v>2484137.4670000039</c:v>
                </c:pt>
                <c:pt idx="107">
                  <c:v>3780855.7280000001</c:v>
                </c:pt>
                <c:pt idx="108">
                  <c:v>5690910.3079999983</c:v>
                </c:pt>
                <c:pt idx="109">
                  <c:v>4999901.2290000021</c:v>
                </c:pt>
                <c:pt idx="110">
                  <c:v>9533146.9250000007</c:v>
                </c:pt>
                <c:pt idx="111">
                  <c:v>2914422.1539999992</c:v>
                </c:pt>
                <c:pt idx="112">
                  <c:v>5848952.449000001</c:v>
                </c:pt>
                <c:pt idx="113">
                  <c:v>4667876.0529999994</c:v>
                </c:pt>
                <c:pt idx="114">
                  <c:v>3031508.5179999992</c:v>
                </c:pt>
                <c:pt idx="115">
                  <c:v>7169144.4730000012</c:v>
                </c:pt>
                <c:pt idx="116">
                  <c:v>1432584.9919999987</c:v>
                </c:pt>
                <c:pt idx="117">
                  <c:v>2164894.8649999984</c:v>
                </c:pt>
                <c:pt idx="118">
                  <c:v>2177305.1000000015</c:v>
                </c:pt>
                <c:pt idx="119">
                  <c:v>2603161.748999998</c:v>
                </c:pt>
                <c:pt idx="120">
                  <c:v>4214235.43</c:v>
                </c:pt>
                <c:pt idx="121">
                  <c:v>2623339.8999999985</c:v>
                </c:pt>
                <c:pt idx="122">
                  <c:v>5471767.5799999982</c:v>
                </c:pt>
                <c:pt idx="123">
                  <c:v>6073336.1199999973</c:v>
                </c:pt>
                <c:pt idx="124">
                  <c:v>6791141.8630000055</c:v>
                </c:pt>
                <c:pt idx="125">
                  <c:v>4529609.9940000027</c:v>
                </c:pt>
                <c:pt idx="126">
                  <c:v>4616907.1339999996</c:v>
                </c:pt>
                <c:pt idx="127">
                  <c:v>4020388.379999999</c:v>
                </c:pt>
                <c:pt idx="128">
                  <c:v>3837178.0700000003</c:v>
                </c:pt>
                <c:pt idx="129">
                  <c:v>5150672.3599999994</c:v>
                </c:pt>
                <c:pt idx="130">
                  <c:v>2892724.4750000015</c:v>
                </c:pt>
                <c:pt idx="131">
                  <c:v>5206330.9760000035</c:v>
                </c:pt>
                <c:pt idx="132">
                  <c:v>6393399.3950000033</c:v>
                </c:pt>
                <c:pt idx="133">
                  <c:v>3371683.8980000019</c:v>
                </c:pt>
                <c:pt idx="134">
                  <c:v>9142003.1070000008</c:v>
                </c:pt>
                <c:pt idx="135">
                  <c:v>7394213.7650000006</c:v>
                </c:pt>
                <c:pt idx="136">
                  <c:v>9299692.3419999965</c:v>
                </c:pt>
                <c:pt idx="137">
                  <c:v>5416174.6000000015</c:v>
                </c:pt>
                <c:pt idx="138">
                  <c:v>3393773.6220000014</c:v>
                </c:pt>
                <c:pt idx="139">
                  <c:v>6084794.6420000009</c:v>
                </c:pt>
                <c:pt idx="140">
                  <c:v>6646875.4120000005</c:v>
                </c:pt>
                <c:pt idx="141">
                  <c:v>6708231.2210000008</c:v>
                </c:pt>
                <c:pt idx="142">
                  <c:v>8380699.6050000004</c:v>
                </c:pt>
                <c:pt idx="143">
                  <c:v>4345673.506000001</c:v>
                </c:pt>
                <c:pt idx="144">
                  <c:v>7028046.8530000001</c:v>
                </c:pt>
                <c:pt idx="145">
                  <c:v>9489315.4750000015</c:v>
                </c:pt>
                <c:pt idx="146">
                  <c:v>7690367.7430000007</c:v>
                </c:pt>
                <c:pt idx="147">
                  <c:v>10617957.677000001</c:v>
                </c:pt>
                <c:pt idx="148">
                  <c:v>7813983.3280000016</c:v>
                </c:pt>
                <c:pt idx="149">
                  <c:v>8374128.3800000027</c:v>
                </c:pt>
                <c:pt idx="150">
                  <c:v>11158554.659000002</c:v>
                </c:pt>
                <c:pt idx="151">
                  <c:v>8193534.4820000008</c:v>
                </c:pt>
                <c:pt idx="152">
                  <c:v>7698812.2890000008</c:v>
                </c:pt>
                <c:pt idx="153">
                  <c:v>7351740.2800000012</c:v>
                </c:pt>
                <c:pt idx="154">
                  <c:v>5989828.2290000021</c:v>
                </c:pt>
                <c:pt idx="155">
                  <c:v>10969536.550999999</c:v>
                </c:pt>
                <c:pt idx="156">
                  <c:v>5046296.2669999972</c:v>
                </c:pt>
                <c:pt idx="157">
                  <c:v>8680668.7800000012</c:v>
                </c:pt>
                <c:pt idx="158">
                  <c:v>8599587.8540000021</c:v>
                </c:pt>
                <c:pt idx="159">
                  <c:v>3659129.3999999985</c:v>
                </c:pt>
                <c:pt idx="160">
                  <c:v>7328972.1819999963</c:v>
                </c:pt>
                <c:pt idx="161">
                  <c:v>4690998.6229999959</c:v>
                </c:pt>
                <c:pt idx="162">
                  <c:v>4480258.7690000013</c:v>
                </c:pt>
                <c:pt idx="163">
                  <c:v>3803777.012000002</c:v>
                </c:pt>
                <c:pt idx="164">
                  <c:v>6526811.1999999993</c:v>
                </c:pt>
                <c:pt idx="165">
                  <c:v>7609793.1440000013</c:v>
                </c:pt>
                <c:pt idx="166">
                  <c:v>12950321.457000002</c:v>
                </c:pt>
                <c:pt idx="167">
                  <c:v>8189728.998999998</c:v>
                </c:pt>
                <c:pt idx="168">
                  <c:v>6019396.0549999997</c:v>
                </c:pt>
                <c:pt idx="169">
                  <c:v>10959253.145999998</c:v>
                </c:pt>
                <c:pt idx="170">
                  <c:v>8356909.6679999977</c:v>
                </c:pt>
                <c:pt idx="171">
                  <c:v>11053860.745999999</c:v>
                </c:pt>
                <c:pt idx="172">
                  <c:v>3963014.068</c:v>
                </c:pt>
                <c:pt idx="173">
                  <c:v>7449339.3550000042</c:v>
                </c:pt>
                <c:pt idx="174">
                  <c:v>3644789.3940000013</c:v>
                </c:pt>
                <c:pt idx="175">
                  <c:v>8714610.9670000002</c:v>
                </c:pt>
                <c:pt idx="176">
                  <c:v>5244353.1499999985</c:v>
                </c:pt>
                <c:pt idx="177">
                  <c:v>3005298.9139999971</c:v>
                </c:pt>
                <c:pt idx="178">
                  <c:v>8774491.2599999979</c:v>
                </c:pt>
                <c:pt idx="179">
                  <c:v>8412987.8439999968</c:v>
                </c:pt>
                <c:pt idx="180">
                  <c:v>7207764.8900000006</c:v>
                </c:pt>
                <c:pt idx="181">
                  <c:v>7260648.5659999996</c:v>
                </c:pt>
                <c:pt idx="182">
                  <c:v>3705952.0310000032</c:v>
                </c:pt>
                <c:pt idx="183">
                  <c:v>12506093.594000001</c:v>
                </c:pt>
                <c:pt idx="184">
                  <c:v>6155945.5530000031</c:v>
                </c:pt>
                <c:pt idx="185">
                  <c:v>5135604.6539999992</c:v>
                </c:pt>
                <c:pt idx="186">
                  <c:v>4833983.4519999996</c:v>
                </c:pt>
                <c:pt idx="187">
                  <c:v>3621755.5639999993</c:v>
                </c:pt>
                <c:pt idx="188">
                  <c:v>8898637.0279999971</c:v>
                </c:pt>
                <c:pt idx="189">
                  <c:v>6955774.049999997</c:v>
                </c:pt>
                <c:pt idx="190">
                  <c:v>9655618.4829999991</c:v>
                </c:pt>
                <c:pt idx="191">
                  <c:v>6650042.2430000007</c:v>
                </c:pt>
                <c:pt idx="192">
                  <c:v>10985282.943999998</c:v>
                </c:pt>
                <c:pt idx="193">
                  <c:v>7655776.6369999982</c:v>
                </c:pt>
                <c:pt idx="194">
                  <c:v>8443006.5879999995</c:v>
                </c:pt>
                <c:pt idx="195">
                  <c:v>7768756.9200000018</c:v>
                </c:pt>
                <c:pt idx="196">
                  <c:v>6278791.623999998</c:v>
                </c:pt>
                <c:pt idx="197">
                  <c:v>12064847.247000001</c:v>
                </c:pt>
                <c:pt idx="198">
                  <c:v>6357423.311999999</c:v>
                </c:pt>
                <c:pt idx="199">
                  <c:v>7770894.9580000043</c:v>
                </c:pt>
                <c:pt idx="200">
                  <c:v>5052919.924999997</c:v>
                </c:pt>
                <c:pt idx="201">
                  <c:v>7339766.2909999974</c:v>
                </c:pt>
                <c:pt idx="202">
                  <c:v>8876189.6570000015</c:v>
                </c:pt>
                <c:pt idx="203">
                  <c:v>4282856.2960000038</c:v>
                </c:pt>
                <c:pt idx="204">
                  <c:v>10658665.093000002</c:v>
                </c:pt>
                <c:pt idx="205">
                  <c:v>7897126.3559999987</c:v>
                </c:pt>
                <c:pt idx="206">
                  <c:v>6667420.5380000025</c:v>
                </c:pt>
                <c:pt idx="207">
                  <c:v>13595155.866999999</c:v>
                </c:pt>
                <c:pt idx="208">
                  <c:v>9572736.8090000004</c:v>
                </c:pt>
                <c:pt idx="209">
                  <c:v>10328999.941</c:v>
                </c:pt>
                <c:pt idx="210">
                  <c:v>6484997.4350000024</c:v>
                </c:pt>
                <c:pt idx="211">
                  <c:v>8544978.0559999943</c:v>
                </c:pt>
                <c:pt idx="212">
                  <c:v>7159725.0410000011</c:v>
                </c:pt>
                <c:pt idx="213">
                  <c:v>7498281.1380000003</c:v>
                </c:pt>
                <c:pt idx="214">
                  <c:v>6402503.5379999988</c:v>
                </c:pt>
                <c:pt idx="215">
                  <c:v>6995610.4859999977</c:v>
                </c:pt>
                <c:pt idx="216">
                  <c:v>4619762.6620000005</c:v>
                </c:pt>
                <c:pt idx="217">
                  <c:v>4556046.8530000001</c:v>
                </c:pt>
                <c:pt idx="218">
                  <c:v>3849297.1230000034</c:v>
                </c:pt>
                <c:pt idx="219">
                  <c:v>6325141.5830000006</c:v>
                </c:pt>
                <c:pt idx="220">
                  <c:v>4299355.7100000009</c:v>
                </c:pt>
                <c:pt idx="221">
                  <c:v>7840061.9759999998</c:v>
                </c:pt>
                <c:pt idx="222">
                  <c:v>9789835.8559999987</c:v>
                </c:pt>
                <c:pt idx="223">
                  <c:v>5988825.4240000024</c:v>
                </c:pt>
                <c:pt idx="224">
                  <c:v>6603678.1339999959</c:v>
                </c:pt>
                <c:pt idx="225">
                  <c:v>9072710.423999995</c:v>
                </c:pt>
                <c:pt idx="226">
                  <c:v>7528244.4530000016</c:v>
                </c:pt>
                <c:pt idx="227">
                  <c:v>6220496.1330000013</c:v>
                </c:pt>
                <c:pt idx="228">
                  <c:v>11909831.238000002</c:v>
                </c:pt>
                <c:pt idx="229">
                  <c:v>8131789.7430000007</c:v>
                </c:pt>
                <c:pt idx="230">
                  <c:v>7133975.1000000015</c:v>
                </c:pt>
                <c:pt idx="231">
                  <c:v>5434018.6400000006</c:v>
                </c:pt>
                <c:pt idx="232">
                  <c:v>11823904.77</c:v>
                </c:pt>
                <c:pt idx="233">
                  <c:v>9561002.5100000016</c:v>
                </c:pt>
                <c:pt idx="234">
                  <c:v>16351011.689999998</c:v>
                </c:pt>
                <c:pt idx="235">
                  <c:v>7474720.5</c:v>
                </c:pt>
                <c:pt idx="236">
                  <c:v>10753294.43</c:v>
                </c:pt>
                <c:pt idx="237">
                  <c:v>4679672.4099999964</c:v>
                </c:pt>
                <c:pt idx="238">
                  <c:v>6077366.8400000036</c:v>
                </c:pt>
                <c:pt idx="239">
                  <c:v>6438896.879999999</c:v>
                </c:pt>
                <c:pt idx="240">
                  <c:v>4114259.6999999993</c:v>
                </c:pt>
                <c:pt idx="241">
                  <c:v>7331592.9100000039</c:v>
                </c:pt>
                <c:pt idx="242">
                  <c:v>10212278.189999998</c:v>
                </c:pt>
                <c:pt idx="243">
                  <c:v>9893864.3800000027</c:v>
                </c:pt>
                <c:pt idx="244">
                  <c:v>4997101.1899999976</c:v>
                </c:pt>
                <c:pt idx="245">
                  <c:v>5737105.4200000018</c:v>
                </c:pt>
                <c:pt idx="246">
                  <c:v>11501592.43</c:v>
                </c:pt>
                <c:pt idx="247">
                  <c:v>13978606.960000001</c:v>
                </c:pt>
                <c:pt idx="248">
                  <c:v>5262009.7800000012</c:v>
                </c:pt>
                <c:pt idx="249">
                  <c:v>9440982.5199999958</c:v>
                </c:pt>
                <c:pt idx="250">
                  <c:v>8895692.75</c:v>
                </c:pt>
                <c:pt idx="251">
                  <c:v>6146601.0899999961</c:v>
                </c:pt>
                <c:pt idx="252">
                  <c:v>7135284.0199999996</c:v>
                </c:pt>
                <c:pt idx="253">
                  <c:v>6529439.620000001</c:v>
                </c:pt>
                <c:pt idx="254">
                  <c:v>8790199.0599999987</c:v>
                </c:pt>
                <c:pt idx="255">
                  <c:v>6476405.8200000003</c:v>
                </c:pt>
                <c:pt idx="256">
                  <c:v>8226173.1000000015</c:v>
                </c:pt>
                <c:pt idx="257">
                  <c:v>8721694.450000003</c:v>
                </c:pt>
                <c:pt idx="258">
                  <c:v>7058647</c:v>
                </c:pt>
                <c:pt idx="259">
                  <c:v>5841427.3900000006</c:v>
                </c:pt>
                <c:pt idx="260">
                  <c:v>10288699.969999999</c:v>
                </c:pt>
                <c:pt idx="261">
                  <c:v>8137599.3300000019</c:v>
                </c:pt>
                <c:pt idx="262">
                  <c:v>8148587.9299999997</c:v>
                </c:pt>
                <c:pt idx="263">
                  <c:v>8536586.8099999987</c:v>
                </c:pt>
                <c:pt idx="264">
                  <c:v>5969782.8399999999</c:v>
                </c:pt>
                <c:pt idx="265">
                  <c:v>12028015.48</c:v>
                </c:pt>
                <c:pt idx="266">
                  <c:v>7204392.7199999988</c:v>
                </c:pt>
                <c:pt idx="267">
                  <c:v>8488217.5799999982</c:v>
                </c:pt>
                <c:pt idx="268">
                  <c:v>5345223.6999999993</c:v>
                </c:pt>
                <c:pt idx="269">
                  <c:v>15443889.57</c:v>
                </c:pt>
                <c:pt idx="270">
                  <c:v>6949838.6900000013</c:v>
                </c:pt>
                <c:pt idx="271">
                  <c:v>8401755.0099999979</c:v>
                </c:pt>
                <c:pt idx="272">
                  <c:v>9606078.5599999949</c:v>
                </c:pt>
                <c:pt idx="273">
                  <c:v>7390212.75</c:v>
                </c:pt>
                <c:pt idx="274">
                  <c:v>14376043.32</c:v>
                </c:pt>
                <c:pt idx="275">
                  <c:v>10448556.990000002</c:v>
                </c:pt>
                <c:pt idx="276">
                  <c:v>14566209.329999998</c:v>
                </c:pt>
                <c:pt idx="277">
                  <c:v>4467861.9800000042</c:v>
                </c:pt>
                <c:pt idx="278">
                  <c:v>8534932.299999997</c:v>
                </c:pt>
                <c:pt idx="279">
                  <c:v>10010995.129999999</c:v>
                </c:pt>
                <c:pt idx="280">
                  <c:v>6598417.6099999994</c:v>
                </c:pt>
                <c:pt idx="281">
                  <c:v>9471408.1400000006</c:v>
                </c:pt>
                <c:pt idx="282">
                  <c:v>9134498</c:v>
                </c:pt>
                <c:pt idx="283">
                  <c:v>9738570.1199999973</c:v>
                </c:pt>
                <c:pt idx="284">
                  <c:v>11240841.149999999</c:v>
                </c:pt>
                <c:pt idx="285">
                  <c:v>6282093.3000000007</c:v>
                </c:pt>
                <c:pt idx="286">
                  <c:v>5693305.7800000012</c:v>
                </c:pt>
                <c:pt idx="287">
                  <c:v>7719366.5799999982</c:v>
                </c:pt>
                <c:pt idx="288">
                  <c:v>11745333.730000004</c:v>
                </c:pt>
                <c:pt idx="289">
                  <c:v>6559822.9100000001</c:v>
                </c:pt>
                <c:pt idx="290">
                  <c:v>9682015.5100000054</c:v>
                </c:pt>
                <c:pt idx="291">
                  <c:v>12766194.399999999</c:v>
                </c:pt>
                <c:pt idx="292">
                  <c:v>16380270.869999997</c:v>
                </c:pt>
                <c:pt idx="293">
                  <c:v>11178067.16</c:v>
                </c:pt>
                <c:pt idx="294">
                  <c:v>5524311.9400000013</c:v>
                </c:pt>
                <c:pt idx="295">
                  <c:v>10920199.5</c:v>
                </c:pt>
                <c:pt idx="296">
                  <c:v>9611658.9200000018</c:v>
                </c:pt>
                <c:pt idx="297">
                  <c:v>6022814.1700000018</c:v>
                </c:pt>
                <c:pt idx="298">
                  <c:v>5280113.8500000015</c:v>
                </c:pt>
                <c:pt idx="299">
                  <c:v>11215848.629999995</c:v>
                </c:pt>
                <c:pt idx="300">
                  <c:v>6882148.4900000021</c:v>
                </c:pt>
                <c:pt idx="301">
                  <c:v>14140870.23</c:v>
                </c:pt>
                <c:pt idx="302">
                  <c:v>3459565</c:v>
                </c:pt>
                <c:pt idx="303">
                  <c:v>6739634.8100000024</c:v>
                </c:pt>
                <c:pt idx="304">
                  <c:v>4698510.4800000004</c:v>
                </c:pt>
                <c:pt idx="305">
                  <c:v>4925131</c:v>
                </c:pt>
                <c:pt idx="306">
                  <c:v>6656985.1899999976</c:v>
                </c:pt>
                <c:pt idx="307">
                  <c:v>7398711.3299999982</c:v>
                </c:pt>
                <c:pt idx="308">
                  <c:v>9322974.6600000001</c:v>
                </c:pt>
                <c:pt idx="309">
                  <c:v>5110917.5</c:v>
                </c:pt>
                <c:pt idx="310">
                  <c:v>3984285.1799999997</c:v>
                </c:pt>
                <c:pt idx="311">
                  <c:v>6751877.099999994</c:v>
                </c:pt>
                <c:pt idx="312">
                  <c:v>7227176.9200000018</c:v>
                </c:pt>
                <c:pt idx="313">
                  <c:v>5019649.1200000048</c:v>
                </c:pt>
                <c:pt idx="314">
                  <c:v>8404421.1799999997</c:v>
                </c:pt>
                <c:pt idx="315">
                  <c:v>8122374.4699999988</c:v>
                </c:pt>
                <c:pt idx="316">
                  <c:v>7732511.1999999993</c:v>
                </c:pt>
                <c:pt idx="317">
                  <c:v>5446761.3100000024</c:v>
                </c:pt>
                <c:pt idx="318">
                  <c:v>6521014.2100000009</c:v>
                </c:pt>
                <c:pt idx="319">
                  <c:v>9245988.0599999987</c:v>
                </c:pt>
                <c:pt idx="320">
                  <c:v>8583140.75</c:v>
                </c:pt>
                <c:pt idx="321">
                  <c:v>3868162.799999997</c:v>
                </c:pt>
                <c:pt idx="322">
                  <c:v>5236672.1199999973</c:v>
                </c:pt>
                <c:pt idx="323">
                  <c:v>4094355.5</c:v>
                </c:pt>
                <c:pt idx="324">
                  <c:v>7349053.4600000009</c:v>
                </c:pt>
                <c:pt idx="325">
                  <c:v>3663184.66</c:v>
                </c:pt>
                <c:pt idx="326">
                  <c:v>5645332.6999999993</c:v>
                </c:pt>
                <c:pt idx="327">
                  <c:v>3142096.66</c:v>
                </c:pt>
                <c:pt idx="328">
                  <c:v>5011598.7400000021</c:v>
                </c:pt>
                <c:pt idx="329">
                  <c:v>9474165.0399999991</c:v>
                </c:pt>
                <c:pt idx="330">
                  <c:v>5243139.1400000006</c:v>
                </c:pt>
                <c:pt idx="331">
                  <c:v>7460830.8499999996</c:v>
                </c:pt>
                <c:pt idx="332">
                  <c:v>9629296.6999999993</c:v>
                </c:pt>
                <c:pt idx="333">
                  <c:v>5171521.2100000009</c:v>
                </c:pt>
                <c:pt idx="334">
                  <c:v>9889693.2899999991</c:v>
                </c:pt>
                <c:pt idx="335">
                  <c:v>8233873.450000003</c:v>
                </c:pt>
                <c:pt idx="336">
                  <c:v>5090348.400000006</c:v>
                </c:pt>
                <c:pt idx="337">
                  <c:v>9724845.5099999979</c:v>
                </c:pt>
                <c:pt idx="338">
                  <c:v>8316544.8000000007</c:v>
                </c:pt>
                <c:pt idx="339">
                  <c:v>8561054.6400000006</c:v>
                </c:pt>
                <c:pt idx="340">
                  <c:v>9269084.3500000015</c:v>
                </c:pt>
                <c:pt idx="341">
                  <c:v>8018325.5099999979</c:v>
                </c:pt>
                <c:pt idx="342">
                  <c:v>8591501.799999997</c:v>
                </c:pt>
                <c:pt idx="343">
                  <c:v>7652283.6999999993</c:v>
                </c:pt>
                <c:pt idx="344">
                  <c:v>5945794.5199999996</c:v>
                </c:pt>
                <c:pt idx="345">
                  <c:v>8077955.3000000007</c:v>
                </c:pt>
                <c:pt idx="346">
                  <c:v>10179633.539999999</c:v>
                </c:pt>
                <c:pt idx="347">
                  <c:v>7115790.9399999976</c:v>
                </c:pt>
                <c:pt idx="348">
                  <c:v>6021170.6999999993</c:v>
                </c:pt>
                <c:pt idx="349">
                  <c:v>9768319.5300000012</c:v>
                </c:pt>
                <c:pt idx="350">
                  <c:v>7199733.1700000018</c:v>
                </c:pt>
                <c:pt idx="351">
                  <c:v>8380333.5099999979</c:v>
                </c:pt>
                <c:pt idx="352">
                  <c:v>10987468.939999998</c:v>
                </c:pt>
                <c:pt idx="353">
                  <c:v>5248505.5500000007</c:v>
                </c:pt>
                <c:pt idx="354">
                  <c:v>4976555.6200000048</c:v>
                </c:pt>
                <c:pt idx="355">
                  <c:v>6158047.4600000009</c:v>
                </c:pt>
                <c:pt idx="356">
                  <c:v>6152604.4299999997</c:v>
                </c:pt>
                <c:pt idx="357">
                  <c:v>6146529.5700000003</c:v>
                </c:pt>
                <c:pt idx="358">
                  <c:v>5699599.799999997</c:v>
                </c:pt>
                <c:pt idx="359">
                  <c:v>7900126.6000000015</c:v>
                </c:pt>
                <c:pt idx="360">
                  <c:v>12815846.800000001</c:v>
                </c:pt>
                <c:pt idx="361">
                  <c:v>20659514.609999999</c:v>
                </c:pt>
                <c:pt idx="362">
                  <c:v>7227693.5010000002</c:v>
                </c:pt>
                <c:pt idx="363">
                  <c:v>11864377.794</c:v>
                </c:pt>
                <c:pt idx="364">
                  <c:v>13697905.852000002</c:v>
                </c:pt>
                <c:pt idx="365">
                  <c:v>11413834.623000003</c:v>
                </c:pt>
                <c:pt idx="366">
                  <c:v>9396124.3849999979</c:v>
                </c:pt>
                <c:pt idx="367">
                  <c:v>14703271.950000003</c:v>
                </c:pt>
                <c:pt idx="368">
                  <c:v>14335928.190000001</c:v>
                </c:pt>
                <c:pt idx="369">
                  <c:v>9373248.7620000001</c:v>
                </c:pt>
                <c:pt idx="370">
                  <c:v>11405702.697999999</c:v>
                </c:pt>
                <c:pt idx="371">
                  <c:v>9980334.7459999993</c:v>
                </c:pt>
                <c:pt idx="372">
                  <c:v>9663470.7880000025</c:v>
                </c:pt>
                <c:pt idx="373">
                  <c:v>10406732.138999999</c:v>
                </c:pt>
                <c:pt idx="374">
                  <c:v>13966490.026000001</c:v>
                </c:pt>
                <c:pt idx="375">
                  <c:v>5933347.6419999972</c:v>
                </c:pt>
                <c:pt idx="376">
                  <c:v>8226835.6799999997</c:v>
                </c:pt>
                <c:pt idx="377">
                  <c:v>6120806.5399999991</c:v>
                </c:pt>
                <c:pt idx="378">
                  <c:v>7004909.8399999961</c:v>
                </c:pt>
                <c:pt idx="379">
                  <c:v>6707347.4199999981</c:v>
                </c:pt>
                <c:pt idx="380">
                  <c:v>9084236.9100000001</c:v>
                </c:pt>
                <c:pt idx="381">
                  <c:v>10076195.73</c:v>
                </c:pt>
                <c:pt idx="382">
                  <c:v>8578057.6700000018</c:v>
                </c:pt>
                <c:pt idx="383">
                  <c:v>3589629.6999999993</c:v>
                </c:pt>
                <c:pt idx="384">
                  <c:v>8867854.9500000011</c:v>
                </c:pt>
                <c:pt idx="385">
                  <c:v>7401164.6400000006</c:v>
                </c:pt>
                <c:pt idx="386">
                  <c:v>5229640.4200000018</c:v>
                </c:pt>
                <c:pt idx="387">
                  <c:v>5003618.8999999985</c:v>
                </c:pt>
                <c:pt idx="388">
                  <c:v>4176689.700000003</c:v>
                </c:pt>
                <c:pt idx="389">
                  <c:v>5357843.3800000027</c:v>
                </c:pt>
                <c:pt idx="390">
                  <c:v>5480090.9100000001</c:v>
                </c:pt>
                <c:pt idx="391">
                  <c:v>4140739.34</c:v>
                </c:pt>
                <c:pt idx="392">
                  <c:v>5370073.1969999969</c:v>
                </c:pt>
                <c:pt idx="393">
                  <c:v>13727853.218999997</c:v>
                </c:pt>
                <c:pt idx="394">
                  <c:v>6725224.0040000007</c:v>
                </c:pt>
                <c:pt idx="395">
                  <c:v>13158843.550999999</c:v>
                </c:pt>
                <c:pt idx="396">
                  <c:v>7923669.2840000018</c:v>
                </c:pt>
                <c:pt idx="397">
                  <c:v>6509608.7390000001</c:v>
                </c:pt>
                <c:pt idx="398">
                  <c:v>7760260.3500000015</c:v>
                </c:pt>
                <c:pt idx="399">
                  <c:v>11683872.487</c:v>
                </c:pt>
                <c:pt idx="400">
                  <c:v>7096866.8409999982</c:v>
                </c:pt>
                <c:pt idx="401">
                  <c:v>6533315.3430000022</c:v>
                </c:pt>
                <c:pt idx="402">
                  <c:v>9630091.5500000007</c:v>
                </c:pt>
                <c:pt idx="403">
                  <c:v>12825106.567000002</c:v>
                </c:pt>
                <c:pt idx="404">
                  <c:v>12652996.206</c:v>
                </c:pt>
                <c:pt idx="405">
                  <c:v>9498506.2349999994</c:v>
                </c:pt>
                <c:pt idx="406">
                  <c:v>7666808.0729999989</c:v>
                </c:pt>
                <c:pt idx="407">
                  <c:v>9545160.4279999994</c:v>
                </c:pt>
                <c:pt idx="408">
                  <c:v>5710527.9959999993</c:v>
                </c:pt>
                <c:pt idx="409">
                  <c:v>6401214.9719999991</c:v>
                </c:pt>
                <c:pt idx="410">
                  <c:v>7312302.1669999994</c:v>
                </c:pt>
                <c:pt idx="411">
                  <c:v>6945001.1930000037</c:v>
                </c:pt>
                <c:pt idx="412">
                  <c:v>9718054.1160000004</c:v>
                </c:pt>
                <c:pt idx="413">
                  <c:v>12645039.228</c:v>
                </c:pt>
                <c:pt idx="414">
                  <c:v>10382425.130000003</c:v>
                </c:pt>
                <c:pt idx="415">
                  <c:v>6098378.9330000002</c:v>
                </c:pt>
                <c:pt idx="416">
                  <c:v>8522863.9400000013</c:v>
                </c:pt>
                <c:pt idx="417">
                  <c:v>7937214.6319999993</c:v>
                </c:pt>
                <c:pt idx="418">
                  <c:v>7184703.1889999993</c:v>
                </c:pt>
                <c:pt idx="419">
                  <c:v>5403613.0989999995</c:v>
                </c:pt>
                <c:pt idx="420">
                  <c:v>7380956.5050000027</c:v>
                </c:pt>
                <c:pt idx="421">
                  <c:v>6733032.3339999989</c:v>
                </c:pt>
                <c:pt idx="422">
                  <c:v>6558105.2459999993</c:v>
                </c:pt>
                <c:pt idx="423">
                  <c:v>15635050.824000001</c:v>
                </c:pt>
                <c:pt idx="424">
                  <c:v>8035392.4890000001</c:v>
                </c:pt>
                <c:pt idx="425">
                  <c:v>5898430.5609999988</c:v>
                </c:pt>
                <c:pt idx="426">
                  <c:v>15081240.068999998</c:v>
                </c:pt>
                <c:pt idx="427">
                  <c:v>9785145.2960000001</c:v>
                </c:pt>
                <c:pt idx="428">
                  <c:v>12166758.734999999</c:v>
                </c:pt>
                <c:pt idx="429">
                  <c:v>7367951.6909999996</c:v>
                </c:pt>
                <c:pt idx="430">
                  <c:v>8019394.8999999985</c:v>
                </c:pt>
                <c:pt idx="431">
                  <c:v>11402384.520999998</c:v>
                </c:pt>
                <c:pt idx="432">
                  <c:v>10143249.501000002</c:v>
                </c:pt>
                <c:pt idx="433">
                  <c:v>11252726.377999999</c:v>
                </c:pt>
                <c:pt idx="434">
                  <c:v>9547958.5350000001</c:v>
                </c:pt>
                <c:pt idx="435">
                  <c:v>5419126.7580000013</c:v>
                </c:pt>
                <c:pt idx="436">
                  <c:v>7169364.8079999983</c:v>
                </c:pt>
                <c:pt idx="437">
                  <c:v>9760301.3229999989</c:v>
                </c:pt>
                <c:pt idx="438">
                  <c:v>9231218.4050000012</c:v>
                </c:pt>
                <c:pt idx="439">
                  <c:v>6735148.75</c:v>
                </c:pt>
                <c:pt idx="440">
                  <c:v>6540706.9100000001</c:v>
                </c:pt>
                <c:pt idx="441">
                  <c:v>5335081.4869999997</c:v>
                </c:pt>
                <c:pt idx="442">
                  <c:v>6389059.9629999995</c:v>
                </c:pt>
                <c:pt idx="443">
                  <c:v>6375045.0199999996</c:v>
                </c:pt>
                <c:pt idx="444">
                  <c:v>11356498.439999998</c:v>
                </c:pt>
                <c:pt idx="445">
                  <c:v>7619463.8999999985</c:v>
                </c:pt>
                <c:pt idx="446">
                  <c:v>5349137.7100000009</c:v>
                </c:pt>
                <c:pt idx="447">
                  <c:v>6927731.3099999987</c:v>
                </c:pt>
                <c:pt idx="448">
                  <c:v>7868432.2800000012</c:v>
                </c:pt>
                <c:pt idx="449">
                  <c:v>6780885.3000000007</c:v>
                </c:pt>
                <c:pt idx="450">
                  <c:v>5759050.3900000006</c:v>
                </c:pt>
                <c:pt idx="451">
                  <c:v>5247498.9400000013</c:v>
                </c:pt>
                <c:pt idx="452">
                  <c:v>7922348.3000000007</c:v>
                </c:pt>
                <c:pt idx="453">
                  <c:v>5468018.1899999976</c:v>
                </c:pt>
                <c:pt idx="454">
                  <c:v>9074528.6599999964</c:v>
                </c:pt>
                <c:pt idx="455">
                  <c:v>4689887.7299999967</c:v>
                </c:pt>
                <c:pt idx="456">
                  <c:v>14411209.840000004</c:v>
                </c:pt>
                <c:pt idx="457">
                  <c:v>14707397.399999999</c:v>
                </c:pt>
                <c:pt idx="458">
                  <c:v>13585413.700000003</c:v>
                </c:pt>
                <c:pt idx="459">
                  <c:v>9549282.8800000027</c:v>
                </c:pt>
                <c:pt idx="460">
                  <c:v>8736871.1499999985</c:v>
                </c:pt>
                <c:pt idx="461">
                  <c:v>8255574.3500000015</c:v>
                </c:pt>
                <c:pt idx="462">
                  <c:v>8901352.2099999972</c:v>
                </c:pt>
                <c:pt idx="463">
                  <c:v>6856881.1799999997</c:v>
                </c:pt>
                <c:pt idx="464">
                  <c:v>12078535.810000002</c:v>
                </c:pt>
                <c:pt idx="465">
                  <c:v>10068849.890000001</c:v>
                </c:pt>
                <c:pt idx="466">
                  <c:v>7634480.7100000009</c:v>
                </c:pt>
                <c:pt idx="467">
                  <c:v>5886023.0600000024</c:v>
                </c:pt>
                <c:pt idx="468">
                  <c:v>11024028.847000003</c:v>
                </c:pt>
                <c:pt idx="469">
                  <c:v>8044927.1499999985</c:v>
                </c:pt>
                <c:pt idx="470">
                  <c:v>7183691.693</c:v>
                </c:pt>
                <c:pt idx="471">
                  <c:v>7715463.7369999997</c:v>
                </c:pt>
                <c:pt idx="472">
                  <c:v>9422457.2010000013</c:v>
                </c:pt>
                <c:pt idx="473">
                  <c:v>10875732.603</c:v>
                </c:pt>
                <c:pt idx="474">
                  <c:v>10591998.690000001</c:v>
                </c:pt>
                <c:pt idx="475">
                  <c:v>8257114.8430000022</c:v>
                </c:pt>
                <c:pt idx="476">
                  <c:v>7146534.1019999981</c:v>
                </c:pt>
                <c:pt idx="477">
                  <c:v>9393952.1140000001</c:v>
                </c:pt>
                <c:pt idx="478">
                  <c:v>4949496.307</c:v>
                </c:pt>
                <c:pt idx="479">
                  <c:v>3021246</c:v>
                </c:pt>
                <c:pt idx="480">
                  <c:v>9195734.949000001</c:v>
                </c:pt>
                <c:pt idx="481">
                  <c:v>11560213.147999998</c:v>
                </c:pt>
                <c:pt idx="482">
                  <c:v>10635304.734999999</c:v>
                </c:pt>
                <c:pt idx="483">
                  <c:v>9114935.8220000006</c:v>
                </c:pt>
                <c:pt idx="484">
                  <c:v>11722910.471999999</c:v>
                </c:pt>
                <c:pt idx="485">
                  <c:v>10215403.730999999</c:v>
                </c:pt>
                <c:pt idx="486">
                  <c:v>13855510.673</c:v>
                </c:pt>
                <c:pt idx="487">
                  <c:v>16900337.987000003</c:v>
                </c:pt>
                <c:pt idx="488">
                  <c:v>9821823.8310000002</c:v>
                </c:pt>
                <c:pt idx="489">
                  <c:v>10993223.057000004</c:v>
                </c:pt>
                <c:pt idx="490">
                  <c:v>9981503.745000001</c:v>
                </c:pt>
                <c:pt idx="491">
                  <c:v>13686507.912</c:v>
                </c:pt>
                <c:pt idx="492">
                  <c:v>10305175.773000002</c:v>
                </c:pt>
                <c:pt idx="493">
                  <c:v>13190283.859999999</c:v>
                </c:pt>
                <c:pt idx="494">
                  <c:v>8163082.8090000004</c:v>
                </c:pt>
                <c:pt idx="495">
                  <c:v>10753567.049000002</c:v>
                </c:pt>
                <c:pt idx="496">
                  <c:v>17483112.489</c:v>
                </c:pt>
                <c:pt idx="497">
                  <c:v>13269073.524</c:v>
                </c:pt>
                <c:pt idx="498">
                  <c:v>15063128.067999996</c:v>
                </c:pt>
                <c:pt idx="499">
                  <c:v>11598620.73</c:v>
                </c:pt>
                <c:pt idx="500">
                  <c:v>8097205.3060000017</c:v>
                </c:pt>
                <c:pt idx="501">
                  <c:v>9564065.9860000014</c:v>
                </c:pt>
                <c:pt idx="502">
                  <c:v>7296280.379999999</c:v>
                </c:pt>
                <c:pt idx="503">
                  <c:v>9216071.5969999954</c:v>
                </c:pt>
                <c:pt idx="504">
                  <c:v>7026565.126000002</c:v>
                </c:pt>
                <c:pt idx="505">
                  <c:v>11812998.067000002</c:v>
                </c:pt>
                <c:pt idx="506">
                  <c:v>7152923.5850000009</c:v>
                </c:pt>
                <c:pt idx="507">
                  <c:v>13455064.984999999</c:v>
                </c:pt>
                <c:pt idx="508">
                  <c:v>10851998.093000002</c:v>
                </c:pt>
                <c:pt idx="509">
                  <c:v>22632343.829999998</c:v>
                </c:pt>
                <c:pt idx="510">
                  <c:v>9648347.1560000032</c:v>
                </c:pt>
                <c:pt idx="511">
                  <c:v>29544541.178000003</c:v>
                </c:pt>
                <c:pt idx="512">
                  <c:v>21629832.659999996</c:v>
                </c:pt>
                <c:pt idx="513">
                  <c:v>11556271.434</c:v>
                </c:pt>
                <c:pt idx="514">
                  <c:v>2506205.6300000027</c:v>
                </c:pt>
                <c:pt idx="515">
                  <c:v>2997582.623999998</c:v>
                </c:pt>
                <c:pt idx="516">
                  <c:v>34487827.109999999</c:v>
                </c:pt>
                <c:pt idx="517">
                  <c:v>11672539.511999995</c:v>
                </c:pt>
                <c:pt idx="518">
                  <c:v>31841021.533</c:v>
                </c:pt>
                <c:pt idx="519">
                  <c:v>26592909.899999999</c:v>
                </c:pt>
                <c:pt idx="520">
                  <c:v>33895099.503000006</c:v>
                </c:pt>
                <c:pt idx="521">
                  <c:v>15902027.568999998</c:v>
                </c:pt>
                <c:pt idx="522">
                  <c:v>17972010.730000004</c:v>
                </c:pt>
                <c:pt idx="523">
                  <c:v>21631399.829999998</c:v>
                </c:pt>
                <c:pt idx="524">
                  <c:v>18304932.539999999</c:v>
                </c:pt>
                <c:pt idx="525">
                  <c:v>15144405.310000002</c:v>
                </c:pt>
                <c:pt idx="526">
                  <c:v>15620437.09</c:v>
                </c:pt>
                <c:pt idx="527">
                  <c:v>12105279.609999999</c:v>
                </c:pt>
                <c:pt idx="528">
                  <c:v>13736345.460000001</c:v>
                </c:pt>
                <c:pt idx="529">
                  <c:v>17170887.829999998</c:v>
                </c:pt>
                <c:pt idx="530">
                  <c:v>9305878.5</c:v>
                </c:pt>
                <c:pt idx="531">
                  <c:v>14432385.840000004</c:v>
                </c:pt>
                <c:pt idx="532">
                  <c:v>15113625.519999996</c:v>
                </c:pt>
                <c:pt idx="533">
                  <c:v>13283484.399999999</c:v>
                </c:pt>
                <c:pt idx="534">
                  <c:v>14502410.799999997</c:v>
                </c:pt>
                <c:pt idx="535">
                  <c:v>14250751.880000003</c:v>
                </c:pt>
                <c:pt idx="536">
                  <c:v>11542219.259999998</c:v>
                </c:pt>
                <c:pt idx="537">
                  <c:v>10540340.66</c:v>
                </c:pt>
                <c:pt idx="538">
                  <c:v>14066050.200000003</c:v>
                </c:pt>
                <c:pt idx="539">
                  <c:v>9586326.5799999982</c:v>
                </c:pt>
                <c:pt idx="540">
                  <c:v>8235460.2800000012</c:v>
                </c:pt>
                <c:pt idx="541">
                  <c:v>6684940.3999999985</c:v>
                </c:pt>
                <c:pt idx="542">
                  <c:v>9409847.799999997</c:v>
                </c:pt>
                <c:pt idx="543">
                  <c:v>14414226.311999999</c:v>
                </c:pt>
                <c:pt idx="544">
                  <c:v>11337660.046000004</c:v>
                </c:pt>
                <c:pt idx="545">
                  <c:v>16364595.965000004</c:v>
                </c:pt>
                <c:pt idx="546">
                  <c:v>15840297.417999998</c:v>
                </c:pt>
                <c:pt idx="547">
                  <c:v>13736515.174999997</c:v>
                </c:pt>
                <c:pt idx="548">
                  <c:v>16420805.344000001</c:v>
                </c:pt>
                <c:pt idx="549">
                  <c:v>28455413.513999999</c:v>
                </c:pt>
                <c:pt idx="550">
                  <c:v>5825974.4000000022</c:v>
                </c:pt>
                <c:pt idx="551">
                  <c:v>14149406.427999996</c:v>
                </c:pt>
                <c:pt idx="552">
                  <c:v>14732069.960000001</c:v>
                </c:pt>
                <c:pt idx="553">
                  <c:v>14074040.93</c:v>
                </c:pt>
                <c:pt idx="554">
                  <c:v>12534782.199999999</c:v>
                </c:pt>
                <c:pt idx="555">
                  <c:v>11081458.130000003</c:v>
                </c:pt>
                <c:pt idx="556">
                  <c:v>12574016.240000002</c:v>
                </c:pt>
                <c:pt idx="557">
                  <c:v>10980515.969999999</c:v>
                </c:pt>
                <c:pt idx="558">
                  <c:v>10343912.618000001</c:v>
                </c:pt>
                <c:pt idx="559">
                  <c:v>14500356.015000001</c:v>
                </c:pt>
                <c:pt idx="560">
                  <c:v>13752074.024999999</c:v>
                </c:pt>
                <c:pt idx="561">
                  <c:v>9675796.0300000012</c:v>
                </c:pt>
                <c:pt idx="562">
                  <c:v>12128381.274999999</c:v>
                </c:pt>
                <c:pt idx="563">
                  <c:v>10657247.365000002</c:v>
                </c:pt>
                <c:pt idx="564">
                  <c:v>9606053.9149999991</c:v>
                </c:pt>
                <c:pt idx="565">
                  <c:v>8867697.4350000024</c:v>
                </c:pt>
                <c:pt idx="566">
                  <c:v>10111390.920000002</c:v>
                </c:pt>
                <c:pt idx="567">
                  <c:v>10479260.505000003</c:v>
                </c:pt>
                <c:pt idx="568">
                  <c:v>10450530.674999997</c:v>
                </c:pt>
                <c:pt idx="569">
                  <c:v>19977098.255000003</c:v>
                </c:pt>
                <c:pt idx="570">
                  <c:v>11504554.695</c:v>
                </c:pt>
                <c:pt idx="571">
                  <c:v>7728087.1649999991</c:v>
                </c:pt>
                <c:pt idx="572">
                  <c:v>8611548.6799999997</c:v>
                </c:pt>
                <c:pt idx="573">
                  <c:v>10755299.57</c:v>
                </c:pt>
                <c:pt idx="574">
                  <c:v>8835872.375</c:v>
                </c:pt>
                <c:pt idx="575">
                  <c:v>14537230.265000001</c:v>
                </c:pt>
                <c:pt idx="576">
                  <c:v>16129564.890000001</c:v>
                </c:pt>
                <c:pt idx="577">
                  <c:v>15057983.050000001</c:v>
                </c:pt>
                <c:pt idx="578">
                  <c:v>10997704.524999999</c:v>
                </c:pt>
                <c:pt idx="579">
                  <c:v>14990239.625</c:v>
                </c:pt>
                <c:pt idx="580">
                  <c:v>29974642.090000004</c:v>
                </c:pt>
                <c:pt idx="581">
                  <c:v>17894632.899999999</c:v>
                </c:pt>
                <c:pt idx="582">
                  <c:v>20615894.375</c:v>
                </c:pt>
                <c:pt idx="583">
                  <c:v>15637089.560999997</c:v>
                </c:pt>
                <c:pt idx="584">
                  <c:v>10684829.539999999</c:v>
                </c:pt>
                <c:pt idx="585">
                  <c:v>13442713.521000005</c:v>
                </c:pt>
                <c:pt idx="586">
                  <c:v>10761383.688999999</c:v>
                </c:pt>
                <c:pt idx="587">
                  <c:v>11274718.155000001</c:v>
                </c:pt>
                <c:pt idx="588">
                  <c:v>12304316.850000001</c:v>
                </c:pt>
                <c:pt idx="589">
                  <c:v>16154065.239999998</c:v>
                </c:pt>
                <c:pt idx="590">
                  <c:v>9579992.379999999</c:v>
                </c:pt>
                <c:pt idx="591">
                  <c:v>18352318.925999999</c:v>
                </c:pt>
                <c:pt idx="592">
                  <c:v>15900915.045000002</c:v>
                </c:pt>
                <c:pt idx="593">
                  <c:v>14633632.255999997</c:v>
                </c:pt>
                <c:pt idx="594">
                  <c:v>14896249.784999996</c:v>
                </c:pt>
                <c:pt idx="595">
                  <c:v>20868295.019000001</c:v>
                </c:pt>
                <c:pt idx="596">
                  <c:v>15034855.130000003</c:v>
                </c:pt>
                <c:pt idx="597">
                  <c:v>13635335.101</c:v>
                </c:pt>
                <c:pt idx="598">
                  <c:v>20507368.527999997</c:v>
                </c:pt>
                <c:pt idx="599">
                  <c:v>14479904.164999999</c:v>
                </c:pt>
                <c:pt idx="600">
                  <c:v>11282096.199000001</c:v>
                </c:pt>
                <c:pt idx="601">
                  <c:v>13889912.759000003</c:v>
                </c:pt>
                <c:pt idx="602">
                  <c:v>14073729.059</c:v>
                </c:pt>
                <c:pt idx="603">
                  <c:v>13053013.715</c:v>
                </c:pt>
                <c:pt idx="604">
                  <c:v>11401547.821000002</c:v>
                </c:pt>
                <c:pt idx="605">
                  <c:v>10528596.306000002</c:v>
                </c:pt>
                <c:pt idx="606">
                  <c:v>8725150.3440000005</c:v>
                </c:pt>
                <c:pt idx="607">
                  <c:v>12064048.344999999</c:v>
                </c:pt>
                <c:pt idx="608">
                  <c:v>16076824.535999998</c:v>
                </c:pt>
                <c:pt idx="609">
                  <c:v>24099990.169</c:v>
                </c:pt>
                <c:pt idx="610">
                  <c:v>16147047.903000005</c:v>
                </c:pt>
                <c:pt idx="611">
                  <c:v>15516230.968000002</c:v>
                </c:pt>
                <c:pt idx="612">
                  <c:v>15901546.564999998</c:v>
                </c:pt>
                <c:pt idx="613">
                  <c:v>10206987.993000001</c:v>
                </c:pt>
                <c:pt idx="614">
                  <c:v>9488357.3180000037</c:v>
                </c:pt>
                <c:pt idx="615">
                  <c:v>11583041.684999999</c:v>
                </c:pt>
                <c:pt idx="616">
                  <c:v>15884618.777999997</c:v>
                </c:pt>
                <c:pt idx="617">
                  <c:v>18389502.666000001</c:v>
                </c:pt>
                <c:pt idx="618">
                  <c:v>11959748.453000002</c:v>
                </c:pt>
                <c:pt idx="619">
                  <c:v>20392707.776000001</c:v>
                </c:pt>
                <c:pt idx="620">
                  <c:v>8229606.9130000025</c:v>
                </c:pt>
                <c:pt idx="621">
                  <c:v>9533103.8400000036</c:v>
                </c:pt>
                <c:pt idx="622">
                  <c:v>7034878.887000002</c:v>
                </c:pt>
                <c:pt idx="623">
                  <c:v>11600707.229000002</c:v>
                </c:pt>
                <c:pt idx="624">
                  <c:v>9319677.4350000024</c:v>
                </c:pt>
                <c:pt idx="625">
                  <c:v>12681234.963</c:v>
                </c:pt>
                <c:pt idx="626">
                  <c:v>12389993.103</c:v>
                </c:pt>
                <c:pt idx="627">
                  <c:v>9309580.9039999992</c:v>
                </c:pt>
                <c:pt idx="628">
                  <c:v>18948128.535999998</c:v>
                </c:pt>
                <c:pt idx="629">
                  <c:v>10836883.388999999</c:v>
                </c:pt>
                <c:pt idx="630">
                  <c:v>8471063.5139999986</c:v>
                </c:pt>
                <c:pt idx="631">
                  <c:v>9688019.0940000005</c:v>
                </c:pt>
                <c:pt idx="632">
                  <c:v>12385801.685000002</c:v>
                </c:pt>
                <c:pt idx="633">
                  <c:v>11852500.234999999</c:v>
                </c:pt>
                <c:pt idx="634">
                  <c:v>11749745.411000002</c:v>
                </c:pt>
                <c:pt idx="635">
                  <c:v>7130562.4220000021</c:v>
                </c:pt>
                <c:pt idx="636">
                  <c:v>7619144.7829999998</c:v>
                </c:pt>
                <c:pt idx="637">
                  <c:v>8898672.9409999996</c:v>
                </c:pt>
                <c:pt idx="638">
                  <c:v>6226401.6090000011</c:v>
                </c:pt>
                <c:pt idx="639">
                  <c:v>7984955.4250000007</c:v>
                </c:pt>
                <c:pt idx="640">
                  <c:v>31052283.93</c:v>
                </c:pt>
                <c:pt idx="641">
                  <c:v>11466372.932999998</c:v>
                </c:pt>
                <c:pt idx="642">
                  <c:v>10031151.105999999</c:v>
                </c:pt>
                <c:pt idx="643">
                  <c:v>16575236.710000001</c:v>
                </c:pt>
                <c:pt idx="644">
                  <c:v>9857050.4660000019</c:v>
                </c:pt>
                <c:pt idx="645">
                  <c:v>13048715.016000003</c:v>
                </c:pt>
                <c:pt idx="646">
                  <c:v>8617544.8040000014</c:v>
                </c:pt>
                <c:pt idx="647">
                  <c:v>11027976.629000001</c:v>
                </c:pt>
                <c:pt idx="648">
                  <c:v>9263946.8709999993</c:v>
                </c:pt>
                <c:pt idx="649">
                  <c:v>11720353.589000002</c:v>
                </c:pt>
                <c:pt idx="650">
                  <c:v>12203981.670000002</c:v>
                </c:pt>
                <c:pt idx="651">
                  <c:v>15515552.957000002</c:v>
                </c:pt>
                <c:pt idx="652">
                  <c:v>15072763.881999999</c:v>
                </c:pt>
                <c:pt idx="653">
                  <c:v>10203478.491</c:v>
                </c:pt>
                <c:pt idx="654">
                  <c:v>13803312.246999998</c:v>
                </c:pt>
                <c:pt idx="655">
                  <c:v>11478947.634000003</c:v>
                </c:pt>
                <c:pt idx="656">
                  <c:v>10070151.274</c:v>
                </c:pt>
                <c:pt idx="657">
                  <c:v>12828053.377999999</c:v>
                </c:pt>
                <c:pt idx="658">
                  <c:v>12245538.076000001</c:v>
                </c:pt>
                <c:pt idx="659">
                  <c:v>9899702.0419999957</c:v>
                </c:pt>
                <c:pt idx="660">
                  <c:v>10002248.41</c:v>
                </c:pt>
                <c:pt idx="661">
                  <c:v>12561001.971000001</c:v>
                </c:pt>
                <c:pt idx="662">
                  <c:v>16754967.908</c:v>
                </c:pt>
                <c:pt idx="663">
                  <c:v>10608318.419</c:v>
                </c:pt>
                <c:pt idx="664">
                  <c:v>7551337.557</c:v>
                </c:pt>
                <c:pt idx="665">
                  <c:v>20754597.171000004</c:v>
                </c:pt>
                <c:pt idx="666">
                  <c:v>16625366.475000001</c:v>
                </c:pt>
                <c:pt idx="667">
                  <c:v>12267925.877999999</c:v>
                </c:pt>
                <c:pt idx="668">
                  <c:v>8584073.4600000009</c:v>
                </c:pt>
                <c:pt idx="669">
                  <c:v>12249840.046000004</c:v>
                </c:pt>
                <c:pt idx="670">
                  <c:v>8063777.1290000007</c:v>
                </c:pt>
                <c:pt idx="671">
                  <c:v>17211329.098999999</c:v>
                </c:pt>
                <c:pt idx="672">
                  <c:v>14303932.906999998</c:v>
                </c:pt>
                <c:pt idx="673">
                  <c:v>11844465.339000002</c:v>
                </c:pt>
                <c:pt idx="674">
                  <c:v>6788911.8110000007</c:v>
                </c:pt>
                <c:pt idx="675">
                  <c:v>15287952.427000001</c:v>
                </c:pt>
                <c:pt idx="676">
                  <c:v>11628634.998</c:v>
                </c:pt>
                <c:pt idx="677">
                  <c:v>12131908.174999997</c:v>
                </c:pt>
                <c:pt idx="678">
                  <c:v>8624775.8809999973</c:v>
                </c:pt>
                <c:pt idx="679">
                  <c:v>14790173.343999997</c:v>
                </c:pt>
                <c:pt idx="680">
                  <c:v>12905384.954999998</c:v>
                </c:pt>
                <c:pt idx="681">
                  <c:v>14358805.484000001</c:v>
                </c:pt>
                <c:pt idx="682">
                  <c:v>17488371.935999997</c:v>
                </c:pt>
                <c:pt idx="683">
                  <c:v>11862554.544</c:v>
                </c:pt>
                <c:pt idx="684">
                  <c:v>8759492.6380000003</c:v>
                </c:pt>
                <c:pt idx="685">
                  <c:v>7188390.626000002</c:v>
                </c:pt>
                <c:pt idx="686">
                  <c:v>7671032.8980000019</c:v>
                </c:pt>
                <c:pt idx="687">
                  <c:v>8965299.8729999959</c:v>
                </c:pt>
                <c:pt idx="688">
                  <c:v>6030152.7310000025</c:v>
                </c:pt>
                <c:pt idx="689">
                  <c:v>9673438.3420000002</c:v>
                </c:pt>
                <c:pt idx="690">
                  <c:v>6695104.9849999994</c:v>
                </c:pt>
                <c:pt idx="691">
                  <c:v>9556729.1669999994</c:v>
                </c:pt>
                <c:pt idx="692">
                  <c:v>8164403.1099999994</c:v>
                </c:pt>
                <c:pt idx="693">
                  <c:v>7339303.4699999988</c:v>
                </c:pt>
                <c:pt idx="694">
                  <c:v>14050344.329999998</c:v>
                </c:pt>
                <c:pt idx="695">
                  <c:v>9493153.2569999993</c:v>
                </c:pt>
                <c:pt idx="696">
                  <c:v>13165593.398000002</c:v>
                </c:pt>
                <c:pt idx="697">
                  <c:v>12445007.971000001</c:v>
                </c:pt>
                <c:pt idx="698">
                  <c:v>15028320.063000001</c:v>
                </c:pt>
                <c:pt idx="699">
                  <c:v>11431882.975000001</c:v>
                </c:pt>
                <c:pt idx="700">
                  <c:v>16443057.571999997</c:v>
                </c:pt>
                <c:pt idx="701">
                  <c:v>15335064.740999997</c:v>
                </c:pt>
                <c:pt idx="702">
                  <c:v>6914111.4959999993</c:v>
                </c:pt>
                <c:pt idx="703">
                  <c:v>6140980.8589999974</c:v>
                </c:pt>
                <c:pt idx="704">
                  <c:v>11697348.328000002</c:v>
                </c:pt>
                <c:pt idx="705">
                  <c:v>15123124.019999996</c:v>
                </c:pt>
                <c:pt idx="706">
                  <c:v>12388833.633000001</c:v>
                </c:pt>
                <c:pt idx="707">
                  <c:v>10336946.478</c:v>
                </c:pt>
                <c:pt idx="708">
                  <c:v>11860019.609000001</c:v>
                </c:pt>
                <c:pt idx="709">
                  <c:v>11559834.234999999</c:v>
                </c:pt>
                <c:pt idx="710">
                  <c:v>15514903.193999998</c:v>
                </c:pt>
                <c:pt idx="711">
                  <c:v>13710146.443</c:v>
                </c:pt>
                <c:pt idx="712">
                  <c:v>8116630.5</c:v>
                </c:pt>
                <c:pt idx="713">
                  <c:v>5727936.2110000029</c:v>
                </c:pt>
                <c:pt idx="714">
                  <c:v>17048587.07</c:v>
                </c:pt>
                <c:pt idx="715">
                  <c:v>11219741.539999999</c:v>
                </c:pt>
                <c:pt idx="716">
                  <c:v>8987703.6090000011</c:v>
                </c:pt>
                <c:pt idx="717">
                  <c:v>7311795.1040000021</c:v>
                </c:pt>
                <c:pt idx="718">
                  <c:v>8142187.2239999995</c:v>
                </c:pt>
                <c:pt idx="719">
                  <c:v>8740192.3379999995</c:v>
                </c:pt>
                <c:pt idx="720">
                  <c:v>6338110.5179999992</c:v>
                </c:pt>
                <c:pt idx="721">
                  <c:v>14771360.935999997</c:v>
                </c:pt>
                <c:pt idx="722">
                  <c:v>9337840.4829999954</c:v>
                </c:pt>
                <c:pt idx="723">
                  <c:v>9094294.0819999985</c:v>
                </c:pt>
                <c:pt idx="724">
                  <c:v>8006856.5789999962</c:v>
                </c:pt>
                <c:pt idx="725">
                  <c:v>14716527.754999995</c:v>
                </c:pt>
                <c:pt idx="726">
                  <c:v>11723840.392999999</c:v>
                </c:pt>
                <c:pt idx="727">
                  <c:v>5591722.3540000021</c:v>
                </c:pt>
                <c:pt idx="728">
                  <c:v>11054775.443000004</c:v>
                </c:pt>
                <c:pt idx="729">
                  <c:v>19621884.800999999</c:v>
                </c:pt>
                <c:pt idx="730">
                  <c:v>15079086.995000005</c:v>
                </c:pt>
                <c:pt idx="731">
                  <c:v>6775949.1770000011</c:v>
                </c:pt>
                <c:pt idx="732">
                  <c:v>6834235.2910000011</c:v>
                </c:pt>
                <c:pt idx="733">
                  <c:v>14894224.63499999</c:v>
                </c:pt>
                <c:pt idx="734">
                  <c:v>6365658.8540000021</c:v>
                </c:pt>
                <c:pt idx="735">
                  <c:v>3607203.3879999965</c:v>
                </c:pt>
                <c:pt idx="736">
                  <c:v>6733096.1510000005</c:v>
                </c:pt>
                <c:pt idx="737">
                  <c:v>11337814.016000003</c:v>
                </c:pt>
                <c:pt idx="738">
                  <c:v>5089425.5480000079</c:v>
                </c:pt>
                <c:pt idx="739">
                  <c:v>8061736.5040000007</c:v>
                </c:pt>
                <c:pt idx="740">
                  <c:v>9999702.4479999989</c:v>
                </c:pt>
                <c:pt idx="741">
                  <c:v>5522267.3449999988</c:v>
                </c:pt>
                <c:pt idx="742">
                  <c:v>8944401.3830000013</c:v>
                </c:pt>
                <c:pt idx="743">
                  <c:v>12377195.022</c:v>
                </c:pt>
                <c:pt idx="744">
                  <c:v>8245038.2070000023</c:v>
                </c:pt>
                <c:pt idx="745">
                  <c:v>11607325.516000003</c:v>
                </c:pt>
                <c:pt idx="746">
                  <c:v>6205724.9235000014</c:v>
                </c:pt>
                <c:pt idx="747">
                  <c:v>13264803.509000003</c:v>
                </c:pt>
                <c:pt idx="748">
                  <c:v>6724906.4690000005</c:v>
                </c:pt>
                <c:pt idx="749">
                  <c:v>8117192.9780000001</c:v>
                </c:pt>
                <c:pt idx="750">
                  <c:v>13145990.144000001</c:v>
                </c:pt>
                <c:pt idx="751">
                  <c:v>10435990.357999999</c:v>
                </c:pt>
                <c:pt idx="752">
                  <c:v>19058616.454999998</c:v>
                </c:pt>
                <c:pt idx="753">
                  <c:v>19531371.439999998</c:v>
                </c:pt>
                <c:pt idx="754">
                  <c:v>9228324.1590000018</c:v>
                </c:pt>
                <c:pt idx="755">
                  <c:v>13224652.493000001</c:v>
                </c:pt>
                <c:pt idx="756">
                  <c:v>13342912.435000002</c:v>
                </c:pt>
                <c:pt idx="757">
                  <c:v>14823804.351999998</c:v>
                </c:pt>
                <c:pt idx="758">
                  <c:v>5524150.8200000003</c:v>
                </c:pt>
                <c:pt idx="759">
                  <c:v>10450115.088</c:v>
                </c:pt>
                <c:pt idx="760">
                  <c:v>6039090.5160000026</c:v>
                </c:pt>
                <c:pt idx="761">
                  <c:v>20892340.068999998</c:v>
                </c:pt>
                <c:pt idx="762">
                  <c:v>11182916.903000001</c:v>
                </c:pt>
                <c:pt idx="763">
                  <c:v>8217935.2360000014</c:v>
                </c:pt>
                <c:pt idx="764">
                  <c:v>13941735.783</c:v>
                </c:pt>
                <c:pt idx="765">
                  <c:v>7971249.0160000026</c:v>
                </c:pt>
                <c:pt idx="766">
                  <c:v>7999848.3690000027</c:v>
                </c:pt>
                <c:pt idx="767">
                  <c:v>21517498.759999998</c:v>
                </c:pt>
                <c:pt idx="768">
                  <c:v>30298016.730999999</c:v>
                </c:pt>
                <c:pt idx="769">
                  <c:v>12521069.892999999</c:v>
                </c:pt>
                <c:pt idx="770">
                  <c:v>39811872.097999997</c:v>
                </c:pt>
                <c:pt idx="771">
                  <c:v>46202343.354999997</c:v>
                </c:pt>
                <c:pt idx="772">
                  <c:v>31515433.350000001</c:v>
                </c:pt>
                <c:pt idx="773">
                  <c:v>40323322.501999997</c:v>
                </c:pt>
                <c:pt idx="774">
                  <c:v>44339434.056000002</c:v>
                </c:pt>
                <c:pt idx="775">
                  <c:v>34005772.351999998</c:v>
                </c:pt>
                <c:pt idx="776">
                  <c:v>30197779.951000001</c:v>
                </c:pt>
                <c:pt idx="777">
                  <c:v>33113222.713</c:v>
                </c:pt>
                <c:pt idx="778">
                  <c:v>26951761.199000001</c:v>
                </c:pt>
                <c:pt idx="779">
                  <c:v>21517866.901999995</c:v>
                </c:pt>
                <c:pt idx="780">
                  <c:v>29633939.833000001</c:v>
                </c:pt>
                <c:pt idx="781">
                  <c:v>33971731.439999998</c:v>
                </c:pt>
                <c:pt idx="782">
                  <c:v>27250605.218999997</c:v>
                </c:pt>
                <c:pt idx="783">
                  <c:v>27640042.464000002</c:v>
                </c:pt>
                <c:pt idx="784">
                  <c:v>34715201.950999998</c:v>
                </c:pt>
                <c:pt idx="785">
                  <c:v>20950696.717</c:v>
                </c:pt>
                <c:pt idx="786">
                  <c:v>20639463.272999998</c:v>
                </c:pt>
                <c:pt idx="787">
                  <c:v>34785627.685999997</c:v>
                </c:pt>
                <c:pt idx="788">
                  <c:v>48149687.204000004</c:v>
                </c:pt>
                <c:pt idx="789">
                  <c:v>6141918.012000002</c:v>
                </c:pt>
                <c:pt idx="790">
                  <c:v>11402860.216000006</c:v>
                </c:pt>
                <c:pt idx="791">
                  <c:v>28053427.978</c:v>
                </c:pt>
                <c:pt idx="792">
                  <c:v>47122336.593000002</c:v>
                </c:pt>
                <c:pt idx="793">
                  <c:v>27099483.776000001</c:v>
                </c:pt>
                <c:pt idx="794">
                  <c:v>46427087.602000006</c:v>
                </c:pt>
                <c:pt idx="795">
                  <c:v>38184033.468999997</c:v>
                </c:pt>
                <c:pt idx="796">
                  <c:v>28724361.088</c:v>
                </c:pt>
                <c:pt idx="797">
                  <c:v>21682087.181999996</c:v>
                </c:pt>
                <c:pt idx="798">
                  <c:v>11117532.846999999</c:v>
                </c:pt>
                <c:pt idx="799">
                  <c:v>9275147.8170000017</c:v>
                </c:pt>
                <c:pt idx="800">
                  <c:v>15388635.952999998</c:v>
                </c:pt>
                <c:pt idx="801">
                  <c:v>36028281.487999998</c:v>
                </c:pt>
                <c:pt idx="802">
                  <c:v>24904496.497000001</c:v>
                </c:pt>
                <c:pt idx="803">
                  <c:v>14985302.976999998</c:v>
                </c:pt>
                <c:pt idx="804">
                  <c:v>8140493.8690000027</c:v>
                </c:pt>
                <c:pt idx="805">
                  <c:v>4785579.1590000018</c:v>
                </c:pt>
                <c:pt idx="806">
                  <c:v>10734729.781000003</c:v>
                </c:pt>
                <c:pt idx="807">
                  <c:v>8891531.5130000003</c:v>
                </c:pt>
                <c:pt idx="808">
                  <c:v>11524606.843999997</c:v>
                </c:pt>
                <c:pt idx="809">
                  <c:v>4579679.4690000005</c:v>
                </c:pt>
                <c:pt idx="810">
                  <c:v>6362752.1600000039</c:v>
                </c:pt>
                <c:pt idx="811">
                  <c:v>8777223.1409999989</c:v>
                </c:pt>
                <c:pt idx="812">
                  <c:v>5311610.2199999988</c:v>
                </c:pt>
                <c:pt idx="813">
                  <c:v>19974579.696999997</c:v>
                </c:pt>
                <c:pt idx="814">
                  <c:v>17395648.737</c:v>
                </c:pt>
                <c:pt idx="815">
                  <c:v>4764723.4459999986</c:v>
                </c:pt>
                <c:pt idx="816">
                  <c:v>10080246.791999996</c:v>
                </c:pt>
                <c:pt idx="817">
                  <c:v>6398024.0469999984</c:v>
                </c:pt>
                <c:pt idx="818">
                  <c:v>8887415.8489999995</c:v>
                </c:pt>
                <c:pt idx="819">
                  <c:v>9225219.4849999994</c:v>
                </c:pt>
                <c:pt idx="820">
                  <c:v>16413493.170000002</c:v>
                </c:pt>
                <c:pt idx="821">
                  <c:v>11331796.645000003</c:v>
                </c:pt>
                <c:pt idx="822">
                  <c:v>10994912.974999994</c:v>
                </c:pt>
                <c:pt idx="823">
                  <c:v>18742366.895000003</c:v>
                </c:pt>
                <c:pt idx="824">
                  <c:v>11317329.649999999</c:v>
                </c:pt>
                <c:pt idx="825">
                  <c:v>13616869.875</c:v>
                </c:pt>
                <c:pt idx="826">
                  <c:v>14985171.140000001</c:v>
                </c:pt>
                <c:pt idx="827">
                  <c:v>19369188.331</c:v>
                </c:pt>
                <c:pt idx="828">
                  <c:v>11052732.979</c:v>
                </c:pt>
                <c:pt idx="829">
                  <c:v>17959720.866999999</c:v>
                </c:pt>
                <c:pt idx="830">
                  <c:v>12415682.987999998</c:v>
                </c:pt>
                <c:pt idx="831">
                  <c:v>15802628.07</c:v>
                </c:pt>
                <c:pt idx="832">
                  <c:v>12023527.43</c:v>
                </c:pt>
                <c:pt idx="833">
                  <c:v>12561514.649999999</c:v>
                </c:pt>
                <c:pt idx="834">
                  <c:v>19503461.600000001</c:v>
                </c:pt>
                <c:pt idx="835">
                  <c:v>22976673.369999997</c:v>
                </c:pt>
                <c:pt idx="836">
                  <c:v>14908930.780000001</c:v>
                </c:pt>
                <c:pt idx="837">
                  <c:v>13854866.57</c:v>
                </c:pt>
                <c:pt idx="838">
                  <c:v>10294699.41</c:v>
                </c:pt>
                <c:pt idx="839">
                  <c:v>9101696.709999999</c:v>
                </c:pt>
                <c:pt idx="840">
                  <c:v>6922433.3100000005</c:v>
                </c:pt>
                <c:pt idx="841">
                  <c:v>16019987.280000001</c:v>
                </c:pt>
                <c:pt idx="842">
                  <c:v>19205715.049999997</c:v>
                </c:pt>
                <c:pt idx="843">
                  <c:v>5408172.1799999997</c:v>
                </c:pt>
                <c:pt idx="844">
                  <c:v>4551643.120000001</c:v>
                </c:pt>
                <c:pt idx="845">
                  <c:v>3693302.4700000025</c:v>
                </c:pt>
                <c:pt idx="846">
                  <c:v>7657980.5399999991</c:v>
                </c:pt>
                <c:pt idx="847">
                  <c:v>40549419.032999992</c:v>
                </c:pt>
                <c:pt idx="848">
                  <c:v>2771486.5219999999</c:v>
                </c:pt>
                <c:pt idx="849">
                  <c:v>7643868.8499999996</c:v>
                </c:pt>
                <c:pt idx="850">
                  <c:v>16948756.650999993</c:v>
                </c:pt>
                <c:pt idx="851">
                  <c:v>43026433.846000001</c:v>
                </c:pt>
                <c:pt idx="852">
                  <c:v>33101644.305000007</c:v>
                </c:pt>
                <c:pt idx="853">
                  <c:v>44554581.675999999</c:v>
                </c:pt>
                <c:pt idx="854">
                  <c:v>60351436.691</c:v>
                </c:pt>
                <c:pt idx="855">
                  <c:v>14227264.120000001</c:v>
                </c:pt>
                <c:pt idx="856">
                  <c:v>30992343</c:v>
                </c:pt>
                <c:pt idx="857">
                  <c:v>22696010.780000001</c:v>
                </c:pt>
                <c:pt idx="858">
                  <c:v>15010962.865000002</c:v>
                </c:pt>
                <c:pt idx="859">
                  <c:v>44034228.819999993</c:v>
                </c:pt>
                <c:pt idx="860">
                  <c:v>22363166.094999999</c:v>
                </c:pt>
                <c:pt idx="861">
                  <c:v>25191752.975000001</c:v>
                </c:pt>
                <c:pt idx="862">
                  <c:v>44261202.329999998</c:v>
                </c:pt>
                <c:pt idx="863">
                  <c:v>23488407.545000002</c:v>
                </c:pt>
                <c:pt idx="864">
                  <c:v>14516116.145000003</c:v>
                </c:pt>
                <c:pt idx="865">
                  <c:v>31134613.449999988</c:v>
                </c:pt>
                <c:pt idx="866">
                  <c:v>22042296.024999999</c:v>
                </c:pt>
                <c:pt idx="867">
                  <c:v>6113043.0850000009</c:v>
                </c:pt>
                <c:pt idx="868">
                  <c:v>72293038.620000005</c:v>
                </c:pt>
                <c:pt idx="869">
                  <c:v>38895107.475000001</c:v>
                </c:pt>
                <c:pt idx="870">
                  <c:v>8274563.4400000051</c:v>
                </c:pt>
                <c:pt idx="871">
                  <c:v>14561123.609999999</c:v>
                </c:pt>
                <c:pt idx="872">
                  <c:v>7765788</c:v>
                </c:pt>
                <c:pt idx="873">
                  <c:v>8810026.3500000015</c:v>
                </c:pt>
                <c:pt idx="874">
                  <c:v>49135405.969999999</c:v>
                </c:pt>
                <c:pt idx="875">
                  <c:v>20945846.670000002</c:v>
                </c:pt>
                <c:pt idx="876">
                  <c:v>39783754.252999991</c:v>
                </c:pt>
                <c:pt idx="877">
                  <c:v>12864283.835000001</c:v>
                </c:pt>
                <c:pt idx="878">
                  <c:v>37671829.322999999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93-4675-8CF1-E99C3E7C4480}"/>
            </c:ext>
          </c:extLst>
        </c:ser>
        <c:ser>
          <c:idx val="24"/>
          <c:order val="24"/>
          <c:tx>
            <c:strRef>
              <c:f>'CASH FLOW'!$Z$1</c:f>
              <c:strCache>
                <c:ptCount val="1"/>
                <c:pt idx="0">
                  <c:v>C          A          S          H                    O          U          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FLOW'!$Z$2:$Z$969</c:f>
              <c:numCache>
                <c:formatCode>General</c:formatCode>
                <c:ptCount val="968"/>
                <c:pt idx="0">
                  <c:v>0</c:v>
                </c:pt>
                <c:pt idx="1">
                  <c:v>0</c:v>
                </c:pt>
                <c:pt idx="16" formatCode="_-* #,##0_-;\-* #,##0_-;_-* &quot;-&quot;??_-;_-@_-">
                  <c:v>1415030</c:v>
                </c:pt>
                <c:pt idx="45" formatCode="_-* #,##0_-;\-* #,##0_-;_-* &quot;-&quot;??_-;_-@_-">
                  <c:v>1613116</c:v>
                </c:pt>
                <c:pt idx="75" formatCode="_-* #,##0_-;\-* #,##0_-;_-* &quot;-&quot;??_-;_-@_-">
                  <c:v>1591992</c:v>
                </c:pt>
                <c:pt idx="95" formatCode="_-* #,##0_-;\-* #,##0_-;_-* &quot;-&quot;??_-;_-@_-">
                  <c:v>45000</c:v>
                </c:pt>
                <c:pt idx="124" formatCode="_-* #,##0_-;\-* #,##0_-;_-* &quot;-&quot;??_-;_-@_-">
                  <c:v>1760000</c:v>
                </c:pt>
                <c:pt idx="156" formatCode="_-* #,##0_-;\-* #,##0_-;_-* &quot;-&quot;??_-;_-@_-">
                  <c:v>1597679</c:v>
                </c:pt>
                <c:pt idx="157" formatCode="_-* #,##0_-;\-* #,##0_-;_-* &quot;-&quot;??_-;_-@_-">
                  <c:v>0</c:v>
                </c:pt>
                <c:pt idx="181" formatCode="_-* #,##0_-;\-* #,##0_-;_-* &quot;-&quot;??_-;_-@_-">
                  <c:v>1431600</c:v>
                </c:pt>
                <c:pt idx="214" formatCode="_-* #,##0_-;\-* #,##0_-;_-* &quot;-&quot;??_-;_-@_-">
                  <c:v>1531268</c:v>
                </c:pt>
                <c:pt idx="228" formatCode="_-* #,##0_-;\-* #,##0_-;_-* &quot;-&quot;??_-;_-@_-">
                  <c:v>1428081</c:v>
                </c:pt>
                <c:pt idx="258" formatCode="_-* #,##0_-;\-* #,##0_-;_-* &quot;-&quot;??_-;_-@_-">
                  <c:v>1384800</c:v>
                </c:pt>
                <c:pt idx="290" formatCode="_-* #,##0_-;\-* #,##0_-;_-* &quot;-&quot;??_-;_-@_-">
                  <c:v>1862252</c:v>
                </c:pt>
                <c:pt idx="316" formatCode="_-* #,##0_-;\-* #,##0_-;_-* &quot;-&quot;??_-;_-@_-">
                  <c:v>1638299</c:v>
                </c:pt>
                <c:pt idx="349" formatCode="_-* #,##0_-;\-* #,##0_-;_-* &quot;-&quot;??_-;_-@_-">
                  <c:v>1474800</c:v>
                </c:pt>
                <c:pt idx="398" formatCode="_-* #,##0_-;\-* #,##0_-;_-* &quot;-&quot;??_-;_-@_-">
                  <c:v>1574869</c:v>
                </c:pt>
                <c:pt idx="424" formatCode="_-* #,##0_-;\-* #,##0_-;_-* &quot;-&quot;??_-;_-@_-">
                  <c:v>1253500</c:v>
                </c:pt>
                <c:pt idx="437" formatCode="_-* #,##0_-;\-* #,##0_-;_-* &quot;-&quot;??_-;_-@_-">
                  <c:v>1112700</c:v>
                </c:pt>
                <c:pt idx="455" formatCode="_-* #,##0_-;\-* #,##0_-;_-* &quot;-&quot;??_-;_-@_-">
                  <c:v>20000</c:v>
                </c:pt>
                <c:pt idx="477" formatCode="_-* #,##0_-;\-* #,##0_-;_-* &quot;-&quot;??_-;_-@_-">
                  <c:v>966100</c:v>
                </c:pt>
                <c:pt idx="480" formatCode="_-* #,##0_-;\-* #,##0_-;_-* &quot;-&quot;??_-;_-@_-">
                  <c:v>0</c:v>
                </c:pt>
                <c:pt idx="502" formatCode="_-* #,##0_-;\-* #,##0_-;_-* &quot;-&quot;??_-;_-@_-">
                  <c:v>884900</c:v>
                </c:pt>
                <c:pt idx="544" formatCode="_-* #,##0_-;\-* #,##0_-;_-* &quot;-&quot;??_-;_-@_-">
                  <c:v>708000</c:v>
                </c:pt>
                <c:pt idx="565" formatCode="_-* #,##0_-;\-* #,##0_-;_-* &quot;-&quot;??_-;_-@_-">
                  <c:v>1220200</c:v>
                </c:pt>
                <c:pt idx="595" formatCode="_-* #,##0_-;\-* #,##0_-;_-* &quot;-&quot;??_-;_-@_-">
                  <c:v>1097600</c:v>
                </c:pt>
                <c:pt idx="624" formatCode="_-* #,##0_-;\-* #,##0_-;_-* &quot;-&quot;??_-;_-@_-">
                  <c:v>1110754</c:v>
                </c:pt>
                <c:pt idx="654" formatCode="_-* #,##0_-;\-* #,##0_-;_-* &quot;-&quot;??_-;_-@_-">
                  <c:v>1017100</c:v>
                </c:pt>
                <c:pt idx="686" formatCode="_-* #,##0_-;\-* #,##0_-;_-* &quot;-&quot;??_-;_-@_-">
                  <c:v>1036069</c:v>
                </c:pt>
                <c:pt idx="715" formatCode="_-* #,##0_-;\-* #,##0_-;_-* &quot;-&quot;??_-;_-@_-">
                  <c:v>962893</c:v>
                </c:pt>
                <c:pt idx="743" formatCode="_-* #,##0_-;\-* #,##0_-;_-* &quot;-&quot;??_-;_-@_-">
                  <c:v>1193700</c:v>
                </c:pt>
                <c:pt idx="811" formatCode="_-* #,##0_-;\-* #,##0_-;_-* &quot;-&quot;??_-;_-@_-">
                  <c:v>980333</c:v>
                </c:pt>
                <c:pt idx="814" formatCode="_-* #,##0_-;\-* #,##0_-;_-* &quot;-&quot;??_-;_-@_-">
                  <c:v>0</c:v>
                </c:pt>
                <c:pt idx="847" formatCode="_-* #,##0_-;\-* #,##0_-;_-* &quot;-&quot;??_-;_-@_-">
                  <c:v>1183000</c:v>
                </c:pt>
                <c:pt idx="871" formatCode="_-* #,##0_-;\-* #,##0_-;_-* &quot;-&quot;??_-;_-@_-">
                  <c:v>1183800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93-4675-8CF1-E99C3E7C4480}"/>
            </c:ext>
          </c:extLst>
        </c:ser>
        <c:ser>
          <c:idx val="25"/>
          <c:order val="25"/>
          <c:tx>
            <c:strRef>
              <c:f>'CASH FLOW'!$AA$1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FLOW'!$AA$2:$AA$969</c:f>
              <c:numCache>
                <c:formatCode>General</c:formatCode>
                <c:ptCount val="968"/>
                <c:pt idx="1">
                  <c:v>0</c:v>
                </c:pt>
                <c:pt idx="30" formatCode="_-* #,##0_-;\-* #,##0_-;_-* &quot;-&quot;??_-;_-@_-">
                  <c:v>116000</c:v>
                </c:pt>
                <c:pt idx="59" formatCode="_-* #,##0_-;\-* #,##0_-;_-* &quot;-&quot;??_-;_-@_-">
                  <c:v>127900</c:v>
                </c:pt>
                <c:pt idx="84" formatCode="_-* #,##0_-;\-* #,##0_-;_-* &quot;-&quot;??_-;_-@_-">
                  <c:v>133920</c:v>
                </c:pt>
                <c:pt idx="119" formatCode="_-* #,##0_-;\-* #,##0_-;_-* &quot;-&quot;??_-;_-@_-">
                  <c:v>152000</c:v>
                </c:pt>
                <c:pt idx="122" formatCode="_-* #,##0_-;\-* #,##0_-;_-* &quot;-&quot;??_-;_-@_-">
                  <c:v>225000</c:v>
                </c:pt>
                <c:pt idx="154" formatCode="_-* #,##0_-;\-* #,##0_-;_-* &quot;-&quot;??_-;_-@_-">
                  <c:v>123000</c:v>
                </c:pt>
                <c:pt idx="176" formatCode="_-* #,##0_-;\-* #,##0_-;_-* &quot;-&quot;??_-;_-@_-">
                  <c:v>9000</c:v>
                </c:pt>
                <c:pt idx="177" formatCode="_-* #,##0_-;\-* #,##0_-;_-* &quot;-&quot;??_-;_-@_-">
                  <c:v>12000</c:v>
                </c:pt>
                <c:pt idx="182" formatCode="_-* #,##0_-;\-* #,##0_-;_-* &quot;-&quot;??_-;_-@_-">
                  <c:v>62200</c:v>
                </c:pt>
                <c:pt idx="207" formatCode="_-* #,##0_-;\-* #,##0_-;_-* &quot;-&quot;??_-;_-@_-">
                  <c:v>104000</c:v>
                </c:pt>
                <c:pt idx="269" formatCode="_-* #,##0_-;\-* #,##0_-;_-* &quot;-&quot;??_-;_-@_-">
                  <c:v>130400</c:v>
                </c:pt>
                <c:pt idx="300" formatCode="_-* #,##0_-;\-* #,##0_-;_-* &quot;-&quot;??_-;_-@_-">
                  <c:v>148700</c:v>
                </c:pt>
                <c:pt idx="332" formatCode="_-* #,##0_-;\-* #,##0_-;_-* &quot;-&quot;??_-;_-@_-">
                  <c:v>179182</c:v>
                </c:pt>
                <c:pt idx="357" formatCode="_-* #,##0_-;\-* #,##0_-;_-* &quot;-&quot;??_-;_-@_-">
                  <c:v>161000</c:v>
                </c:pt>
                <c:pt idx="390" formatCode="_-* #,##0_-;\-* #,##0_-;_-* &quot;-&quot;??_-;_-@_-">
                  <c:v>209700</c:v>
                </c:pt>
                <c:pt idx="434" formatCode="_-* #,##0_-;\-* #,##0_-;_-* &quot;-&quot;??_-;_-@_-">
                  <c:v>4000</c:v>
                </c:pt>
                <c:pt idx="455" formatCode="_-* #,##0_-;\-* #,##0_-;_-* &quot;-&quot;??_-;_-@_-">
                  <c:v>87661</c:v>
                </c:pt>
                <c:pt idx="486" formatCode="_-* #,##0_-;\-* #,##0_-;_-* &quot;-&quot;??_-;_-@_-">
                  <c:v>75200</c:v>
                </c:pt>
                <c:pt idx="510" formatCode="_-* #,##0_-;\-* #,##0_-;_-* &quot;-&quot;??_-;_-@_-">
                  <c:v>87734</c:v>
                </c:pt>
                <c:pt idx="556" formatCode="_-* #,##0_-;\-* #,##0_-;_-* &quot;-&quot;??_-;_-@_-">
                  <c:v>148700</c:v>
                </c:pt>
                <c:pt idx="574" formatCode="_-* #,##0_-;\-* #,##0_-;_-* &quot;-&quot;??_-;_-@_-">
                  <c:v>51062</c:v>
                </c:pt>
                <c:pt idx="601" formatCode="_-* #,##0_-;\-* #,##0_-;_-* &quot;-&quot;??_-;_-@_-">
                  <c:v>89300</c:v>
                </c:pt>
                <c:pt idx="637" formatCode="_-* #,##0_-;\-* #,##0_-;_-* &quot;-&quot;??_-;_-@_-">
                  <c:v>118300</c:v>
                </c:pt>
                <c:pt idx="642" formatCode="_-* #,##0_-;\-* #,##0_-;_-* &quot;-&quot;??_-;_-@_-">
                  <c:v>550000</c:v>
                </c:pt>
                <c:pt idx="660" formatCode="_-* #,##0_-;\-* #,##0_-;_-* &quot;-&quot;??_-;_-@_-">
                  <c:v>10000</c:v>
                </c:pt>
                <c:pt idx="661" formatCode="_-* #,##0_-;\-* #,##0_-;_-* &quot;-&quot;??_-;_-@_-">
                  <c:v>10000</c:v>
                </c:pt>
                <c:pt idx="662" formatCode="_-* #,##0_-;\-* #,##0_-;_-* &quot;-&quot;??_-;_-@_-">
                  <c:v>5000</c:v>
                </c:pt>
                <c:pt idx="663" formatCode="_-* #,##0_-;\-* #,##0_-;_-* &quot;-&quot;??_-;_-@_-">
                  <c:v>170000</c:v>
                </c:pt>
                <c:pt idx="670" formatCode="_-* #,##0_-;\-* #,##0_-;_-* &quot;-&quot;??_-;_-@_-">
                  <c:v>14481</c:v>
                </c:pt>
                <c:pt idx="700" formatCode="_-* #,##0_-;\-* #,##0_-;_-* &quot;-&quot;??_-;_-@_-">
                  <c:v>125000</c:v>
                </c:pt>
                <c:pt idx="710" formatCode="_-* #,##0_-;\-* #,##0_-;_-* &quot;-&quot;??_-;_-@_-">
                  <c:v>4000</c:v>
                </c:pt>
                <c:pt idx="711" formatCode="_-* #,##0_-;\-* #,##0_-;_-* &quot;-&quot;??_-;_-@_-">
                  <c:v>5000</c:v>
                </c:pt>
                <c:pt idx="713" formatCode="_-* #,##0_-;\-* #,##0_-;_-* &quot;-&quot;??_-;_-@_-">
                  <c:v>40000</c:v>
                </c:pt>
                <c:pt idx="739" formatCode="_-* #,##0_-;\-* #,##0_-;_-* &quot;-&quot;??_-;_-@_-">
                  <c:v>131100</c:v>
                </c:pt>
                <c:pt idx="775" formatCode="_-* #,##0_-;\-* #,##0_-;_-* &quot;-&quot;??_-;_-@_-">
                  <c:v>162000</c:v>
                </c:pt>
                <c:pt idx="776" formatCode="_-* #,##0_-;\-* #,##0_-;_-* &quot;-&quot;??_-;_-@_-">
                  <c:v>18000</c:v>
                </c:pt>
                <c:pt idx="798" formatCode="_-* #,##0_-;\-* #,##0_-;_-* &quot;-&quot;??_-;_-@_-">
                  <c:v>190000</c:v>
                </c:pt>
                <c:pt idx="814" formatCode="_-* #,##0_-;\-* #,##0_-;_-* &quot;-&quot;??_-;_-@_-">
                  <c:v>0</c:v>
                </c:pt>
                <c:pt idx="832" formatCode="_-* #,##0_-;\-* #,##0_-;_-* &quot;-&quot;??_-;_-@_-">
                  <c:v>210300</c:v>
                </c:pt>
                <c:pt idx="850" formatCode="_-* #,##0_-;\-* #,##0_-;_-* &quot;-&quot;??_-;_-@_-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093-4675-8CF1-E99C3E7C4480}"/>
            </c:ext>
          </c:extLst>
        </c:ser>
        <c:ser>
          <c:idx val="26"/>
          <c:order val="26"/>
          <c:tx>
            <c:strRef>
              <c:f>'CASH FLOW'!$AB$1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FLOW'!$AB$2:$AB$969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625400</c:v>
                </c:pt>
                <c:pt idx="35" formatCode="_-* #,##0_-;\-* #,##0_-;_-* &quot;-&quot;??_-;_-@_-">
                  <c:v>625400</c:v>
                </c:pt>
                <c:pt idx="78" formatCode="_-* #,##0_-;\-* #,##0_-;_-* &quot;-&quot;??_-;_-@_-">
                  <c:v>625400</c:v>
                </c:pt>
                <c:pt idx="94" formatCode="_-* #,##0_-;\-* #,##0_-;_-* &quot;-&quot;??_-;_-@_-">
                  <c:v>625400</c:v>
                </c:pt>
                <c:pt idx="124" formatCode="_-* #,##0_-;\-* #,##0_-;_-* &quot;-&quot;??_-;_-@_-">
                  <c:v>625400</c:v>
                </c:pt>
                <c:pt idx="154" formatCode="_-* #,##0_-;\-* #,##0_-;_-* &quot;-&quot;??_-;_-@_-">
                  <c:v>625400</c:v>
                </c:pt>
                <c:pt idx="183" formatCode="_-* #,##0_-;\-* #,##0_-;_-* &quot;-&quot;??_-;_-@_-">
                  <c:v>625400</c:v>
                </c:pt>
                <c:pt idx="215" formatCode="_-* #,##0_-;\-* #,##0_-;_-* &quot;-&quot;??_-;_-@_-">
                  <c:v>625400</c:v>
                </c:pt>
                <c:pt idx="245" formatCode="_-* #,##0_-;\-* #,##0_-;_-* &quot;-&quot;??_-;_-@_-">
                  <c:v>625400</c:v>
                </c:pt>
                <c:pt idx="275" formatCode="_-* #,##0_-;\-* #,##0_-;_-* &quot;-&quot;??_-;_-@_-">
                  <c:v>625400</c:v>
                </c:pt>
                <c:pt idx="337" formatCode="_-* #,##0_-;\-* #,##0_-;_-* &quot;-&quot;??_-;_-@_-">
                  <c:v>625400</c:v>
                </c:pt>
                <c:pt idx="370" formatCode="_-* #,##0_-;\-* #,##0_-;_-* &quot;-&quot;??_-;_-@_-">
                  <c:v>625400</c:v>
                </c:pt>
                <c:pt idx="399" formatCode="_-* #,##0_-;\-* #,##0_-;_-* &quot;-&quot;??_-;_-@_-">
                  <c:v>625400</c:v>
                </c:pt>
                <c:pt idx="423" formatCode="_-* #,##0_-;\-* #,##0_-;_-* &quot;-&quot;??_-;_-@_-">
                  <c:v>93900</c:v>
                </c:pt>
                <c:pt idx="425" formatCode="_-* #,##0_-;\-* #,##0_-;_-* &quot;-&quot;??_-;_-@_-">
                  <c:v>0</c:v>
                </c:pt>
                <c:pt idx="426" formatCode="_-* #,##0_-;\-* #,##0_-;_-* &quot;-&quot;??_-;_-@_-">
                  <c:v>661000</c:v>
                </c:pt>
                <c:pt idx="427" formatCode="_-* #,##0_-;\-* #,##0_-;_-* &quot;-&quot;??_-;_-@_-">
                  <c:v>0</c:v>
                </c:pt>
                <c:pt idx="455" formatCode="_-* #,##0_-;\-* #,##0_-;_-* &quot;-&quot;??_-;_-@_-">
                  <c:v>0</c:v>
                </c:pt>
                <c:pt idx="456" formatCode="_-* #,##0_-;\-* #,##0_-;_-* &quot;-&quot;??_-;_-@_-">
                  <c:v>625400</c:v>
                </c:pt>
                <c:pt idx="458" formatCode="_-* #,##0_-;\-* #,##0_-;_-* &quot;-&quot;??_-;_-@_-">
                  <c:v>17700</c:v>
                </c:pt>
                <c:pt idx="485" formatCode="_-* #,##0_-;\-* #,##0_-;_-* &quot;-&quot;??_-;_-@_-">
                  <c:v>643100</c:v>
                </c:pt>
                <c:pt idx="519" formatCode="_-* #,##0_-;\-* #,##0_-;_-* &quot;-&quot;??_-;_-@_-">
                  <c:v>632400</c:v>
                </c:pt>
                <c:pt idx="521" formatCode="_-* #,##0_-;\-* #,##0_-;_-* &quot;-&quot;??_-;_-@_-">
                  <c:v>10700</c:v>
                </c:pt>
                <c:pt idx="549" formatCode="_-* #,##0_-;\-* #,##0_-;_-* &quot;-&quot;??_-;_-@_-">
                  <c:v>643100</c:v>
                </c:pt>
                <c:pt idx="580" formatCode="_-* #,##0_-;\-* #,##0_-;_-* &quot;-&quot;??_-;_-@_-">
                  <c:v>643100</c:v>
                </c:pt>
                <c:pt idx="621" formatCode="_-* #,##0_-;\-* #,##0_-;_-* &quot;-&quot;??_-;_-@_-">
                  <c:v>643100</c:v>
                </c:pt>
                <c:pt idx="643" formatCode="_-* #,##0_-;\-* #,##0_-;_-* &quot;-&quot;??_-;_-@_-">
                  <c:v>200000</c:v>
                </c:pt>
                <c:pt idx="672" formatCode="_-* #,##0_-;\-* #,##0_-;_-* &quot;-&quot;??_-;_-@_-">
                  <c:v>506200</c:v>
                </c:pt>
                <c:pt idx="702" formatCode="_-* #,##0_-;\-* #,##0_-;_-* &quot;-&quot;??_-;_-@_-">
                  <c:v>643100</c:v>
                </c:pt>
                <c:pt idx="736" formatCode="_-* #,##0_-;\-* #,##0_-;_-* &quot;-&quot;??_-;_-@_-">
                  <c:v>643100</c:v>
                </c:pt>
                <c:pt idx="770" formatCode="_-* #,##0_-;\-* #,##0_-;_-* &quot;-&quot;??_-;_-@_-">
                  <c:v>44000</c:v>
                </c:pt>
                <c:pt idx="771" formatCode="_-* #,##0_-;\-* #,##0_-;_-* &quot;-&quot;??_-;_-@_-">
                  <c:v>60000</c:v>
                </c:pt>
                <c:pt idx="772" formatCode="_-* #,##0_-;\-* #,##0_-;_-* &quot;-&quot;??_-;_-@_-">
                  <c:v>30000</c:v>
                </c:pt>
                <c:pt idx="814" formatCode="_-* #,##0_-;\-* #,##0_-;_-* &quot;-&quot;??_-;_-@_-">
                  <c:v>0</c:v>
                </c:pt>
                <c:pt idx="832" formatCode="_-* #,##0_-;\-* #,##0_-;_-* &quot;-&quot;??_-;_-@_-">
                  <c:v>280000</c:v>
                </c:pt>
                <c:pt idx="862" formatCode="_-* #,##0_-;\-* #,##0_-;_-* &quot;-&quot;??_-;_-@_-">
                  <c:v>60000</c:v>
                </c:pt>
                <c:pt idx="866" formatCode="_-* #,##0_-;\-* #,##0_-;_-* &quot;-&quot;??_-;_-@_-">
                  <c:v>60000</c:v>
                </c:pt>
                <c:pt idx="869" formatCode="_-* #,##0_-;\-* #,##0_-;_-* &quot;-&quot;??_-;_-@_-">
                  <c:v>50000</c:v>
                </c:pt>
                <c:pt idx="870" formatCode="_-* #,##0_-;\-* #,##0_-;_-* &quot;-&quot;??_-;_-@_-">
                  <c:v>50000</c:v>
                </c:pt>
                <c:pt idx="872" formatCode="_-* #,##0_-;\-* #,##0_-;_-* &quot;-&quot;??_-;_-@_-">
                  <c:v>212600</c:v>
                </c:pt>
                <c:pt idx="878" formatCode="_-* #,##0_-;\-* #,##0_-;_-* &quot;-&quot;??_-;_-@_-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93-4675-8CF1-E99C3E7C4480}"/>
            </c:ext>
          </c:extLst>
        </c:ser>
        <c:ser>
          <c:idx val="27"/>
          <c:order val="27"/>
          <c:tx>
            <c:strRef>
              <c:f>'CASH FLOW'!$AC$1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FLOW'!$AC$2:$AC$969</c:f>
              <c:numCache>
                <c:formatCode>General</c:formatCode>
                <c:ptCount val="968"/>
                <c:pt idx="1">
                  <c:v>0</c:v>
                </c:pt>
                <c:pt idx="5" formatCode="_-* #,##0_-;\-* #,##0_-;_-* &quot;-&quot;??_-;_-@_-">
                  <c:v>18000</c:v>
                </c:pt>
                <c:pt idx="6" formatCode="_-* #,##0_-;\-* #,##0_-;_-* &quot;-&quot;??_-;_-@_-">
                  <c:v>0</c:v>
                </c:pt>
                <c:pt idx="7" formatCode="_-* #,##0_-;\-* #,##0_-;_-* &quot;-&quot;??_-;_-@_-">
                  <c:v>48000</c:v>
                </c:pt>
                <c:pt idx="16" formatCode="_-* #,##0_-;\-* #,##0_-;_-* &quot;-&quot;??_-;_-@_-">
                  <c:v>3000</c:v>
                </c:pt>
                <c:pt idx="24" formatCode="_-* #,##0_-;\-* #,##0_-;_-* &quot;-&quot;??_-;_-@_-">
                  <c:v>53000</c:v>
                </c:pt>
                <c:pt idx="25" formatCode="_-* #,##0_-;\-* #,##0_-;_-* &quot;-&quot;??_-;_-@_-">
                  <c:v>16000</c:v>
                </c:pt>
                <c:pt idx="28" formatCode="_-* #,##0_-;\-* #,##0_-;_-* &quot;-&quot;??_-;_-@_-">
                  <c:v>101000</c:v>
                </c:pt>
                <c:pt idx="33" formatCode="_-* #,##0_-;\-* #,##0_-;_-* &quot;-&quot;??_-;_-@_-">
                  <c:v>11500</c:v>
                </c:pt>
                <c:pt idx="35" formatCode="_-* #,##0_-;\-* #,##0_-;_-* &quot;-&quot;??_-;_-@_-">
                  <c:v>28000</c:v>
                </c:pt>
                <c:pt idx="36" formatCode="_-* #,##0_-;\-* #,##0_-;_-* &quot;-&quot;??_-;_-@_-">
                  <c:v>5000</c:v>
                </c:pt>
                <c:pt idx="41" formatCode="_-* #,##0_-;\-* #,##0_-;_-* &quot;-&quot;??_-;_-@_-">
                  <c:v>22900</c:v>
                </c:pt>
                <c:pt idx="42" formatCode="_-* #,##0_-;\-* #,##0_-;_-* &quot;-&quot;??_-;_-@_-">
                  <c:v>35000</c:v>
                </c:pt>
                <c:pt idx="43" formatCode="_-* #,##0_-;\-* #,##0_-;_-* &quot;-&quot;??_-;_-@_-">
                  <c:v>4500</c:v>
                </c:pt>
                <c:pt idx="44" formatCode="_-* #,##0_-;\-* #,##0_-;_-* &quot;-&quot;??_-;_-@_-">
                  <c:v>0</c:v>
                </c:pt>
                <c:pt idx="47" formatCode="_-* #,##0_-;\-* #,##0_-;_-* &quot;-&quot;??_-;_-@_-">
                  <c:v>24800</c:v>
                </c:pt>
                <c:pt idx="51" formatCode="_-* #,##0_-;\-* #,##0_-;_-* &quot;-&quot;??_-;_-@_-">
                  <c:v>4000</c:v>
                </c:pt>
                <c:pt idx="52" formatCode="_-* #,##0_-;\-* #,##0_-;_-* &quot;-&quot;??_-;_-@_-">
                  <c:v>36000</c:v>
                </c:pt>
                <c:pt idx="56" formatCode="_-* #,##0_-;\-* #,##0_-;_-* &quot;-&quot;??_-;_-@_-">
                  <c:v>56000</c:v>
                </c:pt>
                <c:pt idx="61" formatCode="_-* #,##0_-;\-* #,##0_-;_-* &quot;-&quot;??_-;_-@_-">
                  <c:v>22000</c:v>
                </c:pt>
                <c:pt idx="64" formatCode="_-* #,##0_-;\-* #,##0_-;_-* &quot;-&quot;??_-;_-@_-">
                  <c:v>22000</c:v>
                </c:pt>
                <c:pt idx="71" formatCode="_-* #,##0_-;\-* #,##0_-;_-* &quot;-&quot;??_-;_-@_-">
                  <c:v>15000</c:v>
                </c:pt>
                <c:pt idx="95" formatCode="_-* #,##0_-;\-* #,##0_-;_-* &quot;-&quot;??_-;_-@_-">
                  <c:v>56500</c:v>
                </c:pt>
                <c:pt idx="98" formatCode="_-* #,##0_-;\-* #,##0_-;_-* &quot;-&quot;??_-;_-@_-">
                  <c:v>4000</c:v>
                </c:pt>
                <c:pt idx="99" formatCode="_-* #,##0_-;\-* #,##0_-;_-* &quot;-&quot;??_-;_-@_-">
                  <c:v>20000</c:v>
                </c:pt>
                <c:pt idx="100" formatCode="_-* #,##0_-;\-* #,##0_-;_-* &quot;-&quot;??_-;_-@_-">
                  <c:v>32000</c:v>
                </c:pt>
                <c:pt idx="101" formatCode="_-* #,##0_-;\-* #,##0_-;_-* &quot;-&quot;??_-;_-@_-">
                  <c:v>14000</c:v>
                </c:pt>
                <c:pt idx="102" formatCode="_-* #,##0_-;\-* #,##0_-;_-* &quot;-&quot;??_-;_-@_-">
                  <c:v>20000</c:v>
                </c:pt>
                <c:pt idx="104" formatCode="_-* #,##0_-;\-* #,##0_-;_-* &quot;-&quot;??_-;_-@_-">
                  <c:v>2000</c:v>
                </c:pt>
                <c:pt idx="108" formatCode="_-* #,##0_-;\-* #,##0_-;_-* &quot;-&quot;??_-;_-@_-">
                  <c:v>5000</c:v>
                </c:pt>
                <c:pt idx="122" formatCode="_-* #,##0_-;\-* #,##0_-;_-* &quot;-&quot;??_-;_-@_-">
                  <c:v>25000</c:v>
                </c:pt>
                <c:pt idx="123" formatCode="_-* #,##0_-;\-* #,##0_-;_-* &quot;-&quot;??_-;_-@_-">
                  <c:v>70000</c:v>
                </c:pt>
                <c:pt idx="126" formatCode="_-* #,##0_-;\-* #,##0_-;_-* &quot;-&quot;??_-;_-@_-">
                  <c:v>12000</c:v>
                </c:pt>
                <c:pt idx="129" formatCode="_-* #,##0_-;\-* #,##0_-;_-* &quot;-&quot;??_-;_-@_-">
                  <c:v>64000</c:v>
                </c:pt>
                <c:pt idx="143" formatCode="_-* #,##0_-;\-* #,##0_-;_-* &quot;-&quot;??_-;_-@_-">
                  <c:v>52000</c:v>
                </c:pt>
                <c:pt idx="144" formatCode="_-* #,##0_-;\-* #,##0_-;_-* &quot;-&quot;??_-;_-@_-">
                  <c:v>4000</c:v>
                </c:pt>
                <c:pt idx="153" formatCode="_-* #,##0_-;\-* #,##0_-;_-* &quot;-&quot;??_-;_-@_-">
                  <c:v>75300</c:v>
                </c:pt>
                <c:pt idx="155" formatCode="_-* #,##0_-;\-* #,##0_-;_-* &quot;-&quot;??_-;_-@_-">
                  <c:v>44000</c:v>
                </c:pt>
                <c:pt idx="158" formatCode="_-* #,##0_-;\-* #,##0_-;_-* &quot;-&quot;??_-;_-@_-">
                  <c:v>5000</c:v>
                </c:pt>
                <c:pt idx="159" formatCode="_-* #,##0_-;\-* #,##0_-;_-* &quot;-&quot;??_-;_-@_-">
                  <c:v>25000</c:v>
                </c:pt>
                <c:pt idx="161" formatCode="_-* #,##0_-;\-* #,##0_-;_-* &quot;-&quot;??_-;_-@_-">
                  <c:v>18600</c:v>
                </c:pt>
                <c:pt idx="162" formatCode="_-* #,##0_-;\-* #,##0_-;_-* &quot;-&quot;??_-;_-@_-">
                  <c:v>27000</c:v>
                </c:pt>
                <c:pt idx="164" formatCode="_-* #,##0_-;\-* #,##0_-;_-* &quot;-&quot;??_-;_-@_-">
                  <c:v>8000</c:v>
                </c:pt>
                <c:pt idx="167" formatCode="_-* #,##0_-;\-* #,##0_-;_-* &quot;-&quot;??_-;_-@_-">
                  <c:v>9000</c:v>
                </c:pt>
                <c:pt idx="169" formatCode="_-* #,##0_-;\-* #,##0_-;_-* &quot;-&quot;??_-;_-@_-">
                  <c:v>8000</c:v>
                </c:pt>
                <c:pt idx="171" formatCode="_-* #,##0_-;\-* #,##0_-;_-* &quot;-&quot;??_-;_-@_-">
                  <c:v>32000</c:v>
                </c:pt>
                <c:pt idx="174" formatCode="_-* #,##0_-;\-* #,##0_-;_-* &quot;-&quot;??_-;_-@_-">
                  <c:v>20000</c:v>
                </c:pt>
                <c:pt idx="180" formatCode="_-* #,##0_-;\-* #,##0_-;_-* &quot;-&quot;??_-;_-@_-">
                  <c:v>32000</c:v>
                </c:pt>
                <c:pt idx="181" formatCode="_-* #,##0_-;\-* #,##0_-;_-* &quot;-&quot;??_-;_-@_-">
                  <c:v>66000</c:v>
                </c:pt>
                <c:pt idx="185" formatCode="_-* #,##0_-;\-* #,##0_-;_-* &quot;-&quot;??_-;_-@_-">
                  <c:v>4000</c:v>
                </c:pt>
                <c:pt idx="186" formatCode="_-* #,##0_-;\-* #,##0_-;_-* &quot;-&quot;??_-;_-@_-">
                  <c:v>20000</c:v>
                </c:pt>
                <c:pt idx="194" formatCode="_-* #,##0_-;\-* #,##0_-;_-* &quot;-&quot;??_-;_-@_-">
                  <c:v>39000</c:v>
                </c:pt>
                <c:pt idx="200" formatCode="_-* #,##0_-;\-* #,##0_-;_-* &quot;-&quot;??_-;_-@_-">
                  <c:v>40000</c:v>
                </c:pt>
                <c:pt idx="202" formatCode="_-* #,##0_-;\-* #,##0_-;_-* &quot;-&quot;??_-;_-@_-">
                  <c:v>11000</c:v>
                </c:pt>
                <c:pt idx="206" formatCode="_-* #,##0_-;\-* #,##0_-;_-* &quot;-&quot;??_-;_-@_-">
                  <c:v>51000</c:v>
                </c:pt>
                <c:pt idx="209" formatCode="_-* #,##0_-;\-* #,##0_-;_-* &quot;-&quot;??_-;_-@_-">
                  <c:v>46000</c:v>
                </c:pt>
                <c:pt idx="210" formatCode="_-* #,##0_-;\-* #,##0_-;_-* &quot;-&quot;??_-;_-@_-">
                  <c:v>42000</c:v>
                </c:pt>
                <c:pt idx="212" formatCode="_-* #,##0_-;\-* #,##0_-;_-* &quot;-&quot;??_-;_-@_-">
                  <c:v>13000</c:v>
                </c:pt>
                <c:pt idx="215" formatCode="_-* #,##0_-;\-* #,##0_-;_-* &quot;-&quot;??_-;_-@_-">
                  <c:v>27000</c:v>
                </c:pt>
                <c:pt idx="216" formatCode="_-* #,##0_-;\-* #,##0_-;_-* &quot;-&quot;??_-;_-@_-">
                  <c:v>8000</c:v>
                </c:pt>
                <c:pt idx="220" formatCode="_-* #,##0_-;\-* #,##0_-;_-* &quot;-&quot;??_-;_-@_-">
                  <c:v>32000</c:v>
                </c:pt>
                <c:pt idx="221" formatCode="_-* #,##0_-;\-* #,##0_-;_-* &quot;-&quot;??_-;_-@_-">
                  <c:v>6000</c:v>
                </c:pt>
                <c:pt idx="224" formatCode="_-* #,##0_-;\-* #,##0_-;_-* &quot;-&quot;??_-;_-@_-">
                  <c:v>40000</c:v>
                </c:pt>
                <c:pt idx="228" formatCode="_-* #,##0_-;\-* #,##0_-;_-* &quot;-&quot;??_-;_-@_-">
                  <c:v>44500</c:v>
                </c:pt>
                <c:pt idx="229" formatCode="_-* #,##0_-;\-* #,##0_-;_-* &quot;-&quot;??_-;_-@_-">
                  <c:v>40000</c:v>
                </c:pt>
                <c:pt idx="231" formatCode="_-* #,##0_-;\-* #,##0_-;_-* &quot;-&quot;??_-;_-@_-">
                  <c:v>30000</c:v>
                </c:pt>
                <c:pt idx="232" formatCode="_-* #,##0_-;\-* #,##0_-;_-* &quot;-&quot;??_-;_-@_-">
                  <c:v>5000</c:v>
                </c:pt>
                <c:pt idx="235" formatCode="_-* #,##0_-;\-* #,##0_-;_-* &quot;-&quot;??_-;_-@_-">
                  <c:v>30000</c:v>
                </c:pt>
                <c:pt idx="245" formatCode="_-* #,##0_-;\-* #,##0_-;_-* &quot;-&quot;??_-;_-@_-">
                  <c:v>80000</c:v>
                </c:pt>
                <c:pt idx="248" formatCode="_-* #,##0_-;\-* #,##0_-;_-* &quot;-&quot;??_-;_-@_-">
                  <c:v>10000</c:v>
                </c:pt>
                <c:pt idx="249" formatCode="_-* #,##0_-;\-* #,##0_-;_-* &quot;-&quot;??_-;_-@_-">
                  <c:v>70000</c:v>
                </c:pt>
                <c:pt idx="250" formatCode="_-* #,##0_-;\-* #,##0_-;_-* &quot;-&quot;??_-;_-@_-">
                  <c:v>23500</c:v>
                </c:pt>
                <c:pt idx="256" formatCode="_-* #,##0_-;\-* #,##0_-;_-* &quot;-&quot;??_-;_-@_-">
                  <c:v>15000</c:v>
                </c:pt>
                <c:pt idx="257" formatCode="_-* #,##0_-;\-* #,##0_-;_-* &quot;-&quot;??_-;_-@_-">
                  <c:v>15000</c:v>
                </c:pt>
                <c:pt idx="258" formatCode="_-* #,##0_-;\-* #,##0_-;_-* &quot;-&quot;??_-;_-@_-">
                  <c:v>48000</c:v>
                </c:pt>
                <c:pt idx="259" formatCode="_-* #,##0_-;\-* #,##0_-;_-* &quot;-&quot;??_-;_-@_-">
                  <c:v>0</c:v>
                </c:pt>
                <c:pt idx="262" formatCode="_-* #,##0_-;\-* #,##0_-;_-* &quot;-&quot;??_-;_-@_-">
                  <c:v>45000</c:v>
                </c:pt>
                <c:pt idx="263" formatCode="_-* #,##0_-;\-* #,##0_-;_-* &quot;-&quot;??_-;_-@_-">
                  <c:v>5000</c:v>
                </c:pt>
                <c:pt idx="267" formatCode="_-* #,##0_-;\-* #,##0_-;_-* &quot;-&quot;??_-;_-@_-">
                  <c:v>45000</c:v>
                </c:pt>
                <c:pt idx="274" formatCode="_-* #,##0_-;\-* #,##0_-;_-* &quot;-&quot;??_-;_-@_-">
                  <c:v>15000</c:v>
                </c:pt>
                <c:pt idx="275" formatCode="_-* #,##0_-;\-* #,##0_-;_-* &quot;-&quot;??_-;_-@_-">
                  <c:v>120000</c:v>
                </c:pt>
                <c:pt idx="279" formatCode="_-* #,##0_-;\-* #,##0_-;_-* &quot;-&quot;??_-;_-@_-">
                  <c:v>8000</c:v>
                </c:pt>
                <c:pt idx="280" formatCode="_-* #,##0_-;\-* #,##0_-;_-* &quot;-&quot;??_-;_-@_-">
                  <c:v>3000</c:v>
                </c:pt>
                <c:pt idx="288" formatCode="_-* #,##0_-;\-* #,##0_-;_-* &quot;-&quot;??_-;_-@_-">
                  <c:v>47000</c:v>
                </c:pt>
                <c:pt idx="292" formatCode="_-* #,##0_-;\-* #,##0_-;_-* &quot;-&quot;??_-;_-@_-">
                  <c:v>15000</c:v>
                </c:pt>
                <c:pt idx="298" formatCode="_-* #,##0_-;\-* #,##0_-;_-* &quot;-&quot;??_-;_-@_-">
                  <c:v>10000</c:v>
                </c:pt>
                <c:pt idx="301" formatCode="_-* #,##0_-;\-* #,##0_-;_-* &quot;-&quot;??_-;_-@_-">
                  <c:v>34000</c:v>
                </c:pt>
                <c:pt idx="306" formatCode="_-* #,##0_-;\-* #,##0_-;_-* &quot;-&quot;??_-;_-@_-">
                  <c:v>22500</c:v>
                </c:pt>
                <c:pt idx="309" formatCode="_-* #,##0_-;\-* #,##0_-;_-* &quot;-&quot;??_-;_-@_-">
                  <c:v>28000</c:v>
                </c:pt>
                <c:pt idx="314" formatCode="_-* #,##0_-;\-* #,##0_-;_-* &quot;-&quot;??_-;_-@_-">
                  <c:v>5000</c:v>
                </c:pt>
                <c:pt idx="318" formatCode="_-* #,##0_-;\-* #,##0_-;_-* &quot;-&quot;??_-;_-@_-">
                  <c:v>15000</c:v>
                </c:pt>
                <c:pt idx="322" formatCode="_-* #,##0_-;\-* #,##0_-;_-* &quot;-&quot;??_-;_-@_-">
                  <c:v>20000</c:v>
                </c:pt>
                <c:pt idx="323" formatCode="_-* #,##0_-;\-* #,##0_-;_-* &quot;-&quot;??_-;_-@_-">
                  <c:v>20000</c:v>
                </c:pt>
                <c:pt idx="327" formatCode="_-* #,##0_-;\-* #,##0_-;_-* &quot;-&quot;??_-;_-@_-">
                  <c:v>47000</c:v>
                </c:pt>
                <c:pt idx="334" formatCode="_-* #,##0_-;\-* #,##0_-;_-* &quot;-&quot;??_-;_-@_-">
                  <c:v>15000</c:v>
                </c:pt>
                <c:pt idx="339" formatCode="_-* #,##0_-;\-* #,##0_-;_-* &quot;-&quot;??_-;_-@_-">
                  <c:v>34000</c:v>
                </c:pt>
                <c:pt idx="343" formatCode="_-* #,##0_-;\-* #,##0_-;_-* &quot;-&quot;??_-;_-@_-">
                  <c:v>5000</c:v>
                </c:pt>
                <c:pt idx="352" formatCode="_-* #,##0_-;\-* #,##0_-;_-* &quot;-&quot;??_-;_-@_-">
                  <c:v>28000</c:v>
                </c:pt>
                <c:pt idx="355" formatCode="_-* #,##0_-;\-* #,##0_-;_-* &quot;-&quot;??_-;_-@_-">
                  <c:v>22000</c:v>
                </c:pt>
                <c:pt idx="358" formatCode="_-* #,##0_-;\-* #,##0_-;_-* &quot;-&quot;??_-;_-@_-">
                  <c:v>10000</c:v>
                </c:pt>
                <c:pt idx="360" formatCode="_-* #,##0_-;\-* #,##0_-;_-* &quot;-&quot;??_-;_-@_-">
                  <c:v>34000</c:v>
                </c:pt>
                <c:pt idx="363" formatCode="_-* #,##0_-;\-* #,##0_-;_-* &quot;-&quot;??_-;_-@_-">
                  <c:v>111000</c:v>
                </c:pt>
                <c:pt idx="364" formatCode="_-* #,##0_-;\-* #,##0_-;_-* &quot;-&quot;??_-;_-@_-">
                  <c:v>21000</c:v>
                </c:pt>
                <c:pt idx="373" formatCode="_-* #,##0_-;\-* #,##0_-;_-* &quot;-&quot;??_-;_-@_-">
                  <c:v>13000</c:v>
                </c:pt>
                <c:pt idx="374" formatCode="_-* #,##0_-;\-* #,##0_-;_-* &quot;-&quot;??_-;_-@_-">
                  <c:v>4500</c:v>
                </c:pt>
                <c:pt idx="378" formatCode="_-* #,##0_-;\-* #,##0_-;_-* &quot;-&quot;??_-;_-@_-">
                  <c:v>45000</c:v>
                </c:pt>
                <c:pt idx="379" formatCode="_-* #,##0_-;\-* #,##0_-;_-* &quot;-&quot;??_-;_-@_-">
                  <c:v>32000</c:v>
                </c:pt>
                <c:pt idx="388" formatCode="_-* #,##0_-;\-* #,##0_-;_-* &quot;-&quot;??_-;_-@_-">
                  <c:v>5000</c:v>
                </c:pt>
                <c:pt idx="390" formatCode="_-* #,##0_-;\-* #,##0_-;_-* &quot;-&quot;??_-;_-@_-">
                  <c:v>38000</c:v>
                </c:pt>
                <c:pt idx="395" formatCode="_-* #,##0_-;\-* #,##0_-;_-* &quot;-&quot;??_-;_-@_-">
                  <c:v>6000</c:v>
                </c:pt>
                <c:pt idx="396" formatCode="_-* #,##0_-;\-* #,##0_-;_-* &quot;-&quot;??_-;_-@_-">
                  <c:v>34000</c:v>
                </c:pt>
                <c:pt idx="398" formatCode="_-* #,##0_-;\-* #,##0_-;_-* &quot;-&quot;??_-;_-@_-">
                  <c:v>80000</c:v>
                </c:pt>
                <c:pt idx="402" formatCode="_-* #,##0_-;\-* #,##0_-;_-* &quot;-&quot;??_-;_-@_-">
                  <c:v>18000</c:v>
                </c:pt>
                <c:pt idx="405" formatCode="_-* #,##0_-;\-* #,##0_-;_-* &quot;-&quot;??_-;_-@_-">
                  <c:v>34000</c:v>
                </c:pt>
                <c:pt idx="409" formatCode="_-* #,##0_-;\-* #,##0_-;_-* &quot;-&quot;??_-;_-@_-">
                  <c:v>5000</c:v>
                </c:pt>
                <c:pt idx="410" formatCode="_-* #,##0_-;\-* #,##0_-;_-* &quot;-&quot;??_-;_-@_-">
                  <c:v>10000</c:v>
                </c:pt>
                <c:pt idx="417" formatCode="_-* #,##0_-;\-* #,##0_-;_-* &quot;-&quot;??_-;_-@_-">
                  <c:v>84000</c:v>
                </c:pt>
                <c:pt idx="428" formatCode="_-* #,##0_-;\-* #,##0_-;_-* &quot;-&quot;??_-;_-@_-">
                  <c:v>45000</c:v>
                </c:pt>
                <c:pt idx="429" formatCode="_-* #,##0_-;\-* #,##0_-;_-* &quot;-&quot;??_-;_-@_-">
                  <c:v>19000</c:v>
                </c:pt>
                <c:pt idx="432" formatCode="_-* #,##0_-;\-* #,##0_-;_-* &quot;-&quot;??_-;_-@_-">
                  <c:v>24000</c:v>
                </c:pt>
                <c:pt idx="451" formatCode="_-* #,##0_-;\-* #,##0_-;_-* &quot;-&quot;??_-;_-@_-">
                  <c:v>34000</c:v>
                </c:pt>
                <c:pt idx="453" formatCode="_-* #,##0_-;\-* #,##0_-;_-* &quot;-&quot;??_-;_-@_-">
                  <c:v>28000</c:v>
                </c:pt>
                <c:pt idx="457" formatCode="_-* #,##0_-;\-* #,##0_-;_-* &quot;-&quot;??_-;_-@_-">
                  <c:v>20000</c:v>
                </c:pt>
                <c:pt idx="466" formatCode="_-* #,##0_-;\-* #,##0_-;_-* &quot;-&quot;??_-;_-@_-">
                  <c:v>54000</c:v>
                </c:pt>
                <c:pt idx="473" formatCode="_-* #,##0_-;\-* #,##0_-;_-* &quot;-&quot;??_-;_-@_-">
                  <c:v>28000</c:v>
                </c:pt>
                <c:pt idx="480" formatCode="_-* #,##0_-;\-* #,##0_-;_-* &quot;-&quot;??_-;_-@_-">
                  <c:v>20000</c:v>
                </c:pt>
                <c:pt idx="481" formatCode="_-* #,##0_-;\-* #,##0_-;_-* &quot;-&quot;??_-;_-@_-">
                  <c:v>34000</c:v>
                </c:pt>
                <c:pt idx="484" formatCode="_-* #,##0_-;\-* #,##0_-;_-* &quot;-&quot;??_-;_-@_-">
                  <c:v>90000</c:v>
                </c:pt>
                <c:pt idx="486" formatCode="_-* #,##0_-;\-* #,##0_-;_-* &quot;-&quot;??_-;_-@_-">
                  <c:v>250000</c:v>
                </c:pt>
                <c:pt idx="490" formatCode="_-* #,##0_-;\-* #,##0_-;_-* &quot;-&quot;??_-;_-@_-">
                  <c:v>19500</c:v>
                </c:pt>
                <c:pt idx="495" formatCode="_-* #,##0_-;\-* #,##0_-;_-* &quot;-&quot;??_-;_-@_-">
                  <c:v>13000</c:v>
                </c:pt>
                <c:pt idx="496" formatCode="_-* #,##0_-;\-* #,##0_-;_-* &quot;-&quot;??_-;_-@_-">
                  <c:v>70000</c:v>
                </c:pt>
                <c:pt idx="502" formatCode="_-* #,##0_-;\-* #,##0_-;_-* &quot;-&quot;??_-;_-@_-">
                  <c:v>60000</c:v>
                </c:pt>
                <c:pt idx="504" formatCode="_-* #,##0_-;\-* #,##0_-;_-* &quot;-&quot;??_-;_-@_-">
                  <c:v>27000</c:v>
                </c:pt>
                <c:pt idx="509" formatCode="_-* #,##0_-;\-* #,##0_-;_-* &quot;-&quot;??_-;_-@_-">
                  <c:v>12000</c:v>
                </c:pt>
                <c:pt idx="511" formatCode="_-* #,##0_-;\-* #,##0_-;_-* &quot;-&quot;??_-;_-@_-">
                  <c:v>57000</c:v>
                </c:pt>
                <c:pt idx="513" formatCode="_-* #,##0_-;\-* #,##0_-;_-* &quot;-&quot;??_-;_-@_-">
                  <c:v>20000</c:v>
                </c:pt>
                <c:pt idx="515" formatCode="_-* #,##0_-;\-* #,##0_-;_-* &quot;-&quot;??_-;_-@_-">
                  <c:v>56000</c:v>
                </c:pt>
                <c:pt idx="528" formatCode="_-* #,##0_-;\-* #,##0_-;_-* &quot;-&quot;??_-;_-@_-">
                  <c:v>34000</c:v>
                </c:pt>
                <c:pt idx="529" formatCode="_-* #,##0_-;\-* #,##0_-;_-* &quot;-&quot;??_-;_-@_-">
                  <c:v>59500</c:v>
                </c:pt>
                <c:pt idx="533" formatCode="_-* #,##0_-;\-* #,##0_-;_-* &quot;-&quot;??_-;_-@_-">
                  <c:v>28000</c:v>
                </c:pt>
                <c:pt idx="546" formatCode="_-* #,##0_-;\-* #,##0_-;_-* &quot;-&quot;??_-;_-@_-">
                  <c:v>7000</c:v>
                </c:pt>
                <c:pt idx="552" formatCode="_-* #,##0_-;\-* #,##0_-;_-* &quot;-&quot;??_-;_-@_-">
                  <c:v>34000</c:v>
                </c:pt>
                <c:pt idx="559" formatCode="_-* #,##0_-;\-* #,##0_-;_-* &quot;-&quot;??_-;_-@_-">
                  <c:v>34000</c:v>
                </c:pt>
                <c:pt idx="560" formatCode="_-* #,##0_-;\-* #,##0_-;_-* &quot;-&quot;??_-;_-@_-">
                  <c:v>46000</c:v>
                </c:pt>
                <c:pt idx="563" formatCode="_-* #,##0_-;\-* #,##0_-;_-* &quot;-&quot;??_-;_-@_-">
                  <c:v>54000</c:v>
                </c:pt>
                <c:pt idx="565" formatCode="_-* #,##0_-;\-* #,##0_-;_-* &quot;-&quot;??_-;_-@_-">
                  <c:v>60000</c:v>
                </c:pt>
                <c:pt idx="567" formatCode="_-* #,##0_-;\-* #,##0_-;_-* &quot;-&quot;??_-;_-@_-">
                  <c:v>34000</c:v>
                </c:pt>
                <c:pt idx="571" formatCode="_-* #,##0_-;\-* #,##0_-;_-* &quot;-&quot;??_-;_-@_-">
                  <c:v>60000</c:v>
                </c:pt>
                <c:pt idx="574" formatCode="_-* #,##0_-;\-* #,##0_-;_-* &quot;-&quot;??_-;_-@_-">
                  <c:v>34000</c:v>
                </c:pt>
                <c:pt idx="580" formatCode="_-* #,##0_-;\-* #,##0_-;_-* &quot;-&quot;??_-;_-@_-">
                  <c:v>27000</c:v>
                </c:pt>
                <c:pt idx="584" formatCode="_-* #,##0_-;\-* #,##0_-;_-* &quot;-&quot;??_-;_-@_-">
                  <c:v>73000</c:v>
                </c:pt>
                <c:pt idx="590" formatCode="_-* #,##0_-;\-* #,##0_-;_-* &quot;-&quot;??_-;_-@_-">
                  <c:v>30000</c:v>
                </c:pt>
                <c:pt idx="591" formatCode="_-* #,##0_-;\-* #,##0_-;_-* &quot;-&quot;??_-;_-@_-">
                  <c:v>53000</c:v>
                </c:pt>
                <c:pt idx="594" formatCode="_-* #,##0_-;\-* #,##0_-;_-* &quot;-&quot;??_-;_-@_-">
                  <c:v>3500</c:v>
                </c:pt>
                <c:pt idx="598" formatCode="_-* #,##0_-;\-* #,##0_-;_-* &quot;-&quot;??_-;_-@_-">
                  <c:v>34000</c:v>
                </c:pt>
                <c:pt idx="599" formatCode="_-* #,##0_-;\-* #,##0_-;_-* &quot;-&quot;??_-;_-@_-">
                  <c:v>8000</c:v>
                </c:pt>
                <c:pt idx="603" formatCode="_-* #,##0_-;\-* #,##0_-;_-* &quot;-&quot;??_-;_-@_-">
                  <c:v>22000</c:v>
                </c:pt>
                <c:pt idx="606" formatCode="_-* #,##0_-;\-* #,##0_-;_-* &quot;-&quot;??_-;_-@_-">
                  <c:v>40000</c:v>
                </c:pt>
                <c:pt idx="613" formatCode="_-* #,##0_-;\-* #,##0_-;_-* &quot;-&quot;??_-;_-@_-">
                  <c:v>78000</c:v>
                </c:pt>
                <c:pt idx="614" formatCode="_-* #,##0_-;\-* #,##0_-;_-* &quot;-&quot;??_-;_-@_-">
                  <c:v>90000</c:v>
                </c:pt>
                <c:pt idx="617" formatCode="_-* #,##0_-;\-* #,##0_-;_-* &quot;-&quot;??_-;_-@_-">
                  <c:v>20000</c:v>
                </c:pt>
                <c:pt idx="621" formatCode="_-* #,##0_-;\-* #,##0_-;_-* &quot;-&quot;??_-;_-@_-">
                  <c:v>44000</c:v>
                </c:pt>
                <c:pt idx="622" formatCode="_-* #,##0_-;\-* #,##0_-;_-* &quot;-&quot;??_-;_-@_-">
                  <c:v>35000</c:v>
                </c:pt>
                <c:pt idx="627" formatCode="_-* #,##0_-;\-* #,##0_-;_-* &quot;-&quot;??_-;_-@_-">
                  <c:v>5000</c:v>
                </c:pt>
                <c:pt idx="633" formatCode="_-* #,##0_-;\-* #,##0_-;_-* &quot;-&quot;??_-;_-@_-">
                  <c:v>7000</c:v>
                </c:pt>
                <c:pt idx="636" formatCode="_-* #,##0_-;\-* #,##0_-;_-* &quot;-&quot;??_-;_-@_-">
                  <c:v>50000</c:v>
                </c:pt>
                <c:pt idx="643" formatCode="_-* #,##0_-;\-* #,##0_-;_-* &quot;-&quot;??_-;_-@_-">
                  <c:v>84000</c:v>
                </c:pt>
                <c:pt idx="654" formatCode="_-* #,##0_-;\-* #,##0_-;_-* &quot;-&quot;??_-;_-@_-">
                  <c:v>12000</c:v>
                </c:pt>
                <c:pt idx="661" formatCode="_-* #,##0_-;\-* #,##0_-;_-* &quot;-&quot;??_-;_-@_-">
                  <c:v>38000</c:v>
                </c:pt>
                <c:pt idx="663" formatCode="_-* #,##0_-;\-* #,##0_-;_-* &quot;-&quot;??_-;_-@_-">
                  <c:v>28000</c:v>
                </c:pt>
                <c:pt idx="669" formatCode="_-* #,##0_-;\-* #,##0_-;_-* &quot;-&quot;??_-;_-@_-">
                  <c:v>18000</c:v>
                </c:pt>
                <c:pt idx="671" formatCode="_-* #,##0_-;\-* #,##0_-;_-* &quot;-&quot;??_-;_-@_-">
                  <c:v>20000</c:v>
                </c:pt>
                <c:pt idx="682" formatCode="_-* #,##0_-;\-* #,##0_-;_-* &quot;-&quot;??_-;_-@_-">
                  <c:v>43000</c:v>
                </c:pt>
                <c:pt idx="686" formatCode="_-* #,##0_-;\-* #,##0_-;_-* &quot;-&quot;??_-;_-@_-">
                  <c:v>22000</c:v>
                </c:pt>
                <c:pt idx="699" formatCode="_-* #,##0_-;\-* #,##0_-;_-* &quot;-&quot;??_-;_-@_-">
                  <c:v>50000</c:v>
                </c:pt>
                <c:pt idx="705" formatCode="_-* #,##0_-;\-* #,##0_-;_-* &quot;-&quot;??_-;_-@_-">
                  <c:v>60000</c:v>
                </c:pt>
                <c:pt idx="710" formatCode="_-* #,##0_-;\-* #,##0_-;_-* &quot;-&quot;??_-;_-@_-">
                  <c:v>19000</c:v>
                </c:pt>
                <c:pt idx="716" formatCode="_-* #,##0_-;\-* #,##0_-;_-* &quot;-&quot;??_-;_-@_-">
                  <c:v>67000</c:v>
                </c:pt>
                <c:pt idx="718" formatCode="_-* #,##0_-;\-* #,##0_-;_-* &quot;-&quot;??_-;_-@_-">
                  <c:v>18000</c:v>
                </c:pt>
                <c:pt idx="742" formatCode="_-* #,##0_-;\-* #,##0_-;_-* &quot;-&quot;??_-;_-@_-">
                  <c:v>20000</c:v>
                </c:pt>
                <c:pt idx="745" formatCode="_-* #,##0_-;\-* #,##0_-;_-* &quot;-&quot;??_-;_-@_-">
                  <c:v>10000</c:v>
                </c:pt>
                <c:pt idx="747" formatCode="_-* #,##0_-;\-* #,##0_-;_-* &quot;-&quot;??_-;_-@_-">
                  <c:v>35000</c:v>
                </c:pt>
                <c:pt idx="751" formatCode="_-* #,##0_-;\-* #,##0_-;_-* &quot;-&quot;??_-;_-@_-">
                  <c:v>19000</c:v>
                </c:pt>
                <c:pt idx="752" formatCode="_-* #,##0_-;\-* #,##0_-;_-* &quot;-&quot;??_-;_-@_-">
                  <c:v>76000</c:v>
                </c:pt>
                <c:pt idx="753" formatCode="_-* #,##0_-;\-* #,##0_-;_-* &quot;-&quot;??_-;_-@_-">
                  <c:v>6000</c:v>
                </c:pt>
                <c:pt idx="754" formatCode="_-* #,##0_-;\-* #,##0_-;_-* &quot;-&quot;??_-;_-@_-">
                  <c:v>8000</c:v>
                </c:pt>
                <c:pt idx="756" formatCode="_-* #,##0_-;\-* #,##0_-;_-* &quot;-&quot;??_-;_-@_-">
                  <c:v>43000</c:v>
                </c:pt>
                <c:pt idx="762" formatCode="_-* #,##0_-;\-* #,##0_-;_-* &quot;-&quot;??_-;_-@_-">
                  <c:v>6000</c:v>
                </c:pt>
                <c:pt idx="768" formatCode="_-* #,##0_-;\-* #,##0_-;_-* &quot;-&quot;??_-;_-@_-">
                  <c:v>63000</c:v>
                </c:pt>
                <c:pt idx="780" formatCode="_-* #,##0_-;\-* #,##0_-;_-* &quot;-&quot;??_-;_-@_-">
                  <c:v>57000</c:v>
                </c:pt>
                <c:pt idx="782" formatCode="_-* #,##0_-;\-* #,##0_-;_-* &quot;-&quot;??_-;_-@_-">
                  <c:v>7000</c:v>
                </c:pt>
                <c:pt idx="783" formatCode="_-* #,##0_-;\-* #,##0_-;_-* &quot;-&quot;??_-;_-@_-">
                  <c:v>22000</c:v>
                </c:pt>
                <c:pt idx="786" formatCode="_-* #,##0_-;\-* #,##0_-;_-* &quot;-&quot;??_-;_-@_-">
                  <c:v>29000</c:v>
                </c:pt>
                <c:pt idx="788" formatCode="_-* #,##0_-;\-* #,##0_-;_-* &quot;-&quot;??_-;_-@_-">
                  <c:v>20000</c:v>
                </c:pt>
                <c:pt idx="791" formatCode="_-* #,##0_-;\-* #,##0_-;_-* &quot;-&quot;??_-;_-@_-">
                  <c:v>50000</c:v>
                </c:pt>
                <c:pt idx="794" formatCode="_-* #,##0_-;\-* #,##0_-;_-* &quot;-&quot;??_-;_-@_-">
                  <c:v>34000</c:v>
                </c:pt>
                <c:pt idx="806" formatCode="_-* #,##0_-;\-* #,##0_-;_-* &quot;-&quot;??_-;_-@_-">
                  <c:v>68000</c:v>
                </c:pt>
                <c:pt idx="808" formatCode="_-* #,##0_-;\-* #,##0_-;_-* &quot;-&quot;??_-;_-@_-">
                  <c:v>58000</c:v>
                </c:pt>
                <c:pt idx="814" formatCode="_-* #,##0_-;\-* #,##0_-;_-* &quot;-&quot;??_-;_-@_-">
                  <c:v>0</c:v>
                </c:pt>
                <c:pt idx="816" formatCode="_-* #,##0_-;\-* #,##0_-;_-* &quot;-&quot;??_-;_-@_-">
                  <c:v>60000</c:v>
                </c:pt>
                <c:pt idx="818" formatCode="_-* #,##0_-;\-* #,##0_-;_-* &quot;-&quot;??_-;_-@_-">
                  <c:v>42000</c:v>
                </c:pt>
                <c:pt idx="819" formatCode="_-* #,##0_-;\-* #,##0_-;_-* &quot;-&quot;??_-;_-@_-">
                  <c:v>10000</c:v>
                </c:pt>
                <c:pt idx="824" formatCode="_-* #,##0_-;\-* #,##0_-;_-* &quot;-&quot;??_-;_-@_-">
                  <c:v>6000</c:v>
                </c:pt>
                <c:pt idx="825" formatCode="_-* #,##0_-;\-* #,##0_-;_-* &quot;-&quot;??_-;_-@_-">
                  <c:v>52000</c:v>
                </c:pt>
                <c:pt idx="831" formatCode="_-* #,##0_-;\-* #,##0_-;_-* &quot;-&quot;??_-;_-@_-">
                  <c:v>12000</c:v>
                </c:pt>
                <c:pt idx="832" formatCode="_-* #,##0_-;\-* #,##0_-;_-* &quot;-&quot;??_-;_-@_-">
                  <c:v>8000</c:v>
                </c:pt>
                <c:pt idx="836" formatCode="_-* #,##0_-;\-* #,##0_-;_-* &quot;-&quot;??_-;_-@_-">
                  <c:v>32000</c:v>
                </c:pt>
                <c:pt idx="837" formatCode="_-* #,##0_-;\-* #,##0_-;_-* &quot;-&quot;??_-;_-@_-">
                  <c:v>22000</c:v>
                </c:pt>
                <c:pt idx="838" formatCode="_-* #,##0_-;\-* #,##0_-;_-* &quot;-&quot;??_-;_-@_-">
                  <c:v>57000</c:v>
                </c:pt>
                <c:pt idx="840" formatCode="_-* #,##0_-;\-* #,##0_-;_-* &quot;-&quot;??_-;_-@_-">
                  <c:v>6000</c:v>
                </c:pt>
                <c:pt idx="845" formatCode="_-* #,##0_-;\-* #,##0_-;_-* &quot;-&quot;??_-;_-@_-">
                  <c:v>18000</c:v>
                </c:pt>
                <c:pt idx="848" formatCode="_-* #,##0_-;\-* #,##0_-;_-* &quot;-&quot;??_-;_-@_-">
                  <c:v>100000</c:v>
                </c:pt>
                <c:pt idx="849" formatCode="_-* #,##0_-;\-* #,##0_-;_-* &quot;-&quot;??_-;_-@_-">
                  <c:v>50000</c:v>
                </c:pt>
                <c:pt idx="864" formatCode="_-* #,##0_-;\-* #,##0_-;_-* &quot;-&quot;??_-;_-@_-">
                  <c:v>12000</c:v>
                </c:pt>
                <c:pt idx="865" formatCode="_-* #,##0_-;\-* #,##0_-;_-* &quot;-&quot;??_-;_-@_-">
                  <c:v>94000</c:v>
                </c:pt>
                <c:pt idx="867" formatCode="_-* #,##0_-;\-* #,##0_-;_-* &quot;-&quot;??_-;_-@_-">
                  <c:v>20000</c:v>
                </c:pt>
                <c:pt idx="868" formatCode="_-* #,##0_-;\-* #,##0_-;_-* &quot;-&quot;??_-;_-@_-">
                  <c:v>7000</c:v>
                </c:pt>
                <c:pt idx="873" formatCode="_-* #,##0_-;\-* #,##0_-;_-* &quot;-&quot;??_-;_-@_-">
                  <c:v>83000</c:v>
                </c:pt>
                <c:pt idx="874" formatCode="_-* #,##0_-;\-* #,##0_-;_-* &quot;-&quot;??_-;_-@_-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093-4675-8CF1-E99C3E7C4480}"/>
            </c:ext>
          </c:extLst>
        </c:ser>
        <c:ser>
          <c:idx val="28"/>
          <c:order val="28"/>
          <c:tx>
            <c:strRef>
              <c:f>'CASH FLOW'!$AD$1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FLOW'!$AD$2:$AD$969</c:f>
              <c:numCache>
                <c:formatCode>General</c:formatCode>
                <c:ptCount val="968"/>
                <c:pt idx="1">
                  <c:v>0</c:v>
                </c:pt>
                <c:pt idx="21" formatCode="_-* #,##0_-;\-* #,##0_-;_-* &quot;-&quot;??_-;_-@_-">
                  <c:v>52990</c:v>
                </c:pt>
                <c:pt idx="42" formatCode="_-* #,##0_-;\-* #,##0_-;_-* &quot;-&quot;??_-;_-@_-">
                  <c:v>55700</c:v>
                </c:pt>
                <c:pt idx="46" formatCode="_-* #,##0_-;\-* #,##0_-;_-* &quot;-&quot;??_-;_-@_-">
                  <c:v>210000</c:v>
                </c:pt>
                <c:pt idx="57" formatCode="_-* #,##0_-;\-* #,##0_-;_-* &quot;-&quot;??_-;_-@_-">
                  <c:v>207960</c:v>
                </c:pt>
                <c:pt idx="63" formatCode="_-* #,##0_-;\-* #,##0_-;_-* &quot;-&quot;??_-;_-@_-">
                  <c:v>870000</c:v>
                </c:pt>
                <c:pt idx="68" formatCode="_-* #,##0_-;\-* #,##0_-;_-* &quot;-&quot;??_-;_-@_-">
                  <c:v>68000</c:v>
                </c:pt>
                <c:pt idx="69" formatCode="_-* #,##0_-;\-* #,##0_-;_-* &quot;-&quot;??_-;_-@_-">
                  <c:v>18500</c:v>
                </c:pt>
                <c:pt idx="71" formatCode="_-* #,##0_-;\-* #,##0_-;_-* &quot;-&quot;??_-;_-@_-">
                  <c:v>103980</c:v>
                </c:pt>
                <c:pt idx="83" formatCode="_-* #,##0_-;\-* #,##0_-;_-* &quot;-&quot;??_-;_-@_-">
                  <c:v>103980</c:v>
                </c:pt>
                <c:pt idx="86" formatCode="_-* #,##0_-;\-* #,##0_-;_-* &quot;-&quot;??_-;_-@_-">
                  <c:v>103980</c:v>
                </c:pt>
                <c:pt idx="89" formatCode="_-* #,##0_-;\-* #,##0_-;_-* &quot;-&quot;??_-;_-@_-">
                  <c:v>103980</c:v>
                </c:pt>
                <c:pt idx="107" formatCode="_-* #,##0_-;\-* #,##0_-;_-* &quot;-&quot;??_-;_-@_-">
                  <c:v>103980</c:v>
                </c:pt>
                <c:pt idx="118" formatCode="_-* #,##0_-;\-* #,##0_-;_-* &quot;-&quot;??_-;_-@_-">
                  <c:v>56700</c:v>
                </c:pt>
                <c:pt idx="133" formatCode="_-* #,##0_-;\-* #,##0_-;_-* &quot;-&quot;??_-;_-@_-">
                  <c:v>102380</c:v>
                </c:pt>
                <c:pt idx="140" formatCode="_-* #,##0_-;\-* #,##0_-;_-* &quot;-&quot;??_-;_-@_-">
                  <c:v>102380</c:v>
                </c:pt>
                <c:pt idx="146" formatCode="_-* #,##0_-;\-* #,##0_-;_-* &quot;-&quot;??_-;_-@_-">
                  <c:v>100380</c:v>
                </c:pt>
                <c:pt idx="160" formatCode="_-* #,##0_-;\-* #,##0_-;_-* &quot;-&quot;??_-;_-@_-">
                  <c:v>200760</c:v>
                </c:pt>
                <c:pt idx="184" formatCode="_-* #,##0_-;\-* #,##0_-;_-* &quot;-&quot;??_-;_-@_-">
                  <c:v>100380</c:v>
                </c:pt>
                <c:pt idx="188" formatCode="_-* #,##0_-;\-* #,##0_-;_-* &quot;-&quot;??_-;_-@_-">
                  <c:v>100380</c:v>
                </c:pt>
                <c:pt idx="196" formatCode="_-* #,##0_-;\-* #,##0_-;_-* &quot;-&quot;??_-;_-@_-">
                  <c:v>100380</c:v>
                </c:pt>
                <c:pt idx="202" formatCode="_-* #,##0_-;\-* #,##0_-;_-* &quot;-&quot;??_-;_-@_-">
                  <c:v>200760</c:v>
                </c:pt>
                <c:pt idx="206" formatCode="_-* #,##0_-;\-* #,##0_-;_-* &quot;-&quot;??_-;_-@_-">
                  <c:v>50190</c:v>
                </c:pt>
                <c:pt idx="214" formatCode="_-* #,##0_-;\-* #,##0_-;_-* &quot;-&quot;??_-;_-@_-">
                  <c:v>195960</c:v>
                </c:pt>
                <c:pt idx="224" formatCode="_-* #,##0_-;\-* #,##0_-;_-* &quot;-&quot;??_-;_-@_-">
                  <c:v>97980</c:v>
                </c:pt>
                <c:pt idx="232" formatCode="_-* #,##0_-;\-* #,##0_-;_-* &quot;-&quot;??_-;_-@_-">
                  <c:v>99400</c:v>
                </c:pt>
                <c:pt idx="234" formatCode="_-* #,##0_-;\-* #,##0_-;_-* &quot;-&quot;??_-;_-@_-">
                  <c:v>99400</c:v>
                </c:pt>
                <c:pt idx="246" formatCode="_-* #,##0_-;\-* #,##0_-;_-* &quot;-&quot;??_-;_-@_-">
                  <c:v>99400</c:v>
                </c:pt>
                <c:pt idx="251" formatCode="_-* #,##0_-;\-* #,##0_-;_-* &quot;-&quot;??_-;_-@_-">
                  <c:v>99400</c:v>
                </c:pt>
                <c:pt idx="258" formatCode="_-* #,##0_-;\-* #,##0_-;_-* &quot;-&quot;??_-;_-@_-">
                  <c:v>0</c:v>
                </c:pt>
                <c:pt idx="259" formatCode="_-* #,##0_-;\-* #,##0_-;_-* &quot;-&quot;??_-;_-@_-">
                  <c:v>0</c:v>
                </c:pt>
                <c:pt idx="264" formatCode="_-* #,##0_-;\-* #,##0_-;_-* &quot;-&quot;??_-;_-@_-">
                  <c:v>198800</c:v>
                </c:pt>
                <c:pt idx="274" formatCode="_-* #,##0_-;\-* #,##0_-;_-* &quot;-&quot;??_-;_-@_-">
                  <c:v>99400</c:v>
                </c:pt>
                <c:pt idx="290" formatCode="_-* #,##0_-;\-* #,##0_-;_-* &quot;-&quot;??_-;_-@_-">
                  <c:v>24850</c:v>
                </c:pt>
                <c:pt idx="295" formatCode="_-* #,##0_-;\-* #,##0_-;_-* &quot;-&quot;??_-;_-@_-">
                  <c:v>99400</c:v>
                </c:pt>
                <c:pt idx="296" formatCode="_-* #,##0_-;\-* #,##0_-;_-* &quot;-&quot;??_-;_-@_-">
                  <c:v>99400</c:v>
                </c:pt>
                <c:pt idx="301" formatCode="_-* #,##0_-;\-* #,##0_-;_-* &quot;-&quot;??_-;_-@_-">
                  <c:v>99400</c:v>
                </c:pt>
                <c:pt idx="302" formatCode="_-* #,##0_-;\-* #,##0_-;_-* &quot;-&quot;??_-;_-@_-">
                  <c:v>99400</c:v>
                </c:pt>
                <c:pt idx="303" formatCode="_-* #,##0_-;\-* #,##0_-;_-* &quot;-&quot;??_-;_-@_-">
                  <c:v>0</c:v>
                </c:pt>
                <c:pt idx="304" formatCode="_-* #,##0_-;\-* #,##0_-;_-* &quot;-&quot;??_-;_-@_-">
                  <c:v>198800</c:v>
                </c:pt>
                <c:pt idx="308" formatCode="_-* #,##0_-;\-* #,##0_-;_-* &quot;-&quot;??_-;_-@_-">
                  <c:v>97400</c:v>
                </c:pt>
                <c:pt idx="311" formatCode="_-* #,##0_-;\-* #,##0_-;_-* &quot;-&quot;??_-;_-@_-">
                  <c:v>97400</c:v>
                </c:pt>
                <c:pt idx="312" formatCode="_-* #,##0_-;\-* #,##0_-;_-* &quot;-&quot;??_-;_-@_-">
                  <c:v>97400</c:v>
                </c:pt>
                <c:pt idx="314" formatCode="_-* #,##0_-;\-* #,##0_-;_-* &quot;-&quot;??_-;_-@_-">
                  <c:v>34000</c:v>
                </c:pt>
                <c:pt idx="315" formatCode="_-* #,##0_-;\-* #,##0_-;_-* &quot;-&quot;??_-;_-@_-">
                  <c:v>97400</c:v>
                </c:pt>
                <c:pt idx="331" formatCode="_-* #,##0_-;\-* #,##0_-;_-* &quot;-&quot;??_-;_-@_-">
                  <c:v>97400</c:v>
                </c:pt>
                <c:pt idx="342" formatCode="_-* #,##0_-;\-* #,##0_-;_-* &quot;-&quot;??_-;_-@_-">
                  <c:v>97400</c:v>
                </c:pt>
                <c:pt idx="358" formatCode="_-* #,##0_-;\-* #,##0_-;_-* &quot;-&quot;??_-;_-@_-">
                  <c:v>96000</c:v>
                </c:pt>
                <c:pt idx="362" formatCode="_-* #,##0_-;\-* #,##0_-;_-* &quot;-&quot;??_-;_-@_-">
                  <c:v>95400</c:v>
                </c:pt>
                <c:pt idx="366" formatCode="_-* #,##0_-;\-* #,##0_-;_-* &quot;-&quot;??_-;_-@_-">
                  <c:v>95400</c:v>
                </c:pt>
                <c:pt idx="371" formatCode="_-* #,##0_-;\-* #,##0_-;_-* &quot;-&quot;??_-;_-@_-">
                  <c:v>95400</c:v>
                </c:pt>
                <c:pt idx="376" formatCode="_-* #,##0_-;\-* #,##0_-;_-* &quot;-&quot;??_-;_-@_-">
                  <c:v>96600</c:v>
                </c:pt>
                <c:pt idx="386" formatCode="_-* #,##0_-;\-* #,##0_-;_-* &quot;-&quot;??_-;_-@_-">
                  <c:v>96600</c:v>
                </c:pt>
                <c:pt idx="387" formatCode="_-* #,##0_-;\-* #,##0_-;_-* &quot;-&quot;??_-;_-@_-">
                  <c:v>263200</c:v>
                </c:pt>
                <c:pt idx="388" formatCode="_-* #,##0_-;\-* #,##0_-;_-* &quot;-&quot;??_-;_-@_-">
                  <c:v>96600</c:v>
                </c:pt>
                <c:pt idx="395" formatCode="_-* #,##0_-;\-* #,##0_-;_-* &quot;-&quot;??_-;_-@_-">
                  <c:v>95980</c:v>
                </c:pt>
                <c:pt idx="404" formatCode="_-* #,##0_-;\-* #,##0_-;_-* &quot;-&quot;??_-;_-@_-">
                  <c:v>95980</c:v>
                </c:pt>
                <c:pt idx="406" formatCode="_-* #,##0_-;\-* #,##0_-;_-* &quot;-&quot;??_-;_-@_-">
                  <c:v>95980</c:v>
                </c:pt>
                <c:pt idx="409" formatCode="_-* #,##0_-;\-* #,##0_-;_-* &quot;-&quot;??_-;_-@_-">
                  <c:v>0</c:v>
                </c:pt>
                <c:pt idx="410" formatCode="_-* #,##0_-;\-* #,##0_-;_-* &quot;-&quot;??_-;_-@_-">
                  <c:v>95980</c:v>
                </c:pt>
                <c:pt idx="417" formatCode="_-* #,##0_-;\-* #,##0_-;_-* &quot;-&quot;??_-;_-@_-">
                  <c:v>95980</c:v>
                </c:pt>
                <c:pt idx="422" formatCode="_-* #,##0_-;\-* #,##0_-;_-* &quot;-&quot;??_-;_-@_-">
                  <c:v>95980</c:v>
                </c:pt>
                <c:pt idx="424" formatCode="_-* #,##0_-;\-* #,##0_-;_-* &quot;-&quot;??_-;_-@_-">
                  <c:v>95980</c:v>
                </c:pt>
                <c:pt idx="432" formatCode="_-* #,##0_-;\-* #,##0_-;_-* &quot;-&quot;??_-;_-@_-">
                  <c:v>95980</c:v>
                </c:pt>
                <c:pt idx="433" formatCode="_-* #,##0_-;\-* #,##0_-;_-* &quot;-&quot;??_-;_-@_-">
                  <c:v>95980</c:v>
                </c:pt>
                <c:pt idx="437" formatCode="_-* #,##0_-;\-* #,##0_-;_-* &quot;-&quot;??_-;_-@_-">
                  <c:v>191960</c:v>
                </c:pt>
                <c:pt idx="438" formatCode="_-* #,##0_-;\-* #,##0_-;_-* &quot;-&quot;??_-;_-@_-">
                  <c:v>95980</c:v>
                </c:pt>
                <c:pt idx="439" formatCode="_-* #,##0_-;\-* #,##0_-;_-* &quot;-&quot;??_-;_-@_-">
                  <c:v>191960</c:v>
                </c:pt>
                <c:pt idx="448" formatCode="_-* #,##0_-;\-* #,##0_-;_-* &quot;-&quot;??_-;_-@_-">
                  <c:v>96600</c:v>
                </c:pt>
                <c:pt idx="453" formatCode="_-* #,##0_-;\-* #,##0_-;_-* &quot;-&quot;??_-;_-@_-">
                  <c:v>193200</c:v>
                </c:pt>
                <c:pt idx="454" formatCode="_-* #,##0_-;\-* #,##0_-;_-* &quot;-&quot;??_-;_-@_-">
                  <c:v>289800</c:v>
                </c:pt>
                <c:pt idx="459" formatCode="_-* #,##0_-;\-* #,##0_-;_-* &quot;-&quot;??_-;_-@_-">
                  <c:v>96600</c:v>
                </c:pt>
                <c:pt idx="460" formatCode="_-* #,##0_-;\-* #,##0_-;_-* &quot;-&quot;??_-;_-@_-">
                  <c:v>96600</c:v>
                </c:pt>
                <c:pt idx="462" formatCode="_-* #,##0_-;\-* #,##0_-;_-* &quot;-&quot;??_-;_-@_-">
                  <c:v>96600</c:v>
                </c:pt>
                <c:pt idx="467" formatCode="_-* #,##0_-;\-* #,##0_-;_-* &quot;-&quot;??_-;_-@_-">
                  <c:v>0</c:v>
                </c:pt>
                <c:pt idx="469" formatCode="_-* #,##0_-;\-* #,##0_-;_-* &quot;-&quot;??_-;_-@_-">
                  <c:v>97150</c:v>
                </c:pt>
                <c:pt idx="471" formatCode="_-* #,##0_-;\-* #,##0_-;_-* &quot;-&quot;??_-;_-@_-">
                  <c:v>203800</c:v>
                </c:pt>
                <c:pt idx="472" formatCode="_-* #,##0_-;\-* #,##0_-;_-* &quot;-&quot;??_-;_-@_-">
                  <c:v>97180</c:v>
                </c:pt>
                <c:pt idx="473" formatCode="_-* #,##0_-;\-* #,##0_-;_-* &quot;-&quot;??_-;_-@_-">
                  <c:v>0</c:v>
                </c:pt>
                <c:pt idx="475" formatCode="_-* #,##0_-;\-* #,##0_-;_-* &quot;-&quot;??_-;_-@_-">
                  <c:v>195160</c:v>
                </c:pt>
                <c:pt idx="477" formatCode="_-* #,##0_-;\-* #,##0_-;_-* &quot;-&quot;??_-;_-@_-">
                  <c:v>97580</c:v>
                </c:pt>
                <c:pt idx="480" formatCode="_-* #,##0_-;\-* #,##0_-;_-* &quot;-&quot;??_-;_-@_-">
                  <c:v>97580</c:v>
                </c:pt>
                <c:pt idx="483" formatCode="_-* #,##0_-;\-* #,##0_-;_-* &quot;-&quot;??_-;_-@_-">
                  <c:v>97580</c:v>
                </c:pt>
                <c:pt idx="485" formatCode="_-* #,##0_-;\-* #,##0_-;_-* &quot;-&quot;??_-;_-@_-">
                  <c:v>97580</c:v>
                </c:pt>
                <c:pt idx="487" formatCode="_-* #,##0_-;\-* #,##0_-;_-* &quot;-&quot;??_-;_-@_-">
                  <c:v>97580</c:v>
                </c:pt>
                <c:pt idx="491" formatCode="_-* #,##0_-;\-* #,##0_-;_-* &quot;-&quot;??_-;_-@_-">
                  <c:v>97580</c:v>
                </c:pt>
                <c:pt idx="492" formatCode="_-* #,##0_-;\-* #,##0_-;_-* &quot;-&quot;??_-;_-@_-">
                  <c:v>195160</c:v>
                </c:pt>
                <c:pt idx="495" formatCode="_-* #,##0_-;\-* #,##0_-;_-* &quot;-&quot;??_-;_-@_-">
                  <c:v>195160</c:v>
                </c:pt>
                <c:pt idx="496" formatCode="_-* #,##0_-;\-* #,##0_-;_-* &quot;-&quot;??_-;_-@_-">
                  <c:v>195160</c:v>
                </c:pt>
                <c:pt idx="497" formatCode="_-* #,##0_-;\-* #,##0_-;_-* &quot;-&quot;??_-;_-@_-">
                  <c:v>195160</c:v>
                </c:pt>
                <c:pt idx="498" formatCode="_-* #,##0_-;\-* #,##0_-;_-* &quot;-&quot;??_-;_-@_-">
                  <c:v>292740</c:v>
                </c:pt>
                <c:pt idx="499" formatCode="_-* #,##0_-;\-* #,##0_-;_-* &quot;-&quot;??_-;_-@_-">
                  <c:v>97580</c:v>
                </c:pt>
                <c:pt idx="500" formatCode="_-* #,##0_-;\-* #,##0_-;_-* &quot;-&quot;??_-;_-@_-">
                  <c:v>97580</c:v>
                </c:pt>
                <c:pt idx="503" formatCode="_-* #,##0_-;\-* #,##0_-;_-* &quot;-&quot;??_-;_-@_-">
                  <c:v>97580</c:v>
                </c:pt>
                <c:pt idx="504" formatCode="_-* #,##0_-;\-* #,##0_-;_-* &quot;-&quot;??_-;_-@_-">
                  <c:v>146370</c:v>
                </c:pt>
                <c:pt idx="505" formatCode="_-* #,##0_-;\-* #,##0_-;_-* &quot;-&quot;??_-;_-@_-">
                  <c:v>97580</c:v>
                </c:pt>
                <c:pt idx="509" formatCode="_-* #,##0_-;\-* #,##0_-;_-* &quot;-&quot;??_-;_-@_-">
                  <c:v>97580</c:v>
                </c:pt>
                <c:pt idx="510" formatCode="_-* #,##0_-;\-* #,##0_-;_-* &quot;-&quot;??_-;_-@_-">
                  <c:v>97580</c:v>
                </c:pt>
                <c:pt idx="511" formatCode="_-* #,##0_-;\-* #,##0_-;_-* &quot;-&quot;??_-;_-@_-">
                  <c:v>195160</c:v>
                </c:pt>
                <c:pt idx="512" formatCode="_-* #,##0_-;\-* #,##0_-;_-* &quot;-&quot;??_-;_-@_-">
                  <c:v>97580</c:v>
                </c:pt>
                <c:pt idx="514" formatCode="_-* #,##0_-;\-* #,##0_-;_-* &quot;-&quot;??_-;_-@_-">
                  <c:v>97580</c:v>
                </c:pt>
                <c:pt idx="515" formatCode="_-* #,##0_-;\-* #,##0_-;_-* &quot;-&quot;??_-;_-@_-">
                  <c:v>97580</c:v>
                </c:pt>
                <c:pt idx="517" formatCode="_-* #,##0_-;\-* #,##0_-;_-* &quot;-&quot;??_-;_-@_-">
                  <c:v>195160</c:v>
                </c:pt>
                <c:pt idx="518" formatCode="_-* #,##0_-;\-* #,##0_-;_-* &quot;-&quot;??_-;_-@_-">
                  <c:v>30000</c:v>
                </c:pt>
                <c:pt idx="519" formatCode="_-* #,##0_-;\-* #,##0_-;_-* &quot;-&quot;??_-;_-@_-">
                  <c:v>97580</c:v>
                </c:pt>
                <c:pt idx="520" formatCode="_-* #,##0_-;\-* #,##0_-;_-* &quot;-&quot;??_-;_-@_-">
                  <c:v>195160</c:v>
                </c:pt>
                <c:pt idx="522" formatCode="_-* #,##0_-;\-* #,##0_-;_-* &quot;-&quot;??_-;_-@_-">
                  <c:v>97580</c:v>
                </c:pt>
                <c:pt idx="528" formatCode="_-* #,##0_-;\-* #,##0_-;_-* &quot;-&quot;??_-;_-@_-">
                  <c:v>146700</c:v>
                </c:pt>
                <c:pt idx="532" formatCode="_-* #,##0_-;\-* #,##0_-;_-* &quot;-&quot;??_-;_-@_-">
                  <c:v>98000</c:v>
                </c:pt>
                <c:pt idx="533" formatCode="_-* #,##0_-;\-* #,##0_-;_-* &quot;-&quot;??_-;_-@_-">
                  <c:v>0</c:v>
                </c:pt>
                <c:pt idx="549" formatCode="_-* #,##0_-;\-* #,##0_-;_-* &quot;-&quot;??_-;_-@_-">
                  <c:v>98020</c:v>
                </c:pt>
                <c:pt idx="572" formatCode="_-* #,##0_-;\-* #,##0_-;_-* &quot;-&quot;??_-;_-@_-">
                  <c:v>147300</c:v>
                </c:pt>
                <c:pt idx="588" formatCode="_-* #,##0_-;\-* #,##0_-;_-* &quot;-&quot;??_-;_-@_-">
                  <c:v>98380</c:v>
                </c:pt>
                <c:pt idx="591" formatCode="_-* #,##0_-;\-* #,##0_-;_-* &quot;-&quot;??_-;_-@_-">
                  <c:v>0</c:v>
                </c:pt>
                <c:pt idx="597" formatCode="_-* #,##0_-;\-* #,##0_-;_-* &quot;-&quot;??_-;_-@_-">
                  <c:v>98780</c:v>
                </c:pt>
                <c:pt idx="598" formatCode="_-* #,##0_-;\-* #,##0_-;_-* &quot;-&quot;??_-;_-@_-">
                  <c:v>98780</c:v>
                </c:pt>
                <c:pt idx="603" formatCode="_-* #,##0_-;\-* #,##0_-;_-* &quot;-&quot;??_-;_-@_-">
                  <c:v>98780</c:v>
                </c:pt>
                <c:pt idx="608" formatCode="_-* #,##0_-;\-* #,##0_-;_-* &quot;-&quot;??_-;_-@_-">
                  <c:v>197560</c:v>
                </c:pt>
                <c:pt idx="632" formatCode="_-* #,##0_-;\-* #,##0_-;_-* &quot;-&quot;??_-;_-@_-">
                  <c:v>103700</c:v>
                </c:pt>
                <c:pt idx="637" formatCode="_-* #,##0_-;\-* #,##0_-;_-* &quot;-&quot;??_-;_-@_-">
                  <c:v>98780</c:v>
                </c:pt>
                <c:pt idx="639" formatCode="_-* #,##0_-;\-* #,##0_-;_-* &quot;-&quot;??_-;_-@_-">
                  <c:v>4000</c:v>
                </c:pt>
                <c:pt idx="651" formatCode="_-* #,##0_-;\-* #,##0_-;_-* &quot;-&quot;??_-;_-@_-">
                  <c:v>98780</c:v>
                </c:pt>
                <c:pt idx="652" formatCode="_-* #,##0_-;\-* #,##0_-;_-* &quot;-&quot;??_-;_-@_-">
                  <c:v>150000</c:v>
                </c:pt>
                <c:pt idx="662" formatCode="_-* #,##0_-;\-* #,##0_-;_-* &quot;-&quot;??_-;_-@_-">
                  <c:v>97780</c:v>
                </c:pt>
                <c:pt idx="666" formatCode="_-* #,##0_-;\-* #,##0_-;_-* &quot;-&quot;??_-;_-@_-">
                  <c:v>103700</c:v>
                </c:pt>
                <c:pt idx="683" formatCode="_-* #,##0_-;\-* #,##0_-;_-* &quot;-&quot;??_-;_-@_-">
                  <c:v>97780</c:v>
                </c:pt>
                <c:pt idx="695" formatCode="_-* #,##0_-;\-* #,##0_-;_-* &quot;-&quot;??_-;_-@_-">
                  <c:v>97780</c:v>
                </c:pt>
                <c:pt idx="698" formatCode="_-* #,##0_-;\-* #,##0_-;_-* &quot;-&quot;??_-;_-@_-">
                  <c:v>96980</c:v>
                </c:pt>
                <c:pt idx="701" formatCode="_-* #,##0_-;\-* #,##0_-;_-* &quot;-&quot;??_-;_-@_-">
                  <c:v>96980</c:v>
                </c:pt>
                <c:pt idx="738" formatCode="_-* #,##0_-;\-* #,##0_-;_-* &quot;-&quot;??_-;_-@_-">
                  <c:v>190880</c:v>
                </c:pt>
                <c:pt idx="762" formatCode="_-* #,##0_-;\-* #,##0_-;_-* &quot;-&quot;??_-;_-@_-">
                  <c:v>96900</c:v>
                </c:pt>
                <c:pt idx="768" formatCode="_-* #,##0_-;\-* #,##0_-;_-* &quot;-&quot;??_-;_-@_-">
                  <c:v>96900</c:v>
                </c:pt>
                <c:pt idx="770" formatCode="_-* #,##0_-;\-* #,##0_-;_-* &quot;-&quot;??_-;_-@_-">
                  <c:v>96900</c:v>
                </c:pt>
                <c:pt idx="773" formatCode="_-* #,##0_-;\-* #,##0_-;_-* &quot;-&quot;??_-;_-@_-">
                  <c:v>96900</c:v>
                </c:pt>
                <c:pt idx="781" formatCode="_-* #,##0_-;\-* #,##0_-;_-* &quot;-&quot;??_-;_-@_-">
                  <c:v>95800</c:v>
                </c:pt>
                <c:pt idx="790" formatCode="_-* #,##0_-;\-* #,##0_-;_-* &quot;-&quot;??_-;_-@_-">
                  <c:v>26495</c:v>
                </c:pt>
                <c:pt idx="796" formatCode="_-* #,##0_-;\-* #,##0_-;_-* &quot;-&quot;??_-;_-@_-">
                  <c:v>47900</c:v>
                </c:pt>
                <c:pt idx="814" formatCode="_-* #,##0_-;\-* #,##0_-;_-* &quot;-&quot;??_-;_-@_-">
                  <c:v>0</c:v>
                </c:pt>
                <c:pt idx="825" formatCode="_-* #,##0_-;\-* #,##0_-;_-* &quot;-&quot;??_-;_-@_-">
                  <c:v>103600</c:v>
                </c:pt>
                <c:pt idx="842" formatCode="_-* #,##0_-;\-* #,##0_-;_-* &quot;-&quot;??_-;_-@_-">
                  <c:v>105000</c:v>
                </c:pt>
                <c:pt idx="863" formatCode="_-* #,##0_-;\-* #,##0_-;_-* &quot;-&quot;??_-;_-@_-">
                  <c:v>347400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093-4675-8CF1-E99C3E7C4480}"/>
            </c:ext>
          </c:extLst>
        </c:ser>
        <c:ser>
          <c:idx val="29"/>
          <c:order val="29"/>
          <c:tx>
            <c:strRef>
              <c:f>'CASH FLOW'!$AE$1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FLOW'!$AE$2:$AE$969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900000</c:v>
                </c:pt>
                <c:pt idx="9" formatCode="_-* #,##0_-;\-* #,##0_-;_-* &quot;-&quot;??_-;_-@_-">
                  <c:v>317940</c:v>
                </c:pt>
                <c:pt idx="35" formatCode="_-* #,##0_-;\-* #,##0_-;_-* &quot;-&quot;??_-;_-@_-">
                  <c:v>837000</c:v>
                </c:pt>
                <c:pt idx="94" formatCode="_-* #,##0_-;\-* #,##0_-;_-* &quot;-&quot;??_-;_-@_-">
                  <c:v>930000</c:v>
                </c:pt>
                <c:pt idx="123" formatCode="_-* #,##0_-;\-* #,##0_-;_-* &quot;-&quot;??_-;_-@_-">
                  <c:v>1200000</c:v>
                </c:pt>
                <c:pt idx="152" formatCode="_-* #,##0_-;\-* #,##0_-;_-* &quot;-&quot;??_-;_-@_-">
                  <c:v>148000</c:v>
                </c:pt>
                <c:pt idx="153" formatCode="_-* #,##0_-;\-* #,##0_-;_-* &quot;-&quot;??_-;_-@_-">
                  <c:v>952000</c:v>
                </c:pt>
                <c:pt idx="183" formatCode="_-* #,##0_-;\-* #,##0_-;_-* &quot;-&quot;??_-;_-@_-">
                  <c:v>1200000</c:v>
                </c:pt>
                <c:pt idx="215" formatCode="_-* #,##0_-;\-* #,##0_-;_-* &quot;-&quot;??_-;_-@_-">
                  <c:v>1200000</c:v>
                </c:pt>
                <c:pt idx="234" formatCode="_-* #,##0_-;\-* #,##0_-;_-* &quot;-&quot;??_-;_-@_-">
                  <c:v>0</c:v>
                </c:pt>
                <c:pt idx="235" formatCode="_-* #,##0_-;\-* #,##0_-;_-* &quot;-&quot;??_-;_-@_-">
                  <c:v>36000</c:v>
                </c:pt>
                <c:pt idx="246" formatCode="_-* #,##0_-;\-* #,##0_-;_-* &quot;-&quot;??_-;_-@_-">
                  <c:v>1200000</c:v>
                </c:pt>
                <c:pt idx="275" formatCode="_-* #,##0_-;\-* #,##0_-;_-* &quot;-&quot;??_-;_-@_-">
                  <c:v>1200000</c:v>
                </c:pt>
                <c:pt idx="291" formatCode="_-* #,##0_-;\-* #,##0_-;_-* &quot;-&quot;??_-;_-@_-">
                  <c:v>45000</c:v>
                </c:pt>
                <c:pt idx="307" formatCode="_-* #,##0_-;\-* #,##0_-;_-* &quot;-&quot;??_-;_-@_-">
                  <c:v>1080000</c:v>
                </c:pt>
                <c:pt idx="337" formatCode="_-* #,##0_-;\-* #,##0_-;_-* &quot;-&quot;??_-;_-@_-">
                  <c:v>1200000</c:v>
                </c:pt>
                <c:pt idx="349" formatCode="_-* #,##0_-;\-* #,##0_-;_-* &quot;-&quot;??_-;_-@_-">
                  <c:v>60000</c:v>
                </c:pt>
                <c:pt idx="358" formatCode="_-* #,##0_-;\-* #,##0_-;_-* &quot;-&quot;??_-;_-@_-">
                  <c:v>0</c:v>
                </c:pt>
                <c:pt idx="363" formatCode="_-* #,##0_-;\-* #,##0_-;_-* &quot;-&quot;??_-;_-@_-">
                  <c:v>1200000</c:v>
                </c:pt>
                <c:pt idx="399" formatCode="_-* #,##0_-;\-* #,##0_-;_-* &quot;-&quot;??_-;_-@_-">
                  <c:v>1200000</c:v>
                </c:pt>
                <c:pt idx="424" formatCode="_-* #,##0_-;\-* #,##0_-;_-* &quot;-&quot;??_-;_-@_-">
                  <c:v>112000</c:v>
                </c:pt>
                <c:pt idx="427" formatCode="_-* #,##0_-;\-* #,##0_-;_-* &quot;-&quot;??_-;_-@_-">
                  <c:v>1008000</c:v>
                </c:pt>
                <c:pt idx="440" formatCode="_-* #,##0_-;\-* #,##0_-;_-* &quot;-&quot;??_-;_-@_-">
                  <c:v>4000</c:v>
                </c:pt>
                <c:pt idx="458" formatCode="_-* #,##0_-;\-* #,##0_-;_-* &quot;-&quot;??_-;_-@_-">
                  <c:v>1304000</c:v>
                </c:pt>
                <c:pt idx="488" formatCode="_-* #,##0_-;\-* #,##0_-;_-* &quot;-&quot;??_-;_-@_-">
                  <c:v>1320000</c:v>
                </c:pt>
                <c:pt idx="500" formatCode="_-* #,##0_-;\-* #,##0_-;_-* &quot;-&quot;??_-;_-@_-">
                  <c:v>31000</c:v>
                </c:pt>
                <c:pt idx="519" formatCode="_-* #,##0_-;\-* #,##0_-;_-* &quot;-&quot;??_-;_-@_-">
                  <c:v>1320000</c:v>
                </c:pt>
                <c:pt idx="544" formatCode="_-* #,##0_-;\-* #,##0_-;_-* &quot;-&quot;??_-;_-@_-">
                  <c:v>20000</c:v>
                </c:pt>
                <c:pt idx="549" formatCode="_-* #,##0_-;\-* #,##0_-;_-* &quot;-&quot;??_-;_-@_-">
                  <c:v>1036000</c:v>
                </c:pt>
                <c:pt idx="582" formatCode="_-* #,##0_-;\-* #,##0_-;_-* &quot;-&quot;??_-;_-@_-">
                  <c:v>908000</c:v>
                </c:pt>
                <c:pt idx="583" formatCode="_-* #,##0_-;\-* #,##0_-;_-* &quot;-&quot;??_-;_-@_-">
                  <c:v>484000</c:v>
                </c:pt>
                <c:pt idx="611" formatCode="_-* #,##0_-;\-* #,##0_-;_-* &quot;-&quot;??_-;_-@_-">
                  <c:v>1320000</c:v>
                </c:pt>
                <c:pt idx="626" formatCode="_-* #,##0_-;\-* #,##0_-;_-* &quot;-&quot;??_-;_-@_-">
                  <c:v>120000</c:v>
                </c:pt>
                <c:pt idx="641" formatCode="_-* #,##0_-;\-* #,##0_-;_-* &quot;-&quot;??_-;_-@_-">
                  <c:v>1080000</c:v>
                </c:pt>
                <c:pt idx="666" formatCode="_-* #,##0_-;\-* #,##0_-;_-* &quot;-&quot;??_-;_-@_-">
                  <c:v>46000</c:v>
                </c:pt>
                <c:pt idx="673" formatCode="_-* #,##0_-;\-* #,##0_-;_-* &quot;-&quot;??_-;_-@_-">
                  <c:v>1284000</c:v>
                </c:pt>
                <c:pt idx="701" formatCode="_-* #,##0_-;\-* #,##0_-;_-* &quot;-&quot;??_-;_-@_-">
                  <c:v>1184000</c:v>
                </c:pt>
                <c:pt idx="714" formatCode="_-* #,##0_-;\-* #,##0_-;_-* &quot;-&quot;??_-;_-@_-">
                  <c:v>50000</c:v>
                </c:pt>
                <c:pt idx="736" formatCode="_-* #,##0_-;\-* #,##0_-;_-* &quot;-&quot;??_-;_-@_-">
                  <c:v>1270000</c:v>
                </c:pt>
                <c:pt idx="769" formatCode="_-* #,##0_-;\-* #,##0_-;_-* &quot;-&quot;??_-;_-@_-">
                  <c:v>1252000</c:v>
                </c:pt>
                <c:pt idx="776" formatCode="_-* #,##0_-;\-* #,##0_-;_-* &quot;-&quot;??_-;_-@_-">
                  <c:v>30000</c:v>
                </c:pt>
                <c:pt idx="790" formatCode="_-* #,##0_-;\-* #,##0_-;_-* &quot;-&quot;??_-;_-@_-">
                  <c:v>120000</c:v>
                </c:pt>
                <c:pt idx="799" formatCode="_-* #,##0_-;\-* #,##0_-;_-* &quot;-&quot;??_-;_-@_-">
                  <c:v>1060000</c:v>
                </c:pt>
                <c:pt idx="814" formatCode="_-* #,##0_-;\-* #,##0_-;_-* &quot;-&quot;??_-;_-@_-">
                  <c:v>0</c:v>
                </c:pt>
                <c:pt idx="822" formatCode="_-* #,##0_-;\-* #,##0_-;_-* &quot;-&quot;??_-;_-@_-">
                  <c:v>4000</c:v>
                </c:pt>
                <c:pt idx="824" formatCode="_-* #,##0_-;\-* #,##0_-;_-* &quot;-&quot;??_-;_-@_-">
                  <c:v>120000</c:v>
                </c:pt>
                <c:pt idx="826" formatCode="_-* #,##0_-;\-* #,##0_-;_-* &quot;-&quot;??_-;_-@_-">
                  <c:v>992000</c:v>
                </c:pt>
                <c:pt idx="846" formatCode="_-* #,##0_-;\-* #,##0_-;_-* &quot;-&quot;??_-;_-@_-">
                  <c:v>4000</c:v>
                </c:pt>
                <c:pt idx="848" formatCode="_-* #,##0_-;\-* #,##0_-;_-* &quot;-&quot;??_-;_-@_-">
                  <c:v>4000</c:v>
                </c:pt>
                <c:pt idx="855" formatCode="_-* #,##0_-;\-* #,##0_-;_-* &quot;-&quot;??_-;_-@_-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093-4675-8CF1-E99C3E7C4480}"/>
            </c:ext>
          </c:extLst>
        </c:ser>
        <c:ser>
          <c:idx val="30"/>
          <c:order val="30"/>
          <c:tx>
            <c:strRef>
              <c:f>'CASH FLOW'!$AF$1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FLOW'!$AF$2:$AF$969</c:f>
              <c:numCache>
                <c:formatCode>General</c:formatCode>
                <c:ptCount val="968"/>
                <c:pt idx="1">
                  <c:v>0</c:v>
                </c:pt>
                <c:pt idx="3" formatCode="_-* #,##0_-;\-* #,##0_-;_-* &quot;-&quot;??_-;_-@_-">
                  <c:v>5000</c:v>
                </c:pt>
                <c:pt idx="4" formatCode="_-* #,##0_-;\-* #,##0_-;_-* &quot;-&quot;??_-;_-@_-">
                  <c:v>7000</c:v>
                </c:pt>
                <c:pt idx="5" formatCode="_-* #,##0_-;\-* #,##0_-;_-* &quot;-&quot;??_-;_-@_-">
                  <c:v>13000</c:v>
                </c:pt>
                <c:pt idx="6" formatCode="_-* #,##0_-;\-* #,##0_-;_-* &quot;-&quot;??_-;_-@_-">
                  <c:v>0</c:v>
                </c:pt>
                <c:pt idx="7" formatCode="_-* #,##0_-;\-* #,##0_-;_-* &quot;-&quot;??_-;_-@_-">
                  <c:v>2000</c:v>
                </c:pt>
                <c:pt idx="8" formatCode="_-* #,##0_-;\-* #,##0_-;_-* &quot;-&quot;??_-;_-@_-">
                  <c:v>7000</c:v>
                </c:pt>
                <c:pt idx="10" formatCode="_-* #,##0_-;\-* #,##0_-;_-* &quot;-&quot;??_-;_-@_-">
                  <c:v>3000</c:v>
                </c:pt>
                <c:pt idx="12" formatCode="_-* #,##0_-;\-* #,##0_-;_-* &quot;-&quot;??_-;_-@_-">
                  <c:v>13000</c:v>
                </c:pt>
                <c:pt idx="14" formatCode="_-* #,##0_-;\-* #,##0_-;_-* &quot;-&quot;??_-;_-@_-">
                  <c:v>3000</c:v>
                </c:pt>
                <c:pt idx="17" formatCode="_-* #,##0_-;\-* #,##0_-;_-* &quot;-&quot;??_-;_-@_-">
                  <c:v>12000</c:v>
                </c:pt>
                <c:pt idx="18" formatCode="_-* #,##0_-;\-* #,##0_-;_-* &quot;-&quot;??_-;_-@_-">
                  <c:v>2000</c:v>
                </c:pt>
                <c:pt idx="19" formatCode="_-* #,##0_-;\-* #,##0_-;_-* &quot;-&quot;??_-;_-@_-">
                  <c:v>3000</c:v>
                </c:pt>
                <c:pt idx="20" formatCode="_-* #,##0_-;\-* #,##0_-;_-* &quot;-&quot;??_-;_-@_-">
                  <c:v>5000</c:v>
                </c:pt>
                <c:pt idx="21" formatCode="_-* #,##0_-;\-* #,##0_-;_-* &quot;-&quot;??_-;_-@_-">
                  <c:v>3000</c:v>
                </c:pt>
                <c:pt idx="23" formatCode="_-* #,##0_-;\-* #,##0_-;_-* &quot;-&quot;??_-;_-@_-">
                  <c:v>10000</c:v>
                </c:pt>
                <c:pt idx="24" formatCode="_-* #,##0_-;\-* #,##0_-;_-* &quot;-&quot;??_-;_-@_-">
                  <c:v>23000</c:v>
                </c:pt>
                <c:pt idx="27" formatCode="_-* #,##0_-;\-* #,##0_-;_-* &quot;-&quot;??_-;_-@_-">
                  <c:v>2000</c:v>
                </c:pt>
                <c:pt idx="28" formatCode="_-* #,##0_-;\-* #,##0_-;_-* &quot;-&quot;??_-;_-@_-">
                  <c:v>153000</c:v>
                </c:pt>
                <c:pt idx="29" formatCode="_-* #,##0_-;\-* #,##0_-;_-* &quot;-&quot;??_-;_-@_-">
                  <c:v>7000</c:v>
                </c:pt>
                <c:pt idx="31" formatCode="_-* #,##0_-;\-* #,##0_-;_-* &quot;-&quot;??_-;_-@_-">
                  <c:v>6000</c:v>
                </c:pt>
                <c:pt idx="33" formatCode="_-* #,##0_-;\-* #,##0_-;_-* &quot;-&quot;??_-;_-@_-">
                  <c:v>2000</c:v>
                </c:pt>
                <c:pt idx="34" formatCode="_-* #,##0_-;\-* #,##0_-;_-* &quot;-&quot;??_-;_-@_-">
                  <c:v>5000</c:v>
                </c:pt>
                <c:pt idx="37" formatCode="_-* #,##0_-;\-* #,##0_-;_-* &quot;-&quot;??_-;_-@_-">
                  <c:v>50000</c:v>
                </c:pt>
                <c:pt idx="40" formatCode="_-* #,##0_-;\-* #,##0_-;_-* &quot;-&quot;??_-;_-@_-">
                  <c:v>3000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9000</c:v>
                </c:pt>
                <c:pt idx="45" formatCode="_-* #,##0_-;\-* #,##0_-;_-* &quot;-&quot;??_-;_-@_-">
                  <c:v>7000</c:v>
                </c:pt>
                <c:pt idx="50" formatCode="_-* #,##0_-;\-* #,##0_-;_-* &quot;-&quot;??_-;_-@_-">
                  <c:v>100000</c:v>
                </c:pt>
                <c:pt idx="52" formatCode="_-* #,##0_-;\-* #,##0_-;_-* &quot;-&quot;??_-;_-@_-">
                  <c:v>3000</c:v>
                </c:pt>
                <c:pt idx="59" formatCode="_-* #,##0_-;\-* #,##0_-;_-* &quot;-&quot;??_-;_-@_-">
                  <c:v>13000</c:v>
                </c:pt>
                <c:pt idx="61" formatCode="_-* #,##0_-;\-* #,##0_-;_-* &quot;-&quot;??_-;_-@_-">
                  <c:v>3000</c:v>
                </c:pt>
                <c:pt idx="63" formatCode="_-* #,##0_-;\-* #,##0_-;_-* &quot;-&quot;??_-;_-@_-">
                  <c:v>3000</c:v>
                </c:pt>
                <c:pt idx="67" formatCode="_-* #,##0_-;\-* #,##0_-;_-* &quot;-&quot;??_-;_-@_-">
                  <c:v>3000</c:v>
                </c:pt>
                <c:pt idx="70" formatCode="_-* #,##0_-;\-* #,##0_-;_-* &quot;-&quot;??_-;_-@_-">
                  <c:v>3000</c:v>
                </c:pt>
                <c:pt idx="73" formatCode="_-* #,##0_-;\-* #,##0_-;_-* &quot;-&quot;??_-;_-@_-">
                  <c:v>3000</c:v>
                </c:pt>
                <c:pt idx="75" formatCode="_-* #,##0_-;\-* #,##0_-;_-* &quot;-&quot;??_-;_-@_-">
                  <c:v>3000</c:v>
                </c:pt>
                <c:pt idx="78" formatCode="_-* #,##0_-;\-* #,##0_-;_-* &quot;-&quot;??_-;_-@_-">
                  <c:v>6000</c:v>
                </c:pt>
                <c:pt idx="81" formatCode="_-* #,##0_-;\-* #,##0_-;_-* &quot;-&quot;??_-;_-@_-">
                  <c:v>23000</c:v>
                </c:pt>
                <c:pt idx="82" formatCode="_-* #,##0_-;\-* #,##0_-;_-* &quot;-&quot;??_-;_-@_-">
                  <c:v>8000</c:v>
                </c:pt>
                <c:pt idx="83" formatCode="_-* #,##0_-;\-* #,##0_-;_-* &quot;-&quot;??_-;_-@_-">
                  <c:v>3000</c:v>
                </c:pt>
                <c:pt idx="84" formatCode="_-* #,##0_-;\-* #,##0_-;_-* &quot;-&quot;??_-;_-@_-">
                  <c:v>3000</c:v>
                </c:pt>
                <c:pt idx="85" formatCode="_-* #,##0_-;\-* #,##0_-;_-* &quot;-&quot;??_-;_-@_-">
                  <c:v>3000</c:v>
                </c:pt>
                <c:pt idx="87" formatCode="_-* #,##0_-;\-* #,##0_-;_-* &quot;-&quot;??_-;_-@_-">
                  <c:v>2000</c:v>
                </c:pt>
                <c:pt idx="88" formatCode="_-* #,##0_-;\-* #,##0_-;_-* &quot;-&quot;??_-;_-@_-">
                  <c:v>3000</c:v>
                </c:pt>
                <c:pt idx="89" formatCode="_-* #,##0_-;\-* #,##0_-;_-* &quot;-&quot;??_-;_-@_-">
                  <c:v>3000</c:v>
                </c:pt>
                <c:pt idx="90" formatCode="_-* #,##0_-;\-* #,##0_-;_-* &quot;-&quot;??_-;_-@_-">
                  <c:v>103000</c:v>
                </c:pt>
                <c:pt idx="91" formatCode="_-* #,##0_-;\-* #,##0_-;_-* &quot;-&quot;??_-;_-@_-">
                  <c:v>5000</c:v>
                </c:pt>
                <c:pt idx="95" formatCode="_-* #,##0_-;\-* #,##0_-;_-* &quot;-&quot;??_-;_-@_-">
                  <c:v>5000</c:v>
                </c:pt>
                <c:pt idx="98" formatCode="_-* #,##0_-;\-* #,##0_-;_-* &quot;-&quot;??_-;_-@_-">
                  <c:v>23000</c:v>
                </c:pt>
                <c:pt idx="101" formatCode="_-* #,##0_-;\-* #,##0_-;_-* &quot;-&quot;??_-;_-@_-">
                  <c:v>3000</c:v>
                </c:pt>
                <c:pt idx="104" formatCode="_-* #,##0_-;\-* #,##0_-;_-* &quot;-&quot;??_-;_-@_-">
                  <c:v>12000</c:v>
                </c:pt>
                <c:pt idx="105" formatCode="_-* #,##0_-;\-* #,##0_-;_-* &quot;-&quot;??_-;_-@_-">
                  <c:v>4000</c:v>
                </c:pt>
                <c:pt idx="106" formatCode="_-* #,##0_-;\-* #,##0_-;_-* &quot;-&quot;??_-;_-@_-">
                  <c:v>7000</c:v>
                </c:pt>
                <c:pt idx="108" formatCode="_-* #,##0_-;\-* #,##0_-;_-* &quot;-&quot;??_-;_-@_-">
                  <c:v>61000</c:v>
                </c:pt>
                <c:pt idx="109" formatCode="_-* #,##0_-;\-* #,##0_-;_-* &quot;-&quot;??_-;_-@_-">
                  <c:v>3000</c:v>
                </c:pt>
                <c:pt idx="110" formatCode="_-* #,##0_-;\-* #,##0_-;_-* &quot;-&quot;??_-;_-@_-">
                  <c:v>5000</c:v>
                </c:pt>
                <c:pt idx="111" formatCode="_-* #,##0_-;\-* #,##0_-;_-* &quot;-&quot;??_-;_-@_-">
                  <c:v>33000</c:v>
                </c:pt>
                <c:pt idx="112" formatCode="_-* #,##0_-;\-* #,##0_-;_-* &quot;-&quot;??_-;_-@_-">
                  <c:v>3000</c:v>
                </c:pt>
                <c:pt idx="113" formatCode="_-* #,##0_-;\-* #,##0_-;_-* &quot;-&quot;??_-;_-@_-">
                  <c:v>3000</c:v>
                </c:pt>
                <c:pt idx="116" formatCode="_-* #,##0_-;\-* #,##0_-;_-* &quot;-&quot;??_-;_-@_-">
                  <c:v>3000</c:v>
                </c:pt>
                <c:pt idx="117" formatCode="_-* #,##0_-;\-* #,##0_-;_-* &quot;-&quot;??_-;_-@_-">
                  <c:v>13000</c:v>
                </c:pt>
                <c:pt idx="118" formatCode="_-* #,##0_-;\-* #,##0_-;_-* &quot;-&quot;??_-;_-@_-">
                  <c:v>3000</c:v>
                </c:pt>
                <c:pt idx="119" formatCode="_-* #,##0_-;\-* #,##0_-;_-* &quot;-&quot;??_-;_-@_-">
                  <c:v>50000</c:v>
                </c:pt>
                <c:pt idx="123" formatCode="_-* #,##0_-;\-* #,##0_-;_-* &quot;-&quot;??_-;_-@_-">
                  <c:v>6000</c:v>
                </c:pt>
                <c:pt idx="124" formatCode="_-* #,##0_-;\-* #,##0_-;_-* &quot;-&quot;??_-;_-@_-">
                  <c:v>3000</c:v>
                </c:pt>
                <c:pt idx="125" formatCode="_-* #,##0_-;\-* #,##0_-;_-* &quot;-&quot;??_-;_-@_-">
                  <c:v>3000</c:v>
                </c:pt>
                <c:pt idx="126" formatCode="_-* #,##0_-;\-* #,##0_-;_-* &quot;-&quot;??_-;_-@_-">
                  <c:v>3000</c:v>
                </c:pt>
                <c:pt idx="129" formatCode="_-* #,##0_-;\-* #,##0_-;_-* &quot;-&quot;??_-;_-@_-">
                  <c:v>6000</c:v>
                </c:pt>
                <c:pt idx="130" formatCode="_-* #,##0_-;\-* #,##0_-;_-* &quot;-&quot;??_-;_-@_-">
                  <c:v>53000</c:v>
                </c:pt>
                <c:pt idx="131" formatCode="_-* #,##0_-;\-* #,##0_-;_-* &quot;-&quot;??_-;_-@_-">
                  <c:v>0</c:v>
                </c:pt>
                <c:pt idx="132" formatCode="_-* #,##0_-;\-* #,##0_-;_-* &quot;-&quot;??_-;_-@_-">
                  <c:v>8000</c:v>
                </c:pt>
                <c:pt idx="134" formatCode="_-* #,##0_-;\-* #,##0_-;_-* &quot;-&quot;??_-;_-@_-">
                  <c:v>4000</c:v>
                </c:pt>
                <c:pt idx="136" formatCode="_-* #,##0_-;\-* #,##0_-;_-* &quot;-&quot;??_-;_-@_-">
                  <c:v>6000</c:v>
                </c:pt>
                <c:pt idx="139" formatCode="_-* #,##0_-;\-* #,##0_-;_-* &quot;-&quot;??_-;_-@_-">
                  <c:v>9000</c:v>
                </c:pt>
                <c:pt idx="140" formatCode="_-* #,##0_-;\-* #,##0_-;_-* &quot;-&quot;??_-;_-@_-">
                  <c:v>7000</c:v>
                </c:pt>
                <c:pt idx="141" formatCode="_-* #,##0_-;\-* #,##0_-;_-* &quot;-&quot;??_-;_-@_-">
                  <c:v>3000</c:v>
                </c:pt>
                <c:pt idx="143" formatCode="_-* #,##0_-;\-* #,##0_-;_-* &quot;-&quot;??_-;_-@_-">
                  <c:v>7000</c:v>
                </c:pt>
                <c:pt idx="144" formatCode="_-* #,##0_-;\-* #,##0_-;_-* &quot;-&quot;??_-;_-@_-">
                  <c:v>3000</c:v>
                </c:pt>
                <c:pt idx="145" formatCode="_-* #,##0_-;\-* #,##0_-;_-* &quot;-&quot;??_-;_-@_-">
                  <c:v>3000</c:v>
                </c:pt>
                <c:pt idx="146" formatCode="_-* #,##0_-;\-* #,##0_-;_-* &quot;-&quot;??_-;_-@_-">
                  <c:v>6000</c:v>
                </c:pt>
                <c:pt idx="147" formatCode="_-* #,##0_-;\-* #,##0_-;_-* &quot;-&quot;??_-;_-@_-">
                  <c:v>3000</c:v>
                </c:pt>
                <c:pt idx="148" formatCode="_-* #,##0_-;\-* #,##0_-;_-* &quot;-&quot;??_-;_-@_-">
                  <c:v>6000</c:v>
                </c:pt>
                <c:pt idx="149" formatCode="_-* #,##0_-;\-* #,##0_-;_-* &quot;-&quot;??_-;_-@_-">
                  <c:v>0</c:v>
                </c:pt>
                <c:pt idx="150" formatCode="_-* #,##0_-;\-* #,##0_-;_-* &quot;-&quot;??_-;_-@_-">
                  <c:v>3000</c:v>
                </c:pt>
                <c:pt idx="151" formatCode="_-* #,##0_-;\-* #,##0_-;_-* &quot;-&quot;??_-;_-@_-">
                  <c:v>3000</c:v>
                </c:pt>
                <c:pt idx="152" formatCode="_-* #,##0_-;\-* #,##0_-;_-* &quot;-&quot;??_-;_-@_-">
                  <c:v>5000</c:v>
                </c:pt>
                <c:pt idx="153" formatCode="_-* #,##0_-;\-* #,##0_-;_-* &quot;-&quot;??_-;_-@_-">
                  <c:v>3000</c:v>
                </c:pt>
                <c:pt idx="155" formatCode="_-* #,##0_-;\-* #,##0_-;_-* &quot;-&quot;??_-;_-@_-">
                  <c:v>3000</c:v>
                </c:pt>
                <c:pt idx="157" formatCode="_-* #,##0_-;\-* #,##0_-;_-* &quot;-&quot;??_-;_-@_-">
                  <c:v>6000</c:v>
                </c:pt>
                <c:pt idx="159" formatCode="_-* #,##0_-;\-* #,##0_-;_-* &quot;-&quot;??_-;_-@_-">
                  <c:v>5000</c:v>
                </c:pt>
                <c:pt idx="160" formatCode="_-* #,##0_-;\-* #,##0_-;_-* &quot;-&quot;??_-;_-@_-">
                  <c:v>6000</c:v>
                </c:pt>
                <c:pt idx="161" formatCode="_-* #,##0_-;\-* #,##0_-;_-* &quot;-&quot;??_-;_-@_-">
                  <c:v>6000</c:v>
                </c:pt>
                <c:pt idx="162" formatCode="_-* #,##0_-;\-* #,##0_-;_-* &quot;-&quot;??_-;_-@_-">
                  <c:v>3000</c:v>
                </c:pt>
                <c:pt idx="164" formatCode="_-* #,##0_-;\-* #,##0_-;_-* &quot;-&quot;??_-;_-@_-">
                  <c:v>6000</c:v>
                </c:pt>
                <c:pt idx="165" formatCode="_-* #,##0_-;\-* #,##0_-;_-* &quot;-&quot;??_-;_-@_-">
                  <c:v>3000</c:v>
                </c:pt>
                <c:pt idx="166" formatCode="_-* #,##0_-;\-* #,##0_-;_-* &quot;-&quot;??_-;_-@_-">
                  <c:v>4000</c:v>
                </c:pt>
                <c:pt idx="167" formatCode="_-* #,##0_-;\-* #,##0_-;_-* &quot;-&quot;??_-;_-@_-">
                  <c:v>5000</c:v>
                </c:pt>
                <c:pt idx="168" formatCode="_-* #,##0_-;\-* #,##0_-;_-* &quot;-&quot;??_-;_-@_-">
                  <c:v>55000</c:v>
                </c:pt>
                <c:pt idx="171" formatCode="_-* #,##0_-;\-* #,##0_-;_-* &quot;-&quot;??_-;_-@_-">
                  <c:v>23000</c:v>
                </c:pt>
                <c:pt idx="172" formatCode="_-* #,##0_-;\-* #,##0_-;_-* &quot;-&quot;??_-;_-@_-">
                  <c:v>3000</c:v>
                </c:pt>
                <c:pt idx="173" formatCode="_-* #,##0_-;\-* #,##0_-;_-* &quot;-&quot;??_-;_-@_-">
                  <c:v>3000</c:v>
                </c:pt>
                <c:pt idx="174" formatCode="_-* #,##0_-;\-* #,##0_-;_-* &quot;-&quot;??_-;_-@_-">
                  <c:v>100000</c:v>
                </c:pt>
                <c:pt idx="175" formatCode="_-* #,##0_-;\-* #,##0_-;_-* &quot;-&quot;??_-;_-@_-">
                  <c:v>5000</c:v>
                </c:pt>
                <c:pt idx="179" formatCode="_-* #,##0_-;\-* #,##0_-;_-* &quot;-&quot;??_-;_-@_-">
                  <c:v>7000</c:v>
                </c:pt>
                <c:pt idx="180" formatCode="_-* #,##0_-;\-* #,##0_-;_-* &quot;-&quot;??_-;_-@_-">
                  <c:v>6000</c:v>
                </c:pt>
                <c:pt idx="185" formatCode="_-* #,##0_-;\-* #,##0_-;_-* &quot;-&quot;??_-;_-@_-">
                  <c:v>7000</c:v>
                </c:pt>
                <c:pt idx="186" formatCode="_-* #,##0_-;\-* #,##0_-;_-* &quot;-&quot;??_-;_-@_-">
                  <c:v>3000</c:v>
                </c:pt>
                <c:pt idx="188" formatCode="_-* #,##0_-;\-* #,##0_-;_-* &quot;-&quot;??_-;_-@_-">
                  <c:v>3000</c:v>
                </c:pt>
                <c:pt idx="189" formatCode="_-* #,##0_-;\-* #,##0_-;_-* &quot;-&quot;??_-;_-@_-">
                  <c:v>3000</c:v>
                </c:pt>
                <c:pt idx="190" formatCode="_-* #,##0_-;\-* #,##0_-;_-* &quot;-&quot;??_-;_-@_-">
                  <c:v>3000</c:v>
                </c:pt>
                <c:pt idx="192" formatCode="_-* #,##0_-;\-* #,##0_-;_-* &quot;-&quot;??_-;_-@_-">
                  <c:v>3000</c:v>
                </c:pt>
                <c:pt idx="193" formatCode="_-* #,##0_-;\-* #,##0_-;_-* &quot;-&quot;??_-;_-@_-">
                  <c:v>3000</c:v>
                </c:pt>
                <c:pt idx="194" formatCode="_-* #,##0_-;\-* #,##0_-;_-* &quot;-&quot;??_-;_-@_-">
                  <c:v>3000</c:v>
                </c:pt>
                <c:pt idx="195" formatCode="_-* #,##0_-;\-* #,##0_-;_-* &quot;-&quot;??_-;_-@_-">
                  <c:v>3000</c:v>
                </c:pt>
                <c:pt idx="197" formatCode="_-* #,##0_-;\-* #,##0_-;_-* &quot;-&quot;??_-;_-@_-">
                  <c:v>2000</c:v>
                </c:pt>
                <c:pt idx="200" formatCode="_-* #,##0_-;\-* #,##0_-;_-* &quot;-&quot;??_-;_-@_-">
                  <c:v>53000</c:v>
                </c:pt>
                <c:pt idx="201" formatCode="_-* #,##0_-;\-* #,##0_-;_-* &quot;-&quot;??_-;_-@_-">
                  <c:v>3000</c:v>
                </c:pt>
                <c:pt idx="202" formatCode="_-* #,##0_-;\-* #,##0_-;_-* &quot;-&quot;??_-;_-@_-">
                  <c:v>6000</c:v>
                </c:pt>
                <c:pt idx="203" formatCode="_-* #,##0_-;\-* #,##0_-;_-* &quot;-&quot;??_-;_-@_-">
                  <c:v>150000</c:v>
                </c:pt>
                <c:pt idx="204" formatCode="_-* #,##0_-;\-* #,##0_-;_-* &quot;-&quot;??_-;_-@_-">
                  <c:v>5000</c:v>
                </c:pt>
                <c:pt idx="206" formatCode="_-* #,##0_-;\-* #,##0_-;_-* &quot;-&quot;??_-;_-@_-">
                  <c:v>6000</c:v>
                </c:pt>
                <c:pt idx="207" formatCode="_-* #,##0_-;\-* #,##0_-;_-* &quot;-&quot;??_-;_-@_-">
                  <c:v>3000</c:v>
                </c:pt>
                <c:pt idx="209" formatCode="_-* #,##0_-;\-* #,##0_-;_-* &quot;-&quot;??_-;_-@_-">
                  <c:v>4000</c:v>
                </c:pt>
                <c:pt idx="210" formatCode="_-* #,##0_-;\-* #,##0_-;_-* &quot;-&quot;??_-;_-@_-">
                  <c:v>3000</c:v>
                </c:pt>
                <c:pt idx="211" formatCode="_-* #,##0_-;\-* #,##0_-;_-* &quot;-&quot;??_-;_-@_-">
                  <c:v>7000</c:v>
                </c:pt>
                <c:pt idx="213" formatCode="_-* #,##0_-;\-* #,##0_-;_-* &quot;-&quot;??_-;_-@_-">
                  <c:v>10000</c:v>
                </c:pt>
                <c:pt idx="214" formatCode="_-* #,##0_-;\-* #,##0_-;_-* &quot;-&quot;??_-;_-@_-">
                  <c:v>3000</c:v>
                </c:pt>
                <c:pt idx="215" formatCode="_-* #,##0_-;\-* #,##0_-;_-* &quot;-&quot;??_-;_-@_-">
                  <c:v>5000</c:v>
                </c:pt>
                <c:pt idx="216" formatCode="_-* #,##0_-;\-* #,##0_-;_-* &quot;-&quot;??_-;_-@_-">
                  <c:v>5000</c:v>
                </c:pt>
                <c:pt idx="218" formatCode="_-* #,##0_-;\-* #,##0_-;_-* &quot;-&quot;??_-;_-@_-">
                  <c:v>3000</c:v>
                </c:pt>
                <c:pt idx="220" formatCode="_-* #,##0_-;\-* #,##0_-;_-* &quot;-&quot;??_-;_-@_-">
                  <c:v>98000</c:v>
                </c:pt>
                <c:pt idx="221" formatCode="_-* #,##0_-;\-* #,##0_-;_-* &quot;-&quot;??_-;_-@_-">
                  <c:v>21000</c:v>
                </c:pt>
                <c:pt idx="222" formatCode="_-* #,##0_-;\-* #,##0_-;_-* &quot;-&quot;??_-;_-@_-">
                  <c:v>3000</c:v>
                </c:pt>
                <c:pt idx="223" formatCode="_-* #,##0_-;\-* #,##0_-;_-* &quot;-&quot;??_-;_-@_-">
                  <c:v>3000</c:v>
                </c:pt>
                <c:pt idx="225" formatCode="_-* #,##0_-;\-* #,##0_-;_-* &quot;-&quot;??_-;_-@_-">
                  <c:v>3000</c:v>
                </c:pt>
                <c:pt idx="227" formatCode="_-* #,##0_-;\-* #,##0_-;_-* &quot;-&quot;??_-;_-@_-">
                  <c:v>3000</c:v>
                </c:pt>
                <c:pt idx="228" formatCode="_-* #,##0_-;\-* #,##0_-;_-* &quot;-&quot;??_-;_-@_-">
                  <c:v>4000</c:v>
                </c:pt>
                <c:pt idx="230" formatCode="_-* #,##0_-;\-* #,##0_-;_-* &quot;-&quot;??_-;_-@_-">
                  <c:v>6000</c:v>
                </c:pt>
                <c:pt idx="231" formatCode="_-* #,##0_-;\-* #,##0_-;_-* &quot;-&quot;??_-;_-@_-">
                  <c:v>72000</c:v>
                </c:pt>
                <c:pt idx="232" formatCode="_-* #,##0_-;\-* #,##0_-;_-* &quot;-&quot;??_-;_-@_-">
                  <c:v>3000</c:v>
                </c:pt>
                <c:pt idx="234" formatCode="_-* #,##0_-;\-* #,##0_-;_-* &quot;-&quot;??_-;_-@_-">
                  <c:v>0</c:v>
                </c:pt>
                <c:pt idx="235" formatCode="_-* #,##0_-;\-* #,##0_-;_-* &quot;-&quot;??_-;_-@_-">
                  <c:v>21000</c:v>
                </c:pt>
                <c:pt idx="236" formatCode="_-* #,##0_-;\-* #,##0_-;_-* &quot;-&quot;??_-;_-@_-">
                  <c:v>20000</c:v>
                </c:pt>
                <c:pt idx="237" formatCode="_-* #,##0_-;\-* #,##0_-;_-* &quot;-&quot;??_-;_-@_-">
                  <c:v>18000</c:v>
                </c:pt>
                <c:pt idx="238" formatCode="_-* #,##0_-;\-* #,##0_-;_-* &quot;-&quot;??_-;_-@_-">
                  <c:v>3000</c:v>
                </c:pt>
                <c:pt idx="239" formatCode="_-* #,##0_-;\-* #,##0_-;_-* &quot;-&quot;??_-;_-@_-">
                  <c:v>53000</c:v>
                </c:pt>
                <c:pt idx="241" formatCode="_-* #,##0_-;\-* #,##0_-;_-* &quot;-&quot;??_-;_-@_-">
                  <c:v>3000</c:v>
                </c:pt>
                <c:pt idx="242" formatCode="_-* #,##0_-;\-* #,##0_-;_-* &quot;-&quot;??_-;_-@_-">
                  <c:v>11000</c:v>
                </c:pt>
                <c:pt idx="243" formatCode="_-* #,##0_-;\-* #,##0_-;_-* &quot;-&quot;??_-;_-@_-">
                  <c:v>6000</c:v>
                </c:pt>
                <c:pt idx="245" formatCode="_-* #,##0_-;\-* #,##0_-;_-* &quot;-&quot;??_-;_-@_-">
                  <c:v>6000</c:v>
                </c:pt>
                <c:pt idx="246" formatCode="_-* #,##0_-;\-* #,##0_-;_-* &quot;-&quot;??_-;_-@_-">
                  <c:v>3000</c:v>
                </c:pt>
                <c:pt idx="248" formatCode="_-* #,##0_-;\-* #,##0_-;_-* &quot;-&quot;??_-;_-@_-">
                  <c:v>3000</c:v>
                </c:pt>
                <c:pt idx="250" formatCode="_-* #,##0_-;\-* #,##0_-;_-* &quot;-&quot;??_-;_-@_-">
                  <c:v>3000</c:v>
                </c:pt>
                <c:pt idx="251" formatCode="_-* #,##0_-;\-* #,##0_-;_-* &quot;-&quot;??_-;_-@_-">
                  <c:v>3000</c:v>
                </c:pt>
                <c:pt idx="252" formatCode="_-* #,##0_-;\-* #,##0_-;_-* &quot;-&quot;??_-;_-@_-">
                  <c:v>120000</c:v>
                </c:pt>
                <c:pt idx="253" formatCode="_-* #,##0_-;\-* #,##0_-;_-* &quot;-&quot;??_-;_-@_-">
                  <c:v>3000</c:v>
                </c:pt>
                <c:pt idx="255" formatCode="_-* #,##0_-;\-* #,##0_-;_-* &quot;-&quot;??_-;_-@_-">
                  <c:v>3000</c:v>
                </c:pt>
                <c:pt idx="256" formatCode="_-* #,##0_-;\-* #,##0_-;_-* &quot;-&quot;??_-;_-@_-">
                  <c:v>56000</c:v>
                </c:pt>
                <c:pt idx="257" formatCode="_-* #,##0_-;\-* #,##0_-;_-* &quot;-&quot;??_-;_-@_-">
                  <c:v>17000</c:v>
                </c:pt>
                <c:pt idx="258" formatCode="_-* #,##0_-;\-* #,##0_-;_-* &quot;-&quot;??_-;_-@_-">
                  <c:v>3000</c:v>
                </c:pt>
                <c:pt idx="259" formatCode="_-* #,##0_-;\-* #,##0_-;_-* &quot;-&quot;??_-;_-@_-">
                  <c:v>3000</c:v>
                </c:pt>
                <c:pt idx="260" formatCode="_-* #,##0_-;\-* #,##0_-;_-* &quot;-&quot;??_-;_-@_-">
                  <c:v>3000</c:v>
                </c:pt>
                <c:pt idx="262" formatCode="_-* #,##0_-;\-* #,##0_-;_-* &quot;-&quot;??_-;_-@_-">
                  <c:v>6000</c:v>
                </c:pt>
                <c:pt idx="263" formatCode="_-* #,##0_-;\-* #,##0_-;_-* &quot;-&quot;??_-;_-@_-">
                  <c:v>153000</c:v>
                </c:pt>
                <c:pt idx="264" formatCode="_-* #,##0_-;\-* #,##0_-;_-* &quot;-&quot;??_-;_-@_-">
                  <c:v>3000</c:v>
                </c:pt>
                <c:pt idx="265" formatCode="_-* #,##0_-;\-* #,##0_-;_-* &quot;-&quot;??_-;_-@_-">
                  <c:v>23000</c:v>
                </c:pt>
                <c:pt idx="266" formatCode="_-* #,##0_-;\-* #,##0_-;_-* &quot;-&quot;??_-;_-@_-">
                  <c:v>3000</c:v>
                </c:pt>
                <c:pt idx="267" formatCode="_-* #,##0_-;\-* #,##0_-;_-* &quot;-&quot;??_-;_-@_-">
                  <c:v>23000</c:v>
                </c:pt>
                <c:pt idx="270" formatCode="_-* #,##0_-;\-* #,##0_-;_-* &quot;-&quot;??_-;_-@_-">
                  <c:v>31000</c:v>
                </c:pt>
                <c:pt idx="271" formatCode="_-* #,##0_-;\-* #,##0_-;_-* &quot;-&quot;??_-;_-@_-">
                  <c:v>3000</c:v>
                </c:pt>
                <c:pt idx="272" formatCode="_-* #,##0_-;\-* #,##0_-;_-* &quot;-&quot;??_-;_-@_-">
                  <c:v>6000</c:v>
                </c:pt>
                <c:pt idx="273" formatCode="_-* #,##0_-;\-* #,##0_-;_-* &quot;-&quot;??_-;_-@_-">
                  <c:v>3000</c:v>
                </c:pt>
                <c:pt idx="274" formatCode="_-* #,##0_-;\-* #,##0_-;_-* &quot;-&quot;??_-;_-@_-">
                  <c:v>3000</c:v>
                </c:pt>
                <c:pt idx="275" formatCode="_-* #,##0_-;\-* #,##0_-;_-* &quot;-&quot;??_-;_-@_-">
                  <c:v>18000</c:v>
                </c:pt>
                <c:pt idx="276" formatCode="_-* #,##0_-;\-* #,##0_-;_-* &quot;-&quot;??_-;_-@_-">
                  <c:v>53000</c:v>
                </c:pt>
                <c:pt idx="277" formatCode="_-* #,##0_-;\-* #,##0_-;_-* &quot;-&quot;??_-;_-@_-">
                  <c:v>8000</c:v>
                </c:pt>
                <c:pt idx="278" formatCode="_-* #,##0_-;\-* #,##0_-;_-* &quot;-&quot;??_-;_-@_-">
                  <c:v>3000</c:v>
                </c:pt>
                <c:pt idx="279" formatCode="_-* #,##0_-;\-* #,##0_-;_-* &quot;-&quot;??_-;_-@_-">
                  <c:v>0</c:v>
                </c:pt>
                <c:pt idx="280" formatCode="_-* #,##0_-;\-* #,##0_-;_-* &quot;-&quot;??_-;_-@_-">
                  <c:v>3000</c:v>
                </c:pt>
                <c:pt idx="284" formatCode="_-* #,##0_-;\-* #,##0_-;_-* &quot;-&quot;??_-;_-@_-">
                  <c:v>53000</c:v>
                </c:pt>
                <c:pt idx="286" formatCode="_-* #,##0_-;\-* #,##0_-;_-* &quot;-&quot;??_-;_-@_-">
                  <c:v>26000</c:v>
                </c:pt>
                <c:pt idx="287" formatCode="_-* #,##0_-;\-* #,##0_-;_-* &quot;-&quot;??_-;_-@_-">
                  <c:v>3000</c:v>
                </c:pt>
                <c:pt idx="288" formatCode="_-* #,##0_-;\-* #,##0_-;_-* &quot;-&quot;??_-;_-@_-">
                  <c:v>3000</c:v>
                </c:pt>
                <c:pt idx="289" formatCode="_-* #,##0_-;\-* #,##0_-;_-* &quot;-&quot;??_-;_-@_-">
                  <c:v>7000</c:v>
                </c:pt>
                <c:pt idx="290" formatCode="_-* #,##0_-;\-* #,##0_-;_-* &quot;-&quot;??_-;_-@_-">
                  <c:v>6000</c:v>
                </c:pt>
                <c:pt idx="291" formatCode="_-* #,##0_-;\-* #,##0_-;_-* &quot;-&quot;??_-;_-@_-">
                  <c:v>3000</c:v>
                </c:pt>
                <c:pt idx="292" formatCode="_-* #,##0_-;\-* #,##0_-;_-* &quot;-&quot;??_-;_-@_-">
                  <c:v>6000</c:v>
                </c:pt>
                <c:pt idx="293" formatCode="_-* #,##0_-;\-* #,##0_-;_-* &quot;-&quot;??_-;_-@_-">
                  <c:v>3000</c:v>
                </c:pt>
                <c:pt idx="294" formatCode="_-* #,##0_-;\-* #,##0_-;_-* &quot;-&quot;??_-;_-@_-">
                  <c:v>3000</c:v>
                </c:pt>
                <c:pt idx="295" formatCode="_-* #,##0_-;\-* #,##0_-;_-* &quot;-&quot;??_-;_-@_-">
                  <c:v>103000</c:v>
                </c:pt>
                <c:pt idx="297" formatCode="_-* #,##0_-;\-* #,##0_-;_-* &quot;-&quot;??_-;_-@_-">
                  <c:v>6000</c:v>
                </c:pt>
                <c:pt idx="298" formatCode="_-* #,##0_-;\-* #,##0_-;_-* &quot;-&quot;??_-;_-@_-">
                  <c:v>3000</c:v>
                </c:pt>
                <c:pt idx="300" formatCode="_-* #,##0_-;\-* #,##0_-;_-* &quot;-&quot;??_-;_-@_-">
                  <c:v>4000</c:v>
                </c:pt>
                <c:pt idx="302" formatCode="_-* #,##0_-;\-* #,##0_-;_-* &quot;-&quot;??_-;_-@_-">
                  <c:v>3000</c:v>
                </c:pt>
                <c:pt idx="303" formatCode="_-* #,##0_-;\-* #,##0_-;_-* &quot;-&quot;??_-;_-@_-">
                  <c:v>0</c:v>
                </c:pt>
                <c:pt idx="304" formatCode="_-* #,##0_-;\-* #,##0_-;_-* &quot;-&quot;??_-;_-@_-">
                  <c:v>3000</c:v>
                </c:pt>
                <c:pt idx="305" formatCode="_-* #,##0_-;\-* #,##0_-;_-* &quot;-&quot;??_-;_-@_-">
                  <c:v>33000</c:v>
                </c:pt>
                <c:pt idx="306" formatCode="_-* #,##0_-;\-* #,##0_-;_-* &quot;-&quot;??_-;_-@_-">
                  <c:v>3000</c:v>
                </c:pt>
                <c:pt idx="307" formatCode="_-* #,##0_-;\-* #,##0_-;_-* &quot;-&quot;??_-;_-@_-">
                  <c:v>6000</c:v>
                </c:pt>
                <c:pt idx="309" formatCode="_-* #,##0_-;\-* #,##0_-;_-* &quot;-&quot;??_-;_-@_-">
                  <c:v>3000</c:v>
                </c:pt>
                <c:pt idx="311" formatCode="_-* #,##0_-;\-* #,##0_-;_-* &quot;-&quot;??_-;_-@_-">
                  <c:v>23000</c:v>
                </c:pt>
                <c:pt idx="312" formatCode="_-* #,##0_-;\-* #,##0_-;_-* &quot;-&quot;??_-;_-@_-">
                  <c:v>2803000</c:v>
                </c:pt>
                <c:pt idx="314" formatCode="_-* #,##0_-;\-* #,##0_-;_-* &quot;-&quot;??_-;_-@_-">
                  <c:v>3503000</c:v>
                </c:pt>
                <c:pt idx="315" formatCode="_-* #,##0_-;\-* #,##0_-;_-* &quot;-&quot;??_-;_-@_-">
                  <c:v>2500000</c:v>
                </c:pt>
                <c:pt idx="316" formatCode="_-* #,##0_-;\-* #,##0_-;_-* &quot;-&quot;??_-;_-@_-">
                  <c:v>6000</c:v>
                </c:pt>
                <c:pt idx="317" formatCode="_-* #,##0_-;\-* #,##0_-;_-* &quot;-&quot;??_-;_-@_-">
                  <c:v>2000000</c:v>
                </c:pt>
                <c:pt idx="318" formatCode="_-* #,##0_-;\-* #,##0_-;_-* &quot;-&quot;??_-;_-@_-">
                  <c:v>2325000</c:v>
                </c:pt>
                <c:pt idx="319" formatCode="_-* #,##0_-;\-* #,##0_-;_-* &quot;-&quot;??_-;_-@_-">
                  <c:v>2103000</c:v>
                </c:pt>
                <c:pt idx="320" formatCode="_-* #,##0_-;\-* #,##0_-;_-* &quot;-&quot;??_-;_-@_-">
                  <c:v>1303000</c:v>
                </c:pt>
                <c:pt idx="321" formatCode="_-* #,##0_-;\-* #,##0_-;_-* &quot;-&quot;??_-;_-@_-">
                  <c:v>15000</c:v>
                </c:pt>
                <c:pt idx="322" formatCode="_-* #,##0_-;\-* #,##0_-;_-* &quot;-&quot;??_-;_-@_-">
                  <c:v>3000</c:v>
                </c:pt>
                <c:pt idx="323" formatCode="_-* #,##0_-;\-* #,##0_-;_-* &quot;-&quot;??_-;_-@_-">
                  <c:v>53000</c:v>
                </c:pt>
                <c:pt idx="324" formatCode="_-* #,##0_-;\-* #,##0_-;_-* &quot;-&quot;??_-;_-@_-">
                  <c:v>0</c:v>
                </c:pt>
                <c:pt idx="325" formatCode="_-* #,##0_-;\-* #,##0_-;_-* &quot;-&quot;??_-;_-@_-">
                  <c:v>7000</c:v>
                </c:pt>
                <c:pt idx="326" formatCode="_-* #,##0_-;\-* #,##0_-;_-* &quot;-&quot;??_-;_-@_-">
                  <c:v>3000</c:v>
                </c:pt>
                <c:pt idx="327" formatCode="_-* #,##0_-;\-* #,##0_-;_-* &quot;-&quot;??_-;_-@_-">
                  <c:v>3000</c:v>
                </c:pt>
                <c:pt idx="328" formatCode="_-* #,##0_-;\-* #,##0_-;_-* &quot;-&quot;??_-;_-@_-">
                  <c:v>550000</c:v>
                </c:pt>
                <c:pt idx="329" formatCode="_-* #,##0_-;\-* #,##0_-;_-* &quot;-&quot;??_-;_-@_-">
                  <c:v>39000</c:v>
                </c:pt>
                <c:pt idx="330" formatCode="_-* #,##0_-;\-* #,##0_-;_-* &quot;-&quot;??_-;_-@_-">
                  <c:v>6000</c:v>
                </c:pt>
                <c:pt idx="331" formatCode="_-* #,##0_-;\-* #,##0_-;_-* &quot;-&quot;??_-;_-@_-">
                  <c:v>150000</c:v>
                </c:pt>
                <c:pt idx="332" formatCode="_-* #,##0_-;\-* #,##0_-;_-* &quot;-&quot;??_-;_-@_-">
                  <c:v>6000</c:v>
                </c:pt>
                <c:pt idx="333" formatCode="_-* #,##0_-;\-* #,##0_-;_-* &quot;-&quot;??_-;_-@_-">
                  <c:v>57000</c:v>
                </c:pt>
                <c:pt idx="335" formatCode="_-* #,##0_-;\-* #,##0_-;_-* &quot;-&quot;??_-;_-@_-">
                  <c:v>5000</c:v>
                </c:pt>
                <c:pt idx="336" formatCode="_-* #,##0_-;\-* #,##0_-;_-* &quot;-&quot;??_-;_-@_-">
                  <c:v>3000</c:v>
                </c:pt>
                <c:pt idx="337" formatCode="_-* #,##0_-;\-* #,##0_-;_-* &quot;-&quot;??_-;_-@_-">
                  <c:v>3000</c:v>
                </c:pt>
                <c:pt idx="339" formatCode="_-* #,##0_-;\-* #,##0_-;_-* &quot;-&quot;??_-;_-@_-">
                  <c:v>60000</c:v>
                </c:pt>
                <c:pt idx="341" formatCode="_-* #,##0_-;\-* #,##0_-;_-* &quot;-&quot;??_-;_-@_-">
                  <c:v>203000</c:v>
                </c:pt>
                <c:pt idx="342" formatCode="_-* #,##0_-;\-* #,##0_-;_-* &quot;-&quot;??_-;_-@_-">
                  <c:v>303000</c:v>
                </c:pt>
                <c:pt idx="343" formatCode="_-* #,##0_-;\-* #,##0_-;_-* &quot;-&quot;??_-;_-@_-">
                  <c:v>2005000</c:v>
                </c:pt>
                <c:pt idx="344" formatCode="_-* #,##0_-;\-* #,##0_-;_-* &quot;-&quot;??_-;_-@_-">
                  <c:v>3000</c:v>
                </c:pt>
                <c:pt idx="345" formatCode="_-* #,##0_-;\-* #,##0_-;_-* &quot;-&quot;??_-;_-@_-">
                  <c:v>1242000</c:v>
                </c:pt>
                <c:pt idx="346" formatCode="_-* #,##0_-;\-* #,##0_-;_-* &quot;-&quot;??_-;_-@_-">
                  <c:v>2053000</c:v>
                </c:pt>
                <c:pt idx="347" formatCode="_-* #,##0_-;\-* #,##0_-;_-* &quot;-&quot;??_-;_-@_-">
                  <c:v>1003000</c:v>
                </c:pt>
                <c:pt idx="348" formatCode="_-* #,##0_-;\-* #,##0_-;_-* &quot;-&quot;??_-;_-@_-">
                  <c:v>1503000</c:v>
                </c:pt>
                <c:pt idx="349" formatCode="_-* #,##0_-;\-* #,##0_-;_-* &quot;-&quot;??_-;_-@_-">
                  <c:v>3763000</c:v>
                </c:pt>
                <c:pt idx="350" formatCode="_-* #,##0_-;\-* #,##0_-;_-* &quot;-&quot;??_-;_-@_-">
                  <c:v>8000</c:v>
                </c:pt>
                <c:pt idx="351" formatCode="_-* #,##0_-;\-* #,##0_-;_-* &quot;-&quot;??_-;_-@_-">
                  <c:v>2033000</c:v>
                </c:pt>
                <c:pt idx="352" formatCode="_-* #,##0_-;\-* #,##0_-;_-* &quot;-&quot;??_-;_-@_-">
                  <c:v>2630000</c:v>
                </c:pt>
                <c:pt idx="353" formatCode="_-* #,##0_-;\-* #,##0_-;_-* &quot;-&quot;??_-;_-@_-">
                  <c:v>56000</c:v>
                </c:pt>
                <c:pt idx="354" formatCode="_-* #,##0_-;\-* #,##0_-;_-* &quot;-&quot;??_-;_-@_-">
                  <c:v>193000</c:v>
                </c:pt>
                <c:pt idx="355" formatCode="_-* #,##0_-;\-* #,##0_-;_-* &quot;-&quot;??_-;_-@_-">
                  <c:v>16000</c:v>
                </c:pt>
                <c:pt idx="356" formatCode="_-* #,##0_-;\-* #,##0_-;_-* &quot;-&quot;??_-;_-@_-">
                  <c:v>55000</c:v>
                </c:pt>
                <c:pt idx="357" formatCode="_-* #,##0_-;\-* #,##0_-;_-* &quot;-&quot;??_-;_-@_-">
                  <c:v>23000</c:v>
                </c:pt>
                <c:pt idx="358" formatCode="_-* #,##0_-;\-* #,##0_-;_-* &quot;-&quot;??_-;_-@_-">
                  <c:v>3000</c:v>
                </c:pt>
                <c:pt idx="359" formatCode="_-* #,##0_-;\-* #,##0_-;_-* &quot;-&quot;??_-;_-@_-">
                  <c:v>1000000</c:v>
                </c:pt>
                <c:pt idx="360" formatCode="_-* #,##0_-;\-* #,##0_-;_-* &quot;-&quot;??_-;_-@_-">
                  <c:v>3000</c:v>
                </c:pt>
                <c:pt idx="361" formatCode="_-* #,##0_-;\-* #,##0_-;_-* &quot;-&quot;??_-;_-@_-">
                  <c:v>9000</c:v>
                </c:pt>
                <c:pt idx="363" formatCode="_-* #,##0_-;\-* #,##0_-;_-* &quot;-&quot;??_-;_-@_-">
                  <c:v>8000</c:v>
                </c:pt>
                <c:pt idx="364" formatCode="_-* #,##0_-;\-* #,##0_-;_-* &quot;-&quot;??_-;_-@_-">
                  <c:v>3000</c:v>
                </c:pt>
                <c:pt idx="365" formatCode="_-* #,##0_-;\-* #,##0_-;_-* &quot;-&quot;??_-;_-@_-">
                  <c:v>73000</c:v>
                </c:pt>
                <c:pt idx="367" formatCode="_-* #,##0_-;\-* #,##0_-;_-* &quot;-&quot;??_-;_-@_-">
                  <c:v>6000</c:v>
                </c:pt>
                <c:pt idx="368" formatCode="_-* #,##0_-;\-* #,##0_-;_-* &quot;-&quot;??_-;_-@_-">
                  <c:v>6000</c:v>
                </c:pt>
                <c:pt idx="369" formatCode="_-* #,##0_-;\-* #,##0_-;_-* &quot;-&quot;??_-;_-@_-">
                  <c:v>13000</c:v>
                </c:pt>
                <c:pt idx="370" formatCode="_-* #,##0_-;\-* #,##0_-;_-* &quot;-&quot;??_-;_-@_-">
                  <c:v>530000</c:v>
                </c:pt>
                <c:pt idx="371" formatCode="_-* #,##0_-;\-* #,##0_-;_-* &quot;-&quot;??_-;_-@_-">
                  <c:v>1000000</c:v>
                </c:pt>
                <c:pt idx="372" formatCode="_-* #,##0_-;\-* #,##0_-;_-* &quot;-&quot;??_-;_-@_-">
                  <c:v>9000</c:v>
                </c:pt>
                <c:pt idx="373" formatCode="_-* #,##0_-;\-* #,##0_-;_-* &quot;-&quot;??_-;_-@_-">
                  <c:v>1150000</c:v>
                </c:pt>
                <c:pt idx="374" formatCode="_-* #,##0_-;\-* #,##0_-;_-* &quot;-&quot;??_-;_-@_-">
                  <c:v>7806000</c:v>
                </c:pt>
                <c:pt idx="375" formatCode="_-* #,##0_-;\-* #,##0_-;_-* &quot;-&quot;??_-;_-@_-">
                  <c:v>103000</c:v>
                </c:pt>
                <c:pt idx="376" formatCode="_-* #,##0_-;\-* #,##0_-;_-* &quot;-&quot;??_-;_-@_-">
                  <c:v>536000</c:v>
                </c:pt>
                <c:pt idx="377" formatCode="_-* #,##0_-;\-* #,##0_-;_-* &quot;-&quot;??_-;_-@_-">
                  <c:v>1503000</c:v>
                </c:pt>
                <c:pt idx="378" formatCode="_-* #,##0_-;\-* #,##0_-;_-* &quot;-&quot;??_-;_-@_-">
                  <c:v>1153000</c:v>
                </c:pt>
                <c:pt idx="379" formatCode="_-* #,##0_-;\-* #,##0_-;_-* &quot;-&quot;??_-;_-@_-">
                  <c:v>506000</c:v>
                </c:pt>
                <c:pt idx="380" formatCode="_-* #,##0_-;\-* #,##0_-;_-* &quot;-&quot;??_-;_-@_-">
                  <c:v>2885000</c:v>
                </c:pt>
                <c:pt idx="381" formatCode="_-* #,##0_-;\-* #,##0_-;_-* &quot;-&quot;??_-;_-@_-">
                  <c:v>515000</c:v>
                </c:pt>
                <c:pt idx="382" formatCode="_-* #,##0_-;\-* #,##0_-;_-* &quot;-&quot;??_-;_-@_-">
                  <c:v>3000</c:v>
                </c:pt>
                <c:pt idx="383" formatCode="_-* #,##0_-;\-* #,##0_-;_-* &quot;-&quot;??_-;_-@_-">
                  <c:v>3000</c:v>
                </c:pt>
                <c:pt idx="384" formatCode="_-* #,##0_-;\-* #,##0_-;_-* &quot;-&quot;??_-;_-@_-">
                  <c:v>3000</c:v>
                </c:pt>
                <c:pt idx="385" formatCode="_-* #,##0_-;\-* #,##0_-;_-* &quot;-&quot;??_-;_-@_-">
                  <c:v>3000</c:v>
                </c:pt>
                <c:pt idx="386" formatCode="_-* #,##0_-;\-* #,##0_-;_-* &quot;-&quot;??_-;_-@_-">
                  <c:v>13000</c:v>
                </c:pt>
                <c:pt idx="387" formatCode="_-* #,##0_-;\-* #,##0_-;_-* &quot;-&quot;??_-;_-@_-">
                  <c:v>0</c:v>
                </c:pt>
                <c:pt idx="390" formatCode="_-* #,##0_-;\-* #,##0_-;_-* &quot;-&quot;??_-;_-@_-">
                  <c:v>9000</c:v>
                </c:pt>
                <c:pt idx="391" formatCode="_-* #,##0_-;\-* #,##0_-;_-* &quot;-&quot;??_-;_-@_-">
                  <c:v>506000</c:v>
                </c:pt>
                <c:pt idx="392" formatCode="_-* #,##0_-;\-* #,##0_-;_-* &quot;-&quot;??_-;_-@_-">
                  <c:v>6000</c:v>
                </c:pt>
                <c:pt idx="393" formatCode="_-* #,##0_-;\-* #,##0_-;_-* &quot;-&quot;??_-;_-@_-">
                  <c:v>3000</c:v>
                </c:pt>
                <c:pt idx="394" formatCode="_-* #,##0_-;\-* #,##0_-;_-* &quot;-&quot;??_-;_-@_-">
                  <c:v>100000</c:v>
                </c:pt>
                <c:pt idx="395" formatCode="_-* #,##0_-;\-* #,##0_-;_-* &quot;-&quot;??_-;_-@_-">
                  <c:v>16000</c:v>
                </c:pt>
                <c:pt idx="396" formatCode="_-* #,##0_-;\-* #,##0_-;_-* &quot;-&quot;??_-;_-@_-">
                  <c:v>3000</c:v>
                </c:pt>
                <c:pt idx="398" formatCode="_-* #,##0_-;\-* #,##0_-;_-* &quot;-&quot;??_-;_-@_-">
                  <c:v>15000</c:v>
                </c:pt>
                <c:pt idx="399" formatCode="_-* #,##0_-;\-* #,##0_-;_-* &quot;-&quot;??_-;_-@_-">
                  <c:v>3000</c:v>
                </c:pt>
                <c:pt idx="400" formatCode="_-* #,##0_-;\-* #,##0_-;_-* &quot;-&quot;??_-;_-@_-">
                  <c:v>3000</c:v>
                </c:pt>
                <c:pt idx="401" formatCode="_-* #,##0_-;\-* #,##0_-;_-* &quot;-&quot;??_-;_-@_-">
                  <c:v>1070000</c:v>
                </c:pt>
                <c:pt idx="402" formatCode="_-* #,##0_-;\-* #,##0_-;_-* &quot;-&quot;??_-;_-@_-">
                  <c:v>6000</c:v>
                </c:pt>
                <c:pt idx="403" formatCode="_-* #,##0_-;\-* #,##0_-;_-* &quot;-&quot;??_-;_-@_-">
                  <c:v>3003000</c:v>
                </c:pt>
                <c:pt idx="404" formatCode="_-* #,##0_-;\-* #,##0_-;_-* &quot;-&quot;??_-;_-@_-">
                  <c:v>3553000</c:v>
                </c:pt>
                <c:pt idx="405" formatCode="_-* #,##0_-;\-* #,##0_-;_-* &quot;-&quot;??_-;_-@_-">
                  <c:v>4303000</c:v>
                </c:pt>
                <c:pt idx="406" formatCode="_-* #,##0_-;\-* #,##0_-;_-* &quot;-&quot;??_-;_-@_-">
                  <c:v>2203000</c:v>
                </c:pt>
                <c:pt idx="407" formatCode="_-* #,##0_-;\-* #,##0_-;_-* &quot;-&quot;??_-;_-@_-">
                  <c:v>4210000</c:v>
                </c:pt>
                <c:pt idx="409" formatCode="_-* #,##0_-;\-* #,##0_-;_-* &quot;-&quot;??_-;_-@_-">
                  <c:v>3000</c:v>
                </c:pt>
                <c:pt idx="410" formatCode="_-* #,##0_-;\-* #,##0_-;_-* &quot;-&quot;??_-;_-@_-">
                  <c:v>50000</c:v>
                </c:pt>
                <c:pt idx="411" formatCode="_-* #,##0_-;\-* #,##0_-;_-* &quot;-&quot;??_-;_-@_-">
                  <c:v>7000</c:v>
                </c:pt>
                <c:pt idx="412" formatCode="_-* #,##0_-;\-* #,##0_-;_-* &quot;-&quot;??_-;_-@_-">
                  <c:v>3000</c:v>
                </c:pt>
                <c:pt idx="413" formatCode="_-* #,##0_-;\-* #,##0_-;_-* &quot;-&quot;??_-;_-@_-">
                  <c:v>3000</c:v>
                </c:pt>
                <c:pt idx="414" formatCode="_-* #,##0_-;\-* #,##0_-;_-* &quot;-&quot;??_-;_-@_-">
                  <c:v>3000</c:v>
                </c:pt>
                <c:pt idx="416" formatCode="_-* #,##0_-;\-* #,##0_-;_-* &quot;-&quot;??_-;_-@_-">
                  <c:v>6000</c:v>
                </c:pt>
                <c:pt idx="417" formatCode="_-* #,##0_-;\-* #,##0_-;_-* &quot;-&quot;??_-;_-@_-">
                  <c:v>3000</c:v>
                </c:pt>
                <c:pt idx="419" formatCode="_-* #,##0_-;\-* #,##0_-;_-* &quot;-&quot;??_-;_-@_-">
                  <c:v>5000</c:v>
                </c:pt>
                <c:pt idx="421" formatCode="_-* #,##0_-;\-* #,##0_-;_-* &quot;-&quot;??_-;_-@_-">
                  <c:v>5000</c:v>
                </c:pt>
                <c:pt idx="423" formatCode="_-* #,##0_-;\-* #,##0_-;_-* &quot;-&quot;??_-;_-@_-">
                  <c:v>3000</c:v>
                </c:pt>
                <c:pt idx="424" formatCode="_-* #,##0_-;\-* #,##0_-;_-* &quot;-&quot;??_-;_-@_-">
                  <c:v>3000</c:v>
                </c:pt>
                <c:pt idx="425" formatCode="_-* #,##0_-;\-* #,##0_-;_-* &quot;-&quot;??_-;_-@_-">
                  <c:v>3000</c:v>
                </c:pt>
                <c:pt idx="426" formatCode="_-* #,##0_-;\-* #,##0_-;_-* &quot;-&quot;??_-;_-@_-">
                  <c:v>3000</c:v>
                </c:pt>
                <c:pt idx="427" formatCode="_-* #,##0_-;\-* #,##0_-;_-* &quot;-&quot;??_-;_-@_-">
                  <c:v>61000</c:v>
                </c:pt>
                <c:pt idx="428" formatCode="_-* #,##0_-;\-* #,##0_-;_-* &quot;-&quot;??_-;_-@_-">
                  <c:v>3000</c:v>
                </c:pt>
                <c:pt idx="429" formatCode="_-* #,##0_-;\-* #,##0_-;_-* &quot;-&quot;??_-;_-@_-">
                  <c:v>20000</c:v>
                </c:pt>
                <c:pt idx="430" formatCode="_-* #,##0_-;\-* #,##0_-;_-* &quot;-&quot;??_-;_-@_-">
                  <c:v>1923000</c:v>
                </c:pt>
                <c:pt idx="431" formatCode="_-* #,##0_-;\-* #,##0_-;_-* &quot;-&quot;??_-;_-@_-">
                  <c:v>4000000</c:v>
                </c:pt>
                <c:pt idx="432" formatCode="_-* #,##0_-;\-* #,##0_-;_-* &quot;-&quot;??_-;_-@_-">
                  <c:v>3000</c:v>
                </c:pt>
                <c:pt idx="433" formatCode="_-* #,##0_-;\-* #,##0_-;_-* &quot;-&quot;??_-;_-@_-">
                  <c:v>10000</c:v>
                </c:pt>
                <c:pt idx="434" formatCode="_-* #,##0_-;\-* #,##0_-;_-* &quot;-&quot;??_-;_-@_-">
                  <c:v>2000000</c:v>
                </c:pt>
                <c:pt idx="435" formatCode="_-* #,##0_-;\-* #,##0_-;_-* &quot;-&quot;??_-;_-@_-">
                  <c:v>203000</c:v>
                </c:pt>
                <c:pt idx="437" formatCode="_-* #,##0_-;\-* #,##0_-;_-* &quot;-&quot;??_-;_-@_-">
                  <c:v>2057000</c:v>
                </c:pt>
                <c:pt idx="438" formatCode="_-* #,##0_-;\-* #,##0_-;_-* &quot;-&quot;??_-;_-@_-">
                  <c:v>1788000</c:v>
                </c:pt>
                <c:pt idx="439" formatCode="_-* #,##0_-;\-* #,##0_-;_-* &quot;-&quot;??_-;_-@_-">
                  <c:v>3000</c:v>
                </c:pt>
                <c:pt idx="440" formatCode="_-* #,##0_-;\-* #,##0_-;_-* &quot;-&quot;??_-;_-@_-">
                  <c:v>3000</c:v>
                </c:pt>
                <c:pt idx="441" formatCode="_-* #,##0_-;\-* #,##0_-;_-* &quot;-&quot;??_-;_-@_-">
                  <c:v>0</c:v>
                </c:pt>
                <c:pt idx="442" formatCode="_-* #,##0_-;\-* #,##0_-;_-* &quot;-&quot;??_-;_-@_-">
                  <c:v>106000</c:v>
                </c:pt>
                <c:pt idx="444" formatCode="_-* #,##0_-;\-* #,##0_-;_-* &quot;-&quot;??_-;_-@_-">
                  <c:v>503000</c:v>
                </c:pt>
                <c:pt idx="445" formatCode="_-* #,##0_-;\-* #,##0_-;_-* &quot;-&quot;??_-;_-@_-">
                  <c:v>89000</c:v>
                </c:pt>
                <c:pt idx="446" formatCode="_-* #,##0_-;\-* #,##0_-;_-* &quot;-&quot;??_-;_-@_-">
                  <c:v>3000</c:v>
                </c:pt>
                <c:pt idx="447" formatCode="_-* #,##0_-;\-* #,##0_-;_-* &quot;-&quot;??_-;_-@_-">
                  <c:v>3000</c:v>
                </c:pt>
                <c:pt idx="448" formatCode="_-* #,##0_-;\-* #,##0_-;_-* &quot;-&quot;??_-;_-@_-">
                  <c:v>3000</c:v>
                </c:pt>
                <c:pt idx="449" formatCode="_-* #,##0_-;\-* #,##0_-;_-* &quot;-&quot;??_-;_-@_-">
                  <c:v>3000</c:v>
                </c:pt>
                <c:pt idx="450" formatCode="_-* #,##0_-;\-* #,##0_-;_-* &quot;-&quot;??_-;_-@_-">
                  <c:v>50000</c:v>
                </c:pt>
                <c:pt idx="452" formatCode="_-* #,##0_-;\-* #,##0_-;_-* &quot;-&quot;??_-;_-@_-">
                  <c:v>33000</c:v>
                </c:pt>
                <c:pt idx="453" formatCode="_-* #,##0_-;\-* #,##0_-;_-* &quot;-&quot;??_-;_-@_-">
                  <c:v>203000</c:v>
                </c:pt>
                <c:pt idx="454" formatCode="_-* #,##0_-;\-* #,##0_-;_-* &quot;-&quot;??_-;_-@_-">
                  <c:v>3000</c:v>
                </c:pt>
                <c:pt idx="455" formatCode="_-* #,##0_-;\-* #,##0_-;_-* &quot;-&quot;??_-;_-@_-">
                  <c:v>3000</c:v>
                </c:pt>
                <c:pt idx="456" formatCode="_-* #,##0_-;\-* #,##0_-;_-* &quot;-&quot;??_-;_-@_-">
                  <c:v>73000</c:v>
                </c:pt>
                <c:pt idx="458" formatCode="_-* #,##0_-;\-* #,##0_-;_-* &quot;-&quot;??_-;_-@_-">
                  <c:v>1153000</c:v>
                </c:pt>
                <c:pt idx="459" formatCode="_-* #,##0_-;\-* #,##0_-;_-* &quot;-&quot;??_-;_-@_-">
                  <c:v>523000</c:v>
                </c:pt>
                <c:pt idx="460" formatCode="_-* #,##0_-;\-* #,##0_-;_-* &quot;-&quot;??_-;_-@_-">
                  <c:v>1000000</c:v>
                </c:pt>
                <c:pt idx="461" formatCode="_-* #,##0_-;\-* #,##0_-;_-* &quot;-&quot;??_-;_-@_-">
                  <c:v>1503000</c:v>
                </c:pt>
                <c:pt idx="463" formatCode="_-* #,##0_-;\-* #,##0_-;_-* &quot;-&quot;??_-;_-@_-">
                  <c:v>3000</c:v>
                </c:pt>
                <c:pt idx="464" formatCode="_-* #,##0_-;\-* #,##0_-;_-* &quot;-&quot;??_-;_-@_-">
                  <c:v>5000000</c:v>
                </c:pt>
                <c:pt idx="465" formatCode="_-* #,##0_-;\-* #,##0_-;_-* &quot;-&quot;??_-;_-@_-">
                  <c:v>2006000</c:v>
                </c:pt>
                <c:pt idx="466" formatCode="_-* #,##0_-;\-* #,##0_-;_-* &quot;-&quot;??_-;_-@_-">
                  <c:v>1053000</c:v>
                </c:pt>
                <c:pt idx="467" formatCode="_-* #,##0_-;\-* #,##0_-;_-* &quot;-&quot;??_-;_-@_-">
                  <c:v>36000</c:v>
                </c:pt>
                <c:pt idx="468" formatCode="_-* #,##0_-;\-* #,##0_-;_-* &quot;-&quot;??_-;_-@_-">
                  <c:v>8000</c:v>
                </c:pt>
                <c:pt idx="469" formatCode="_-* #,##0_-;\-* #,##0_-;_-* &quot;-&quot;??_-;_-@_-">
                  <c:v>3000</c:v>
                </c:pt>
                <c:pt idx="470" formatCode="_-* #,##0_-;\-* #,##0_-;_-* &quot;-&quot;??_-;_-@_-">
                  <c:v>3000</c:v>
                </c:pt>
                <c:pt idx="471" formatCode="_-* #,##0_-;\-* #,##0_-;_-* &quot;-&quot;??_-;_-@_-">
                  <c:v>20000</c:v>
                </c:pt>
                <c:pt idx="472" formatCode="_-* #,##0_-;\-* #,##0_-;_-* &quot;-&quot;??_-;_-@_-">
                  <c:v>3000</c:v>
                </c:pt>
                <c:pt idx="473" formatCode="_-* #,##0_-;\-* #,##0_-;_-* &quot;-&quot;??_-;_-@_-">
                  <c:v>23000</c:v>
                </c:pt>
                <c:pt idx="474" formatCode="_-* #,##0_-;\-* #,##0_-;_-* &quot;-&quot;??_-;_-@_-">
                  <c:v>26000</c:v>
                </c:pt>
                <c:pt idx="475" formatCode="_-* #,##0_-;\-* #,##0_-;_-* &quot;-&quot;??_-;_-@_-">
                  <c:v>6000</c:v>
                </c:pt>
                <c:pt idx="477" formatCode="_-* #,##0_-;\-* #,##0_-;_-* &quot;-&quot;??_-;_-@_-">
                  <c:v>200000</c:v>
                </c:pt>
                <c:pt idx="478" formatCode="_-* #,##0_-;\-* #,##0_-;_-* &quot;-&quot;??_-;_-@_-">
                  <c:v>185000</c:v>
                </c:pt>
                <c:pt idx="480" formatCode="_-* #,##0_-;\-* #,##0_-;_-* &quot;-&quot;??_-;_-@_-">
                  <c:v>0</c:v>
                </c:pt>
                <c:pt idx="481" formatCode="_-* #,##0_-;\-* #,##0_-;_-* &quot;-&quot;??_-;_-@_-">
                  <c:v>8000</c:v>
                </c:pt>
                <c:pt idx="482" formatCode="_-* #,##0_-;\-* #,##0_-;_-* &quot;-&quot;??_-;_-@_-">
                  <c:v>3000</c:v>
                </c:pt>
                <c:pt idx="483" formatCode="_-* #,##0_-;\-* #,##0_-;_-* &quot;-&quot;??_-;_-@_-">
                  <c:v>3000</c:v>
                </c:pt>
                <c:pt idx="484" formatCode="_-* #,##0_-;\-* #,##0_-;_-* &quot;-&quot;??_-;_-@_-">
                  <c:v>6000</c:v>
                </c:pt>
                <c:pt idx="486" formatCode="_-* #,##0_-;\-* #,##0_-;_-* &quot;-&quot;??_-;_-@_-">
                  <c:v>25000</c:v>
                </c:pt>
                <c:pt idx="487" formatCode="_-* #,##0_-;\-* #,##0_-;_-* &quot;-&quot;??_-;_-@_-">
                  <c:v>16000</c:v>
                </c:pt>
                <c:pt idx="488" formatCode="_-* #,##0_-;\-* #,##0_-;_-* &quot;-&quot;??_-;_-@_-">
                  <c:v>3000</c:v>
                </c:pt>
                <c:pt idx="489" formatCode="_-* #,##0_-;\-* #,##0_-;_-* &quot;-&quot;??_-;_-@_-">
                  <c:v>70000</c:v>
                </c:pt>
                <c:pt idx="490" formatCode="_-* #,##0_-;\-* #,##0_-;_-* &quot;-&quot;??_-;_-@_-">
                  <c:v>56000</c:v>
                </c:pt>
                <c:pt idx="491" formatCode="_-* #,##0_-;\-* #,##0_-;_-* &quot;-&quot;??_-;_-@_-">
                  <c:v>2506000</c:v>
                </c:pt>
                <c:pt idx="492" formatCode="_-* #,##0_-;\-* #,##0_-;_-* &quot;-&quot;??_-;_-@_-">
                  <c:v>2625000</c:v>
                </c:pt>
                <c:pt idx="493" formatCode="_-* #,##0_-;\-* #,##0_-;_-* &quot;-&quot;??_-;_-@_-">
                  <c:v>3036000</c:v>
                </c:pt>
                <c:pt idx="494" formatCode="_-* #,##0_-;\-* #,##0_-;_-* &quot;-&quot;??_-;_-@_-">
                  <c:v>1603000</c:v>
                </c:pt>
                <c:pt idx="495" formatCode="_-* #,##0_-;\-* #,##0_-;_-* &quot;-&quot;??_-;_-@_-">
                  <c:v>4813000</c:v>
                </c:pt>
                <c:pt idx="496" formatCode="_-* #,##0_-;\-* #,##0_-;_-* &quot;-&quot;??_-;_-@_-">
                  <c:v>23000</c:v>
                </c:pt>
                <c:pt idx="497" formatCode="_-* #,##0_-;\-* #,##0_-;_-* &quot;-&quot;??_-;_-@_-">
                  <c:v>3000</c:v>
                </c:pt>
                <c:pt idx="498" formatCode="_-* #,##0_-;\-* #,##0_-;_-* &quot;-&quot;??_-;_-@_-">
                  <c:v>23000</c:v>
                </c:pt>
                <c:pt idx="499" formatCode="_-* #,##0_-;\-* #,##0_-;_-* &quot;-&quot;??_-;_-@_-">
                  <c:v>0</c:v>
                </c:pt>
                <c:pt idx="500" formatCode="_-* #,##0_-;\-* #,##0_-;_-* &quot;-&quot;??_-;_-@_-">
                  <c:v>33000</c:v>
                </c:pt>
                <c:pt idx="501" formatCode="_-* #,##0_-;\-* #,##0_-;_-* &quot;-&quot;??_-;_-@_-">
                  <c:v>8000</c:v>
                </c:pt>
                <c:pt idx="502" formatCode="_-* #,##0_-;\-* #,##0_-;_-* &quot;-&quot;??_-;_-@_-">
                  <c:v>3000</c:v>
                </c:pt>
                <c:pt idx="503" formatCode="_-* #,##0_-;\-* #,##0_-;_-* &quot;-&quot;??_-;_-@_-">
                  <c:v>33000</c:v>
                </c:pt>
                <c:pt idx="504" formatCode="_-* #,##0_-;\-* #,##0_-;_-* &quot;-&quot;??_-;_-@_-">
                  <c:v>13000</c:v>
                </c:pt>
                <c:pt idx="505" formatCode="_-* #,##0_-;\-* #,##0_-;_-* &quot;-&quot;??_-;_-@_-">
                  <c:v>4000</c:v>
                </c:pt>
                <c:pt idx="508" formatCode="_-* #,##0_-;\-* #,##0_-;_-* &quot;-&quot;??_-;_-@_-">
                  <c:v>8000</c:v>
                </c:pt>
                <c:pt idx="509" formatCode="_-* #,##0_-;\-* #,##0_-;_-* &quot;-&quot;??_-;_-@_-">
                  <c:v>25000</c:v>
                </c:pt>
                <c:pt idx="512" formatCode="_-* #,##0_-;\-* #,##0_-;_-* &quot;-&quot;??_-;_-@_-">
                  <c:v>3000</c:v>
                </c:pt>
                <c:pt idx="514" formatCode="_-* #,##0_-;\-* #,##0_-;_-* &quot;-&quot;??_-;_-@_-">
                  <c:v>6000</c:v>
                </c:pt>
                <c:pt idx="515" formatCode="_-* #,##0_-;\-* #,##0_-;_-* &quot;-&quot;??_-;_-@_-">
                  <c:v>3000</c:v>
                </c:pt>
                <c:pt idx="517" formatCode="_-* #,##0_-;\-* #,##0_-;_-* &quot;-&quot;??_-;_-@_-">
                  <c:v>6000</c:v>
                </c:pt>
                <c:pt idx="518" formatCode="_-* #,##0_-;\-* #,##0_-;_-* &quot;-&quot;??_-;_-@_-">
                  <c:v>6000</c:v>
                </c:pt>
                <c:pt idx="521" formatCode="_-* #,##0_-;\-* #,##0_-;_-* &quot;-&quot;??_-;_-@_-">
                  <c:v>2306000</c:v>
                </c:pt>
                <c:pt idx="522" formatCode="_-* #,##0_-;\-* #,##0_-;_-* &quot;-&quot;??_-;_-@_-">
                  <c:v>2823000</c:v>
                </c:pt>
                <c:pt idx="523" formatCode="_-* #,##0_-;\-* #,##0_-;_-* &quot;-&quot;??_-;_-@_-">
                  <c:v>5006000</c:v>
                </c:pt>
                <c:pt idx="524" formatCode="_-* #,##0_-;\-* #,##0_-;_-* &quot;-&quot;??_-;_-@_-">
                  <c:v>3103000</c:v>
                </c:pt>
                <c:pt idx="525" formatCode="_-* #,##0_-;\-* #,##0_-;_-* &quot;-&quot;??_-;_-@_-">
                  <c:v>3000</c:v>
                </c:pt>
                <c:pt idx="526" formatCode="_-* #,##0_-;\-* #,##0_-;_-* &quot;-&quot;??_-;_-@_-">
                  <c:v>8000</c:v>
                </c:pt>
                <c:pt idx="527" formatCode="_-* #,##0_-;\-* #,##0_-;_-* &quot;-&quot;??_-;_-@_-">
                  <c:v>20000</c:v>
                </c:pt>
                <c:pt idx="529" formatCode="_-* #,##0_-;\-* #,##0_-;_-* &quot;-&quot;??_-;_-@_-">
                  <c:v>4556000</c:v>
                </c:pt>
                <c:pt idx="530" formatCode="_-* #,##0_-;\-* #,##0_-;_-* &quot;-&quot;??_-;_-@_-">
                  <c:v>203000</c:v>
                </c:pt>
                <c:pt idx="531" formatCode="_-* #,##0_-;\-* #,##0_-;_-* &quot;-&quot;??_-;_-@_-">
                  <c:v>6000</c:v>
                </c:pt>
                <c:pt idx="532" formatCode="_-* #,##0_-;\-* #,##0_-;_-* &quot;-&quot;??_-;_-@_-">
                  <c:v>63000</c:v>
                </c:pt>
                <c:pt idx="533" formatCode="_-* #,##0_-;\-* #,##0_-;_-* &quot;-&quot;??_-;_-@_-">
                  <c:v>3000</c:v>
                </c:pt>
                <c:pt idx="535" formatCode="_-* #,##0_-;\-* #,##0_-;_-* &quot;-&quot;??_-;_-@_-">
                  <c:v>21000</c:v>
                </c:pt>
                <c:pt idx="536" formatCode="_-* #,##0_-;\-* #,##0_-;_-* &quot;-&quot;??_-;_-@_-">
                  <c:v>3000</c:v>
                </c:pt>
                <c:pt idx="537" formatCode="_-* #,##0_-;\-* #,##0_-;_-* &quot;-&quot;??_-;_-@_-">
                  <c:v>3000</c:v>
                </c:pt>
                <c:pt idx="538" formatCode="_-* #,##0_-;\-* #,##0_-;_-* &quot;-&quot;??_-;_-@_-">
                  <c:v>3000</c:v>
                </c:pt>
                <c:pt idx="539" formatCode="_-* #,##0_-;\-* #,##0_-;_-* &quot;-&quot;??_-;_-@_-">
                  <c:v>3000</c:v>
                </c:pt>
                <c:pt idx="540" formatCode="_-* #,##0_-;\-* #,##0_-;_-* &quot;-&quot;??_-;_-@_-">
                  <c:v>3000</c:v>
                </c:pt>
                <c:pt idx="542" formatCode="_-* #,##0_-;\-* #,##0_-;_-* &quot;-&quot;??_-;_-@_-">
                  <c:v>3000</c:v>
                </c:pt>
                <c:pt idx="543" formatCode="_-* #,##0_-;\-* #,##0_-;_-* &quot;-&quot;??_-;_-@_-">
                  <c:v>9000</c:v>
                </c:pt>
                <c:pt idx="544" formatCode="_-* #,##0_-;\-* #,##0_-;_-* &quot;-&quot;??_-;_-@_-">
                  <c:v>57000</c:v>
                </c:pt>
                <c:pt idx="546" formatCode="_-* #,##0_-;\-* #,##0_-;_-* &quot;-&quot;??_-;_-@_-">
                  <c:v>544000</c:v>
                </c:pt>
                <c:pt idx="547" formatCode="_-* #,##0_-;\-* #,##0_-;_-* &quot;-&quot;??_-;_-@_-">
                  <c:v>3000</c:v>
                </c:pt>
                <c:pt idx="548" formatCode="_-* #,##0_-;\-* #,##0_-;_-* &quot;-&quot;??_-;_-@_-">
                  <c:v>3000</c:v>
                </c:pt>
                <c:pt idx="549" formatCode="_-* #,##0_-;\-* #,##0_-;_-* &quot;-&quot;??_-;_-@_-">
                  <c:v>30000</c:v>
                </c:pt>
                <c:pt idx="550" formatCode="_-* #,##0_-;\-* #,##0_-;_-* &quot;-&quot;??_-;_-@_-">
                  <c:v>6000</c:v>
                </c:pt>
                <c:pt idx="551" formatCode="_-* #,##0_-;\-* #,##0_-;_-* &quot;-&quot;??_-;_-@_-">
                  <c:v>1292000</c:v>
                </c:pt>
                <c:pt idx="552" formatCode="_-* #,##0_-;\-* #,##0_-;_-* &quot;-&quot;??_-;_-@_-">
                  <c:v>3000</c:v>
                </c:pt>
                <c:pt idx="553" formatCode="_-* #,##0_-;\-* #,##0_-;_-* &quot;-&quot;??_-;_-@_-">
                  <c:v>5003000</c:v>
                </c:pt>
                <c:pt idx="554" formatCode="_-* #,##0_-;\-* #,##0_-;_-* &quot;-&quot;??_-;_-@_-">
                  <c:v>200000</c:v>
                </c:pt>
                <c:pt idx="555" formatCode="_-* #,##0_-;\-* #,##0_-;_-* &quot;-&quot;??_-;_-@_-">
                  <c:v>4000000</c:v>
                </c:pt>
                <c:pt idx="556" formatCode="_-* #,##0_-;\-* #,##0_-;_-* &quot;-&quot;??_-;_-@_-">
                  <c:v>4206000</c:v>
                </c:pt>
                <c:pt idx="557" formatCode="_-* #,##0_-;\-* #,##0_-;_-* &quot;-&quot;??_-;_-@_-">
                  <c:v>2203000</c:v>
                </c:pt>
                <c:pt idx="558" formatCode="_-* #,##0_-;\-* #,##0_-;_-* &quot;-&quot;??_-;_-@_-">
                  <c:v>56000</c:v>
                </c:pt>
                <c:pt idx="559" formatCode="_-* #,##0_-;\-* #,##0_-;_-* &quot;-&quot;??_-;_-@_-">
                  <c:v>1600000</c:v>
                </c:pt>
                <c:pt idx="560" formatCode="_-* #,##0_-;\-* #,##0_-;_-* &quot;-&quot;??_-;_-@_-">
                  <c:v>3088000</c:v>
                </c:pt>
                <c:pt idx="561" formatCode="_-* #,##0_-;\-* #,##0_-;_-* &quot;-&quot;??_-;_-@_-">
                  <c:v>3000</c:v>
                </c:pt>
                <c:pt idx="563" formatCode="_-* #,##0_-;\-* #,##0_-;_-* &quot;-&quot;??_-;_-@_-">
                  <c:v>6000</c:v>
                </c:pt>
                <c:pt idx="565" formatCode="_-* #,##0_-;\-* #,##0_-;_-* &quot;-&quot;??_-;_-@_-">
                  <c:v>9000</c:v>
                </c:pt>
                <c:pt idx="566" formatCode="_-* #,##0_-;\-* #,##0_-;_-* &quot;-&quot;??_-;_-@_-">
                  <c:v>1493000</c:v>
                </c:pt>
                <c:pt idx="567" formatCode="_-* #,##0_-;\-* #,##0_-;_-* &quot;-&quot;??_-;_-@_-">
                  <c:v>3000</c:v>
                </c:pt>
                <c:pt idx="568" formatCode="_-* #,##0_-;\-* #,##0_-;_-* &quot;-&quot;??_-;_-@_-">
                  <c:v>3000</c:v>
                </c:pt>
                <c:pt idx="570" formatCode="_-* #,##0_-;\-* #,##0_-;_-* &quot;-&quot;??_-;_-@_-">
                  <c:v>6000</c:v>
                </c:pt>
                <c:pt idx="571" formatCode="_-* #,##0_-;\-* #,##0_-;_-* &quot;-&quot;??_-;_-@_-">
                  <c:v>3000</c:v>
                </c:pt>
                <c:pt idx="572" formatCode="_-* #,##0_-;\-* #,##0_-;_-* &quot;-&quot;??_-;_-@_-">
                  <c:v>3000</c:v>
                </c:pt>
                <c:pt idx="573" formatCode="_-* #,##0_-;\-* #,##0_-;_-* &quot;-&quot;??_-;_-@_-">
                  <c:v>4153000</c:v>
                </c:pt>
                <c:pt idx="574" formatCode="_-* #,##0_-;\-* #,##0_-;_-* &quot;-&quot;??_-;_-@_-">
                  <c:v>709500</c:v>
                </c:pt>
                <c:pt idx="575" formatCode="_-* #,##0_-;\-* #,##0_-;_-* &quot;-&quot;??_-;_-@_-">
                  <c:v>3000</c:v>
                </c:pt>
                <c:pt idx="576" formatCode="_-* #,##0_-;\-* #,##0_-;_-* &quot;-&quot;??_-;_-@_-">
                  <c:v>700000</c:v>
                </c:pt>
                <c:pt idx="577" formatCode="_-* #,##0_-;\-* #,##0_-;_-* &quot;-&quot;??_-;_-@_-">
                  <c:v>3000</c:v>
                </c:pt>
                <c:pt idx="578" formatCode="_-* #,##0_-;\-* #,##0_-;_-* &quot;-&quot;??_-;_-@_-">
                  <c:v>3000</c:v>
                </c:pt>
                <c:pt idx="579" formatCode="_-* #,##0_-;\-* #,##0_-;_-* &quot;-&quot;??_-;_-@_-">
                  <c:v>43000</c:v>
                </c:pt>
                <c:pt idx="580" formatCode="_-* #,##0_-;\-* #,##0_-;_-* &quot;-&quot;??_-;_-@_-">
                  <c:v>6000</c:v>
                </c:pt>
                <c:pt idx="581" formatCode="_-* #,##0_-;\-* #,##0_-;_-* &quot;-&quot;??_-;_-@_-">
                  <c:v>53000</c:v>
                </c:pt>
                <c:pt idx="583" formatCode="_-* #,##0_-;\-* #,##0_-;_-* &quot;-&quot;??_-;_-@_-">
                  <c:v>8000</c:v>
                </c:pt>
                <c:pt idx="585" formatCode="_-* #,##0_-;\-* #,##0_-;_-* &quot;-&quot;??_-;_-@_-">
                  <c:v>3000</c:v>
                </c:pt>
                <c:pt idx="586" formatCode="_-* #,##0_-;\-* #,##0_-;_-* &quot;-&quot;??_-;_-@_-">
                  <c:v>3523000</c:v>
                </c:pt>
                <c:pt idx="587" formatCode="_-* #,##0_-;\-* #,##0_-;_-* &quot;-&quot;??_-;_-@_-">
                  <c:v>3000</c:v>
                </c:pt>
                <c:pt idx="588" formatCode="_-* #,##0_-;\-* #,##0_-;_-* &quot;-&quot;??_-;_-@_-">
                  <c:v>3003000</c:v>
                </c:pt>
                <c:pt idx="589" formatCode="_-* #,##0_-;\-* #,##0_-;_-* &quot;-&quot;??_-;_-@_-">
                  <c:v>4613000</c:v>
                </c:pt>
                <c:pt idx="590" formatCode="_-* #,##0_-;\-* #,##0_-;_-* &quot;-&quot;??_-;_-@_-">
                  <c:v>20000</c:v>
                </c:pt>
                <c:pt idx="591" formatCode="_-* #,##0_-;\-* #,##0_-;_-* &quot;-&quot;??_-;_-@_-">
                  <c:v>8000</c:v>
                </c:pt>
                <c:pt idx="592" formatCode="_-* #,##0_-;\-* #,##0_-;_-* &quot;-&quot;??_-;_-@_-">
                  <c:v>3000</c:v>
                </c:pt>
                <c:pt idx="593" formatCode="_-* #,##0_-;\-* #,##0_-;_-* &quot;-&quot;??_-;_-@_-">
                  <c:v>200000</c:v>
                </c:pt>
                <c:pt idx="594" formatCode="_-* #,##0_-;\-* #,##0_-;_-* &quot;-&quot;??_-;_-@_-">
                  <c:v>2603000</c:v>
                </c:pt>
                <c:pt idx="595" formatCode="_-* #,##0_-;\-* #,##0_-;_-* &quot;-&quot;??_-;_-@_-">
                  <c:v>2306000</c:v>
                </c:pt>
                <c:pt idx="596" formatCode="_-* #,##0_-;\-* #,##0_-;_-* &quot;-&quot;??_-;_-@_-">
                  <c:v>3000</c:v>
                </c:pt>
                <c:pt idx="597" formatCode="_-* #,##0_-;\-* #,##0_-;_-* &quot;-&quot;??_-;_-@_-">
                  <c:v>1410338</c:v>
                </c:pt>
                <c:pt idx="598" formatCode="_-* #,##0_-;\-* #,##0_-;_-* &quot;-&quot;??_-;_-@_-">
                  <c:v>12000</c:v>
                </c:pt>
                <c:pt idx="599" formatCode="_-* #,##0_-;\-* #,##0_-;_-* &quot;-&quot;??_-;_-@_-">
                  <c:v>3000</c:v>
                </c:pt>
                <c:pt idx="600" formatCode="_-* #,##0_-;\-* #,##0_-;_-* &quot;-&quot;??_-;_-@_-">
                  <c:v>53000</c:v>
                </c:pt>
                <c:pt idx="601" formatCode="_-* #,##0_-;\-* #,##0_-;_-* &quot;-&quot;??_-;_-@_-">
                  <c:v>3000</c:v>
                </c:pt>
                <c:pt idx="603" formatCode="_-* #,##0_-;\-* #,##0_-;_-* &quot;-&quot;??_-;_-@_-">
                  <c:v>23000</c:v>
                </c:pt>
                <c:pt idx="604" formatCode="_-* #,##0_-;\-* #,##0_-;_-* &quot;-&quot;??_-;_-@_-">
                  <c:v>2800000</c:v>
                </c:pt>
                <c:pt idx="605" formatCode="_-* #,##0_-;\-* #,##0_-;_-* &quot;-&quot;??_-;_-@_-">
                  <c:v>33000</c:v>
                </c:pt>
                <c:pt idx="606" formatCode="_-* #,##0_-;\-* #,##0_-;_-* &quot;-&quot;??_-;_-@_-">
                  <c:v>3000000</c:v>
                </c:pt>
                <c:pt idx="608" formatCode="_-* #,##0_-;\-* #,##0_-;_-* &quot;-&quot;??_-;_-@_-">
                  <c:v>3000</c:v>
                </c:pt>
                <c:pt idx="609" formatCode="_-* #,##0_-;\-* #,##0_-;_-* &quot;-&quot;??_-;_-@_-">
                  <c:v>3000</c:v>
                </c:pt>
                <c:pt idx="610" formatCode="_-* #,##0_-;\-* #,##0_-;_-* &quot;-&quot;??_-;_-@_-">
                  <c:v>53000</c:v>
                </c:pt>
                <c:pt idx="612" formatCode="_-* #,##0_-;\-* #,##0_-;_-* &quot;-&quot;??_-;_-@_-">
                  <c:v>3000</c:v>
                </c:pt>
                <c:pt idx="613" formatCode="_-* #,##0_-;\-* #,##0_-;_-* &quot;-&quot;??_-;_-@_-">
                  <c:v>524000</c:v>
                </c:pt>
                <c:pt idx="614" formatCode="_-* #,##0_-;\-* #,##0_-;_-* &quot;-&quot;??_-;_-@_-">
                  <c:v>1050000</c:v>
                </c:pt>
                <c:pt idx="615" formatCode="_-* #,##0_-;\-* #,##0_-;_-* &quot;-&quot;??_-;_-@_-">
                  <c:v>3000</c:v>
                </c:pt>
                <c:pt idx="616" formatCode="_-* #,##0_-;\-* #,##0_-;_-* &quot;-&quot;??_-;_-@_-">
                  <c:v>5644000</c:v>
                </c:pt>
                <c:pt idx="617" formatCode="_-* #,##0_-;\-* #,##0_-;_-* &quot;-&quot;??_-;_-@_-">
                  <c:v>5796000</c:v>
                </c:pt>
                <c:pt idx="618" formatCode="_-* #,##0_-;\-* #,##0_-;_-* &quot;-&quot;??_-;_-@_-">
                  <c:v>5050000</c:v>
                </c:pt>
                <c:pt idx="619" formatCode="_-* #,##0_-;\-* #,##0_-;_-* &quot;-&quot;??_-;_-@_-">
                  <c:v>3000</c:v>
                </c:pt>
                <c:pt idx="620" formatCode="_-* #,##0_-;\-* #,##0_-;_-* &quot;-&quot;??_-;_-@_-">
                  <c:v>3000</c:v>
                </c:pt>
                <c:pt idx="621" formatCode="_-* #,##0_-;\-* #,##0_-;_-* &quot;-&quot;??_-;_-@_-">
                  <c:v>54000</c:v>
                </c:pt>
                <c:pt idx="622" formatCode="_-* #,##0_-;\-* #,##0_-;_-* &quot;-&quot;??_-;_-@_-">
                  <c:v>4000</c:v>
                </c:pt>
                <c:pt idx="623" formatCode="_-* #,##0_-;\-* #,##0_-;_-* &quot;-&quot;??_-;_-@_-">
                  <c:v>26000</c:v>
                </c:pt>
                <c:pt idx="624" formatCode="_-* #,##0_-;\-* #,##0_-;_-* &quot;-&quot;??_-;_-@_-">
                  <c:v>4000</c:v>
                </c:pt>
                <c:pt idx="625" formatCode="_-* #,##0_-;\-* #,##0_-;_-* &quot;-&quot;??_-;_-@_-">
                  <c:v>3520000</c:v>
                </c:pt>
                <c:pt idx="626" formatCode="_-* #,##0_-;\-* #,##0_-;_-* &quot;-&quot;??_-;_-@_-">
                  <c:v>7000</c:v>
                </c:pt>
                <c:pt idx="627" formatCode="_-* #,##0_-;\-* #,##0_-;_-* &quot;-&quot;??_-;_-@_-">
                  <c:v>4000</c:v>
                </c:pt>
                <c:pt idx="628" formatCode="_-* #,##0_-;\-* #,##0_-;_-* &quot;-&quot;??_-;_-@_-">
                  <c:v>4000</c:v>
                </c:pt>
                <c:pt idx="629" formatCode="_-* #,##0_-;\-* #,##0_-;_-* &quot;-&quot;??_-;_-@_-">
                  <c:v>9800</c:v>
                </c:pt>
                <c:pt idx="630" formatCode="_-* #,##0_-;\-* #,##0_-;_-* &quot;-&quot;??_-;_-@_-">
                  <c:v>7000</c:v>
                </c:pt>
                <c:pt idx="631" formatCode="_-* #,##0_-;\-* #,##0_-;_-* &quot;-&quot;??_-;_-@_-">
                  <c:v>3000</c:v>
                </c:pt>
                <c:pt idx="633" formatCode="_-* #,##0_-;\-* #,##0_-;_-* &quot;-&quot;??_-;_-@_-">
                  <c:v>50000</c:v>
                </c:pt>
                <c:pt idx="634" formatCode="_-* #,##0_-;\-* #,##0_-;_-* &quot;-&quot;??_-;_-@_-">
                  <c:v>29500</c:v>
                </c:pt>
                <c:pt idx="635" formatCode="_-* #,##0_-;\-* #,##0_-;_-* &quot;-&quot;??_-;_-@_-">
                  <c:v>16000</c:v>
                </c:pt>
                <c:pt idx="636" formatCode="_-* #,##0_-;\-* #,##0_-;_-* &quot;-&quot;??_-;_-@_-">
                  <c:v>3000</c:v>
                </c:pt>
                <c:pt idx="637" formatCode="_-* #,##0_-;\-* #,##0_-;_-* &quot;-&quot;??_-;_-@_-">
                  <c:v>3000</c:v>
                </c:pt>
                <c:pt idx="638" formatCode="_-* #,##0_-;\-* #,##0_-;_-* &quot;-&quot;??_-;_-@_-">
                  <c:v>3000</c:v>
                </c:pt>
                <c:pt idx="640" formatCode="_-* #,##0_-;\-* #,##0_-;_-* &quot;-&quot;??_-;_-@_-">
                  <c:v>25000</c:v>
                </c:pt>
                <c:pt idx="641" formatCode="_-* #,##0_-;\-* #,##0_-;_-* &quot;-&quot;??_-;_-@_-">
                  <c:v>3000</c:v>
                </c:pt>
                <c:pt idx="643" formatCode="_-* #,##0_-;\-* #,##0_-;_-* &quot;-&quot;??_-;_-@_-">
                  <c:v>6000</c:v>
                </c:pt>
                <c:pt idx="644" formatCode="_-* #,##0_-;\-* #,##0_-;_-* &quot;-&quot;??_-;_-@_-">
                  <c:v>13000</c:v>
                </c:pt>
                <c:pt idx="645" formatCode="_-* #,##0_-;\-* #,##0_-;_-* &quot;-&quot;??_-;_-@_-">
                  <c:v>20000</c:v>
                </c:pt>
                <c:pt idx="646" formatCode="_-* #,##0_-;\-* #,##0_-;_-* &quot;-&quot;??_-;_-@_-">
                  <c:v>50000</c:v>
                </c:pt>
                <c:pt idx="648" formatCode="_-* #,##0_-;\-* #,##0_-;_-* &quot;-&quot;??_-;_-@_-">
                  <c:v>3506000</c:v>
                </c:pt>
                <c:pt idx="649" formatCode="_-* #,##0_-;\-* #,##0_-;_-* &quot;-&quot;??_-;_-@_-">
                  <c:v>5000</c:v>
                </c:pt>
                <c:pt idx="651" formatCode="_-* #,##0_-;\-* #,##0_-;_-* &quot;-&quot;??_-;_-@_-">
                  <c:v>5000000</c:v>
                </c:pt>
                <c:pt idx="652" formatCode="_-* #,##0_-;\-* #,##0_-;_-* &quot;-&quot;??_-;_-@_-">
                  <c:v>3000</c:v>
                </c:pt>
                <c:pt idx="654" formatCode="_-* #,##0_-;\-* #,##0_-;_-* &quot;-&quot;??_-;_-@_-">
                  <c:v>3000</c:v>
                </c:pt>
                <c:pt idx="655" formatCode="_-* #,##0_-;\-* #,##0_-;_-* &quot;-&quot;??_-;_-@_-">
                  <c:v>448000</c:v>
                </c:pt>
                <c:pt idx="656" formatCode="_-* #,##0_-;\-* #,##0_-;_-* &quot;-&quot;??_-;_-@_-">
                  <c:v>2700000</c:v>
                </c:pt>
                <c:pt idx="657" formatCode="_-* #,##0_-;\-* #,##0_-;_-* &quot;-&quot;??_-;_-@_-">
                  <c:v>50000</c:v>
                </c:pt>
                <c:pt idx="658" formatCode="_-* #,##0_-;\-* #,##0_-;_-* &quot;-&quot;??_-;_-@_-">
                  <c:v>6000</c:v>
                </c:pt>
                <c:pt idx="659" formatCode="_-* #,##0_-;\-* #,##0_-;_-* &quot;-&quot;??_-;_-@_-">
                  <c:v>26000</c:v>
                </c:pt>
                <c:pt idx="660" formatCode="_-* #,##0_-;\-* #,##0_-;_-* &quot;-&quot;??_-;_-@_-">
                  <c:v>50000</c:v>
                </c:pt>
                <c:pt idx="661" formatCode="_-* #,##0_-;\-* #,##0_-;_-* &quot;-&quot;??_-;_-@_-">
                  <c:v>13000</c:v>
                </c:pt>
                <c:pt idx="662" formatCode="_-* #,##0_-;\-* #,##0_-;_-* &quot;-&quot;??_-;_-@_-">
                  <c:v>1049000</c:v>
                </c:pt>
                <c:pt idx="663" formatCode="_-* #,##0_-;\-* #,##0_-;_-* &quot;-&quot;??_-;_-@_-">
                  <c:v>6000</c:v>
                </c:pt>
                <c:pt idx="664" formatCode="_-* #,##0_-;\-* #,##0_-;_-* &quot;-&quot;??_-;_-@_-">
                  <c:v>25000</c:v>
                </c:pt>
                <c:pt idx="665" formatCode="_-* #,##0_-;\-* #,##0_-;_-* &quot;-&quot;??_-;_-@_-">
                  <c:v>3000</c:v>
                </c:pt>
                <c:pt idx="666" formatCode="_-* #,##0_-;\-* #,##0_-;_-* &quot;-&quot;??_-;_-@_-">
                  <c:v>16000</c:v>
                </c:pt>
                <c:pt idx="667" formatCode="_-* #,##0_-;\-* #,##0_-;_-* &quot;-&quot;??_-;_-@_-">
                  <c:v>831553</c:v>
                </c:pt>
                <c:pt idx="668" formatCode="_-* #,##0_-;\-* #,##0_-;_-* &quot;-&quot;??_-;_-@_-">
                  <c:v>3000</c:v>
                </c:pt>
                <c:pt idx="669" formatCode="_-* #,##0_-;\-* #,##0_-;_-* &quot;-&quot;??_-;_-@_-">
                  <c:v>50000</c:v>
                </c:pt>
                <c:pt idx="671" formatCode="_-* #,##0_-;\-* #,##0_-;_-* &quot;-&quot;??_-;_-@_-">
                  <c:v>23000</c:v>
                </c:pt>
                <c:pt idx="672" formatCode="_-* #,##0_-;\-* #,##0_-;_-* &quot;-&quot;??_-;_-@_-">
                  <c:v>3000</c:v>
                </c:pt>
                <c:pt idx="673" formatCode="_-* #,##0_-;\-* #,##0_-;_-* &quot;-&quot;??_-;_-@_-">
                  <c:v>3000</c:v>
                </c:pt>
                <c:pt idx="675" formatCode="_-* #,##0_-;\-* #,##0_-;_-* &quot;-&quot;??_-;_-@_-">
                  <c:v>23000</c:v>
                </c:pt>
                <c:pt idx="676" formatCode="_-* #,##0_-;\-* #,##0_-;_-* &quot;-&quot;??_-;_-@_-">
                  <c:v>3000</c:v>
                </c:pt>
                <c:pt idx="677" formatCode="_-* #,##0_-;\-* #,##0_-;_-* &quot;-&quot;??_-;_-@_-">
                  <c:v>53000</c:v>
                </c:pt>
                <c:pt idx="679" formatCode="_-* #,##0_-;\-* #,##0_-;_-* &quot;-&quot;??_-;_-@_-">
                  <c:v>5023000</c:v>
                </c:pt>
                <c:pt idx="680" formatCode="_-* #,##0_-;\-* #,##0_-;_-* &quot;-&quot;??_-;_-@_-">
                  <c:v>40000</c:v>
                </c:pt>
                <c:pt idx="681" formatCode="_-* #,##0_-;\-* #,##0_-;_-* &quot;-&quot;??_-;_-@_-">
                  <c:v>3562607</c:v>
                </c:pt>
                <c:pt idx="682" formatCode="_-* #,##0_-;\-* #,##0_-;_-* &quot;-&quot;??_-;_-@_-">
                  <c:v>523000</c:v>
                </c:pt>
                <c:pt idx="683" formatCode="_-* #,##0_-;\-* #,##0_-;_-* &quot;-&quot;??_-;_-@_-">
                  <c:v>2010000</c:v>
                </c:pt>
                <c:pt idx="684" formatCode="_-* #,##0_-;\-* #,##0_-;_-* &quot;-&quot;??_-;_-@_-">
                  <c:v>2003000</c:v>
                </c:pt>
                <c:pt idx="685" formatCode="_-* #,##0_-;\-* #,##0_-;_-* &quot;-&quot;??_-;_-@_-">
                  <c:v>2154130</c:v>
                </c:pt>
                <c:pt idx="686" formatCode="_-* #,##0_-;\-* #,##0_-;_-* &quot;-&quot;??_-;_-@_-">
                  <c:v>3000</c:v>
                </c:pt>
                <c:pt idx="687" formatCode="_-* #,##0_-;\-* #,##0_-;_-* &quot;-&quot;??_-;_-@_-">
                  <c:v>2843000</c:v>
                </c:pt>
                <c:pt idx="689" formatCode="_-* #,##0_-;\-* #,##0_-;_-* &quot;-&quot;??_-;_-@_-">
                  <c:v>3000</c:v>
                </c:pt>
                <c:pt idx="691" formatCode="_-* #,##0_-;\-* #,##0_-;_-* &quot;-&quot;??_-;_-@_-">
                  <c:v>1244450</c:v>
                </c:pt>
                <c:pt idx="692" formatCode="_-* #,##0_-;\-* #,##0_-;_-* &quot;-&quot;??_-;_-@_-">
                  <c:v>3000</c:v>
                </c:pt>
                <c:pt idx="693" formatCode="_-* #,##0_-;\-* #,##0_-;_-* &quot;-&quot;??_-;_-@_-">
                  <c:v>3000</c:v>
                </c:pt>
                <c:pt idx="694" formatCode="_-* #,##0_-;\-* #,##0_-;_-* &quot;-&quot;??_-;_-@_-">
                  <c:v>3000</c:v>
                </c:pt>
                <c:pt idx="697" formatCode="_-* #,##0_-;\-* #,##0_-;_-* &quot;-&quot;??_-;_-@_-">
                  <c:v>403000</c:v>
                </c:pt>
                <c:pt idx="698" formatCode="_-* #,##0_-;\-* #,##0_-;_-* &quot;-&quot;??_-;_-@_-">
                  <c:v>3000</c:v>
                </c:pt>
                <c:pt idx="699" formatCode="_-* #,##0_-;\-* #,##0_-;_-* &quot;-&quot;??_-;_-@_-">
                  <c:v>50000</c:v>
                </c:pt>
                <c:pt idx="700" formatCode="_-* #,##0_-;\-* #,##0_-;_-* &quot;-&quot;??_-;_-@_-">
                  <c:v>3000</c:v>
                </c:pt>
                <c:pt idx="701" formatCode="_-* #,##0_-;\-* #,##0_-;_-* &quot;-&quot;??_-;_-@_-">
                  <c:v>3000</c:v>
                </c:pt>
                <c:pt idx="703" formatCode="_-* #,##0_-;\-* #,##0_-;_-* &quot;-&quot;??_-;_-@_-">
                  <c:v>9000</c:v>
                </c:pt>
                <c:pt idx="705" formatCode="_-* #,##0_-;\-* #,##0_-;_-* &quot;-&quot;??_-;_-@_-">
                  <c:v>1023697</c:v>
                </c:pt>
                <c:pt idx="706" formatCode="_-* #,##0_-;\-* #,##0_-;_-* &quot;-&quot;??_-;_-@_-">
                  <c:v>2333000</c:v>
                </c:pt>
                <c:pt idx="707" formatCode="_-* #,##0_-;\-* #,##0_-;_-* &quot;-&quot;??_-;_-@_-">
                  <c:v>1060000</c:v>
                </c:pt>
                <c:pt idx="708" formatCode="_-* #,##0_-;\-* #,##0_-;_-* &quot;-&quot;??_-;_-@_-">
                  <c:v>3003000</c:v>
                </c:pt>
                <c:pt idx="709" formatCode="_-* #,##0_-;\-* #,##0_-;_-* &quot;-&quot;??_-;_-@_-">
                  <c:v>1108764</c:v>
                </c:pt>
                <c:pt idx="710" formatCode="_-* #,##0_-;\-* #,##0_-;_-* &quot;-&quot;??_-;_-@_-">
                  <c:v>3058000</c:v>
                </c:pt>
                <c:pt idx="711" formatCode="_-* #,##0_-;\-* #,##0_-;_-* &quot;-&quot;??_-;_-@_-">
                  <c:v>4200000</c:v>
                </c:pt>
                <c:pt idx="712" formatCode="_-* #,##0_-;\-* #,##0_-;_-* &quot;-&quot;??_-;_-@_-">
                  <c:v>3000</c:v>
                </c:pt>
                <c:pt idx="713" formatCode="_-* #,##0_-;\-* #,##0_-;_-* &quot;-&quot;??_-;_-@_-">
                  <c:v>6000</c:v>
                </c:pt>
                <c:pt idx="714" formatCode="_-* #,##0_-;\-* #,##0_-;_-* &quot;-&quot;??_-;_-@_-">
                  <c:v>3824754</c:v>
                </c:pt>
                <c:pt idx="715" formatCode="_-* #,##0_-;\-* #,##0_-;_-* &quot;-&quot;??_-;_-@_-">
                  <c:v>708000</c:v>
                </c:pt>
                <c:pt idx="718" formatCode="_-* #,##0_-;\-* #,##0_-;_-* &quot;-&quot;??_-;_-@_-">
                  <c:v>3000</c:v>
                </c:pt>
                <c:pt idx="719" formatCode="_-* #,##0_-;\-* #,##0_-;_-* &quot;-&quot;??_-;_-@_-">
                  <c:v>30000</c:v>
                </c:pt>
                <c:pt idx="720" formatCode="_-* #,##0_-;\-* #,##0_-;_-* &quot;-&quot;??_-;_-@_-">
                  <c:v>3000</c:v>
                </c:pt>
                <c:pt idx="722" formatCode="_-* #,##0_-;\-* #,##0_-;_-* &quot;-&quot;??_-;_-@_-">
                  <c:v>3003000</c:v>
                </c:pt>
                <c:pt idx="724" formatCode="_-* #,##0_-;\-* #,##0_-;_-* &quot;-&quot;??_-;_-@_-">
                  <c:v>53000</c:v>
                </c:pt>
                <c:pt idx="725" formatCode="_-* #,##0_-;\-* #,##0_-;_-* &quot;-&quot;??_-;_-@_-">
                  <c:v>3000</c:v>
                </c:pt>
                <c:pt idx="726" formatCode="_-* #,##0_-;\-* #,##0_-;_-* &quot;-&quot;??_-;_-@_-">
                  <c:v>3000</c:v>
                </c:pt>
                <c:pt idx="727" formatCode="_-* #,##0_-;\-* #,##0_-;_-* &quot;-&quot;??_-;_-@_-">
                  <c:v>50000</c:v>
                </c:pt>
                <c:pt idx="729" formatCode="_-* #,##0_-;\-* #,##0_-;_-* &quot;-&quot;??_-;_-@_-">
                  <c:v>15000</c:v>
                </c:pt>
                <c:pt idx="730" formatCode="_-* #,##0_-;\-* #,##0_-;_-* &quot;-&quot;??_-;_-@_-">
                  <c:v>250000</c:v>
                </c:pt>
                <c:pt idx="731" formatCode="_-* #,##0_-;\-* #,##0_-;_-* &quot;-&quot;??_-;_-@_-">
                  <c:v>53000</c:v>
                </c:pt>
                <c:pt idx="736" formatCode="_-* #,##0_-;\-* #,##0_-;_-* &quot;-&quot;??_-;_-@_-">
                  <c:v>100000</c:v>
                </c:pt>
                <c:pt idx="742" formatCode="_-* #,##0_-;\-* #,##0_-;_-* &quot;-&quot;??_-;_-@_-">
                  <c:v>5000</c:v>
                </c:pt>
                <c:pt idx="743" formatCode="_-* #,##0_-;\-* #,##0_-;_-* &quot;-&quot;??_-;_-@_-">
                  <c:v>3000</c:v>
                </c:pt>
                <c:pt idx="745" formatCode="_-* #,##0_-;\-* #,##0_-;_-* &quot;-&quot;??_-;_-@_-">
                  <c:v>6000</c:v>
                </c:pt>
                <c:pt idx="746" formatCode="_-* #,##0_-;\-* #,##0_-;_-* &quot;-&quot;??_-;_-@_-">
                  <c:v>3000</c:v>
                </c:pt>
                <c:pt idx="747" formatCode="_-* #,##0_-;\-* #,##0_-;_-* &quot;-&quot;??_-;_-@_-">
                  <c:v>106000</c:v>
                </c:pt>
                <c:pt idx="749" formatCode="_-* #,##0_-;\-* #,##0_-;_-* &quot;-&quot;??_-;_-@_-">
                  <c:v>4000</c:v>
                </c:pt>
                <c:pt idx="752" formatCode="_-* #,##0_-;\-* #,##0_-;_-* &quot;-&quot;??_-;_-@_-">
                  <c:v>3000</c:v>
                </c:pt>
                <c:pt idx="753" formatCode="_-* #,##0_-;\-* #,##0_-;_-* &quot;-&quot;??_-;_-@_-">
                  <c:v>53000</c:v>
                </c:pt>
                <c:pt idx="754" formatCode="_-* #,##0_-;\-* #,##0_-;_-* &quot;-&quot;??_-;_-@_-">
                  <c:v>3000</c:v>
                </c:pt>
                <c:pt idx="759" formatCode="_-* #,##0_-;\-* #,##0_-;_-* &quot;-&quot;??_-;_-@_-">
                  <c:v>122000</c:v>
                </c:pt>
                <c:pt idx="761" formatCode="_-* #,##0_-;\-* #,##0_-;_-* &quot;-&quot;??_-;_-@_-">
                  <c:v>6000</c:v>
                </c:pt>
                <c:pt idx="762" formatCode="_-* #,##0_-;\-* #,##0_-;_-* &quot;-&quot;??_-;_-@_-">
                  <c:v>3000</c:v>
                </c:pt>
                <c:pt idx="764" formatCode="_-* #,##0_-;\-* #,##0_-;_-* &quot;-&quot;??_-;_-@_-">
                  <c:v>100000</c:v>
                </c:pt>
                <c:pt idx="766" formatCode="_-* #,##0_-;\-* #,##0_-;_-* &quot;-&quot;??_-;_-@_-">
                  <c:v>3000</c:v>
                </c:pt>
                <c:pt idx="767" formatCode="_-* #,##0_-;\-* #,##0_-;_-* &quot;-&quot;??_-;_-@_-">
                  <c:v>9000</c:v>
                </c:pt>
                <c:pt idx="768" formatCode="_-* #,##0_-;\-* #,##0_-;_-* &quot;-&quot;??_-;_-@_-">
                  <c:v>13000</c:v>
                </c:pt>
                <c:pt idx="770" formatCode="_-* #,##0_-;\-* #,##0_-;_-* &quot;-&quot;??_-;_-@_-">
                  <c:v>103000</c:v>
                </c:pt>
                <c:pt idx="772" formatCode="_-* #,##0_-;\-* #,##0_-;_-* &quot;-&quot;??_-;_-@_-">
                  <c:v>100000</c:v>
                </c:pt>
                <c:pt idx="773" formatCode="_-* #,##0_-;\-* #,##0_-;_-* &quot;-&quot;??_-;_-@_-">
                  <c:v>503000</c:v>
                </c:pt>
                <c:pt idx="774" formatCode="_-* #,##0_-;\-* #,##0_-;_-* &quot;-&quot;??_-;_-@_-">
                  <c:v>3000</c:v>
                </c:pt>
                <c:pt idx="776" formatCode="_-* #,##0_-;\-* #,##0_-;_-* &quot;-&quot;??_-;_-@_-">
                  <c:v>100000</c:v>
                </c:pt>
                <c:pt idx="777" formatCode="_-* #,##0_-;\-* #,##0_-;_-* &quot;-&quot;??_-;_-@_-">
                  <c:v>3000</c:v>
                </c:pt>
                <c:pt idx="778" formatCode="_-* #,##0_-;\-* #,##0_-;_-* &quot;-&quot;??_-;_-@_-">
                  <c:v>3000</c:v>
                </c:pt>
                <c:pt idx="780" formatCode="_-* #,##0_-;\-* #,##0_-;_-* &quot;-&quot;??_-;_-@_-">
                  <c:v>4000</c:v>
                </c:pt>
                <c:pt idx="783" formatCode="_-* #,##0_-;\-* #,##0_-;_-* &quot;-&quot;??_-;_-@_-">
                  <c:v>3000</c:v>
                </c:pt>
                <c:pt idx="788" formatCode="_-* #,##0_-;\-* #,##0_-;_-* &quot;-&quot;??_-;_-@_-">
                  <c:v>6000</c:v>
                </c:pt>
                <c:pt idx="789" formatCode="_-* #,##0_-;\-* #,##0_-;_-* &quot;-&quot;??_-;_-@_-">
                  <c:v>400000</c:v>
                </c:pt>
                <c:pt idx="791" formatCode="_-* #,##0_-;\-* #,##0_-;_-* &quot;-&quot;??_-;_-@_-">
                  <c:v>7000</c:v>
                </c:pt>
                <c:pt idx="792" formatCode="_-* #,##0_-;\-* #,##0_-;_-* &quot;-&quot;??_-;_-@_-">
                  <c:v>70000</c:v>
                </c:pt>
                <c:pt idx="794" formatCode="_-* #,##0_-;\-* #,##0_-;_-* &quot;-&quot;??_-;_-@_-">
                  <c:v>3000</c:v>
                </c:pt>
                <c:pt idx="795" formatCode="_-* #,##0_-;\-* #,##0_-;_-* &quot;-&quot;??_-;_-@_-">
                  <c:v>204000</c:v>
                </c:pt>
                <c:pt idx="796" formatCode="_-* #,##0_-;\-* #,##0_-;_-* &quot;-&quot;??_-;_-@_-">
                  <c:v>3000</c:v>
                </c:pt>
                <c:pt idx="799" formatCode="_-* #,##0_-;\-* #,##0_-;_-* &quot;-&quot;??_-;_-@_-">
                  <c:v>4005000</c:v>
                </c:pt>
                <c:pt idx="803" formatCode="_-* #,##0_-;\-* #,##0_-;_-* &quot;-&quot;??_-;_-@_-">
                  <c:v>20000</c:v>
                </c:pt>
                <c:pt idx="804" formatCode="_-* #,##0_-;\-* #,##0_-;_-* &quot;-&quot;??_-;_-@_-">
                  <c:v>3000</c:v>
                </c:pt>
                <c:pt idx="805" formatCode="_-* #,##0_-;\-* #,##0_-;_-* &quot;-&quot;??_-;_-@_-">
                  <c:v>10000</c:v>
                </c:pt>
                <c:pt idx="806" formatCode="_-* #,##0_-;\-* #,##0_-;_-* &quot;-&quot;??_-;_-@_-">
                  <c:v>303000</c:v>
                </c:pt>
                <c:pt idx="807" formatCode="_-* #,##0_-;\-* #,##0_-;_-* &quot;-&quot;??_-;_-@_-">
                  <c:v>4500000</c:v>
                </c:pt>
                <c:pt idx="808" formatCode="_-* #,##0_-;\-* #,##0_-;_-* &quot;-&quot;??_-;_-@_-">
                  <c:v>2403000</c:v>
                </c:pt>
                <c:pt idx="809" formatCode="_-* #,##0_-;\-* #,##0_-;_-* &quot;-&quot;??_-;_-@_-">
                  <c:v>6000</c:v>
                </c:pt>
                <c:pt idx="811" formatCode="_-* #,##0_-;\-* #,##0_-;_-* &quot;-&quot;??_-;_-@_-">
                  <c:v>6000</c:v>
                </c:pt>
                <c:pt idx="814" formatCode="_-* #,##0_-;\-* #,##0_-;_-* &quot;-&quot;??_-;_-@_-">
                  <c:v>0</c:v>
                </c:pt>
                <c:pt idx="815" formatCode="_-* #,##0_-;\-* #,##0_-;_-* &quot;-&quot;??_-;_-@_-">
                  <c:v>143000</c:v>
                </c:pt>
                <c:pt idx="816" formatCode="_-* #,##0_-;\-* #,##0_-;_-* &quot;-&quot;??_-;_-@_-">
                  <c:v>11000</c:v>
                </c:pt>
                <c:pt idx="819" formatCode="_-* #,##0_-;\-* #,##0_-;_-* &quot;-&quot;??_-;_-@_-">
                  <c:v>106000</c:v>
                </c:pt>
                <c:pt idx="822" formatCode="_-* #,##0_-;\-* #,##0_-;_-* &quot;-&quot;??_-;_-@_-">
                  <c:v>10000</c:v>
                </c:pt>
                <c:pt idx="823" formatCode="_-* #,##0_-;\-* #,##0_-;_-* &quot;-&quot;??_-;_-@_-">
                  <c:v>20000</c:v>
                </c:pt>
                <c:pt idx="825" formatCode="_-* #,##0_-;\-* #,##0_-;_-* &quot;-&quot;??_-;_-@_-">
                  <c:v>3000</c:v>
                </c:pt>
                <c:pt idx="827" formatCode="_-* #,##0_-;\-* #,##0_-;_-* &quot;-&quot;??_-;_-@_-">
                  <c:v>217000</c:v>
                </c:pt>
                <c:pt idx="830" formatCode="_-* #,##0_-;\-* #,##0_-;_-* &quot;-&quot;??_-;_-@_-">
                  <c:v>5000</c:v>
                </c:pt>
                <c:pt idx="831" formatCode="_-* #,##0_-;\-* #,##0_-;_-* &quot;-&quot;??_-;_-@_-">
                  <c:v>6000</c:v>
                </c:pt>
                <c:pt idx="833" formatCode="_-* #,##0_-;\-* #,##0_-;_-* &quot;-&quot;??_-;_-@_-">
                  <c:v>6000</c:v>
                </c:pt>
                <c:pt idx="835" formatCode="_-* #,##0_-;\-* #,##0_-;_-* &quot;-&quot;??_-;_-@_-">
                  <c:v>150000</c:v>
                </c:pt>
                <c:pt idx="836" formatCode="_-* #,##0_-;\-* #,##0_-;_-* &quot;-&quot;??_-;_-@_-">
                  <c:v>6000</c:v>
                </c:pt>
                <c:pt idx="838" formatCode="_-* #,##0_-;\-* #,##0_-;_-* &quot;-&quot;??_-;_-@_-">
                  <c:v>3000</c:v>
                </c:pt>
                <c:pt idx="840" formatCode="_-* #,##0_-;\-* #,##0_-;_-* &quot;-&quot;??_-;_-@_-">
                  <c:v>123000</c:v>
                </c:pt>
                <c:pt idx="841" formatCode="_-* #,##0_-;\-* #,##0_-;_-* &quot;-&quot;??_-;_-@_-">
                  <c:v>12000</c:v>
                </c:pt>
                <c:pt idx="843" formatCode="_-* #,##0_-;\-* #,##0_-;_-* &quot;-&quot;??_-;_-@_-">
                  <c:v>56000</c:v>
                </c:pt>
                <c:pt idx="845" formatCode="_-* #,##0_-;\-* #,##0_-;_-* &quot;-&quot;??_-;_-@_-">
                  <c:v>205000</c:v>
                </c:pt>
                <c:pt idx="846" formatCode="_-* #,##0_-;\-* #,##0_-;_-* &quot;-&quot;??_-;_-@_-">
                  <c:v>5000</c:v>
                </c:pt>
                <c:pt idx="850" formatCode="_-* #,##0_-;\-* #,##0_-;_-* &quot;-&quot;??_-;_-@_-">
                  <c:v>3000</c:v>
                </c:pt>
                <c:pt idx="852" formatCode="_-* #,##0_-;\-* #,##0_-;_-* &quot;-&quot;??_-;_-@_-">
                  <c:v>3000</c:v>
                </c:pt>
                <c:pt idx="853" formatCode="_-* #,##0_-;\-* #,##0_-;_-* &quot;-&quot;??_-;_-@_-">
                  <c:v>7000</c:v>
                </c:pt>
                <c:pt idx="854" formatCode="_-* #,##0_-;\-* #,##0_-;_-* &quot;-&quot;??_-;_-@_-">
                  <c:v>100000</c:v>
                </c:pt>
                <c:pt idx="855" formatCode="_-* #,##0_-;\-* #,##0_-;_-* &quot;-&quot;??_-;_-@_-">
                  <c:v>6000</c:v>
                </c:pt>
                <c:pt idx="858" formatCode="_-* #,##0_-;\-* #,##0_-;_-* &quot;-&quot;??_-;_-@_-">
                  <c:v>4000</c:v>
                </c:pt>
                <c:pt idx="859" formatCode="_-* #,##0_-;\-* #,##0_-;_-* &quot;-&quot;??_-;_-@_-">
                  <c:v>3000</c:v>
                </c:pt>
                <c:pt idx="860" formatCode="_-* #,##0_-;\-* #,##0_-;_-* &quot;-&quot;??_-;_-@_-">
                  <c:v>130000</c:v>
                </c:pt>
                <c:pt idx="861" formatCode="_-* #,##0_-;\-* #,##0_-;_-* &quot;-&quot;??_-;_-@_-">
                  <c:v>249050</c:v>
                </c:pt>
                <c:pt idx="862" formatCode="_-* #,##0_-;\-* #,##0_-;_-* &quot;-&quot;??_-;_-@_-">
                  <c:v>3000</c:v>
                </c:pt>
                <c:pt idx="864" formatCode="_-* #,##0_-;\-* #,##0_-;_-* &quot;-&quot;??_-;_-@_-">
                  <c:v>7000</c:v>
                </c:pt>
                <c:pt idx="866" formatCode="_-* #,##0_-;\-* #,##0_-;_-* &quot;-&quot;??_-;_-@_-">
                  <c:v>3000</c:v>
                </c:pt>
                <c:pt idx="867" formatCode="_-* #,##0_-;\-* #,##0_-;_-* &quot;-&quot;??_-;_-@_-">
                  <c:v>3000</c:v>
                </c:pt>
                <c:pt idx="868" formatCode="_-* #,##0_-;\-* #,##0_-;_-* &quot;-&quot;??_-;_-@_-">
                  <c:v>383000</c:v>
                </c:pt>
                <c:pt idx="869" formatCode="_-* #,##0_-;\-* #,##0_-;_-* &quot;-&quot;??_-;_-@_-">
                  <c:v>4000</c:v>
                </c:pt>
                <c:pt idx="872" formatCode="_-* #,##0_-;\-* #,##0_-;_-* &quot;-&quot;??_-;_-@_-">
                  <c:v>3000</c:v>
                </c:pt>
                <c:pt idx="874" formatCode="_-* #,##0_-;\-* #,##0_-;_-* &quot;-&quot;??_-;_-@_-">
                  <c:v>14000</c:v>
                </c:pt>
                <c:pt idx="875" formatCode="_-* #,##0_-;\-* #,##0_-;_-* &quot;-&quot;??_-;_-@_-">
                  <c:v>8000</c:v>
                </c:pt>
                <c:pt idx="876" formatCode="_-* #,##0_-;\-* #,##0_-;_-* &quot;-&quot;??_-;_-@_-">
                  <c:v>350000</c:v>
                </c:pt>
                <c:pt idx="878" formatCode="_-* #,##0_-;\-* #,##0_-;_-* &quot;-&quot;??_-;_-@_-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093-4675-8CF1-E99C3E7C4480}"/>
            </c:ext>
          </c:extLst>
        </c:ser>
        <c:ser>
          <c:idx val="31"/>
          <c:order val="31"/>
          <c:tx>
            <c:strRef>
              <c:f>'CASH FLOW'!$AG$1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FLOW'!$AG$2:$AG$969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2780000</c:v>
                </c:pt>
                <c:pt idx="6" formatCode="_-* #,##0_-;\-* #,##0_-;_-* &quot;-&quot;??_-;_-@_-">
                  <c:v>2000000</c:v>
                </c:pt>
                <c:pt idx="12" formatCode="_-* #,##0_-;\-* #,##0_-;_-* &quot;-&quot;??_-;_-@_-">
                  <c:v>5000000</c:v>
                </c:pt>
                <c:pt idx="13" formatCode="_-* #,##0_-;\-* #,##0_-;_-* &quot;-&quot;??_-;_-@_-">
                  <c:v>2000000</c:v>
                </c:pt>
                <c:pt idx="28" formatCode="_-* #,##0_-;\-* #,##0_-;_-* &quot;-&quot;??_-;_-@_-">
                  <c:v>1000000</c:v>
                </c:pt>
                <c:pt idx="34" formatCode="_-* #,##0_-;\-* #,##0_-;_-* &quot;-&quot;??_-;_-@_-">
                  <c:v>2070000</c:v>
                </c:pt>
                <c:pt idx="46" formatCode="_-* #,##0_-;\-* #,##0_-;_-* &quot;-&quot;??_-;_-@_-">
                  <c:v>159500</c:v>
                </c:pt>
                <c:pt idx="63" formatCode="_-* #,##0_-;\-* #,##0_-;_-* &quot;-&quot;??_-;_-@_-">
                  <c:v>2962000</c:v>
                </c:pt>
                <c:pt idx="77" formatCode="_-* #,##0_-;\-* #,##0_-;_-* &quot;-&quot;??_-;_-@_-">
                  <c:v>115000</c:v>
                </c:pt>
                <c:pt idx="94" formatCode="_-* #,##0_-;\-* #,##0_-;_-* &quot;-&quot;??_-;_-@_-">
                  <c:v>3070000</c:v>
                </c:pt>
                <c:pt idx="118" formatCode="_-* #,##0_-;\-* #,##0_-;_-* &quot;-&quot;??_-;_-@_-">
                  <c:v>500000</c:v>
                </c:pt>
                <c:pt idx="123" formatCode="_-* #,##0_-;\-* #,##0_-;_-* &quot;-&quot;??_-;_-@_-">
                  <c:v>1000000</c:v>
                </c:pt>
                <c:pt idx="124" formatCode="_-* #,##0_-;\-* #,##0_-;_-* &quot;-&quot;??_-;_-@_-">
                  <c:v>2070000</c:v>
                </c:pt>
                <c:pt idx="144" formatCode="_-* #,##0_-;\-* #,##0_-;_-* &quot;-&quot;??_-;_-@_-">
                  <c:v>500000</c:v>
                </c:pt>
                <c:pt idx="148" formatCode="_-* #,##0_-;\-* #,##0_-;_-* &quot;-&quot;??_-;_-@_-">
                  <c:v>1100000</c:v>
                </c:pt>
                <c:pt idx="149" formatCode="_-* #,##0_-;\-* #,##0_-;_-* &quot;-&quot;??_-;_-@_-">
                  <c:v>0</c:v>
                </c:pt>
                <c:pt idx="152" formatCode="_-* #,##0_-;\-* #,##0_-;_-* &quot;-&quot;??_-;_-@_-">
                  <c:v>1970000</c:v>
                </c:pt>
                <c:pt idx="173" formatCode="_-* #,##0_-;\-* #,##0_-;_-* &quot;-&quot;??_-;_-@_-">
                  <c:v>100000</c:v>
                </c:pt>
                <c:pt idx="174" formatCode="_-* #,##0_-;\-* #,##0_-;_-* &quot;-&quot;??_-;_-@_-">
                  <c:v>400000</c:v>
                </c:pt>
                <c:pt idx="177" formatCode="_-* #,##0_-;\-* #,##0_-;_-* &quot;-&quot;??_-;_-@_-">
                  <c:v>400000</c:v>
                </c:pt>
                <c:pt idx="180" formatCode="_-* #,##0_-;\-* #,##0_-;_-* &quot;-&quot;??_-;_-@_-">
                  <c:v>300000</c:v>
                </c:pt>
                <c:pt idx="183" formatCode="_-* #,##0_-;\-* #,##0_-;_-* &quot;-&quot;??_-;_-@_-">
                  <c:v>1870000</c:v>
                </c:pt>
                <c:pt idx="205" formatCode="_-* #,##0_-;\-* #,##0_-;_-* &quot;-&quot;??_-;_-@_-">
                  <c:v>1000000</c:v>
                </c:pt>
                <c:pt idx="215" formatCode="_-* #,##0_-;\-* #,##0_-;_-* &quot;-&quot;??_-;_-@_-">
                  <c:v>2070000</c:v>
                </c:pt>
                <c:pt idx="217" formatCode="_-* #,##0_-;\-* #,##0_-;_-* &quot;-&quot;??_-;_-@_-">
                  <c:v>70000</c:v>
                </c:pt>
                <c:pt idx="241" formatCode="_-* #,##0_-;\-* #,##0_-;_-* &quot;-&quot;??_-;_-@_-">
                  <c:v>30000</c:v>
                </c:pt>
                <c:pt idx="246" formatCode="_-* #,##0_-;\-* #,##0_-;_-* &quot;-&quot;??_-;_-@_-">
                  <c:v>2070000</c:v>
                </c:pt>
                <c:pt idx="263" formatCode="_-* #,##0_-;\-* #,##0_-;_-* &quot;-&quot;??_-;_-@_-">
                  <c:v>1000000</c:v>
                </c:pt>
                <c:pt idx="274" formatCode="_-* #,##0_-;\-* #,##0_-;_-* &quot;-&quot;??_-;_-@_-">
                  <c:v>2070000</c:v>
                </c:pt>
                <c:pt idx="305" formatCode="_-* #,##0_-;\-* #,##0_-;_-* &quot;-&quot;??_-;_-@_-">
                  <c:v>500000</c:v>
                </c:pt>
                <c:pt idx="307" formatCode="_-* #,##0_-;\-* #,##0_-;_-* &quot;-&quot;??_-;_-@_-">
                  <c:v>1970000</c:v>
                </c:pt>
                <c:pt idx="326" formatCode="_-* #,##0_-;\-* #,##0_-;_-* &quot;-&quot;??_-;_-@_-">
                  <c:v>1000000</c:v>
                </c:pt>
                <c:pt idx="335" formatCode="_-* #,##0_-;\-* #,##0_-;_-* &quot;-&quot;??_-;_-@_-">
                  <c:v>2070000</c:v>
                </c:pt>
                <c:pt idx="360" formatCode="_-* #,##0_-;\-* #,##0_-;_-* &quot;-&quot;??_-;_-@_-">
                  <c:v>3070000</c:v>
                </c:pt>
                <c:pt idx="393" formatCode="_-* #,##0_-;\-* #,##0_-;_-* &quot;-&quot;??_-;_-@_-">
                  <c:v>200000</c:v>
                </c:pt>
                <c:pt idx="395" formatCode="_-* #,##0_-;\-* #,##0_-;_-* &quot;-&quot;??_-;_-@_-">
                  <c:v>20000</c:v>
                </c:pt>
                <c:pt idx="399" formatCode="_-* #,##0_-;\-* #,##0_-;_-* &quot;-&quot;??_-;_-@_-">
                  <c:v>2370000</c:v>
                </c:pt>
                <c:pt idx="426" formatCode="_-* #,##0_-;\-* #,##0_-;_-* &quot;-&quot;??_-;_-@_-">
                  <c:v>3100000</c:v>
                </c:pt>
                <c:pt idx="427" formatCode="_-* #,##0_-;\-* #,##0_-;_-* &quot;-&quot;??_-;_-@_-">
                  <c:v>0</c:v>
                </c:pt>
                <c:pt idx="434" formatCode="_-* #,##0_-;\-* #,##0_-;_-* &quot;-&quot;??_-;_-@_-">
                  <c:v>8000</c:v>
                </c:pt>
                <c:pt idx="458" formatCode="_-* #,##0_-;\-* #,##0_-;_-* &quot;-&quot;??_-;_-@_-">
                  <c:v>3100000</c:v>
                </c:pt>
                <c:pt idx="462" formatCode="_-* #,##0_-;\-* #,##0_-;_-* &quot;-&quot;??_-;_-@_-">
                  <c:v>121000</c:v>
                </c:pt>
                <c:pt idx="480" formatCode="_-* #,##0_-;\-* #,##0_-;_-* &quot;-&quot;??_-;_-@_-">
                  <c:v>300000</c:v>
                </c:pt>
                <c:pt idx="481" formatCode="_-* #,##0_-;\-* #,##0_-;_-* &quot;-&quot;??_-;_-@_-">
                  <c:v>300000</c:v>
                </c:pt>
                <c:pt idx="487" formatCode="_-* #,##0_-;\-* #,##0_-;_-* &quot;-&quot;??_-;_-@_-">
                  <c:v>3100000</c:v>
                </c:pt>
                <c:pt idx="488" formatCode="_-* #,##0_-;\-* #,##0_-;_-* &quot;-&quot;??_-;_-@_-">
                  <c:v>0</c:v>
                </c:pt>
                <c:pt idx="501" formatCode="_-* #,##0_-;\-* #,##0_-;_-* &quot;-&quot;??_-;_-@_-">
                  <c:v>500000</c:v>
                </c:pt>
                <c:pt idx="506" formatCode="_-* #,##0_-;\-* #,##0_-;_-* &quot;-&quot;??_-;_-@_-">
                  <c:v>6000</c:v>
                </c:pt>
                <c:pt idx="507" formatCode="_-* #,##0_-;\-* #,##0_-;_-* &quot;-&quot;??_-;_-@_-">
                  <c:v>3000</c:v>
                </c:pt>
                <c:pt idx="513" formatCode="_-* #,##0_-;\-* #,##0_-;_-* &quot;-&quot;??_-;_-@_-">
                  <c:v>1600000</c:v>
                </c:pt>
                <c:pt idx="526" formatCode="_-* #,##0_-;\-* #,##0_-;_-* &quot;-&quot;??_-;_-@_-">
                  <c:v>500000</c:v>
                </c:pt>
                <c:pt idx="549" formatCode="_-* #,##0_-;\-* #,##0_-;_-* &quot;-&quot;??_-;_-@_-">
                  <c:v>3100000</c:v>
                </c:pt>
                <c:pt idx="557" formatCode="_-* #,##0_-;\-* #,##0_-;_-* &quot;-&quot;??_-;_-@_-">
                  <c:v>121500</c:v>
                </c:pt>
                <c:pt idx="579" formatCode="_-* #,##0_-;\-* #,##0_-;_-* &quot;-&quot;??_-;_-@_-">
                  <c:v>3100000</c:v>
                </c:pt>
                <c:pt idx="607" formatCode="_-* #,##0_-;\-* #,##0_-;_-* &quot;-&quot;??_-;_-@_-">
                  <c:v>1000000</c:v>
                </c:pt>
                <c:pt idx="609" formatCode="_-* #,##0_-;\-* #,##0_-;_-* &quot;-&quot;??_-;_-@_-">
                  <c:v>2038000</c:v>
                </c:pt>
                <c:pt idx="627" formatCode="_-* #,##0_-;\-* #,##0_-;_-* &quot;-&quot;??_-;_-@_-">
                  <c:v>121500</c:v>
                </c:pt>
                <c:pt idx="630" formatCode="_-* #,##0_-;\-* #,##0_-;_-* &quot;-&quot;??_-;_-@_-">
                  <c:v>400000</c:v>
                </c:pt>
                <c:pt idx="641" formatCode="_-* #,##0_-;\-* #,##0_-;_-* &quot;-&quot;??_-;_-@_-">
                  <c:v>3350000</c:v>
                </c:pt>
                <c:pt idx="668" formatCode="_-* #,##0_-;\-* #,##0_-;_-* &quot;-&quot;??_-;_-@_-">
                  <c:v>20000</c:v>
                </c:pt>
                <c:pt idx="671" formatCode="_-* #,##0_-;\-* #,##0_-;_-* &quot;-&quot;??_-;_-@_-">
                  <c:v>620000</c:v>
                </c:pt>
                <c:pt idx="672" formatCode="_-* #,##0_-;\-* #,##0_-;_-* &quot;-&quot;??_-;_-@_-">
                  <c:v>2140000</c:v>
                </c:pt>
                <c:pt idx="681" formatCode="_-* #,##0_-;\-* #,##0_-;_-* &quot;-&quot;??_-;_-@_-">
                  <c:v>147000</c:v>
                </c:pt>
                <c:pt idx="701" formatCode="_-* #,##0_-;\-* #,##0_-;_-* &quot;-&quot;??_-;_-@_-">
                  <c:v>2760000</c:v>
                </c:pt>
                <c:pt idx="717" formatCode="_-* #,##0_-;\-* #,##0_-;_-* &quot;-&quot;??_-;_-@_-">
                  <c:v>151000</c:v>
                </c:pt>
                <c:pt idx="732" formatCode="_-* #,##0_-;\-* #,##0_-;_-* &quot;-&quot;??_-;_-@_-">
                  <c:v>2730000</c:v>
                </c:pt>
                <c:pt idx="767" formatCode="_-* #,##0_-;\-* #,##0_-;_-* &quot;-&quot;??_-;_-@_-">
                  <c:v>2760000</c:v>
                </c:pt>
                <c:pt idx="784" formatCode="_-* #,##0_-;\-* #,##0_-;_-* &quot;-&quot;??_-;_-@_-">
                  <c:v>1000000</c:v>
                </c:pt>
                <c:pt idx="798" formatCode="_-* #,##0_-;\-* #,##0_-;_-* &quot;-&quot;??_-;_-@_-">
                  <c:v>2100000</c:v>
                </c:pt>
                <c:pt idx="807" formatCode="_-* #,##0_-;\-* #,##0_-;_-* &quot;-&quot;??_-;_-@_-">
                  <c:v>106000</c:v>
                </c:pt>
                <c:pt idx="814" formatCode="_-* #,##0_-;\-* #,##0_-;_-* &quot;-&quot;??_-;_-@_-">
                  <c:v>0</c:v>
                </c:pt>
                <c:pt idx="826" formatCode="_-* #,##0_-;\-* #,##0_-;_-* &quot;-&quot;??_-;_-@_-">
                  <c:v>2760000</c:v>
                </c:pt>
                <c:pt idx="853" formatCode="_-* #,##0_-;\-* #,##0_-;_-* &quot;-&quot;??_-;_-@_-">
                  <c:v>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093-4675-8CF1-E99C3E7C4480}"/>
            </c:ext>
          </c:extLst>
        </c:ser>
        <c:ser>
          <c:idx val="32"/>
          <c:order val="32"/>
          <c:tx>
            <c:strRef>
              <c:f>'CASH FLOW'!$AH$1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FLOW'!$AH$2:$AH$969</c:f>
              <c:numCache>
                <c:formatCode>General</c:formatCode>
                <c:ptCount val="968"/>
                <c:pt idx="1">
                  <c:v>0</c:v>
                </c:pt>
                <c:pt idx="4" formatCode="_-* #,##0_-;\-* #,##0_-;_-* &quot;-&quot;??_-;_-@_-">
                  <c:v>70000</c:v>
                </c:pt>
                <c:pt idx="6" formatCode="_-* #,##0_-;\-* #,##0_-;_-* &quot;-&quot;??_-;_-@_-">
                  <c:v>10000</c:v>
                </c:pt>
                <c:pt idx="8" formatCode="_-* #,##0_-;\-* #,##0_-;_-* &quot;-&quot;??_-;_-@_-">
                  <c:v>20000</c:v>
                </c:pt>
                <c:pt idx="11" formatCode="_-* #,##0_-;\-* #,##0_-;_-* &quot;-&quot;??_-;_-@_-">
                  <c:v>19000</c:v>
                </c:pt>
                <c:pt idx="17" formatCode="_-* #,##0_-;\-* #,##0_-;_-* &quot;-&quot;??_-;_-@_-">
                  <c:v>10000</c:v>
                </c:pt>
                <c:pt idx="19" formatCode="_-* #,##0_-;\-* #,##0_-;_-* &quot;-&quot;??_-;_-@_-">
                  <c:v>21000</c:v>
                </c:pt>
                <c:pt idx="24" formatCode="_-* #,##0_-;\-* #,##0_-;_-* &quot;-&quot;??_-;_-@_-">
                  <c:v>37000</c:v>
                </c:pt>
                <c:pt idx="27" formatCode="_-* #,##0_-;\-* #,##0_-;_-* &quot;-&quot;??_-;_-@_-">
                  <c:v>6000</c:v>
                </c:pt>
                <c:pt idx="28" formatCode="_-* #,##0_-;\-* #,##0_-;_-* &quot;-&quot;??_-;_-@_-">
                  <c:v>19000</c:v>
                </c:pt>
                <c:pt idx="36" formatCode="_-* #,##0_-;\-* #,##0_-;_-* &quot;-&quot;??_-;_-@_-">
                  <c:v>70000</c:v>
                </c:pt>
                <c:pt idx="38" formatCode="_-* #,##0_-;\-* #,##0_-;_-* &quot;-&quot;??_-;_-@_-">
                  <c:v>25000</c:v>
                </c:pt>
                <c:pt idx="41" formatCode="_-* #,##0_-;\-* #,##0_-;_-* &quot;-&quot;??_-;_-@_-">
                  <c:v>10000</c:v>
                </c:pt>
                <c:pt idx="48" formatCode="_-* #,##0_-;\-* #,##0_-;_-* &quot;-&quot;??_-;_-@_-">
                  <c:v>21000</c:v>
                </c:pt>
                <c:pt idx="54" formatCode="_-* #,##0_-;\-* #,##0_-;_-* &quot;-&quot;??_-;_-@_-">
                  <c:v>20000</c:v>
                </c:pt>
                <c:pt idx="56" formatCode="_-* #,##0_-;\-* #,##0_-;_-* &quot;-&quot;??_-;_-@_-">
                  <c:v>19000</c:v>
                </c:pt>
                <c:pt idx="59" formatCode="_-* #,##0_-;\-* #,##0_-;_-* &quot;-&quot;??_-;_-@_-">
                  <c:v>40000</c:v>
                </c:pt>
                <c:pt idx="63" formatCode="_-* #,##0_-;\-* #,##0_-;_-* &quot;-&quot;??_-;_-@_-">
                  <c:v>100000</c:v>
                </c:pt>
                <c:pt idx="66" formatCode="_-* #,##0_-;\-* #,##0_-;_-* &quot;-&quot;??_-;_-@_-">
                  <c:v>27500</c:v>
                </c:pt>
                <c:pt idx="73" formatCode="_-* #,##0_-;\-* #,##0_-;_-* &quot;-&quot;??_-;_-@_-">
                  <c:v>19000</c:v>
                </c:pt>
                <c:pt idx="74" formatCode="_-* #,##0_-;\-* #,##0_-;_-* &quot;-&quot;??_-;_-@_-">
                  <c:v>20000</c:v>
                </c:pt>
                <c:pt idx="75" formatCode="_-* #,##0_-;\-* #,##0_-;_-* &quot;-&quot;??_-;_-@_-">
                  <c:v>200000</c:v>
                </c:pt>
                <c:pt idx="79" formatCode="_-* #,##0_-;\-* #,##0_-;_-* &quot;-&quot;??_-;_-@_-">
                  <c:v>4000</c:v>
                </c:pt>
                <c:pt idx="80" formatCode="_-* #,##0_-;\-* #,##0_-;_-* &quot;-&quot;??_-;_-@_-">
                  <c:v>23500</c:v>
                </c:pt>
                <c:pt idx="82" formatCode="_-* #,##0_-;\-* #,##0_-;_-* &quot;-&quot;??_-;_-@_-">
                  <c:v>19000</c:v>
                </c:pt>
                <c:pt idx="83" formatCode="_-* #,##0_-;\-* #,##0_-;_-* &quot;-&quot;??_-;_-@_-">
                  <c:v>7000</c:v>
                </c:pt>
                <c:pt idx="84" formatCode="_-* #,##0_-;\-* #,##0_-;_-* &quot;-&quot;??_-;_-@_-">
                  <c:v>8000</c:v>
                </c:pt>
                <c:pt idx="87" formatCode="_-* #,##0_-;\-* #,##0_-;_-* &quot;-&quot;??_-;_-@_-">
                  <c:v>15000</c:v>
                </c:pt>
                <c:pt idx="88" formatCode="_-* #,##0_-;\-* #,##0_-;_-* &quot;-&quot;??_-;_-@_-">
                  <c:v>10000</c:v>
                </c:pt>
                <c:pt idx="91" formatCode="_-* #,##0_-;\-* #,##0_-;_-* &quot;-&quot;??_-;_-@_-">
                  <c:v>24000</c:v>
                </c:pt>
                <c:pt idx="95" formatCode="_-* #,##0_-;\-* #,##0_-;_-* &quot;-&quot;??_-;_-@_-">
                  <c:v>70000</c:v>
                </c:pt>
                <c:pt idx="97" formatCode="_-* #,##0_-;\-* #,##0_-;_-* &quot;-&quot;??_-;_-@_-">
                  <c:v>30000</c:v>
                </c:pt>
                <c:pt idx="101" formatCode="_-* #,##0_-;\-* #,##0_-;_-* &quot;-&quot;??_-;_-@_-">
                  <c:v>6500</c:v>
                </c:pt>
                <c:pt idx="104" formatCode="_-* #,##0_-;\-* #,##0_-;_-* &quot;-&quot;??_-;_-@_-">
                  <c:v>40000</c:v>
                </c:pt>
                <c:pt idx="108" formatCode="_-* #,##0_-;\-* #,##0_-;_-* &quot;-&quot;??_-;_-@_-">
                  <c:v>21000</c:v>
                </c:pt>
                <c:pt idx="112" formatCode="_-* #,##0_-;\-* #,##0_-;_-* &quot;-&quot;??_-;_-@_-">
                  <c:v>50000</c:v>
                </c:pt>
                <c:pt idx="117" formatCode="_-* #,##0_-;\-* #,##0_-;_-* &quot;-&quot;??_-;_-@_-">
                  <c:v>21000</c:v>
                </c:pt>
                <c:pt idx="118" formatCode="_-* #,##0_-;\-* #,##0_-;_-* &quot;-&quot;??_-;_-@_-">
                  <c:v>20000</c:v>
                </c:pt>
                <c:pt idx="119" formatCode="_-* #,##0_-;\-* #,##0_-;_-* &quot;-&quot;??_-;_-@_-">
                  <c:v>25000</c:v>
                </c:pt>
                <c:pt idx="126" formatCode="_-* #,##0_-;\-* #,##0_-;_-* &quot;-&quot;??_-;_-@_-">
                  <c:v>39500</c:v>
                </c:pt>
                <c:pt idx="131" formatCode="_-* #,##0_-;\-* #,##0_-;_-* &quot;-&quot;??_-;_-@_-">
                  <c:v>20000</c:v>
                </c:pt>
                <c:pt idx="134" formatCode="_-* #,##0_-;\-* #,##0_-;_-* &quot;-&quot;??_-;_-@_-">
                  <c:v>51000</c:v>
                </c:pt>
                <c:pt idx="142" formatCode="_-* #,##0_-;\-* #,##0_-;_-* &quot;-&quot;??_-;_-@_-">
                  <c:v>19000</c:v>
                </c:pt>
                <c:pt idx="145" formatCode="_-* #,##0_-;\-* #,##0_-;_-* &quot;-&quot;??_-;_-@_-">
                  <c:v>20000</c:v>
                </c:pt>
                <c:pt idx="148" formatCode="_-* #,##0_-;\-* #,##0_-;_-* &quot;-&quot;??_-;_-@_-">
                  <c:v>20000</c:v>
                </c:pt>
                <c:pt idx="149" formatCode="_-* #,##0_-;\-* #,##0_-;_-* &quot;-&quot;??_-;_-@_-">
                  <c:v>0</c:v>
                </c:pt>
                <c:pt idx="150" formatCode="_-* #,##0_-;\-* #,##0_-;_-* &quot;-&quot;??_-;_-@_-">
                  <c:v>18000</c:v>
                </c:pt>
                <c:pt idx="157" formatCode="_-* #,##0_-;\-* #,##0_-;_-* &quot;-&quot;??_-;_-@_-">
                  <c:v>9000</c:v>
                </c:pt>
                <c:pt idx="161" formatCode="_-* #,##0_-;\-* #,##0_-;_-* &quot;-&quot;??_-;_-@_-">
                  <c:v>22000</c:v>
                </c:pt>
                <c:pt idx="162" formatCode="_-* #,##0_-;\-* #,##0_-;_-* &quot;-&quot;??_-;_-@_-">
                  <c:v>70000</c:v>
                </c:pt>
                <c:pt idx="170" formatCode="_-* #,##0_-;\-* #,##0_-;_-* &quot;-&quot;??_-;_-@_-">
                  <c:v>19000</c:v>
                </c:pt>
                <c:pt idx="171" formatCode="_-* #,##0_-;\-* #,##0_-;_-* &quot;-&quot;??_-;_-@_-">
                  <c:v>30000</c:v>
                </c:pt>
                <c:pt idx="179" formatCode="_-* #,##0_-;\-* #,##0_-;_-* &quot;-&quot;??_-;_-@_-">
                  <c:v>67000</c:v>
                </c:pt>
                <c:pt idx="186" formatCode="_-* #,##0_-;\-* #,##0_-;_-* &quot;-&quot;??_-;_-@_-">
                  <c:v>89000</c:v>
                </c:pt>
                <c:pt idx="191" formatCode="_-* #,##0_-;\-* #,##0_-;_-* &quot;-&quot;??_-;_-@_-">
                  <c:v>30000</c:v>
                </c:pt>
                <c:pt idx="194" formatCode="_-* #,##0_-;\-* #,##0_-;_-* &quot;-&quot;??_-;_-@_-">
                  <c:v>19000</c:v>
                </c:pt>
                <c:pt idx="196" formatCode="_-* #,##0_-;\-* #,##0_-;_-* &quot;-&quot;??_-;_-@_-">
                  <c:v>6500</c:v>
                </c:pt>
                <c:pt idx="200" formatCode="_-* #,##0_-;\-* #,##0_-;_-* &quot;-&quot;??_-;_-@_-">
                  <c:v>10000</c:v>
                </c:pt>
                <c:pt idx="201" formatCode="_-* #,##0_-;\-* #,##0_-;_-* &quot;-&quot;??_-;_-@_-">
                  <c:v>17000</c:v>
                </c:pt>
                <c:pt idx="202" formatCode="_-* #,##0_-;\-* #,##0_-;_-* &quot;-&quot;??_-;_-@_-">
                  <c:v>19000</c:v>
                </c:pt>
                <c:pt idx="204" formatCode="_-* #,##0_-;\-* #,##0_-;_-* &quot;-&quot;??_-;_-@_-">
                  <c:v>21000</c:v>
                </c:pt>
                <c:pt idx="206" formatCode="_-* #,##0_-;\-* #,##0_-;_-* &quot;-&quot;??_-;_-@_-">
                  <c:v>30000</c:v>
                </c:pt>
                <c:pt idx="211" formatCode="_-* #,##0_-;\-* #,##0_-;_-* &quot;-&quot;??_-;_-@_-">
                  <c:v>19000</c:v>
                </c:pt>
                <c:pt idx="221" formatCode="_-* #,##0_-;\-* #,##0_-;_-* &quot;-&quot;??_-;_-@_-">
                  <c:v>3000</c:v>
                </c:pt>
                <c:pt idx="227" formatCode="_-* #,##0_-;\-* #,##0_-;_-* &quot;-&quot;??_-;_-@_-">
                  <c:v>31000</c:v>
                </c:pt>
                <c:pt idx="233" formatCode="_-* #,##0_-;\-* #,##0_-;_-* &quot;-&quot;??_-;_-@_-">
                  <c:v>16500</c:v>
                </c:pt>
                <c:pt idx="235" formatCode="_-* #,##0_-;\-* #,##0_-;_-* &quot;-&quot;??_-;_-@_-">
                  <c:v>22000</c:v>
                </c:pt>
                <c:pt idx="236" formatCode="_-* #,##0_-;\-* #,##0_-;_-* &quot;-&quot;??_-;_-@_-">
                  <c:v>10000</c:v>
                </c:pt>
                <c:pt idx="242" formatCode="_-* #,##0_-;\-* #,##0_-;_-* &quot;-&quot;??_-;_-@_-">
                  <c:v>19000</c:v>
                </c:pt>
                <c:pt idx="250" formatCode="_-* #,##0_-;\-* #,##0_-;_-* &quot;-&quot;??_-;_-@_-">
                  <c:v>25500</c:v>
                </c:pt>
                <c:pt idx="251" formatCode="_-* #,##0_-;\-* #,##0_-;_-* &quot;-&quot;??_-;_-@_-">
                  <c:v>8000</c:v>
                </c:pt>
                <c:pt idx="257" formatCode="_-* #,##0_-;\-* #,##0_-;_-* &quot;-&quot;??_-;_-@_-">
                  <c:v>37000</c:v>
                </c:pt>
                <c:pt idx="258" formatCode="_-* #,##0_-;\-* #,##0_-;_-* &quot;-&quot;??_-;_-@_-">
                  <c:v>6500</c:v>
                </c:pt>
                <c:pt idx="259" formatCode="_-* #,##0_-;\-* #,##0_-;_-* &quot;-&quot;??_-;_-@_-">
                  <c:v>0</c:v>
                </c:pt>
                <c:pt idx="263" formatCode="_-* #,##0_-;\-* #,##0_-;_-* &quot;-&quot;??_-;_-@_-">
                  <c:v>35000</c:v>
                </c:pt>
                <c:pt idx="266" formatCode="_-* #,##0_-;\-* #,##0_-;_-* &quot;-&quot;??_-;_-@_-">
                  <c:v>32000</c:v>
                </c:pt>
                <c:pt idx="270" formatCode="_-* #,##0_-;\-* #,##0_-;_-* &quot;-&quot;??_-;_-@_-">
                  <c:v>15000</c:v>
                </c:pt>
                <c:pt idx="273" formatCode="_-* #,##0_-;\-* #,##0_-;_-* &quot;-&quot;??_-;_-@_-">
                  <c:v>29000</c:v>
                </c:pt>
                <c:pt idx="274" formatCode="_-* #,##0_-;\-* #,##0_-;_-* &quot;-&quot;??_-;_-@_-">
                  <c:v>50500</c:v>
                </c:pt>
                <c:pt idx="277" formatCode="_-* #,##0_-;\-* #,##0_-;_-* &quot;-&quot;??_-;_-@_-">
                  <c:v>70000</c:v>
                </c:pt>
                <c:pt idx="279" formatCode="_-* #,##0_-;\-* #,##0_-;_-* &quot;-&quot;??_-;_-@_-">
                  <c:v>58000</c:v>
                </c:pt>
                <c:pt idx="281" formatCode="_-* #,##0_-;\-* #,##0_-;_-* &quot;-&quot;??_-;_-@_-">
                  <c:v>30000</c:v>
                </c:pt>
                <c:pt idx="287" formatCode="_-* #,##0_-;\-* #,##0_-;_-* &quot;-&quot;??_-;_-@_-">
                  <c:v>14500</c:v>
                </c:pt>
                <c:pt idx="288" formatCode="_-* #,##0_-;\-* #,##0_-;_-* &quot;-&quot;??_-;_-@_-">
                  <c:v>19000</c:v>
                </c:pt>
                <c:pt idx="290" formatCode="_-* #,##0_-;\-* #,##0_-;_-* &quot;-&quot;??_-;_-@_-">
                  <c:v>26300</c:v>
                </c:pt>
                <c:pt idx="296" formatCode="_-* #,##0_-;\-* #,##0_-;_-* &quot;-&quot;??_-;_-@_-">
                  <c:v>22000</c:v>
                </c:pt>
                <c:pt idx="304" formatCode="_-* #,##0_-;\-* #,##0_-;_-* &quot;-&quot;??_-;_-@_-">
                  <c:v>19000</c:v>
                </c:pt>
                <c:pt idx="308" formatCode="_-* #,##0_-;\-* #,##0_-;_-* &quot;-&quot;??_-;_-@_-">
                  <c:v>70000</c:v>
                </c:pt>
                <c:pt idx="309" formatCode="_-* #,##0_-;\-* #,##0_-;_-* &quot;-&quot;??_-;_-@_-">
                  <c:v>20500</c:v>
                </c:pt>
                <c:pt idx="313" formatCode="_-* #,##0_-;\-* #,##0_-;_-* &quot;-&quot;??_-;_-@_-">
                  <c:v>19000</c:v>
                </c:pt>
                <c:pt idx="314" formatCode="_-* #,##0_-;\-* #,##0_-;_-* &quot;-&quot;??_-;_-@_-">
                  <c:v>30000</c:v>
                </c:pt>
                <c:pt idx="317" formatCode="_-* #,##0_-;\-* #,##0_-;_-* &quot;-&quot;??_-;_-@_-">
                  <c:v>20000</c:v>
                </c:pt>
                <c:pt idx="318" formatCode="_-* #,##0_-;\-* #,##0_-;_-* &quot;-&quot;??_-;_-@_-">
                  <c:v>13000</c:v>
                </c:pt>
                <c:pt idx="320" formatCode="_-* #,##0_-;\-* #,##0_-;_-* &quot;-&quot;??_-;_-@_-">
                  <c:v>39000</c:v>
                </c:pt>
                <c:pt idx="323" formatCode="_-* #,##0_-;\-* #,##0_-;_-* &quot;-&quot;??_-;_-@_-">
                  <c:v>10000</c:v>
                </c:pt>
                <c:pt idx="326" formatCode="_-* #,##0_-;\-* #,##0_-;_-* &quot;-&quot;??_-;_-@_-">
                  <c:v>3000</c:v>
                </c:pt>
                <c:pt idx="328" formatCode="_-* #,##0_-;\-* #,##0_-;_-* &quot;-&quot;??_-;_-@_-">
                  <c:v>25500</c:v>
                </c:pt>
                <c:pt idx="337" formatCode="_-* #,##0_-;\-* #,##0_-;_-* &quot;-&quot;??_-;_-@_-">
                  <c:v>22000</c:v>
                </c:pt>
                <c:pt idx="339" formatCode="_-* #,##0_-;\-* #,##0_-;_-* &quot;-&quot;??_-;_-@_-">
                  <c:v>10000</c:v>
                </c:pt>
                <c:pt idx="340" formatCode="_-* #,##0_-;\-* #,##0_-;_-* &quot;-&quot;??_-;_-@_-">
                  <c:v>70000</c:v>
                </c:pt>
                <c:pt idx="344" formatCode="_-* #,##0_-;\-* #,##0_-;_-* &quot;-&quot;??_-;_-@_-">
                  <c:v>25500</c:v>
                </c:pt>
                <c:pt idx="345" formatCode="_-* #,##0_-;\-* #,##0_-;_-* &quot;-&quot;??_-;_-@_-">
                  <c:v>66000</c:v>
                </c:pt>
                <c:pt idx="346" formatCode="_-* #,##0_-;\-* #,##0_-;_-* &quot;-&quot;??_-;_-@_-">
                  <c:v>38000</c:v>
                </c:pt>
                <c:pt idx="351" formatCode="_-* #,##0_-;\-* #,##0_-;_-* &quot;-&quot;??_-;_-@_-">
                  <c:v>33000</c:v>
                </c:pt>
                <c:pt idx="356" formatCode="_-* #,##0_-;\-* #,##0_-;_-* &quot;-&quot;??_-;_-@_-">
                  <c:v>9500</c:v>
                </c:pt>
                <c:pt idx="357" formatCode="_-* #,##0_-;\-* #,##0_-;_-* &quot;-&quot;??_-;_-@_-">
                  <c:v>0</c:v>
                </c:pt>
                <c:pt idx="358" formatCode="_-* #,##0_-;\-* #,##0_-;_-* &quot;-&quot;??_-;_-@_-">
                  <c:v>29000</c:v>
                </c:pt>
                <c:pt idx="361" formatCode="_-* #,##0_-;\-* #,##0_-;_-* &quot;-&quot;??_-;_-@_-">
                  <c:v>100000</c:v>
                </c:pt>
                <c:pt idx="364" formatCode="_-* #,##0_-;\-* #,##0_-;_-* &quot;-&quot;??_-;_-@_-">
                  <c:v>20000</c:v>
                </c:pt>
                <c:pt idx="370" formatCode="_-* #,##0_-;\-* #,##0_-;_-* &quot;-&quot;??_-;_-@_-">
                  <c:v>30000</c:v>
                </c:pt>
                <c:pt idx="372" formatCode="_-* #,##0_-;\-* #,##0_-;_-* &quot;-&quot;??_-;_-@_-">
                  <c:v>19000</c:v>
                </c:pt>
                <c:pt idx="375" formatCode="_-* #,##0_-;\-* #,##0_-;_-* &quot;-&quot;??_-;_-@_-">
                  <c:v>70000</c:v>
                </c:pt>
                <c:pt idx="379" formatCode="_-* #,##0_-;\-* #,##0_-;_-* &quot;-&quot;??_-;_-@_-">
                  <c:v>28500</c:v>
                </c:pt>
                <c:pt idx="386" formatCode="_-* #,##0_-;\-* #,##0_-;_-* &quot;-&quot;??_-;_-@_-">
                  <c:v>31000</c:v>
                </c:pt>
                <c:pt idx="393" formatCode="_-* #,##0_-;\-* #,##0_-;_-* &quot;-&quot;??_-;_-@_-">
                  <c:v>25500</c:v>
                </c:pt>
                <c:pt idx="399" formatCode="_-* #,##0_-;\-* #,##0_-;_-* &quot;-&quot;??_-;_-@_-">
                  <c:v>70000</c:v>
                </c:pt>
                <c:pt idx="402" formatCode="_-* #,##0_-;\-* #,##0_-;_-* &quot;-&quot;??_-;_-@_-">
                  <c:v>30000</c:v>
                </c:pt>
                <c:pt idx="407" formatCode="_-* #,##0_-;\-* #,##0_-;_-* &quot;-&quot;??_-;_-@_-">
                  <c:v>20000</c:v>
                </c:pt>
                <c:pt idx="409" formatCode="_-* #,##0_-;\-* #,##0_-;_-* &quot;-&quot;??_-;_-@_-">
                  <c:v>30000</c:v>
                </c:pt>
                <c:pt idx="419" formatCode="_-* #,##0_-;\-* #,##0_-;_-* &quot;-&quot;??_-;_-@_-">
                  <c:v>10000</c:v>
                </c:pt>
                <c:pt idx="420" formatCode="_-* #,##0_-;\-* #,##0_-;_-* &quot;-&quot;??_-;_-@_-">
                  <c:v>19000</c:v>
                </c:pt>
                <c:pt idx="426" formatCode="_-* #,##0_-;\-* #,##0_-;_-* &quot;-&quot;??_-;_-@_-">
                  <c:v>0</c:v>
                </c:pt>
                <c:pt idx="427" formatCode="_-* #,##0_-;\-* #,##0_-;_-* &quot;-&quot;??_-;_-@_-">
                  <c:v>70000</c:v>
                </c:pt>
                <c:pt idx="430" formatCode="_-* #,##0_-;\-* #,##0_-;_-* &quot;-&quot;??_-;_-@_-">
                  <c:v>16000</c:v>
                </c:pt>
                <c:pt idx="432" formatCode="_-* #,##0_-;\-* #,##0_-;_-* &quot;-&quot;??_-;_-@_-">
                  <c:v>30000</c:v>
                </c:pt>
                <c:pt idx="437" formatCode="_-* #,##0_-;\-* #,##0_-;_-* &quot;-&quot;??_-;_-@_-">
                  <c:v>22000</c:v>
                </c:pt>
                <c:pt idx="445" formatCode="_-* #,##0_-;\-* #,##0_-;_-* &quot;-&quot;??_-;_-@_-">
                  <c:v>19000</c:v>
                </c:pt>
                <c:pt idx="453" formatCode="_-* #,##0_-;\-* #,##0_-;_-* &quot;-&quot;??_-;_-@_-">
                  <c:v>21000</c:v>
                </c:pt>
                <c:pt idx="454" formatCode="_-* #,##0_-;\-* #,##0_-;_-* &quot;-&quot;??_-;_-@_-">
                  <c:v>10000</c:v>
                </c:pt>
                <c:pt idx="459" formatCode="_-* #,##0_-;\-* #,##0_-;_-* &quot;-&quot;??_-;_-@_-">
                  <c:v>53000</c:v>
                </c:pt>
                <c:pt idx="462" formatCode="_-* #,##0_-;\-* #,##0_-;_-* &quot;-&quot;??_-;_-@_-">
                  <c:v>89000</c:v>
                </c:pt>
                <c:pt idx="469" formatCode="_-* #,##0_-;\-* #,##0_-;_-* &quot;-&quot;??_-;_-@_-">
                  <c:v>22000</c:v>
                </c:pt>
                <c:pt idx="475" formatCode="_-* #,##0_-;\-* #,##0_-;_-* &quot;-&quot;??_-;_-@_-">
                  <c:v>10000</c:v>
                </c:pt>
                <c:pt idx="478" formatCode="_-* #,##0_-;\-* #,##0_-;_-* &quot;-&quot;??_-;_-@_-">
                  <c:v>19000</c:v>
                </c:pt>
                <c:pt idx="480" formatCode="_-* #,##0_-;\-* #,##0_-;_-* &quot;-&quot;??_-;_-@_-">
                  <c:v>21000</c:v>
                </c:pt>
                <c:pt idx="485" formatCode="_-* #,##0_-;\-* #,##0_-;_-* &quot;-&quot;??_-;_-@_-">
                  <c:v>19000</c:v>
                </c:pt>
                <c:pt idx="495" formatCode="_-* #,##0_-;\-* #,##0_-;_-* &quot;-&quot;??_-;_-@_-">
                  <c:v>32000</c:v>
                </c:pt>
                <c:pt idx="496" formatCode="_-* #,##0_-;\-* #,##0_-;_-* &quot;-&quot;??_-;_-@_-">
                  <c:v>30000</c:v>
                </c:pt>
                <c:pt idx="497" formatCode="_-* #,##0_-;\-* #,##0_-;_-* &quot;-&quot;??_-;_-@_-">
                  <c:v>90000</c:v>
                </c:pt>
                <c:pt idx="501" formatCode="_-* #,##0_-;\-* #,##0_-;_-* &quot;-&quot;??_-;_-@_-">
                  <c:v>19000</c:v>
                </c:pt>
                <c:pt idx="502" formatCode="_-* #,##0_-;\-* #,##0_-;_-* &quot;-&quot;??_-;_-@_-">
                  <c:v>18000</c:v>
                </c:pt>
                <c:pt idx="508" formatCode="_-* #,##0_-;\-* #,##0_-;_-* &quot;-&quot;??_-;_-@_-">
                  <c:v>19000</c:v>
                </c:pt>
                <c:pt idx="515" formatCode="_-* #,##0_-;\-* #,##0_-;_-* &quot;-&quot;??_-;_-@_-">
                  <c:v>22000</c:v>
                </c:pt>
                <c:pt idx="519" formatCode="_-* #,##0_-;\-* #,##0_-;_-* &quot;-&quot;??_-;_-@_-">
                  <c:v>71000</c:v>
                </c:pt>
                <c:pt idx="523" formatCode="_-* #,##0_-;\-* #,##0_-;_-* &quot;-&quot;??_-;_-@_-">
                  <c:v>19000</c:v>
                </c:pt>
                <c:pt idx="524" formatCode="_-* #,##0_-;\-* #,##0_-;_-* &quot;-&quot;??_-;_-@_-">
                  <c:v>14000</c:v>
                </c:pt>
                <c:pt idx="525" formatCode="_-* #,##0_-;\-* #,##0_-;_-* &quot;-&quot;??_-;_-@_-">
                  <c:v>70000</c:v>
                </c:pt>
                <c:pt idx="528" formatCode="_-* #,##0_-;\-* #,##0_-;_-* &quot;-&quot;??_-;_-@_-">
                  <c:v>30000</c:v>
                </c:pt>
                <c:pt idx="530" formatCode="_-* #,##0_-;\-* #,##0_-;_-* &quot;-&quot;??_-;_-@_-">
                  <c:v>28500</c:v>
                </c:pt>
                <c:pt idx="532" formatCode="_-* #,##0_-;\-* #,##0_-;_-* &quot;-&quot;??_-;_-@_-">
                  <c:v>0</c:v>
                </c:pt>
                <c:pt idx="535" formatCode="_-* #,##0_-;\-* #,##0_-;_-* &quot;-&quot;??_-;_-@_-">
                  <c:v>10000</c:v>
                </c:pt>
                <c:pt idx="537" formatCode="_-* #,##0_-;\-* #,##0_-;_-* &quot;-&quot;??_-;_-@_-">
                  <c:v>19000</c:v>
                </c:pt>
                <c:pt idx="544" formatCode="_-* #,##0_-;\-* #,##0_-;_-* &quot;-&quot;??_-;_-@_-">
                  <c:v>15000</c:v>
                </c:pt>
                <c:pt idx="545" formatCode="_-* #,##0_-;\-* #,##0_-;_-* &quot;-&quot;??_-;_-@_-">
                  <c:v>39000</c:v>
                </c:pt>
                <c:pt idx="549" formatCode="_-* #,##0_-;\-* #,##0_-;_-* &quot;-&quot;??_-;_-@_-">
                  <c:v>10000</c:v>
                </c:pt>
                <c:pt idx="552" formatCode="_-* #,##0_-;\-* #,##0_-;_-* &quot;-&quot;??_-;_-@_-">
                  <c:v>52000</c:v>
                </c:pt>
                <c:pt idx="553" formatCode="_-* #,##0_-;\-* #,##0_-;_-* &quot;-&quot;??_-;_-@_-">
                  <c:v>70000</c:v>
                </c:pt>
                <c:pt idx="559" formatCode="_-* #,##0_-;\-* #,##0_-;_-* &quot;-&quot;??_-;_-@_-">
                  <c:v>30000</c:v>
                </c:pt>
                <c:pt idx="560" formatCode="_-* #,##0_-;\-* #,##0_-;_-* &quot;-&quot;??_-;_-@_-">
                  <c:v>13000</c:v>
                </c:pt>
                <c:pt idx="568" formatCode="_-* #,##0_-;\-* #,##0_-;_-* &quot;-&quot;??_-;_-@_-">
                  <c:v>22000</c:v>
                </c:pt>
                <c:pt idx="576" formatCode="_-* #,##0_-;\-* #,##0_-;_-* &quot;-&quot;??_-;_-@_-">
                  <c:v>19000</c:v>
                </c:pt>
                <c:pt idx="580" formatCode="_-* #,##0_-;\-* #,##0_-;_-* &quot;-&quot;??_-;_-@_-">
                  <c:v>23000</c:v>
                </c:pt>
                <c:pt idx="583" formatCode="_-* #,##0_-;\-* #,##0_-;_-* &quot;-&quot;??_-;_-@_-">
                  <c:v>19000</c:v>
                </c:pt>
                <c:pt idx="585" formatCode="_-* #,##0_-;\-* #,##0_-;_-* &quot;-&quot;??_-;_-@_-">
                  <c:v>22000</c:v>
                </c:pt>
                <c:pt idx="586" formatCode="_-* #,##0_-;\-* #,##0_-;_-* &quot;-&quot;??_-;_-@_-">
                  <c:v>13000</c:v>
                </c:pt>
                <c:pt idx="588" formatCode="_-* #,##0_-;\-* #,##0_-;_-* &quot;-&quot;??_-;_-@_-">
                  <c:v>70000</c:v>
                </c:pt>
                <c:pt idx="589" formatCode="_-* #,##0_-;\-* #,##0_-;_-* &quot;-&quot;??_-;_-@_-">
                  <c:v>0</c:v>
                </c:pt>
                <c:pt idx="591" formatCode="_-* #,##0_-;\-* #,##0_-;_-* &quot;-&quot;??_-;_-@_-">
                  <c:v>25000</c:v>
                </c:pt>
                <c:pt idx="593" formatCode="_-* #,##0_-;\-* #,##0_-;_-* &quot;-&quot;??_-;_-@_-">
                  <c:v>37000</c:v>
                </c:pt>
                <c:pt idx="594" formatCode="_-* #,##0_-;\-* #,##0_-;_-* &quot;-&quot;??_-;_-@_-">
                  <c:v>30000</c:v>
                </c:pt>
                <c:pt idx="599" formatCode="_-* #,##0_-;\-* #,##0_-;_-* &quot;-&quot;??_-;_-@_-">
                  <c:v>19000</c:v>
                </c:pt>
                <c:pt idx="600" formatCode="_-* #,##0_-;\-* #,##0_-;_-* &quot;-&quot;??_-;_-@_-">
                  <c:v>9500</c:v>
                </c:pt>
                <c:pt idx="602" formatCode="_-* #,##0_-;\-* #,##0_-;_-* &quot;-&quot;??_-;_-@_-">
                  <c:v>26000</c:v>
                </c:pt>
                <c:pt idx="606" formatCode="_-* #,##0_-;\-* #,##0_-;_-* &quot;-&quot;??_-;_-@_-">
                  <c:v>16500</c:v>
                </c:pt>
                <c:pt idx="607" formatCode="_-* #,##0_-;\-* #,##0_-;_-* &quot;-&quot;??_-;_-@_-">
                  <c:v>19000</c:v>
                </c:pt>
                <c:pt idx="614" formatCode="_-* #,##0_-;\-* #,##0_-;_-* &quot;-&quot;??_-;_-@_-">
                  <c:v>19000</c:v>
                </c:pt>
                <c:pt idx="616" formatCode="_-* #,##0_-;\-* #,##0_-;_-* &quot;-&quot;??_-;_-@_-">
                  <c:v>70000</c:v>
                </c:pt>
                <c:pt idx="622" formatCode="_-* #,##0_-;\-* #,##0_-;_-* &quot;-&quot;??_-;_-@_-">
                  <c:v>49000</c:v>
                </c:pt>
                <c:pt idx="623" formatCode="_-* #,##0_-;\-* #,##0_-;_-* &quot;-&quot;??_-;_-@_-">
                  <c:v>19500</c:v>
                </c:pt>
                <c:pt idx="630" formatCode="_-* #,##0_-;\-* #,##0_-;_-* &quot;-&quot;??_-;_-@_-">
                  <c:v>48000</c:v>
                </c:pt>
                <c:pt idx="635" formatCode="_-* #,##0_-;\-* #,##0_-;_-* &quot;-&quot;??_-;_-@_-">
                  <c:v>63000</c:v>
                </c:pt>
                <c:pt idx="639" formatCode="_-* #,##0_-;\-* #,##0_-;_-* &quot;-&quot;??_-;_-@_-">
                  <c:v>19000</c:v>
                </c:pt>
                <c:pt idx="642" formatCode="_-* #,##0_-;\-* #,##0_-;_-* &quot;-&quot;??_-;_-@_-">
                  <c:v>16000</c:v>
                </c:pt>
                <c:pt idx="644" formatCode="_-* #,##0_-;\-* #,##0_-;_-* &quot;-&quot;??_-;_-@_-">
                  <c:v>70000</c:v>
                </c:pt>
                <c:pt idx="649" formatCode="_-* #,##0_-;\-* #,##0_-;_-* &quot;-&quot;??_-;_-@_-">
                  <c:v>19000</c:v>
                </c:pt>
                <c:pt idx="652" formatCode="_-* #,##0_-;\-* #,##0_-;_-* &quot;-&quot;??_-;_-@_-">
                  <c:v>50000</c:v>
                </c:pt>
                <c:pt idx="653" formatCode="_-* #,##0_-;\-* #,##0_-;_-* &quot;-&quot;??_-;_-@_-">
                  <c:v>15000</c:v>
                </c:pt>
                <c:pt idx="655" formatCode="_-* #,##0_-;\-* #,##0_-;_-* &quot;-&quot;??_-;_-@_-">
                  <c:v>100000</c:v>
                </c:pt>
                <c:pt idx="658" formatCode="_-* #,##0_-;\-* #,##0_-;_-* &quot;-&quot;??_-;_-@_-">
                  <c:v>62000</c:v>
                </c:pt>
                <c:pt idx="669" formatCode="_-* #,##0_-;\-* #,##0_-;_-* &quot;-&quot;??_-;_-@_-">
                  <c:v>19000</c:v>
                </c:pt>
                <c:pt idx="671" formatCode="_-* #,##0_-;\-* #,##0_-;_-* &quot;-&quot;??_-;_-@_-">
                  <c:v>10000</c:v>
                </c:pt>
                <c:pt idx="672" formatCode="_-* #,##0_-;\-* #,##0_-;_-* &quot;-&quot;??_-;_-@_-">
                  <c:v>12000</c:v>
                </c:pt>
                <c:pt idx="675" formatCode="_-* #,##0_-;\-* #,##0_-;_-* &quot;-&quot;??_-;_-@_-">
                  <c:v>19000</c:v>
                </c:pt>
                <c:pt idx="677" formatCode="_-* #,##0_-;\-* #,##0_-;_-* &quot;-&quot;??_-;_-@_-">
                  <c:v>37000</c:v>
                </c:pt>
                <c:pt idx="678" formatCode="_-* #,##0_-;\-* #,##0_-;_-* &quot;-&quot;??_-;_-@_-">
                  <c:v>27000</c:v>
                </c:pt>
                <c:pt idx="679" formatCode="_-* #,##0_-;\-* #,##0_-;_-* &quot;-&quot;??_-;_-@_-">
                  <c:v>70000</c:v>
                </c:pt>
                <c:pt idx="680" formatCode="_-* #,##0_-;\-* #,##0_-;_-* &quot;-&quot;??_-;_-@_-">
                  <c:v>4030000</c:v>
                </c:pt>
                <c:pt idx="684" formatCode="_-* #,##0_-;\-* #,##0_-;_-* &quot;-&quot;??_-;_-@_-">
                  <c:v>13000</c:v>
                </c:pt>
                <c:pt idx="686" formatCode="_-* #,##0_-;\-* #,##0_-;_-* &quot;-&quot;??_-;_-@_-">
                  <c:v>10000</c:v>
                </c:pt>
                <c:pt idx="687" formatCode="_-* #,##0_-;\-* #,##0_-;_-* &quot;-&quot;??_-;_-@_-">
                  <c:v>19000</c:v>
                </c:pt>
                <c:pt idx="690" formatCode="_-* #,##0_-;\-* #,##0_-;_-* &quot;-&quot;??_-;_-@_-">
                  <c:v>60000</c:v>
                </c:pt>
                <c:pt idx="692" formatCode="_-* #,##0_-;\-* #,##0_-;_-* &quot;-&quot;??_-;_-@_-">
                  <c:v>30000</c:v>
                </c:pt>
                <c:pt idx="698" formatCode="_-* #,##0_-;\-* #,##0_-;_-* &quot;-&quot;??_-;_-@_-">
                  <c:v>19000</c:v>
                </c:pt>
                <c:pt idx="699" formatCode="_-* #,##0_-;\-* #,##0_-;_-* &quot;-&quot;??_-;_-@_-">
                  <c:v>23000</c:v>
                </c:pt>
                <c:pt idx="706" formatCode="_-* #,##0_-;\-* #,##0_-;_-* &quot;-&quot;??_-;_-@_-">
                  <c:v>10000</c:v>
                </c:pt>
                <c:pt idx="707" formatCode="_-* #,##0_-;\-* #,##0_-;_-* &quot;-&quot;??_-;_-@_-">
                  <c:v>70000</c:v>
                </c:pt>
                <c:pt idx="718" formatCode="_-* #,##0_-;\-* #,##0_-;_-* &quot;-&quot;??_-;_-@_-">
                  <c:v>13000</c:v>
                </c:pt>
                <c:pt idx="719" formatCode="_-* #,##0_-;\-* #,##0_-;_-* &quot;-&quot;??_-;_-@_-">
                  <c:v>57000</c:v>
                </c:pt>
                <c:pt idx="722" formatCode="_-* #,##0_-;\-* #,##0_-;_-* &quot;-&quot;??_-;_-@_-">
                  <c:v>25000</c:v>
                </c:pt>
                <c:pt idx="724" formatCode="_-* #,##0_-;\-* #,##0_-;_-* &quot;-&quot;??_-;_-@_-">
                  <c:v>62500</c:v>
                </c:pt>
                <c:pt idx="729" formatCode="_-* #,##0_-;\-* #,##0_-;_-* &quot;-&quot;??_-;_-@_-">
                  <c:v>22000</c:v>
                </c:pt>
                <c:pt idx="730" formatCode="_-* #,##0_-;\-* #,##0_-;_-* &quot;-&quot;??_-;_-@_-">
                  <c:v>5000</c:v>
                </c:pt>
                <c:pt idx="735" formatCode="_-* #,##0_-;\-* #,##0_-;_-* &quot;-&quot;??_-;_-@_-">
                  <c:v>70000</c:v>
                </c:pt>
                <c:pt idx="736" formatCode="_-* #,##0_-;\-* #,##0_-;_-* &quot;-&quot;??_-;_-@_-">
                  <c:v>40000</c:v>
                </c:pt>
                <c:pt idx="737" formatCode="_-* #,##0_-;\-* #,##0_-;_-* &quot;-&quot;??_-;_-@_-">
                  <c:v>19000</c:v>
                </c:pt>
                <c:pt idx="743" formatCode="_-* #,##0_-;\-* #,##0_-;_-* &quot;-&quot;??_-;_-@_-">
                  <c:v>35000</c:v>
                </c:pt>
                <c:pt idx="745" formatCode="_-* #,##0_-;\-* #,##0_-;_-* &quot;-&quot;??_-;_-@_-">
                  <c:v>19000</c:v>
                </c:pt>
                <c:pt idx="753" formatCode="_-* #,##0_-;\-* #,##0_-;_-* &quot;-&quot;??_-;_-@_-">
                  <c:v>13000</c:v>
                </c:pt>
                <c:pt idx="756" formatCode="_-* #,##0_-;\-* #,##0_-;_-* &quot;-&quot;??_-;_-@_-">
                  <c:v>19000</c:v>
                </c:pt>
                <c:pt idx="757" formatCode="_-* #,##0_-;\-* #,##0_-;_-* &quot;-&quot;??_-;_-@_-">
                  <c:v>250000</c:v>
                </c:pt>
                <c:pt idx="758" formatCode="_-* #,##0_-;\-* #,##0_-;_-* &quot;-&quot;??_-;_-@_-">
                  <c:v>35000</c:v>
                </c:pt>
                <c:pt idx="761" formatCode="_-* #,##0_-;\-* #,##0_-;_-* &quot;-&quot;??_-;_-@_-">
                  <c:v>14500</c:v>
                </c:pt>
                <c:pt idx="762" formatCode="_-* #,##0_-;\-* #,##0_-;_-* &quot;-&quot;??_-;_-@_-">
                  <c:v>30000</c:v>
                </c:pt>
                <c:pt idx="766" formatCode="_-* #,##0_-;\-* #,##0_-;_-* &quot;-&quot;??_-;_-@_-">
                  <c:v>114500</c:v>
                </c:pt>
                <c:pt idx="776" formatCode="_-* #,##0_-;\-* #,##0_-;_-* &quot;-&quot;??_-;_-@_-">
                  <c:v>19000</c:v>
                </c:pt>
                <c:pt idx="778" formatCode="_-* #,##0_-;\-* #,##0_-;_-* &quot;-&quot;??_-;_-@_-">
                  <c:v>13000</c:v>
                </c:pt>
                <c:pt idx="787" formatCode="_-* #,##0_-;\-* #,##0_-;_-* &quot;-&quot;??_-;_-@_-">
                  <c:v>22000</c:v>
                </c:pt>
                <c:pt idx="790" formatCode="_-* #,##0_-;\-* #,##0_-;_-* &quot;-&quot;??_-;_-@_-">
                  <c:v>21000</c:v>
                </c:pt>
                <c:pt idx="794" formatCode="_-* #,##0_-;\-* #,##0_-;_-* &quot;-&quot;??_-;_-@_-">
                  <c:v>70000</c:v>
                </c:pt>
                <c:pt idx="796" formatCode="_-* #,##0_-;\-* #,##0_-;_-* &quot;-&quot;??_-;_-@_-">
                  <c:v>30000</c:v>
                </c:pt>
                <c:pt idx="800" formatCode="_-* #,##0_-;\-* #,##0_-;_-* &quot;-&quot;??_-;_-@_-">
                  <c:v>5000</c:v>
                </c:pt>
                <c:pt idx="806" formatCode="_-* #,##0_-;\-* #,##0_-;_-* &quot;-&quot;??_-;_-@_-">
                  <c:v>19000</c:v>
                </c:pt>
                <c:pt idx="814" formatCode="_-* #,##0_-;\-* #,##0_-;_-* &quot;-&quot;??_-;_-@_-">
                  <c:v>0</c:v>
                </c:pt>
                <c:pt idx="816" formatCode="_-* #,##0_-;\-* #,##0_-;_-* &quot;-&quot;??_-;_-@_-">
                  <c:v>6500</c:v>
                </c:pt>
                <c:pt idx="818" formatCode="_-* #,##0_-;\-* #,##0_-;_-* &quot;-&quot;??_-;_-@_-">
                  <c:v>37000</c:v>
                </c:pt>
                <c:pt idx="826" formatCode="_-* #,##0_-;\-* #,##0_-;_-* &quot;-&quot;??_-;_-@_-">
                  <c:v>89000</c:v>
                </c:pt>
                <c:pt idx="836" formatCode="_-* #,##0_-;\-* #,##0_-;_-* &quot;-&quot;??_-;_-@_-">
                  <c:v>30000</c:v>
                </c:pt>
                <c:pt idx="837" formatCode="_-* #,##0_-;\-* #,##0_-;_-* &quot;-&quot;??_-;_-@_-">
                  <c:v>35000</c:v>
                </c:pt>
                <c:pt idx="839" formatCode="_-* #,##0_-;\-* #,##0_-;_-* &quot;-&quot;??_-;_-@_-">
                  <c:v>25000</c:v>
                </c:pt>
                <c:pt idx="845" formatCode="_-* #,##0_-;\-* #,##0_-;_-* &quot;-&quot;??_-;_-@_-">
                  <c:v>19000</c:v>
                </c:pt>
                <c:pt idx="848" formatCode="_-* #,##0_-;\-* #,##0_-;_-* &quot;-&quot;??_-;_-@_-">
                  <c:v>14000</c:v>
                </c:pt>
                <c:pt idx="849" formatCode="_-* #,##0_-;\-* #,##0_-;_-* &quot;-&quot;??_-;_-@_-">
                  <c:v>60000</c:v>
                </c:pt>
                <c:pt idx="850" formatCode="_-* #,##0_-;\-* #,##0_-;_-* &quot;-&quot;??_-;_-@_-">
                  <c:v>16000</c:v>
                </c:pt>
                <c:pt idx="851" formatCode="_-* #,##0_-;\-* #,##0_-;_-* &quot;-&quot;??_-;_-@_-">
                  <c:v>70000</c:v>
                </c:pt>
                <c:pt idx="852" formatCode="_-* #,##0_-;\-* #,##0_-;_-* &quot;-&quot;??_-;_-@_-">
                  <c:v>32000</c:v>
                </c:pt>
                <c:pt idx="853" formatCode="_-* #,##0_-;\-* #,##0_-;_-* &quot;-&quot;??_-;_-@_-">
                  <c:v>290000</c:v>
                </c:pt>
                <c:pt idx="854" formatCode="_-* #,##0_-;\-* #,##0_-;_-* &quot;-&quot;??_-;_-@_-">
                  <c:v>19000</c:v>
                </c:pt>
                <c:pt idx="861" formatCode="_-* #,##0_-;\-* #,##0_-;_-* &quot;-&quot;??_-;_-@_-">
                  <c:v>22000</c:v>
                </c:pt>
                <c:pt idx="868" formatCode="_-* #,##0_-;\-* #,##0_-;_-* &quot;-&quot;??_-;_-@_-">
                  <c:v>30000</c:v>
                </c:pt>
                <c:pt idx="872" formatCode="_-* #,##0_-;\-* #,##0_-;_-* &quot;-&quot;??_-;_-@_-">
                  <c:v>35000</c:v>
                </c:pt>
                <c:pt idx="873" formatCode="_-* #,##0_-;\-* #,##0_-;_-* &quot;-&quot;??_-;_-@_-">
                  <c:v>12000</c:v>
                </c:pt>
                <c:pt idx="875" formatCode="_-* #,##0_-;\-* #,##0_-;_-* &quot;-&quot;??_-;_-@_-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093-4675-8CF1-E99C3E7C4480}"/>
            </c:ext>
          </c:extLst>
        </c:ser>
        <c:ser>
          <c:idx val="33"/>
          <c:order val="33"/>
          <c:tx>
            <c:strRef>
              <c:f>'CASH FLOW'!$AI$1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FLOW'!$AI$2:$AI$969</c:f>
              <c:numCache>
                <c:formatCode>General</c:formatCode>
                <c:ptCount val="968"/>
                <c:pt idx="1">
                  <c:v>0</c:v>
                </c:pt>
                <c:pt idx="80" formatCode="_-* #,##0_-;\-* #,##0_-;_-* &quot;-&quot;??_-;_-@_-">
                  <c:v>10000</c:v>
                </c:pt>
                <c:pt idx="88" formatCode="_-* #,##0_-;\-* #,##0_-;_-* &quot;-&quot;??_-;_-@_-">
                  <c:v>5000</c:v>
                </c:pt>
                <c:pt idx="95" formatCode="_-* #,##0_-;\-* #,##0_-;_-* &quot;-&quot;??_-;_-@_-">
                  <c:v>20000</c:v>
                </c:pt>
                <c:pt idx="97" formatCode="_-* #,##0_-;\-* #,##0_-;_-* &quot;-&quot;??_-;_-@_-">
                  <c:v>7000</c:v>
                </c:pt>
                <c:pt idx="117" formatCode="_-* #,##0_-;\-* #,##0_-;_-* &quot;-&quot;??_-;_-@_-">
                  <c:v>10000</c:v>
                </c:pt>
                <c:pt idx="131" formatCode="_-* #,##0_-;\-* #,##0_-;_-* &quot;-&quot;??_-;_-@_-">
                  <c:v>20000</c:v>
                </c:pt>
                <c:pt idx="136" formatCode="_-* #,##0_-;\-* #,##0_-;_-* &quot;-&quot;??_-;_-@_-">
                  <c:v>10000</c:v>
                </c:pt>
                <c:pt idx="152" formatCode="_-* #,##0_-;\-* #,##0_-;_-* &quot;-&quot;??_-;_-@_-">
                  <c:v>10000</c:v>
                </c:pt>
                <c:pt idx="164" formatCode="_-* #,##0_-;\-* #,##0_-;_-* &quot;-&quot;??_-;_-@_-">
                  <c:v>30000</c:v>
                </c:pt>
                <c:pt idx="167" formatCode="_-* #,##0_-;\-* #,##0_-;_-* &quot;-&quot;??_-;_-@_-">
                  <c:v>20000</c:v>
                </c:pt>
                <c:pt idx="174" formatCode="_-* #,##0_-;\-* #,##0_-;_-* &quot;-&quot;??_-;_-@_-">
                  <c:v>20000</c:v>
                </c:pt>
                <c:pt idx="191" formatCode="_-* #,##0_-;\-* #,##0_-;_-* &quot;-&quot;??_-;_-@_-">
                  <c:v>10000</c:v>
                </c:pt>
                <c:pt idx="207" formatCode="_-* #,##0_-;\-* #,##0_-;_-* &quot;-&quot;??_-;_-@_-">
                  <c:v>6000</c:v>
                </c:pt>
                <c:pt idx="208" formatCode="_-* #,##0_-;\-* #,##0_-;_-* &quot;-&quot;??_-;_-@_-">
                  <c:v>20000</c:v>
                </c:pt>
                <c:pt idx="215" formatCode="_-* #,##0_-;\-* #,##0_-;_-* &quot;-&quot;??_-;_-@_-">
                  <c:v>30000</c:v>
                </c:pt>
                <c:pt idx="217" formatCode="_-* #,##0_-;\-* #,##0_-;_-* &quot;-&quot;??_-;_-@_-">
                  <c:v>10000</c:v>
                </c:pt>
                <c:pt idx="224" formatCode="_-* #,##0_-;\-* #,##0_-;_-* &quot;-&quot;??_-;_-@_-">
                  <c:v>10000</c:v>
                </c:pt>
                <c:pt idx="243" formatCode="_-* #,##0_-;\-* #,##0_-;_-* &quot;-&quot;??_-;_-@_-">
                  <c:v>5000</c:v>
                </c:pt>
                <c:pt idx="250" formatCode="_-* #,##0_-;\-* #,##0_-;_-* &quot;-&quot;??_-;_-@_-">
                  <c:v>20000</c:v>
                </c:pt>
                <c:pt idx="276" formatCode="_-* #,##0_-;\-* #,##0_-;_-* &quot;-&quot;??_-;_-@_-">
                  <c:v>30000</c:v>
                </c:pt>
                <c:pt idx="293" formatCode="_-* #,##0_-;\-* #,##0_-;_-* &quot;-&quot;??_-;_-@_-">
                  <c:v>20000</c:v>
                </c:pt>
                <c:pt idx="306" formatCode="_-* #,##0_-;\-* #,##0_-;_-* &quot;-&quot;??_-;_-@_-">
                  <c:v>10000</c:v>
                </c:pt>
                <c:pt idx="325" formatCode="_-* #,##0_-;\-* #,##0_-;_-* &quot;-&quot;??_-;_-@_-">
                  <c:v>10000</c:v>
                </c:pt>
                <c:pt idx="327" formatCode="_-* #,##0_-;\-* #,##0_-;_-* &quot;-&quot;??_-;_-@_-">
                  <c:v>10000</c:v>
                </c:pt>
                <c:pt idx="335" formatCode="_-* #,##0_-;\-* #,##0_-;_-* &quot;-&quot;??_-;_-@_-">
                  <c:v>10000</c:v>
                </c:pt>
                <c:pt idx="359" formatCode="_-* #,##0_-;\-* #,##0_-;_-* &quot;-&quot;??_-;_-@_-">
                  <c:v>10000</c:v>
                </c:pt>
                <c:pt idx="370" formatCode="_-* #,##0_-;\-* #,##0_-;_-* &quot;-&quot;??_-;_-@_-">
                  <c:v>10000</c:v>
                </c:pt>
                <c:pt idx="399" formatCode="_-* #,##0_-;\-* #,##0_-;_-* &quot;-&quot;??_-;_-@_-">
                  <c:v>10000</c:v>
                </c:pt>
                <c:pt idx="400" formatCode="_-* #,##0_-;\-* #,##0_-;_-* &quot;-&quot;??_-;_-@_-">
                  <c:v>10000</c:v>
                </c:pt>
                <c:pt idx="404" formatCode="_-* #,##0_-;\-* #,##0_-;_-* &quot;-&quot;??_-;_-@_-">
                  <c:v>10000</c:v>
                </c:pt>
                <c:pt idx="409" formatCode="_-* #,##0_-;\-* #,##0_-;_-* &quot;-&quot;??_-;_-@_-">
                  <c:v>20000</c:v>
                </c:pt>
                <c:pt idx="414" formatCode="_-* #,##0_-;\-* #,##0_-;_-* &quot;-&quot;??_-;_-@_-">
                  <c:v>10000</c:v>
                </c:pt>
                <c:pt idx="428" formatCode="_-* #,##0_-;\-* #,##0_-;_-* &quot;-&quot;??_-;_-@_-">
                  <c:v>20000</c:v>
                </c:pt>
                <c:pt idx="454" formatCode="_-* #,##0_-;\-* #,##0_-;_-* &quot;-&quot;??_-;_-@_-">
                  <c:v>20000</c:v>
                </c:pt>
                <c:pt idx="465" formatCode="_-* #,##0_-;\-* #,##0_-;_-* &quot;-&quot;??_-;_-@_-">
                  <c:v>10000</c:v>
                </c:pt>
                <c:pt idx="467" formatCode="_-* #,##0_-;\-* #,##0_-;_-* &quot;-&quot;??_-;_-@_-">
                  <c:v>5000</c:v>
                </c:pt>
                <c:pt idx="468" formatCode="_-* #,##0_-;\-* #,##0_-;_-* &quot;-&quot;??_-;_-@_-">
                  <c:v>0</c:v>
                </c:pt>
                <c:pt idx="489" formatCode="_-* #,##0_-;\-* #,##0_-;_-* &quot;-&quot;??_-;_-@_-">
                  <c:v>30000</c:v>
                </c:pt>
                <c:pt idx="502" formatCode="_-* #,##0_-;\-* #,##0_-;_-* &quot;-&quot;??_-;_-@_-">
                  <c:v>30000</c:v>
                </c:pt>
                <c:pt idx="503" formatCode="_-* #,##0_-;\-* #,##0_-;_-* &quot;-&quot;??_-;_-@_-">
                  <c:v>10000</c:v>
                </c:pt>
                <c:pt idx="508" formatCode="_-* #,##0_-;\-* #,##0_-;_-* &quot;-&quot;??_-;_-@_-">
                  <c:v>30000</c:v>
                </c:pt>
                <c:pt idx="524" formatCode="_-* #,##0_-;\-* #,##0_-;_-* &quot;-&quot;??_-;_-@_-">
                  <c:v>0</c:v>
                </c:pt>
                <c:pt idx="530" formatCode="_-* #,##0_-;\-* #,##0_-;_-* &quot;-&quot;??_-;_-@_-">
                  <c:v>5000</c:v>
                </c:pt>
                <c:pt idx="550" formatCode="_-* #,##0_-;\-* #,##0_-;_-* &quot;-&quot;??_-;_-@_-">
                  <c:v>5000</c:v>
                </c:pt>
                <c:pt idx="557" formatCode="_-* #,##0_-;\-* #,##0_-;_-* &quot;-&quot;??_-;_-@_-">
                  <c:v>20000</c:v>
                </c:pt>
                <c:pt idx="582" formatCode="_-* #,##0_-;\-* #,##0_-;_-* &quot;-&quot;??_-;_-@_-">
                  <c:v>38000</c:v>
                </c:pt>
                <c:pt idx="583" formatCode="_-* #,##0_-;\-* #,##0_-;_-* &quot;-&quot;??_-;_-@_-">
                  <c:v>15000</c:v>
                </c:pt>
                <c:pt idx="593" formatCode="_-* #,##0_-;\-* #,##0_-;_-* &quot;-&quot;??_-;_-@_-">
                  <c:v>35000</c:v>
                </c:pt>
                <c:pt idx="601" formatCode="_-* #,##0_-;\-* #,##0_-;_-* &quot;-&quot;??_-;_-@_-">
                  <c:v>25000</c:v>
                </c:pt>
                <c:pt idx="607" formatCode="_-* #,##0_-;\-* #,##0_-;_-* &quot;-&quot;??_-;_-@_-">
                  <c:v>50000</c:v>
                </c:pt>
                <c:pt idx="614" formatCode="_-* #,##0_-;\-* #,##0_-;_-* &quot;-&quot;??_-;_-@_-">
                  <c:v>20000</c:v>
                </c:pt>
                <c:pt idx="623" formatCode="_-* #,##0_-;\-* #,##0_-;_-* &quot;-&quot;??_-;_-@_-">
                  <c:v>30000</c:v>
                </c:pt>
                <c:pt idx="628" formatCode="_-* #,##0_-;\-* #,##0_-;_-* &quot;-&quot;??_-;_-@_-">
                  <c:v>10000</c:v>
                </c:pt>
                <c:pt idx="633" formatCode="_-* #,##0_-;\-* #,##0_-;_-* &quot;-&quot;??_-;_-@_-">
                  <c:v>45000</c:v>
                </c:pt>
                <c:pt idx="638" formatCode="_-* #,##0_-;\-* #,##0_-;_-* &quot;-&quot;??_-;_-@_-">
                  <c:v>20000</c:v>
                </c:pt>
                <c:pt idx="643" formatCode="_-* #,##0_-;\-* #,##0_-;_-* &quot;-&quot;??_-;_-@_-">
                  <c:v>5000</c:v>
                </c:pt>
                <c:pt idx="653" formatCode="_-* #,##0_-;\-* #,##0_-;_-* &quot;-&quot;??_-;_-@_-">
                  <c:v>5000</c:v>
                </c:pt>
                <c:pt idx="661" formatCode="_-* #,##0_-;\-* #,##0_-;_-* &quot;-&quot;??_-;_-@_-">
                  <c:v>30000</c:v>
                </c:pt>
                <c:pt idx="663" formatCode="_-* #,##0_-;\-* #,##0_-;_-* &quot;-&quot;??_-;_-@_-">
                  <c:v>10000</c:v>
                </c:pt>
                <c:pt idx="683" formatCode="_-* #,##0_-;\-* #,##0_-;_-* &quot;-&quot;??_-;_-@_-">
                  <c:v>30000</c:v>
                </c:pt>
                <c:pt idx="739" formatCode="_-* #,##0_-;\-* #,##0_-;_-* &quot;-&quot;??_-;_-@_-">
                  <c:v>15000</c:v>
                </c:pt>
                <c:pt idx="748" formatCode="_-* #,##0_-;\-* #,##0_-;_-* &quot;-&quot;??_-;_-@_-">
                  <c:v>37000</c:v>
                </c:pt>
                <c:pt idx="762" formatCode="_-* #,##0_-;\-* #,##0_-;_-* &quot;-&quot;??_-;_-@_-">
                  <c:v>27000</c:v>
                </c:pt>
                <c:pt idx="789" formatCode="_-* #,##0_-;\-* #,##0_-;_-* &quot;-&quot;??_-;_-@_-">
                  <c:v>23000</c:v>
                </c:pt>
                <c:pt idx="810" formatCode="_-* #,##0_-;\-* #,##0_-;_-* &quot;-&quot;??_-;_-@_-">
                  <c:v>240000</c:v>
                </c:pt>
                <c:pt idx="812" formatCode="_-* #,##0_-;\-* #,##0_-;_-* &quot;-&quot;??_-;_-@_-">
                  <c:v>30000</c:v>
                </c:pt>
                <c:pt idx="814" formatCode="_-* #,##0_-;\-* #,##0_-;_-* &quot;-&quot;??_-;_-@_-">
                  <c:v>0</c:v>
                </c:pt>
                <c:pt idx="822" formatCode="_-* #,##0_-;\-* #,##0_-;_-* &quot;-&quot;??_-;_-@_-">
                  <c:v>10000</c:v>
                </c:pt>
                <c:pt idx="830" formatCode="_-* #,##0_-;\-* #,##0_-;_-* &quot;-&quot;??_-;_-@_-">
                  <c:v>25000</c:v>
                </c:pt>
                <c:pt idx="839" formatCode="_-* #,##0_-;\-* #,##0_-;_-* &quot;-&quot;??_-;_-@_-">
                  <c:v>30000</c:v>
                </c:pt>
                <c:pt idx="875" formatCode="_-* #,##0_-;\-* #,##0_-;_-* &quot;-&quot;??_-;_-@_-">
                  <c:v>45000</c:v>
                </c:pt>
                <c:pt idx="876" formatCode="_-* #,##0_-;\-* #,##0_-;_-* &quot;-&quot;??_-;_-@_-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093-4675-8CF1-E99C3E7C4480}"/>
            </c:ext>
          </c:extLst>
        </c:ser>
        <c:ser>
          <c:idx val="34"/>
          <c:order val="34"/>
          <c:tx>
            <c:strRef>
              <c:f>'CASH FLOW'!$AJ$1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FLOW'!$AJ$2:$AJ$969</c:f>
              <c:numCache>
                <c:formatCode>General</c:formatCode>
                <c:ptCount val="968"/>
                <c:pt idx="1">
                  <c:v>0</c:v>
                </c:pt>
                <c:pt idx="6" formatCode="_-* #,##0_-;\-* #,##0_-;_-* &quot;-&quot;??_-;_-@_-">
                  <c:v>5000</c:v>
                </c:pt>
                <c:pt idx="10" formatCode="_-* #,##0_-;\-* #,##0_-;_-* &quot;-&quot;??_-;_-@_-">
                  <c:v>200000</c:v>
                </c:pt>
                <c:pt idx="17" formatCode="_-* #,##0_-;\-* #,##0_-;_-* &quot;-&quot;??_-;_-@_-">
                  <c:v>120000</c:v>
                </c:pt>
                <c:pt idx="19" formatCode="_-* #,##0_-;\-* #,##0_-;_-* &quot;-&quot;??_-;_-@_-">
                  <c:v>500000</c:v>
                </c:pt>
                <c:pt idx="21" formatCode="_-* #,##0_-;\-* #,##0_-;_-* &quot;-&quot;??_-;_-@_-">
                  <c:v>20000</c:v>
                </c:pt>
                <c:pt idx="22" formatCode="_-* #,##0_-;\-* #,##0_-;_-* &quot;-&quot;??_-;_-@_-">
                  <c:v>10000</c:v>
                </c:pt>
                <c:pt idx="34" formatCode="_-* #,##0_-;\-* #,##0_-;_-* &quot;-&quot;??_-;_-@_-">
                  <c:v>2000000</c:v>
                </c:pt>
                <c:pt idx="35" formatCode="_-* #,##0_-;\-* #,##0_-;_-* &quot;-&quot;??_-;_-@_-">
                  <c:v>4000000</c:v>
                </c:pt>
                <c:pt idx="36" formatCode="_-* #,##0_-;\-* #,##0_-;_-* &quot;-&quot;??_-;_-@_-">
                  <c:v>4000000</c:v>
                </c:pt>
                <c:pt idx="37" formatCode="_-* #,##0_-;\-* #,##0_-;_-* &quot;-&quot;??_-;_-@_-">
                  <c:v>6745000</c:v>
                </c:pt>
                <c:pt idx="38" formatCode="_-* #,##0_-;\-* #,##0_-;_-* &quot;-&quot;??_-;_-@_-">
                  <c:v>500000</c:v>
                </c:pt>
                <c:pt idx="40" formatCode="_-* #,##0_-;\-* #,##0_-;_-* &quot;-&quot;??_-;_-@_-">
                  <c:v>38000</c:v>
                </c:pt>
                <c:pt idx="46" formatCode="_-* #,##0_-;\-* #,##0_-;_-* &quot;-&quot;??_-;_-@_-">
                  <c:v>30000</c:v>
                </c:pt>
                <c:pt idx="53" formatCode="_-* #,##0_-;\-* #,##0_-;_-* &quot;-&quot;??_-;_-@_-">
                  <c:v>30000</c:v>
                </c:pt>
                <c:pt idx="62" formatCode="_-* #,##0_-;\-* #,##0_-;_-* &quot;-&quot;??_-;_-@_-">
                  <c:v>45000</c:v>
                </c:pt>
                <c:pt idx="66" formatCode="_-* #,##0_-;\-* #,##0_-;_-* &quot;-&quot;??_-;_-@_-">
                  <c:v>400000</c:v>
                </c:pt>
                <c:pt idx="67" formatCode="_-* #,##0_-;\-* #,##0_-;_-* &quot;-&quot;??_-;_-@_-">
                  <c:v>4830000</c:v>
                </c:pt>
                <c:pt idx="68" formatCode="_-* #,##0_-;\-* #,##0_-;_-* &quot;-&quot;??_-;_-@_-">
                  <c:v>2500000</c:v>
                </c:pt>
                <c:pt idx="69" formatCode="_-* #,##0_-;\-* #,##0_-;_-* &quot;-&quot;??_-;_-@_-">
                  <c:v>3000000</c:v>
                </c:pt>
                <c:pt idx="70" formatCode="_-* #,##0_-;\-* #,##0_-;_-* &quot;-&quot;??_-;_-@_-">
                  <c:v>3000000</c:v>
                </c:pt>
                <c:pt idx="73" formatCode="_-* #,##0_-;\-* #,##0_-;_-* &quot;-&quot;??_-;_-@_-">
                  <c:v>3000000</c:v>
                </c:pt>
                <c:pt idx="74" formatCode="_-* #,##0_-;\-* #,##0_-;_-* &quot;-&quot;??_-;_-@_-">
                  <c:v>2275000</c:v>
                </c:pt>
                <c:pt idx="77" formatCode="_-* #,##0_-;\-* #,##0_-;_-* &quot;-&quot;??_-;_-@_-">
                  <c:v>374000</c:v>
                </c:pt>
                <c:pt idx="81" formatCode="_-* #,##0_-;\-* #,##0_-;_-* &quot;-&quot;??_-;_-@_-">
                  <c:v>200000</c:v>
                </c:pt>
                <c:pt idx="88" formatCode="_-* #,##0_-;\-* #,##0_-;_-* &quot;-&quot;??_-;_-@_-">
                  <c:v>20000</c:v>
                </c:pt>
                <c:pt idx="89" formatCode="_-* #,##0_-;\-* #,##0_-;_-* &quot;-&quot;??_-;_-@_-">
                  <c:v>13000</c:v>
                </c:pt>
                <c:pt idx="90" formatCode="_-* #,##0_-;\-* #,##0_-;_-* &quot;-&quot;??_-;_-@_-">
                  <c:v>20000</c:v>
                </c:pt>
                <c:pt idx="95" formatCode="_-* #,##0_-;\-* #,##0_-;_-* &quot;-&quot;??_-;_-@_-">
                  <c:v>700000</c:v>
                </c:pt>
                <c:pt idx="96" formatCode="_-* #,##0_-;\-* #,##0_-;_-* &quot;-&quot;??_-;_-@_-">
                  <c:v>7600000</c:v>
                </c:pt>
                <c:pt idx="97" formatCode="_-* #,##0_-;\-* #,##0_-;_-* &quot;-&quot;??_-;_-@_-">
                  <c:v>4400000</c:v>
                </c:pt>
                <c:pt idx="98" formatCode="_-* #,##0_-;\-* #,##0_-;_-* &quot;-&quot;??_-;_-@_-">
                  <c:v>1300000</c:v>
                </c:pt>
                <c:pt idx="99" formatCode="_-* #,##0_-;\-* #,##0_-;_-* &quot;-&quot;??_-;_-@_-">
                  <c:v>37000</c:v>
                </c:pt>
                <c:pt idx="101" formatCode="_-* #,##0_-;\-* #,##0_-;_-* &quot;-&quot;??_-;_-@_-">
                  <c:v>3000000</c:v>
                </c:pt>
                <c:pt idx="103" formatCode="_-* #,##0_-;\-* #,##0_-;_-* &quot;-&quot;??_-;_-@_-">
                  <c:v>3491200</c:v>
                </c:pt>
                <c:pt idx="110" formatCode="_-* #,##0_-;\-* #,##0_-;_-* &quot;-&quot;??_-;_-@_-">
                  <c:v>140000</c:v>
                </c:pt>
                <c:pt idx="111" formatCode="_-* #,##0_-;\-* #,##0_-;_-* &quot;-&quot;??_-;_-@_-">
                  <c:v>425700</c:v>
                </c:pt>
                <c:pt idx="119" formatCode="_-* #,##0_-;\-* #,##0_-;_-* &quot;-&quot;??_-;_-@_-">
                  <c:v>250000</c:v>
                </c:pt>
                <c:pt idx="124" formatCode="_-* #,##0_-;\-* #,##0_-;_-* &quot;-&quot;??_-;_-@_-">
                  <c:v>33000</c:v>
                </c:pt>
                <c:pt idx="125" formatCode="_-* #,##0_-;\-* #,##0_-;_-* &quot;-&quot;??_-;_-@_-">
                  <c:v>2010000</c:v>
                </c:pt>
                <c:pt idx="126" formatCode="_-* #,##0_-;\-* #,##0_-;_-* &quot;-&quot;??_-;_-@_-">
                  <c:v>2192380</c:v>
                </c:pt>
                <c:pt idx="127" formatCode="_-* #,##0_-;\-* #,##0_-;_-* &quot;-&quot;??_-;_-@_-">
                  <c:v>620000</c:v>
                </c:pt>
                <c:pt idx="129" formatCode="_-* #,##0_-;\-* #,##0_-;_-* &quot;-&quot;??_-;_-@_-">
                  <c:v>35000</c:v>
                </c:pt>
                <c:pt idx="131" formatCode="_-* #,##0_-;\-* #,##0_-;_-* &quot;-&quot;??_-;_-@_-">
                  <c:v>4050000</c:v>
                </c:pt>
                <c:pt idx="132" formatCode="_-* #,##0_-;\-* #,##0_-;_-* &quot;-&quot;??_-;_-@_-">
                  <c:v>3000000</c:v>
                </c:pt>
                <c:pt idx="134" formatCode="_-* #,##0_-;\-* #,##0_-;_-* &quot;-&quot;??_-;_-@_-">
                  <c:v>5000000</c:v>
                </c:pt>
                <c:pt idx="135" formatCode="_-* #,##0_-;\-* #,##0_-;_-* &quot;-&quot;??_-;_-@_-">
                  <c:v>30000</c:v>
                </c:pt>
                <c:pt idx="137" formatCode="_-* #,##0_-;\-* #,##0_-;_-* &quot;-&quot;??_-;_-@_-">
                  <c:v>140000</c:v>
                </c:pt>
                <c:pt idx="138" formatCode="_-* #,##0_-;\-* #,##0_-;_-* &quot;-&quot;??_-;_-@_-">
                  <c:v>5000</c:v>
                </c:pt>
                <c:pt idx="140" formatCode="_-* #,##0_-;\-* #,##0_-;_-* &quot;-&quot;??_-;_-@_-">
                  <c:v>180000</c:v>
                </c:pt>
                <c:pt idx="142" formatCode="_-* #,##0_-;\-* #,##0_-;_-* &quot;-&quot;??_-;_-@_-">
                  <c:v>20000</c:v>
                </c:pt>
                <c:pt idx="145" formatCode="_-* #,##0_-;\-* #,##0_-;_-* &quot;-&quot;??_-;_-@_-">
                  <c:v>200000</c:v>
                </c:pt>
                <c:pt idx="147" formatCode="_-* #,##0_-;\-* #,##0_-;_-* &quot;-&quot;??_-;_-@_-">
                  <c:v>2950000</c:v>
                </c:pt>
                <c:pt idx="156" formatCode="_-* #,##0_-;\-* #,##0_-;_-* &quot;-&quot;??_-;_-@_-">
                  <c:v>8000</c:v>
                </c:pt>
                <c:pt idx="160" formatCode="_-* #,##0_-;\-* #,##0_-;_-* &quot;-&quot;??_-;_-@_-">
                  <c:v>1420000</c:v>
                </c:pt>
                <c:pt idx="162" formatCode="_-* #,##0_-;\-* #,##0_-;_-* &quot;-&quot;??_-;_-@_-">
                  <c:v>1000000</c:v>
                </c:pt>
                <c:pt idx="163" formatCode="_-* #,##0_-;\-* #,##0_-;_-* &quot;-&quot;??_-;_-@_-">
                  <c:v>200000</c:v>
                </c:pt>
                <c:pt idx="164" formatCode="_-* #,##0_-;\-* #,##0_-;_-* &quot;-&quot;??_-;_-@_-">
                  <c:v>1538350</c:v>
                </c:pt>
                <c:pt idx="165" formatCode="_-* #,##0_-;\-* #,##0_-;_-* &quot;-&quot;??_-;_-@_-">
                  <c:v>3500000</c:v>
                </c:pt>
                <c:pt idx="166" formatCode="_-* #,##0_-;\-* #,##0_-;_-* &quot;-&quot;??_-;_-@_-">
                  <c:v>3000000</c:v>
                </c:pt>
                <c:pt idx="167" formatCode="_-* #,##0_-;\-* #,##0_-;_-* &quot;-&quot;??_-;_-@_-">
                  <c:v>2000000</c:v>
                </c:pt>
                <c:pt idx="168" formatCode="_-* #,##0_-;\-* #,##0_-;_-* &quot;-&quot;??_-;_-@_-">
                  <c:v>200000</c:v>
                </c:pt>
                <c:pt idx="170" formatCode="_-* #,##0_-;\-* #,##0_-;_-* &quot;-&quot;??_-;_-@_-">
                  <c:v>1500000</c:v>
                </c:pt>
                <c:pt idx="171" formatCode="_-* #,##0_-;\-* #,##0_-;_-* &quot;-&quot;??_-;_-@_-">
                  <c:v>3196600</c:v>
                </c:pt>
                <c:pt idx="175" formatCode="_-* #,##0_-;\-* #,##0_-;_-* &quot;-&quot;??_-;_-@_-">
                  <c:v>150000</c:v>
                </c:pt>
                <c:pt idx="181" formatCode="_-* #,##0_-;\-* #,##0_-;_-* &quot;-&quot;??_-;_-@_-">
                  <c:v>65000</c:v>
                </c:pt>
                <c:pt idx="191" formatCode="_-* #,##0_-;\-* #,##0_-;_-* &quot;-&quot;??_-;_-@_-">
                  <c:v>140000</c:v>
                </c:pt>
                <c:pt idx="192" formatCode="_-* #,##0_-;\-* #,##0_-;_-* &quot;-&quot;??_-;_-@_-">
                  <c:v>4000000</c:v>
                </c:pt>
                <c:pt idx="196" formatCode="_-* #,##0_-;\-* #,##0_-;_-* &quot;-&quot;??_-;_-@_-">
                  <c:v>2013000</c:v>
                </c:pt>
                <c:pt idx="197" formatCode="_-* #,##0_-;\-* #,##0_-;_-* &quot;-&quot;??_-;_-@_-">
                  <c:v>3500000</c:v>
                </c:pt>
                <c:pt idx="199" formatCode="_-* #,##0_-;\-* #,##0_-;_-* &quot;-&quot;??_-;_-@_-">
                  <c:v>1500000</c:v>
                </c:pt>
                <c:pt idx="200" formatCode="_-* #,##0_-;\-* #,##0_-;_-* &quot;-&quot;??_-;_-@_-">
                  <c:v>360000</c:v>
                </c:pt>
                <c:pt idx="201" formatCode="_-* #,##0_-;\-* #,##0_-;_-* &quot;-&quot;??_-;_-@_-">
                  <c:v>109000</c:v>
                </c:pt>
                <c:pt idx="202" formatCode="_-* #,##0_-;\-* #,##0_-;_-* &quot;-&quot;??_-;_-@_-">
                  <c:v>1440000</c:v>
                </c:pt>
                <c:pt idx="203" formatCode="_-* #,##0_-;\-* #,##0_-;_-* &quot;-&quot;??_-;_-@_-">
                  <c:v>130000</c:v>
                </c:pt>
                <c:pt idx="206" formatCode="_-* #,##0_-;\-* #,##0_-;_-* &quot;-&quot;??_-;_-@_-">
                  <c:v>1000000</c:v>
                </c:pt>
                <c:pt idx="216" formatCode="_-* #,##0_-;\-* #,##0_-;_-* &quot;-&quot;??_-;_-@_-">
                  <c:v>500000</c:v>
                </c:pt>
                <c:pt idx="217" formatCode="_-* #,##0_-;\-* #,##0_-;_-* &quot;-&quot;??_-;_-@_-">
                  <c:v>20000</c:v>
                </c:pt>
                <c:pt idx="218" formatCode="_-* #,##0_-;\-* #,##0_-;_-* &quot;-&quot;??_-;_-@_-">
                  <c:v>200000</c:v>
                </c:pt>
                <c:pt idx="221" formatCode="_-* #,##0_-;\-* #,##0_-;_-* &quot;-&quot;??_-;_-@_-">
                  <c:v>3055000</c:v>
                </c:pt>
                <c:pt idx="222" formatCode="_-* #,##0_-;\-* #,##0_-;_-* &quot;-&quot;??_-;_-@_-">
                  <c:v>2500000</c:v>
                </c:pt>
                <c:pt idx="223" formatCode="_-* #,##0_-;\-* #,##0_-;_-* &quot;-&quot;??_-;_-@_-">
                  <c:v>500000</c:v>
                </c:pt>
                <c:pt idx="224" formatCode="_-* #,##0_-;\-* #,##0_-;_-* &quot;-&quot;??_-;_-@_-">
                  <c:v>1200000</c:v>
                </c:pt>
                <c:pt idx="225" formatCode="_-* #,##0_-;\-* #,##0_-;_-* &quot;-&quot;??_-;_-@_-">
                  <c:v>2000000</c:v>
                </c:pt>
                <c:pt idx="226" formatCode="_-* #,##0_-;\-* #,##0_-;_-* &quot;-&quot;??_-;_-@_-">
                  <c:v>5000000</c:v>
                </c:pt>
                <c:pt idx="228" formatCode="_-* #,##0_-;\-* #,##0_-;_-* &quot;-&quot;??_-;_-@_-">
                  <c:v>2000000</c:v>
                </c:pt>
                <c:pt idx="229" formatCode="_-* #,##0_-;\-* #,##0_-;_-* &quot;-&quot;??_-;_-@_-">
                  <c:v>420000</c:v>
                </c:pt>
                <c:pt idx="232" formatCode="_-* #,##0_-;\-* #,##0_-;_-* &quot;-&quot;??_-;_-@_-">
                  <c:v>1830000</c:v>
                </c:pt>
                <c:pt idx="234" formatCode="_-* #,##0_-;\-* #,##0_-;_-* &quot;-&quot;??_-;_-@_-">
                  <c:v>150000</c:v>
                </c:pt>
                <c:pt idx="237" formatCode="_-* #,##0_-;\-* #,##0_-;_-* &quot;-&quot;??_-;_-@_-">
                  <c:v>1000000</c:v>
                </c:pt>
                <c:pt idx="239" formatCode="_-* #,##0_-;\-* #,##0_-;_-* &quot;-&quot;??_-;_-@_-">
                  <c:v>118300</c:v>
                </c:pt>
                <c:pt idx="243" formatCode="_-* #,##0_-;\-* #,##0_-;_-* &quot;-&quot;??_-;_-@_-">
                  <c:v>81600</c:v>
                </c:pt>
                <c:pt idx="250" formatCode="_-* #,##0_-;\-* #,##0_-;_-* &quot;-&quot;??_-;_-@_-">
                  <c:v>636000</c:v>
                </c:pt>
                <c:pt idx="251" formatCode="_-* #,##0_-;\-* #,##0_-;_-* &quot;-&quot;??_-;_-@_-">
                  <c:v>990000</c:v>
                </c:pt>
                <c:pt idx="253" formatCode="_-* #,##0_-;\-* #,##0_-;_-* &quot;-&quot;??_-;_-@_-">
                  <c:v>1000000</c:v>
                </c:pt>
                <c:pt idx="254" formatCode="_-* #,##0_-;\-* #,##0_-;_-* &quot;-&quot;??_-;_-@_-">
                  <c:v>2900000</c:v>
                </c:pt>
                <c:pt idx="255" formatCode="_-* #,##0_-;\-* #,##0_-;_-* &quot;-&quot;??_-;_-@_-">
                  <c:v>2000000</c:v>
                </c:pt>
                <c:pt idx="256" formatCode="_-* #,##0_-;\-* #,##0_-;_-* &quot;-&quot;??_-;_-@_-">
                  <c:v>3500000</c:v>
                </c:pt>
                <c:pt idx="257" formatCode="_-* #,##0_-;\-* #,##0_-;_-* &quot;-&quot;??_-;_-@_-">
                  <c:v>1500000</c:v>
                </c:pt>
                <c:pt idx="258" formatCode="_-* #,##0_-;\-* #,##0_-;_-* &quot;-&quot;??_-;_-@_-">
                  <c:v>0</c:v>
                </c:pt>
                <c:pt idx="259" formatCode="_-* #,##0_-;\-* #,##0_-;_-* &quot;-&quot;??_-;_-@_-">
                  <c:v>1000000</c:v>
                </c:pt>
                <c:pt idx="260" formatCode="_-* #,##0_-;\-* #,##0_-;_-* &quot;-&quot;??_-;_-@_-">
                  <c:v>3510000</c:v>
                </c:pt>
                <c:pt idx="261" formatCode="_-* #,##0_-;\-* #,##0_-;_-* &quot;-&quot;??_-;_-@_-">
                  <c:v>3000000</c:v>
                </c:pt>
                <c:pt idx="262" formatCode="_-* #,##0_-;\-* #,##0_-;_-* &quot;-&quot;??_-;_-@_-">
                  <c:v>500000</c:v>
                </c:pt>
                <c:pt idx="263" formatCode="_-* #,##0_-;\-* #,##0_-;_-* &quot;-&quot;??_-;_-@_-">
                  <c:v>517000</c:v>
                </c:pt>
                <c:pt idx="264" formatCode="_-* #,##0_-;\-* #,##0_-;_-* &quot;-&quot;??_-;_-@_-">
                  <c:v>86000</c:v>
                </c:pt>
                <c:pt idx="265" formatCode="_-* #,##0_-;\-* #,##0_-;_-* &quot;-&quot;??_-;_-@_-">
                  <c:v>45000</c:v>
                </c:pt>
                <c:pt idx="267" formatCode="_-* #,##0_-;\-* #,##0_-;_-* &quot;-&quot;??_-;_-@_-">
                  <c:v>956000</c:v>
                </c:pt>
                <c:pt idx="269" formatCode="_-* #,##0_-;\-* #,##0_-;_-* &quot;-&quot;??_-;_-@_-">
                  <c:v>710000</c:v>
                </c:pt>
                <c:pt idx="274" formatCode="_-* #,##0_-;\-* #,##0_-;_-* &quot;-&quot;??_-;_-@_-">
                  <c:v>20000</c:v>
                </c:pt>
                <c:pt idx="275" formatCode="_-* #,##0_-;\-* #,##0_-;_-* &quot;-&quot;??_-;_-@_-">
                  <c:v>798000</c:v>
                </c:pt>
                <c:pt idx="278" formatCode="_-* #,##0_-;\-* #,##0_-;_-* &quot;-&quot;??_-;_-@_-">
                  <c:v>2300000</c:v>
                </c:pt>
                <c:pt idx="279" formatCode="_-* #,##0_-;\-* #,##0_-;_-* &quot;-&quot;??_-;_-@_-">
                  <c:v>2500000</c:v>
                </c:pt>
                <c:pt idx="280" formatCode="_-* #,##0_-;\-* #,##0_-;_-* &quot;-&quot;??_-;_-@_-">
                  <c:v>3000000</c:v>
                </c:pt>
                <c:pt idx="281" formatCode="_-* #,##0_-;\-* #,##0_-;_-* &quot;-&quot;??_-;_-@_-">
                  <c:v>4400000</c:v>
                </c:pt>
                <c:pt idx="282" formatCode="_-* #,##0_-;\-* #,##0_-;_-* &quot;-&quot;??_-;_-@_-">
                  <c:v>2000000</c:v>
                </c:pt>
                <c:pt idx="283" formatCode="_-* #,##0_-;\-* #,##0_-;_-* &quot;-&quot;??_-;_-@_-">
                  <c:v>4345000</c:v>
                </c:pt>
                <c:pt idx="284" formatCode="_-* #,##0_-;\-* #,##0_-;_-* &quot;-&quot;??_-;_-@_-">
                  <c:v>0</c:v>
                </c:pt>
                <c:pt idx="285" formatCode="_-* #,##0_-;\-* #,##0_-;_-* &quot;-&quot;??_-;_-@_-">
                  <c:v>535000</c:v>
                </c:pt>
                <c:pt idx="287" formatCode="_-* #,##0_-;\-* #,##0_-;_-* &quot;-&quot;??_-;_-@_-">
                  <c:v>131500</c:v>
                </c:pt>
                <c:pt idx="290" formatCode="_-* #,##0_-;\-* #,##0_-;_-* &quot;-&quot;??_-;_-@_-">
                  <c:v>600000</c:v>
                </c:pt>
                <c:pt idx="291" formatCode="_-* #,##0_-;\-* #,##0_-;_-* &quot;-&quot;??_-;_-@_-">
                  <c:v>538000</c:v>
                </c:pt>
                <c:pt idx="293" formatCode="_-* #,##0_-;\-* #,##0_-;_-* &quot;-&quot;??_-;_-@_-">
                  <c:v>50500</c:v>
                </c:pt>
                <c:pt idx="299" formatCode="_-* #,##0_-;\-* #,##0_-;_-* &quot;-&quot;??_-;_-@_-">
                  <c:v>150000</c:v>
                </c:pt>
                <c:pt idx="307" formatCode="_-* #,##0_-;\-* #,##0_-;_-* &quot;-&quot;??_-;_-@_-">
                  <c:v>625400</c:v>
                </c:pt>
                <c:pt idx="308" formatCode="_-* #,##0_-;\-* #,##0_-;_-* &quot;-&quot;??_-;_-@_-">
                  <c:v>200000</c:v>
                </c:pt>
                <c:pt idx="312" formatCode="_-* #,##0_-;\-* #,##0_-;_-* &quot;-&quot;??_-;_-@_-">
                  <c:v>0</c:v>
                </c:pt>
                <c:pt idx="321" formatCode="_-* #,##0_-;\-* #,##0_-;_-* &quot;-&quot;??_-;_-@_-">
                  <c:v>643238</c:v>
                </c:pt>
                <c:pt idx="339" formatCode="_-* #,##0_-;\-* #,##0_-;_-* &quot;-&quot;??_-;_-@_-">
                  <c:v>100000</c:v>
                </c:pt>
                <c:pt idx="343" formatCode="_-* #,##0_-;\-* #,##0_-;_-* &quot;-&quot;??_-;_-@_-">
                  <c:v>70000</c:v>
                </c:pt>
                <c:pt idx="349" formatCode="_-* #,##0_-;\-* #,##0_-;_-* &quot;-&quot;??_-;_-@_-">
                  <c:v>200000</c:v>
                </c:pt>
                <c:pt idx="354" formatCode="_-* #,##0_-;\-* #,##0_-;_-* &quot;-&quot;??_-;_-@_-">
                  <c:v>30000</c:v>
                </c:pt>
                <c:pt idx="355" formatCode="_-* #,##0_-;\-* #,##0_-;_-* &quot;-&quot;??_-;_-@_-">
                  <c:v>210000</c:v>
                </c:pt>
                <c:pt idx="357" formatCode="_-* #,##0_-;\-* #,##0_-;_-* &quot;-&quot;??_-;_-@_-">
                  <c:v>550000</c:v>
                </c:pt>
                <c:pt idx="359" formatCode="_-* #,##0_-;\-* #,##0_-;_-* &quot;-&quot;??_-;_-@_-">
                  <c:v>235000</c:v>
                </c:pt>
                <c:pt idx="360" formatCode="_-* #,##0_-;\-* #,##0_-;_-* &quot;-&quot;??_-;_-@_-">
                  <c:v>820000</c:v>
                </c:pt>
                <c:pt idx="366" formatCode="_-* #,##0_-;\-* #,##0_-;_-* &quot;-&quot;??_-;_-@_-">
                  <c:v>32000</c:v>
                </c:pt>
                <c:pt idx="378" formatCode="_-* #,##0_-;\-* #,##0_-;_-* &quot;-&quot;??_-;_-@_-">
                  <c:v>200000</c:v>
                </c:pt>
                <c:pt idx="382" formatCode="_-* #,##0_-;\-* #,##0_-;_-* &quot;-&quot;??_-;_-@_-">
                  <c:v>810000</c:v>
                </c:pt>
                <c:pt idx="384" formatCode="_-* #,##0_-;\-* #,##0_-;_-* &quot;-&quot;??_-;_-@_-">
                  <c:v>1800000</c:v>
                </c:pt>
                <c:pt idx="386" formatCode="_-* #,##0_-;\-* #,##0_-;_-* &quot;-&quot;??_-;_-@_-">
                  <c:v>300000</c:v>
                </c:pt>
                <c:pt idx="387" formatCode="_-* #,##0_-;\-* #,##0_-;_-* &quot;-&quot;??_-;_-@_-">
                  <c:v>200000</c:v>
                </c:pt>
                <c:pt idx="391" formatCode="_-* #,##0_-;\-* #,##0_-;_-* &quot;-&quot;??_-;_-@_-">
                  <c:v>53000</c:v>
                </c:pt>
                <c:pt idx="393" formatCode="_-* #,##0_-;\-* #,##0_-;_-* &quot;-&quot;??_-;_-@_-">
                  <c:v>2500000</c:v>
                </c:pt>
                <c:pt idx="395" formatCode="_-* #,##0_-;\-* #,##0_-;_-* &quot;-&quot;??_-;_-@_-">
                  <c:v>1500000</c:v>
                </c:pt>
                <c:pt idx="396" formatCode="_-* #,##0_-;\-* #,##0_-;_-* &quot;-&quot;??_-;_-@_-">
                  <c:v>991160</c:v>
                </c:pt>
                <c:pt idx="402" formatCode="_-* #,##0_-;\-* #,##0_-;_-* &quot;-&quot;??_-;_-@_-">
                  <c:v>50000</c:v>
                </c:pt>
                <c:pt idx="405" formatCode="_-* #,##0_-;\-* #,##0_-;_-* &quot;-&quot;??_-;_-@_-">
                  <c:v>10000</c:v>
                </c:pt>
                <c:pt idx="413" formatCode="_-* #,##0_-;\-* #,##0_-;_-* &quot;-&quot;??_-;_-@_-">
                  <c:v>1802928</c:v>
                </c:pt>
                <c:pt idx="415" formatCode="_-* #,##0_-;\-* #,##0_-;_-* &quot;-&quot;??_-;_-@_-">
                  <c:v>100000</c:v>
                </c:pt>
                <c:pt idx="416" formatCode="_-* #,##0_-;\-* #,##0_-;_-* &quot;-&quot;??_-;_-@_-">
                  <c:v>25000</c:v>
                </c:pt>
                <c:pt idx="421" formatCode="_-* #,##0_-;\-* #,##0_-;_-* &quot;-&quot;??_-;_-@_-">
                  <c:v>300000</c:v>
                </c:pt>
                <c:pt idx="426" formatCode="_-* #,##0_-;\-* #,##0_-;_-* &quot;-&quot;??_-;_-@_-">
                  <c:v>43000</c:v>
                </c:pt>
                <c:pt idx="434" formatCode="_-* #,##0_-;\-* #,##0_-;_-* &quot;-&quot;??_-;_-@_-">
                  <c:v>300000</c:v>
                </c:pt>
                <c:pt idx="435" formatCode="_-* #,##0_-;\-* #,##0_-;_-* &quot;-&quot;??_-;_-@_-">
                  <c:v>4000</c:v>
                </c:pt>
                <c:pt idx="436" formatCode="_-* #,##0_-;\-* #,##0_-;_-* &quot;-&quot;??_-;_-@_-">
                  <c:v>500000</c:v>
                </c:pt>
                <c:pt idx="439" formatCode="_-* #,##0_-;\-* #,##0_-;_-* &quot;-&quot;??_-;_-@_-">
                  <c:v>200000</c:v>
                </c:pt>
                <c:pt idx="449" formatCode="_-* #,##0_-;\-* #,##0_-;_-* &quot;-&quot;??_-;_-@_-">
                  <c:v>520000</c:v>
                </c:pt>
                <c:pt idx="452" formatCode="_-* #,##0_-;\-* #,##0_-;_-* &quot;-&quot;??_-;_-@_-">
                  <c:v>500000</c:v>
                </c:pt>
                <c:pt idx="454" formatCode="_-* #,##0_-;\-* #,##0_-;_-* &quot;-&quot;??_-;_-@_-">
                  <c:v>1000000</c:v>
                </c:pt>
                <c:pt idx="455" formatCode="_-* #,##0_-;\-* #,##0_-;_-* &quot;-&quot;??_-;_-@_-">
                  <c:v>500000</c:v>
                </c:pt>
                <c:pt idx="456" formatCode="_-* #,##0_-;\-* #,##0_-;_-* &quot;-&quot;??_-;_-@_-">
                  <c:v>800000</c:v>
                </c:pt>
                <c:pt idx="459" formatCode="_-* #,##0_-;\-* #,##0_-;_-* &quot;-&quot;??_-;_-@_-">
                  <c:v>20000</c:v>
                </c:pt>
                <c:pt idx="461" formatCode="_-* #,##0_-;\-* #,##0_-;_-* &quot;-&quot;??_-;_-@_-">
                  <c:v>250000</c:v>
                </c:pt>
                <c:pt idx="465" formatCode="_-* #,##0_-;\-* #,##0_-;_-* &quot;-&quot;??_-;_-@_-">
                  <c:v>200000</c:v>
                </c:pt>
                <c:pt idx="466" formatCode="_-* #,##0_-;\-* #,##0_-;_-* &quot;-&quot;??_-;_-@_-">
                  <c:v>28000</c:v>
                </c:pt>
                <c:pt idx="474" formatCode="_-* #,##0_-;\-* #,##0_-;_-* &quot;-&quot;??_-;_-@_-">
                  <c:v>52000</c:v>
                </c:pt>
                <c:pt idx="475" formatCode="_-* #,##0_-;\-* #,##0_-;_-* &quot;-&quot;??_-;_-@_-">
                  <c:v>783700</c:v>
                </c:pt>
                <c:pt idx="486" formatCode="_-* #,##0_-;\-* #,##0_-;_-* &quot;-&quot;??_-;_-@_-">
                  <c:v>50000</c:v>
                </c:pt>
                <c:pt idx="492" formatCode="_-* #,##0_-;\-* #,##0_-;_-* &quot;-&quot;??_-;_-@_-">
                  <c:v>125000</c:v>
                </c:pt>
                <c:pt idx="496" formatCode="_-* #,##0_-;\-* #,##0_-;_-* &quot;-&quot;??_-;_-@_-">
                  <c:v>100000</c:v>
                </c:pt>
                <c:pt idx="497" formatCode="_-* #,##0_-;\-* #,##0_-;_-* &quot;-&quot;??_-;_-@_-">
                  <c:v>600000</c:v>
                </c:pt>
                <c:pt idx="500" formatCode="_-* #,##0_-;\-* #,##0_-;_-* &quot;-&quot;??_-;_-@_-">
                  <c:v>781235</c:v>
                </c:pt>
                <c:pt idx="504" formatCode="_-* #,##0_-;\-* #,##0_-;_-* &quot;-&quot;??_-;_-@_-">
                  <c:v>110000</c:v>
                </c:pt>
                <c:pt idx="507" formatCode="_-* #,##0_-;\-* #,##0_-;_-* &quot;-&quot;??_-;_-@_-">
                  <c:v>400000</c:v>
                </c:pt>
                <c:pt idx="508" formatCode="_-* #,##0_-;\-* #,##0_-;_-* &quot;-&quot;??_-;_-@_-">
                  <c:v>53000</c:v>
                </c:pt>
                <c:pt idx="509" formatCode="_-* #,##0_-;\-* #,##0_-;_-* &quot;-&quot;??_-;_-@_-">
                  <c:v>200000</c:v>
                </c:pt>
                <c:pt idx="511" formatCode="_-* #,##0_-;\-* #,##0_-;_-* &quot;-&quot;??_-;_-@_-">
                  <c:v>500000</c:v>
                </c:pt>
                <c:pt idx="512" formatCode="_-* #,##0_-;\-* #,##0_-;_-* &quot;-&quot;??_-;_-@_-">
                  <c:v>500000</c:v>
                </c:pt>
                <c:pt idx="513" formatCode="_-* #,##0_-;\-* #,##0_-;_-* &quot;-&quot;??_-;_-@_-">
                  <c:v>100000</c:v>
                </c:pt>
                <c:pt idx="516" formatCode="_-* #,##0_-;\-* #,##0_-;_-* &quot;-&quot;??_-;_-@_-">
                  <c:v>50000</c:v>
                </c:pt>
                <c:pt idx="518" formatCode="_-* #,##0_-;\-* #,##0_-;_-* &quot;-&quot;??_-;_-@_-">
                  <c:v>150000</c:v>
                </c:pt>
                <c:pt idx="520" formatCode="_-* #,##0_-;\-* #,##0_-;_-* &quot;-&quot;??_-;_-@_-">
                  <c:v>200000</c:v>
                </c:pt>
                <c:pt idx="522" formatCode="_-* #,##0_-;\-* #,##0_-;_-* &quot;-&quot;??_-;_-@_-">
                  <c:v>100000</c:v>
                </c:pt>
                <c:pt idx="523" formatCode="_-* #,##0_-;\-* #,##0_-;_-* &quot;-&quot;??_-;_-@_-">
                  <c:v>120000</c:v>
                </c:pt>
                <c:pt idx="528" formatCode="_-* #,##0_-;\-* #,##0_-;_-* &quot;-&quot;??_-;_-@_-">
                  <c:v>50000</c:v>
                </c:pt>
                <c:pt idx="530" formatCode="_-* #,##0_-;\-* #,##0_-;_-* &quot;-&quot;??_-;_-@_-">
                  <c:v>50000</c:v>
                </c:pt>
                <c:pt idx="538" formatCode="_-* #,##0_-;\-* #,##0_-;_-* &quot;-&quot;??_-;_-@_-">
                  <c:v>600000</c:v>
                </c:pt>
                <c:pt idx="539" formatCode="_-* #,##0_-;\-* #,##0_-;_-* &quot;-&quot;??_-;_-@_-">
                  <c:v>250000</c:v>
                </c:pt>
                <c:pt idx="543" formatCode="_-* #,##0_-;\-* #,##0_-;_-* &quot;-&quot;??_-;_-@_-">
                  <c:v>300000</c:v>
                </c:pt>
                <c:pt idx="544" formatCode="_-* #,##0_-;\-* #,##0_-;_-* &quot;-&quot;??_-;_-@_-">
                  <c:v>100000</c:v>
                </c:pt>
                <c:pt idx="547" formatCode="_-* #,##0_-;\-* #,##0_-;_-* &quot;-&quot;??_-;_-@_-">
                  <c:v>300000</c:v>
                </c:pt>
                <c:pt idx="549" formatCode="_-* #,##0_-;\-* #,##0_-;_-* &quot;-&quot;??_-;_-@_-">
                  <c:v>1000000</c:v>
                </c:pt>
                <c:pt idx="551" formatCode="_-* #,##0_-;\-* #,##0_-;_-* &quot;-&quot;??_-;_-@_-">
                  <c:v>100000</c:v>
                </c:pt>
                <c:pt idx="555" formatCode="_-* #,##0_-;\-* #,##0_-;_-* &quot;-&quot;??_-;_-@_-">
                  <c:v>500000</c:v>
                </c:pt>
                <c:pt idx="558" formatCode="_-* #,##0_-;\-* #,##0_-;_-* &quot;-&quot;??_-;_-@_-">
                  <c:v>32500</c:v>
                </c:pt>
                <c:pt idx="560" formatCode="_-* #,##0_-;\-* #,##0_-;_-* &quot;-&quot;??_-;_-@_-">
                  <c:v>500000</c:v>
                </c:pt>
                <c:pt idx="562" formatCode="_-* #,##0_-;\-* #,##0_-;_-* &quot;-&quot;??_-;_-@_-">
                  <c:v>0</c:v>
                </c:pt>
                <c:pt idx="563" formatCode="_-* #,##0_-;\-* #,##0_-;_-* &quot;-&quot;??_-;_-@_-">
                  <c:v>120000</c:v>
                </c:pt>
                <c:pt idx="565" formatCode="_-* #,##0_-;\-* #,##0_-;_-* &quot;-&quot;??_-;_-@_-">
                  <c:v>100000</c:v>
                </c:pt>
                <c:pt idx="571" formatCode="_-* #,##0_-;\-* #,##0_-;_-* &quot;-&quot;??_-;_-@_-">
                  <c:v>30000</c:v>
                </c:pt>
                <c:pt idx="576" formatCode="_-* #,##0_-;\-* #,##0_-;_-* &quot;-&quot;??_-;_-@_-">
                  <c:v>76000</c:v>
                </c:pt>
                <c:pt idx="587" formatCode="_-* #,##0_-;\-* #,##0_-;_-* &quot;-&quot;??_-;_-@_-">
                  <c:v>1500000</c:v>
                </c:pt>
                <c:pt idx="588" formatCode="_-* #,##0_-;\-* #,##0_-;_-* &quot;-&quot;??_-;_-@_-">
                  <c:v>150000</c:v>
                </c:pt>
                <c:pt idx="593" formatCode="_-* #,##0_-;\-* #,##0_-;_-* &quot;-&quot;??_-;_-@_-">
                  <c:v>285000</c:v>
                </c:pt>
                <c:pt idx="596" formatCode="_-* #,##0_-;\-* #,##0_-;_-* &quot;-&quot;??_-;_-@_-">
                  <c:v>218000</c:v>
                </c:pt>
                <c:pt idx="597" formatCode="_-* #,##0_-;\-* #,##0_-;_-* &quot;-&quot;??_-;_-@_-">
                  <c:v>141000</c:v>
                </c:pt>
                <c:pt idx="600" formatCode="_-* #,##0_-;\-* #,##0_-;_-* &quot;-&quot;??_-;_-@_-">
                  <c:v>63000</c:v>
                </c:pt>
                <c:pt idx="601" formatCode="_-* #,##0_-;\-* #,##0_-;_-* &quot;-&quot;??_-;_-@_-">
                  <c:v>300000</c:v>
                </c:pt>
                <c:pt idx="602" formatCode="_-* #,##0_-;\-* #,##0_-;_-* &quot;-&quot;??_-;_-@_-">
                  <c:v>1914300</c:v>
                </c:pt>
                <c:pt idx="603" formatCode="_-* #,##0_-;\-* #,##0_-;_-* &quot;-&quot;??_-;_-@_-">
                  <c:v>68000</c:v>
                </c:pt>
                <c:pt idx="605" formatCode="_-* #,##0_-;\-* #,##0_-;_-* &quot;-&quot;??_-;_-@_-">
                  <c:v>10000</c:v>
                </c:pt>
                <c:pt idx="606" formatCode="_-* #,##0_-;\-* #,##0_-;_-* &quot;-&quot;??_-;_-@_-">
                  <c:v>25000</c:v>
                </c:pt>
                <c:pt idx="608" formatCode="_-* #,##0_-;\-* #,##0_-;_-* &quot;-&quot;??_-;_-@_-">
                  <c:v>1380000</c:v>
                </c:pt>
                <c:pt idx="609" formatCode="_-* #,##0_-;\-* #,##0_-;_-* &quot;-&quot;??_-;_-@_-">
                  <c:v>550000</c:v>
                </c:pt>
                <c:pt idx="610" formatCode="_-* #,##0_-;\-* #,##0_-;_-* &quot;-&quot;??_-;_-@_-">
                  <c:v>84000</c:v>
                </c:pt>
                <c:pt idx="612" formatCode="_-* #,##0_-;\-* #,##0_-;_-* &quot;-&quot;??_-;_-@_-">
                  <c:v>41000</c:v>
                </c:pt>
                <c:pt idx="619" formatCode="_-* #,##0_-;\-* #,##0_-;_-* &quot;-&quot;??_-;_-@_-">
                  <c:v>231000</c:v>
                </c:pt>
                <c:pt idx="620" formatCode="_-* #,##0_-;\-* #,##0_-;_-* &quot;-&quot;??_-;_-@_-">
                  <c:v>200000</c:v>
                </c:pt>
                <c:pt idx="621" formatCode="_-* #,##0_-;\-* #,##0_-;_-* &quot;-&quot;??_-;_-@_-">
                  <c:v>790000</c:v>
                </c:pt>
                <c:pt idx="623" formatCode="_-* #,##0_-;\-* #,##0_-;_-* &quot;-&quot;??_-;_-@_-">
                  <c:v>4900000</c:v>
                </c:pt>
                <c:pt idx="625" formatCode="_-* #,##0_-;\-* #,##0_-;_-* &quot;-&quot;??_-;_-@_-">
                  <c:v>200000</c:v>
                </c:pt>
                <c:pt idx="626" formatCode="_-* #,##0_-;\-* #,##0_-;_-* &quot;-&quot;??_-;_-@_-">
                  <c:v>500000</c:v>
                </c:pt>
                <c:pt idx="627" formatCode="_-* #,##0_-;\-* #,##0_-;_-* &quot;-&quot;??_-;_-@_-">
                  <c:v>40000</c:v>
                </c:pt>
                <c:pt idx="628" formatCode="_-* #,##0_-;\-* #,##0_-;_-* &quot;-&quot;??_-;_-@_-">
                  <c:v>1236500</c:v>
                </c:pt>
                <c:pt idx="629" formatCode="_-* #,##0_-;\-* #,##0_-;_-* &quot;-&quot;??_-;_-@_-">
                  <c:v>300000</c:v>
                </c:pt>
                <c:pt idx="632" formatCode="_-* #,##0_-;\-* #,##0_-;_-* &quot;-&quot;??_-;_-@_-">
                  <c:v>200000</c:v>
                </c:pt>
                <c:pt idx="633" formatCode="_-* #,##0_-;\-* #,##0_-;_-* &quot;-&quot;??_-;_-@_-">
                  <c:v>550000</c:v>
                </c:pt>
                <c:pt idx="640" formatCode="_-* #,##0_-;\-* #,##0_-;_-* &quot;-&quot;??_-;_-@_-">
                  <c:v>500000</c:v>
                </c:pt>
                <c:pt idx="642" formatCode="_-* #,##0_-;\-* #,##0_-;_-* &quot;-&quot;??_-;_-@_-">
                  <c:v>410000</c:v>
                </c:pt>
                <c:pt idx="643" formatCode="_-* #,##0_-;\-* #,##0_-;_-* &quot;-&quot;??_-;_-@_-">
                  <c:v>350000</c:v>
                </c:pt>
                <c:pt idx="648" formatCode="_-* #,##0_-;\-* #,##0_-;_-* &quot;-&quot;??_-;_-@_-">
                  <c:v>400000</c:v>
                </c:pt>
                <c:pt idx="652" formatCode="_-* #,##0_-;\-* #,##0_-;_-* &quot;-&quot;??_-;_-@_-">
                  <c:v>1500000</c:v>
                </c:pt>
                <c:pt idx="654" formatCode="_-* #,##0_-;\-* #,##0_-;_-* &quot;-&quot;??_-;_-@_-">
                  <c:v>500000</c:v>
                </c:pt>
                <c:pt idx="656" formatCode="_-* #,##0_-;\-* #,##0_-;_-* &quot;-&quot;??_-;_-@_-">
                  <c:v>4319000</c:v>
                </c:pt>
                <c:pt idx="658" formatCode="_-* #,##0_-;\-* #,##0_-;_-* &quot;-&quot;??_-;_-@_-">
                  <c:v>350000</c:v>
                </c:pt>
                <c:pt idx="659" formatCode="_-* #,##0_-;\-* #,##0_-;_-* &quot;-&quot;??_-;_-@_-">
                  <c:v>780000</c:v>
                </c:pt>
                <c:pt idx="660" formatCode="_-* #,##0_-;\-* #,##0_-;_-* &quot;-&quot;??_-;_-@_-">
                  <c:v>500000</c:v>
                </c:pt>
                <c:pt idx="661" formatCode="_-* #,##0_-;\-* #,##0_-;_-* &quot;-&quot;??_-;_-@_-">
                  <c:v>100000</c:v>
                </c:pt>
                <c:pt idx="662" formatCode="_-* #,##0_-;\-* #,##0_-;_-* &quot;-&quot;??_-;_-@_-">
                  <c:v>300000</c:v>
                </c:pt>
                <c:pt idx="663" formatCode="_-* #,##0_-;\-* #,##0_-;_-* &quot;-&quot;??_-;_-@_-">
                  <c:v>47000</c:v>
                </c:pt>
                <c:pt idx="666" formatCode="_-* #,##0_-;\-* #,##0_-;_-* &quot;-&quot;??_-;_-@_-">
                  <c:v>300000</c:v>
                </c:pt>
                <c:pt idx="669" formatCode="_-* #,##0_-;\-* #,##0_-;_-* &quot;-&quot;??_-;_-@_-">
                  <c:v>500000</c:v>
                </c:pt>
                <c:pt idx="670" formatCode="_-* #,##0_-;\-* #,##0_-;_-* &quot;-&quot;??_-;_-@_-">
                  <c:v>3300000</c:v>
                </c:pt>
                <c:pt idx="671" formatCode="_-* #,##0_-;\-* #,##0_-;_-* &quot;-&quot;??_-;_-@_-">
                  <c:v>2200000</c:v>
                </c:pt>
                <c:pt idx="674" formatCode="_-* #,##0_-;\-* #,##0_-;_-* &quot;-&quot;??_-;_-@_-">
                  <c:v>900000</c:v>
                </c:pt>
                <c:pt idx="675" formatCode="_-* #,##0_-;\-* #,##0_-;_-* &quot;-&quot;??_-;_-@_-">
                  <c:v>400000</c:v>
                </c:pt>
                <c:pt idx="676" formatCode="_-* #,##0_-;\-* #,##0_-;_-* &quot;-&quot;??_-;_-@_-">
                  <c:v>1000000</c:v>
                </c:pt>
                <c:pt idx="677" formatCode="_-* #,##0_-;\-* #,##0_-;_-* &quot;-&quot;??_-;_-@_-">
                  <c:v>210000</c:v>
                </c:pt>
                <c:pt idx="678" formatCode="_-* #,##0_-;\-* #,##0_-;_-* &quot;-&quot;??_-;_-@_-">
                  <c:v>1700000</c:v>
                </c:pt>
                <c:pt idx="680" formatCode="_-* #,##0_-;\-* #,##0_-;_-* &quot;-&quot;??_-;_-@_-">
                  <c:v>62000</c:v>
                </c:pt>
                <c:pt idx="683" formatCode="_-* #,##0_-;\-* #,##0_-;_-* &quot;-&quot;??_-;_-@_-">
                  <c:v>365000</c:v>
                </c:pt>
                <c:pt idx="684" formatCode="_-* #,##0_-;\-* #,##0_-;_-* &quot;-&quot;??_-;_-@_-">
                  <c:v>100000</c:v>
                </c:pt>
                <c:pt idx="686" formatCode="_-* #,##0_-;\-* #,##0_-;_-* &quot;-&quot;??_-;_-@_-">
                  <c:v>153000</c:v>
                </c:pt>
                <c:pt idx="689" formatCode="_-* #,##0_-;\-* #,##0_-;_-* &quot;-&quot;??_-;_-@_-">
                  <c:v>500000</c:v>
                </c:pt>
                <c:pt idx="690" formatCode="_-* #,##0_-;\-* #,##0_-;_-* &quot;-&quot;??_-;_-@_-">
                  <c:v>2000000</c:v>
                </c:pt>
                <c:pt idx="691" formatCode="_-* #,##0_-;\-* #,##0_-;_-* &quot;-&quot;??_-;_-@_-">
                  <c:v>219000</c:v>
                </c:pt>
                <c:pt idx="692" formatCode="_-* #,##0_-;\-* #,##0_-;_-* &quot;-&quot;??_-;_-@_-">
                  <c:v>500000</c:v>
                </c:pt>
                <c:pt idx="694" formatCode="_-* #,##0_-;\-* #,##0_-;_-* &quot;-&quot;??_-;_-@_-">
                  <c:v>170000</c:v>
                </c:pt>
                <c:pt idx="697" formatCode="_-* #,##0_-;\-* #,##0_-;_-* &quot;-&quot;??_-;_-@_-">
                  <c:v>1000000</c:v>
                </c:pt>
                <c:pt idx="699" formatCode="_-* #,##0_-;\-* #,##0_-;_-* &quot;-&quot;??_-;_-@_-">
                  <c:v>2117300</c:v>
                </c:pt>
                <c:pt idx="703" formatCode="_-* #,##0_-;\-* #,##0_-;_-* &quot;-&quot;??_-;_-@_-">
                  <c:v>1119800</c:v>
                </c:pt>
                <c:pt idx="709" formatCode="_-* #,##0_-;\-* #,##0_-;_-* &quot;-&quot;??_-;_-@_-">
                  <c:v>2200000</c:v>
                </c:pt>
                <c:pt idx="710" formatCode="_-* #,##0_-;\-* #,##0_-;_-* &quot;-&quot;??_-;_-@_-">
                  <c:v>454000</c:v>
                </c:pt>
                <c:pt idx="711" formatCode="_-* #,##0_-;\-* #,##0_-;_-* &quot;-&quot;??_-;_-@_-">
                  <c:v>2115637</c:v>
                </c:pt>
                <c:pt idx="712" formatCode="_-* #,##0_-;\-* #,##0_-;_-* &quot;-&quot;??_-;_-@_-">
                  <c:v>100000</c:v>
                </c:pt>
                <c:pt idx="714" formatCode="_-* #,##0_-;\-* #,##0_-;_-* &quot;-&quot;??_-;_-@_-">
                  <c:v>400000</c:v>
                </c:pt>
                <c:pt idx="715" formatCode="_-* #,##0_-;\-* #,##0_-;_-* &quot;-&quot;??_-;_-@_-">
                  <c:v>1500000</c:v>
                </c:pt>
                <c:pt idx="716" formatCode="_-* #,##0_-;\-* #,##0_-;_-* &quot;-&quot;??_-;_-@_-">
                  <c:v>350000</c:v>
                </c:pt>
                <c:pt idx="717" formatCode="_-* #,##0_-;\-* #,##0_-;_-* &quot;-&quot;??_-;_-@_-">
                  <c:v>2000000</c:v>
                </c:pt>
                <c:pt idx="718" formatCode="_-* #,##0_-;\-* #,##0_-;_-* &quot;-&quot;??_-;_-@_-">
                  <c:v>6050000</c:v>
                </c:pt>
                <c:pt idx="721" formatCode="_-* #,##0_-;\-* #,##0_-;_-* &quot;-&quot;??_-;_-@_-">
                  <c:v>4050000</c:v>
                </c:pt>
                <c:pt idx="722" formatCode="_-* #,##0_-;\-* #,##0_-;_-* &quot;-&quot;??_-;_-@_-">
                  <c:v>800000</c:v>
                </c:pt>
                <c:pt idx="723" formatCode="_-* #,##0_-;\-* #,##0_-;_-* &quot;-&quot;??_-;_-@_-">
                  <c:v>250000</c:v>
                </c:pt>
                <c:pt idx="724" formatCode="_-* #,##0_-;\-* #,##0_-;_-* &quot;-&quot;??_-;_-@_-">
                  <c:v>500000</c:v>
                </c:pt>
                <c:pt idx="725" formatCode="_-* #,##0_-;\-* #,##0_-;_-* &quot;-&quot;??_-;_-@_-">
                  <c:v>1150000</c:v>
                </c:pt>
                <c:pt idx="726" formatCode="_-* #,##0_-;\-* #,##0_-;_-* &quot;-&quot;??_-;_-@_-">
                  <c:v>3100000</c:v>
                </c:pt>
                <c:pt idx="727" formatCode="_-* #,##0_-;\-* #,##0_-;_-* &quot;-&quot;??_-;_-@_-">
                  <c:v>280000</c:v>
                </c:pt>
                <c:pt idx="728" formatCode="_-* #,##0_-;\-* #,##0_-;_-* &quot;-&quot;??_-;_-@_-">
                  <c:v>1150000</c:v>
                </c:pt>
                <c:pt idx="731" formatCode="_-* #,##0_-;\-* #,##0_-;_-* &quot;-&quot;??_-;_-@_-">
                  <c:v>1400000</c:v>
                </c:pt>
                <c:pt idx="732" formatCode="_-* #,##0_-;\-* #,##0_-;_-* &quot;-&quot;??_-;_-@_-">
                  <c:v>200000</c:v>
                </c:pt>
                <c:pt idx="733" formatCode="_-* #,##0_-;\-* #,##0_-;_-* &quot;-&quot;??_-;_-@_-">
                  <c:v>9255000</c:v>
                </c:pt>
                <c:pt idx="737" formatCode="_-* #,##0_-;\-* #,##0_-;_-* &quot;-&quot;??_-;_-@_-">
                  <c:v>5800000</c:v>
                </c:pt>
                <c:pt idx="738" formatCode="_-* #,##0_-;\-* #,##0_-;_-* &quot;-&quot;??_-;_-@_-">
                  <c:v>3000000</c:v>
                </c:pt>
                <c:pt idx="739" formatCode="_-* #,##0_-;\-* #,##0_-;_-* &quot;-&quot;??_-;_-@_-">
                  <c:v>750000</c:v>
                </c:pt>
                <c:pt idx="740" formatCode="_-* #,##0_-;\-* #,##0_-;_-* &quot;-&quot;??_-;_-@_-">
                  <c:v>7800000</c:v>
                </c:pt>
                <c:pt idx="741" formatCode="_-* #,##0_-;\-* #,##0_-;_-* &quot;-&quot;??_-;_-@_-">
                  <c:v>1880000</c:v>
                </c:pt>
                <c:pt idx="742" formatCode="_-* #,##0_-;\-* #,##0_-;_-* &quot;-&quot;??_-;_-@_-">
                  <c:v>3000000</c:v>
                </c:pt>
                <c:pt idx="743" formatCode="_-* #,##0_-;\-* #,##0_-;_-* &quot;-&quot;??_-;_-@_-">
                  <c:v>1930000</c:v>
                </c:pt>
                <c:pt idx="745" formatCode="_-* #,##0_-;\-* #,##0_-;_-* &quot;-&quot;??_-;_-@_-">
                  <c:v>7309500</c:v>
                </c:pt>
                <c:pt idx="747" formatCode="_-* #,##0_-;\-* #,##0_-;_-* &quot;-&quot;??_-;_-@_-">
                  <c:v>800000</c:v>
                </c:pt>
                <c:pt idx="753" formatCode="_-* #,##0_-;\-* #,##0_-;_-* &quot;-&quot;??_-;_-@_-">
                  <c:v>30000</c:v>
                </c:pt>
                <c:pt idx="754" formatCode="_-* #,##0_-;\-* #,##0_-;_-* &quot;-&quot;??_-;_-@_-">
                  <c:v>3150000</c:v>
                </c:pt>
                <c:pt idx="755" formatCode="_-* #,##0_-;\-* #,##0_-;_-* &quot;-&quot;??_-;_-@_-">
                  <c:v>100000</c:v>
                </c:pt>
                <c:pt idx="757" formatCode="_-* #,##0_-;\-* #,##0_-;_-* &quot;-&quot;??_-;_-@_-">
                  <c:v>102000</c:v>
                </c:pt>
                <c:pt idx="758" formatCode="_-* #,##0_-;\-* #,##0_-;_-* &quot;-&quot;??_-;_-@_-">
                  <c:v>300000</c:v>
                </c:pt>
                <c:pt idx="761" formatCode="_-* #,##0_-;\-* #,##0_-;_-* &quot;-&quot;??_-;_-@_-">
                  <c:v>1500000</c:v>
                </c:pt>
                <c:pt idx="764" formatCode="_-* #,##0_-;\-* #,##0_-;_-* &quot;-&quot;??_-;_-@_-">
                  <c:v>1500000</c:v>
                </c:pt>
                <c:pt idx="765" formatCode="_-* #,##0_-;\-* #,##0_-;_-* &quot;-&quot;??_-;_-@_-">
                  <c:v>1700000</c:v>
                </c:pt>
                <c:pt idx="768" formatCode="_-* #,##0_-;\-* #,##0_-;_-* &quot;-&quot;??_-;_-@_-">
                  <c:v>1900000</c:v>
                </c:pt>
                <c:pt idx="773" formatCode="_-* #,##0_-;\-* #,##0_-;_-* &quot;-&quot;??_-;_-@_-">
                  <c:v>2800000</c:v>
                </c:pt>
                <c:pt idx="774" formatCode="_-* #,##0_-;\-* #,##0_-;_-* &quot;-&quot;??_-;_-@_-">
                  <c:v>15000</c:v>
                </c:pt>
                <c:pt idx="776" formatCode="_-* #,##0_-;\-* #,##0_-;_-* &quot;-&quot;??_-;_-@_-">
                  <c:v>295000</c:v>
                </c:pt>
                <c:pt idx="777" formatCode="_-* #,##0_-;\-* #,##0_-;_-* &quot;-&quot;??_-;_-@_-">
                  <c:v>400000</c:v>
                </c:pt>
                <c:pt idx="778" formatCode="_-* #,##0_-;\-* #,##0_-;_-* &quot;-&quot;??_-;_-@_-">
                  <c:v>1038000</c:v>
                </c:pt>
                <c:pt idx="779" formatCode="_-* #,##0_-;\-* #,##0_-;_-* &quot;-&quot;??_-;_-@_-">
                  <c:v>1000000</c:v>
                </c:pt>
                <c:pt idx="780" formatCode="_-* #,##0_-;\-* #,##0_-;_-* &quot;-&quot;??_-;_-@_-">
                  <c:v>20500</c:v>
                </c:pt>
                <c:pt idx="781" formatCode="_-* #,##0_-;\-* #,##0_-;_-* &quot;-&quot;??_-;_-@_-">
                  <c:v>54200</c:v>
                </c:pt>
                <c:pt idx="783" formatCode="_-* #,##0_-;\-* #,##0_-;_-* &quot;-&quot;??_-;_-@_-">
                  <c:v>262990</c:v>
                </c:pt>
                <c:pt idx="784" formatCode="_-* #,##0_-;\-* #,##0_-;_-* &quot;-&quot;??_-;_-@_-">
                  <c:v>1635400</c:v>
                </c:pt>
                <c:pt idx="785" formatCode="_-* #,##0_-;\-* #,##0_-;_-* &quot;-&quot;??_-;_-@_-">
                  <c:v>410000</c:v>
                </c:pt>
                <c:pt idx="787" formatCode="_-* #,##0_-;\-* #,##0_-;_-* &quot;-&quot;??_-;_-@_-">
                  <c:v>320000</c:v>
                </c:pt>
                <c:pt idx="789" formatCode="_-* #,##0_-;\-* #,##0_-;_-* &quot;-&quot;??_-;_-@_-">
                  <c:v>13000</c:v>
                </c:pt>
                <c:pt idx="791" formatCode="_-* #,##0_-;\-* #,##0_-;_-* &quot;-&quot;??_-;_-@_-">
                  <c:v>40000</c:v>
                </c:pt>
                <c:pt idx="792" formatCode="_-* #,##0_-;\-* #,##0_-;_-* &quot;-&quot;??_-;_-@_-">
                  <c:v>2115000</c:v>
                </c:pt>
                <c:pt idx="793" formatCode="_-* #,##0_-;\-* #,##0_-;_-* &quot;-&quot;??_-;_-@_-">
                  <c:v>200000</c:v>
                </c:pt>
                <c:pt idx="795" formatCode="_-* #,##0_-;\-* #,##0_-;_-* &quot;-&quot;??_-;_-@_-">
                  <c:v>112000</c:v>
                </c:pt>
                <c:pt idx="796" formatCode="_-* #,##0_-;\-* #,##0_-;_-* &quot;-&quot;??_-;_-@_-">
                  <c:v>220000</c:v>
                </c:pt>
                <c:pt idx="797" formatCode="_-* #,##0_-;\-* #,##0_-;_-* &quot;-&quot;??_-;_-@_-">
                  <c:v>1719000</c:v>
                </c:pt>
                <c:pt idx="799" formatCode="_-* #,##0_-;\-* #,##0_-;_-* &quot;-&quot;??_-;_-@_-">
                  <c:v>175500</c:v>
                </c:pt>
                <c:pt idx="803" formatCode="_-* #,##0_-;\-* #,##0_-;_-* &quot;-&quot;??_-;_-@_-">
                  <c:v>4195000</c:v>
                </c:pt>
                <c:pt idx="804" formatCode="_-* #,##0_-;\-* #,##0_-;_-* &quot;-&quot;??_-;_-@_-">
                  <c:v>4503000</c:v>
                </c:pt>
                <c:pt idx="805" formatCode="_-* #,##0_-;\-* #,##0_-;_-* &quot;-&quot;??_-;_-@_-">
                  <c:v>16000</c:v>
                </c:pt>
                <c:pt idx="806" formatCode="_-* #,##0_-;\-* #,##0_-;_-* &quot;-&quot;??_-;_-@_-">
                  <c:v>3145000</c:v>
                </c:pt>
                <c:pt idx="807" formatCode="_-* #,##0_-;\-* #,##0_-;_-* &quot;-&quot;??_-;_-@_-">
                  <c:v>7791200</c:v>
                </c:pt>
                <c:pt idx="808" formatCode="_-* #,##0_-;\-* #,##0_-;_-* &quot;-&quot;??_-;_-@_-">
                  <c:v>1646000</c:v>
                </c:pt>
                <c:pt idx="809" formatCode="_-* #,##0_-;\-* #,##0_-;_-* &quot;-&quot;??_-;_-@_-">
                  <c:v>42000</c:v>
                </c:pt>
                <c:pt idx="812" formatCode="_-* #,##0_-;\-* #,##0_-;_-* &quot;-&quot;??_-;_-@_-">
                  <c:v>250000</c:v>
                </c:pt>
                <c:pt idx="813" formatCode="_-* #,##0_-;\-* #,##0_-;_-* &quot;-&quot;??_-;_-@_-">
                  <c:v>105000</c:v>
                </c:pt>
                <c:pt idx="814" formatCode="_-* #,##0_-;\-* #,##0_-;_-* &quot;-&quot;??_-;_-@_-">
                  <c:v>5000000</c:v>
                </c:pt>
                <c:pt idx="815" formatCode="_-* #,##0_-;\-* #,##0_-;_-* &quot;-&quot;??_-;_-@_-">
                  <c:v>400000</c:v>
                </c:pt>
                <c:pt idx="817" formatCode="_-* #,##0_-;\-* #,##0_-;_-* &quot;-&quot;??_-;_-@_-">
                  <c:v>320000</c:v>
                </c:pt>
                <c:pt idx="818" formatCode="_-* #,##0_-;\-* #,##0_-;_-* &quot;-&quot;??_-;_-@_-">
                  <c:v>2361000</c:v>
                </c:pt>
                <c:pt idx="819" formatCode="_-* #,##0_-;\-* #,##0_-;_-* &quot;-&quot;??_-;_-@_-">
                  <c:v>78000</c:v>
                </c:pt>
                <c:pt idx="820" formatCode="_-* #,##0_-;\-* #,##0_-;_-* &quot;-&quot;??_-;_-@_-">
                  <c:v>300000</c:v>
                </c:pt>
                <c:pt idx="822" formatCode="_-* #,##0_-;\-* #,##0_-;_-* &quot;-&quot;??_-;_-@_-">
                  <c:v>200000</c:v>
                </c:pt>
                <c:pt idx="823" formatCode="_-* #,##0_-;\-* #,##0_-;_-* &quot;-&quot;??_-;_-@_-">
                  <c:v>3633000</c:v>
                </c:pt>
                <c:pt idx="824" formatCode="_-* #,##0_-;\-* #,##0_-;_-* &quot;-&quot;??_-;_-@_-">
                  <c:v>500000</c:v>
                </c:pt>
                <c:pt idx="825" formatCode="_-* #,##0_-;\-* #,##0_-;_-* &quot;-&quot;??_-;_-@_-">
                  <c:v>712000</c:v>
                </c:pt>
                <c:pt idx="826" formatCode="_-* #,##0_-;\-* #,##0_-;_-* &quot;-&quot;??_-;_-@_-">
                  <c:v>1355000</c:v>
                </c:pt>
                <c:pt idx="827" formatCode="_-* #,##0_-;\-* #,##0_-;_-* &quot;-&quot;??_-;_-@_-">
                  <c:v>1000000</c:v>
                </c:pt>
                <c:pt idx="828" formatCode="_-* #,##0_-;\-* #,##0_-;_-* &quot;-&quot;??_-;_-@_-">
                  <c:v>100000</c:v>
                </c:pt>
                <c:pt idx="829" formatCode="_-* #,##0_-;\-* #,##0_-;_-* &quot;-&quot;??_-;_-@_-">
                  <c:v>11699000</c:v>
                </c:pt>
                <c:pt idx="830" formatCode="_-* #,##0_-;\-* #,##0_-;_-* &quot;-&quot;??_-;_-@_-">
                  <c:v>4572000</c:v>
                </c:pt>
                <c:pt idx="832" formatCode="_-* #,##0_-;\-* #,##0_-;_-* &quot;-&quot;??_-;_-@_-">
                  <c:v>3500000</c:v>
                </c:pt>
                <c:pt idx="833" formatCode="_-* #,##0_-;\-* #,##0_-;_-* &quot;-&quot;??_-;_-@_-">
                  <c:v>220000</c:v>
                </c:pt>
                <c:pt idx="834" formatCode="_-* #,##0_-;\-* #,##0_-;_-* &quot;-&quot;??_-;_-@_-">
                  <c:v>3906000</c:v>
                </c:pt>
                <c:pt idx="836" formatCode="_-* #,##0_-;\-* #,##0_-;_-* &quot;-&quot;??_-;_-@_-">
                  <c:v>14841000</c:v>
                </c:pt>
                <c:pt idx="837" formatCode="_-* #,##0_-;\-* #,##0_-;_-* &quot;-&quot;??_-;_-@_-">
                  <c:v>2997000</c:v>
                </c:pt>
                <c:pt idx="838" formatCode="_-* #,##0_-;\-* #,##0_-;_-* &quot;-&quot;??_-;_-@_-">
                  <c:v>160000</c:v>
                </c:pt>
                <c:pt idx="839" formatCode="_-* #,##0_-;\-* #,##0_-;_-* &quot;-&quot;??_-;_-@_-">
                  <c:v>4871250</c:v>
                </c:pt>
                <c:pt idx="841" formatCode="_-* #,##0_-;\-* #,##0_-;_-* &quot;-&quot;??_-;_-@_-">
                  <c:v>600000</c:v>
                </c:pt>
                <c:pt idx="842" formatCode="_-* #,##0_-;\-* #,##0_-;_-* &quot;-&quot;??_-;_-@_-">
                  <c:v>740000</c:v>
                </c:pt>
                <c:pt idx="844" formatCode="_-* #,##0_-;\-* #,##0_-;_-* &quot;-&quot;??_-;_-@_-">
                  <c:v>4131400</c:v>
                </c:pt>
                <c:pt idx="845" formatCode="_-* #,##0_-;\-* #,##0_-;_-* &quot;-&quot;??_-;_-@_-">
                  <c:v>500000</c:v>
                </c:pt>
                <c:pt idx="847" formatCode="_-* #,##0_-;\-* #,##0_-;_-* &quot;-&quot;??_-;_-@_-">
                  <c:v>2364600</c:v>
                </c:pt>
                <c:pt idx="848" formatCode="_-* #,##0_-;\-* #,##0_-;_-* &quot;-&quot;??_-;_-@_-">
                  <c:v>150000</c:v>
                </c:pt>
                <c:pt idx="849" formatCode="_-* #,##0_-;\-* #,##0_-;_-* &quot;-&quot;??_-;_-@_-">
                  <c:v>900000</c:v>
                </c:pt>
                <c:pt idx="850" formatCode="_-* #,##0_-;\-* #,##0_-;_-* &quot;-&quot;??_-;_-@_-">
                  <c:v>220000</c:v>
                </c:pt>
                <c:pt idx="851" formatCode="_-* #,##0_-;\-* #,##0_-;_-* &quot;-&quot;??_-;_-@_-">
                  <c:v>60000</c:v>
                </c:pt>
                <c:pt idx="852" formatCode="_-* #,##0_-;\-* #,##0_-;_-* &quot;-&quot;??_-;_-@_-">
                  <c:v>100000</c:v>
                </c:pt>
                <c:pt idx="853" formatCode="_-* #,##0_-;\-* #,##0_-;_-* &quot;-&quot;??_-;_-@_-">
                  <c:v>360000</c:v>
                </c:pt>
                <c:pt idx="854" formatCode="_-* #,##0_-;\-* #,##0_-;_-* &quot;-&quot;??_-;_-@_-">
                  <c:v>6110000</c:v>
                </c:pt>
                <c:pt idx="855" formatCode="_-* #,##0_-;\-* #,##0_-;_-* &quot;-&quot;??_-;_-@_-">
                  <c:v>50000</c:v>
                </c:pt>
                <c:pt idx="856" formatCode="_-* #,##0_-;\-* #,##0_-;_-* &quot;-&quot;??_-;_-@_-">
                  <c:v>600000</c:v>
                </c:pt>
                <c:pt idx="857" formatCode="_-* #,##0_-;\-* #,##0_-;_-* &quot;-&quot;??_-;_-@_-">
                  <c:v>1620000</c:v>
                </c:pt>
                <c:pt idx="859" formatCode="_-* #,##0_-;\-* #,##0_-;_-* &quot;-&quot;??_-;_-@_-">
                  <c:v>100000</c:v>
                </c:pt>
                <c:pt idx="860" formatCode="_-* #,##0_-;\-* #,##0_-;_-* &quot;-&quot;??_-;_-@_-">
                  <c:v>3192000</c:v>
                </c:pt>
                <c:pt idx="861" formatCode="_-* #,##0_-;\-* #,##0_-;_-* &quot;-&quot;??_-;_-@_-">
                  <c:v>6450000</c:v>
                </c:pt>
                <c:pt idx="862" formatCode="_-* #,##0_-;\-* #,##0_-;_-* &quot;-&quot;??_-;_-@_-">
                  <c:v>7208000</c:v>
                </c:pt>
                <c:pt idx="863" formatCode="_-* #,##0_-;\-* #,##0_-;_-* &quot;-&quot;??_-;_-@_-">
                  <c:v>370000</c:v>
                </c:pt>
                <c:pt idx="864" formatCode="_-* #,##0_-;\-* #,##0_-;_-* &quot;-&quot;??_-;_-@_-">
                  <c:v>1000000</c:v>
                </c:pt>
                <c:pt idx="865" formatCode="_-* #,##0_-;\-* #,##0_-;_-* &quot;-&quot;??_-;_-@_-">
                  <c:v>100000</c:v>
                </c:pt>
                <c:pt idx="866" formatCode="_-* #,##0_-;\-* #,##0_-;_-* &quot;-&quot;??_-;_-@_-">
                  <c:v>1000000</c:v>
                </c:pt>
                <c:pt idx="868" formatCode="_-* #,##0_-;\-* #,##0_-;_-* &quot;-&quot;??_-;_-@_-">
                  <c:v>208700</c:v>
                </c:pt>
                <c:pt idx="870" formatCode="_-* #,##0_-;\-* #,##0_-;_-* &quot;-&quot;??_-;_-@_-">
                  <c:v>400000</c:v>
                </c:pt>
                <c:pt idx="871" formatCode="_-* #,##0_-;\-* #,##0_-;_-* &quot;-&quot;??_-;_-@_-">
                  <c:v>1077000</c:v>
                </c:pt>
                <c:pt idx="872" formatCode="_-* #,##0_-;\-* #,##0_-;_-* &quot;-&quot;??_-;_-@_-">
                  <c:v>300000</c:v>
                </c:pt>
                <c:pt idx="873" formatCode="_-* #,##0_-;\-* #,##0_-;_-* &quot;-&quot;??_-;_-@_-">
                  <c:v>1100000</c:v>
                </c:pt>
                <c:pt idx="875" formatCode="_-* #,##0_-;\-* #,##0_-;_-* &quot;-&quot;??_-;_-@_-">
                  <c:v>105000</c:v>
                </c:pt>
                <c:pt idx="876" formatCode="_-* #,##0_-;\-* #,##0_-;_-* &quot;-&quot;??_-;_-@_-">
                  <c:v>800000</c:v>
                </c:pt>
                <c:pt idx="878" formatCode="_-* #,##0_-;\-* #,##0_-;_-* &quot;-&quot;??_-;_-@_-">
                  <c:v>610000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093-4675-8CF1-E99C3E7C4480}"/>
            </c:ext>
          </c:extLst>
        </c:ser>
        <c:ser>
          <c:idx val="35"/>
          <c:order val="35"/>
          <c:tx>
            <c:strRef>
              <c:f>'CASH FLOW'!$AK$1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FLOW'!$AK$2:$AK$969</c:f>
              <c:numCache>
                <c:formatCode>General</c:formatCode>
                <c:ptCount val="968"/>
                <c:pt idx="1">
                  <c:v>0</c:v>
                </c:pt>
                <c:pt idx="5" formatCode="_-* #,##0_-;\-* #,##0_-;_-* &quot;-&quot;??_-;_-@_-">
                  <c:v>50000</c:v>
                </c:pt>
                <c:pt idx="162" formatCode="_-* #,##0_-;\-* #,##0_-;_-* &quot;-&quot;??_-;_-@_-">
                  <c:v>120000</c:v>
                </c:pt>
                <c:pt idx="214" formatCode="_-* #,##0_-;\-* #,##0_-;_-* &quot;-&quot;??_-;_-@_-">
                  <c:v>42000</c:v>
                </c:pt>
                <c:pt idx="219" formatCode="_-* #,##0_-;\-* #,##0_-;_-* &quot;-&quot;??_-;_-@_-">
                  <c:v>20000</c:v>
                </c:pt>
                <c:pt idx="234" formatCode="_-* #,##0_-;\-* #,##0_-;_-* &quot;-&quot;??_-;_-@_-">
                  <c:v>487154</c:v>
                </c:pt>
                <c:pt idx="243" formatCode="_-* #,##0_-;\-* #,##0_-;_-* &quot;-&quot;??_-;_-@_-">
                  <c:v>30000</c:v>
                </c:pt>
                <c:pt idx="278" formatCode="_-* #,##0_-;\-* #,##0_-;_-* &quot;-&quot;??_-;_-@_-">
                  <c:v>50000</c:v>
                </c:pt>
                <c:pt idx="298" formatCode="_-* #,##0_-;\-* #,##0_-;_-* &quot;-&quot;??_-;_-@_-">
                  <c:v>150000</c:v>
                </c:pt>
                <c:pt idx="355" formatCode="_-* #,##0_-;\-* #,##0_-;_-* &quot;-&quot;??_-;_-@_-">
                  <c:v>30000</c:v>
                </c:pt>
                <c:pt idx="462" formatCode="_-* #,##0_-;\-* #,##0_-;_-* &quot;-&quot;??_-;_-@_-">
                  <c:v>50000</c:v>
                </c:pt>
                <c:pt idx="537" formatCode="_-* #,##0_-;\-* #,##0_-;_-* &quot;-&quot;??_-;_-@_-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093-4675-8CF1-E99C3E7C4480}"/>
            </c:ext>
          </c:extLst>
        </c:ser>
        <c:ser>
          <c:idx val="36"/>
          <c:order val="36"/>
          <c:tx>
            <c:strRef>
              <c:f>'CASH FLOW'!$AL$1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FLOW'!$AL$2:$AL$969</c:f>
              <c:numCache>
                <c:formatCode>_-* #,##0_-;\-* #,##0_-;_-* "-"??_-;_-@_-</c:formatCode>
                <c:ptCount val="968"/>
                <c:pt idx="0">
                  <c:v>0</c:v>
                </c:pt>
                <c:pt idx="2">
                  <c:v>4305400</c:v>
                </c:pt>
                <c:pt idx="3">
                  <c:v>5000</c:v>
                </c:pt>
                <c:pt idx="4">
                  <c:v>77000</c:v>
                </c:pt>
                <c:pt idx="5">
                  <c:v>81000</c:v>
                </c:pt>
                <c:pt idx="6">
                  <c:v>2015000</c:v>
                </c:pt>
                <c:pt idx="7">
                  <c:v>50000</c:v>
                </c:pt>
                <c:pt idx="8">
                  <c:v>27000</c:v>
                </c:pt>
                <c:pt idx="9">
                  <c:v>317940</c:v>
                </c:pt>
                <c:pt idx="10">
                  <c:v>203000</c:v>
                </c:pt>
                <c:pt idx="11">
                  <c:v>19000</c:v>
                </c:pt>
                <c:pt idx="12">
                  <c:v>5013000</c:v>
                </c:pt>
                <c:pt idx="13">
                  <c:v>2000000</c:v>
                </c:pt>
                <c:pt idx="14">
                  <c:v>3000</c:v>
                </c:pt>
                <c:pt idx="15">
                  <c:v>0</c:v>
                </c:pt>
                <c:pt idx="16">
                  <c:v>1418030</c:v>
                </c:pt>
                <c:pt idx="17">
                  <c:v>142000</c:v>
                </c:pt>
                <c:pt idx="18">
                  <c:v>2000</c:v>
                </c:pt>
                <c:pt idx="19">
                  <c:v>524000</c:v>
                </c:pt>
                <c:pt idx="20">
                  <c:v>5000</c:v>
                </c:pt>
                <c:pt idx="21">
                  <c:v>75990</c:v>
                </c:pt>
                <c:pt idx="22">
                  <c:v>10000</c:v>
                </c:pt>
                <c:pt idx="23">
                  <c:v>10000</c:v>
                </c:pt>
                <c:pt idx="24">
                  <c:v>113000</c:v>
                </c:pt>
                <c:pt idx="25">
                  <c:v>16000</c:v>
                </c:pt>
                <c:pt idx="26">
                  <c:v>0</c:v>
                </c:pt>
                <c:pt idx="27">
                  <c:v>8000</c:v>
                </c:pt>
                <c:pt idx="28">
                  <c:v>1273000</c:v>
                </c:pt>
                <c:pt idx="29">
                  <c:v>7000</c:v>
                </c:pt>
                <c:pt idx="30">
                  <c:v>116000</c:v>
                </c:pt>
                <c:pt idx="31">
                  <c:v>6000</c:v>
                </c:pt>
                <c:pt idx="32">
                  <c:v>0</c:v>
                </c:pt>
                <c:pt idx="33">
                  <c:v>13500</c:v>
                </c:pt>
                <c:pt idx="34">
                  <c:v>4075000</c:v>
                </c:pt>
                <c:pt idx="35">
                  <c:v>5490400</c:v>
                </c:pt>
                <c:pt idx="36">
                  <c:v>4075000</c:v>
                </c:pt>
                <c:pt idx="37">
                  <c:v>6795000</c:v>
                </c:pt>
                <c:pt idx="38">
                  <c:v>525000</c:v>
                </c:pt>
                <c:pt idx="39">
                  <c:v>0</c:v>
                </c:pt>
                <c:pt idx="40">
                  <c:v>41000</c:v>
                </c:pt>
                <c:pt idx="41">
                  <c:v>132900</c:v>
                </c:pt>
                <c:pt idx="42">
                  <c:v>99700</c:v>
                </c:pt>
                <c:pt idx="43">
                  <c:v>4500</c:v>
                </c:pt>
                <c:pt idx="44">
                  <c:v>0</c:v>
                </c:pt>
                <c:pt idx="45">
                  <c:v>1620116</c:v>
                </c:pt>
                <c:pt idx="46">
                  <c:v>399500</c:v>
                </c:pt>
                <c:pt idx="47">
                  <c:v>24800</c:v>
                </c:pt>
                <c:pt idx="48">
                  <c:v>21000</c:v>
                </c:pt>
                <c:pt idx="49">
                  <c:v>0</c:v>
                </c:pt>
                <c:pt idx="50">
                  <c:v>100000</c:v>
                </c:pt>
                <c:pt idx="51">
                  <c:v>4000</c:v>
                </c:pt>
                <c:pt idx="52">
                  <c:v>39000</c:v>
                </c:pt>
                <c:pt idx="53">
                  <c:v>30000</c:v>
                </c:pt>
                <c:pt idx="54">
                  <c:v>20000</c:v>
                </c:pt>
                <c:pt idx="55">
                  <c:v>0</c:v>
                </c:pt>
                <c:pt idx="56">
                  <c:v>75000</c:v>
                </c:pt>
                <c:pt idx="57">
                  <c:v>207960</c:v>
                </c:pt>
                <c:pt idx="58">
                  <c:v>0</c:v>
                </c:pt>
                <c:pt idx="59">
                  <c:v>180900</c:v>
                </c:pt>
                <c:pt idx="60">
                  <c:v>0</c:v>
                </c:pt>
                <c:pt idx="61">
                  <c:v>25000</c:v>
                </c:pt>
                <c:pt idx="62">
                  <c:v>45000</c:v>
                </c:pt>
                <c:pt idx="63">
                  <c:v>3935000</c:v>
                </c:pt>
                <c:pt idx="64">
                  <c:v>22000</c:v>
                </c:pt>
                <c:pt idx="65">
                  <c:v>0</c:v>
                </c:pt>
                <c:pt idx="66">
                  <c:v>427500</c:v>
                </c:pt>
                <c:pt idx="67">
                  <c:v>4833000</c:v>
                </c:pt>
                <c:pt idx="68">
                  <c:v>2568000</c:v>
                </c:pt>
                <c:pt idx="69">
                  <c:v>3018500</c:v>
                </c:pt>
                <c:pt idx="70">
                  <c:v>3003000</c:v>
                </c:pt>
                <c:pt idx="71">
                  <c:v>118980</c:v>
                </c:pt>
                <c:pt idx="72">
                  <c:v>0</c:v>
                </c:pt>
                <c:pt idx="73">
                  <c:v>3022000</c:v>
                </c:pt>
                <c:pt idx="74">
                  <c:v>2295000</c:v>
                </c:pt>
                <c:pt idx="75">
                  <c:v>1794992</c:v>
                </c:pt>
                <c:pt idx="76">
                  <c:v>0</c:v>
                </c:pt>
                <c:pt idx="77">
                  <c:v>489000</c:v>
                </c:pt>
                <c:pt idx="78">
                  <c:v>631400</c:v>
                </c:pt>
                <c:pt idx="79">
                  <c:v>4000</c:v>
                </c:pt>
                <c:pt idx="80">
                  <c:v>33500</c:v>
                </c:pt>
                <c:pt idx="81">
                  <c:v>223000</c:v>
                </c:pt>
                <c:pt idx="82">
                  <c:v>27000</c:v>
                </c:pt>
                <c:pt idx="83">
                  <c:v>113980</c:v>
                </c:pt>
                <c:pt idx="84">
                  <c:v>144920</c:v>
                </c:pt>
                <c:pt idx="85">
                  <c:v>3000</c:v>
                </c:pt>
                <c:pt idx="86">
                  <c:v>103980</c:v>
                </c:pt>
                <c:pt idx="87">
                  <c:v>17000</c:v>
                </c:pt>
                <c:pt idx="88">
                  <c:v>38000</c:v>
                </c:pt>
                <c:pt idx="89">
                  <c:v>119980</c:v>
                </c:pt>
                <c:pt idx="90">
                  <c:v>123000</c:v>
                </c:pt>
                <c:pt idx="91">
                  <c:v>29000</c:v>
                </c:pt>
                <c:pt idx="92">
                  <c:v>0</c:v>
                </c:pt>
                <c:pt idx="93">
                  <c:v>0</c:v>
                </c:pt>
                <c:pt idx="94">
                  <c:v>4625400</c:v>
                </c:pt>
                <c:pt idx="95">
                  <c:v>896500</c:v>
                </c:pt>
                <c:pt idx="96">
                  <c:v>7600000</c:v>
                </c:pt>
                <c:pt idx="97">
                  <c:v>4437000</c:v>
                </c:pt>
                <c:pt idx="98">
                  <c:v>1327000</c:v>
                </c:pt>
                <c:pt idx="99">
                  <c:v>57000</c:v>
                </c:pt>
                <c:pt idx="100">
                  <c:v>32000</c:v>
                </c:pt>
                <c:pt idx="101">
                  <c:v>3023500</c:v>
                </c:pt>
                <c:pt idx="102">
                  <c:v>20000</c:v>
                </c:pt>
                <c:pt idx="103">
                  <c:v>3491200</c:v>
                </c:pt>
                <c:pt idx="104">
                  <c:v>54000</c:v>
                </c:pt>
                <c:pt idx="105">
                  <c:v>4000</c:v>
                </c:pt>
                <c:pt idx="106">
                  <c:v>7000</c:v>
                </c:pt>
                <c:pt idx="107">
                  <c:v>103980</c:v>
                </c:pt>
                <c:pt idx="108">
                  <c:v>87000</c:v>
                </c:pt>
                <c:pt idx="109">
                  <c:v>3000</c:v>
                </c:pt>
                <c:pt idx="110">
                  <c:v>145000</c:v>
                </c:pt>
                <c:pt idx="111">
                  <c:v>458700</c:v>
                </c:pt>
                <c:pt idx="112">
                  <c:v>53000</c:v>
                </c:pt>
                <c:pt idx="113">
                  <c:v>3000</c:v>
                </c:pt>
                <c:pt idx="114">
                  <c:v>0</c:v>
                </c:pt>
                <c:pt idx="115">
                  <c:v>0</c:v>
                </c:pt>
                <c:pt idx="116">
                  <c:v>3000</c:v>
                </c:pt>
                <c:pt idx="117">
                  <c:v>44000</c:v>
                </c:pt>
                <c:pt idx="118">
                  <c:v>579700</c:v>
                </c:pt>
                <c:pt idx="119">
                  <c:v>477000</c:v>
                </c:pt>
                <c:pt idx="120">
                  <c:v>0</c:v>
                </c:pt>
                <c:pt idx="121">
                  <c:v>0</c:v>
                </c:pt>
                <c:pt idx="122">
                  <c:v>250000</c:v>
                </c:pt>
                <c:pt idx="123">
                  <c:v>2276000</c:v>
                </c:pt>
                <c:pt idx="124">
                  <c:v>4491400</c:v>
                </c:pt>
                <c:pt idx="125">
                  <c:v>2013000</c:v>
                </c:pt>
                <c:pt idx="126">
                  <c:v>2246880</c:v>
                </c:pt>
                <c:pt idx="127">
                  <c:v>620000</c:v>
                </c:pt>
                <c:pt idx="128">
                  <c:v>0</c:v>
                </c:pt>
                <c:pt idx="129">
                  <c:v>105000</c:v>
                </c:pt>
                <c:pt idx="130">
                  <c:v>53000</c:v>
                </c:pt>
                <c:pt idx="131">
                  <c:v>4090000</c:v>
                </c:pt>
                <c:pt idx="132">
                  <c:v>3008000</c:v>
                </c:pt>
                <c:pt idx="133">
                  <c:v>102380</c:v>
                </c:pt>
                <c:pt idx="134">
                  <c:v>5055000</c:v>
                </c:pt>
                <c:pt idx="135">
                  <c:v>30000</c:v>
                </c:pt>
                <c:pt idx="136">
                  <c:v>16000</c:v>
                </c:pt>
                <c:pt idx="137">
                  <c:v>140000</c:v>
                </c:pt>
                <c:pt idx="138">
                  <c:v>5000</c:v>
                </c:pt>
                <c:pt idx="139">
                  <c:v>9000</c:v>
                </c:pt>
                <c:pt idx="140">
                  <c:v>289380</c:v>
                </c:pt>
                <c:pt idx="141">
                  <c:v>3000</c:v>
                </c:pt>
                <c:pt idx="142">
                  <c:v>39000</c:v>
                </c:pt>
                <c:pt idx="143">
                  <c:v>59000</c:v>
                </c:pt>
                <c:pt idx="144">
                  <c:v>507000</c:v>
                </c:pt>
                <c:pt idx="145">
                  <c:v>223000</c:v>
                </c:pt>
                <c:pt idx="146">
                  <c:v>106380</c:v>
                </c:pt>
                <c:pt idx="147">
                  <c:v>2953000</c:v>
                </c:pt>
                <c:pt idx="148">
                  <c:v>1126000</c:v>
                </c:pt>
                <c:pt idx="149">
                  <c:v>0</c:v>
                </c:pt>
                <c:pt idx="150">
                  <c:v>21000</c:v>
                </c:pt>
                <c:pt idx="151">
                  <c:v>3000</c:v>
                </c:pt>
                <c:pt idx="152">
                  <c:v>2133000</c:v>
                </c:pt>
                <c:pt idx="153">
                  <c:v>1030300</c:v>
                </c:pt>
                <c:pt idx="154">
                  <c:v>748400</c:v>
                </c:pt>
                <c:pt idx="155">
                  <c:v>47000</c:v>
                </c:pt>
                <c:pt idx="156">
                  <c:v>1605679</c:v>
                </c:pt>
                <c:pt idx="157">
                  <c:v>15000</c:v>
                </c:pt>
                <c:pt idx="158">
                  <c:v>5000</c:v>
                </c:pt>
                <c:pt idx="159">
                  <c:v>30000</c:v>
                </c:pt>
                <c:pt idx="160">
                  <c:v>1626760</c:v>
                </c:pt>
                <c:pt idx="161">
                  <c:v>46600</c:v>
                </c:pt>
                <c:pt idx="162">
                  <c:v>1220000</c:v>
                </c:pt>
                <c:pt idx="163">
                  <c:v>200000</c:v>
                </c:pt>
                <c:pt idx="164">
                  <c:v>1582350</c:v>
                </c:pt>
                <c:pt idx="165">
                  <c:v>3503000</c:v>
                </c:pt>
                <c:pt idx="166">
                  <c:v>3004000</c:v>
                </c:pt>
                <c:pt idx="167">
                  <c:v>2034000</c:v>
                </c:pt>
                <c:pt idx="168">
                  <c:v>255000</c:v>
                </c:pt>
                <c:pt idx="169">
                  <c:v>8000</c:v>
                </c:pt>
                <c:pt idx="170">
                  <c:v>1519000</c:v>
                </c:pt>
                <c:pt idx="171">
                  <c:v>3281600</c:v>
                </c:pt>
                <c:pt idx="172">
                  <c:v>3000</c:v>
                </c:pt>
                <c:pt idx="173">
                  <c:v>103000</c:v>
                </c:pt>
                <c:pt idx="174">
                  <c:v>540000</c:v>
                </c:pt>
                <c:pt idx="175">
                  <c:v>155000</c:v>
                </c:pt>
                <c:pt idx="176">
                  <c:v>9000</c:v>
                </c:pt>
                <c:pt idx="177">
                  <c:v>412000</c:v>
                </c:pt>
                <c:pt idx="178">
                  <c:v>0</c:v>
                </c:pt>
                <c:pt idx="179">
                  <c:v>74000</c:v>
                </c:pt>
                <c:pt idx="180">
                  <c:v>338000</c:v>
                </c:pt>
                <c:pt idx="181">
                  <c:v>1562600</c:v>
                </c:pt>
                <c:pt idx="182">
                  <c:v>62200</c:v>
                </c:pt>
                <c:pt idx="183">
                  <c:v>3695400</c:v>
                </c:pt>
                <c:pt idx="184">
                  <c:v>100380</c:v>
                </c:pt>
                <c:pt idx="185">
                  <c:v>11000</c:v>
                </c:pt>
                <c:pt idx="186">
                  <c:v>112000</c:v>
                </c:pt>
                <c:pt idx="187">
                  <c:v>0</c:v>
                </c:pt>
                <c:pt idx="188">
                  <c:v>103380</c:v>
                </c:pt>
                <c:pt idx="189">
                  <c:v>3000</c:v>
                </c:pt>
                <c:pt idx="190">
                  <c:v>3000</c:v>
                </c:pt>
                <c:pt idx="191">
                  <c:v>180000</c:v>
                </c:pt>
                <c:pt idx="192">
                  <c:v>4003000</c:v>
                </c:pt>
                <c:pt idx="193">
                  <c:v>3000</c:v>
                </c:pt>
                <c:pt idx="194">
                  <c:v>61000</c:v>
                </c:pt>
                <c:pt idx="195">
                  <c:v>3000</c:v>
                </c:pt>
                <c:pt idx="196">
                  <c:v>2119880</c:v>
                </c:pt>
                <c:pt idx="197">
                  <c:v>3502000</c:v>
                </c:pt>
                <c:pt idx="198">
                  <c:v>0</c:v>
                </c:pt>
                <c:pt idx="199">
                  <c:v>1500000</c:v>
                </c:pt>
                <c:pt idx="200">
                  <c:v>463000</c:v>
                </c:pt>
                <c:pt idx="201">
                  <c:v>129000</c:v>
                </c:pt>
                <c:pt idx="202">
                  <c:v>1676760</c:v>
                </c:pt>
                <c:pt idx="203">
                  <c:v>280000</c:v>
                </c:pt>
                <c:pt idx="204">
                  <c:v>26000</c:v>
                </c:pt>
                <c:pt idx="205">
                  <c:v>1000000</c:v>
                </c:pt>
                <c:pt idx="206">
                  <c:v>1137190</c:v>
                </c:pt>
                <c:pt idx="207">
                  <c:v>113000</c:v>
                </c:pt>
                <c:pt idx="208">
                  <c:v>20000</c:v>
                </c:pt>
                <c:pt idx="209">
                  <c:v>50000</c:v>
                </c:pt>
                <c:pt idx="210">
                  <c:v>45000</c:v>
                </c:pt>
                <c:pt idx="211">
                  <c:v>26000</c:v>
                </c:pt>
                <c:pt idx="212">
                  <c:v>13000</c:v>
                </c:pt>
                <c:pt idx="213">
                  <c:v>10000</c:v>
                </c:pt>
                <c:pt idx="214">
                  <c:v>1772228</c:v>
                </c:pt>
                <c:pt idx="215">
                  <c:v>3957400</c:v>
                </c:pt>
                <c:pt idx="216">
                  <c:v>513000</c:v>
                </c:pt>
                <c:pt idx="217">
                  <c:v>100000</c:v>
                </c:pt>
                <c:pt idx="218">
                  <c:v>203000</c:v>
                </c:pt>
                <c:pt idx="219">
                  <c:v>20000</c:v>
                </c:pt>
                <c:pt idx="220">
                  <c:v>130000</c:v>
                </c:pt>
                <c:pt idx="221">
                  <c:v>3085000</c:v>
                </c:pt>
                <c:pt idx="222">
                  <c:v>2503000</c:v>
                </c:pt>
                <c:pt idx="223">
                  <c:v>503000</c:v>
                </c:pt>
                <c:pt idx="224">
                  <c:v>1347980</c:v>
                </c:pt>
                <c:pt idx="225">
                  <c:v>2003000</c:v>
                </c:pt>
                <c:pt idx="226">
                  <c:v>5000000</c:v>
                </c:pt>
                <c:pt idx="227">
                  <c:v>34000</c:v>
                </c:pt>
                <c:pt idx="228">
                  <c:v>3476581</c:v>
                </c:pt>
                <c:pt idx="229">
                  <c:v>460000</c:v>
                </c:pt>
                <c:pt idx="230">
                  <c:v>6000</c:v>
                </c:pt>
                <c:pt idx="231">
                  <c:v>102000</c:v>
                </c:pt>
                <c:pt idx="232">
                  <c:v>1937400</c:v>
                </c:pt>
                <c:pt idx="233">
                  <c:v>16500</c:v>
                </c:pt>
                <c:pt idx="234">
                  <c:v>736554</c:v>
                </c:pt>
                <c:pt idx="235">
                  <c:v>109000</c:v>
                </c:pt>
                <c:pt idx="236">
                  <c:v>30000</c:v>
                </c:pt>
                <c:pt idx="237">
                  <c:v>1018000</c:v>
                </c:pt>
                <c:pt idx="238">
                  <c:v>3000</c:v>
                </c:pt>
                <c:pt idx="239">
                  <c:v>171300</c:v>
                </c:pt>
                <c:pt idx="240">
                  <c:v>0</c:v>
                </c:pt>
                <c:pt idx="241">
                  <c:v>33000</c:v>
                </c:pt>
                <c:pt idx="242">
                  <c:v>30000</c:v>
                </c:pt>
                <c:pt idx="243">
                  <c:v>122600</c:v>
                </c:pt>
                <c:pt idx="244">
                  <c:v>0</c:v>
                </c:pt>
                <c:pt idx="245">
                  <c:v>711400</c:v>
                </c:pt>
                <c:pt idx="246">
                  <c:v>3372400</c:v>
                </c:pt>
                <c:pt idx="247">
                  <c:v>0</c:v>
                </c:pt>
                <c:pt idx="248">
                  <c:v>13000</c:v>
                </c:pt>
                <c:pt idx="249">
                  <c:v>70000</c:v>
                </c:pt>
                <c:pt idx="250">
                  <c:v>708000</c:v>
                </c:pt>
                <c:pt idx="251">
                  <c:v>1100400</c:v>
                </c:pt>
                <c:pt idx="252">
                  <c:v>120000</c:v>
                </c:pt>
                <c:pt idx="253">
                  <c:v>1003000</c:v>
                </c:pt>
                <c:pt idx="254">
                  <c:v>2900000</c:v>
                </c:pt>
                <c:pt idx="255">
                  <c:v>2003000</c:v>
                </c:pt>
                <c:pt idx="256">
                  <c:v>3571000</c:v>
                </c:pt>
                <c:pt idx="257">
                  <c:v>1569000</c:v>
                </c:pt>
                <c:pt idx="258">
                  <c:v>1442300</c:v>
                </c:pt>
                <c:pt idx="259">
                  <c:v>1003000</c:v>
                </c:pt>
                <c:pt idx="260">
                  <c:v>3513000</c:v>
                </c:pt>
                <c:pt idx="261">
                  <c:v>3000000</c:v>
                </c:pt>
                <c:pt idx="262">
                  <c:v>551000</c:v>
                </c:pt>
                <c:pt idx="263">
                  <c:v>1710000</c:v>
                </c:pt>
                <c:pt idx="264">
                  <c:v>287800</c:v>
                </c:pt>
                <c:pt idx="265">
                  <c:v>68000</c:v>
                </c:pt>
                <c:pt idx="266">
                  <c:v>35000</c:v>
                </c:pt>
                <c:pt idx="267">
                  <c:v>1024000</c:v>
                </c:pt>
                <c:pt idx="268">
                  <c:v>0</c:v>
                </c:pt>
                <c:pt idx="269">
                  <c:v>840400</c:v>
                </c:pt>
                <c:pt idx="270">
                  <c:v>46000</c:v>
                </c:pt>
                <c:pt idx="271">
                  <c:v>3000</c:v>
                </c:pt>
                <c:pt idx="272">
                  <c:v>6000</c:v>
                </c:pt>
                <c:pt idx="273">
                  <c:v>32000</c:v>
                </c:pt>
                <c:pt idx="274">
                  <c:v>2257900</c:v>
                </c:pt>
                <c:pt idx="275">
                  <c:v>2761400</c:v>
                </c:pt>
                <c:pt idx="276">
                  <c:v>83000</c:v>
                </c:pt>
                <c:pt idx="277">
                  <c:v>78000</c:v>
                </c:pt>
                <c:pt idx="278">
                  <c:v>2353000</c:v>
                </c:pt>
                <c:pt idx="279">
                  <c:v>2566000</c:v>
                </c:pt>
                <c:pt idx="280">
                  <c:v>3006000</c:v>
                </c:pt>
                <c:pt idx="281">
                  <c:v>4430000</c:v>
                </c:pt>
                <c:pt idx="282">
                  <c:v>2000000</c:v>
                </c:pt>
                <c:pt idx="283">
                  <c:v>4345000</c:v>
                </c:pt>
                <c:pt idx="284">
                  <c:v>53000</c:v>
                </c:pt>
                <c:pt idx="285">
                  <c:v>535000</c:v>
                </c:pt>
                <c:pt idx="286">
                  <c:v>26000</c:v>
                </c:pt>
                <c:pt idx="287">
                  <c:v>149000</c:v>
                </c:pt>
                <c:pt idx="288">
                  <c:v>69000</c:v>
                </c:pt>
                <c:pt idx="289">
                  <c:v>7000</c:v>
                </c:pt>
                <c:pt idx="290">
                  <c:v>2519402</c:v>
                </c:pt>
                <c:pt idx="291">
                  <c:v>586000</c:v>
                </c:pt>
                <c:pt idx="292">
                  <c:v>21000</c:v>
                </c:pt>
                <c:pt idx="293">
                  <c:v>73500</c:v>
                </c:pt>
                <c:pt idx="294">
                  <c:v>3000</c:v>
                </c:pt>
                <c:pt idx="295">
                  <c:v>202400</c:v>
                </c:pt>
                <c:pt idx="296">
                  <c:v>121400</c:v>
                </c:pt>
                <c:pt idx="297">
                  <c:v>6000</c:v>
                </c:pt>
                <c:pt idx="298">
                  <c:v>163000</c:v>
                </c:pt>
                <c:pt idx="299">
                  <c:v>150000</c:v>
                </c:pt>
                <c:pt idx="300">
                  <c:v>152700</c:v>
                </c:pt>
                <c:pt idx="301">
                  <c:v>133400</c:v>
                </c:pt>
                <c:pt idx="302">
                  <c:v>102400</c:v>
                </c:pt>
                <c:pt idx="303">
                  <c:v>0</c:v>
                </c:pt>
                <c:pt idx="304">
                  <c:v>220800</c:v>
                </c:pt>
                <c:pt idx="305">
                  <c:v>533000</c:v>
                </c:pt>
                <c:pt idx="306">
                  <c:v>35500</c:v>
                </c:pt>
                <c:pt idx="307">
                  <c:v>3681400</c:v>
                </c:pt>
                <c:pt idx="308">
                  <c:v>367400</c:v>
                </c:pt>
                <c:pt idx="309">
                  <c:v>51500</c:v>
                </c:pt>
                <c:pt idx="310">
                  <c:v>0</c:v>
                </c:pt>
                <c:pt idx="311">
                  <c:v>120400</c:v>
                </c:pt>
                <c:pt idx="312">
                  <c:v>2900400</c:v>
                </c:pt>
                <c:pt idx="313">
                  <c:v>19000</c:v>
                </c:pt>
                <c:pt idx="314">
                  <c:v>3572000</c:v>
                </c:pt>
                <c:pt idx="315">
                  <c:v>2597400</c:v>
                </c:pt>
                <c:pt idx="316">
                  <c:v>1644299</c:v>
                </c:pt>
                <c:pt idx="317">
                  <c:v>2020000</c:v>
                </c:pt>
                <c:pt idx="318">
                  <c:v>2353000</c:v>
                </c:pt>
                <c:pt idx="319">
                  <c:v>2103000</c:v>
                </c:pt>
                <c:pt idx="320">
                  <c:v>1342000</c:v>
                </c:pt>
                <c:pt idx="321">
                  <c:v>658238</c:v>
                </c:pt>
                <c:pt idx="322">
                  <c:v>23000</c:v>
                </c:pt>
                <c:pt idx="323">
                  <c:v>83000</c:v>
                </c:pt>
                <c:pt idx="324">
                  <c:v>0</c:v>
                </c:pt>
                <c:pt idx="325">
                  <c:v>17000</c:v>
                </c:pt>
                <c:pt idx="326">
                  <c:v>1006000</c:v>
                </c:pt>
                <c:pt idx="327">
                  <c:v>60000</c:v>
                </c:pt>
                <c:pt idx="328">
                  <c:v>575500</c:v>
                </c:pt>
                <c:pt idx="329">
                  <c:v>39000</c:v>
                </c:pt>
                <c:pt idx="330">
                  <c:v>6000</c:v>
                </c:pt>
                <c:pt idx="331">
                  <c:v>247400</c:v>
                </c:pt>
                <c:pt idx="332">
                  <c:v>185182</c:v>
                </c:pt>
                <c:pt idx="333">
                  <c:v>57000</c:v>
                </c:pt>
                <c:pt idx="334">
                  <c:v>15000</c:v>
                </c:pt>
                <c:pt idx="335">
                  <c:v>2085000</c:v>
                </c:pt>
                <c:pt idx="336">
                  <c:v>3000</c:v>
                </c:pt>
                <c:pt idx="337">
                  <c:v>1850400</c:v>
                </c:pt>
                <c:pt idx="338">
                  <c:v>0</c:v>
                </c:pt>
                <c:pt idx="339">
                  <c:v>204000</c:v>
                </c:pt>
                <c:pt idx="340">
                  <c:v>70000</c:v>
                </c:pt>
                <c:pt idx="341">
                  <c:v>203000</c:v>
                </c:pt>
                <c:pt idx="342">
                  <c:v>400400</c:v>
                </c:pt>
                <c:pt idx="343">
                  <c:v>2080000</c:v>
                </c:pt>
                <c:pt idx="344">
                  <c:v>28500</c:v>
                </c:pt>
                <c:pt idx="345">
                  <c:v>1308000</c:v>
                </c:pt>
                <c:pt idx="346">
                  <c:v>2091000</c:v>
                </c:pt>
                <c:pt idx="347">
                  <c:v>1003000</c:v>
                </c:pt>
                <c:pt idx="348">
                  <c:v>1503000</c:v>
                </c:pt>
                <c:pt idx="349">
                  <c:v>5497800</c:v>
                </c:pt>
                <c:pt idx="350">
                  <c:v>8000</c:v>
                </c:pt>
                <c:pt idx="351">
                  <c:v>2066000</c:v>
                </c:pt>
                <c:pt idx="352">
                  <c:v>2658000</c:v>
                </c:pt>
                <c:pt idx="353">
                  <c:v>56000</c:v>
                </c:pt>
                <c:pt idx="354">
                  <c:v>223000</c:v>
                </c:pt>
                <c:pt idx="355">
                  <c:v>278000</c:v>
                </c:pt>
                <c:pt idx="356">
                  <c:v>64500</c:v>
                </c:pt>
                <c:pt idx="357">
                  <c:v>734000</c:v>
                </c:pt>
                <c:pt idx="358">
                  <c:v>138000</c:v>
                </c:pt>
                <c:pt idx="359">
                  <c:v>1245000</c:v>
                </c:pt>
                <c:pt idx="360">
                  <c:v>3927000</c:v>
                </c:pt>
                <c:pt idx="361">
                  <c:v>109000</c:v>
                </c:pt>
                <c:pt idx="362">
                  <c:v>95400</c:v>
                </c:pt>
                <c:pt idx="363">
                  <c:v>1319000</c:v>
                </c:pt>
                <c:pt idx="364">
                  <c:v>44000</c:v>
                </c:pt>
                <c:pt idx="365">
                  <c:v>73000</c:v>
                </c:pt>
                <c:pt idx="366">
                  <c:v>127400</c:v>
                </c:pt>
                <c:pt idx="367">
                  <c:v>6000</c:v>
                </c:pt>
                <c:pt idx="368">
                  <c:v>6000</c:v>
                </c:pt>
                <c:pt idx="369">
                  <c:v>13000</c:v>
                </c:pt>
                <c:pt idx="370">
                  <c:v>1195400</c:v>
                </c:pt>
                <c:pt idx="371">
                  <c:v>1095400</c:v>
                </c:pt>
                <c:pt idx="372">
                  <c:v>28000</c:v>
                </c:pt>
                <c:pt idx="373">
                  <c:v>1163000</c:v>
                </c:pt>
                <c:pt idx="374">
                  <c:v>7810500</c:v>
                </c:pt>
                <c:pt idx="375">
                  <c:v>173000</c:v>
                </c:pt>
                <c:pt idx="376">
                  <c:v>632600</c:v>
                </c:pt>
                <c:pt idx="377">
                  <c:v>1503000</c:v>
                </c:pt>
                <c:pt idx="378">
                  <c:v>1398000</c:v>
                </c:pt>
                <c:pt idx="379">
                  <c:v>566500</c:v>
                </c:pt>
                <c:pt idx="380">
                  <c:v>2885000</c:v>
                </c:pt>
                <c:pt idx="381">
                  <c:v>515000</c:v>
                </c:pt>
                <c:pt idx="382">
                  <c:v>813000</c:v>
                </c:pt>
                <c:pt idx="383">
                  <c:v>3000</c:v>
                </c:pt>
                <c:pt idx="384">
                  <c:v>1803000</c:v>
                </c:pt>
                <c:pt idx="385">
                  <c:v>3000</c:v>
                </c:pt>
                <c:pt idx="386">
                  <c:v>440600</c:v>
                </c:pt>
                <c:pt idx="387">
                  <c:v>463200</c:v>
                </c:pt>
                <c:pt idx="388">
                  <c:v>101600</c:v>
                </c:pt>
                <c:pt idx="389">
                  <c:v>0</c:v>
                </c:pt>
                <c:pt idx="390">
                  <c:v>256700</c:v>
                </c:pt>
                <c:pt idx="391">
                  <c:v>559000</c:v>
                </c:pt>
                <c:pt idx="392">
                  <c:v>6000</c:v>
                </c:pt>
                <c:pt idx="393">
                  <c:v>2728500</c:v>
                </c:pt>
                <c:pt idx="394">
                  <c:v>100000</c:v>
                </c:pt>
                <c:pt idx="395">
                  <c:v>1637980</c:v>
                </c:pt>
                <c:pt idx="396">
                  <c:v>1028160</c:v>
                </c:pt>
                <c:pt idx="397">
                  <c:v>0</c:v>
                </c:pt>
                <c:pt idx="398">
                  <c:v>1669869</c:v>
                </c:pt>
                <c:pt idx="399">
                  <c:v>4278400</c:v>
                </c:pt>
                <c:pt idx="400">
                  <c:v>13000</c:v>
                </c:pt>
                <c:pt idx="401">
                  <c:v>1070000</c:v>
                </c:pt>
                <c:pt idx="402">
                  <c:v>104000</c:v>
                </c:pt>
                <c:pt idx="403">
                  <c:v>3003000</c:v>
                </c:pt>
                <c:pt idx="404">
                  <c:v>3658980</c:v>
                </c:pt>
                <c:pt idx="405">
                  <c:v>4347000</c:v>
                </c:pt>
                <c:pt idx="406">
                  <c:v>2298980</c:v>
                </c:pt>
                <c:pt idx="407">
                  <c:v>4230000</c:v>
                </c:pt>
                <c:pt idx="408">
                  <c:v>0</c:v>
                </c:pt>
                <c:pt idx="409">
                  <c:v>58000</c:v>
                </c:pt>
                <c:pt idx="410">
                  <c:v>155980</c:v>
                </c:pt>
                <c:pt idx="411">
                  <c:v>7000</c:v>
                </c:pt>
                <c:pt idx="412">
                  <c:v>3000</c:v>
                </c:pt>
                <c:pt idx="413">
                  <c:v>1805928</c:v>
                </c:pt>
                <c:pt idx="414">
                  <c:v>13000</c:v>
                </c:pt>
                <c:pt idx="415">
                  <c:v>100000</c:v>
                </c:pt>
                <c:pt idx="416">
                  <c:v>31000</c:v>
                </c:pt>
                <c:pt idx="417">
                  <c:v>182980</c:v>
                </c:pt>
                <c:pt idx="418">
                  <c:v>0</c:v>
                </c:pt>
                <c:pt idx="419">
                  <c:v>15000</c:v>
                </c:pt>
                <c:pt idx="420">
                  <c:v>19000</c:v>
                </c:pt>
                <c:pt idx="421">
                  <c:v>305000</c:v>
                </c:pt>
                <c:pt idx="422">
                  <c:v>95980</c:v>
                </c:pt>
                <c:pt idx="423">
                  <c:v>96900</c:v>
                </c:pt>
                <c:pt idx="424">
                  <c:v>1464480</c:v>
                </c:pt>
                <c:pt idx="425">
                  <c:v>3000</c:v>
                </c:pt>
                <c:pt idx="426">
                  <c:v>3807000</c:v>
                </c:pt>
                <c:pt idx="427">
                  <c:v>1139000</c:v>
                </c:pt>
                <c:pt idx="428">
                  <c:v>68000</c:v>
                </c:pt>
                <c:pt idx="429">
                  <c:v>39000</c:v>
                </c:pt>
                <c:pt idx="430">
                  <c:v>1939000</c:v>
                </c:pt>
                <c:pt idx="431">
                  <c:v>4000000</c:v>
                </c:pt>
                <c:pt idx="432">
                  <c:v>152980</c:v>
                </c:pt>
                <c:pt idx="433">
                  <c:v>105980</c:v>
                </c:pt>
                <c:pt idx="434">
                  <c:v>2312000</c:v>
                </c:pt>
                <c:pt idx="435">
                  <c:v>207000</c:v>
                </c:pt>
                <c:pt idx="436">
                  <c:v>500000</c:v>
                </c:pt>
                <c:pt idx="437">
                  <c:v>3383660</c:v>
                </c:pt>
                <c:pt idx="438">
                  <c:v>1883980</c:v>
                </c:pt>
                <c:pt idx="439">
                  <c:v>394960</c:v>
                </c:pt>
                <c:pt idx="440">
                  <c:v>7000</c:v>
                </c:pt>
                <c:pt idx="441">
                  <c:v>0</c:v>
                </c:pt>
                <c:pt idx="442">
                  <c:v>106000</c:v>
                </c:pt>
                <c:pt idx="443">
                  <c:v>0</c:v>
                </c:pt>
                <c:pt idx="444">
                  <c:v>503000</c:v>
                </c:pt>
                <c:pt idx="445">
                  <c:v>108000</c:v>
                </c:pt>
                <c:pt idx="446">
                  <c:v>3000</c:v>
                </c:pt>
                <c:pt idx="447">
                  <c:v>3000</c:v>
                </c:pt>
                <c:pt idx="448">
                  <c:v>99600</c:v>
                </c:pt>
                <c:pt idx="449">
                  <c:v>523000</c:v>
                </c:pt>
                <c:pt idx="450">
                  <c:v>50000</c:v>
                </c:pt>
                <c:pt idx="451">
                  <c:v>34000</c:v>
                </c:pt>
                <c:pt idx="452">
                  <c:v>533000</c:v>
                </c:pt>
                <c:pt idx="453">
                  <c:v>445200</c:v>
                </c:pt>
                <c:pt idx="454">
                  <c:v>1322800</c:v>
                </c:pt>
                <c:pt idx="455">
                  <c:v>610661</c:v>
                </c:pt>
                <c:pt idx="456">
                  <c:v>1498400</c:v>
                </c:pt>
                <c:pt idx="457">
                  <c:v>20000</c:v>
                </c:pt>
                <c:pt idx="458">
                  <c:v>5574700</c:v>
                </c:pt>
                <c:pt idx="459">
                  <c:v>692600</c:v>
                </c:pt>
                <c:pt idx="460">
                  <c:v>1096600</c:v>
                </c:pt>
                <c:pt idx="461">
                  <c:v>1753000</c:v>
                </c:pt>
                <c:pt idx="462">
                  <c:v>356600</c:v>
                </c:pt>
                <c:pt idx="463">
                  <c:v>3000</c:v>
                </c:pt>
                <c:pt idx="464">
                  <c:v>5000000</c:v>
                </c:pt>
                <c:pt idx="465">
                  <c:v>2216000</c:v>
                </c:pt>
                <c:pt idx="466">
                  <c:v>1135000</c:v>
                </c:pt>
                <c:pt idx="467">
                  <c:v>41000</c:v>
                </c:pt>
                <c:pt idx="468">
                  <c:v>8000</c:v>
                </c:pt>
                <c:pt idx="469">
                  <c:v>122150</c:v>
                </c:pt>
                <c:pt idx="470">
                  <c:v>3000</c:v>
                </c:pt>
                <c:pt idx="471">
                  <c:v>223800</c:v>
                </c:pt>
                <c:pt idx="472">
                  <c:v>100180</c:v>
                </c:pt>
                <c:pt idx="473">
                  <c:v>51000</c:v>
                </c:pt>
                <c:pt idx="474">
                  <c:v>78000</c:v>
                </c:pt>
                <c:pt idx="475">
                  <c:v>994860</c:v>
                </c:pt>
                <c:pt idx="476">
                  <c:v>0</c:v>
                </c:pt>
                <c:pt idx="477">
                  <c:v>1263680</c:v>
                </c:pt>
                <c:pt idx="478">
                  <c:v>204000</c:v>
                </c:pt>
                <c:pt idx="479">
                  <c:v>0</c:v>
                </c:pt>
                <c:pt idx="480">
                  <c:v>438580</c:v>
                </c:pt>
                <c:pt idx="481">
                  <c:v>342000</c:v>
                </c:pt>
                <c:pt idx="482">
                  <c:v>3000</c:v>
                </c:pt>
                <c:pt idx="483">
                  <c:v>100580</c:v>
                </c:pt>
                <c:pt idx="484">
                  <c:v>96000</c:v>
                </c:pt>
                <c:pt idx="485">
                  <c:v>759680</c:v>
                </c:pt>
                <c:pt idx="486">
                  <c:v>400200</c:v>
                </c:pt>
                <c:pt idx="487">
                  <c:v>3213580</c:v>
                </c:pt>
                <c:pt idx="488">
                  <c:v>1323000</c:v>
                </c:pt>
                <c:pt idx="489">
                  <c:v>100000</c:v>
                </c:pt>
                <c:pt idx="490">
                  <c:v>75500</c:v>
                </c:pt>
                <c:pt idx="491">
                  <c:v>2603580</c:v>
                </c:pt>
                <c:pt idx="492">
                  <c:v>2945160</c:v>
                </c:pt>
                <c:pt idx="493">
                  <c:v>3036000</c:v>
                </c:pt>
                <c:pt idx="494">
                  <c:v>1603000</c:v>
                </c:pt>
                <c:pt idx="495">
                  <c:v>5053160</c:v>
                </c:pt>
                <c:pt idx="496">
                  <c:v>418160</c:v>
                </c:pt>
                <c:pt idx="497">
                  <c:v>888160</c:v>
                </c:pt>
                <c:pt idx="498">
                  <c:v>315740</c:v>
                </c:pt>
                <c:pt idx="499">
                  <c:v>97580</c:v>
                </c:pt>
                <c:pt idx="500">
                  <c:v>942815</c:v>
                </c:pt>
                <c:pt idx="501">
                  <c:v>527000</c:v>
                </c:pt>
                <c:pt idx="502">
                  <c:v>995900</c:v>
                </c:pt>
                <c:pt idx="503">
                  <c:v>140580</c:v>
                </c:pt>
                <c:pt idx="504">
                  <c:v>296370</c:v>
                </c:pt>
                <c:pt idx="505">
                  <c:v>101580</c:v>
                </c:pt>
                <c:pt idx="506">
                  <c:v>6000</c:v>
                </c:pt>
                <c:pt idx="507">
                  <c:v>403000</c:v>
                </c:pt>
                <c:pt idx="508">
                  <c:v>110000</c:v>
                </c:pt>
                <c:pt idx="509">
                  <c:v>334580</c:v>
                </c:pt>
                <c:pt idx="510">
                  <c:v>185314</c:v>
                </c:pt>
                <c:pt idx="511">
                  <c:v>752160</c:v>
                </c:pt>
                <c:pt idx="512">
                  <c:v>600580</c:v>
                </c:pt>
                <c:pt idx="513">
                  <c:v>1720000</c:v>
                </c:pt>
                <c:pt idx="514">
                  <c:v>103580</c:v>
                </c:pt>
                <c:pt idx="515">
                  <c:v>178580</c:v>
                </c:pt>
                <c:pt idx="516">
                  <c:v>50000</c:v>
                </c:pt>
                <c:pt idx="517">
                  <c:v>201160</c:v>
                </c:pt>
                <c:pt idx="518">
                  <c:v>186000</c:v>
                </c:pt>
                <c:pt idx="519">
                  <c:v>2120980</c:v>
                </c:pt>
                <c:pt idx="520">
                  <c:v>395160</c:v>
                </c:pt>
                <c:pt idx="521">
                  <c:v>2316700</c:v>
                </c:pt>
                <c:pt idx="522">
                  <c:v>3020580</c:v>
                </c:pt>
                <c:pt idx="523">
                  <c:v>5145000</c:v>
                </c:pt>
                <c:pt idx="524">
                  <c:v>3117000</c:v>
                </c:pt>
                <c:pt idx="525">
                  <c:v>73000</c:v>
                </c:pt>
                <c:pt idx="526">
                  <c:v>508000</c:v>
                </c:pt>
                <c:pt idx="527">
                  <c:v>20000</c:v>
                </c:pt>
                <c:pt idx="528">
                  <c:v>260700</c:v>
                </c:pt>
                <c:pt idx="529">
                  <c:v>4615500</c:v>
                </c:pt>
                <c:pt idx="530">
                  <c:v>286500</c:v>
                </c:pt>
                <c:pt idx="531">
                  <c:v>6000</c:v>
                </c:pt>
                <c:pt idx="532">
                  <c:v>161000</c:v>
                </c:pt>
                <c:pt idx="533">
                  <c:v>31000</c:v>
                </c:pt>
                <c:pt idx="534">
                  <c:v>0</c:v>
                </c:pt>
                <c:pt idx="535">
                  <c:v>31000</c:v>
                </c:pt>
                <c:pt idx="536">
                  <c:v>3000</c:v>
                </c:pt>
                <c:pt idx="537">
                  <c:v>72000</c:v>
                </c:pt>
                <c:pt idx="538">
                  <c:v>603000</c:v>
                </c:pt>
                <c:pt idx="539">
                  <c:v>253000</c:v>
                </c:pt>
                <c:pt idx="540">
                  <c:v>3000</c:v>
                </c:pt>
                <c:pt idx="541">
                  <c:v>0</c:v>
                </c:pt>
                <c:pt idx="542">
                  <c:v>3000</c:v>
                </c:pt>
                <c:pt idx="543">
                  <c:v>309000</c:v>
                </c:pt>
                <c:pt idx="544">
                  <c:v>900000</c:v>
                </c:pt>
                <c:pt idx="545">
                  <c:v>39000</c:v>
                </c:pt>
                <c:pt idx="546">
                  <c:v>551000</c:v>
                </c:pt>
                <c:pt idx="547">
                  <c:v>303000</c:v>
                </c:pt>
                <c:pt idx="548">
                  <c:v>3000</c:v>
                </c:pt>
                <c:pt idx="549">
                  <c:v>5917120</c:v>
                </c:pt>
                <c:pt idx="550">
                  <c:v>11000</c:v>
                </c:pt>
                <c:pt idx="551">
                  <c:v>1392000</c:v>
                </c:pt>
                <c:pt idx="552">
                  <c:v>89000</c:v>
                </c:pt>
                <c:pt idx="553">
                  <c:v>5073000</c:v>
                </c:pt>
                <c:pt idx="554">
                  <c:v>200000</c:v>
                </c:pt>
                <c:pt idx="555">
                  <c:v>4500000</c:v>
                </c:pt>
                <c:pt idx="556">
                  <c:v>4354700</c:v>
                </c:pt>
                <c:pt idx="557">
                  <c:v>2344500</c:v>
                </c:pt>
                <c:pt idx="558">
                  <c:v>88500</c:v>
                </c:pt>
                <c:pt idx="559">
                  <c:v>1664000</c:v>
                </c:pt>
                <c:pt idx="560">
                  <c:v>3647000</c:v>
                </c:pt>
                <c:pt idx="561">
                  <c:v>3000</c:v>
                </c:pt>
                <c:pt idx="562">
                  <c:v>0</c:v>
                </c:pt>
                <c:pt idx="563">
                  <c:v>180000</c:v>
                </c:pt>
                <c:pt idx="564">
                  <c:v>0</c:v>
                </c:pt>
                <c:pt idx="565">
                  <c:v>1389200</c:v>
                </c:pt>
                <c:pt idx="566">
                  <c:v>1493000</c:v>
                </c:pt>
                <c:pt idx="567">
                  <c:v>37000</c:v>
                </c:pt>
                <c:pt idx="568">
                  <c:v>25000</c:v>
                </c:pt>
                <c:pt idx="569">
                  <c:v>0</c:v>
                </c:pt>
                <c:pt idx="570">
                  <c:v>6000</c:v>
                </c:pt>
                <c:pt idx="571">
                  <c:v>93000</c:v>
                </c:pt>
                <c:pt idx="572">
                  <c:v>150300</c:v>
                </c:pt>
                <c:pt idx="573">
                  <c:v>4153000</c:v>
                </c:pt>
                <c:pt idx="574">
                  <c:v>794562</c:v>
                </c:pt>
                <c:pt idx="575">
                  <c:v>3000</c:v>
                </c:pt>
                <c:pt idx="576">
                  <c:v>795000</c:v>
                </c:pt>
                <c:pt idx="577">
                  <c:v>3000</c:v>
                </c:pt>
                <c:pt idx="578">
                  <c:v>3000</c:v>
                </c:pt>
                <c:pt idx="579">
                  <c:v>3143000</c:v>
                </c:pt>
                <c:pt idx="580">
                  <c:v>699100</c:v>
                </c:pt>
                <c:pt idx="581">
                  <c:v>53000</c:v>
                </c:pt>
                <c:pt idx="582">
                  <c:v>946000</c:v>
                </c:pt>
                <c:pt idx="583">
                  <c:v>526000</c:v>
                </c:pt>
                <c:pt idx="584">
                  <c:v>73000</c:v>
                </c:pt>
                <c:pt idx="585">
                  <c:v>25000</c:v>
                </c:pt>
                <c:pt idx="586">
                  <c:v>3536000</c:v>
                </c:pt>
                <c:pt idx="587">
                  <c:v>1503000</c:v>
                </c:pt>
                <c:pt idx="588">
                  <c:v>3321380</c:v>
                </c:pt>
                <c:pt idx="589">
                  <c:v>4613000</c:v>
                </c:pt>
                <c:pt idx="590">
                  <c:v>50000</c:v>
                </c:pt>
                <c:pt idx="591">
                  <c:v>86000</c:v>
                </c:pt>
                <c:pt idx="592">
                  <c:v>3000</c:v>
                </c:pt>
                <c:pt idx="593">
                  <c:v>557000</c:v>
                </c:pt>
                <c:pt idx="594">
                  <c:v>2636500</c:v>
                </c:pt>
                <c:pt idx="595">
                  <c:v>3403600</c:v>
                </c:pt>
                <c:pt idx="596">
                  <c:v>221000</c:v>
                </c:pt>
                <c:pt idx="597">
                  <c:v>1650118</c:v>
                </c:pt>
                <c:pt idx="598">
                  <c:v>144780</c:v>
                </c:pt>
                <c:pt idx="599">
                  <c:v>30000</c:v>
                </c:pt>
                <c:pt idx="600">
                  <c:v>125500</c:v>
                </c:pt>
                <c:pt idx="601">
                  <c:v>417300</c:v>
                </c:pt>
                <c:pt idx="602">
                  <c:v>1940300</c:v>
                </c:pt>
                <c:pt idx="603">
                  <c:v>211780</c:v>
                </c:pt>
                <c:pt idx="604">
                  <c:v>2800000</c:v>
                </c:pt>
                <c:pt idx="605">
                  <c:v>43000</c:v>
                </c:pt>
                <c:pt idx="606">
                  <c:v>3081500</c:v>
                </c:pt>
                <c:pt idx="607">
                  <c:v>1069000</c:v>
                </c:pt>
                <c:pt idx="608">
                  <c:v>1580560</c:v>
                </c:pt>
                <c:pt idx="609">
                  <c:v>2591000</c:v>
                </c:pt>
                <c:pt idx="610">
                  <c:v>137000</c:v>
                </c:pt>
                <c:pt idx="611">
                  <c:v>1320000</c:v>
                </c:pt>
                <c:pt idx="612">
                  <c:v>44000</c:v>
                </c:pt>
                <c:pt idx="613">
                  <c:v>602000</c:v>
                </c:pt>
                <c:pt idx="614">
                  <c:v>1179000</c:v>
                </c:pt>
                <c:pt idx="615">
                  <c:v>3000</c:v>
                </c:pt>
                <c:pt idx="616">
                  <c:v>5714000</c:v>
                </c:pt>
                <c:pt idx="617">
                  <c:v>5816000</c:v>
                </c:pt>
                <c:pt idx="618">
                  <c:v>5050000</c:v>
                </c:pt>
                <c:pt idx="619">
                  <c:v>234000</c:v>
                </c:pt>
                <c:pt idx="620">
                  <c:v>203000</c:v>
                </c:pt>
                <c:pt idx="621">
                  <c:v>1531100</c:v>
                </c:pt>
                <c:pt idx="622">
                  <c:v>88000</c:v>
                </c:pt>
                <c:pt idx="623">
                  <c:v>4975500</c:v>
                </c:pt>
                <c:pt idx="624">
                  <c:v>1114754</c:v>
                </c:pt>
                <c:pt idx="625">
                  <c:v>3720000</c:v>
                </c:pt>
                <c:pt idx="626">
                  <c:v>627000</c:v>
                </c:pt>
                <c:pt idx="627">
                  <c:v>170500</c:v>
                </c:pt>
                <c:pt idx="628">
                  <c:v>1250500</c:v>
                </c:pt>
                <c:pt idx="629">
                  <c:v>309800</c:v>
                </c:pt>
                <c:pt idx="630">
                  <c:v>455000</c:v>
                </c:pt>
                <c:pt idx="631">
                  <c:v>3000</c:v>
                </c:pt>
                <c:pt idx="632">
                  <c:v>303700</c:v>
                </c:pt>
                <c:pt idx="633">
                  <c:v>652000</c:v>
                </c:pt>
                <c:pt idx="634">
                  <c:v>29500</c:v>
                </c:pt>
                <c:pt idx="635">
                  <c:v>79000</c:v>
                </c:pt>
                <c:pt idx="636">
                  <c:v>53000</c:v>
                </c:pt>
                <c:pt idx="637">
                  <c:v>220080</c:v>
                </c:pt>
                <c:pt idx="638">
                  <c:v>23000</c:v>
                </c:pt>
                <c:pt idx="639">
                  <c:v>23000</c:v>
                </c:pt>
                <c:pt idx="640">
                  <c:v>525000</c:v>
                </c:pt>
                <c:pt idx="641">
                  <c:v>4433000</c:v>
                </c:pt>
                <c:pt idx="642">
                  <c:v>976000</c:v>
                </c:pt>
                <c:pt idx="643">
                  <c:v>645000</c:v>
                </c:pt>
                <c:pt idx="644">
                  <c:v>83000</c:v>
                </c:pt>
                <c:pt idx="645">
                  <c:v>20000</c:v>
                </c:pt>
                <c:pt idx="646">
                  <c:v>50000</c:v>
                </c:pt>
                <c:pt idx="647">
                  <c:v>0</c:v>
                </c:pt>
                <c:pt idx="648">
                  <c:v>3906000</c:v>
                </c:pt>
                <c:pt idx="649">
                  <c:v>24000</c:v>
                </c:pt>
                <c:pt idx="650">
                  <c:v>0</c:v>
                </c:pt>
                <c:pt idx="651">
                  <c:v>5098780</c:v>
                </c:pt>
                <c:pt idx="652">
                  <c:v>1703000</c:v>
                </c:pt>
                <c:pt idx="653">
                  <c:v>20000</c:v>
                </c:pt>
                <c:pt idx="654">
                  <c:v>1532100</c:v>
                </c:pt>
                <c:pt idx="655">
                  <c:v>548000</c:v>
                </c:pt>
                <c:pt idx="656">
                  <c:v>7019000</c:v>
                </c:pt>
                <c:pt idx="657">
                  <c:v>50000</c:v>
                </c:pt>
                <c:pt idx="658">
                  <c:v>418000</c:v>
                </c:pt>
                <c:pt idx="659">
                  <c:v>806000</c:v>
                </c:pt>
                <c:pt idx="660">
                  <c:v>560000</c:v>
                </c:pt>
                <c:pt idx="661">
                  <c:v>191000</c:v>
                </c:pt>
                <c:pt idx="662">
                  <c:v>1451780</c:v>
                </c:pt>
                <c:pt idx="663">
                  <c:v>261000</c:v>
                </c:pt>
                <c:pt idx="664">
                  <c:v>25000</c:v>
                </c:pt>
                <c:pt idx="665">
                  <c:v>3000</c:v>
                </c:pt>
                <c:pt idx="666">
                  <c:v>465700</c:v>
                </c:pt>
                <c:pt idx="667">
                  <c:v>831553</c:v>
                </c:pt>
                <c:pt idx="668">
                  <c:v>23000</c:v>
                </c:pt>
                <c:pt idx="669">
                  <c:v>587000</c:v>
                </c:pt>
                <c:pt idx="670">
                  <c:v>3314481</c:v>
                </c:pt>
                <c:pt idx="671">
                  <c:v>2873000</c:v>
                </c:pt>
                <c:pt idx="672">
                  <c:v>2661200</c:v>
                </c:pt>
                <c:pt idx="673">
                  <c:v>1287000</c:v>
                </c:pt>
                <c:pt idx="674">
                  <c:v>900000</c:v>
                </c:pt>
                <c:pt idx="675">
                  <c:v>442000</c:v>
                </c:pt>
                <c:pt idx="676">
                  <c:v>1003000</c:v>
                </c:pt>
                <c:pt idx="677">
                  <c:v>300000</c:v>
                </c:pt>
                <c:pt idx="678">
                  <c:v>1727000</c:v>
                </c:pt>
                <c:pt idx="679">
                  <c:v>5093000</c:v>
                </c:pt>
                <c:pt idx="680">
                  <c:v>4132000</c:v>
                </c:pt>
                <c:pt idx="681">
                  <c:v>3709607</c:v>
                </c:pt>
                <c:pt idx="682">
                  <c:v>566000</c:v>
                </c:pt>
                <c:pt idx="683">
                  <c:v>2502780</c:v>
                </c:pt>
                <c:pt idx="684">
                  <c:v>2116000</c:v>
                </c:pt>
                <c:pt idx="685">
                  <c:v>2154130</c:v>
                </c:pt>
                <c:pt idx="686">
                  <c:v>1224069</c:v>
                </c:pt>
                <c:pt idx="687">
                  <c:v>2862000</c:v>
                </c:pt>
                <c:pt idx="688">
                  <c:v>0</c:v>
                </c:pt>
                <c:pt idx="689">
                  <c:v>503000</c:v>
                </c:pt>
                <c:pt idx="690">
                  <c:v>2060000</c:v>
                </c:pt>
                <c:pt idx="691">
                  <c:v>1463450</c:v>
                </c:pt>
                <c:pt idx="692">
                  <c:v>533000</c:v>
                </c:pt>
                <c:pt idx="693">
                  <c:v>3000</c:v>
                </c:pt>
                <c:pt idx="694">
                  <c:v>173000</c:v>
                </c:pt>
                <c:pt idx="695">
                  <c:v>97780</c:v>
                </c:pt>
                <c:pt idx="696">
                  <c:v>0</c:v>
                </c:pt>
                <c:pt idx="697">
                  <c:v>1403000</c:v>
                </c:pt>
                <c:pt idx="698">
                  <c:v>118980</c:v>
                </c:pt>
                <c:pt idx="699">
                  <c:v>2240300</c:v>
                </c:pt>
                <c:pt idx="700">
                  <c:v>128000</c:v>
                </c:pt>
                <c:pt idx="701">
                  <c:v>4043980</c:v>
                </c:pt>
                <c:pt idx="702">
                  <c:v>643100</c:v>
                </c:pt>
                <c:pt idx="703">
                  <c:v>1128800</c:v>
                </c:pt>
                <c:pt idx="704">
                  <c:v>0</c:v>
                </c:pt>
                <c:pt idx="705">
                  <c:v>1083697</c:v>
                </c:pt>
                <c:pt idx="706">
                  <c:v>2343000</c:v>
                </c:pt>
                <c:pt idx="707">
                  <c:v>1130000</c:v>
                </c:pt>
                <c:pt idx="708">
                  <c:v>3003000</c:v>
                </c:pt>
                <c:pt idx="709">
                  <c:v>3308764</c:v>
                </c:pt>
                <c:pt idx="710">
                  <c:v>3535000</c:v>
                </c:pt>
                <c:pt idx="711">
                  <c:v>6320637</c:v>
                </c:pt>
                <c:pt idx="712">
                  <c:v>103000</c:v>
                </c:pt>
                <c:pt idx="713">
                  <c:v>46000</c:v>
                </c:pt>
                <c:pt idx="714">
                  <c:v>4274754</c:v>
                </c:pt>
                <c:pt idx="715">
                  <c:v>3170893</c:v>
                </c:pt>
                <c:pt idx="716">
                  <c:v>417000</c:v>
                </c:pt>
                <c:pt idx="717">
                  <c:v>2151000</c:v>
                </c:pt>
                <c:pt idx="718">
                  <c:v>6084000</c:v>
                </c:pt>
                <c:pt idx="719">
                  <c:v>87000</c:v>
                </c:pt>
                <c:pt idx="720">
                  <c:v>3000</c:v>
                </c:pt>
                <c:pt idx="721">
                  <c:v>4050000</c:v>
                </c:pt>
                <c:pt idx="722">
                  <c:v>3828000</c:v>
                </c:pt>
                <c:pt idx="723">
                  <c:v>250000</c:v>
                </c:pt>
                <c:pt idx="724">
                  <c:v>615500</c:v>
                </c:pt>
                <c:pt idx="725">
                  <c:v>1153000</c:v>
                </c:pt>
                <c:pt idx="726">
                  <c:v>3103000</c:v>
                </c:pt>
                <c:pt idx="727">
                  <c:v>330000</c:v>
                </c:pt>
                <c:pt idx="728">
                  <c:v>1150000</c:v>
                </c:pt>
                <c:pt idx="729">
                  <c:v>37000</c:v>
                </c:pt>
                <c:pt idx="730">
                  <c:v>255000</c:v>
                </c:pt>
                <c:pt idx="731">
                  <c:v>1453000</c:v>
                </c:pt>
                <c:pt idx="732">
                  <c:v>2930000</c:v>
                </c:pt>
                <c:pt idx="733">
                  <c:v>9255000</c:v>
                </c:pt>
                <c:pt idx="734">
                  <c:v>0</c:v>
                </c:pt>
                <c:pt idx="735">
                  <c:v>70000</c:v>
                </c:pt>
                <c:pt idx="736">
                  <c:v>2053100</c:v>
                </c:pt>
                <c:pt idx="737">
                  <c:v>5819000</c:v>
                </c:pt>
                <c:pt idx="738">
                  <c:v>3190880</c:v>
                </c:pt>
                <c:pt idx="739">
                  <c:v>896100</c:v>
                </c:pt>
                <c:pt idx="740">
                  <c:v>7800000</c:v>
                </c:pt>
                <c:pt idx="741">
                  <c:v>1880000</c:v>
                </c:pt>
                <c:pt idx="742">
                  <c:v>3025000</c:v>
                </c:pt>
                <c:pt idx="743">
                  <c:v>3161700</c:v>
                </c:pt>
                <c:pt idx="744">
                  <c:v>0</c:v>
                </c:pt>
                <c:pt idx="745">
                  <c:v>7344500</c:v>
                </c:pt>
                <c:pt idx="746">
                  <c:v>3000</c:v>
                </c:pt>
                <c:pt idx="747">
                  <c:v>941000</c:v>
                </c:pt>
                <c:pt idx="748">
                  <c:v>37000</c:v>
                </c:pt>
                <c:pt idx="749">
                  <c:v>4000</c:v>
                </c:pt>
                <c:pt idx="750">
                  <c:v>0</c:v>
                </c:pt>
                <c:pt idx="751">
                  <c:v>19000</c:v>
                </c:pt>
                <c:pt idx="752">
                  <c:v>79000</c:v>
                </c:pt>
                <c:pt idx="753">
                  <c:v>102000</c:v>
                </c:pt>
                <c:pt idx="754">
                  <c:v>3161000</c:v>
                </c:pt>
                <c:pt idx="755">
                  <c:v>100000</c:v>
                </c:pt>
                <c:pt idx="756">
                  <c:v>62000</c:v>
                </c:pt>
                <c:pt idx="757">
                  <c:v>352000</c:v>
                </c:pt>
                <c:pt idx="758">
                  <c:v>335000</c:v>
                </c:pt>
                <c:pt idx="759">
                  <c:v>122000</c:v>
                </c:pt>
                <c:pt idx="760">
                  <c:v>0</c:v>
                </c:pt>
                <c:pt idx="761">
                  <c:v>1520500</c:v>
                </c:pt>
                <c:pt idx="762">
                  <c:v>162900</c:v>
                </c:pt>
                <c:pt idx="763">
                  <c:v>0</c:v>
                </c:pt>
                <c:pt idx="764">
                  <c:v>1600000</c:v>
                </c:pt>
                <c:pt idx="765">
                  <c:v>1700000</c:v>
                </c:pt>
                <c:pt idx="766">
                  <c:v>117500</c:v>
                </c:pt>
                <c:pt idx="767">
                  <c:v>2769000</c:v>
                </c:pt>
                <c:pt idx="768">
                  <c:v>2072900</c:v>
                </c:pt>
                <c:pt idx="769">
                  <c:v>1252000</c:v>
                </c:pt>
                <c:pt idx="770">
                  <c:v>243900</c:v>
                </c:pt>
                <c:pt idx="771">
                  <c:v>60000</c:v>
                </c:pt>
                <c:pt idx="772">
                  <c:v>130000</c:v>
                </c:pt>
                <c:pt idx="773">
                  <c:v>3399900</c:v>
                </c:pt>
                <c:pt idx="774">
                  <c:v>18000</c:v>
                </c:pt>
                <c:pt idx="775">
                  <c:v>162000</c:v>
                </c:pt>
                <c:pt idx="776">
                  <c:v>462000</c:v>
                </c:pt>
                <c:pt idx="777">
                  <c:v>403000</c:v>
                </c:pt>
                <c:pt idx="778">
                  <c:v>1054000</c:v>
                </c:pt>
                <c:pt idx="779">
                  <c:v>1000000</c:v>
                </c:pt>
                <c:pt idx="780">
                  <c:v>81500</c:v>
                </c:pt>
                <c:pt idx="781">
                  <c:v>150000</c:v>
                </c:pt>
                <c:pt idx="782">
                  <c:v>7000</c:v>
                </c:pt>
                <c:pt idx="783">
                  <c:v>287990</c:v>
                </c:pt>
                <c:pt idx="784">
                  <c:v>2635400</c:v>
                </c:pt>
                <c:pt idx="785">
                  <c:v>410000</c:v>
                </c:pt>
                <c:pt idx="786">
                  <c:v>29000</c:v>
                </c:pt>
                <c:pt idx="787">
                  <c:v>342000</c:v>
                </c:pt>
                <c:pt idx="788">
                  <c:v>26000</c:v>
                </c:pt>
                <c:pt idx="789">
                  <c:v>436000</c:v>
                </c:pt>
                <c:pt idx="790">
                  <c:v>167495</c:v>
                </c:pt>
                <c:pt idx="791">
                  <c:v>97000</c:v>
                </c:pt>
                <c:pt idx="792">
                  <c:v>2185000</c:v>
                </c:pt>
                <c:pt idx="793">
                  <c:v>200000</c:v>
                </c:pt>
                <c:pt idx="794">
                  <c:v>107000</c:v>
                </c:pt>
                <c:pt idx="795">
                  <c:v>316000</c:v>
                </c:pt>
                <c:pt idx="796">
                  <c:v>300900</c:v>
                </c:pt>
                <c:pt idx="797">
                  <c:v>1719000</c:v>
                </c:pt>
                <c:pt idx="798">
                  <c:v>2290000</c:v>
                </c:pt>
                <c:pt idx="799">
                  <c:v>5240500</c:v>
                </c:pt>
                <c:pt idx="800">
                  <c:v>5000</c:v>
                </c:pt>
                <c:pt idx="801">
                  <c:v>0</c:v>
                </c:pt>
                <c:pt idx="802">
                  <c:v>0</c:v>
                </c:pt>
                <c:pt idx="803">
                  <c:v>4215000</c:v>
                </c:pt>
                <c:pt idx="804">
                  <c:v>4506000</c:v>
                </c:pt>
                <c:pt idx="805">
                  <c:v>26000</c:v>
                </c:pt>
                <c:pt idx="806">
                  <c:v>3535000</c:v>
                </c:pt>
                <c:pt idx="807">
                  <c:v>12397200</c:v>
                </c:pt>
                <c:pt idx="808">
                  <c:v>4107000</c:v>
                </c:pt>
                <c:pt idx="809">
                  <c:v>48000</c:v>
                </c:pt>
                <c:pt idx="810">
                  <c:v>240000</c:v>
                </c:pt>
                <c:pt idx="811">
                  <c:v>986333</c:v>
                </c:pt>
                <c:pt idx="812">
                  <c:v>280000</c:v>
                </c:pt>
                <c:pt idx="813">
                  <c:v>105000</c:v>
                </c:pt>
                <c:pt idx="814">
                  <c:v>5000000</c:v>
                </c:pt>
                <c:pt idx="815">
                  <c:v>543000</c:v>
                </c:pt>
                <c:pt idx="816">
                  <c:v>77500</c:v>
                </c:pt>
                <c:pt idx="817">
                  <c:v>320000</c:v>
                </c:pt>
                <c:pt idx="818">
                  <c:v>2440000</c:v>
                </c:pt>
                <c:pt idx="819">
                  <c:v>194000</c:v>
                </c:pt>
                <c:pt idx="820">
                  <c:v>300000</c:v>
                </c:pt>
                <c:pt idx="821">
                  <c:v>0</c:v>
                </c:pt>
                <c:pt idx="822">
                  <c:v>224000</c:v>
                </c:pt>
                <c:pt idx="823">
                  <c:v>3653000</c:v>
                </c:pt>
                <c:pt idx="824">
                  <c:v>626000</c:v>
                </c:pt>
                <c:pt idx="825">
                  <c:v>870600</c:v>
                </c:pt>
                <c:pt idx="826">
                  <c:v>5196000</c:v>
                </c:pt>
                <c:pt idx="827">
                  <c:v>1217000</c:v>
                </c:pt>
                <c:pt idx="828">
                  <c:v>100000</c:v>
                </c:pt>
                <c:pt idx="829">
                  <c:v>11699000</c:v>
                </c:pt>
                <c:pt idx="830">
                  <c:v>4602000</c:v>
                </c:pt>
                <c:pt idx="831">
                  <c:v>18000</c:v>
                </c:pt>
                <c:pt idx="832">
                  <c:v>3998300</c:v>
                </c:pt>
                <c:pt idx="833">
                  <c:v>226000</c:v>
                </c:pt>
                <c:pt idx="834">
                  <c:v>3906000</c:v>
                </c:pt>
                <c:pt idx="835">
                  <c:v>150000</c:v>
                </c:pt>
                <c:pt idx="836">
                  <c:v>14909000</c:v>
                </c:pt>
                <c:pt idx="837">
                  <c:v>3054000</c:v>
                </c:pt>
                <c:pt idx="838">
                  <c:v>220000</c:v>
                </c:pt>
                <c:pt idx="839">
                  <c:v>4926250</c:v>
                </c:pt>
                <c:pt idx="840">
                  <c:v>129000</c:v>
                </c:pt>
                <c:pt idx="841">
                  <c:v>612000</c:v>
                </c:pt>
                <c:pt idx="842">
                  <c:v>845000</c:v>
                </c:pt>
                <c:pt idx="843">
                  <c:v>56000</c:v>
                </c:pt>
                <c:pt idx="844">
                  <c:v>4131400</c:v>
                </c:pt>
                <c:pt idx="845">
                  <c:v>742000</c:v>
                </c:pt>
                <c:pt idx="846">
                  <c:v>9000</c:v>
                </c:pt>
                <c:pt idx="847">
                  <c:v>3547600</c:v>
                </c:pt>
                <c:pt idx="848">
                  <c:v>268000</c:v>
                </c:pt>
                <c:pt idx="849">
                  <c:v>1010000</c:v>
                </c:pt>
                <c:pt idx="850">
                  <c:v>449000</c:v>
                </c:pt>
                <c:pt idx="851">
                  <c:v>130000</c:v>
                </c:pt>
                <c:pt idx="852">
                  <c:v>135000</c:v>
                </c:pt>
                <c:pt idx="853">
                  <c:v>3757000</c:v>
                </c:pt>
                <c:pt idx="854">
                  <c:v>6229000</c:v>
                </c:pt>
                <c:pt idx="855">
                  <c:v>176000</c:v>
                </c:pt>
                <c:pt idx="856">
                  <c:v>600000</c:v>
                </c:pt>
                <c:pt idx="857">
                  <c:v>1620000</c:v>
                </c:pt>
                <c:pt idx="858">
                  <c:v>4000</c:v>
                </c:pt>
                <c:pt idx="859">
                  <c:v>103000</c:v>
                </c:pt>
                <c:pt idx="860">
                  <c:v>3322000</c:v>
                </c:pt>
                <c:pt idx="861">
                  <c:v>6721050</c:v>
                </c:pt>
                <c:pt idx="862">
                  <c:v>7271000</c:v>
                </c:pt>
                <c:pt idx="863">
                  <c:v>717400</c:v>
                </c:pt>
                <c:pt idx="864">
                  <c:v>1019000</c:v>
                </c:pt>
                <c:pt idx="865">
                  <c:v>194000</c:v>
                </c:pt>
                <c:pt idx="866">
                  <c:v>1063000</c:v>
                </c:pt>
                <c:pt idx="867">
                  <c:v>23000</c:v>
                </c:pt>
                <c:pt idx="868">
                  <c:v>628700</c:v>
                </c:pt>
                <c:pt idx="869">
                  <c:v>54000</c:v>
                </c:pt>
                <c:pt idx="870">
                  <c:v>450000</c:v>
                </c:pt>
                <c:pt idx="871">
                  <c:v>2260800</c:v>
                </c:pt>
                <c:pt idx="872">
                  <c:v>550600</c:v>
                </c:pt>
                <c:pt idx="873">
                  <c:v>1195000</c:v>
                </c:pt>
                <c:pt idx="874">
                  <c:v>40000</c:v>
                </c:pt>
                <c:pt idx="875">
                  <c:v>180000</c:v>
                </c:pt>
                <c:pt idx="876">
                  <c:v>1180000</c:v>
                </c:pt>
                <c:pt idx="877">
                  <c:v>0</c:v>
                </c:pt>
                <c:pt idx="878">
                  <c:v>644000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093-4675-8CF1-E99C3E7C4480}"/>
            </c:ext>
          </c:extLst>
        </c:ser>
        <c:ser>
          <c:idx val="37"/>
          <c:order val="37"/>
          <c:tx>
            <c:strRef>
              <c:f>'CASH FLOW'!$AM$1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FLOW'!$AM$2:$AM$969</c:f>
              <c:numCache>
                <c:formatCode>General</c:formatCode>
                <c:ptCount val="968"/>
                <c:pt idx="0">
                  <c:v>0</c:v>
                </c:pt>
                <c:pt idx="1">
                  <c:v>0</c:v>
                </c:pt>
                <c:pt idx="80" formatCode="_-* #,##0_-;\-* #,##0_-;_-* &quot;-&quot;??_-;_-@_-">
                  <c:v>1000000</c:v>
                </c:pt>
                <c:pt idx="81" formatCode="_-* #,##0_-;\-* #,##0_-;_-* &quot;-&quot;??_-;_-@_-">
                  <c:v>500000</c:v>
                </c:pt>
                <c:pt idx="83" formatCode="_-* #,##0_-;\-* #,##0_-;_-* &quot;-&quot;??_-;_-@_-">
                  <c:v>1117000</c:v>
                </c:pt>
                <c:pt idx="141" formatCode="_-* #,##0_-;\-* #,##0_-;_-* &quot;-&quot;??_-;_-@_-">
                  <c:v>250000</c:v>
                </c:pt>
                <c:pt idx="144" formatCode="_-* #,##0_-;\-* #,##0_-;_-* &quot;-&quot;??_-;_-@_-">
                  <c:v>70000</c:v>
                </c:pt>
                <c:pt idx="145" formatCode="_-* #,##0_-;\-* #,##0_-;_-* &quot;-&quot;??_-;_-@_-">
                  <c:v>939500</c:v>
                </c:pt>
                <c:pt idx="154" formatCode="_-* #,##0_-;\-* #,##0_-;_-* &quot;-&quot;??_-;_-@_-">
                  <c:v>500000</c:v>
                </c:pt>
                <c:pt idx="155" formatCode="_-* #,##0_-;\-* #,##0_-;_-* &quot;-&quot;??_-;_-@_-">
                  <c:v>600000</c:v>
                </c:pt>
                <c:pt idx="157" formatCode="_-* #,##0_-;\-* #,##0_-;_-* &quot;-&quot;??_-;_-@_-">
                  <c:v>735000</c:v>
                </c:pt>
                <c:pt idx="202" formatCode="_-* #,##0_-;\-* #,##0_-;_-* &quot;-&quot;??_-;_-@_-">
                  <c:v>1595000</c:v>
                </c:pt>
                <c:pt idx="212" formatCode="_-* #,##0_-;\-* #,##0_-;_-* &quot;-&quot;??_-;_-@_-">
                  <c:v>812000</c:v>
                </c:pt>
                <c:pt idx="236" formatCode="_-* #,##0_-;\-* #,##0_-;_-* &quot;-&quot;??_-;_-@_-">
                  <c:v>1060000</c:v>
                </c:pt>
                <c:pt idx="241" formatCode="_-* #,##0_-;\-* #,##0_-;_-* &quot;-&quot;??_-;_-@_-">
                  <c:v>1515000</c:v>
                </c:pt>
                <c:pt idx="242" formatCode="_-* #,##0_-;\-* #,##0_-;_-* &quot;-&quot;??_-;_-@_-">
                  <c:v>1570000</c:v>
                </c:pt>
                <c:pt idx="300" formatCode="_-* #,##0_-;\-* #,##0_-;_-* &quot;-&quot;??_-;_-@_-">
                  <c:v>732500</c:v>
                </c:pt>
                <c:pt idx="324" formatCode="_-* #,##0_-;\-* #,##0_-;_-* &quot;-&quot;??_-;_-@_-">
                  <c:v>511000</c:v>
                </c:pt>
                <c:pt idx="331" formatCode="_-* #,##0_-;\-* #,##0_-;_-* &quot;-&quot;??_-;_-@_-">
                  <c:v>440000</c:v>
                </c:pt>
                <c:pt idx="350" formatCode="_-* #,##0_-;\-* #,##0_-;_-* &quot;-&quot;??_-;_-@_-">
                  <c:v>720000</c:v>
                </c:pt>
                <c:pt idx="351" formatCode="_-* #,##0_-;\-* #,##0_-;_-* &quot;-&quot;??_-;_-@_-">
                  <c:v>295000</c:v>
                </c:pt>
                <c:pt idx="357" formatCode="_-* #,##0_-;\-* #,##0_-;_-* &quot;-&quot;??_-;_-@_-">
                  <c:v>649500</c:v>
                </c:pt>
                <c:pt idx="393" formatCode="_-* #,##0_-;\-* #,##0_-;_-* &quot;-&quot;??_-;_-@_-">
                  <c:v>1484000</c:v>
                </c:pt>
                <c:pt idx="421" formatCode="_-* #,##0_-;\-* #,##0_-;_-* &quot;-&quot;??_-;_-@_-">
                  <c:v>902500</c:v>
                </c:pt>
                <c:pt idx="424" formatCode="_-* #,##0_-;\-* #,##0_-;_-* &quot;-&quot;??_-;_-@_-">
                  <c:v>0</c:v>
                </c:pt>
                <c:pt idx="425" formatCode="_-* #,##0_-;\-* #,##0_-;_-* &quot;-&quot;??_-;_-@_-">
                  <c:v>210000</c:v>
                </c:pt>
                <c:pt idx="474" formatCode="_-* #,##0_-;\-* #,##0_-;_-* &quot;-&quot;??_-;_-@_-">
                  <c:v>2047500</c:v>
                </c:pt>
                <c:pt idx="539" formatCode="_-* #,##0_-;\-* #,##0_-;_-* &quot;-&quot;??_-;_-@_-">
                  <c:v>192000</c:v>
                </c:pt>
                <c:pt idx="546" formatCode="_-* #,##0_-;\-* #,##0_-;_-* &quot;-&quot;??_-;_-@_-">
                  <c:v>1735000</c:v>
                </c:pt>
                <c:pt idx="599" formatCode="_-* #,##0_-;\-* #,##0_-;_-* &quot;-&quot;??_-;_-@_-">
                  <c:v>290000</c:v>
                </c:pt>
                <c:pt idx="600" formatCode="_-* #,##0_-;\-* #,##0_-;_-* &quot;-&quot;??_-;_-@_-">
                  <c:v>210000</c:v>
                </c:pt>
                <c:pt idx="602" formatCode="_-* #,##0_-;\-* #,##0_-;_-* &quot;-&quot;??_-;_-@_-">
                  <c:v>1436000</c:v>
                </c:pt>
                <c:pt idx="637" formatCode="_-* #,##0_-;\-* #,##0_-;_-* &quot;-&quot;??_-;_-@_-">
                  <c:v>366000</c:v>
                </c:pt>
                <c:pt idx="641" formatCode="_-* #,##0_-;\-* #,##0_-;_-* &quot;-&quot;??_-;_-@_-">
                  <c:v>90000</c:v>
                </c:pt>
                <c:pt idx="644" formatCode="_-* #,##0_-;\-* #,##0_-;_-* &quot;-&quot;??_-;_-@_-">
                  <c:v>45000</c:v>
                </c:pt>
                <c:pt idx="649" formatCode="_-* #,##0_-;\-* #,##0_-;_-* &quot;-&quot;??_-;_-@_-">
                  <c:v>90000</c:v>
                </c:pt>
                <c:pt idx="654" formatCode="_-* #,##0_-;\-* #,##0_-;_-* &quot;-&quot;??_-;_-@_-">
                  <c:v>608000</c:v>
                </c:pt>
                <c:pt idx="655" formatCode="_-* #,##0_-;\-* #,##0_-;_-* &quot;-&quot;??_-;_-@_-">
                  <c:v>882000</c:v>
                </c:pt>
                <c:pt idx="670" formatCode="_-* #,##0_-;\-* #,##0_-;_-* &quot;-&quot;??_-;_-@_-">
                  <c:v>10000</c:v>
                </c:pt>
                <c:pt idx="671" formatCode="_-* #,##0_-;\-* #,##0_-;_-* &quot;-&quot;??_-;_-@_-">
                  <c:v>110000</c:v>
                </c:pt>
                <c:pt idx="686" formatCode="_-* #,##0_-;\-* #,##0_-;_-* &quot;-&quot;??_-;_-@_-">
                  <c:v>420000</c:v>
                </c:pt>
                <c:pt idx="687" formatCode="_-* #,##0_-;\-* #,##0_-;_-* &quot;-&quot;??_-;_-@_-">
                  <c:v>1550000</c:v>
                </c:pt>
                <c:pt idx="725" formatCode="_-* #,##0_-;\-* #,##0_-;_-* &quot;-&quot;??_-;_-@_-">
                  <c:v>1000000</c:v>
                </c:pt>
                <c:pt idx="739" formatCode="_-* #,##0_-;\-* #,##0_-;_-* &quot;-&quot;??_-;_-@_-">
                  <c:v>663000</c:v>
                </c:pt>
                <c:pt idx="751" formatCode="_-* #,##0_-;\-* #,##0_-;_-* &quot;-&quot;??_-;_-@_-">
                  <c:v>400000</c:v>
                </c:pt>
                <c:pt idx="799" formatCode="_-* #,##0_-;\-* #,##0_-;_-* &quot;-&quot;??_-;_-@_-">
                  <c:v>815000</c:v>
                </c:pt>
                <c:pt idx="815" formatCode="_-* #,##0_-;\-* #,##0_-;_-* &quot;-&quot;??_-;_-@_-">
                  <c:v>80000</c:v>
                </c:pt>
                <c:pt idx="826" formatCode="_-* #,##0_-;\-* #,##0_-;_-* &quot;-&quot;??_-;_-@_-">
                  <c:v>2140000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093-4675-8CF1-E99C3E7C4480}"/>
            </c:ext>
          </c:extLst>
        </c:ser>
        <c:ser>
          <c:idx val="38"/>
          <c:order val="38"/>
          <c:tx>
            <c:strRef>
              <c:f>'CASH FLOW'!$AN$1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FLOW'!$AN$2:$AN$969</c:f>
              <c:numCache>
                <c:formatCode>General</c:formatCode>
                <c:ptCount val="968"/>
                <c:pt idx="1">
                  <c:v>0</c:v>
                </c:pt>
                <c:pt idx="96" formatCode="_-* #,##0_-;\-* #,##0_-;_-* &quot;-&quot;??_-;_-@_-">
                  <c:v>0</c:v>
                </c:pt>
                <c:pt idx="206" formatCode="_-* #,##0_-;\-* #,##0_-;_-* &quot;-&quot;??_-;_-@_-">
                  <c:v>370000</c:v>
                </c:pt>
                <c:pt idx="229" formatCode="_-* #,##0_-;\-* #,##0_-;_-* &quot;-&quot;??_-;_-@_-">
                  <c:v>740000</c:v>
                </c:pt>
                <c:pt idx="234" formatCode="_-* #,##0_-;\-* #,##0_-;_-* &quot;-&quot;??_-;_-@_-">
                  <c:v>985000</c:v>
                </c:pt>
                <c:pt idx="262" formatCode="_-* #,##0_-;\-* #,##0_-;_-* &quot;-&quot;??_-;_-@_-">
                  <c:v>985000</c:v>
                </c:pt>
                <c:pt idx="324" formatCode="_-* #,##0_-;\-* #,##0_-;_-* &quot;-&quot;??_-;_-@_-">
                  <c:v>1140000</c:v>
                </c:pt>
                <c:pt idx="372" formatCode="_-* #,##0_-;\-* #,##0_-;_-* &quot;-&quot;??_-;_-@_-">
                  <c:v>730000</c:v>
                </c:pt>
                <c:pt idx="430" formatCode="_-* #,##0_-;\-* #,##0_-;_-* &quot;-&quot;??_-;_-@_-">
                  <c:v>0</c:v>
                </c:pt>
                <c:pt idx="431" formatCode="_-* #,##0_-;\-* #,##0_-;_-* &quot;-&quot;??_-;_-@_-">
                  <c:v>185000</c:v>
                </c:pt>
                <c:pt idx="456" formatCode="_-* #,##0_-;\-* #,##0_-;_-* &quot;-&quot;??_-;_-@_-">
                  <c:v>5000000</c:v>
                </c:pt>
                <c:pt idx="457" formatCode="_-* #,##0_-;\-* #,##0_-;_-* &quot;-&quot;??_-;_-@_-">
                  <c:v>2000000</c:v>
                </c:pt>
                <c:pt idx="477" formatCode="_-* #,##0_-;\-* #,##0_-;_-* &quot;-&quot;??_-;_-@_-">
                  <c:v>2595000</c:v>
                </c:pt>
                <c:pt idx="572" formatCode="_-* #,##0_-;\-* #,##0_-;_-* &quot;-&quot;??_-;_-@_-">
                  <c:v>2500000</c:v>
                </c:pt>
                <c:pt idx="581" formatCode="_-* #,##0_-;\-* #,##0_-;_-* &quot;-&quot;??_-;_-@_-">
                  <c:v>975000</c:v>
                </c:pt>
                <c:pt idx="629" formatCode="_-* #,##0_-;\-* #,##0_-;_-* &quot;-&quot;??_-;_-@_-">
                  <c:v>935000</c:v>
                </c:pt>
                <c:pt idx="653" formatCode="_-* #,##0_-;\-* #,##0_-;_-* &quot;-&quot;??_-;_-@_-">
                  <c:v>3200000</c:v>
                </c:pt>
                <c:pt idx="671" formatCode="_-* #,##0_-;\-* #,##0_-;_-* &quot;-&quot;??_-;_-@_-">
                  <c:v>550000</c:v>
                </c:pt>
                <c:pt idx="850" formatCode="_-* #,##0_-;\-* #,##0_-;_-* &quot;-&quot;??_-;_-@_-">
                  <c:v>1145000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093-4675-8CF1-E99C3E7C4480}"/>
            </c:ext>
          </c:extLst>
        </c:ser>
        <c:ser>
          <c:idx val="39"/>
          <c:order val="39"/>
          <c:tx>
            <c:strRef>
              <c:f>'CASH FLOW'!$AO$1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FLOW'!$AO$2:$AO$969</c:f>
              <c:numCache>
                <c:formatCode>General</c:formatCode>
                <c:ptCount val="968"/>
                <c:pt idx="1">
                  <c:v>0</c:v>
                </c:pt>
                <c:pt idx="93" formatCode="_-* #,##0_-;\-* #,##0_-;_-* &quot;-&quot;??_-;_-@_-">
                  <c:v>0</c:v>
                </c:pt>
                <c:pt idx="108" formatCode="_-* #,##0_-;\-* #,##0_-;_-* &quot;-&quot;??_-;_-@_-">
                  <c:v>0</c:v>
                </c:pt>
                <c:pt idx="206" formatCode="_-* #,##0_-;\-* #,##0_-;_-* &quot;-&quot;??_-;_-@_-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093-4675-8CF1-E99C3E7C4480}"/>
            </c:ext>
          </c:extLst>
        </c:ser>
        <c:ser>
          <c:idx val="40"/>
          <c:order val="40"/>
          <c:tx>
            <c:strRef>
              <c:f>'CASH FLOW'!$AP$1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FLOW'!$AP$2:$AP$969</c:f>
              <c:numCache>
                <c:formatCode>General</c:formatCode>
                <c:ptCount val="968"/>
                <c:pt idx="682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093-4675-8CF1-E99C3E7C4480}"/>
            </c:ext>
          </c:extLst>
        </c:ser>
        <c:ser>
          <c:idx val="41"/>
          <c:order val="41"/>
          <c:tx>
            <c:strRef>
              <c:f>'CASH FLOW'!$AQ$1</c:f>
              <c:strCache>
                <c:ptCount val="1"/>
                <c:pt idx="0">
                  <c:v>CASH TO BANK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FLOW'!$AQ$2:$AQ$969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4546169.4970000014</c:v>
                </c:pt>
                <c:pt idx="3" formatCode="_-* #,##0_-;\-* #,##0_-;_-* &quot;-&quot;??_-;_-@_-">
                  <c:v>6244274.6190000027</c:v>
                </c:pt>
                <c:pt idx="4" formatCode="_-* #,##0_-;\-* #,##0_-;_-* &quot;-&quot;??_-;_-@_-">
                  <c:v>7370371.8700000048</c:v>
                </c:pt>
                <c:pt idx="5" formatCode="_-* #,##0_-;\-* #,##0_-;_-* &quot;-&quot;??_-;_-@_-">
                  <c:v>5820990.4029999971</c:v>
                </c:pt>
                <c:pt idx="6" formatCode="_-* #,##0_-;\-* #,##0_-;_-* &quot;-&quot;??_-;_-@_-">
                  <c:v>7826116.9509999976</c:v>
                </c:pt>
                <c:pt idx="7" formatCode="_-* #,##0_-;\-* #,##0_-;_-* &quot;-&quot;??_-;_-@_-">
                  <c:v>4826455.201000005</c:v>
                </c:pt>
                <c:pt idx="8" formatCode="_-* #,##0_-;\-* #,##0_-;_-* &quot;-&quot;??_-;_-@_-">
                  <c:v>6683058.0680000037</c:v>
                </c:pt>
                <c:pt idx="9" formatCode="_-* #,##0_-;\-* #,##0_-;_-* &quot;-&quot;??_-;_-@_-">
                  <c:v>6258231.9840000011</c:v>
                </c:pt>
                <c:pt idx="10" formatCode="_-* #,##0_-;\-* #,##0_-;_-* &quot;-&quot;??_-;_-@_-">
                  <c:v>5374506.439000003</c:v>
                </c:pt>
                <c:pt idx="11" formatCode="_-* #,##0_-;\-* #,##0_-;_-* &quot;-&quot;??_-;_-@_-">
                  <c:v>6299974.7949999981</c:v>
                </c:pt>
                <c:pt idx="12" formatCode="_-* #,##0_-;\-* #,##0_-;_-* &quot;-&quot;??_-;_-@_-">
                  <c:v>1464283.6770000011</c:v>
                </c:pt>
                <c:pt idx="13" formatCode="_-* #,##0_-;\-* #,##0_-;_-* &quot;-&quot;??_-;_-@_-">
                  <c:v>2765942.8489999995</c:v>
                </c:pt>
                <c:pt idx="14" formatCode="_-* #,##0_-;\-* #,##0_-;_-* &quot;-&quot;??_-;_-@_-">
                  <c:v>3508702.1309999973</c:v>
                </c:pt>
                <c:pt idx="15" formatCode="_-* #,##0_-;\-* #,##0_-;_-* &quot;-&quot;??_-;_-@_-">
                  <c:v>7219417.4360000007</c:v>
                </c:pt>
                <c:pt idx="16" formatCode="_-* #,##0_-;\-* #,##0_-;_-* &quot;-&quot;??_-;_-@_-">
                  <c:v>8949923.0749999993</c:v>
                </c:pt>
                <c:pt idx="17" formatCode="_-* #,##0_-;\-* #,##0_-;_-* &quot;-&quot;??_-;_-@_-">
                  <c:v>3336735.0659999996</c:v>
                </c:pt>
                <c:pt idx="18" formatCode="_-* #,##0_-;\-* #,##0_-;_-* &quot;-&quot;??_-;_-@_-">
                  <c:v>6249770.9519999996</c:v>
                </c:pt>
                <c:pt idx="19" formatCode="_-* #,##0_-;\-* #,##0_-;_-* &quot;-&quot;??_-;_-@_-">
                  <c:v>3863299.5</c:v>
                </c:pt>
                <c:pt idx="20" formatCode="_-* #,##0_-;\-* #,##0_-;_-* &quot;-&quot;??_-;_-@_-">
                  <c:v>5188070.6469999999</c:v>
                </c:pt>
                <c:pt idx="21" formatCode="_-* #,##0_-;\-* #,##0_-;_-* &quot;-&quot;??_-;_-@_-">
                  <c:v>7188153.2899999991</c:v>
                </c:pt>
                <c:pt idx="22" formatCode="_-* #,##0_-;\-* #,##0_-;_-* &quot;-&quot;??_-;_-@_-">
                  <c:v>6913208.1400000006</c:v>
                </c:pt>
                <c:pt idx="23" formatCode="_-* #,##0_-;\-* #,##0_-;_-* &quot;-&quot;??_-;_-@_-">
                  <c:v>11043338.846000001</c:v>
                </c:pt>
                <c:pt idx="24" formatCode="_-* #,##0_-;\-* #,##0_-;_-* &quot;-&quot;??_-;_-@_-">
                  <c:v>6576526.4039999992</c:v>
                </c:pt>
                <c:pt idx="25" formatCode="_-* #,##0_-;\-* #,##0_-;_-* &quot;-&quot;??_-;_-@_-">
                  <c:v>8207700.4059999958</c:v>
                </c:pt>
                <c:pt idx="26" formatCode="_-* #,##0_-;\-* #,##0_-;_-* &quot;-&quot;??_-;_-@_-">
                  <c:v>4500102.688000001</c:v>
                </c:pt>
                <c:pt idx="27" formatCode="_-* #,##0_-;\-* #,##0_-;_-* &quot;-&quot;??_-;_-@_-">
                  <c:v>5970842.2820000015</c:v>
                </c:pt>
                <c:pt idx="28" formatCode="_-* #,##0_-;\-* #,##0_-;_-* &quot;-&quot;??_-;_-@_-">
                  <c:v>5387444.0549999997</c:v>
                </c:pt>
                <c:pt idx="29" formatCode="_-* #,##0_-;\-* #,##0_-;_-* &quot;-&quot;??_-;_-@_-">
                  <c:v>15778536.355999999</c:v>
                </c:pt>
                <c:pt idx="30" formatCode="_-* #,##0_-;\-* #,##0_-;_-* &quot;-&quot;??_-;_-@_-">
                  <c:v>7585507.8399999961</c:v>
                </c:pt>
                <c:pt idx="31" formatCode="_-* #,##0_-;\-* #,##0_-;_-* &quot;-&quot;??_-;_-@_-">
                  <c:v>13839231.620000005</c:v>
                </c:pt>
                <c:pt idx="32" formatCode="_-* #,##0_-;\-* #,##0_-;_-* &quot;-&quot;??_-;_-@_-">
                  <c:v>9006700.1700000018</c:v>
                </c:pt>
                <c:pt idx="33" formatCode="_-* #,##0_-;\-* #,##0_-;_-* &quot;-&quot;??_-;_-@_-">
                  <c:v>8797129.7400000021</c:v>
                </c:pt>
                <c:pt idx="34" formatCode="_-* #,##0_-;\-* #,##0_-;_-* &quot;-&quot;??_-;_-@_-">
                  <c:v>3889592.5</c:v>
                </c:pt>
                <c:pt idx="35" formatCode="_-* #,##0_-;\-* #,##0_-;_-* &quot;-&quot;??_-;_-@_-">
                  <c:v>6887169.9700000025</c:v>
                </c:pt>
                <c:pt idx="36" formatCode="_-* #,##0_-;\-* #,##0_-;_-* &quot;-&quot;??_-;_-@_-">
                  <c:v>10316231.920000002</c:v>
                </c:pt>
                <c:pt idx="37" formatCode="_-* #,##0_-;\-* #,##0_-;_-* &quot;-&quot;??_-;_-@_-">
                  <c:v>10712482.079999998</c:v>
                </c:pt>
                <c:pt idx="38" formatCode="_-* #,##0_-;\-* #,##0_-;_-* &quot;-&quot;??_-;_-@_-">
                  <c:v>10808603</c:v>
                </c:pt>
                <c:pt idx="39" formatCode="_-* #,##0_-;\-* #,##0_-;_-* &quot;-&quot;??_-;_-@_-">
                  <c:v>7759930.7199999988</c:v>
                </c:pt>
                <c:pt idx="40" formatCode="_-* #,##0_-;\-* #,##0_-;_-* &quot;-&quot;??_-;_-@_-">
                  <c:v>12957338.77</c:v>
                </c:pt>
                <c:pt idx="41" formatCode="_-* #,##0_-;\-* #,##0_-;_-* &quot;-&quot;??_-;_-@_-">
                  <c:v>8795086.0300000012</c:v>
                </c:pt>
                <c:pt idx="42" formatCode="_-* #,##0_-;\-* #,##0_-;_-* &quot;-&quot;??_-;_-@_-">
                  <c:v>5584394.8299999982</c:v>
                </c:pt>
                <c:pt idx="43" formatCode="_-* #,##0_-;\-* #,##0_-;_-* &quot;-&quot;??_-;_-@_-">
                  <c:v>8683381.25</c:v>
                </c:pt>
                <c:pt idx="44" formatCode="_-* #,##0_-;\-* #,##0_-;_-* &quot;-&quot;??_-;_-@_-">
                  <c:v>3808929.549999997</c:v>
                </c:pt>
                <c:pt idx="45" formatCode="_-* #,##0_-;\-* #,##0_-;_-* &quot;-&quot;??_-;_-@_-">
                  <c:v>4585820.82</c:v>
                </c:pt>
                <c:pt idx="46" formatCode="_-* #,##0_-;\-* #,##0_-;_-* &quot;-&quot;??_-;_-@_-">
                  <c:v>8937795.3999999985</c:v>
                </c:pt>
                <c:pt idx="47" formatCode="_-* #,##0_-;\-* #,##0_-;_-* &quot;-&quot;??_-;_-@_-">
                  <c:v>4732523.4099999964</c:v>
                </c:pt>
                <c:pt idx="48" formatCode="_-* #,##0_-;\-* #,##0_-;_-* &quot;-&quot;??_-;_-@_-">
                  <c:v>8030618.3000000007</c:v>
                </c:pt>
                <c:pt idx="49" formatCode="_-* #,##0_-;\-* #,##0_-;_-* &quot;-&quot;??_-;_-@_-">
                  <c:v>7851610.0900000036</c:v>
                </c:pt>
                <c:pt idx="50" formatCode="_-* #,##0_-;\-* #,##0_-;_-* &quot;-&quot;??_-;_-@_-">
                  <c:v>7452370.3399999999</c:v>
                </c:pt>
                <c:pt idx="51" formatCode="_-* #,##0_-;\-* #,##0_-;_-* &quot;-&quot;??_-;_-@_-">
                  <c:v>10068069.060000002</c:v>
                </c:pt>
                <c:pt idx="52" formatCode="_-* #,##0_-;\-* #,##0_-;_-* &quot;-&quot;??_-;_-@_-">
                  <c:v>11446206.810000002</c:v>
                </c:pt>
                <c:pt idx="53" formatCode="_-* #,##0_-;\-* #,##0_-;_-* &quot;-&quot;??_-;_-@_-">
                  <c:v>8715607.3499999978</c:v>
                </c:pt>
                <c:pt idx="54" formatCode="_-* #,##0_-;\-* #,##0_-;_-* &quot;-&quot;??_-;_-@_-">
                  <c:v>11284250.145999998</c:v>
                </c:pt>
                <c:pt idx="55" formatCode="_-* #,##0_-;\-* #,##0_-;_-* &quot;-&quot;??_-;_-@_-">
                  <c:v>8593321.8680000007</c:v>
                </c:pt>
                <c:pt idx="56" formatCode="_-* #,##0_-;\-* #,##0_-;_-* &quot;-&quot;??_-;_-@_-">
                  <c:v>9249091.8280000016</c:v>
                </c:pt>
                <c:pt idx="57" formatCode="_-* #,##0_-;\-* #,##0_-;_-* &quot;-&quot;??_-;_-@_-">
                  <c:v>7399539.1569999978</c:v>
                </c:pt>
                <c:pt idx="58" formatCode="_-* #,##0_-;\-* #,##0_-;_-* &quot;-&quot;??_-;_-@_-">
                  <c:v>8564194.818</c:v>
                </c:pt>
                <c:pt idx="59" formatCode="_-* #,##0_-;\-* #,##0_-;_-* &quot;-&quot;??_-;_-@_-">
                  <c:v>9337325.0370000005</c:v>
                </c:pt>
                <c:pt idx="60" formatCode="_-* #,##0_-;\-* #,##0_-;_-* &quot;-&quot;??_-;_-@_-">
                  <c:v>7135487.6499999985</c:v>
                </c:pt>
                <c:pt idx="61" formatCode="_-* #,##0_-;\-* #,##0_-;_-* &quot;-&quot;??_-;_-@_-">
                  <c:v>5101757.16</c:v>
                </c:pt>
                <c:pt idx="62" formatCode="_-* #,##0_-;\-* #,##0_-;_-* &quot;-&quot;??_-;_-@_-">
                  <c:v>8245620.3720000014</c:v>
                </c:pt>
                <c:pt idx="63" formatCode="_-* #,##0_-;\-* #,##0_-;_-* &quot;-&quot;??_-;_-@_-">
                  <c:v>5482297.362999998</c:v>
                </c:pt>
                <c:pt idx="64" formatCode="_-* #,##0_-;\-* #,##0_-;_-* &quot;-&quot;??_-;_-@_-">
                  <c:v>6865724.0639999956</c:v>
                </c:pt>
                <c:pt idx="65" formatCode="_-* #,##0_-;\-* #,##0_-;_-* &quot;-&quot;??_-;_-@_-">
                  <c:v>6376802.7199999988</c:v>
                </c:pt>
                <c:pt idx="66" formatCode="_-* #,##0_-;\-* #,##0_-;_-* &quot;-&quot;??_-;_-@_-">
                  <c:v>11293319.494000003</c:v>
                </c:pt>
                <c:pt idx="67" formatCode="_-* #,##0_-;\-* #,##0_-;_-* &quot;-&quot;??_-;_-@_-">
                  <c:v>3991670.4299999997</c:v>
                </c:pt>
                <c:pt idx="68" formatCode="_-* #,##0_-;\-* #,##0_-;_-* &quot;-&quot;??_-;_-@_-">
                  <c:v>4042189</c:v>
                </c:pt>
                <c:pt idx="69" formatCode="_-* #,##0_-;\-* #,##0_-;_-* &quot;-&quot;??_-;_-@_-">
                  <c:v>5172289.0269999988</c:v>
                </c:pt>
                <c:pt idx="70" formatCode="_-* #,##0_-;\-* #,##0_-;_-* &quot;-&quot;??_-;_-@_-">
                  <c:v>4268905.2780000009</c:v>
                </c:pt>
                <c:pt idx="71" formatCode="_-* #,##0_-;\-* #,##0_-;_-* &quot;-&quot;??_-;_-@_-">
                  <c:v>6064380.8699999992</c:v>
                </c:pt>
                <c:pt idx="72" formatCode="_-* #,##0_-;\-* #,##0_-;_-* &quot;-&quot;??_-;_-@_-">
                  <c:v>4362276.5199999996</c:v>
                </c:pt>
                <c:pt idx="73" formatCode="_-* #,##0_-;\-* #,##0_-;_-* &quot;-&quot;??_-;_-@_-">
                  <c:v>5127438.0300000012</c:v>
                </c:pt>
                <c:pt idx="74" formatCode="_-* #,##0_-;\-* #,##0_-;_-* &quot;-&quot;??_-;_-@_-">
                  <c:v>8499963.8920000009</c:v>
                </c:pt>
                <c:pt idx="75" formatCode="_-* #,##0_-;\-* #,##0_-;_-* &quot;-&quot;??_-;_-@_-">
                  <c:v>6859387.6530000009</c:v>
                </c:pt>
                <c:pt idx="76" formatCode="_-* #,##0_-;\-* #,##0_-;_-* &quot;-&quot;??_-;_-@_-">
                  <c:v>3719530.6499999985</c:v>
                </c:pt>
                <c:pt idx="77" formatCode="_-* #,##0_-;\-* #,##0_-;_-* &quot;-&quot;??_-;_-@_-">
                  <c:v>6879246.688000001</c:v>
                </c:pt>
                <c:pt idx="78" formatCode="_-* #,##0_-;\-* #,##0_-;_-* &quot;-&quot;??_-;_-@_-">
                  <c:v>8772903.25</c:v>
                </c:pt>
                <c:pt idx="79" formatCode="_-* #,##0_-;\-* #,##0_-;_-* &quot;-&quot;??_-;_-@_-">
                  <c:v>5210206.8159999996</c:v>
                </c:pt>
                <c:pt idx="80" formatCode="_-* #,##0_-;\-* #,##0_-;_-* &quot;-&quot;??_-;_-@_-">
                  <c:v>6069502.8680000007</c:v>
                </c:pt>
                <c:pt idx="81" formatCode="_-* #,##0_-;\-* #,##0_-;_-* &quot;-&quot;??_-;_-@_-">
                  <c:v>4212299.4350000024</c:v>
                </c:pt>
                <c:pt idx="82" formatCode="_-* #,##0_-;\-* #,##0_-;_-* &quot;-&quot;??_-;_-@_-">
                  <c:v>3039863.3620000035</c:v>
                </c:pt>
                <c:pt idx="83" formatCode="_-* #,##0_-;\-* #,##0_-;_-* &quot;-&quot;??_-;_-@_-">
                  <c:v>4740491.1829999983</c:v>
                </c:pt>
                <c:pt idx="84" formatCode="_-* #,##0_-;\-* #,##0_-;_-* &quot;-&quot;??_-;_-@_-">
                  <c:v>7879753.3579999991</c:v>
                </c:pt>
                <c:pt idx="85" formatCode="_-* #,##0_-;\-* #,##0_-;_-* &quot;-&quot;??_-;_-@_-">
                  <c:v>9162783.2980000004</c:v>
                </c:pt>
                <c:pt idx="86" formatCode="_-* #,##0_-;\-* #,##0_-;_-* &quot;-&quot;??_-;_-@_-">
                  <c:v>7797400.2800000012</c:v>
                </c:pt>
                <c:pt idx="87" formatCode="_-* #,##0_-;\-* #,##0_-;_-* &quot;-&quot;??_-;_-@_-">
                  <c:v>6896809.5289999992</c:v>
                </c:pt>
                <c:pt idx="88" formatCode="_-* #,##0_-;\-* #,##0_-;_-* &quot;-&quot;??_-;_-@_-">
                  <c:v>4408193.6389999986</c:v>
                </c:pt>
                <c:pt idx="89" formatCode="_-* #,##0_-;\-* #,##0_-;_-* &quot;-&quot;??_-;_-@_-">
                  <c:v>8751440.2540000007</c:v>
                </c:pt>
                <c:pt idx="90" formatCode="_-* #,##0_-;\-* #,##0_-;_-* &quot;-&quot;??_-;_-@_-">
                  <c:v>6559984.9799999967</c:v>
                </c:pt>
                <c:pt idx="91" formatCode="_-* #,##0_-;\-* #,##0_-;_-* &quot;-&quot;??_-;_-@_-">
                  <c:v>4995288.8090000004</c:v>
                </c:pt>
                <c:pt idx="92" formatCode="_-* #,##0_-;\-* #,##0_-;_-* &quot;-&quot;??_-;_-@_-">
                  <c:v>12505697</c:v>
                </c:pt>
                <c:pt idx="93" formatCode="_-* #,##0_-;\-* #,##0_-;_-* &quot;-&quot;??_-;_-@_-">
                  <c:v>4611828</c:v>
                </c:pt>
                <c:pt idx="94" formatCode="_-* #,##0_-;\-* #,##0_-;_-* &quot;-&quot;??_-;_-@_-">
                  <c:v>4957864.7289999984</c:v>
                </c:pt>
                <c:pt idx="95" formatCode="_-* #,##0_-;\-* #,##0_-;_-* &quot;-&quot;??_-;_-@_-">
                  <c:v>3953054.6309999973</c:v>
                </c:pt>
                <c:pt idx="96" formatCode="_-* #,##0_-;\-* #,##0_-;_-* &quot;-&quot;??_-;_-@_-">
                  <c:v>2587718.1960000023</c:v>
                </c:pt>
                <c:pt idx="97" formatCode="_-* #,##0_-;\-* #,##0_-;_-* &quot;-&quot;??_-;_-@_-">
                  <c:v>1167643.8149999976</c:v>
                </c:pt>
                <c:pt idx="98" formatCode="_-* #,##0_-;\-* #,##0_-;_-* &quot;-&quot;??_-;_-@_-">
                  <c:v>5233446.3949999996</c:v>
                </c:pt>
                <c:pt idx="99" formatCode="_-* #,##0_-;\-* #,##0_-;_-* &quot;-&quot;??_-;_-@_-">
                  <c:v>8610075.1440000013</c:v>
                </c:pt>
                <c:pt idx="100" formatCode="_-* #,##0_-;\-* #,##0_-;_-* &quot;-&quot;??_-;_-@_-">
                  <c:v>4384027.3680000007</c:v>
                </c:pt>
                <c:pt idx="101" formatCode="_-* #,##0_-;\-* #,##0_-;_-* &quot;-&quot;??_-;_-@_-">
                  <c:v>2097265.3779999986</c:v>
                </c:pt>
                <c:pt idx="102" formatCode="_-* #,##0_-;\-* #,##0_-;_-* &quot;-&quot;??_-;_-@_-">
                  <c:v>5960447.370000001</c:v>
                </c:pt>
                <c:pt idx="103" formatCode="_-* #,##0_-;\-* #,##0_-;_-* &quot;-&quot;??_-;_-@_-">
                  <c:v>1400066.8920000009</c:v>
                </c:pt>
                <c:pt idx="104" formatCode="_-* #,##0_-;\-* #,##0_-;_-* &quot;-&quot;??_-;_-@_-">
                  <c:v>7445430.2859999985</c:v>
                </c:pt>
                <c:pt idx="105" formatCode="_-* #,##0_-;\-* #,##0_-;_-* &quot;-&quot;??_-;_-@_-">
                  <c:v>3357188.7640000023</c:v>
                </c:pt>
                <c:pt idx="106" formatCode="_-* #,##0_-;\-* #,##0_-;_-* &quot;-&quot;??_-;_-@_-">
                  <c:v>2477137.4670000039</c:v>
                </c:pt>
                <c:pt idx="107" formatCode="_-* #,##0_-;\-* #,##0_-;_-* &quot;-&quot;??_-;_-@_-">
                  <c:v>3676875.7280000001</c:v>
                </c:pt>
                <c:pt idx="108" formatCode="_-* #,##0_-;\-* #,##0_-;_-* &quot;-&quot;??_-;_-@_-">
                  <c:v>5603910.3079999983</c:v>
                </c:pt>
                <c:pt idx="109" formatCode="_-* #,##0_-;\-* #,##0_-;_-* &quot;-&quot;??_-;_-@_-">
                  <c:v>4996901.2290000021</c:v>
                </c:pt>
                <c:pt idx="110" formatCode="_-* #,##0_-;\-* #,##0_-;_-* &quot;-&quot;??_-;_-@_-">
                  <c:v>9388146.9250000007</c:v>
                </c:pt>
                <c:pt idx="111" formatCode="_-* #,##0_-;\-* #,##0_-;_-* &quot;-&quot;??_-;_-@_-">
                  <c:v>2455722.1539999992</c:v>
                </c:pt>
                <c:pt idx="112" formatCode="_-* #,##0_-;\-* #,##0_-;_-* &quot;-&quot;??_-;_-@_-">
                  <c:v>5795952.449000001</c:v>
                </c:pt>
                <c:pt idx="113" formatCode="_-* #,##0_-;\-* #,##0_-;_-* &quot;-&quot;??_-;_-@_-">
                  <c:v>4664876.0529999994</c:v>
                </c:pt>
                <c:pt idx="114" formatCode="_-* #,##0_-;\-* #,##0_-;_-* &quot;-&quot;??_-;_-@_-">
                  <c:v>3031508.5179999992</c:v>
                </c:pt>
                <c:pt idx="115" formatCode="_-* #,##0_-;\-* #,##0_-;_-* &quot;-&quot;??_-;_-@_-">
                  <c:v>7169144.4730000012</c:v>
                </c:pt>
                <c:pt idx="116" formatCode="_-* #,##0_-;\-* #,##0_-;_-* &quot;-&quot;??_-;_-@_-">
                  <c:v>1429584.9919999987</c:v>
                </c:pt>
                <c:pt idx="117" formatCode="_-* #,##0_-;\-* #,##0_-;_-* &quot;-&quot;??_-;_-@_-">
                  <c:v>2120894.8649999984</c:v>
                </c:pt>
                <c:pt idx="118" formatCode="_-* #,##0_-;\-* #,##0_-;_-* &quot;-&quot;??_-;_-@_-">
                  <c:v>1597605.1000000015</c:v>
                </c:pt>
                <c:pt idx="119" formatCode="_-* #,##0_-;\-* #,##0_-;_-* &quot;-&quot;??_-;_-@_-">
                  <c:v>2126161.748999998</c:v>
                </c:pt>
                <c:pt idx="120" formatCode="_-* #,##0_-;\-* #,##0_-;_-* &quot;-&quot;??_-;_-@_-">
                  <c:v>4214235.43</c:v>
                </c:pt>
                <c:pt idx="121" formatCode="_-* #,##0_-;\-* #,##0_-;_-* &quot;-&quot;??_-;_-@_-">
                  <c:v>2623339.8999999985</c:v>
                </c:pt>
                <c:pt idx="122" formatCode="_-* #,##0_-;\-* #,##0_-;_-* &quot;-&quot;??_-;_-@_-">
                  <c:v>5221767.5799999982</c:v>
                </c:pt>
                <c:pt idx="123" formatCode="_-* #,##0_-;\-* #,##0_-;_-* &quot;-&quot;??_-;_-@_-">
                  <c:v>3797336.1199999973</c:v>
                </c:pt>
                <c:pt idx="124" formatCode="_-* #,##0_-;\-* #,##0_-;_-* &quot;-&quot;??_-;_-@_-">
                  <c:v>2299741.8630000055</c:v>
                </c:pt>
                <c:pt idx="125" formatCode="_-* #,##0_-;\-* #,##0_-;_-* &quot;-&quot;??_-;_-@_-">
                  <c:v>2516609.9940000027</c:v>
                </c:pt>
                <c:pt idx="126" formatCode="_-* #,##0_-;\-* #,##0_-;_-* &quot;-&quot;??_-;_-@_-">
                  <c:v>2370027.1339999996</c:v>
                </c:pt>
                <c:pt idx="127" formatCode="_-* #,##0_-;\-* #,##0_-;_-* &quot;-&quot;??_-;_-@_-">
                  <c:v>3400388.379999999</c:v>
                </c:pt>
                <c:pt idx="128" formatCode="_-* #,##0_-;\-* #,##0_-;_-* &quot;-&quot;??_-;_-@_-">
                  <c:v>3837178.0700000003</c:v>
                </c:pt>
                <c:pt idx="129" formatCode="_-* #,##0_-;\-* #,##0_-;_-* &quot;-&quot;??_-;_-@_-">
                  <c:v>5045672.3599999994</c:v>
                </c:pt>
                <c:pt idx="130" formatCode="_-* #,##0_-;\-* #,##0_-;_-* &quot;-&quot;??_-;_-@_-">
                  <c:v>2839724.4750000015</c:v>
                </c:pt>
                <c:pt idx="131" formatCode="_-* #,##0_-;\-* #,##0_-;_-* &quot;-&quot;??_-;_-@_-">
                  <c:v>1116330.9760000035</c:v>
                </c:pt>
                <c:pt idx="132" formatCode="_-* #,##0_-;\-* #,##0_-;_-* &quot;-&quot;??_-;_-@_-">
                  <c:v>3385399.3950000033</c:v>
                </c:pt>
                <c:pt idx="133" formatCode="_-* #,##0_-;\-* #,##0_-;_-* &quot;-&quot;??_-;_-@_-">
                  <c:v>3269303.8980000019</c:v>
                </c:pt>
                <c:pt idx="134" formatCode="_-* #,##0_-;\-* #,##0_-;_-* &quot;-&quot;??_-;_-@_-">
                  <c:v>4087003.1070000008</c:v>
                </c:pt>
                <c:pt idx="135" formatCode="_-* #,##0_-;\-* #,##0_-;_-* &quot;-&quot;??_-;_-@_-">
                  <c:v>7364213.7650000006</c:v>
                </c:pt>
                <c:pt idx="136" formatCode="_-* #,##0_-;\-* #,##0_-;_-* &quot;-&quot;??_-;_-@_-">
                  <c:v>9283692.3419999965</c:v>
                </c:pt>
                <c:pt idx="137" formatCode="_-* #,##0_-;\-* #,##0_-;_-* &quot;-&quot;??_-;_-@_-">
                  <c:v>5276174.6000000015</c:v>
                </c:pt>
                <c:pt idx="138" formatCode="_-* #,##0_-;\-* #,##0_-;_-* &quot;-&quot;??_-;_-@_-">
                  <c:v>3388773.6220000014</c:v>
                </c:pt>
                <c:pt idx="139" formatCode="_-* #,##0_-;\-* #,##0_-;_-* &quot;-&quot;??_-;_-@_-">
                  <c:v>6075794.6420000009</c:v>
                </c:pt>
                <c:pt idx="140" formatCode="_-* #,##0_-;\-* #,##0_-;_-* &quot;-&quot;??_-;_-@_-">
                  <c:v>6357495.4120000005</c:v>
                </c:pt>
                <c:pt idx="141" formatCode="_-* #,##0_-;\-* #,##0_-;_-* &quot;-&quot;??_-;_-@_-">
                  <c:v>6455231.2210000008</c:v>
                </c:pt>
                <c:pt idx="142" formatCode="_-* #,##0_-;\-* #,##0_-;_-* &quot;-&quot;??_-;_-@_-">
                  <c:v>8341699.6050000004</c:v>
                </c:pt>
                <c:pt idx="143" formatCode="_-* #,##0_-;\-* #,##0_-;_-* &quot;-&quot;??_-;_-@_-">
                  <c:v>4286673.506000001</c:v>
                </c:pt>
                <c:pt idx="144" formatCode="_-* #,##0_-;\-* #,##0_-;_-* &quot;-&quot;??_-;_-@_-">
                  <c:v>6451046.8530000001</c:v>
                </c:pt>
                <c:pt idx="145" formatCode="_-* #,##0_-;\-* #,##0_-;_-* &quot;-&quot;??_-;_-@_-">
                  <c:v>8326815.4750000015</c:v>
                </c:pt>
                <c:pt idx="146" formatCode="_-* #,##0_-;\-* #,##0_-;_-* &quot;-&quot;??_-;_-@_-">
                  <c:v>7583987.7430000007</c:v>
                </c:pt>
                <c:pt idx="147" formatCode="_-* #,##0_-;\-* #,##0_-;_-* &quot;-&quot;??_-;_-@_-">
                  <c:v>7664957.6770000011</c:v>
                </c:pt>
                <c:pt idx="148" formatCode="_-* #,##0_-;\-* #,##0_-;_-* &quot;-&quot;??_-;_-@_-">
                  <c:v>6687983.3280000016</c:v>
                </c:pt>
                <c:pt idx="149" formatCode="_-* #,##0_-;\-* #,##0_-;_-* &quot;-&quot;??_-;_-@_-">
                  <c:v>8374128.3800000027</c:v>
                </c:pt>
                <c:pt idx="150" formatCode="_-* #,##0_-;\-* #,##0_-;_-* &quot;-&quot;??_-;_-@_-">
                  <c:v>11137554.659000002</c:v>
                </c:pt>
                <c:pt idx="151" formatCode="_-* #,##0_-;\-* #,##0_-;_-* &quot;-&quot;??_-;_-@_-">
                  <c:v>8190534.4820000008</c:v>
                </c:pt>
                <c:pt idx="152" formatCode="_-* #,##0_-;\-* #,##0_-;_-* &quot;-&quot;??_-;_-@_-">
                  <c:v>5565812.2890000008</c:v>
                </c:pt>
                <c:pt idx="153" formatCode="_-* #,##0_-;\-* #,##0_-;_-* &quot;-&quot;??_-;_-@_-">
                  <c:v>6321440.2800000012</c:v>
                </c:pt>
                <c:pt idx="154" formatCode="_-* #,##0_-;\-* #,##0_-;_-* &quot;-&quot;??_-;_-@_-">
                  <c:v>4741428.2290000021</c:v>
                </c:pt>
                <c:pt idx="155" formatCode="_-* #,##0_-;\-* #,##0_-;_-* &quot;-&quot;??_-;_-@_-">
                  <c:v>10322536.550999999</c:v>
                </c:pt>
                <c:pt idx="156" formatCode="_-* #,##0_-;\-* #,##0_-;_-* &quot;-&quot;??_-;_-@_-">
                  <c:v>3440617.2669999972</c:v>
                </c:pt>
                <c:pt idx="157" formatCode="_-* #,##0_-;\-* #,##0_-;_-* &quot;-&quot;??_-;_-@_-">
                  <c:v>7930668.7800000012</c:v>
                </c:pt>
                <c:pt idx="158" formatCode="_-* #,##0_-;\-* #,##0_-;_-* &quot;-&quot;??_-;_-@_-">
                  <c:v>8594587.8540000021</c:v>
                </c:pt>
                <c:pt idx="159" formatCode="_-* #,##0_-;\-* #,##0_-;_-* &quot;-&quot;??_-;_-@_-">
                  <c:v>3629129.3999999985</c:v>
                </c:pt>
                <c:pt idx="160" formatCode="_-* #,##0_-;\-* #,##0_-;_-* &quot;-&quot;??_-;_-@_-">
                  <c:v>5702212.1819999963</c:v>
                </c:pt>
                <c:pt idx="161" formatCode="_-* #,##0_-;\-* #,##0_-;_-* &quot;-&quot;??_-;_-@_-">
                  <c:v>4644398.6229999959</c:v>
                </c:pt>
                <c:pt idx="162" formatCode="_-* #,##0_-;\-* #,##0_-;_-* &quot;-&quot;??_-;_-@_-">
                  <c:v>3260258.7690000013</c:v>
                </c:pt>
                <c:pt idx="163" formatCode="_-* #,##0_-;\-* #,##0_-;_-* &quot;-&quot;??_-;_-@_-">
                  <c:v>3603777.012000002</c:v>
                </c:pt>
                <c:pt idx="164" formatCode="_-* #,##0_-;\-* #,##0_-;_-* &quot;-&quot;??_-;_-@_-">
                  <c:v>4944461.1999999993</c:v>
                </c:pt>
                <c:pt idx="165" formatCode="_-* #,##0_-;\-* #,##0_-;_-* &quot;-&quot;??_-;_-@_-">
                  <c:v>4106793.1440000013</c:v>
                </c:pt>
                <c:pt idx="166" formatCode="_-* #,##0_-;\-* #,##0_-;_-* &quot;-&quot;??_-;_-@_-">
                  <c:v>9946321.4570000023</c:v>
                </c:pt>
                <c:pt idx="167" formatCode="_-* #,##0_-;\-* #,##0_-;_-* &quot;-&quot;??_-;_-@_-">
                  <c:v>6155728.998999998</c:v>
                </c:pt>
                <c:pt idx="168" formatCode="_-* #,##0_-;\-* #,##0_-;_-* &quot;-&quot;??_-;_-@_-">
                  <c:v>5764396.0549999997</c:v>
                </c:pt>
                <c:pt idx="169" formatCode="_-* #,##0_-;\-* #,##0_-;_-* &quot;-&quot;??_-;_-@_-">
                  <c:v>10951253.145999998</c:v>
                </c:pt>
                <c:pt idx="170" formatCode="_-* #,##0_-;\-* #,##0_-;_-* &quot;-&quot;??_-;_-@_-">
                  <c:v>6837909.6679999977</c:v>
                </c:pt>
                <c:pt idx="171" formatCode="_-* #,##0_-;\-* #,##0_-;_-* &quot;-&quot;??_-;_-@_-">
                  <c:v>7772260.7459999993</c:v>
                </c:pt>
                <c:pt idx="172" formatCode="_-* #,##0_-;\-* #,##0_-;_-* &quot;-&quot;??_-;_-@_-">
                  <c:v>3960014.068</c:v>
                </c:pt>
                <c:pt idx="173" formatCode="_-* #,##0_-;\-* #,##0_-;_-* &quot;-&quot;??_-;_-@_-">
                  <c:v>7346339.3550000042</c:v>
                </c:pt>
                <c:pt idx="174" formatCode="_-* #,##0_-;\-* #,##0_-;_-* &quot;-&quot;??_-;_-@_-">
                  <c:v>3104789.3940000013</c:v>
                </c:pt>
                <c:pt idx="175" formatCode="_-* #,##0_-;\-* #,##0_-;_-* &quot;-&quot;??_-;_-@_-">
                  <c:v>8559610.9670000002</c:v>
                </c:pt>
                <c:pt idx="176" formatCode="_-* #,##0_-;\-* #,##0_-;_-* &quot;-&quot;??_-;_-@_-">
                  <c:v>5235353.1499999985</c:v>
                </c:pt>
                <c:pt idx="177" formatCode="_-* #,##0_-;\-* #,##0_-;_-* &quot;-&quot;??_-;_-@_-">
                  <c:v>2593298.9139999971</c:v>
                </c:pt>
                <c:pt idx="178" formatCode="_-* #,##0_-;\-* #,##0_-;_-* &quot;-&quot;??_-;_-@_-">
                  <c:v>8774491.2599999979</c:v>
                </c:pt>
                <c:pt idx="179" formatCode="_-* #,##0_-;\-* #,##0_-;_-* &quot;-&quot;??_-;_-@_-">
                  <c:v>8338987.8439999968</c:v>
                </c:pt>
                <c:pt idx="180" formatCode="_-* #,##0_-;\-* #,##0_-;_-* &quot;-&quot;??_-;_-@_-">
                  <c:v>6869764.8900000006</c:v>
                </c:pt>
                <c:pt idx="181" formatCode="_-* #,##0_-;\-* #,##0_-;_-* &quot;-&quot;??_-;_-@_-">
                  <c:v>5698048.5659999996</c:v>
                </c:pt>
                <c:pt idx="182" formatCode="_-* #,##0_-;\-* #,##0_-;_-* &quot;-&quot;??_-;_-@_-">
                  <c:v>3643752.0310000032</c:v>
                </c:pt>
                <c:pt idx="183" formatCode="_-* #,##0_-;\-* #,##0_-;_-* &quot;-&quot;??_-;_-@_-">
                  <c:v>8810693.5940000005</c:v>
                </c:pt>
                <c:pt idx="184" formatCode="_-* #,##0_-;\-* #,##0_-;_-* &quot;-&quot;??_-;_-@_-">
                  <c:v>6055565.5530000031</c:v>
                </c:pt>
                <c:pt idx="185" formatCode="_-* #,##0_-;\-* #,##0_-;_-* &quot;-&quot;??_-;_-@_-">
                  <c:v>5124604.6539999992</c:v>
                </c:pt>
                <c:pt idx="186" formatCode="_-* #,##0_-;\-* #,##0_-;_-* &quot;-&quot;??_-;_-@_-">
                  <c:v>4721983.4519999996</c:v>
                </c:pt>
                <c:pt idx="187" formatCode="_-* #,##0_-;\-* #,##0_-;_-* &quot;-&quot;??_-;_-@_-">
                  <c:v>3621755.5639999993</c:v>
                </c:pt>
                <c:pt idx="188" formatCode="_-* #,##0_-;\-* #,##0_-;_-* &quot;-&quot;??_-;_-@_-">
                  <c:v>8795257.0279999971</c:v>
                </c:pt>
                <c:pt idx="189" formatCode="_-* #,##0_-;\-* #,##0_-;_-* &quot;-&quot;??_-;_-@_-">
                  <c:v>6952774.049999997</c:v>
                </c:pt>
                <c:pt idx="190" formatCode="_-* #,##0_-;\-* #,##0_-;_-* &quot;-&quot;??_-;_-@_-">
                  <c:v>9652618.4829999991</c:v>
                </c:pt>
                <c:pt idx="191" formatCode="_-* #,##0_-;\-* #,##0_-;_-* &quot;-&quot;??_-;_-@_-">
                  <c:v>6470042.2430000007</c:v>
                </c:pt>
                <c:pt idx="192" formatCode="_-* #,##0_-;\-* #,##0_-;_-* &quot;-&quot;??_-;_-@_-">
                  <c:v>6982282.9439999983</c:v>
                </c:pt>
                <c:pt idx="193" formatCode="_-* #,##0_-;\-* #,##0_-;_-* &quot;-&quot;??_-;_-@_-">
                  <c:v>7652776.6369999982</c:v>
                </c:pt>
                <c:pt idx="194" formatCode="_-* #,##0_-;\-* #,##0_-;_-* &quot;-&quot;??_-;_-@_-">
                  <c:v>8382006.5879999995</c:v>
                </c:pt>
                <c:pt idx="195" formatCode="_-* #,##0_-;\-* #,##0_-;_-* &quot;-&quot;??_-;_-@_-">
                  <c:v>7765756.9200000018</c:v>
                </c:pt>
                <c:pt idx="196" formatCode="_-* #,##0_-;\-* #,##0_-;_-* &quot;-&quot;??_-;_-@_-">
                  <c:v>4158911.623999998</c:v>
                </c:pt>
                <c:pt idx="197" formatCode="_-* #,##0_-;\-* #,##0_-;_-* &quot;-&quot;??_-;_-@_-">
                  <c:v>8562847.2470000014</c:v>
                </c:pt>
                <c:pt idx="198" formatCode="_-* #,##0_-;\-* #,##0_-;_-* &quot;-&quot;??_-;_-@_-">
                  <c:v>6357423.311999999</c:v>
                </c:pt>
                <c:pt idx="199" formatCode="_-* #,##0_-;\-* #,##0_-;_-* &quot;-&quot;??_-;_-@_-">
                  <c:v>6270894.9580000043</c:v>
                </c:pt>
                <c:pt idx="200" formatCode="_-* #,##0_-;\-* #,##0_-;_-* &quot;-&quot;??_-;_-@_-">
                  <c:v>4589919.924999997</c:v>
                </c:pt>
                <c:pt idx="201" formatCode="_-* #,##0_-;\-* #,##0_-;_-* &quot;-&quot;??_-;_-@_-">
                  <c:v>7210766.2909999974</c:v>
                </c:pt>
                <c:pt idx="202" formatCode="_-* #,##0_-;\-* #,##0_-;_-* &quot;-&quot;??_-;_-@_-">
                  <c:v>5604429.6570000015</c:v>
                </c:pt>
                <c:pt idx="203" formatCode="_-* #,##0_-;\-* #,##0_-;_-* &quot;-&quot;??_-;_-@_-">
                  <c:v>4002856.2960000038</c:v>
                </c:pt>
                <c:pt idx="204" formatCode="_-* #,##0_-;\-* #,##0_-;_-* &quot;-&quot;??_-;_-@_-">
                  <c:v>10632665.093000002</c:v>
                </c:pt>
                <c:pt idx="205" formatCode="_-* #,##0_-;\-* #,##0_-;_-* &quot;-&quot;??_-;_-@_-">
                  <c:v>6897126.3559999987</c:v>
                </c:pt>
                <c:pt idx="206" formatCode="_-* #,##0_-;\-* #,##0_-;_-* &quot;-&quot;??_-;_-@_-">
                  <c:v>5155730.5380000025</c:v>
                </c:pt>
                <c:pt idx="207" formatCode="_-* #,##0_-;\-* #,##0_-;_-* &quot;-&quot;??_-;_-@_-">
                  <c:v>13482155.866999999</c:v>
                </c:pt>
                <c:pt idx="208" formatCode="_-* #,##0_-;\-* #,##0_-;_-* &quot;-&quot;??_-;_-@_-">
                  <c:v>9552736.8090000004</c:v>
                </c:pt>
                <c:pt idx="209" formatCode="_-* #,##0_-;\-* #,##0_-;_-* &quot;-&quot;??_-;_-@_-">
                  <c:v>10278999.941</c:v>
                </c:pt>
                <c:pt idx="210" formatCode="_-* #,##0_-;\-* #,##0_-;_-* &quot;-&quot;??_-;_-@_-">
                  <c:v>6439997.4350000024</c:v>
                </c:pt>
                <c:pt idx="211" formatCode="_-* #,##0_-;\-* #,##0_-;_-* &quot;-&quot;??_-;_-@_-">
                  <c:v>8518978.0559999943</c:v>
                </c:pt>
                <c:pt idx="212" formatCode="_-* #,##0_-;\-* #,##0_-;_-* &quot;-&quot;??_-;_-@_-">
                  <c:v>6334725.0410000011</c:v>
                </c:pt>
                <c:pt idx="213" formatCode="_-* #,##0_-;\-* #,##0_-;_-* &quot;-&quot;??_-;_-@_-">
                  <c:v>7488281.1380000003</c:v>
                </c:pt>
                <c:pt idx="214" formatCode="_-* #,##0_-;\-* #,##0_-;_-* &quot;-&quot;??_-;_-@_-">
                  <c:v>4630275.5379999988</c:v>
                </c:pt>
                <c:pt idx="215" formatCode="_-* #,##0_-;\-* #,##0_-;_-* &quot;-&quot;??_-;_-@_-">
                  <c:v>3038210.4859999977</c:v>
                </c:pt>
                <c:pt idx="216" formatCode="_-* #,##0_-;\-* #,##0_-;_-* &quot;-&quot;??_-;_-@_-">
                  <c:v>4106762.6620000005</c:v>
                </c:pt>
                <c:pt idx="217" formatCode="_-* #,##0_-;\-* #,##0_-;_-* &quot;-&quot;??_-;_-@_-">
                  <c:v>4456046.8530000001</c:v>
                </c:pt>
                <c:pt idx="218" formatCode="_-* #,##0_-;\-* #,##0_-;_-* &quot;-&quot;??_-;_-@_-">
                  <c:v>3646297.1230000034</c:v>
                </c:pt>
                <c:pt idx="219" formatCode="_-* #,##0_-;\-* #,##0_-;_-* &quot;-&quot;??_-;_-@_-">
                  <c:v>6305141.5830000006</c:v>
                </c:pt>
                <c:pt idx="220" formatCode="_-* #,##0_-;\-* #,##0_-;_-* &quot;-&quot;??_-;_-@_-">
                  <c:v>4169355.7100000009</c:v>
                </c:pt>
                <c:pt idx="221" formatCode="_-* #,##0_-;\-* #,##0_-;_-* &quot;-&quot;??_-;_-@_-">
                  <c:v>4755061.9759999998</c:v>
                </c:pt>
                <c:pt idx="222" formatCode="_-* #,##0_-;\-* #,##0_-;_-* &quot;-&quot;??_-;_-@_-">
                  <c:v>7286835.8559999987</c:v>
                </c:pt>
                <c:pt idx="223" formatCode="_-* #,##0_-;\-* #,##0_-;_-* &quot;-&quot;??_-;_-@_-">
                  <c:v>5485825.4240000024</c:v>
                </c:pt>
                <c:pt idx="224" formatCode="_-* #,##0_-;\-* #,##0_-;_-* &quot;-&quot;??_-;_-@_-">
                  <c:v>5255698.1339999959</c:v>
                </c:pt>
                <c:pt idx="225" formatCode="_-* #,##0_-;\-* #,##0_-;_-* &quot;-&quot;??_-;_-@_-">
                  <c:v>7069710.423999995</c:v>
                </c:pt>
                <c:pt idx="226" formatCode="_-* #,##0_-;\-* #,##0_-;_-* &quot;-&quot;??_-;_-@_-">
                  <c:v>2528244.4530000016</c:v>
                </c:pt>
                <c:pt idx="227" formatCode="_-* #,##0_-;\-* #,##0_-;_-* &quot;-&quot;??_-;_-@_-">
                  <c:v>6186496.1330000013</c:v>
                </c:pt>
                <c:pt idx="228" formatCode="_-* #,##0_-;\-* #,##0_-;_-* &quot;-&quot;??_-;_-@_-">
                  <c:v>8433250.2380000018</c:v>
                </c:pt>
                <c:pt idx="229" formatCode="_-* #,##0_-;\-* #,##0_-;_-* &quot;-&quot;??_-;_-@_-">
                  <c:v>6931789.7430000007</c:v>
                </c:pt>
                <c:pt idx="230" formatCode="_-* #,##0_-;\-* #,##0_-;_-* &quot;-&quot;??_-;_-@_-">
                  <c:v>7127975.1000000015</c:v>
                </c:pt>
                <c:pt idx="231" formatCode="_-* #,##0_-;\-* #,##0_-;_-* &quot;-&quot;??_-;_-@_-">
                  <c:v>5332018.6400000006</c:v>
                </c:pt>
                <c:pt idx="232" formatCode="_-* #,##0_-;\-* #,##0_-;_-* &quot;-&quot;??_-;_-@_-">
                  <c:v>9886504.7699999996</c:v>
                </c:pt>
                <c:pt idx="233" formatCode="_-* #,##0_-;\-* #,##0_-;_-* &quot;-&quot;??_-;_-@_-">
                  <c:v>9544502.5100000016</c:v>
                </c:pt>
                <c:pt idx="234" formatCode="_-* #,##0_-;\-* #,##0_-;_-* &quot;-&quot;??_-;_-@_-">
                  <c:v>14629457.689999998</c:v>
                </c:pt>
                <c:pt idx="235" formatCode="_-* #,##0_-;\-* #,##0_-;_-* &quot;-&quot;??_-;_-@_-">
                  <c:v>7365720.5</c:v>
                </c:pt>
                <c:pt idx="236" formatCode="_-* #,##0_-;\-* #,##0_-;_-* &quot;-&quot;??_-;_-@_-">
                  <c:v>9663294.4299999997</c:v>
                </c:pt>
                <c:pt idx="237" formatCode="_-* #,##0_-;\-* #,##0_-;_-* &quot;-&quot;??_-;_-@_-">
                  <c:v>3661672.4099999964</c:v>
                </c:pt>
                <c:pt idx="238" formatCode="_-* #,##0_-;\-* #,##0_-;_-* &quot;-&quot;??_-;_-@_-">
                  <c:v>6074366.8400000036</c:v>
                </c:pt>
                <c:pt idx="239" formatCode="_-* #,##0_-;\-* #,##0_-;_-* &quot;-&quot;??_-;_-@_-">
                  <c:v>6267596.879999999</c:v>
                </c:pt>
                <c:pt idx="240" formatCode="_-* #,##0_-;\-* #,##0_-;_-* &quot;-&quot;??_-;_-@_-">
                  <c:v>4114259.6999999993</c:v>
                </c:pt>
                <c:pt idx="241" formatCode="_-* #,##0_-;\-* #,##0_-;_-* &quot;-&quot;??_-;_-@_-">
                  <c:v>5783592.9100000039</c:v>
                </c:pt>
                <c:pt idx="242" formatCode="_-* #,##0_-;\-* #,##0_-;_-* &quot;-&quot;??_-;_-@_-">
                  <c:v>8612278.1899999976</c:v>
                </c:pt>
                <c:pt idx="243" formatCode="_-* #,##0_-;\-* #,##0_-;_-* &quot;-&quot;??_-;_-@_-">
                  <c:v>9771264.3800000027</c:v>
                </c:pt>
                <c:pt idx="244" formatCode="_-* #,##0_-;\-* #,##0_-;_-* &quot;-&quot;??_-;_-@_-">
                  <c:v>4997101.1899999976</c:v>
                </c:pt>
                <c:pt idx="245" formatCode="_-* #,##0_-;\-* #,##0_-;_-* &quot;-&quot;??_-;_-@_-">
                  <c:v>5025705.4200000018</c:v>
                </c:pt>
                <c:pt idx="246" formatCode="_-* #,##0_-;\-* #,##0_-;_-* &quot;-&quot;??_-;_-@_-">
                  <c:v>8129192.4299999997</c:v>
                </c:pt>
                <c:pt idx="247" formatCode="_-* #,##0_-;\-* #,##0_-;_-* &quot;-&quot;??_-;_-@_-">
                  <c:v>13978606.960000001</c:v>
                </c:pt>
                <c:pt idx="248" formatCode="_-* #,##0_-;\-* #,##0_-;_-* &quot;-&quot;??_-;_-@_-">
                  <c:v>5249009.7800000012</c:v>
                </c:pt>
                <c:pt idx="249" formatCode="_-* #,##0_-;\-* #,##0_-;_-* &quot;-&quot;??_-;_-@_-">
                  <c:v>9370982.5199999958</c:v>
                </c:pt>
                <c:pt idx="250" formatCode="_-* #,##0_-;\-* #,##0_-;_-* &quot;-&quot;??_-;_-@_-">
                  <c:v>8187692.75</c:v>
                </c:pt>
                <c:pt idx="251" formatCode="_-* #,##0_-;\-* #,##0_-;_-* &quot;-&quot;??_-;_-@_-">
                  <c:v>5046201.0899999961</c:v>
                </c:pt>
                <c:pt idx="252" formatCode="_-* #,##0_-;\-* #,##0_-;_-* &quot;-&quot;??_-;_-@_-">
                  <c:v>7015284.0199999996</c:v>
                </c:pt>
                <c:pt idx="253" formatCode="_-* #,##0_-;\-* #,##0_-;_-* &quot;-&quot;??_-;_-@_-">
                  <c:v>5526439.620000001</c:v>
                </c:pt>
                <c:pt idx="254" formatCode="_-* #,##0_-;\-* #,##0_-;_-* &quot;-&quot;??_-;_-@_-">
                  <c:v>5890199.0599999987</c:v>
                </c:pt>
                <c:pt idx="255" formatCode="_-* #,##0_-;\-* #,##0_-;_-* &quot;-&quot;??_-;_-@_-">
                  <c:v>4473405.82</c:v>
                </c:pt>
                <c:pt idx="256" formatCode="_-* #,##0_-;\-* #,##0_-;_-* &quot;-&quot;??_-;_-@_-">
                  <c:v>4655173.1000000015</c:v>
                </c:pt>
                <c:pt idx="257" formatCode="_-* #,##0_-;\-* #,##0_-;_-* &quot;-&quot;??_-;_-@_-">
                  <c:v>7152694.450000003</c:v>
                </c:pt>
                <c:pt idx="258" formatCode="_-* #,##0_-;\-* #,##0_-;_-* &quot;-&quot;??_-;_-@_-">
                  <c:v>5616347</c:v>
                </c:pt>
                <c:pt idx="259" formatCode="_-* #,##0_-;\-* #,##0_-;_-* &quot;-&quot;??_-;_-@_-">
                  <c:v>4838427.3900000006</c:v>
                </c:pt>
                <c:pt idx="260" formatCode="_-* #,##0_-;\-* #,##0_-;_-* &quot;-&quot;??_-;_-@_-">
                  <c:v>6775699.9699999988</c:v>
                </c:pt>
                <c:pt idx="261" formatCode="_-* #,##0_-;\-* #,##0_-;_-* &quot;-&quot;??_-;_-@_-">
                  <c:v>5137599.3300000019</c:v>
                </c:pt>
                <c:pt idx="262" formatCode="_-* #,##0_-;\-* #,##0_-;_-* &quot;-&quot;??_-;_-@_-">
                  <c:v>6612587.9299999997</c:v>
                </c:pt>
                <c:pt idx="263" formatCode="_-* #,##0_-;\-* #,##0_-;_-* &quot;-&quot;??_-;_-@_-">
                  <c:v>6826586.8099999987</c:v>
                </c:pt>
                <c:pt idx="264" formatCode="_-* #,##0_-;\-* #,##0_-;_-* &quot;-&quot;??_-;_-@_-">
                  <c:v>5681982.8399999999</c:v>
                </c:pt>
                <c:pt idx="265" formatCode="_-* #,##0_-;\-* #,##0_-;_-* &quot;-&quot;??_-;_-@_-">
                  <c:v>11960015.48</c:v>
                </c:pt>
                <c:pt idx="266" formatCode="_-* #,##0_-;\-* #,##0_-;_-* &quot;-&quot;??_-;_-@_-">
                  <c:v>7169392.7199999988</c:v>
                </c:pt>
                <c:pt idx="267" formatCode="_-* #,##0_-;\-* #,##0_-;_-* &quot;-&quot;??_-;_-@_-">
                  <c:v>7464217.5799999982</c:v>
                </c:pt>
                <c:pt idx="268" formatCode="_-* #,##0_-;\-* #,##0_-;_-* &quot;-&quot;??_-;_-@_-">
                  <c:v>5345223.6999999993</c:v>
                </c:pt>
                <c:pt idx="269" formatCode="_-* #,##0_-;\-* #,##0_-;_-* &quot;-&quot;??_-;_-@_-">
                  <c:v>14603489.57</c:v>
                </c:pt>
                <c:pt idx="270" formatCode="_-* #,##0_-;\-* #,##0_-;_-* &quot;-&quot;??_-;_-@_-">
                  <c:v>6903838.6900000013</c:v>
                </c:pt>
                <c:pt idx="271" formatCode="_-* #,##0_-;\-* #,##0_-;_-* &quot;-&quot;??_-;_-@_-">
                  <c:v>8398755.0099999979</c:v>
                </c:pt>
                <c:pt idx="272" formatCode="_-* #,##0_-;\-* #,##0_-;_-* &quot;-&quot;??_-;_-@_-">
                  <c:v>9600078.5599999949</c:v>
                </c:pt>
                <c:pt idx="273" formatCode="_-* #,##0_-;\-* #,##0_-;_-* &quot;-&quot;??_-;_-@_-">
                  <c:v>7358212.75</c:v>
                </c:pt>
                <c:pt idx="274" formatCode="_-* #,##0_-;\-* #,##0_-;_-* &quot;-&quot;??_-;_-@_-">
                  <c:v>12118143.32</c:v>
                </c:pt>
                <c:pt idx="275" formatCode="_-* #,##0_-;\-* #,##0_-;_-* &quot;-&quot;??_-;_-@_-">
                  <c:v>7687156.9900000021</c:v>
                </c:pt>
                <c:pt idx="276" formatCode="_-* #,##0_-;\-* #,##0_-;_-* &quot;-&quot;??_-;_-@_-">
                  <c:v>14483209.329999998</c:v>
                </c:pt>
                <c:pt idx="277" formatCode="_-* #,##0_-;\-* #,##0_-;_-* &quot;-&quot;??_-;_-@_-">
                  <c:v>4389861.9800000042</c:v>
                </c:pt>
                <c:pt idx="278" formatCode="_-* #,##0_-;\-* #,##0_-;_-* &quot;-&quot;??_-;_-@_-">
                  <c:v>6181932.299999997</c:v>
                </c:pt>
                <c:pt idx="279" formatCode="_-* #,##0_-;\-* #,##0_-;_-* &quot;-&quot;??_-;_-@_-">
                  <c:v>7444995.129999999</c:v>
                </c:pt>
                <c:pt idx="280" formatCode="_-* #,##0_-;\-* #,##0_-;_-* &quot;-&quot;??_-;_-@_-">
                  <c:v>3592417.6099999994</c:v>
                </c:pt>
                <c:pt idx="281" formatCode="_-* #,##0_-;\-* #,##0_-;_-* &quot;-&quot;??_-;_-@_-">
                  <c:v>5041408.1400000006</c:v>
                </c:pt>
                <c:pt idx="282" formatCode="_-* #,##0_-;\-* #,##0_-;_-* &quot;-&quot;??_-;_-@_-">
                  <c:v>7134498</c:v>
                </c:pt>
                <c:pt idx="283" formatCode="_-* #,##0_-;\-* #,##0_-;_-* &quot;-&quot;??_-;_-@_-">
                  <c:v>5393570.1199999973</c:v>
                </c:pt>
                <c:pt idx="284" formatCode="_-* #,##0_-;\-* #,##0_-;_-* &quot;-&quot;??_-;_-@_-">
                  <c:v>11187841.149999999</c:v>
                </c:pt>
                <c:pt idx="285" formatCode="_-* #,##0_-;\-* #,##0_-;_-* &quot;-&quot;??_-;_-@_-">
                  <c:v>5747093.3000000007</c:v>
                </c:pt>
                <c:pt idx="286" formatCode="_-* #,##0_-;\-* #,##0_-;_-* &quot;-&quot;??_-;_-@_-">
                  <c:v>5667305.7800000012</c:v>
                </c:pt>
                <c:pt idx="287" formatCode="_-* #,##0_-;\-* #,##0_-;_-* &quot;-&quot;??_-;_-@_-">
                  <c:v>7570366.5799999982</c:v>
                </c:pt>
                <c:pt idx="288" formatCode="_-* #,##0_-;\-* #,##0_-;_-* &quot;-&quot;??_-;_-@_-">
                  <c:v>11676333.730000004</c:v>
                </c:pt>
                <c:pt idx="289" formatCode="_-* #,##0_-;\-* #,##0_-;_-* &quot;-&quot;??_-;_-@_-">
                  <c:v>6552822.9100000001</c:v>
                </c:pt>
                <c:pt idx="290" formatCode="_-* #,##0_-;\-* #,##0_-;_-* &quot;-&quot;??_-;_-@_-">
                  <c:v>7162613.5100000054</c:v>
                </c:pt>
                <c:pt idx="291" formatCode="_-* #,##0_-;\-* #,##0_-;_-* &quot;-&quot;??_-;_-@_-">
                  <c:v>12180194.399999999</c:v>
                </c:pt>
                <c:pt idx="292" formatCode="_-* #,##0_-;\-* #,##0_-;_-* &quot;-&quot;??_-;_-@_-">
                  <c:v>16359270.869999997</c:v>
                </c:pt>
                <c:pt idx="293" formatCode="_-* #,##0_-;\-* #,##0_-;_-* &quot;-&quot;??_-;_-@_-">
                  <c:v>11104567.16</c:v>
                </c:pt>
                <c:pt idx="294" formatCode="_-* #,##0_-;\-* #,##0_-;_-* &quot;-&quot;??_-;_-@_-">
                  <c:v>5521311.9400000013</c:v>
                </c:pt>
                <c:pt idx="295" formatCode="_-* #,##0_-;\-* #,##0_-;_-* &quot;-&quot;??_-;_-@_-">
                  <c:v>10717799.5</c:v>
                </c:pt>
                <c:pt idx="296" formatCode="_-* #,##0_-;\-* #,##0_-;_-* &quot;-&quot;??_-;_-@_-">
                  <c:v>9490258.9200000018</c:v>
                </c:pt>
                <c:pt idx="297" formatCode="_-* #,##0_-;\-* #,##0_-;_-* &quot;-&quot;??_-;_-@_-">
                  <c:v>6016814.1700000018</c:v>
                </c:pt>
                <c:pt idx="298" formatCode="_-* #,##0_-;\-* #,##0_-;_-* &quot;-&quot;??_-;_-@_-">
                  <c:v>5117113.8500000015</c:v>
                </c:pt>
                <c:pt idx="299" formatCode="_-* #,##0_-;\-* #,##0_-;_-* &quot;-&quot;??_-;_-@_-">
                  <c:v>11065848.629999995</c:v>
                </c:pt>
                <c:pt idx="300" formatCode="_-* #,##0_-;\-* #,##0_-;_-* &quot;-&quot;??_-;_-@_-">
                  <c:v>5996948.4900000021</c:v>
                </c:pt>
                <c:pt idx="301" formatCode="_-* #,##0_-;\-* #,##0_-;_-* &quot;-&quot;??_-;_-@_-">
                  <c:v>14007470.23</c:v>
                </c:pt>
                <c:pt idx="302" formatCode="_-* #,##0_-;\-* #,##0_-;_-* &quot;-&quot;??_-;_-@_-">
                  <c:v>3357165</c:v>
                </c:pt>
                <c:pt idx="303" formatCode="_-* #,##0_-;\-* #,##0_-;_-* &quot;-&quot;??_-;_-@_-">
                  <c:v>6739634.8100000024</c:v>
                </c:pt>
                <c:pt idx="304" formatCode="_-* #,##0_-;\-* #,##0_-;_-* &quot;-&quot;??_-;_-@_-">
                  <c:v>4477710.4800000004</c:v>
                </c:pt>
                <c:pt idx="305" formatCode="_-* #,##0_-;\-* #,##0_-;_-* &quot;-&quot;??_-;_-@_-">
                  <c:v>4392131</c:v>
                </c:pt>
                <c:pt idx="306" formatCode="_-* #,##0_-;\-* #,##0_-;_-* &quot;-&quot;??_-;_-@_-">
                  <c:v>6621485.1899999976</c:v>
                </c:pt>
                <c:pt idx="307" formatCode="_-* #,##0_-;\-* #,##0_-;_-* &quot;-&quot;??_-;_-@_-">
                  <c:v>3717311.3299999982</c:v>
                </c:pt>
                <c:pt idx="308" formatCode="_-* #,##0_-;\-* #,##0_-;_-* &quot;-&quot;??_-;_-@_-">
                  <c:v>8955574.6600000001</c:v>
                </c:pt>
                <c:pt idx="309" formatCode="_-* #,##0_-;\-* #,##0_-;_-* &quot;-&quot;??_-;_-@_-">
                  <c:v>5059417.5</c:v>
                </c:pt>
                <c:pt idx="310" formatCode="_-* #,##0_-;\-* #,##0_-;_-* &quot;-&quot;??_-;_-@_-">
                  <c:v>3984285.1799999997</c:v>
                </c:pt>
                <c:pt idx="311" formatCode="_-* #,##0_-;\-* #,##0_-;_-* &quot;-&quot;??_-;_-@_-">
                  <c:v>6631477.099999994</c:v>
                </c:pt>
                <c:pt idx="312" formatCode="_-* #,##0_-;\-* #,##0_-;_-* &quot;-&quot;??_-;_-@_-">
                  <c:v>4326776.9200000018</c:v>
                </c:pt>
                <c:pt idx="313" formatCode="_-* #,##0_-;\-* #,##0_-;_-* &quot;-&quot;??_-;_-@_-">
                  <c:v>5000649.1200000048</c:v>
                </c:pt>
                <c:pt idx="314" formatCode="_-* #,##0_-;\-* #,##0_-;_-* &quot;-&quot;??_-;_-@_-">
                  <c:v>4832421.18</c:v>
                </c:pt>
                <c:pt idx="315" formatCode="_-* #,##0_-;\-* #,##0_-;_-* &quot;-&quot;??_-;_-@_-">
                  <c:v>5524974.4699999988</c:v>
                </c:pt>
                <c:pt idx="316" formatCode="_-* #,##0_-;\-* #,##0_-;_-* &quot;-&quot;??_-;_-@_-">
                  <c:v>6088212.1999999993</c:v>
                </c:pt>
                <c:pt idx="317" formatCode="_-* #,##0_-;\-* #,##0_-;_-* &quot;-&quot;??_-;_-@_-">
                  <c:v>3426761.3100000024</c:v>
                </c:pt>
                <c:pt idx="318" formatCode="_-* #,##0_-;\-* #,##0_-;_-* &quot;-&quot;??_-;_-@_-">
                  <c:v>4168014.2100000009</c:v>
                </c:pt>
                <c:pt idx="319" formatCode="_-* #,##0_-;\-* #,##0_-;_-* &quot;-&quot;??_-;_-@_-">
                  <c:v>7142988.0599999987</c:v>
                </c:pt>
                <c:pt idx="320" formatCode="_-* #,##0_-;\-* #,##0_-;_-* &quot;-&quot;??_-;_-@_-">
                  <c:v>7241140.75</c:v>
                </c:pt>
                <c:pt idx="321" formatCode="_-* #,##0_-;\-* #,##0_-;_-* &quot;-&quot;??_-;_-@_-">
                  <c:v>3209924.799999997</c:v>
                </c:pt>
                <c:pt idx="322" formatCode="_-* #,##0_-;\-* #,##0_-;_-* &quot;-&quot;??_-;_-@_-">
                  <c:v>5213672.1199999973</c:v>
                </c:pt>
                <c:pt idx="323" formatCode="_-* #,##0_-;\-* #,##0_-;_-* &quot;-&quot;??_-;_-@_-">
                  <c:v>4011355.5</c:v>
                </c:pt>
                <c:pt idx="324" formatCode="_-* #,##0_-;\-* #,##0_-;_-* &quot;-&quot;??_-;_-@_-">
                  <c:v>5698053.4600000009</c:v>
                </c:pt>
                <c:pt idx="325" formatCode="_-* #,##0_-;\-* #,##0_-;_-* &quot;-&quot;??_-;_-@_-">
                  <c:v>3646184.66</c:v>
                </c:pt>
                <c:pt idx="326" formatCode="_-* #,##0_-;\-* #,##0_-;_-* &quot;-&quot;??_-;_-@_-">
                  <c:v>4639332.6999999993</c:v>
                </c:pt>
                <c:pt idx="327" formatCode="_-* #,##0_-;\-* #,##0_-;_-* &quot;-&quot;??_-;_-@_-">
                  <c:v>3082096.66</c:v>
                </c:pt>
                <c:pt idx="328" formatCode="_-* #,##0_-;\-* #,##0_-;_-* &quot;-&quot;??_-;_-@_-">
                  <c:v>4436098.7400000021</c:v>
                </c:pt>
                <c:pt idx="329" formatCode="_-* #,##0_-;\-* #,##0_-;_-* &quot;-&quot;??_-;_-@_-">
                  <c:v>9435165.0399999991</c:v>
                </c:pt>
                <c:pt idx="330" formatCode="_-* #,##0_-;\-* #,##0_-;_-* &quot;-&quot;??_-;_-@_-">
                  <c:v>5237139.1400000006</c:v>
                </c:pt>
                <c:pt idx="331" formatCode="_-* #,##0_-;\-* #,##0_-;_-* &quot;-&quot;??_-;_-@_-">
                  <c:v>6773430.8499999996</c:v>
                </c:pt>
                <c:pt idx="332" formatCode="_-* #,##0_-;\-* #,##0_-;_-* &quot;-&quot;??_-;_-@_-">
                  <c:v>9444114.6999999993</c:v>
                </c:pt>
                <c:pt idx="333" formatCode="_-* #,##0_-;\-* #,##0_-;_-* &quot;-&quot;??_-;_-@_-">
                  <c:v>5114521.2100000009</c:v>
                </c:pt>
                <c:pt idx="334" formatCode="_-* #,##0_-;\-* #,##0_-;_-* &quot;-&quot;??_-;_-@_-">
                  <c:v>9874693.2899999991</c:v>
                </c:pt>
                <c:pt idx="335" formatCode="_-* #,##0_-;\-* #,##0_-;_-* &quot;-&quot;??_-;_-@_-">
                  <c:v>6148873.450000003</c:v>
                </c:pt>
                <c:pt idx="336" formatCode="_-* #,##0_-;\-* #,##0_-;_-* &quot;-&quot;??_-;_-@_-">
                  <c:v>5087348.400000006</c:v>
                </c:pt>
                <c:pt idx="337" formatCode="_-* #,##0_-;\-* #,##0_-;_-* &quot;-&quot;??_-;_-@_-">
                  <c:v>7874445.5099999979</c:v>
                </c:pt>
                <c:pt idx="338" formatCode="_-* #,##0_-;\-* #,##0_-;_-* &quot;-&quot;??_-;_-@_-">
                  <c:v>8316544.8000000007</c:v>
                </c:pt>
                <c:pt idx="339" formatCode="_-* #,##0_-;\-* #,##0_-;_-* &quot;-&quot;??_-;_-@_-">
                  <c:v>8357054.6400000006</c:v>
                </c:pt>
                <c:pt idx="340" formatCode="_-* #,##0_-;\-* #,##0_-;_-* &quot;-&quot;??_-;_-@_-">
                  <c:v>9199084.3500000015</c:v>
                </c:pt>
                <c:pt idx="341" formatCode="_-* #,##0_-;\-* #,##0_-;_-* &quot;-&quot;??_-;_-@_-">
                  <c:v>7815325.5099999979</c:v>
                </c:pt>
                <c:pt idx="342" formatCode="_-* #,##0_-;\-* #,##0_-;_-* &quot;-&quot;??_-;_-@_-">
                  <c:v>8191101.799999997</c:v>
                </c:pt>
                <c:pt idx="343" formatCode="_-* #,##0_-;\-* #,##0_-;_-* &quot;-&quot;??_-;_-@_-">
                  <c:v>5572283.6999999993</c:v>
                </c:pt>
                <c:pt idx="344" formatCode="_-* #,##0_-;\-* #,##0_-;_-* &quot;-&quot;??_-;_-@_-">
                  <c:v>5917294.5199999996</c:v>
                </c:pt>
                <c:pt idx="345" formatCode="_-* #,##0_-;\-* #,##0_-;_-* &quot;-&quot;??_-;_-@_-">
                  <c:v>6769955.3000000007</c:v>
                </c:pt>
                <c:pt idx="346" formatCode="_-* #,##0_-;\-* #,##0_-;_-* &quot;-&quot;??_-;_-@_-">
                  <c:v>8088633.5399999991</c:v>
                </c:pt>
                <c:pt idx="347" formatCode="_-* #,##0_-;\-* #,##0_-;_-* &quot;-&quot;??_-;_-@_-">
                  <c:v>6112790.9399999976</c:v>
                </c:pt>
                <c:pt idx="348" formatCode="_-* #,##0_-;\-* #,##0_-;_-* &quot;-&quot;??_-;_-@_-">
                  <c:v>4518170.6999999993</c:v>
                </c:pt>
                <c:pt idx="349" formatCode="_-* #,##0_-;\-* #,##0_-;_-* &quot;-&quot;??_-;_-@_-">
                  <c:v>4270519.5300000012</c:v>
                </c:pt>
                <c:pt idx="350" formatCode="_-* #,##0_-;\-* #,##0_-;_-* &quot;-&quot;??_-;_-@_-">
                  <c:v>6471733.1700000018</c:v>
                </c:pt>
                <c:pt idx="351" formatCode="_-* #,##0_-;\-* #,##0_-;_-* &quot;-&quot;??_-;_-@_-">
                  <c:v>6019333.5099999979</c:v>
                </c:pt>
                <c:pt idx="352" formatCode="_-* #,##0_-;\-* #,##0_-;_-* &quot;-&quot;??_-;_-@_-">
                  <c:v>8329468.9399999976</c:v>
                </c:pt>
                <c:pt idx="353" formatCode="_-* #,##0_-;\-* #,##0_-;_-* &quot;-&quot;??_-;_-@_-">
                  <c:v>5192505.5500000007</c:v>
                </c:pt>
                <c:pt idx="354" formatCode="_-* #,##0_-;\-* #,##0_-;_-* &quot;-&quot;??_-;_-@_-">
                  <c:v>4753555.6200000048</c:v>
                </c:pt>
                <c:pt idx="355" formatCode="_-* #,##0_-;\-* #,##0_-;_-* &quot;-&quot;??_-;_-@_-">
                  <c:v>5880047.4600000009</c:v>
                </c:pt>
                <c:pt idx="356" formatCode="_-* #,##0_-;\-* #,##0_-;_-* &quot;-&quot;??_-;_-@_-">
                  <c:v>6088104.4299999997</c:v>
                </c:pt>
                <c:pt idx="357" formatCode="_-* #,##0_-;\-* #,##0_-;_-* &quot;-&quot;??_-;_-@_-">
                  <c:v>4763029.57</c:v>
                </c:pt>
                <c:pt idx="358" formatCode="_-* #,##0_-;\-* #,##0_-;_-* &quot;-&quot;??_-;_-@_-">
                  <c:v>5561599.799999997</c:v>
                </c:pt>
                <c:pt idx="359" formatCode="_-* #,##0_-;\-* #,##0_-;_-* &quot;-&quot;??_-;_-@_-">
                  <c:v>6655126.6000000015</c:v>
                </c:pt>
                <c:pt idx="360" formatCode="_-* #,##0_-;\-* #,##0_-;_-* &quot;-&quot;??_-;_-@_-">
                  <c:v>8888846.8000000007</c:v>
                </c:pt>
                <c:pt idx="361" formatCode="_-* #,##0_-;\-* #,##0_-;_-* &quot;-&quot;??_-;_-@_-">
                  <c:v>20550514.609999999</c:v>
                </c:pt>
                <c:pt idx="362" formatCode="_-* #,##0_-;\-* #,##0_-;_-* &quot;-&quot;??_-;_-@_-">
                  <c:v>7132293.5010000002</c:v>
                </c:pt>
                <c:pt idx="363" formatCode="_-* #,##0_-;\-* #,##0_-;_-* &quot;-&quot;??_-;_-@_-">
                  <c:v>10545377.794</c:v>
                </c:pt>
                <c:pt idx="364" formatCode="_-* #,##0_-;\-* #,##0_-;_-* &quot;-&quot;??_-;_-@_-">
                  <c:v>13653905.852000002</c:v>
                </c:pt>
                <c:pt idx="365" formatCode="_-* #,##0_-;\-* #,##0_-;_-* &quot;-&quot;??_-;_-@_-">
                  <c:v>11340834.623000003</c:v>
                </c:pt>
                <c:pt idx="366" formatCode="_-* #,##0_-;\-* #,##0_-;_-* &quot;-&quot;??_-;_-@_-">
                  <c:v>9268724.3849999979</c:v>
                </c:pt>
                <c:pt idx="367" formatCode="_-* #,##0_-;\-* #,##0_-;_-* &quot;-&quot;??_-;_-@_-">
                  <c:v>14697271.950000003</c:v>
                </c:pt>
                <c:pt idx="368" formatCode="_-* #,##0_-;\-* #,##0_-;_-* &quot;-&quot;??_-;_-@_-">
                  <c:v>14329928.190000001</c:v>
                </c:pt>
                <c:pt idx="369" formatCode="_-* #,##0_-;\-* #,##0_-;_-* &quot;-&quot;??_-;_-@_-">
                  <c:v>9360248.7620000001</c:v>
                </c:pt>
                <c:pt idx="370" formatCode="_-* #,##0_-;\-* #,##0_-;_-* &quot;-&quot;??_-;_-@_-">
                  <c:v>10210302.697999999</c:v>
                </c:pt>
                <c:pt idx="371" formatCode="_-* #,##0_-;\-* #,##0_-;_-* &quot;-&quot;??_-;_-@_-">
                  <c:v>8884934.7459999993</c:v>
                </c:pt>
                <c:pt idx="372" formatCode="_-* #,##0_-;\-* #,##0_-;_-* &quot;-&quot;??_-;_-@_-">
                  <c:v>8905470.7880000025</c:v>
                </c:pt>
                <c:pt idx="373" formatCode="_-* #,##0_-;\-* #,##0_-;_-* &quot;-&quot;??_-;_-@_-">
                  <c:v>9243732.1389999986</c:v>
                </c:pt>
                <c:pt idx="374" formatCode="_-* #,##0_-;\-* #,##0_-;_-* &quot;-&quot;??_-;_-@_-">
                  <c:v>6155990.0260000005</c:v>
                </c:pt>
                <c:pt idx="375" formatCode="_-* #,##0_-;\-* #,##0_-;_-* &quot;-&quot;??_-;_-@_-">
                  <c:v>5760347.6419999972</c:v>
                </c:pt>
                <c:pt idx="376" formatCode="_-* #,##0_-;\-* #,##0_-;_-* &quot;-&quot;??_-;_-@_-">
                  <c:v>7594235.6799999997</c:v>
                </c:pt>
                <c:pt idx="377" formatCode="_-* #,##0_-;\-* #,##0_-;_-* &quot;-&quot;??_-;_-@_-">
                  <c:v>4617806.5399999991</c:v>
                </c:pt>
                <c:pt idx="378" formatCode="_-* #,##0_-;\-* #,##0_-;_-* &quot;-&quot;??_-;_-@_-">
                  <c:v>5606909.8399999961</c:v>
                </c:pt>
                <c:pt idx="379" formatCode="_-* #,##0_-;\-* #,##0_-;_-* &quot;-&quot;??_-;_-@_-">
                  <c:v>6140847.4199999981</c:v>
                </c:pt>
                <c:pt idx="380" formatCode="_-* #,##0_-;\-* #,##0_-;_-* &quot;-&quot;??_-;_-@_-">
                  <c:v>6199236.9100000001</c:v>
                </c:pt>
                <c:pt idx="381" formatCode="_-* #,##0_-;\-* #,##0_-;_-* &quot;-&quot;??_-;_-@_-">
                  <c:v>9561195.7300000004</c:v>
                </c:pt>
                <c:pt idx="382" formatCode="_-* #,##0_-;\-* #,##0_-;_-* &quot;-&quot;??_-;_-@_-">
                  <c:v>7765057.6700000018</c:v>
                </c:pt>
                <c:pt idx="383" formatCode="_-* #,##0_-;\-* #,##0_-;_-* &quot;-&quot;??_-;_-@_-">
                  <c:v>3586629.6999999993</c:v>
                </c:pt>
                <c:pt idx="384" formatCode="_-* #,##0_-;\-* #,##0_-;_-* &quot;-&quot;??_-;_-@_-">
                  <c:v>7064854.9500000011</c:v>
                </c:pt>
                <c:pt idx="385" formatCode="_-* #,##0_-;\-* #,##0_-;_-* &quot;-&quot;??_-;_-@_-">
                  <c:v>7398164.6400000006</c:v>
                </c:pt>
                <c:pt idx="386" formatCode="_-* #,##0_-;\-* #,##0_-;_-* &quot;-&quot;??_-;_-@_-">
                  <c:v>4789040.4200000018</c:v>
                </c:pt>
                <c:pt idx="387" formatCode="_-* #,##0_-;\-* #,##0_-;_-* &quot;-&quot;??_-;_-@_-">
                  <c:v>4540418.8999999985</c:v>
                </c:pt>
                <c:pt idx="388" formatCode="_-* #,##0_-;\-* #,##0_-;_-* &quot;-&quot;??_-;_-@_-">
                  <c:v>4075089.700000003</c:v>
                </c:pt>
                <c:pt idx="389" formatCode="_-* #,##0_-;\-* #,##0_-;_-* &quot;-&quot;??_-;_-@_-">
                  <c:v>5357843.3800000027</c:v>
                </c:pt>
                <c:pt idx="390" formatCode="_-* #,##0_-;\-* #,##0_-;_-* &quot;-&quot;??_-;_-@_-">
                  <c:v>5223390.91</c:v>
                </c:pt>
                <c:pt idx="391" formatCode="_-* #,##0_-;\-* #,##0_-;_-* &quot;-&quot;??_-;_-@_-">
                  <c:v>3581739.34</c:v>
                </c:pt>
                <c:pt idx="392" formatCode="_-* #,##0_-;\-* #,##0_-;_-* &quot;-&quot;??_-;_-@_-">
                  <c:v>5364073.1969999969</c:v>
                </c:pt>
                <c:pt idx="393" formatCode="_-* #,##0_-;\-* #,##0_-;_-* &quot;-&quot;??_-;_-@_-">
                  <c:v>9515353.2189999968</c:v>
                </c:pt>
                <c:pt idx="394" formatCode="_-* #,##0_-;\-* #,##0_-;_-* &quot;-&quot;??_-;_-@_-">
                  <c:v>6625224.0040000007</c:v>
                </c:pt>
                <c:pt idx="395" formatCode="_-* #,##0_-;\-* #,##0_-;_-* &quot;-&quot;??_-;_-@_-">
                  <c:v>11520863.550999999</c:v>
                </c:pt>
                <c:pt idx="396" formatCode="_-* #,##0_-;\-* #,##0_-;_-* &quot;-&quot;??_-;_-@_-">
                  <c:v>6895509.2840000018</c:v>
                </c:pt>
                <c:pt idx="397" formatCode="_-* #,##0_-;\-* #,##0_-;_-* &quot;-&quot;??_-;_-@_-">
                  <c:v>6509608.7390000001</c:v>
                </c:pt>
                <c:pt idx="398" formatCode="_-* #,##0_-;\-* #,##0_-;_-* &quot;-&quot;??_-;_-@_-">
                  <c:v>6090391.3500000015</c:v>
                </c:pt>
                <c:pt idx="399" formatCode="_-* #,##0_-;\-* #,##0_-;_-* &quot;-&quot;??_-;_-@_-">
                  <c:v>7405472.4869999997</c:v>
                </c:pt>
                <c:pt idx="400" formatCode="_-* #,##0_-;\-* #,##0_-;_-* &quot;-&quot;??_-;_-@_-">
                  <c:v>7083866.8409999982</c:v>
                </c:pt>
                <c:pt idx="401" formatCode="_-* #,##0_-;\-* #,##0_-;_-* &quot;-&quot;??_-;_-@_-">
                  <c:v>5463315.3430000022</c:v>
                </c:pt>
                <c:pt idx="402" formatCode="_-* #,##0_-;\-* #,##0_-;_-* &quot;-&quot;??_-;_-@_-">
                  <c:v>9526091.5500000007</c:v>
                </c:pt>
                <c:pt idx="403" formatCode="_-* #,##0_-;\-* #,##0_-;_-* &quot;-&quot;??_-;_-@_-">
                  <c:v>9822106.5670000017</c:v>
                </c:pt>
                <c:pt idx="404" formatCode="_-* #,##0_-;\-* #,##0_-;_-* &quot;-&quot;??_-;_-@_-">
                  <c:v>8994016.2060000002</c:v>
                </c:pt>
                <c:pt idx="405" formatCode="_-* #,##0_-;\-* #,##0_-;_-* &quot;-&quot;??_-;_-@_-">
                  <c:v>5151506.2349999994</c:v>
                </c:pt>
                <c:pt idx="406" formatCode="_-* #,##0_-;\-* #,##0_-;_-* &quot;-&quot;??_-;_-@_-">
                  <c:v>5367828.0729999989</c:v>
                </c:pt>
                <c:pt idx="407" formatCode="_-* #,##0_-;\-* #,##0_-;_-* &quot;-&quot;??_-;_-@_-">
                  <c:v>5315160.4279999994</c:v>
                </c:pt>
                <c:pt idx="408" formatCode="_-* #,##0_-;\-* #,##0_-;_-* &quot;-&quot;??_-;_-@_-">
                  <c:v>5710527.9959999993</c:v>
                </c:pt>
                <c:pt idx="409" formatCode="_-* #,##0_-;\-* #,##0_-;_-* &quot;-&quot;??_-;_-@_-">
                  <c:v>6343214.9719999991</c:v>
                </c:pt>
                <c:pt idx="410" formatCode="_-* #,##0_-;\-* #,##0_-;_-* &quot;-&quot;??_-;_-@_-">
                  <c:v>7156322.1669999994</c:v>
                </c:pt>
                <c:pt idx="411" formatCode="_-* #,##0_-;\-* #,##0_-;_-* &quot;-&quot;??_-;_-@_-">
                  <c:v>6938001.1930000037</c:v>
                </c:pt>
                <c:pt idx="412" formatCode="_-* #,##0_-;\-* #,##0_-;_-* &quot;-&quot;??_-;_-@_-">
                  <c:v>9715054.1160000004</c:v>
                </c:pt>
                <c:pt idx="413" formatCode="_-* #,##0_-;\-* #,##0_-;_-* &quot;-&quot;??_-;_-@_-">
                  <c:v>10839111.228</c:v>
                </c:pt>
                <c:pt idx="414" formatCode="_-* #,##0_-;\-* #,##0_-;_-* &quot;-&quot;??_-;_-@_-">
                  <c:v>10369425.130000003</c:v>
                </c:pt>
                <c:pt idx="415" formatCode="_-* #,##0_-;\-* #,##0_-;_-* &quot;-&quot;??_-;_-@_-">
                  <c:v>5998378.9330000002</c:v>
                </c:pt>
                <c:pt idx="416" formatCode="_-* #,##0_-;\-* #,##0_-;_-* &quot;-&quot;??_-;_-@_-">
                  <c:v>8491863.9400000013</c:v>
                </c:pt>
                <c:pt idx="417" formatCode="_-* #,##0_-;\-* #,##0_-;_-* &quot;-&quot;??_-;_-@_-">
                  <c:v>7754234.6319999993</c:v>
                </c:pt>
                <c:pt idx="418" formatCode="_-* #,##0_-;\-* #,##0_-;_-* &quot;-&quot;??_-;_-@_-">
                  <c:v>7184703.1889999993</c:v>
                </c:pt>
                <c:pt idx="419" formatCode="_-* #,##0_-;\-* #,##0_-;_-* &quot;-&quot;??_-;_-@_-">
                  <c:v>5388613.0989999995</c:v>
                </c:pt>
                <c:pt idx="420" formatCode="_-* #,##0_-;\-* #,##0_-;_-* &quot;-&quot;??_-;_-@_-">
                  <c:v>7361956.5050000027</c:v>
                </c:pt>
                <c:pt idx="421" formatCode="_-* #,##0_-;\-* #,##0_-;_-* &quot;-&quot;??_-;_-@_-">
                  <c:v>5525532.3339999989</c:v>
                </c:pt>
                <c:pt idx="422" formatCode="_-* #,##0_-;\-* #,##0_-;_-* &quot;-&quot;??_-;_-@_-">
                  <c:v>6462125.2459999993</c:v>
                </c:pt>
                <c:pt idx="423" formatCode="_-* #,##0_-;\-* #,##0_-;_-* &quot;-&quot;??_-;_-@_-">
                  <c:v>15538150.824000001</c:v>
                </c:pt>
                <c:pt idx="424" formatCode="_-* #,##0_-;\-* #,##0_-;_-* &quot;-&quot;??_-;_-@_-">
                  <c:v>6570912.4890000001</c:v>
                </c:pt>
                <c:pt idx="425" formatCode="_-* #,##0_-;\-* #,##0_-;_-* &quot;-&quot;??_-;_-@_-">
                  <c:v>5685430.5609999988</c:v>
                </c:pt>
                <c:pt idx="426" formatCode="_-* #,##0_-;\-* #,##0_-;_-* &quot;-&quot;??_-;_-@_-">
                  <c:v>11274240.068999998</c:v>
                </c:pt>
                <c:pt idx="427" formatCode="_-* #,##0_-;\-* #,##0_-;_-* &quot;-&quot;??_-;_-@_-">
                  <c:v>8646145.2960000001</c:v>
                </c:pt>
                <c:pt idx="428" formatCode="_-* #,##0_-;\-* #,##0_-;_-* &quot;-&quot;??_-;_-@_-">
                  <c:v>12098758.734999999</c:v>
                </c:pt>
                <c:pt idx="429" formatCode="_-* #,##0_-;\-* #,##0_-;_-* &quot;-&quot;??_-;_-@_-">
                  <c:v>7328951.6909999996</c:v>
                </c:pt>
                <c:pt idx="430" formatCode="_-* #,##0_-;\-* #,##0_-;_-* &quot;-&quot;??_-;_-@_-">
                  <c:v>6080394.8999999985</c:v>
                </c:pt>
                <c:pt idx="431" formatCode="_-* #,##0_-;\-* #,##0_-;_-* &quot;-&quot;??_-;_-@_-">
                  <c:v>7217384.5209999979</c:v>
                </c:pt>
                <c:pt idx="432" formatCode="_-* #,##0_-;\-* #,##0_-;_-* &quot;-&quot;??_-;_-@_-">
                  <c:v>9990269.501000002</c:v>
                </c:pt>
                <c:pt idx="433" formatCode="_-* #,##0_-;\-* #,##0_-;_-* &quot;-&quot;??_-;_-@_-">
                  <c:v>11146746.377999999</c:v>
                </c:pt>
                <c:pt idx="434" formatCode="_-* #,##0_-;\-* #,##0_-;_-* &quot;-&quot;??_-;_-@_-">
                  <c:v>7235958.5350000001</c:v>
                </c:pt>
                <c:pt idx="435" formatCode="_-* #,##0_-;\-* #,##0_-;_-* &quot;-&quot;??_-;_-@_-">
                  <c:v>5212126.7580000013</c:v>
                </c:pt>
                <c:pt idx="436" formatCode="_-* #,##0_-;\-* #,##0_-;_-* &quot;-&quot;??_-;_-@_-">
                  <c:v>6669364.8079999983</c:v>
                </c:pt>
                <c:pt idx="437" formatCode="_-* #,##0_-;\-* #,##0_-;_-* &quot;-&quot;??_-;_-@_-">
                  <c:v>6376641.3229999989</c:v>
                </c:pt>
                <c:pt idx="438" formatCode="_-* #,##0_-;\-* #,##0_-;_-* &quot;-&quot;??_-;_-@_-">
                  <c:v>7347238.4050000012</c:v>
                </c:pt>
                <c:pt idx="439" formatCode="_-* #,##0_-;\-* #,##0_-;_-* &quot;-&quot;??_-;_-@_-">
                  <c:v>6340188.75</c:v>
                </c:pt>
                <c:pt idx="440" formatCode="_-* #,##0_-;\-* #,##0_-;_-* &quot;-&quot;??_-;_-@_-">
                  <c:v>6533706.9100000001</c:v>
                </c:pt>
                <c:pt idx="441" formatCode="_-* #,##0_-;\-* #,##0_-;_-* &quot;-&quot;??_-;_-@_-">
                  <c:v>5335081.4869999997</c:v>
                </c:pt>
                <c:pt idx="442" formatCode="_-* #,##0_-;\-* #,##0_-;_-* &quot;-&quot;??_-;_-@_-">
                  <c:v>6283059.9629999995</c:v>
                </c:pt>
                <c:pt idx="443" formatCode="_-* #,##0_-;\-* #,##0_-;_-* &quot;-&quot;??_-;_-@_-">
                  <c:v>6375045.0199999996</c:v>
                </c:pt>
                <c:pt idx="444" formatCode="_-* #,##0_-;\-* #,##0_-;_-* &quot;-&quot;??_-;_-@_-">
                  <c:v>10853498.439999998</c:v>
                </c:pt>
                <c:pt idx="445" formatCode="_-* #,##0_-;\-* #,##0_-;_-* &quot;-&quot;??_-;_-@_-">
                  <c:v>7511463.8999999985</c:v>
                </c:pt>
                <c:pt idx="446" formatCode="_-* #,##0_-;\-* #,##0_-;_-* &quot;-&quot;??_-;_-@_-">
                  <c:v>5346137.7100000009</c:v>
                </c:pt>
                <c:pt idx="447" formatCode="_-* #,##0_-;\-* #,##0_-;_-* &quot;-&quot;??_-;_-@_-">
                  <c:v>6924731.3099999987</c:v>
                </c:pt>
                <c:pt idx="448" formatCode="_-* #,##0_-;\-* #,##0_-;_-* &quot;-&quot;??_-;_-@_-">
                  <c:v>7768832.2800000012</c:v>
                </c:pt>
                <c:pt idx="449" formatCode="_-* #,##0_-;\-* #,##0_-;_-* &quot;-&quot;??_-;_-@_-">
                  <c:v>6257885.3000000007</c:v>
                </c:pt>
                <c:pt idx="450" formatCode="_-* #,##0_-;\-* #,##0_-;_-* &quot;-&quot;??_-;_-@_-">
                  <c:v>5709050.3900000006</c:v>
                </c:pt>
                <c:pt idx="451" formatCode="_-* #,##0_-;\-* #,##0_-;_-* &quot;-&quot;??_-;_-@_-">
                  <c:v>5213498.9400000013</c:v>
                </c:pt>
                <c:pt idx="452" formatCode="_-* #,##0_-;\-* #,##0_-;_-* &quot;-&quot;??_-;_-@_-">
                  <c:v>7389348.3000000007</c:v>
                </c:pt>
                <c:pt idx="453" formatCode="_-* #,##0_-;\-* #,##0_-;_-* &quot;-&quot;??_-;_-@_-">
                  <c:v>5022818.1899999976</c:v>
                </c:pt>
                <c:pt idx="454" formatCode="_-* #,##0_-;\-* #,##0_-;_-* &quot;-&quot;??_-;_-@_-">
                  <c:v>7751728.6599999964</c:v>
                </c:pt>
                <c:pt idx="455" formatCode="_-* #,##0_-;\-* #,##0_-;_-* &quot;-&quot;??_-;_-@_-">
                  <c:v>4079226.7299999967</c:v>
                </c:pt>
                <c:pt idx="456" formatCode="_-* #,##0_-;\-* #,##0_-;_-* &quot;-&quot;??_-;_-@_-">
                  <c:v>7912809.8400000036</c:v>
                </c:pt>
                <c:pt idx="457" formatCode="_-* #,##0_-;\-* #,##0_-;_-* &quot;-&quot;??_-;_-@_-">
                  <c:v>12687397.399999999</c:v>
                </c:pt>
                <c:pt idx="458" formatCode="_-* #,##0_-;\-* #,##0_-;_-* &quot;-&quot;??_-;_-@_-">
                  <c:v>8010713.700000003</c:v>
                </c:pt>
                <c:pt idx="459" formatCode="_-* #,##0_-;\-* #,##0_-;_-* &quot;-&quot;??_-;_-@_-">
                  <c:v>8856682.8800000027</c:v>
                </c:pt>
                <c:pt idx="460" formatCode="_-* #,##0_-;\-* #,##0_-;_-* &quot;-&quot;??_-;_-@_-">
                  <c:v>7640271.1499999985</c:v>
                </c:pt>
                <c:pt idx="461" formatCode="_-* #,##0_-;\-* #,##0_-;_-* &quot;-&quot;??_-;_-@_-">
                  <c:v>6502574.3500000015</c:v>
                </c:pt>
                <c:pt idx="462" formatCode="_-* #,##0_-;\-* #,##0_-;_-* &quot;-&quot;??_-;_-@_-">
                  <c:v>8544752.2099999972</c:v>
                </c:pt>
                <c:pt idx="463" formatCode="_-* #,##0_-;\-* #,##0_-;_-* &quot;-&quot;??_-;_-@_-">
                  <c:v>6853881.1799999997</c:v>
                </c:pt>
                <c:pt idx="464" formatCode="_-* #,##0_-;\-* #,##0_-;_-* &quot;-&quot;??_-;_-@_-">
                  <c:v>7078535.8100000024</c:v>
                </c:pt>
                <c:pt idx="465" formatCode="_-* #,##0_-;\-* #,##0_-;_-* &quot;-&quot;??_-;_-@_-">
                  <c:v>7852849.8900000006</c:v>
                </c:pt>
                <c:pt idx="466" formatCode="_-* #,##0_-;\-* #,##0_-;_-* &quot;-&quot;??_-;_-@_-">
                  <c:v>6499480.7100000009</c:v>
                </c:pt>
                <c:pt idx="467" formatCode="_-* #,##0_-;\-* #,##0_-;_-* &quot;-&quot;??_-;_-@_-">
                  <c:v>5845023.0600000024</c:v>
                </c:pt>
                <c:pt idx="468" formatCode="_-* #,##0_-;\-* #,##0_-;_-* &quot;-&quot;??_-;_-@_-">
                  <c:v>11016028.847000003</c:v>
                </c:pt>
                <c:pt idx="469" formatCode="_-* #,##0_-;\-* #,##0_-;_-* &quot;-&quot;??_-;_-@_-">
                  <c:v>7922777.1499999985</c:v>
                </c:pt>
                <c:pt idx="470" formatCode="_-* #,##0_-;\-* #,##0_-;_-* &quot;-&quot;??_-;_-@_-">
                  <c:v>7180691.693</c:v>
                </c:pt>
                <c:pt idx="471" formatCode="_-* #,##0_-;\-* #,##0_-;_-* &quot;-&quot;??_-;_-@_-">
                  <c:v>7491663.7369999997</c:v>
                </c:pt>
                <c:pt idx="472" formatCode="_-* #,##0_-;\-* #,##0_-;_-* &quot;-&quot;??_-;_-@_-">
                  <c:v>9322277.2010000013</c:v>
                </c:pt>
                <c:pt idx="473" formatCode="_-* #,##0_-;\-* #,##0_-;_-* &quot;-&quot;??_-;_-@_-">
                  <c:v>10824732.603</c:v>
                </c:pt>
                <c:pt idx="474" formatCode="_-* #,##0_-;\-* #,##0_-;_-* &quot;-&quot;??_-;_-@_-">
                  <c:v>8466498.6900000013</c:v>
                </c:pt>
                <c:pt idx="475" formatCode="_-* #,##0_-;\-* #,##0_-;_-* &quot;-&quot;??_-;_-@_-">
                  <c:v>7262254.8430000022</c:v>
                </c:pt>
                <c:pt idx="476" formatCode="_-* #,##0_-;\-* #,##0_-;_-* &quot;-&quot;??_-;_-@_-">
                  <c:v>7146534.1019999981</c:v>
                </c:pt>
                <c:pt idx="477" formatCode="_-* #,##0_-;\-* #,##0_-;_-* &quot;-&quot;??_-;_-@_-">
                  <c:v>5535272.1140000001</c:v>
                </c:pt>
                <c:pt idx="478" formatCode="_-* #,##0_-;\-* #,##0_-;_-* &quot;-&quot;??_-;_-@_-">
                  <c:v>4745496.307</c:v>
                </c:pt>
                <c:pt idx="479" formatCode="_-* #,##0_-;\-* #,##0_-;_-* &quot;-&quot;??_-;_-@_-">
                  <c:v>3021246</c:v>
                </c:pt>
                <c:pt idx="480" formatCode="_-* #,##0_-;\-* #,##0_-;_-* &quot;-&quot;??_-;_-@_-">
                  <c:v>8757154.949000001</c:v>
                </c:pt>
                <c:pt idx="481" formatCode="_-* #,##0_-;\-* #,##0_-;_-* &quot;-&quot;??_-;_-@_-">
                  <c:v>11218213.147999998</c:v>
                </c:pt>
                <c:pt idx="482" formatCode="_-* #,##0_-;\-* #,##0_-;_-* &quot;-&quot;??_-;_-@_-">
                  <c:v>10632304.734999999</c:v>
                </c:pt>
                <c:pt idx="483" formatCode="_-* #,##0_-;\-* #,##0_-;_-* &quot;-&quot;??_-;_-@_-">
                  <c:v>9014355.8220000006</c:v>
                </c:pt>
                <c:pt idx="484" formatCode="_-* #,##0_-;\-* #,##0_-;_-* &quot;-&quot;??_-;_-@_-">
                  <c:v>11626910.471999999</c:v>
                </c:pt>
                <c:pt idx="485" formatCode="_-* #,##0_-;\-* #,##0_-;_-* &quot;-&quot;??_-;_-@_-">
                  <c:v>9455723.7309999987</c:v>
                </c:pt>
                <c:pt idx="486" formatCode="_-* #,##0_-;\-* #,##0_-;_-* &quot;-&quot;??_-;_-@_-">
                  <c:v>13455310.673</c:v>
                </c:pt>
                <c:pt idx="487" formatCode="_-* #,##0_-;\-* #,##0_-;_-* &quot;-&quot;??_-;_-@_-">
                  <c:v>13686757.987000003</c:v>
                </c:pt>
                <c:pt idx="488" formatCode="_-* #,##0_-;\-* #,##0_-;_-* &quot;-&quot;??_-;_-@_-">
                  <c:v>8498823.8310000002</c:v>
                </c:pt>
                <c:pt idx="489" formatCode="_-* #,##0_-;\-* #,##0_-;_-* &quot;-&quot;??_-;_-@_-">
                  <c:v>10893223.057000004</c:v>
                </c:pt>
                <c:pt idx="490" formatCode="_-* #,##0_-;\-* #,##0_-;_-* &quot;-&quot;??_-;_-@_-">
                  <c:v>9906003.745000001</c:v>
                </c:pt>
                <c:pt idx="491" formatCode="_-* #,##0_-;\-* #,##0_-;_-* &quot;-&quot;??_-;_-@_-">
                  <c:v>11082927.912</c:v>
                </c:pt>
                <c:pt idx="492" formatCode="_-* #,##0_-;\-* #,##0_-;_-* &quot;-&quot;??_-;_-@_-">
                  <c:v>7360015.7730000019</c:v>
                </c:pt>
                <c:pt idx="493" formatCode="_-* #,##0_-;\-* #,##0_-;_-* &quot;-&quot;??_-;_-@_-">
                  <c:v>10154283.859999999</c:v>
                </c:pt>
                <c:pt idx="494" formatCode="_-* #,##0_-;\-* #,##0_-;_-* &quot;-&quot;??_-;_-@_-">
                  <c:v>6560082.8090000004</c:v>
                </c:pt>
                <c:pt idx="495" formatCode="_-* #,##0_-;\-* #,##0_-;_-* &quot;-&quot;??_-;_-@_-">
                  <c:v>5700407.0490000024</c:v>
                </c:pt>
                <c:pt idx="496" formatCode="_-* #,##0_-;\-* #,##0_-;_-* &quot;-&quot;??_-;_-@_-">
                  <c:v>17064952.489</c:v>
                </c:pt>
                <c:pt idx="497" formatCode="_-* #,##0_-;\-* #,##0_-;_-* &quot;-&quot;??_-;_-@_-">
                  <c:v>12380913.524</c:v>
                </c:pt>
                <c:pt idx="498" formatCode="_-* #,##0_-;\-* #,##0_-;_-* &quot;-&quot;??_-;_-@_-">
                  <c:v>14747388.067999996</c:v>
                </c:pt>
                <c:pt idx="499" formatCode="_-* #,##0_-;\-* #,##0_-;_-* &quot;-&quot;??_-;_-@_-">
                  <c:v>11501040.73</c:v>
                </c:pt>
                <c:pt idx="500" formatCode="_-* #,##0_-;\-* #,##0_-;_-* &quot;-&quot;??_-;_-@_-">
                  <c:v>7154390.3060000017</c:v>
                </c:pt>
                <c:pt idx="501" formatCode="_-* #,##0_-;\-* #,##0_-;_-* &quot;-&quot;??_-;_-@_-">
                  <c:v>9037065.9860000014</c:v>
                </c:pt>
                <c:pt idx="502" formatCode="_-* #,##0_-;\-* #,##0_-;_-* &quot;-&quot;??_-;_-@_-">
                  <c:v>6300380.379999999</c:v>
                </c:pt>
                <c:pt idx="503" formatCode="_-* #,##0_-;\-* #,##0_-;_-* &quot;-&quot;??_-;_-@_-">
                  <c:v>9075491.5969999954</c:v>
                </c:pt>
                <c:pt idx="504" formatCode="_-* #,##0_-;\-* #,##0_-;_-* &quot;-&quot;??_-;_-@_-">
                  <c:v>6730195.126000002</c:v>
                </c:pt>
                <c:pt idx="505" formatCode="_-* #,##0_-;\-* #,##0_-;_-* &quot;-&quot;??_-;_-@_-">
                  <c:v>11711418.067000002</c:v>
                </c:pt>
                <c:pt idx="506" formatCode="_-* #,##0_-;\-* #,##0_-;_-* &quot;-&quot;??_-;_-@_-">
                  <c:v>7146923.5850000009</c:v>
                </c:pt>
                <c:pt idx="507" formatCode="_-* #,##0_-;\-* #,##0_-;_-* &quot;-&quot;??_-;_-@_-">
                  <c:v>13052064.984999999</c:v>
                </c:pt>
                <c:pt idx="508" formatCode="_-* #,##0_-;\-* #,##0_-;_-* &quot;-&quot;??_-;_-@_-">
                  <c:v>10741998.093000002</c:v>
                </c:pt>
                <c:pt idx="509" formatCode="_-* #,##0_-;\-* #,##0_-;_-* &quot;-&quot;??_-;_-@_-">
                  <c:v>22297763.829999998</c:v>
                </c:pt>
                <c:pt idx="510" formatCode="_-* #,##0_-;\-* #,##0_-;_-* &quot;-&quot;??_-;_-@_-">
                  <c:v>9463033.1560000032</c:v>
                </c:pt>
                <c:pt idx="511" formatCode="_-* #,##0_-;\-* #,##0_-;_-* &quot;-&quot;??_-;_-@_-">
                  <c:v>28792381.178000003</c:v>
                </c:pt>
                <c:pt idx="512" formatCode="_-* #,##0_-;\-* #,##0_-;_-* &quot;-&quot;??_-;_-@_-">
                  <c:v>21029252.659999996</c:v>
                </c:pt>
                <c:pt idx="513" formatCode="_-* #,##0_-;\-* #,##0_-;_-* &quot;-&quot;??_-;_-@_-">
                  <c:v>9836271.4340000004</c:v>
                </c:pt>
                <c:pt idx="514" formatCode="_-* #,##0_-;\-* #,##0_-;_-* &quot;-&quot;??_-;_-@_-">
                  <c:v>2402625.6300000027</c:v>
                </c:pt>
                <c:pt idx="515" formatCode="_-* #,##0_-;\-* #,##0_-;_-* &quot;-&quot;??_-;_-@_-">
                  <c:v>2819002.623999998</c:v>
                </c:pt>
                <c:pt idx="516" formatCode="_-* #,##0_-;\-* #,##0_-;_-* &quot;-&quot;??_-;_-@_-">
                  <c:v>34437827.109999999</c:v>
                </c:pt>
                <c:pt idx="517" formatCode="_-* #,##0_-;\-* #,##0_-;_-* &quot;-&quot;??_-;_-@_-">
                  <c:v>11471379.511999995</c:v>
                </c:pt>
                <c:pt idx="518" formatCode="_-* #,##0_-;\-* #,##0_-;_-* &quot;-&quot;??_-;_-@_-">
                  <c:v>31655021.533</c:v>
                </c:pt>
                <c:pt idx="519" formatCode="_-* #,##0_-;\-* #,##0_-;_-* &quot;-&quot;??_-;_-@_-">
                  <c:v>24471929.899999999</c:v>
                </c:pt>
                <c:pt idx="520" formatCode="_-* #,##0_-;\-* #,##0_-;_-* &quot;-&quot;??_-;_-@_-">
                  <c:v>33499939.503000006</c:v>
                </c:pt>
                <c:pt idx="521" formatCode="_-* #,##0_-;\-* #,##0_-;_-* &quot;-&quot;??_-;_-@_-">
                  <c:v>13585327.568999998</c:v>
                </c:pt>
                <c:pt idx="522" formatCode="_-* #,##0_-;\-* #,##0_-;_-* &quot;-&quot;??_-;_-@_-">
                  <c:v>14951430.730000004</c:v>
                </c:pt>
                <c:pt idx="523" formatCode="_-* #,##0_-;\-* #,##0_-;_-* &quot;-&quot;??_-;_-@_-">
                  <c:v>16486399.829999998</c:v>
                </c:pt>
                <c:pt idx="524" formatCode="_-* #,##0_-;\-* #,##0_-;_-* &quot;-&quot;??_-;_-@_-">
                  <c:v>15187932.539999999</c:v>
                </c:pt>
                <c:pt idx="525" formatCode="_-* #,##0_-;\-* #,##0_-;_-* &quot;-&quot;??_-;_-@_-">
                  <c:v>15071405.310000002</c:v>
                </c:pt>
                <c:pt idx="526" formatCode="_-* #,##0_-;\-* #,##0_-;_-* &quot;-&quot;??_-;_-@_-">
                  <c:v>15112437.09</c:v>
                </c:pt>
                <c:pt idx="527" formatCode="_-* #,##0_-;\-* #,##0_-;_-* &quot;-&quot;??_-;_-@_-">
                  <c:v>12085279.609999999</c:v>
                </c:pt>
                <c:pt idx="528" formatCode="_-* #,##0_-;\-* #,##0_-;_-* &quot;-&quot;??_-;_-@_-">
                  <c:v>13475645.460000001</c:v>
                </c:pt>
                <c:pt idx="529" formatCode="_-* #,##0_-;\-* #,##0_-;_-* &quot;-&quot;??_-;_-@_-">
                  <c:v>12555387.829999998</c:v>
                </c:pt>
                <c:pt idx="530" formatCode="_-* #,##0_-;\-* #,##0_-;_-* &quot;-&quot;??_-;_-@_-">
                  <c:v>9019378.5</c:v>
                </c:pt>
                <c:pt idx="531" formatCode="_-* #,##0_-;\-* #,##0_-;_-* &quot;-&quot;??_-;_-@_-">
                  <c:v>14426385.840000004</c:v>
                </c:pt>
                <c:pt idx="532" formatCode="_-* #,##0_-;\-* #,##0_-;_-* &quot;-&quot;??_-;_-@_-">
                  <c:v>14952625.519999996</c:v>
                </c:pt>
                <c:pt idx="533" formatCode="_-* #,##0_-;\-* #,##0_-;_-* &quot;-&quot;??_-;_-@_-">
                  <c:v>13252484.399999999</c:v>
                </c:pt>
                <c:pt idx="534" formatCode="_-* #,##0_-;\-* #,##0_-;_-* &quot;-&quot;??_-;_-@_-">
                  <c:v>14502410.799999997</c:v>
                </c:pt>
                <c:pt idx="535" formatCode="_-* #,##0_-;\-* #,##0_-;_-* &quot;-&quot;??_-;_-@_-">
                  <c:v>14219751.880000003</c:v>
                </c:pt>
                <c:pt idx="536" formatCode="_-* #,##0_-;\-* #,##0_-;_-* &quot;-&quot;??_-;_-@_-">
                  <c:v>11539219.259999998</c:v>
                </c:pt>
                <c:pt idx="537" formatCode="_-* #,##0_-;\-* #,##0_-;_-* &quot;-&quot;??_-;_-@_-">
                  <c:v>10468340.66</c:v>
                </c:pt>
                <c:pt idx="538" formatCode="_-* #,##0_-;\-* #,##0_-;_-* &quot;-&quot;??_-;_-@_-">
                  <c:v>13463050.200000003</c:v>
                </c:pt>
                <c:pt idx="539" formatCode="_-* #,##0_-;\-* #,##0_-;_-* &quot;-&quot;??_-;_-@_-">
                  <c:v>9141326.5799999982</c:v>
                </c:pt>
                <c:pt idx="540" formatCode="_-* #,##0_-;\-* #,##0_-;_-* &quot;-&quot;??_-;_-@_-">
                  <c:v>8232460.2800000012</c:v>
                </c:pt>
                <c:pt idx="541" formatCode="_-* #,##0_-;\-* #,##0_-;_-* &quot;-&quot;??_-;_-@_-">
                  <c:v>6684940.3999999985</c:v>
                </c:pt>
                <c:pt idx="542" formatCode="_-* #,##0_-;\-* #,##0_-;_-* &quot;-&quot;??_-;_-@_-">
                  <c:v>9406847.799999997</c:v>
                </c:pt>
                <c:pt idx="543" formatCode="_-* #,##0_-;\-* #,##0_-;_-* &quot;-&quot;??_-;_-@_-">
                  <c:v>14105226.311999999</c:v>
                </c:pt>
                <c:pt idx="544" formatCode="_-* #,##0_-;\-* #,##0_-;_-* &quot;-&quot;??_-;_-@_-">
                  <c:v>10437660.046000004</c:v>
                </c:pt>
                <c:pt idx="545" formatCode="_-* #,##0_-;\-* #,##0_-;_-* &quot;-&quot;??_-;_-@_-">
                  <c:v>16325595.965000004</c:v>
                </c:pt>
                <c:pt idx="546" formatCode="_-* #,##0_-;\-* #,##0_-;_-* &quot;-&quot;??_-;_-@_-">
                  <c:v>13554297.417999998</c:v>
                </c:pt>
                <c:pt idx="547" formatCode="_-* #,##0_-;\-* #,##0_-;_-* &quot;-&quot;??_-;_-@_-">
                  <c:v>13433515.174999997</c:v>
                </c:pt>
                <c:pt idx="548" formatCode="_-* #,##0_-;\-* #,##0_-;_-* &quot;-&quot;??_-;_-@_-">
                  <c:v>16417805.344000001</c:v>
                </c:pt>
                <c:pt idx="549" formatCode="_-* #,##0_-;\-* #,##0_-;_-* &quot;-&quot;??_-;_-@_-">
                  <c:v>22538293.513999999</c:v>
                </c:pt>
                <c:pt idx="550" formatCode="_-* #,##0_-;\-* #,##0_-;_-* &quot;-&quot;??_-;_-@_-">
                  <c:v>5814974.4000000022</c:v>
                </c:pt>
                <c:pt idx="551" formatCode="_-* #,##0_-;\-* #,##0_-;_-* &quot;-&quot;??_-;_-@_-">
                  <c:v>12757406.427999996</c:v>
                </c:pt>
                <c:pt idx="552" formatCode="_-* #,##0_-;\-* #,##0_-;_-* &quot;-&quot;??_-;_-@_-">
                  <c:v>14643069.960000001</c:v>
                </c:pt>
                <c:pt idx="553" formatCode="_-* #,##0_-;\-* #,##0_-;_-* &quot;-&quot;??_-;_-@_-">
                  <c:v>9001040.9299999997</c:v>
                </c:pt>
                <c:pt idx="554" formatCode="_-* #,##0_-;\-* #,##0_-;_-* &quot;-&quot;??_-;_-@_-">
                  <c:v>12334782.199999999</c:v>
                </c:pt>
                <c:pt idx="555" formatCode="_-* #,##0_-;\-* #,##0_-;_-* &quot;-&quot;??_-;_-@_-">
                  <c:v>6581458.1300000027</c:v>
                </c:pt>
                <c:pt idx="556" formatCode="_-* #,##0_-;\-* #,##0_-;_-* &quot;-&quot;??_-;_-@_-">
                  <c:v>8219316.2400000021</c:v>
                </c:pt>
                <c:pt idx="557" formatCode="_-* #,##0_-;\-* #,##0_-;_-* &quot;-&quot;??_-;_-@_-">
                  <c:v>8636015.9699999988</c:v>
                </c:pt>
                <c:pt idx="558" formatCode="_-* #,##0_-;\-* #,##0_-;_-* &quot;-&quot;??_-;_-@_-">
                  <c:v>10255412.618000001</c:v>
                </c:pt>
                <c:pt idx="559" formatCode="_-* #,##0_-;\-* #,##0_-;_-* &quot;-&quot;??_-;_-@_-">
                  <c:v>12836356.015000001</c:v>
                </c:pt>
                <c:pt idx="560" formatCode="_-* #,##0_-;\-* #,##0_-;_-* &quot;-&quot;??_-;_-@_-">
                  <c:v>10105074.024999999</c:v>
                </c:pt>
                <c:pt idx="561" formatCode="_-* #,##0_-;\-* #,##0_-;_-* &quot;-&quot;??_-;_-@_-">
                  <c:v>9672796.0300000012</c:v>
                </c:pt>
                <c:pt idx="562" formatCode="_-* #,##0_-;\-* #,##0_-;_-* &quot;-&quot;??_-;_-@_-">
                  <c:v>12128381.274999999</c:v>
                </c:pt>
                <c:pt idx="563" formatCode="_-* #,##0_-;\-* #,##0_-;_-* &quot;-&quot;??_-;_-@_-">
                  <c:v>10477247.365000002</c:v>
                </c:pt>
                <c:pt idx="564" formatCode="_-* #,##0_-;\-* #,##0_-;_-* &quot;-&quot;??_-;_-@_-">
                  <c:v>9606053.9149999991</c:v>
                </c:pt>
                <c:pt idx="565" formatCode="_-* #,##0_-;\-* #,##0_-;_-* &quot;-&quot;??_-;_-@_-">
                  <c:v>7478497.4350000024</c:v>
                </c:pt>
                <c:pt idx="566" formatCode="_-* #,##0_-;\-* #,##0_-;_-* &quot;-&quot;??_-;_-@_-">
                  <c:v>8618390.9200000018</c:v>
                </c:pt>
                <c:pt idx="567" formatCode="_-* #,##0_-;\-* #,##0_-;_-* &quot;-&quot;??_-;_-@_-">
                  <c:v>10442260.505000003</c:v>
                </c:pt>
                <c:pt idx="568" formatCode="_-* #,##0_-;\-* #,##0_-;_-* &quot;-&quot;??_-;_-@_-">
                  <c:v>10425530.674999997</c:v>
                </c:pt>
                <c:pt idx="569" formatCode="_-* #,##0_-;\-* #,##0_-;_-* &quot;-&quot;??_-;_-@_-">
                  <c:v>19977098.255000003</c:v>
                </c:pt>
                <c:pt idx="570" formatCode="_-* #,##0_-;\-* #,##0_-;_-* &quot;-&quot;??_-;_-@_-">
                  <c:v>11498554.695</c:v>
                </c:pt>
                <c:pt idx="571" formatCode="_-* #,##0_-;\-* #,##0_-;_-* &quot;-&quot;??_-;_-@_-">
                  <c:v>7635087.1649999991</c:v>
                </c:pt>
                <c:pt idx="572" formatCode="_-* #,##0_-;\-* #,##0_-;_-* &quot;-&quot;??_-;_-@_-">
                  <c:v>5961248.6799999997</c:v>
                </c:pt>
                <c:pt idx="573" formatCode="_-* #,##0_-;\-* #,##0_-;_-* &quot;-&quot;??_-;_-@_-">
                  <c:v>6602299.5700000003</c:v>
                </c:pt>
                <c:pt idx="574" formatCode="_-* #,##0_-;\-* #,##0_-;_-* &quot;-&quot;??_-;_-@_-">
                  <c:v>8041310.375</c:v>
                </c:pt>
                <c:pt idx="575" formatCode="_-* #,##0_-;\-* #,##0_-;_-* &quot;-&quot;??_-;_-@_-">
                  <c:v>14534230.265000001</c:v>
                </c:pt>
                <c:pt idx="576" formatCode="_-* #,##0_-;\-* #,##0_-;_-* &quot;-&quot;??_-;_-@_-">
                  <c:v>15334564.890000001</c:v>
                </c:pt>
                <c:pt idx="577" formatCode="_-* #,##0_-;\-* #,##0_-;_-* &quot;-&quot;??_-;_-@_-">
                  <c:v>15054983.050000001</c:v>
                </c:pt>
                <c:pt idx="578" formatCode="_-* #,##0_-;\-* #,##0_-;_-* &quot;-&quot;??_-;_-@_-">
                  <c:v>10994704.524999999</c:v>
                </c:pt>
                <c:pt idx="579" formatCode="_-* #,##0_-;\-* #,##0_-;_-* &quot;-&quot;??_-;_-@_-">
                  <c:v>11847239.625</c:v>
                </c:pt>
                <c:pt idx="580" formatCode="_-* #,##0_-;\-* #,##0_-;_-* &quot;-&quot;??_-;_-@_-">
                  <c:v>29275542.090000004</c:v>
                </c:pt>
                <c:pt idx="581" formatCode="_-* #,##0_-;\-* #,##0_-;_-* &quot;-&quot;??_-;_-@_-">
                  <c:v>16866632.899999999</c:v>
                </c:pt>
                <c:pt idx="582" formatCode="_-* #,##0_-;\-* #,##0_-;_-* &quot;-&quot;??_-;_-@_-">
                  <c:v>19669894.375</c:v>
                </c:pt>
                <c:pt idx="583" formatCode="_-* #,##0_-;\-* #,##0_-;_-* &quot;-&quot;??_-;_-@_-">
                  <c:v>15111089.560999997</c:v>
                </c:pt>
                <c:pt idx="584" formatCode="_-* #,##0_-;\-* #,##0_-;_-* &quot;-&quot;??_-;_-@_-">
                  <c:v>10611829.539999999</c:v>
                </c:pt>
                <c:pt idx="585" formatCode="_-* #,##0_-;\-* #,##0_-;_-* &quot;-&quot;??_-;_-@_-">
                  <c:v>13417713.521000005</c:v>
                </c:pt>
                <c:pt idx="586" formatCode="_-* #,##0_-;\-* #,##0_-;_-* &quot;-&quot;??_-;_-@_-">
                  <c:v>7225383.6889999993</c:v>
                </c:pt>
                <c:pt idx="587" formatCode="_-* #,##0_-;\-* #,##0_-;_-* &quot;-&quot;??_-;_-@_-">
                  <c:v>9771718.1550000012</c:v>
                </c:pt>
                <c:pt idx="588" formatCode="_-* #,##0_-;\-* #,##0_-;_-* &quot;-&quot;??_-;_-@_-">
                  <c:v>8982936.8500000015</c:v>
                </c:pt>
                <c:pt idx="589" formatCode="_-* #,##0_-;\-* #,##0_-;_-* &quot;-&quot;??_-;_-@_-">
                  <c:v>11541065.239999998</c:v>
                </c:pt>
                <c:pt idx="590" formatCode="_-* #,##0_-;\-* #,##0_-;_-* &quot;-&quot;??_-;_-@_-">
                  <c:v>9529992.379999999</c:v>
                </c:pt>
                <c:pt idx="591" formatCode="_-* #,##0_-;\-* #,##0_-;_-* &quot;-&quot;??_-;_-@_-">
                  <c:v>18266318.925999999</c:v>
                </c:pt>
                <c:pt idx="592" formatCode="_-* #,##0_-;\-* #,##0_-;_-* &quot;-&quot;??_-;_-@_-">
                  <c:v>15897915.045000002</c:v>
                </c:pt>
                <c:pt idx="593" formatCode="_-* #,##0_-;\-* #,##0_-;_-* &quot;-&quot;??_-;_-@_-">
                  <c:v>14076632.255999997</c:v>
                </c:pt>
                <c:pt idx="594" formatCode="_-* #,##0_-;\-* #,##0_-;_-* &quot;-&quot;??_-;_-@_-">
                  <c:v>12259749.784999996</c:v>
                </c:pt>
                <c:pt idx="595" formatCode="_-* #,##0_-;\-* #,##0_-;_-* &quot;-&quot;??_-;_-@_-">
                  <c:v>17464695.019000001</c:v>
                </c:pt>
                <c:pt idx="596" formatCode="_-* #,##0_-;\-* #,##0_-;_-* &quot;-&quot;??_-;_-@_-">
                  <c:v>14813855.130000003</c:v>
                </c:pt>
                <c:pt idx="597" formatCode="_-* #,##0_-;\-* #,##0_-;_-* &quot;-&quot;??_-;_-@_-">
                  <c:v>11985217.101</c:v>
                </c:pt>
                <c:pt idx="598" formatCode="_-* #,##0_-;\-* #,##0_-;_-* &quot;-&quot;??_-;_-@_-">
                  <c:v>20362588.527999997</c:v>
                </c:pt>
                <c:pt idx="599" formatCode="_-* #,##0_-;\-* #,##0_-;_-* &quot;-&quot;??_-;_-@_-">
                  <c:v>14159904.164999999</c:v>
                </c:pt>
                <c:pt idx="600" formatCode="_-* #,##0_-;\-* #,##0_-;_-* &quot;-&quot;??_-;_-@_-">
                  <c:v>10946596.199000001</c:v>
                </c:pt>
                <c:pt idx="601" formatCode="_-* #,##0_-;\-* #,##0_-;_-* &quot;-&quot;??_-;_-@_-">
                  <c:v>13472612.759000003</c:v>
                </c:pt>
                <c:pt idx="602" formatCode="_-* #,##0_-;\-* #,##0_-;_-* &quot;-&quot;??_-;_-@_-">
                  <c:v>10697429.059</c:v>
                </c:pt>
                <c:pt idx="603" formatCode="_-* #,##0_-;\-* #,##0_-;_-* &quot;-&quot;??_-;_-@_-">
                  <c:v>12841233.715</c:v>
                </c:pt>
                <c:pt idx="604" formatCode="_-* #,##0_-;\-* #,##0_-;_-* &quot;-&quot;??_-;_-@_-">
                  <c:v>8601547.8210000023</c:v>
                </c:pt>
                <c:pt idx="605" formatCode="_-* #,##0_-;\-* #,##0_-;_-* &quot;-&quot;??_-;_-@_-">
                  <c:v>10485596.306000002</c:v>
                </c:pt>
                <c:pt idx="606" formatCode="_-* #,##0_-;\-* #,##0_-;_-* &quot;-&quot;??_-;_-@_-">
                  <c:v>5643650.3440000005</c:v>
                </c:pt>
                <c:pt idx="607" formatCode="_-* #,##0_-;\-* #,##0_-;_-* &quot;-&quot;??_-;_-@_-">
                  <c:v>10995048.344999999</c:v>
                </c:pt>
                <c:pt idx="608" formatCode="_-* #,##0_-;\-* #,##0_-;_-* &quot;-&quot;??_-;_-@_-">
                  <c:v>14496264.535999998</c:v>
                </c:pt>
                <c:pt idx="609" formatCode="_-* #,##0_-;\-* #,##0_-;_-* &quot;-&quot;??_-;_-@_-">
                  <c:v>21508990.169</c:v>
                </c:pt>
                <c:pt idx="610" formatCode="_-* #,##0_-;\-* #,##0_-;_-* &quot;-&quot;??_-;_-@_-">
                  <c:v>16010047.903000005</c:v>
                </c:pt>
                <c:pt idx="611" formatCode="_-* #,##0_-;\-* #,##0_-;_-* &quot;-&quot;??_-;_-@_-">
                  <c:v>14196230.968000002</c:v>
                </c:pt>
                <c:pt idx="612" formatCode="_-* #,##0_-;\-* #,##0_-;_-* &quot;-&quot;??_-;_-@_-">
                  <c:v>15857546.564999998</c:v>
                </c:pt>
                <c:pt idx="613" formatCode="_-* #,##0_-;\-* #,##0_-;_-* &quot;-&quot;??_-;_-@_-">
                  <c:v>9604987.9930000007</c:v>
                </c:pt>
                <c:pt idx="614" formatCode="_-* #,##0_-;\-* #,##0_-;_-* &quot;-&quot;??_-;_-@_-">
                  <c:v>8309357.3180000037</c:v>
                </c:pt>
                <c:pt idx="615" formatCode="_-* #,##0_-;\-* #,##0_-;_-* &quot;-&quot;??_-;_-@_-">
                  <c:v>11580041.684999999</c:v>
                </c:pt>
                <c:pt idx="616" formatCode="_-* #,##0_-;\-* #,##0_-;_-* &quot;-&quot;??_-;_-@_-">
                  <c:v>10170618.777999997</c:v>
                </c:pt>
                <c:pt idx="617" formatCode="_-* #,##0_-;\-* #,##0_-;_-* &quot;-&quot;??_-;_-@_-">
                  <c:v>12573502.666000001</c:v>
                </c:pt>
                <c:pt idx="618" formatCode="_-* #,##0_-;\-* #,##0_-;_-* &quot;-&quot;??_-;_-@_-">
                  <c:v>6909748.4530000016</c:v>
                </c:pt>
                <c:pt idx="619" formatCode="_-* #,##0_-;\-* #,##0_-;_-* &quot;-&quot;??_-;_-@_-">
                  <c:v>20158707.776000001</c:v>
                </c:pt>
                <c:pt idx="620" formatCode="_-* #,##0_-;\-* #,##0_-;_-* &quot;-&quot;??_-;_-@_-">
                  <c:v>8026606.9130000025</c:v>
                </c:pt>
                <c:pt idx="621" formatCode="_-* #,##0_-;\-* #,##0_-;_-* &quot;-&quot;??_-;_-@_-">
                  <c:v>8002003.8400000036</c:v>
                </c:pt>
                <c:pt idx="622" formatCode="_-* #,##0_-;\-* #,##0_-;_-* &quot;-&quot;??_-;_-@_-">
                  <c:v>6946878.887000002</c:v>
                </c:pt>
                <c:pt idx="623" formatCode="_-* #,##0_-;\-* #,##0_-;_-* &quot;-&quot;??_-;_-@_-">
                  <c:v>6625207.2290000021</c:v>
                </c:pt>
                <c:pt idx="624" formatCode="_-* #,##0_-;\-* #,##0_-;_-* &quot;-&quot;??_-;_-@_-">
                  <c:v>8204923.4350000024</c:v>
                </c:pt>
                <c:pt idx="625" formatCode="_-* #,##0_-;\-* #,##0_-;_-* &quot;-&quot;??_-;_-@_-">
                  <c:v>8961234.9629999995</c:v>
                </c:pt>
                <c:pt idx="626" formatCode="_-* #,##0_-;\-* #,##0_-;_-* &quot;-&quot;??_-;_-@_-">
                  <c:v>11762993.103</c:v>
                </c:pt>
                <c:pt idx="627" formatCode="_-* #,##0_-;\-* #,##0_-;_-* &quot;-&quot;??_-;_-@_-">
                  <c:v>9139080.9039999992</c:v>
                </c:pt>
                <c:pt idx="628" formatCode="_-* #,##0_-;\-* #,##0_-;_-* &quot;-&quot;??_-;_-@_-">
                  <c:v>17697628.535999998</c:v>
                </c:pt>
                <c:pt idx="629" formatCode="_-* #,##0_-;\-* #,##0_-;_-* &quot;-&quot;??_-;_-@_-">
                  <c:v>9592083.3889999986</c:v>
                </c:pt>
                <c:pt idx="630" formatCode="_-* #,##0_-;\-* #,##0_-;_-* &quot;-&quot;??_-;_-@_-">
                  <c:v>8016063.5139999986</c:v>
                </c:pt>
                <c:pt idx="631" formatCode="_-* #,##0_-;\-* #,##0_-;_-* &quot;-&quot;??_-;_-@_-">
                  <c:v>9685019.0940000005</c:v>
                </c:pt>
                <c:pt idx="632" formatCode="_-* #,##0_-;\-* #,##0_-;_-* &quot;-&quot;??_-;_-@_-">
                  <c:v>12082101.685000002</c:v>
                </c:pt>
                <c:pt idx="633" formatCode="_-* #,##0_-;\-* #,##0_-;_-* &quot;-&quot;??_-;_-@_-">
                  <c:v>11200500.234999999</c:v>
                </c:pt>
                <c:pt idx="634" formatCode="_-* #,##0_-;\-* #,##0_-;_-* &quot;-&quot;??_-;_-@_-">
                  <c:v>11720245.411000002</c:v>
                </c:pt>
                <c:pt idx="635" formatCode="_-* #,##0_-;\-* #,##0_-;_-* &quot;-&quot;??_-;_-@_-">
                  <c:v>7051562.4220000021</c:v>
                </c:pt>
                <c:pt idx="636" formatCode="_-* #,##0_-;\-* #,##0_-;_-* &quot;-&quot;??_-;_-@_-">
                  <c:v>7566144.7829999998</c:v>
                </c:pt>
                <c:pt idx="637" formatCode="_-* #,##0_-;\-* #,##0_-;_-* &quot;-&quot;??_-;_-@_-">
                  <c:v>8312592.9409999996</c:v>
                </c:pt>
                <c:pt idx="638" formatCode="_-* #,##0_-;\-* #,##0_-;_-* &quot;-&quot;??_-;_-@_-">
                  <c:v>6203401.6090000011</c:v>
                </c:pt>
                <c:pt idx="639" formatCode="_-* #,##0_-;\-* #,##0_-;_-* &quot;-&quot;??_-;_-@_-">
                  <c:v>7961955.4250000007</c:v>
                </c:pt>
                <c:pt idx="640" formatCode="_-* #,##0_-;\-* #,##0_-;_-* &quot;-&quot;??_-;_-@_-">
                  <c:v>30527283.93</c:v>
                </c:pt>
                <c:pt idx="641" formatCode="_-* #,##0_-;\-* #,##0_-;_-* &quot;-&quot;??_-;_-@_-">
                  <c:v>6943372.9329999983</c:v>
                </c:pt>
                <c:pt idx="642" formatCode="_-* #,##0_-;\-* #,##0_-;_-* &quot;-&quot;??_-;_-@_-">
                  <c:v>9055151.1059999987</c:v>
                </c:pt>
                <c:pt idx="643" formatCode="_-* #,##0_-;\-* #,##0_-;_-* &quot;-&quot;??_-;_-@_-">
                  <c:v>15930236.710000001</c:v>
                </c:pt>
                <c:pt idx="644" formatCode="_-* #,##0_-;\-* #,##0_-;_-* &quot;-&quot;??_-;_-@_-">
                  <c:v>9729050.4660000019</c:v>
                </c:pt>
                <c:pt idx="645" formatCode="_-* #,##0_-;\-* #,##0_-;_-* &quot;-&quot;??_-;_-@_-">
                  <c:v>13028715.016000003</c:v>
                </c:pt>
                <c:pt idx="646" formatCode="_-* #,##0_-;\-* #,##0_-;_-* &quot;-&quot;??_-;_-@_-">
                  <c:v>8567544.8040000014</c:v>
                </c:pt>
                <c:pt idx="647" formatCode="_-* #,##0_-;\-* #,##0_-;_-* &quot;-&quot;??_-;_-@_-">
                  <c:v>11027976.629000001</c:v>
                </c:pt>
                <c:pt idx="648" formatCode="_-* #,##0_-;\-* #,##0_-;_-* &quot;-&quot;??_-;_-@_-">
                  <c:v>5357946.8709999993</c:v>
                </c:pt>
                <c:pt idx="649" formatCode="_-* #,##0_-;\-* #,##0_-;_-* &quot;-&quot;??_-;_-@_-">
                  <c:v>11606353.589000002</c:v>
                </c:pt>
                <c:pt idx="650" formatCode="_-* #,##0_-;\-* #,##0_-;_-* &quot;-&quot;??_-;_-@_-">
                  <c:v>12203981.670000002</c:v>
                </c:pt>
                <c:pt idx="651" formatCode="_-* #,##0_-;\-* #,##0_-;_-* &quot;-&quot;??_-;_-@_-">
                  <c:v>10416772.957000002</c:v>
                </c:pt>
                <c:pt idx="652" formatCode="_-* #,##0_-;\-* #,##0_-;_-* &quot;-&quot;??_-;_-@_-">
                  <c:v>13369763.881999999</c:v>
                </c:pt>
                <c:pt idx="653" formatCode="_-* #,##0_-;\-* #,##0_-;_-* &quot;-&quot;??_-;_-@_-">
                  <c:v>6983478.4910000004</c:v>
                </c:pt>
                <c:pt idx="654" formatCode="_-* #,##0_-;\-* #,##0_-;_-* &quot;-&quot;??_-;_-@_-">
                  <c:v>11663212.246999998</c:v>
                </c:pt>
                <c:pt idx="655" formatCode="_-* #,##0_-;\-* #,##0_-;_-* &quot;-&quot;??_-;_-@_-">
                  <c:v>10048947.634000003</c:v>
                </c:pt>
                <c:pt idx="656" formatCode="_-* #,##0_-;\-* #,##0_-;_-* &quot;-&quot;??_-;_-@_-">
                  <c:v>3051151.2740000002</c:v>
                </c:pt>
                <c:pt idx="657" formatCode="_-* #,##0_-;\-* #,##0_-;_-* &quot;-&quot;??_-;_-@_-">
                  <c:v>12778053.377999999</c:v>
                </c:pt>
                <c:pt idx="658" formatCode="_-* #,##0_-;\-* #,##0_-;_-* &quot;-&quot;??_-;_-@_-">
                  <c:v>11827538.076000001</c:v>
                </c:pt>
                <c:pt idx="659" formatCode="_-* #,##0_-;\-* #,##0_-;_-* &quot;-&quot;??_-;_-@_-">
                  <c:v>9093702.0419999957</c:v>
                </c:pt>
                <c:pt idx="660" formatCode="_-* #,##0_-;\-* #,##0_-;_-* &quot;-&quot;??_-;_-@_-">
                  <c:v>9442248.4100000001</c:v>
                </c:pt>
                <c:pt idx="661" formatCode="_-* #,##0_-;\-* #,##0_-;_-* &quot;-&quot;??_-;_-@_-">
                  <c:v>12370001.971000001</c:v>
                </c:pt>
                <c:pt idx="662" formatCode="_-* #,##0_-;\-* #,##0_-;_-* &quot;-&quot;??_-;_-@_-">
                  <c:v>15303187.908</c:v>
                </c:pt>
                <c:pt idx="663" formatCode="_-* #,##0_-;\-* #,##0_-;_-* &quot;-&quot;??_-;_-@_-">
                  <c:v>10347318.419</c:v>
                </c:pt>
                <c:pt idx="664" formatCode="_-* #,##0_-;\-* #,##0_-;_-* &quot;-&quot;??_-;_-@_-">
                  <c:v>7526337.557</c:v>
                </c:pt>
                <c:pt idx="665" formatCode="_-* #,##0_-;\-* #,##0_-;_-* &quot;-&quot;??_-;_-@_-">
                  <c:v>20751597.171000004</c:v>
                </c:pt>
                <c:pt idx="666" formatCode="_-* #,##0_-;\-* #,##0_-;_-* &quot;-&quot;??_-;_-@_-">
                  <c:v>16159666.475000001</c:v>
                </c:pt>
                <c:pt idx="667" formatCode="_-* #,##0_-;\-* #,##0_-;_-* &quot;-&quot;??_-;_-@_-">
                  <c:v>11436372.877999999</c:v>
                </c:pt>
                <c:pt idx="668" formatCode="_-* #,##0_-;\-* #,##0_-;_-* &quot;-&quot;??_-;_-@_-">
                  <c:v>8561073.4600000009</c:v>
                </c:pt>
                <c:pt idx="669" formatCode="_-* #,##0_-;\-* #,##0_-;_-* &quot;-&quot;??_-;_-@_-">
                  <c:v>11662840.046000004</c:v>
                </c:pt>
                <c:pt idx="670" formatCode="_-* #,##0_-;\-* #,##0_-;_-* &quot;-&quot;??_-;_-@_-">
                  <c:v>4739296.1290000007</c:v>
                </c:pt>
                <c:pt idx="671" formatCode="_-* #,##0_-;\-* #,##0_-;_-* &quot;-&quot;??_-;_-@_-">
                  <c:v>13678329.098999999</c:v>
                </c:pt>
                <c:pt idx="672" formatCode="_-* #,##0_-;\-* #,##0_-;_-* &quot;-&quot;??_-;_-@_-">
                  <c:v>11642732.906999998</c:v>
                </c:pt>
                <c:pt idx="673" formatCode="_-* #,##0_-;\-* #,##0_-;_-* &quot;-&quot;??_-;_-@_-">
                  <c:v>10557465.339000002</c:v>
                </c:pt>
                <c:pt idx="674" formatCode="_-* #,##0_-;\-* #,##0_-;_-* &quot;-&quot;??_-;_-@_-">
                  <c:v>5888911.8110000007</c:v>
                </c:pt>
                <c:pt idx="675" formatCode="_-* #,##0_-;\-* #,##0_-;_-* &quot;-&quot;??_-;_-@_-">
                  <c:v>14845952.427000001</c:v>
                </c:pt>
                <c:pt idx="676" formatCode="_-* #,##0_-;\-* #,##0_-;_-* &quot;-&quot;??_-;_-@_-">
                  <c:v>10625634.998</c:v>
                </c:pt>
                <c:pt idx="677" formatCode="_-* #,##0_-;\-* #,##0_-;_-* &quot;-&quot;??_-;_-@_-">
                  <c:v>11831908.174999997</c:v>
                </c:pt>
                <c:pt idx="678" formatCode="_-* #,##0_-;\-* #,##0_-;_-* &quot;-&quot;??_-;_-@_-">
                  <c:v>6897775.8809999973</c:v>
                </c:pt>
                <c:pt idx="679" formatCode="_-* #,##0_-;\-* #,##0_-;_-* &quot;-&quot;??_-;_-@_-">
                  <c:v>9697173.3439999968</c:v>
                </c:pt>
                <c:pt idx="680" formatCode="_-* #,##0_-;\-* #,##0_-;_-* &quot;-&quot;??_-;_-@_-">
                  <c:v>8773384.9549999982</c:v>
                </c:pt>
                <c:pt idx="681" formatCode="_-* #,##0_-;\-* #,##0_-;_-* &quot;-&quot;??_-;_-@_-">
                  <c:v>10649198.484000001</c:v>
                </c:pt>
                <c:pt idx="682" formatCode="_-* #,##0_-;\-* #,##0_-;_-* &quot;-&quot;??_-;_-@_-">
                  <c:v>16922371.935999997</c:v>
                </c:pt>
                <c:pt idx="683" formatCode="_-* #,##0_-;\-* #,##0_-;_-* &quot;-&quot;??_-;_-@_-">
                  <c:v>9359774.5439999998</c:v>
                </c:pt>
                <c:pt idx="684" formatCode="_-* #,##0_-;\-* #,##0_-;_-* &quot;-&quot;??_-;_-@_-">
                  <c:v>6643492.6380000003</c:v>
                </c:pt>
                <c:pt idx="685" formatCode="_-* #,##0_-;\-* #,##0_-;_-* &quot;-&quot;??_-;_-@_-">
                  <c:v>5034260.626000002</c:v>
                </c:pt>
                <c:pt idx="686" formatCode="_-* #,##0_-;\-* #,##0_-;_-* &quot;-&quot;??_-;_-@_-">
                  <c:v>6026963.8980000019</c:v>
                </c:pt>
                <c:pt idx="687" formatCode="_-* #,##0_-;\-* #,##0_-;_-* &quot;-&quot;??_-;_-@_-">
                  <c:v>4553299.8729999959</c:v>
                </c:pt>
                <c:pt idx="688" formatCode="_-* #,##0_-;\-* #,##0_-;_-* &quot;-&quot;??_-;_-@_-">
                  <c:v>6030152.7310000025</c:v>
                </c:pt>
                <c:pt idx="689" formatCode="_-* #,##0_-;\-* #,##0_-;_-* &quot;-&quot;??_-;_-@_-">
                  <c:v>9170438.3420000002</c:v>
                </c:pt>
                <c:pt idx="690" formatCode="_-* #,##0_-;\-* #,##0_-;_-* &quot;-&quot;??_-;_-@_-">
                  <c:v>4635104.9849999994</c:v>
                </c:pt>
                <c:pt idx="691" formatCode="_-* #,##0_-;\-* #,##0_-;_-* &quot;-&quot;??_-;_-@_-">
                  <c:v>8093279.1669999994</c:v>
                </c:pt>
                <c:pt idx="692" formatCode="_-* #,##0_-;\-* #,##0_-;_-* &quot;-&quot;??_-;_-@_-">
                  <c:v>7631403.1099999994</c:v>
                </c:pt>
                <c:pt idx="693" formatCode="_-* #,##0_-;\-* #,##0_-;_-* &quot;-&quot;??_-;_-@_-">
                  <c:v>7336303.4699999988</c:v>
                </c:pt>
                <c:pt idx="694" formatCode="_-* #,##0_-;\-* #,##0_-;_-* &quot;-&quot;??_-;_-@_-">
                  <c:v>13877344.329999998</c:v>
                </c:pt>
                <c:pt idx="695" formatCode="_-* #,##0_-;\-* #,##0_-;_-* &quot;-&quot;??_-;_-@_-">
                  <c:v>9395373.2569999993</c:v>
                </c:pt>
                <c:pt idx="696" formatCode="_-* #,##0_-;\-* #,##0_-;_-* &quot;-&quot;??_-;_-@_-">
                  <c:v>13165593.398000002</c:v>
                </c:pt>
                <c:pt idx="697" formatCode="_-* #,##0_-;\-* #,##0_-;_-* &quot;-&quot;??_-;_-@_-">
                  <c:v>11042007.971000001</c:v>
                </c:pt>
                <c:pt idx="698" formatCode="_-* #,##0_-;\-* #,##0_-;_-* &quot;-&quot;??_-;_-@_-">
                  <c:v>14909340.063000001</c:v>
                </c:pt>
                <c:pt idx="699" formatCode="_-* #,##0_-;\-* #,##0_-;_-* &quot;-&quot;??_-;_-@_-">
                  <c:v>9191582.9750000015</c:v>
                </c:pt>
                <c:pt idx="700" formatCode="_-* #,##0_-;\-* #,##0_-;_-* &quot;-&quot;??_-;_-@_-">
                  <c:v>16315057.571999997</c:v>
                </c:pt>
                <c:pt idx="701" formatCode="_-* #,##0_-;\-* #,##0_-;_-* &quot;-&quot;??_-;_-@_-">
                  <c:v>11291084.740999997</c:v>
                </c:pt>
                <c:pt idx="702" formatCode="_-* #,##0_-;\-* #,##0_-;_-* &quot;-&quot;??_-;_-@_-">
                  <c:v>6271011.4959999993</c:v>
                </c:pt>
                <c:pt idx="703" formatCode="_-* #,##0_-;\-* #,##0_-;_-* &quot;-&quot;??_-;_-@_-">
                  <c:v>5012180.8589999974</c:v>
                </c:pt>
                <c:pt idx="704" formatCode="_-* #,##0_-;\-* #,##0_-;_-* &quot;-&quot;??_-;_-@_-">
                  <c:v>11697348.328000002</c:v>
                </c:pt>
                <c:pt idx="705" formatCode="_-* #,##0_-;\-* #,##0_-;_-* &quot;-&quot;??_-;_-@_-">
                  <c:v>14039427.019999996</c:v>
                </c:pt>
                <c:pt idx="706" formatCode="_-* #,##0_-;\-* #,##0_-;_-* &quot;-&quot;??_-;_-@_-">
                  <c:v>10045833.633000001</c:v>
                </c:pt>
                <c:pt idx="707" formatCode="_-* #,##0_-;\-* #,##0_-;_-* &quot;-&quot;??_-;_-@_-">
                  <c:v>9206946.4780000001</c:v>
                </c:pt>
                <c:pt idx="708" formatCode="_-* #,##0_-;\-* #,##0_-;_-* &quot;-&quot;??_-;_-@_-">
                  <c:v>8857019.6090000011</c:v>
                </c:pt>
                <c:pt idx="709" formatCode="_-* #,##0_-;\-* #,##0_-;_-* &quot;-&quot;??_-;_-@_-">
                  <c:v>8251070.2349999994</c:v>
                </c:pt>
                <c:pt idx="710" formatCode="_-* #,##0_-;\-* #,##0_-;_-* &quot;-&quot;??_-;_-@_-">
                  <c:v>11979903.193999998</c:v>
                </c:pt>
                <c:pt idx="711" formatCode="_-* #,##0_-;\-* #,##0_-;_-* &quot;-&quot;??_-;_-@_-">
                  <c:v>7389509.443</c:v>
                </c:pt>
                <c:pt idx="712" formatCode="_-* #,##0_-;\-* #,##0_-;_-* &quot;-&quot;??_-;_-@_-">
                  <c:v>8013630.5</c:v>
                </c:pt>
                <c:pt idx="713" formatCode="_-* #,##0_-;\-* #,##0_-;_-* &quot;-&quot;??_-;_-@_-">
                  <c:v>5681936.2110000029</c:v>
                </c:pt>
                <c:pt idx="714" formatCode="_-* #,##0_-;\-* #,##0_-;_-* &quot;-&quot;??_-;_-@_-">
                  <c:v>12773833.07</c:v>
                </c:pt>
                <c:pt idx="715" formatCode="_-* #,##0_-;\-* #,##0_-;_-* &quot;-&quot;??_-;_-@_-">
                  <c:v>8048848.5399999991</c:v>
                </c:pt>
                <c:pt idx="716" formatCode="_-* #,##0_-;\-* #,##0_-;_-* &quot;-&quot;??_-;_-@_-">
                  <c:v>8570703.6090000011</c:v>
                </c:pt>
                <c:pt idx="717" formatCode="_-* #,##0_-;\-* #,##0_-;_-* &quot;-&quot;??_-;_-@_-">
                  <c:v>5160795.1040000021</c:v>
                </c:pt>
                <c:pt idx="718" formatCode="_-* #,##0_-;\-* #,##0_-;_-* &quot;-&quot;??_-;_-@_-">
                  <c:v>2058187.2239999995</c:v>
                </c:pt>
                <c:pt idx="719" formatCode="_-* #,##0_-;\-* #,##0_-;_-* &quot;-&quot;??_-;_-@_-">
                  <c:v>8653192.3379999995</c:v>
                </c:pt>
                <c:pt idx="720" formatCode="_-* #,##0_-;\-* #,##0_-;_-* &quot;-&quot;??_-;_-@_-">
                  <c:v>6335110.5179999992</c:v>
                </c:pt>
                <c:pt idx="721" formatCode="_-* #,##0_-;\-* #,##0_-;_-* &quot;-&quot;??_-;_-@_-">
                  <c:v>10721360.935999997</c:v>
                </c:pt>
                <c:pt idx="722" formatCode="_-* #,##0_-;\-* #,##0_-;_-* &quot;-&quot;??_-;_-@_-">
                  <c:v>5509840.4829999954</c:v>
                </c:pt>
                <c:pt idx="723" formatCode="_-* #,##0_-;\-* #,##0_-;_-* &quot;-&quot;??_-;_-@_-">
                  <c:v>8844294.0819999985</c:v>
                </c:pt>
                <c:pt idx="724" formatCode="_-* #,##0_-;\-* #,##0_-;_-* &quot;-&quot;??_-;_-@_-">
                  <c:v>7391356.5789999962</c:v>
                </c:pt>
                <c:pt idx="725" formatCode="_-* #,##0_-;\-* #,##0_-;_-* &quot;-&quot;??_-;_-@_-">
                  <c:v>12563527.754999995</c:v>
                </c:pt>
                <c:pt idx="726" formatCode="_-* #,##0_-;\-* #,##0_-;_-* &quot;-&quot;??_-;_-@_-">
                  <c:v>8620840.3929999992</c:v>
                </c:pt>
                <c:pt idx="727" formatCode="_-* #,##0_-;\-* #,##0_-;_-* &quot;-&quot;??_-;_-@_-">
                  <c:v>5261722.3540000021</c:v>
                </c:pt>
                <c:pt idx="728" formatCode="_-* #,##0_-;\-* #,##0_-;_-* &quot;-&quot;??_-;_-@_-">
                  <c:v>9904775.4430000037</c:v>
                </c:pt>
                <c:pt idx="729" formatCode="_-* #,##0_-;\-* #,##0_-;_-* &quot;-&quot;??_-;_-@_-">
                  <c:v>19584884.800999999</c:v>
                </c:pt>
                <c:pt idx="730" formatCode="_-* #,##0_-;\-* #,##0_-;_-* &quot;-&quot;??_-;_-@_-">
                  <c:v>14824086.995000005</c:v>
                </c:pt>
                <c:pt idx="731" formatCode="_-* #,##0_-;\-* #,##0_-;_-* &quot;-&quot;??_-;_-@_-">
                  <c:v>5322949.1770000011</c:v>
                </c:pt>
                <c:pt idx="732" formatCode="_-* #,##0_-;\-* #,##0_-;_-* &quot;-&quot;??_-;_-@_-">
                  <c:v>3904235.2910000011</c:v>
                </c:pt>
                <c:pt idx="733" formatCode="_-* #,##0_-;\-* #,##0_-;_-* &quot;-&quot;??_-;_-@_-">
                  <c:v>5639224.6349999905</c:v>
                </c:pt>
                <c:pt idx="734" formatCode="_-* #,##0_-;\-* #,##0_-;_-* &quot;-&quot;??_-;_-@_-">
                  <c:v>6365658.8540000021</c:v>
                </c:pt>
                <c:pt idx="735" formatCode="_-* #,##0_-;\-* #,##0_-;_-* &quot;-&quot;??_-;_-@_-">
                  <c:v>3537203.3879999965</c:v>
                </c:pt>
                <c:pt idx="736" formatCode="_-* #,##0_-;\-* #,##0_-;_-* &quot;-&quot;??_-;_-@_-">
                  <c:v>4679996.1510000005</c:v>
                </c:pt>
                <c:pt idx="737" formatCode="_-* #,##0_-;\-* #,##0_-;_-* &quot;-&quot;??_-;_-@_-">
                  <c:v>5518814.0160000026</c:v>
                </c:pt>
                <c:pt idx="738" formatCode="_-* #,##0_-;\-* #,##0_-;_-* &quot;-&quot;??_-;_-@_-">
                  <c:v>1898545.5480000079</c:v>
                </c:pt>
                <c:pt idx="739" formatCode="_-* #,##0_-;\-* #,##0_-;_-* &quot;-&quot;??_-;_-@_-">
                  <c:v>6502636.5040000007</c:v>
                </c:pt>
                <c:pt idx="740" formatCode="_-* #,##0_-;\-* #,##0_-;_-* &quot;-&quot;??_-;_-@_-">
                  <c:v>2199702.4479999989</c:v>
                </c:pt>
                <c:pt idx="741" formatCode="_-* #,##0_-;\-* #,##0_-;_-* &quot;-&quot;??_-;_-@_-">
                  <c:v>3642267.3449999988</c:v>
                </c:pt>
                <c:pt idx="742" formatCode="_-* #,##0_-;\-* #,##0_-;_-* &quot;-&quot;??_-;_-@_-">
                  <c:v>5919401.3830000013</c:v>
                </c:pt>
                <c:pt idx="743" formatCode="_-* #,##0_-;\-* #,##0_-;_-* &quot;-&quot;??_-;_-@_-">
                  <c:v>9215495.0219999999</c:v>
                </c:pt>
                <c:pt idx="744" formatCode="_-* #,##0_-;\-* #,##0_-;_-* &quot;-&quot;??_-;_-@_-">
                  <c:v>8245038.2070000023</c:v>
                </c:pt>
                <c:pt idx="745" formatCode="_-* #,##0_-;\-* #,##0_-;_-* &quot;-&quot;??_-;_-@_-">
                  <c:v>4262825.5160000026</c:v>
                </c:pt>
                <c:pt idx="746" formatCode="_-* #,##0_-;\-* #,##0_-;_-* &quot;-&quot;??_-;_-@_-">
                  <c:v>6202724.9235000014</c:v>
                </c:pt>
                <c:pt idx="747" formatCode="_-* #,##0_-;\-* #,##0_-;_-* &quot;-&quot;??_-;_-@_-">
                  <c:v>12323803.509000003</c:v>
                </c:pt>
                <c:pt idx="748" formatCode="_-* #,##0_-;\-* #,##0_-;_-* &quot;-&quot;??_-;_-@_-">
                  <c:v>6687906.4690000005</c:v>
                </c:pt>
                <c:pt idx="749" formatCode="_-* #,##0_-;\-* #,##0_-;_-* &quot;-&quot;??_-;_-@_-">
                  <c:v>8113192.9780000001</c:v>
                </c:pt>
                <c:pt idx="750" formatCode="_-* #,##0_-;\-* #,##0_-;_-* &quot;-&quot;??_-;_-@_-">
                  <c:v>13145990.144000001</c:v>
                </c:pt>
                <c:pt idx="751" formatCode="_-* #,##0_-;\-* #,##0_-;_-* &quot;-&quot;??_-;_-@_-">
                  <c:v>10016990.357999999</c:v>
                </c:pt>
                <c:pt idx="752" formatCode="_-* #,##0_-;\-* #,##0_-;_-* &quot;-&quot;??_-;_-@_-">
                  <c:v>18979616.454999998</c:v>
                </c:pt>
                <c:pt idx="753" formatCode="_-* #,##0_-;\-* #,##0_-;_-* &quot;-&quot;??_-;_-@_-">
                  <c:v>19429371.439999998</c:v>
                </c:pt>
                <c:pt idx="754" formatCode="_-* #,##0_-;\-* #,##0_-;_-* &quot;-&quot;??_-;_-@_-">
                  <c:v>6067324.1590000018</c:v>
                </c:pt>
                <c:pt idx="755" formatCode="_-* #,##0_-;\-* #,##0_-;_-* &quot;-&quot;??_-;_-@_-">
                  <c:v>13124652.493000001</c:v>
                </c:pt>
                <c:pt idx="756" formatCode="_-* #,##0_-;\-* #,##0_-;_-* &quot;-&quot;??_-;_-@_-">
                  <c:v>13280912.435000002</c:v>
                </c:pt>
                <c:pt idx="757" formatCode="_-* #,##0_-;\-* #,##0_-;_-* &quot;-&quot;??_-;_-@_-">
                  <c:v>14471804.351999998</c:v>
                </c:pt>
                <c:pt idx="758" formatCode="_-* #,##0_-;\-* #,##0_-;_-* &quot;-&quot;??_-;_-@_-">
                  <c:v>5189150.82</c:v>
                </c:pt>
                <c:pt idx="759" formatCode="_-* #,##0_-;\-* #,##0_-;_-* &quot;-&quot;??_-;_-@_-">
                  <c:v>10328115.088</c:v>
                </c:pt>
                <c:pt idx="760" formatCode="_-* #,##0_-;\-* #,##0_-;_-* &quot;-&quot;??_-;_-@_-">
                  <c:v>6039090.5160000026</c:v>
                </c:pt>
                <c:pt idx="761" formatCode="_-* #,##0_-;\-* #,##0_-;_-* &quot;-&quot;??_-;_-@_-">
                  <c:v>19371840.068999998</c:v>
                </c:pt>
                <c:pt idx="762" formatCode="_-* #,##0_-;\-* #,##0_-;_-* &quot;-&quot;??_-;_-@_-">
                  <c:v>11020016.903000001</c:v>
                </c:pt>
                <c:pt idx="763" formatCode="_-* #,##0_-;\-* #,##0_-;_-* &quot;-&quot;??_-;_-@_-">
                  <c:v>8217935.2360000014</c:v>
                </c:pt>
                <c:pt idx="764" formatCode="_-* #,##0_-;\-* #,##0_-;_-* &quot;-&quot;??_-;_-@_-">
                  <c:v>12341735.783</c:v>
                </c:pt>
                <c:pt idx="765" formatCode="_-* #,##0_-;\-* #,##0_-;_-* &quot;-&quot;??_-;_-@_-">
                  <c:v>6271249.0160000026</c:v>
                </c:pt>
                <c:pt idx="766" formatCode="_-* #,##0_-;\-* #,##0_-;_-* &quot;-&quot;??_-;_-@_-">
                  <c:v>7882348.3690000027</c:v>
                </c:pt>
                <c:pt idx="767" formatCode="_-* #,##0_-;\-* #,##0_-;_-* &quot;-&quot;??_-;_-@_-">
                  <c:v>18748498.759999998</c:v>
                </c:pt>
                <c:pt idx="768" formatCode="_-* #,##0_-;\-* #,##0_-;_-* &quot;-&quot;??_-;_-@_-">
                  <c:v>28225116.730999999</c:v>
                </c:pt>
                <c:pt idx="769" formatCode="_-* #,##0_-;\-* #,##0_-;_-* &quot;-&quot;??_-;_-@_-">
                  <c:v>11269069.892999999</c:v>
                </c:pt>
                <c:pt idx="770" formatCode="_-* #,##0_-;\-* #,##0_-;_-* &quot;-&quot;??_-;_-@_-">
                  <c:v>39567972.097999997</c:v>
                </c:pt>
                <c:pt idx="771" formatCode="_-* #,##0_-;\-* #,##0_-;_-* &quot;-&quot;??_-;_-@_-">
                  <c:v>46142343.354999997</c:v>
                </c:pt>
                <c:pt idx="772" formatCode="_-* #,##0_-;\-* #,##0_-;_-* &quot;-&quot;??_-;_-@_-">
                  <c:v>31385433.350000001</c:v>
                </c:pt>
                <c:pt idx="773" formatCode="_-* #,##0_-;\-* #,##0_-;_-* &quot;-&quot;??_-;_-@_-">
                  <c:v>36923422.501999997</c:v>
                </c:pt>
                <c:pt idx="774" formatCode="_-* #,##0_-;\-* #,##0_-;_-* &quot;-&quot;??_-;_-@_-">
                  <c:v>44321434.056000002</c:v>
                </c:pt>
                <c:pt idx="775" formatCode="_-* #,##0_-;\-* #,##0_-;_-* &quot;-&quot;??_-;_-@_-">
                  <c:v>33843772.351999998</c:v>
                </c:pt>
                <c:pt idx="776" formatCode="_-* #,##0_-;\-* #,##0_-;_-* &quot;-&quot;??_-;_-@_-">
                  <c:v>29735779.951000001</c:v>
                </c:pt>
                <c:pt idx="777" formatCode="_-* #,##0_-;\-* #,##0_-;_-* &quot;-&quot;??_-;_-@_-">
                  <c:v>32710222.713</c:v>
                </c:pt>
                <c:pt idx="778" formatCode="_-* #,##0_-;\-* #,##0_-;_-* &quot;-&quot;??_-;_-@_-">
                  <c:v>25897761.199000001</c:v>
                </c:pt>
                <c:pt idx="779" formatCode="_-* #,##0_-;\-* #,##0_-;_-* &quot;-&quot;??_-;_-@_-">
                  <c:v>20517866.901999995</c:v>
                </c:pt>
                <c:pt idx="780" formatCode="_-* #,##0_-;\-* #,##0_-;_-* &quot;-&quot;??_-;_-@_-">
                  <c:v>29552439.833000001</c:v>
                </c:pt>
                <c:pt idx="781" formatCode="_-* #,##0_-;\-* #,##0_-;_-* &quot;-&quot;??_-;_-@_-">
                  <c:v>33821731.439999998</c:v>
                </c:pt>
                <c:pt idx="782" formatCode="_-* #,##0_-;\-* #,##0_-;_-* &quot;-&quot;??_-;_-@_-">
                  <c:v>27243605.218999997</c:v>
                </c:pt>
                <c:pt idx="783" formatCode="_-* #,##0_-;\-* #,##0_-;_-* &quot;-&quot;??_-;_-@_-">
                  <c:v>27352052.464000002</c:v>
                </c:pt>
                <c:pt idx="784" formatCode="_-* #,##0_-;\-* #,##0_-;_-* &quot;-&quot;??_-;_-@_-">
                  <c:v>32079801.950999998</c:v>
                </c:pt>
                <c:pt idx="785" formatCode="_-* #,##0_-;\-* #,##0_-;_-* &quot;-&quot;??_-;_-@_-">
                  <c:v>20540696.717</c:v>
                </c:pt>
                <c:pt idx="786" formatCode="_-* #,##0_-;\-* #,##0_-;_-* &quot;-&quot;??_-;_-@_-">
                  <c:v>20610463.272999998</c:v>
                </c:pt>
                <c:pt idx="787" formatCode="_-* #,##0_-;\-* #,##0_-;_-* &quot;-&quot;??_-;_-@_-">
                  <c:v>34443627.685999997</c:v>
                </c:pt>
                <c:pt idx="788" formatCode="_-* #,##0_-;\-* #,##0_-;_-* &quot;-&quot;??_-;_-@_-">
                  <c:v>48123687.204000004</c:v>
                </c:pt>
                <c:pt idx="789" formatCode="_-* #,##0_-;\-* #,##0_-;_-* &quot;-&quot;??_-;_-@_-">
                  <c:v>5705918.012000002</c:v>
                </c:pt>
                <c:pt idx="790" formatCode="_-* #,##0_-;\-* #,##0_-;_-* &quot;-&quot;??_-;_-@_-">
                  <c:v>11235365.216000006</c:v>
                </c:pt>
                <c:pt idx="791" formatCode="_-* #,##0_-;\-* #,##0_-;_-* &quot;-&quot;??_-;_-@_-">
                  <c:v>27956427.978</c:v>
                </c:pt>
                <c:pt idx="792" formatCode="_-* #,##0_-;\-* #,##0_-;_-* &quot;-&quot;??_-;_-@_-">
                  <c:v>44937336.593000002</c:v>
                </c:pt>
                <c:pt idx="793" formatCode="_-* #,##0_-;\-* #,##0_-;_-* &quot;-&quot;??_-;_-@_-">
                  <c:v>26899483.776000001</c:v>
                </c:pt>
                <c:pt idx="794" formatCode="_-* #,##0_-;\-* #,##0_-;_-* &quot;-&quot;??_-;_-@_-">
                  <c:v>46320087.602000006</c:v>
                </c:pt>
                <c:pt idx="795" formatCode="_-* #,##0_-;\-* #,##0_-;_-* &quot;-&quot;??_-;_-@_-">
                  <c:v>37868033.468999997</c:v>
                </c:pt>
                <c:pt idx="796" formatCode="_-* #,##0_-;\-* #,##0_-;_-* &quot;-&quot;??_-;_-@_-">
                  <c:v>28423461.088</c:v>
                </c:pt>
                <c:pt idx="797" formatCode="_-* #,##0_-;\-* #,##0_-;_-* &quot;-&quot;??_-;_-@_-">
                  <c:v>19963087.181999996</c:v>
                </c:pt>
                <c:pt idx="798" formatCode="_-* #,##0_-;\-* #,##0_-;_-* &quot;-&quot;??_-;_-@_-">
                  <c:v>8827532.8469999991</c:v>
                </c:pt>
                <c:pt idx="799" formatCode="_-* #,##0_-;\-* #,##0_-;_-* &quot;-&quot;??_-;_-@_-">
                  <c:v>3219647.8170000017</c:v>
                </c:pt>
                <c:pt idx="800" formatCode="_-* #,##0_-;\-* #,##0_-;_-* &quot;-&quot;??_-;_-@_-">
                  <c:v>15383635.952999998</c:v>
                </c:pt>
                <c:pt idx="801" formatCode="_-* #,##0_-;\-* #,##0_-;_-* &quot;-&quot;??_-;_-@_-">
                  <c:v>36028281.487999998</c:v>
                </c:pt>
                <c:pt idx="802" formatCode="_-* #,##0_-;\-* #,##0_-;_-* &quot;-&quot;??_-;_-@_-">
                  <c:v>24904496.497000001</c:v>
                </c:pt>
                <c:pt idx="803" formatCode="_-* #,##0_-;\-* #,##0_-;_-* &quot;-&quot;??_-;_-@_-">
                  <c:v>10770302.976999998</c:v>
                </c:pt>
                <c:pt idx="804" formatCode="_-* #,##0_-;\-* #,##0_-;_-* &quot;-&quot;??_-;_-@_-">
                  <c:v>3634493.8690000027</c:v>
                </c:pt>
                <c:pt idx="805" formatCode="_-* #,##0_-;\-* #,##0_-;_-* &quot;-&quot;??_-;_-@_-">
                  <c:v>4759579.1590000018</c:v>
                </c:pt>
                <c:pt idx="806" formatCode="_-* #,##0_-;\-* #,##0_-;_-* &quot;-&quot;??_-;_-@_-">
                  <c:v>7199729.7810000032</c:v>
                </c:pt>
                <c:pt idx="807" formatCode="_-* #,##0_-;\-* #,##0_-;_-* &quot;-&quot;??_-;_-@_-">
                  <c:v>-3505668.4869999997</c:v>
                </c:pt>
                <c:pt idx="808" formatCode="_-* #,##0_-;\-* #,##0_-;_-* &quot;-&quot;??_-;_-@_-">
                  <c:v>7417606.8439999968</c:v>
                </c:pt>
                <c:pt idx="809" formatCode="_-* #,##0_-;\-* #,##0_-;_-* &quot;-&quot;??_-;_-@_-">
                  <c:v>4531679.4690000005</c:v>
                </c:pt>
                <c:pt idx="810" formatCode="_-* #,##0_-;\-* #,##0_-;_-* &quot;-&quot;??_-;_-@_-">
                  <c:v>6122752.1600000039</c:v>
                </c:pt>
                <c:pt idx="811" formatCode="_-* #,##0_-;\-* #,##0_-;_-* &quot;-&quot;??_-;_-@_-">
                  <c:v>7790890.1409999989</c:v>
                </c:pt>
                <c:pt idx="812" formatCode="_-* #,##0_-;\-* #,##0_-;_-* &quot;-&quot;??_-;_-@_-">
                  <c:v>5031610.2199999988</c:v>
                </c:pt>
                <c:pt idx="813" formatCode="_-* #,##0_-;\-* #,##0_-;_-* &quot;-&quot;??_-;_-@_-">
                  <c:v>19869579.696999997</c:v>
                </c:pt>
                <c:pt idx="814" formatCode="_-* #,##0_-;\-* #,##0_-;_-* &quot;-&quot;??_-;_-@_-">
                  <c:v>12395648.737</c:v>
                </c:pt>
                <c:pt idx="815" formatCode="_-* #,##0_-;\-* #,##0_-;_-* &quot;-&quot;??_-;_-@_-">
                  <c:v>4141723.4459999986</c:v>
                </c:pt>
                <c:pt idx="816" formatCode="_-* #,##0_-;\-* #,##0_-;_-* &quot;-&quot;??_-;_-@_-">
                  <c:v>10002746.791999996</c:v>
                </c:pt>
                <c:pt idx="817" formatCode="_-* #,##0_-;\-* #,##0_-;_-* &quot;-&quot;??_-;_-@_-">
                  <c:v>6078024.0469999984</c:v>
                </c:pt>
                <c:pt idx="818" formatCode="_-* #,##0_-;\-* #,##0_-;_-* &quot;-&quot;??_-;_-@_-">
                  <c:v>6447415.8489999995</c:v>
                </c:pt>
                <c:pt idx="819" formatCode="_-* #,##0_-;\-* #,##0_-;_-* &quot;-&quot;??_-;_-@_-">
                  <c:v>9031219.4849999994</c:v>
                </c:pt>
                <c:pt idx="820" formatCode="_-* #,##0_-;\-* #,##0_-;_-* &quot;-&quot;??_-;_-@_-">
                  <c:v>16113493.170000002</c:v>
                </c:pt>
                <c:pt idx="821" formatCode="_-* #,##0_-;\-* #,##0_-;_-* &quot;-&quot;??_-;_-@_-">
                  <c:v>11331796.645000003</c:v>
                </c:pt>
                <c:pt idx="822" formatCode="_-* #,##0_-;\-* #,##0_-;_-* &quot;-&quot;??_-;_-@_-">
                  <c:v>10770912.974999994</c:v>
                </c:pt>
                <c:pt idx="823" formatCode="_-* #,##0_-;\-* #,##0_-;_-* &quot;-&quot;??_-;_-@_-">
                  <c:v>15089366.895000003</c:v>
                </c:pt>
                <c:pt idx="824" formatCode="_-* #,##0_-;\-* #,##0_-;_-* &quot;-&quot;??_-;_-@_-">
                  <c:v>10691329.649999999</c:v>
                </c:pt>
                <c:pt idx="825" formatCode="_-* #,##0_-;\-* #,##0_-;_-* &quot;-&quot;??_-;_-@_-">
                  <c:v>12746269.875</c:v>
                </c:pt>
                <c:pt idx="826" formatCode="_-* #,##0_-;\-* #,##0_-;_-* &quot;-&quot;??_-;_-@_-">
                  <c:v>7649171.1400000006</c:v>
                </c:pt>
                <c:pt idx="827" formatCode="_-* #,##0_-;\-* #,##0_-;_-* &quot;-&quot;??_-;_-@_-">
                  <c:v>18152188.331</c:v>
                </c:pt>
                <c:pt idx="828" formatCode="_-* #,##0_-;\-* #,##0_-;_-* &quot;-&quot;??_-;_-@_-">
                  <c:v>10952732.979</c:v>
                </c:pt>
                <c:pt idx="829" formatCode="_-* #,##0_-;\-* #,##0_-;_-* &quot;-&quot;??_-;_-@_-">
                  <c:v>6260720.8669999987</c:v>
                </c:pt>
                <c:pt idx="830" formatCode="_-* #,##0_-;\-* #,##0_-;_-* &quot;-&quot;??_-;_-@_-">
                  <c:v>7813682.987999998</c:v>
                </c:pt>
                <c:pt idx="831" formatCode="_-* #,##0_-;\-* #,##0_-;_-* &quot;-&quot;??_-;_-@_-">
                  <c:v>15784628.07</c:v>
                </c:pt>
                <c:pt idx="832" formatCode="_-* #,##0_-;\-* #,##0_-;_-* &quot;-&quot;??_-;_-@_-">
                  <c:v>8025227.4299999997</c:v>
                </c:pt>
                <c:pt idx="833" formatCode="_-* #,##0_-;\-* #,##0_-;_-* &quot;-&quot;??_-;_-@_-">
                  <c:v>12335514.649999999</c:v>
                </c:pt>
                <c:pt idx="834" formatCode="_-* #,##0_-;\-* #,##0_-;_-* &quot;-&quot;??_-;_-@_-">
                  <c:v>15597461.600000001</c:v>
                </c:pt>
                <c:pt idx="835" formatCode="_-* #,##0_-;\-* #,##0_-;_-* &quot;-&quot;??_-;_-@_-">
                  <c:v>22826673.369999997</c:v>
                </c:pt>
                <c:pt idx="836" formatCode="_-* #,##0_-;\-* #,##0_-;_-* &quot;-&quot;??_-;_-@_-">
                  <c:v>-69.219999998807907</c:v>
                </c:pt>
                <c:pt idx="837" formatCode="_-* #,##0_-;\-* #,##0_-;_-* &quot;-&quot;??_-;_-@_-">
                  <c:v>10800866.57</c:v>
                </c:pt>
                <c:pt idx="838" formatCode="_-* #,##0_-;\-* #,##0_-;_-* &quot;-&quot;??_-;_-@_-">
                  <c:v>10074699.41</c:v>
                </c:pt>
                <c:pt idx="839" formatCode="_-* #,##0_-;\-* #,##0_-;_-* &quot;-&quot;??_-;_-@_-">
                  <c:v>4175446.709999999</c:v>
                </c:pt>
                <c:pt idx="840" formatCode="_-* #,##0_-;\-* #,##0_-;_-* &quot;-&quot;??_-;_-@_-">
                  <c:v>6793433.3100000005</c:v>
                </c:pt>
                <c:pt idx="841" formatCode="_-* #,##0_-;\-* #,##0_-;_-* &quot;-&quot;??_-;_-@_-">
                  <c:v>15407987.280000001</c:v>
                </c:pt>
                <c:pt idx="842" formatCode="_-* #,##0_-;\-* #,##0_-;_-* &quot;-&quot;??_-;_-@_-">
                  <c:v>18360715.049999997</c:v>
                </c:pt>
                <c:pt idx="843" formatCode="_-* #,##0_-;\-* #,##0_-;_-* &quot;-&quot;??_-;_-@_-">
                  <c:v>5352172.18</c:v>
                </c:pt>
                <c:pt idx="844" formatCode="_-* #,##0_-;\-* #,##0_-;_-* &quot;-&quot;??_-;_-@_-">
                  <c:v>420243.12000000104</c:v>
                </c:pt>
                <c:pt idx="845" formatCode="_-* #,##0_-;\-* #,##0_-;_-* &quot;-&quot;??_-;_-@_-">
                  <c:v>2951302.4700000025</c:v>
                </c:pt>
                <c:pt idx="846" formatCode="_-* #,##0_-;\-* #,##0_-;_-* &quot;-&quot;??_-;_-@_-">
                  <c:v>7648980.5399999991</c:v>
                </c:pt>
                <c:pt idx="847" formatCode="_-* #,##0_-;\-* #,##0_-;_-* &quot;-&quot;??_-;_-@_-">
                  <c:v>37001819.032999992</c:v>
                </c:pt>
                <c:pt idx="848" formatCode="_-* #,##0_-;\-* #,##0_-;_-* &quot;-&quot;??_-;_-@_-">
                  <c:v>2503486.5219999999</c:v>
                </c:pt>
                <c:pt idx="849" formatCode="_-* #,##0_-;\-* #,##0_-;_-* &quot;-&quot;??_-;_-@_-">
                  <c:v>6633868.8499999996</c:v>
                </c:pt>
                <c:pt idx="850" formatCode="_-* #,##0_-;\-* #,##0_-;_-* &quot;-&quot;??_-;_-@_-">
                  <c:v>15354756.650999993</c:v>
                </c:pt>
                <c:pt idx="851" formatCode="_-* #,##0_-;\-* #,##0_-;_-* &quot;-&quot;??_-;_-@_-">
                  <c:v>42896433.846000001</c:v>
                </c:pt>
                <c:pt idx="852" formatCode="_-* #,##0_-;\-* #,##0_-;_-* &quot;-&quot;??_-;_-@_-">
                  <c:v>32966644.305000007</c:v>
                </c:pt>
                <c:pt idx="853" formatCode="_-* #,##0_-;\-* #,##0_-;_-* &quot;-&quot;??_-;_-@_-">
                  <c:v>40797581.675999999</c:v>
                </c:pt>
                <c:pt idx="854" formatCode="_-* #,##0_-;\-* #,##0_-;_-* &quot;-&quot;??_-;_-@_-">
                  <c:v>54122436.691</c:v>
                </c:pt>
                <c:pt idx="855" formatCode="_-* #,##0_-;\-* #,##0_-;_-* &quot;-&quot;??_-;_-@_-">
                  <c:v>14051264.120000001</c:v>
                </c:pt>
                <c:pt idx="856" formatCode="_-* #,##0_-;\-* #,##0_-;_-* &quot;-&quot;??_-;_-@_-">
                  <c:v>30392343</c:v>
                </c:pt>
                <c:pt idx="857" formatCode="_-* #,##0_-;\-* #,##0_-;_-* &quot;-&quot;??_-;_-@_-">
                  <c:v>21076010.780000001</c:v>
                </c:pt>
                <c:pt idx="858" formatCode="_-* #,##0_-;\-* #,##0_-;_-* &quot;-&quot;??_-;_-@_-">
                  <c:v>15006962.865000002</c:v>
                </c:pt>
                <c:pt idx="859" formatCode="_-* #,##0_-;\-* #,##0_-;_-* &quot;-&quot;??_-;_-@_-">
                  <c:v>43931228.819999993</c:v>
                </c:pt>
                <c:pt idx="860" formatCode="_-* #,##0_-;\-* #,##0_-;_-* &quot;-&quot;??_-;_-@_-">
                  <c:v>19041166.094999999</c:v>
                </c:pt>
                <c:pt idx="861" formatCode="_-* #,##0_-;\-* #,##0_-;_-* &quot;-&quot;??_-;_-@_-">
                  <c:v>18470702.975000001</c:v>
                </c:pt>
                <c:pt idx="862" formatCode="_-* #,##0_-;\-* #,##0_-;_-* &quot;-&quot;??_-;_-@_-">
                  <c:v>36990202.329999998</c:v>
                </c:pt>
                <c:pt idx="863" formatCode="_-* #,##0_-;\-* #,##0_-;_-* &quot;-&quot;??_-;_-@_-">
                  <c:v>22771007.545000002</c:v>
                </c:pt>
                <c:pt idx="864" formatCode="_-* #,##0_-;\-* #,##0_-;_-* &quot;-&quot;??_-;_-@_-">
                  <c:v>13497116.145000003</c:v>
                </c:pt>
                <c:pt idx="865" formatCode="_-* #,##0_-;\-* #,##0_-;_-* &quot;-&quot;??_-;_-@_-">
                  <c:v>30940613.449999988</c:v>
                </c:pt>
                <c:pt idx="866" formatCode="_-* #,##0_-;\-* #,##0_-;_-* &quot;-&quot;??_-;_-@_-">
                  <c:v>20979296.024999999</c:v>
                </c:pt>
                <c:pt idx="867" formatCode="_-* #,##0_-;\-* #,##0_-;_-* &quot;-&quot;??_-;_-@_-">
                  <c:v>6090043.0850000009</c:v>
                </c:pt>
                <c:pt idx="868" formatCode="_-* #,##0_-;\-* #,##0_-;_-* &quot;-&quot;??_-;_-@_-">
                  <c:v>71664338.620000005</c:v>
                </c:pt>
                <c:pt idx="869" formatCode="_-* #,##0_-;\-* #,##0_-;_-* &quot;-&quot;??_-;_-@_-">
                  <c:v>38841107.475000001</c:v>
                </c:pt>
                <c:pt idx="870" formatCode="_-* #,##0_-;\-* #,##0_-;_-* &quot;-&quot;??_-;_-@_-">
                  <c:v>7824563.4400000051</c:v>
                </c:pt>
                <c:pt idx="871" formatCode="_-* #,##0_-;\-* #,##0_-;_-* &quot;-&quot;??_-;_-@_-">
                  <c:v>12300323.609999999</c:v>
                </c:pt>
                <c:pt idx="872" formatCode="_-* #,##0_-;\-* #,##0_-;_-* &quot;-&quot;??_-;_-@_-">
                  <c:v>7215188</c:v>
                </c:pt>
                <c:pt idx="873" formatCode="_-* #,##0_-;\-* #,##0_-;_-* &quot;-&quot;??_-;_-@_-">
                  <c:v>7615026.3500000015</c:v>
                </c:pt>
                <c:pt idx="874" formatCode="_-* #,##0_-;\-* #,##0_-;_-* &quot;-&quot;??_-;_-@_-">
                  <c:v>49095405.969999999</c:v>
                </c:pt>
                <c:pt idx="875" formatCode="_-* #,##0_-;\-* #,##0_-;_-* &quot;-&quot;??_-;_-@_-">
                  <c:v>20765846.670000002</c:v>
                </c:pt>
                <c:pt idx="876" formatCode="_-* #,##0_-;\-* #,##0_-;_-* &quot;-&quot;??_-;_-@_-">
                  <c:v>38603754.252999991</c:v>
                </c:pt>
                <c:pt idx="877" formatCode="_-* #,##0_-;\-* #,##0_-;_-* &quot;-&quot;??_-;_-@_-">
                  <c:v>12864283.835000001</c:v>
                </c:pt>
                <c:pt idx="878" formatCode="_-* #,##0_-;\-* #,##0_-;_-* &quot;-&quot;??_-;_-@_-">
                  <c:v>37027829.322999999</c:v>
                </c:pt>
                <c:pt idx="879" formatCode="_-* #,##0_-;\-* #,##0_-;_-* &quot;-&quot;??_-;_-@_-">
                  <c:v>0</c:v>
                </c:pt>
                <c:pt idx="880" formatCode="_-* #,##0_-;\-* #,##0_-;_-* &quot;-&quot;??_-;_-@_-">
                  <c:v>0</c:v>
                </c:pt>
                <c:pt idx="881" formatCode="_-* #,##0_-;\-* #,##0_-;_-* &quot;-&quot;??_-;_-@_-">
                  <c:v>0</c:v>
                </c:pt>
                <c:pt idx="882" formatCode="_-* #,##0_-;\-* #,##0_-;_-* &quot;-&quot;??_-;_-@_-">
                  <c:v>0</c:v>
                </c:pt>
                <c:pt idx="883" formatCode="_-* #,##0_-;\-* #,##0_-;_-* &quot;-&quot;??_-;_-@_-">
                  <c:v>0</c:v>
                </c:pt>
                <c:pt idx="884" formatCode="_-* #,##0_-;\-* #,##0_-;_-* &quot;-&quot;??_-;_-@_-">
                  <c:v>0</c:v>
                </c:pt>
                <c:pt idx="885" formatCode="_-* #,##0_-;\-* #,##0_-;_-* &quot;-&quot;??_-;_-@_-">
                  <c:v>0</c:v>
                </c:pt>
                <c:pt idx="886" formatCode="_-* #,##0_-;\-* #,##0_-;_-* &quot;-&quot;??_-;_-@_-">
                  <c:v>0</c:v>
                </c:pt>
                <c:pt idx="887" formatCode="_-* #,##0_-;\-* #,##0_-;_-* &quot;-&quot;??_-;_-@_-">
                  <c:v>0</c:v>
                </c:pt>
                <c:pt idx="888" formatCode="_-* #,##0_-;\-* #,##0_-;_-* &quot;-&quot;??_-;_-@_-">
                  <c:v>0</c:v>
                </c:pt>
                <c:pt idx="889" formatCode="_-* #,##0_-;\-* #,##0_-;_-* &quot;-&quot;??_-;_-@_-">
                  <c:v>0</c:v>
                </c:pt>
                <c:pt idx="890" formatCode="_-* #,##0_-;\-* #,##0_-;_-* &quot;-&quot;??_-;_-@_-">
                  <c:v>0</c:v>
                </c:pt>
                <c:pt idx="891" formatCode="_-* #,##0_-;\-* #,##0_-;_-* &quot;-&quot;??_-;_-@_-">
                  <c:v>0</c:v>
                </c:pt>
                <c:pt idx="892" formatCode="_-* #,##0_-;\-* #,##0_-;_-* &quot;-&quot;??_-;_-@_-">
                  <c:v>0</c:v>
                </c:pt>
                <c:pt idx="893" formatCode="_-* #,##0_-;\-* #,##0_-;_-* &quot;-&quot;??_-;_-@_-">
                  <c:v>0</c:v>
                </c:pt>
                <c:pt idx="894" formatCode="_-* #,##0_-;\-* #,##0_-;_-* &quot;-&quot;??_-;_-@_-">
                  <c:v>0</c:v>
                </c:pt>
                <c:pt idx="895" formatCode="_-* #,##0_-;\-* #,##0_-;_-* &quot;-&quot;??_-;_-@_-">
                  <c:v>0</c:v>
                </c:pt>
                <c:pt idx="896" formatCode="_-* #,##0_-;\-* #,##0_-;_-* &quot;-&quot;??_-;_-@_-">
                  <c:v>0</c:v>
                </c:pt>
                <c:pt idx="897" formatCode="_-* #,##0_-;\-* #,##0_-;_-* &quot;-&quot;??_-;_-@_-">
                  <c:v>0</c:v>
                </c:pt>
                <c:pt idx="898" formatCode="_-* #,##0_-;\-* #,##0_-;_-* &quot;-&quot;??_-;_-@_-">
                  <c:v>0</c:v>
                </c:pt>
                <c:pt idx="899" formatCode="_-* #,##0_-;\-* #,##0_-;_-* &quot;-&quot;??_-;_-@_-">
                  <c:v>0</c:v>
                </c:pt>
                <c:pt idx="900" formatCode="_-* #,##0_-;\-* #,##0_-;_-* &quot;-&quot;??_-;_-@_-">
                  <c:v>0</c:v>
                </c:pt>
                <c:pt idx="901" formatCode="_-* #,##0_-;\-* #,##0_-;_-* &quot;-&quot;??_-;_-@_-">
                  <c:v>0</c:v>
                </c:pt>
                <c:pt idx="902" formatCode="_-* #,##0_-;\-* #,##0_-;_-* &quot;-&quot;??_-;_-@_-">
                  <c:v>0</c:v>
                </c:pt>
                <c:pt idx="903" formatCode="_-* #,##0_-;\-* #,##0_-;_-* &quot;-&quot;??_-;_-@_-">
                  <c:v>0</c:v>
                </c:pt>
                <c:pt idx="904" formatCode="_-* #,##0_-;\-* #,##0_-;_-* &quot;-&quot;??_-;_-@_-">
                  <c:v>0</c:v>
                </c:pt>
                <c:pt idx="905" formatCode="_-* #,##0_-;\-* #,##0_-;_-* &quot;-&quot;??_-;_-@_-">
                  <c:v>0</c:v>
                </c:pt>
                <c:pt idx="906" formatCode="_-* #,##0_-;\-* #,##0_-;_-* &quot;-&quot;??_-;_-@_-">
                  <c:v>0</c:v>
                </c:pt>
                <c:pt idx="907" formatCode="_-* #,##0_-;\-* #,##0_-;_-* &quot;-&quot;??_-;_-@_-">
                  <c:v>0</c:v>
                </c:pt>
                <c:pt idx="908" formatCode="_-* #,##0_-;\-* #,##0_-;_-* &quot;-&quot;??_-;_-@_-">
                  <c:v>0</c:v>
                </c:pt>
                <c:pt idx="909" formatCode="_-* #,##0_-;\-* #,##0_-;_-* &quot;-&quot;??_-;_-@_-">
                  <c:v>0</c:v>
                </c:pt>
                <c:pt idx="910" formatCode="_-* #,##0_-;\-* #,##0_-;_-* &quot;-&quot;??_-;_-@_-">
                  <c:v>0</c:v>
                </c:pt>
                <c:pt idx="911" formatCode="_-* #,##0_-;\-* #,##0_-;_-* &quot;-&quot;??_-;_-@_-">
                  <c:v>0</c:v>
                </c:pt>
                <c:pt idx="912" formatCode="_-* #,##0_-;\-* #,##0_-;_-* &quot;-&quot;??_-;_-@_-">
                  <c:v>0</c:v>
                </c:pt>
                <c:pt idx="913" formatCode="_-* #,##0_-;\-* #,##0_-;_-* &quot;-&quot;??_-;_-@_-">
                  <c:v>0</c:v>
                </c:pt>
                <c:pt idx="914" formatCode="_-* #,##0_-;\-* #,##0_-;_-* &quot;-&quot;??_-;_-@_-">
                  <c:v>0</c:v>
                </c:pt>
                <c:pt idx="915" formatCode="_-* #,##0_-;\-* #,##0_-;_-* &quot;-&quot;??_-;_-@_-">
                  <c:v>0</c:v>
                </c:pt>
                <c:pt idx="916" formatCode="_-* #,##0_-;\-* #,##0_-;_-* &quot;-&quot;??_-;_-@_-">
                  <c:v>0</c:v>
                </c:pt>
                <c:pt idx="917" formatCode="_-* #,##0_-;\-* #,##0_-;_-* &quot;-&quot;??_-;_-@_-">
                  <c:v>0</c:v>
                </c:pt>
                <c:pt idx="918" formatCode="_-* #,##0_-;\-* #,##0_-;_-* &quot;-&quot;??_-;_-@_-">
                  <c:v>0</c:v>
                </c:pt>
                <c:pt idx="919" formatCode="_-* #,##0_-;\-* #,##0_-;_-* &quot;-&quot;??_-;_-@_-">
                  <c:v>0</c:v>
                </c:pt>
                <c:pt idx="920" formatCode="_-* #,##0_-;\-* #,##0_-;_-* &quot;-&quot;??_-;_-@_-">
                  <c:v>0</c:v>
                </c:pt>
                <c:pt idx="921" formatCode="_-* #,##0_-;\-* #,##0_-;_-* &quot;-&quot;??_-;_-@_-">
                  <c:v>0</c:v>
                </c:pt>
                <c:pt idx="922" formatCode="_-* #,##0_-;\-* #,##0_-;_-* &quot;-&quot;??_-;_-@_-">
                  <c:v>0</c:v>
                </c:pt>
                <c:pt idx="923" formatCode="_-* #,##0_-;\-* #,##0_-;_-* &quot;-&quot;??_-;_-@_-">
                  <c:v>0</c:v>
                </c:pt>
                <c:pt idx="924" formatCode="_-* #,##0_-;\-* #,##0_-;_-* &quot;-&quot;??_-;_-@_-">
                  <c:v>0</c:v>
                </c:pt>
                <c:pt idx="925" formatCode="_-* #,##0_-;\-* #,##0_-;_-* &quot;-&quot;??_-;_-@_-">
                  <c:v>0</c:v>
                </c:pt>
                <c:pt idx="926" formatCode="_-* #,##0_-;\-* #,##0_-;_-* &quot;-&quot;??_-;_-@_-">
                  <c:v>0</c:v>
                </c:pt>
                <c:pt idx="927" formatCode="_-* #,##0_-;\-* #,##0_-;_-* &quot;-&quot;??_-;_-@_-">
                  <c:v>0</c:v>
                </c:pt>
                <c:pt idx="928" formatCode="_-* #,##0_-;\-* #,##0_-;_-* &quot;-&quot;??_-;_-@_-">
                  <c:v>0</c:v>
                </c:pt>
                <c:pt idx="929" formatCode="_-* #,##0_-;\-* #,##0_-;_-* &quot;-&quot;??_-;_-@_-">
                  <c:v>0</c:v>
                </c:pt>
                <c:pt idx="930" formatCode="_-* #,##0_-;\-* #,##0_-;_-* &quot;-&quot;??_-;_-@_-">
                  <c:v>0</c:v>
                </c:pt>
                <c:pt idx="931" formatCode="_-* #,##0_-;\-* #,##0_-;_-* &quot;-&quot;??_-;_-@_-">
                  <c:v>0</c:v>
                </c:pt>
                <c:pt idx="932" formatCode="_-* #,##0_-;\-* #,##0_-;_-* &quot;-&quot;??_-;_-@_-">
                  <c:v>0</c:v>
                </c:pt>
                <c:pt idx="933" formatCode="_-* #,##0_-;\-* #,##0_-;_-* &quot;-&quot;??_-;_-@_-">
                  <c:v>0</c:v>
                </c:pt>
                <c:pt idx="934" formatCode="_-* #,##0_-;\-* #,##0_-;_-* &quot;-&quot;??_-;_-@_-">
                  <c:v>0</c:v>
                </c:pt>
                <c:pt idx="935" formatCode="_-* #,##0_-;\-* #,##0_-;_-* &quot;-&quot;??_-;_-@_-">
                  <c:v>0</c:v>
                </c:pt>
                <c:pt idx="936" formatCode="_-* #,##0_-;\-* #,##0_-;_-* &quot;-&quot;??_-;_-@_-">
                  <c:v>0</c:v>
                </c:pt>
                <c:pt idx="937" formatCode="_-* #,##0_-;\-* #,##0_-;_-* &quot;-&quot;??_-;_-@_-">
                  <c:v>0</c:v>
                </c:pt>
                <c:pt idx="938" formatCode="_-* #,##0_-;\-* #,##0_-;_-* &quot;-&quot;??_-;_-@_-">
                  <c:v>0</c:v>
                </c:pt>
                <c:pt idx="939" formatCode="_-* #,##0_-;\-* #,##0_-;_-* &quot;-&quot;??_-;_-@_-">
                  <c:v>0</c:v>
                </c:pt>
                <c:pt idx="940" formatCode="_-* #,##0_-;\-* #,##0_-;_-* &quot;-&quot;??_-;_-@_-">
                  <c:v>0</c:v>
                </c:pt>
                <c:pt idx="941" formatCode="_-* #,##0_-;\-* #,##0_-;_-* &quot;-&quot;??_-;_-@_-">
                  <c:v>0</c:v>
                </c:pt>
                <c:pt idx="942" formatCode="_-* #,##0_-;\-* #,##0_-;_-* &quot;-&quot;??_-;_-@_-">
                  <c:v>0</c:v>
                </c:pt>
                <c:pt idx="943" formatCode="_-* #,##0_-;\-* #,##0_-;_-* &quot;-&quot;??_-;_-@_-">
                  <c:v>0</c:v>
                </c:pt>
                <c:pt idx="944" formatCode="_-* #,##0_-;\-* #,##0_-;_-* &quot;-&quot;??_-;_-@_-">
                  <c:v>0</c:v>
                </c:pt>
                <c:pt idx="945" formatCode="_-* #,##0_-;\-* #,##0_-;_-* &quot;-&quot;??_-;_-@_-">
                  <c:v>0</c:v>
                </c:pt>
                <c:pt idx="946" formatCode="_-* #,##0_-;\-* #,##0_-;_-* &quot;-&quot;??_-;_-@_-">
                  <c:v>0</c:v>
                </c:pt>
                <c:pt idx="947" formatCode="_-* #,##0_-;\-* #,##0_-;_-* &quot;-&quot;??_-;_-@_-">
                  <c:v>0</c:v>
                </c:pt>
                <c:pt idx="948" formatCode="_-* #,##0_-;\-* #,##0_-;_-* &quot;-&quot;??_-;_-@_-">
                  <c:v>0</c:v>
                </c:pt>
                <c:pt idx="949" formatCode="_-* #,##0_-;\-* #,##0_-;_-* &quot;-&quot;??_-;_-@_-">
                  <c:v>0</c:v>
                </c:pt>
                <c:pt idx="950" formatCode="_-* #,##0_-;\-* #,##0_-;_-* &quot;-&quot;??_-;_-@_-">
                  <c:v>0</c:v>
                </c:pt>
                <c:pt idx="951" formatCode="_-* #,##0_-;\-* #,##0_-;_-* &quot;-&quot;??_-;_-@_-">
                  <c:v>0</c:v>
                </c:pt>
                <c:pt idx="952" formatCode="_-* #,##0_-;\-* #,##0_-;_-* &quot;-&quot;??_-;_-@_-">
                  <c:v>0</c:v>
                </c:pt>
                <c:pt idx="953" formatCode="_-* #,##0_-;\-* #,##0_-;_-* &quot;-&quot;??_-;_-@_-">
                  <c:v>0</c:v>
                </c:pt>
                <c:pt idx="954" formatCode="_-* #,##0_-;\-* #,##0_-;_-* &quot;-&quot;??_-;_-@_-">
                  <c:v>0</c:v>
                </c:pt>
                <c:pt idx="955" formatCode="_-* #,##0_-;\-* #,##0_-;_-* &quot;-&quot;??_-;_-@_-">
                  <c:v>0</c:v>
                </c:pt>
                <c:pt idx="956" formatCode="_-* #,##0_-;\-* #,##0_-;_-* &quot;-&quot;??_-;_-@_-">
                  <c:v>0</c:v>
                </c:pt>
                <c:pt idx="957" formatCode="_-* #,##0_-;\-* #,##0_-;_-* &quot;-&quot;??_-;_-@_-">
                  <c:v>0</c:v>
                </c:pt>
                <c:pt idx="958" formatCode="_-* #,##0_-;\-* #,##0_-;_-* &quot;-&quot;??_-;_-@_-">
                  <c:v>0</c:v>
                </c:pt>
                <c:pt idx="959" formatCode="_-* #,##0_-;\-* #,##0_-;_-* &quot;-&quot;??_-;_-@_-">
                  <c:v>0</c:v>
                </c:pt>
                <c:pt idx="960" formatCode="_-* #,##0_-;\-* #,##0_-;_-* &quot;-&quot;??_-;_-@_-">
                  <c:v>0</c:v>
                </c:pt>
                <c:pt idx="961" formatCode="_-* #,##0_-;\-* #,##0_-;_-* &quot;-&quot;??_-;_-@_-">
                  <c:v>0</c:v>
                </c:pt>
                <c:pt idx="962" formatCode="_-* #,##0_-;\-* #,##0_-;_-* &quot;-&quot;??_-;_-@_-">
                  <c:v>0</c:v>
                </c:pt>
                <c:pt idx="963" formatCode="_-* #,##0_-;\-* #,##0_-;_-* &quot;-&quot;??_-;_-@_-">
                  <c:v>0</c:v>
                </c:pt>
                <c:pt idx="964" formatCode="_-* #,##0_-;\-* #,##0_-;_-* &quot;-&quot;??_-;_-@_-">
                  <c:v>0</c:v>
                </c:pt>
                <c:pt idx="965" formatCode="_-* #,##0_-;\-* #,##0_-;_-* &quot;-&quot;??_-;_-@_-">
                  <c:v>0</c:v>
                </c:pt>
                <c:pt idx="966" formatCode="_-* #,##0_-;\-* #,##0_-;_-* &quot;-&quot;??_-;_-@_-">
                  <c:v>0</c:v>
                </c:pt>
                <c:pt idx="967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093-4675-8CF1-E99C3E7C4480}"/>
            </c:ext>
          </c:extLst>
        </c:ser>
        <c:ser>
          <c:idx val="42"/>
          <c:order val="42"/>
          <c:tx>
            <c:strRef>
              <c:f>'CASH FLOW'!$AR$1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FLOW'!$AR$2:$AR$969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0</c:v>
                </c:pt>
                <c:pt idx="3" formatCode="_-* #,##0_-;\-* #,##0_-;_-* &quot;-&quot;??_-;_-@_-">
                  <c:v>13552900</c:v>
                </c:pt>
                <c:pt idx="4" formatCode="_-* #,##0_-;\-* #,##0_-;_-* &quot;-&quot;??_-;_-@_-">
                  <c:v>7370000</c:v>
                </c:pt>
                <c:pt idx="5" formatCode="_-* #,##0_-;\-* #,##0_-;_-* &quot;-&quot;??_-;_-@_-">
                  <c:v>5821000</c:v>
                </c:pt>
                <c:pt idx="6" formatCode="_-* #,##0_-;\-* #,##0_-;_-* &quot;-&quot;??_-;_-@_-">
                  <c:v>7826200</c:v>
                </c:pt>
                <c:pt idx="7" formatCode="_-* #,##0_-;\-* #,##0_-;_-* &quot;-&quot;??_-;_-@_-">
                  <c:v>4827500</c:v>
                </c:pt>
                <c:pt idx="8" formatCode="_-* #,##0_-;\-* #,##0_-;_-* &quot;-&quot;??_-;_-@_-">
                  <c:v>6687000</c:v>
                </c:pt>
                <c:pt idx="9" formatCode="_-* #,##0_-;\-* #,##0_-;_-* &quot;-&quot;??_-;_-@_-">
                  <c:v>6258300</c:v>
                </c:pt>
                <c:pt idx="10" formatCode="_-* #,##0_-;\-* #,##0_-;_-* &quot;-&quot;??_-;_-@_-">
                  <c:v>5374500</c:v>
                </c:pt>
                <c:pt idx="11" formatCode="_-* #,##0_-;\-* #,##0_-;_-* &quot;-&quot;??_-;_-@_-">
                  <c:v>6300000</c:v>
                </c:pt>
                <c:pt idx="12" formatCode="_-* #,##0_-;\-* #,##0_-;_-* &quot;-&quot;??_-;_-@_-">
                  <c:v>1464300</c:v>
                </c:pt>
                <c:pt idx="13" formatCode="_-* #,##0_-;\-* #,##0_-;_-* &quot;-&quot;??_-;_-@_-">
                  <c:v>2766000</c:v>
                </c:pt>
                <c:pt idx="14" formatCode="_-* #,##0_-;\-* #,##0_-;_-* &quot;-&quot;??_-;_-@_-">
                  <c:v>3644800</c:v>
                </c:pt>
                <c:pt idx="15" formatCode="_-* #,##0_-;\-* #,##0_-;_-* &quot;-&quot;??_-;_-@_-">
                  <c:v>7083400</c:v>
                </c:pt>
                <c:pt idx="16" formatCode="_-* #,##0_-;\-* #,##0_-;_-* &quot;-&quot;??_-;_-@_-">
                  <c:v>8949900</c:v>
                </c:pt>
                <c:pt idx="17" formatCode="_-* #,##0_-;\-* #,##0_-;_-* &quot;-&quot;??_-;_-@_-">
                  <c:v>3336700</c:v>
                </c:pt>
                <c:pt idx="18" formatCode="_-* #,##0_-;\-* #,##0_-;_-* &quot;-&quot;??_-;_-@_-">
                  <c:v>6251800</c:v>
                </c:pt>
                <c:pt idx="19" formatCode="_-* #,##0_-;\-* #,##0_-;_-* &quot;-&quot;??_-;_-@_-">
                  <c:v>3863400</c:v>
                </c:pt>
                <c:pt idx="20" formatCode="_-* #,##0_-;\-* #,##0_-;_-* &quot;-&quot;??_-;_-@_-">
                  <c:v>5188100</c:v>
                </c:pt>
                <c:pt idx="21" formatCode="_-* #,##0_-;\-* #,##0_-;_-* &quot;-&quot;??_-;_-@_-">
                  <c:v>7188000</c:v>
                </c:pt>
                <c:pt idx="22" formatCode="_-* #,##0_-;\-* #,##0_-;_-* &quot;-&quot;??_-;_-@_-">
                  <c:v>0</c:v>
                </c:pt>
                <c:pt idx="23" formatCode="_-* #,##0_-;\-* #,##0_-;_-* &quot;-&quot;??_-;_-@_-">
                  <c:v>17956500</c:v>
                </c:pt>
                <c:pt idx="24" formatCode="_-* #,##0_-;\-* #,##0_-;_-* &quot;-&quot;??_-;_-@_-">
                  <c:v>6576500</c:v>
                </c:pt>
                <c:pt idx="25" formatCode="_-* #,##0_-;\-* #,##0_-;_-* &quot;-&quot;??_-;_-@_-">
                  <c:v>8207700</c:v>
                </c:pt>
                <c:pt idx="26" formatCode="_-* #,##0_-;\-* #,##0_-;_-* &quot;-&quot;??_-;_-@_-">
                  <c:v>4500100</c:v>
                </c:pt>
                <c:pt idx="27" formatCode="_-* #,##0_-;\-* #,##0_-;_-* &quot;-&quot;??_-;_-@_-">
                  <c:v>5970800</c:v>
                </c:pt>
                <c:pt idx="28" formatCode="_-* #,##0_-;\-* #,##0_-;_-* &quot;-&quot;??_-;_-@_-">
                  <c:v>5369400</c:v>
                </c:pt>
                <c:pt idx="29" formatCode="_-* #,##0_-;\-* #,##0_-;_-* &quot;-&quot;??_-;_-@_-">
                  <c:v>0</c:v>
                </c:pt>
                <c:pt idx="30" formatCode="_-* #,##0_-;\-* #,##0_-;_-* &quot;-&quot;??_-;_-@_-">
                  <c:v>23371400</c:v>
                </c:pt>
                <c:pt idx="31" formatCode="_-* #,##0_-;\-* #,##0_-;_-* &quot;-&quot;??_-;_-@_-">
                  <c:v>13774500</c:v>
                </c:pt>
                <c:pt idx="32" formatCode="_-* #,##0_-;\-* #,##0_-;_-* &quot;-&quot;??_-;_-@_-">
                  <c:v>9006700</c:v>
                </c:pt>
                <c:pt idx="33" formatCode="_-* #,##0_-;\-* #,##0_-;_-* &quot;-&quot;??_-;_-@_-">
                  <c:v>8797100</c:v>
                </c:pt>
                <c:pt idx="34" formatCode="_-* #,##0_-;\-* #,##0_-;_-* &quot;-&quot;??_-;_-@_-">
                  <c:v>3889600</c:v>
                </c:pt>
                <c:pt idx="35" formatCode="_-* #,##0_-;\-* #,##0_-;_-* &quot;-&quot;??_-;_-@_-">
                  <c:v>6887200</c:v>
                </c:pt>
                <c:pt idx="36" formatCode="_-* #,##0_-;\-* #,##0_-;_-* &quot;-&quot;??_-;_-@_-">
                  <c:v>0</c:v>
                </c:pt>
                <c:pt idx="37" formatCode="_-* #,##0_-;\-* #,##0_-;_-* &quot;-&quot;??_-;_-@_-">
                  <c:v>21020400</c:v>
                </c:pt>
                <c:pt idx="38" formatCode="_-* #,##0_-;\-* #,##0_-;_-* &quot;-&quot;??_-;_-@_-">
                  <c:v>10809500</c:v>
                </c:pt>
                <c:pt idx="39" formatCode="_-* #,##0_-;\-* #,##0_-;_-* &quot;-&quot;??_-;_-@_-">
                  <c:v>7759900</c:v>
                </c:pt>
                <c:pt idx="40" formatCode="_-* #,##0_-;\-* #,##0_-;_-* &quot;-&quot;??_-;_-@_-">
                  <c:v>12957300</c:v>
                </c:pt>
                <c:pt idx="41" formatCode="_-* #,##0_-;\-* #,##0_-;_-* &quot;-&quot;??_-;_-@_-">
                  <c:v>8795100</c:v>
                </c:pt>
                <c:pt idx="42" formatCode="_-* #,##0_-;\-* #,##0_-;_-* &quot;-&quot;??_-;_-@_-">
                  <c:v>0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18076700</c:v>
                </c:pt>
                <c:pt idx="45" formatCode="_-* #,##0_-;\-* #,##0_-;_-* &quot;-&quot;??_-;_-@_-">
                  <c:v>4585800</c:v>
                </c:pt>
                <c:pt idx="46" formatCode="_-* #,##0_-;\-* #,##0_-;_-* &quot;-&quot;??_-;_-@_-">
                  <c:v>8937800</c:v>
                </c:pt>
                <c:pt idx="47" formatCode="_-* #,##0_-;\-* #,##0_-;_-* &quot;-&quot;??_-;_-@_-">
                  <c:v>4734500</c:v>
                </c:pt>
                <c:pt idx="48" formatCode="_-* #,##0_-;\-* #,##0_-;_-* &quot;-&quot;??_-;_-@_-">
                  <c:v>8032000</c:v>
                </c:pt>
                <c:pt idx="49" formatCode="_-* #,##0_-;\-* #,##0_-;_-* &quot;-&quot;??_-;_-@_-">
                  <c:v>7909100</c:v>
                </c:pt>
                <c:pt idx="50" formatCode="_-* #,##0_-;\-* #,##0_-;_-* &quot;-&quot;??_-;_-@_-">
                  <c:v>0</c:v>
                </c:pt>
                <c:pt idx="51" formatCode="_-* #,##0_-;\-* #,##0_-;_-* &quot;-&quot;??_-;_-@_-">
                  <c:v>17520500</c:v>
                </c:pt>
                <c:pt idx="52" formatCode="_-* #,##0_-;\-* #,##0_-;_-* &quot;-&quot;??_-;_-@_-">
                  <c:v>11454000</c:v>
                </c:pt>
                <c:pt idx="53" formatCode="_-* #,##0_-;\-* #,##0_-;_-* &quot;-&quot;??_-;_-@_-">
                  <c:v>8715900</c:v>
                </c:pt>
                <c:pt idx="54" formatCode="_-* #,##0_-;\-* #,##0_-;_-* &quot;-&quot;??_-;_-@_-">
                  <c:v>11284200</c:v>
                </c:pt>
                <c:pt idx="55" formatCode="_-* #,##0_-;\-* #,##0_-;_-* &quot;-&quot;??_-;_-@_-">
                  <c:v>8593300</c:v>
                </c:pt>
                <c:pt idx="56" formatCode="_-* #,##0_-;\-* #,##0_-;_-* &quot;-&quot;??_-;_-@_-">
                  <c:v>9249100</c:v>
                </c:pt>
                <c:pt idx="58" formatCode="_-* #,##0_-;\-* #,##0_-;_-* &quot;-&quot;??_-;_-@_-">
                  <c:v>15963800</c:v>
                </c:pt>
                <c:pt idx="59" formatCode="_-* #,##0_-;\-* #,##0_-;_-* &quot;-&quot;??_-;_-@_-">
                  <c:v>9337300</c:v>
                </c:pt>
                <c:pt idx="60" formatCode="_-* #,##0_-;\-* #,##0_-;_-* &quot;-&quot;??_-;_-@_-">
                  <c:v>7136700</c:v>
                </c:pt>
                <c:pt idx="61" formatCode="_-* #,##0_-;\-* #,##0_-;_-* &quot;-&quot;??_-;_-@_-">
                  <c:v>5133900</c:v>
                </c:pt>
                <c:pt idx="62" formatCode="_-* #,##0_-;\-* #,##0_-;_-* &quot;-&quot;??_-;_-@_-">
                  <c:v>8245800</c:v>
                </c:pt>
                <c:pt idx="63" formatCode="_-* #,##0_-;\-* #,##0_-;_-* &quot;-&quot;??_-;_-@_-">
                  <c:v>0</c:v>
                </c:pt>
                <c:pt idx="64" formatCode="_-* #,##0_-;\-* #,##0_-;_-* &quot;-&quot;??_-;_-@_-">
                  <c:v>0</c:v>
                </c:pt>
                <c:pt idx="65" formatCode="_-* #,##0_-;\-* #,##0_-;_-* &quot;-&quot;??_-;_-@_-">
                  <c:v>18729200</c:v>
                </c:pt>
                <c:pt idx="66" formatCode="_-* #,##0_-;\-* #,##0_-;_-* &quot;-&quot;??_-;_-@_-">
                  <c:v>11293200</c:v>
                </c:pt>
                <c:pt idx="67" formatCode="_-* #,##0_-;\-* #,##0_-;_-* &quot;-&quot;??_-;_-@_-">
                  <c:v>3991700</c:v>
                </c:pt>
                <c:pt idx="68" formatCode="_-* #,##0_-;\-* #,##0_-;_-* &quot;-&quot;??_-;_-@_-">
                  <c:v>4049900</c:v>
                </c:pt>
                <c:pt idx="69" formatCode="_-* #,##0_-;\-* #,##0_-;_-* &quot;-&quot;??_-;_-@_-">
                  <c:v>5168000</c:v>
                </c:pt>
                <c:pt idx="70" formatCode="_-* #,##0_-;\-* #,##0_-;_-* &quot;-&quot;??_-;_-@_-">
                  <c:v>4270500</c:v>
                </c:pt>
                <c:pt idx="71" formatCode="_-* #,##0_-;\-* #,##0_-;_-* &quot;-&quot;??_-;_-@_-">
                  <c:v>6064400</c:v>
                </c:pt>
                <c:pt idx="72" formatCode="_-* #,##0_-;\-* #,##0_-;_-* &quot;-&quot;??_-;_-@_-">
                  <c:v>4362300</c:v>
                </c:pt>
                <c:pt idx="73" formatCode="_-* #,##0_-;\-* #,##0_-;_-* &quot;-&quot;??_-;_-@_-">
                  <c:v>5127400</c:v>
                </c:pt>
                <c:pt idx="74" formatCode="_-* #,##0_-;\-* #,##0_-;_-* &quot;-&quot;??_-;_-@_-">
                  <c:v>8500000</c:v>
                </c:pt>
                <c:pt idx="75" formatCode="_-* #,##0_-;\-* #,##0_-;_-* &quot;-&quot;??_-;_-@_-">
                  <c:v>6879400</c:v>
                </c:pt>
                <c:pt idx="76" formatCode="_-* #,##0_-;\-* #,##0_-;_-* &quot;-&quot;??_-;_-@_-">
                  <c:v>3718500</c:v>
                </c:pt>
                <c:pt idx="77" formatCode="_-* #,##0_-;\-* #,##0_-;_-* &quot;-&quot;??_-;_-@_-">
                  <c:v>0</c:v>
                </c:pt>
                <c:pt idx="79" formatCode="_-* #,##0_-;\-* #,##0_-;_-* &quot;-&quot;??_-;_-@_-">
                  <c:v>20196000</c:v>
                </c:pt>
                <c:pt idx="80" formatCode="_-* #,##0_-;\-* #,##0_-;_-* &quot;-&quot;??_-;_-@_-">
                  <c:v>6739500</c:v>
                </c:pt>
                <c:pt idx="81" formatCode="_-* #,##0_-;\-* #,##0_-;_-* &quot;-&quot;??_-;_-@_-">
                  <c:v>4212300</c:v>
                </c:pt>
                <c:pt idx="82" formatCode="_-* #,##0_-;\-* #,##0_-;_-* &quot;-&quot;??_-;_-@_-">
                  <c:v>3039800</c:v>
                </c:pt>
                <c:pt idx="83" formatCode="_-* #,##0_-;\-* #,##0_-;_-* &quot;-&quot;??_-;_-@_-">
                  <c:v>4740400</c:v>
                </c:pt>
                <c:pt idx="84" formatCode="_-* #,##0_-;\-* #,##0_-;_-* &quot;-&quot;??_-;_-@_-">
                  <c:v>7879500</c:v>
                </c:pt>
                <c:pt idx="85" formatCode="_-* #,##0_-;\-* #,##0_-;_-* &quot;-&quot;??_-;_-@_-">
                  <c:v>0</c:v>
                </c:pt>
                <c:pt idx="86" formatCode="_-* #,##0_-;\-* #,##0_-;_-* &quot;-&quot;??_-;_-@_-">
                  <c:v>16954100</c:v>
                </c:pt>
                <c:pt idx="87" formatCode="_-* #,##0_-;\-* #,##0_-;_-* &quot;-&quot;??_-;_-@_-">
                  <c:v>6896000</c:v>
                </c:pt>
                <c:pt idx="88" formatCode="_-* #,##0_-;\-* #,##0_-;_-* &quot;-&quot;??_-;_-@_-">
                  <c:v>4408200</c:v>
                </c:pt>
                <c:pt idx="89" formatCode="_-* #,##0_-;\-* #,##0_-;_-* &quot;-&quot;??_-;_-@_-">
                  <c:v>8748700</c:v>
                </c:pt>
                <c:pt idx="90" formatCode="_-* #,##0_-;\-* #,##0_-;_-* &quot;-&quot;??_-;_-@_-">
                  <c:v>6560000</c:v>
                </c:pt>
                <c:pt idx="91" formatCode="_-* #,##0_-;\-* #,##0_-;_-* &quot;-&quot;??_-;_-@_-">
                  <c:v>11815200</c:v>
                </c:pt>
                <c:pt idx="92" formatCode="_-* #,##0_-;\-* #,##0_-;_-* &quot;-&quot;??_-;_-@_-">
                  <c:v>12505600</c:v>
                </c:pt>
                <c:pt idx="93" formatCode="_-* #,##0_-;\-* #,##0_-;_-* &quot;-&quot;??_-;_-@_-">
                  <c:v>17120300</c:v>
                </c:pt>
                <c:pt idx="94" formatCode="_-* #,##0_-;\-* #,##0_-;_-* &quot;-&quot;??_-;_-@_-">
                  <c:v>4941000</c:v>
                </c:pt>
                <c:pt idx="95" formatCode="_-* #,##0_-;\-* #,##0_-;_-* &quot;-&quot;??_-;_-@_-">
                  <c:v>7884200</c:v>
                </c:pt>
                <c:pt idx="96" formatCode="_-* #,##0_-;\-* #,##0_-;_-* &quot;-&quot;??_-;_-@_-">
                  <c:v>2587700</c:v>
                </c:pt>
                <c:pt idx="97" formatCode="_-* #,##0_-;\-* #,##0_-;_-* &quot;-&quot;??_-;_-@_-">
                  <c:v>1167600</c:v>
                </c:pt>
                <c:pt idx="98" formatCode="_-* #,##0_-;\-* #,##0_-;_-* &quot;-&quot;??_-;_-@_-">
                  <c:v>5233400</c:v>
                </c:pt>
                <c:pt idx="99" formatCode="_-* #,##0_-;\-* #,##0_-;_-* &quot;-&quot;??_-;_-@_-">
                  <c:v>8614000</c:v>
                </c:pt>
                <c:pt idx="100" formatCode="_-* #,##0_-;\-* #,##0_-;_-* &quot;-&quot;??_-;_-@_-">
                  <c:v>4384100</c:v>
                </c:pt>
                <c:pt idx="101" formatCode="_-* #,##0_-;\-* #,##0_-;_-* &quot;-&quot;??_-;_-@_-">
                  <c:v>2097300</c:v>
                </c:pt>
                <c:pt idx="102" formatCode="_-* #,##0_-;\-* #,##0_-;_-* &quot;-&quot;??_-;_-@_-">
                  <c:v>5964400</c:v>
                </c:pt>
                <c:pt idx="103" formatCode="_-* #,##0_-;\-* #,##0_-;_-* &quot;-&quot;??_-;_-@_-">
                  <c:v>1400100</c:v>
                </c:pt>
                <c:pt idx="104" formatCode="_-* #,##0_-;\-* #,##0_-;_-* &quot;-&quot;??_-;_-@_-">
                  <c:v>7444000</c:v>
                </c:pt>
                <c:pt idx="105" formatCode="_-* #,##0_-;\-* #,##0_-;_-* &quot;-&quot;??_-;_-@_-">
                  <c:v>3357200</c:v>
                </c:pt>
                <c:pt idx="106" formatCode="_-* #,##0_-;\-* #,##0_-;_-* &quot;-&quot;??_-;_-@_-">
                  <c:v>0</c:v>
                </c:pt>
                <c:pt idx="107" formatCode="_-* #,##0_-;\-* #,##0_-;_-* &quot;-&quot;??_-;_-@_-">
                  <c:v>6154000</c:v>
                </c:pt>
                <c:pt idx="108" formatCode="_-* #,##0_-;\-* #,##0_-;_-* &quot;-&quot;??_-;_-@_-">
                  <c:v>5683300</c:v>
                </c:pt>
                <c:pt idx="109" formatCode="_-* #,##0_-;\-* #,##0_-;_-* &quot;-&quot;??_-;_-@_-">
                  <c:v>4997400</c:v>
                </c:pt>
                <c:pt idx="110" formatCode="_-* #,##0_-;\-* #,##0_-;_-* &quot;-&quot;??_-;_-@_-">
                  <c:v>9388100</c:v>
                </c:pt>
                <c:pt idx="111" formatCode="_-* #,##0_-;\-* #,##0_-;_-* &quot;-&quot;??_-;_-@_-">
                  <c:v>2455800</c:v>
                </c:pt>
                <c:pt idx="112" formatCode="_-* #,##0_-;\-* #,##0_-;_-* &quot;-&quot;??_-;_-@_-">
                  <c:v>5795900</c:v>
                </c:pt>
                <c:pt idx="113" formatCode="_-* #,##0_-;\-* #,##0_-;_-* &quot;-&quot;??_-;_-@_-">
                  <c:v>0</c:v>
                </c:pt>
                <c:pt idx="114" formatCode="_-* #,##0_-;\-* #,##0_-;_-* &quot;-&quot;??_-;_-@_-">
                  <c:v>7696500</c:v>
                </c:pt>
                <c:pt idx="115" formatCode="_-* #,##0_-;\-* #,##0_-;_-* &quot;-&quot;??_-;_-@_-">
                  <c:v>7585100</c:v>
                </c:pt>
                <c:pt idx="116" formatCode="_-* #,##0_-;\-* #,##0_-;_-* &quot;-&quot;??_-;_-@_-">
                  <c:v>1194100</c:v>
                </c:pt>
                <c:pt idx="117" formatCode="_-* #,##0_-;\-* #,##0_-;_-* &quot;-&quot;??_-;_-@_-">
                  <c:v>2121000</c:v>
                </c:pt>
                <c:pt idx="118" formatCode="_-* #,##0_-;\-* #,##0_-;_-* &quot;-&quot;??_-;_-@_-">
                  <c:v>1595100</c:v>
                </c:pt>
                <c:pt idx="121" formatCode="_-* #,##0_-;\-* #,##0_-;_-* &quot;-&quot;??_-;_-@_-">
                  <c:v>8963700</c:v>
                </c:pt>
                <c:pt idx="122" formatCode="_-* #,##0_-;\-* #,##0_-;_-* &quot;-&quot;??_-;_-@_-">
                  <c:v>5221800</c:v>
                </c:pt>
                <c:pt idx="123" formatCode="_-* #,##0_-;\-* #,##0_-;_-* &quot;-&quot;??_-;_-@_-">
                  <c:v>3802600</c:v>
                </c:pt>
                <c:pt idx="124" formatCode="_-* #,##0_-;\-* #,##0_-;_-* &quot;-&quot;??_-;_-@_-">
                  <c:v>2301700</c:v>
                </c:pt>
                <c:pt idx="125" formatCode="_-* #,##0_-;\-* #,##0_-;_-* &quot;-&quot;??_-;_-@_-">
                  <c:v>2516600</c:v>
                </c:pt>
                <c:pt idx="126" formatCode="_-* #,##0_-;\-* #,##0_-;_-* &quot;-&quot;??_-;_-@_-">
                  <c:v>2371800</c:v>
                </c:pt>
                <c:pt idx="128" formatCode="_-* #,##0_-;\-* #,##0_-;_-* &quot;-&quot;??_-;_-@_-">
                  <c:v>7238700</c:v>
                </c:pt>
                <c:pt idx="129" formatCode="_-* #,##0_-;\-* #,##0_-;_-* &quot;-&quot;??_-;_-@_-">
                  <c:v>5045700</c:v>
                </c:pt>
                <c:pt idx="130" formatCode="_-* #,##0_-;\-* #,##0_-;_-* &quot;-&quot;??_-;_-@_-">
                  <c:v>0</c:v>
                </c:pt>
                <c:pt idx="131" formatCode="_-* #,##0_-;\-* #,##0_-;_-* &quot;-&quot;??_-;_-@_-">
                  <c:v>3956000</c:v>
                </c:pt>
                <c:pt idx="132" formatCode="_-* #,##0_-;\-* #,##0_-;_-* &quot;-&quot;??_-;_-@_-">
                  <c:v>3385400</c:v>
                </c:pt>
                <c:pt idx="133" formatCode="_-* #,##0_-;\-* #,##0_-;_-* &quot;-&quot;??_-;_-@_-">
                  <c:v>3269300</c:v>
                </c:pt>
                <c:pt idx="134" formatCode="_-* #,##0_-;\-* #,##0_-;_-* &quot;-&quot;??_-;_-@_-">
                  <c:v>0</c:v>
                </c:pt>
                <c:pt idx="135" formatCode="_-* #,##0_-;\-* #,##0_-;_-* &quot;-&quot;??_-;_-@_-">
                  <c:v>11451200</c:v>
                </c:pt>
                <c:pt idx="136" formatCode="_-* #,##0_-;\-* #,##0_-;_-* &quot;-&quot;??_-;_-@_-">
                  <c:v>9283500</c:v>
                </c:pt>
                <c:pt idx="137" formatCode="_-* #,##0_-;\-* #,##0_-;_-* &quot;-&quot;??_-;_-@_-">
                  <c:v>5289200</c:v>
                </c:pt>
                <c:pt idx="138" formatCode="_-* #,##0_-;\-* #,##0_-;_-* &quot;-&quot;??_-;_-@_-">
                  <c:v>3388800</c:v>
                </c:pt>
                <c:pt idx="139" formatCode="_-* #,##0_-;\-* #,##0_-;_-* &quot;-&quot;??_-;_-@_-">
                  <c:v>6092800</c:v>
                </c:pt>
                <c:pt idx="140" formatCode="_-* #,##0_-;\-* #,##0_-;_-* &quot;-&quot;??_-;_-@_-">
                  <c:v>6367800</c:v>
                </c:pt>
                <c:pt idx="141" formatCode="_-* #,##0_-;\-* #,##0_-;_-* &quot;-&quot;??_-;_-@_-">
                  <c:v>3071000</c:v>
                </c:pt>
                <c:pt idx="142" formatCode="_-* #,##0_-;\-* #,##0_-;_-* &quot;-&quot;??_-;_-@_-">
                  <c:v>11725900</c:v>
                </c:pt>
                <c:pt idx="143" formatCode="_-* #,##0_-;\-* #,##0_-;_-* &quot;-&quot;??_-;_-@_-">
                  <c:v>4286700</c:v>
                </c:pt>
                <c:pt idx="144" formatCode="_-* #,##0_-;\-* #,##0_-;_-* &quot;-&quot;??_-;_-@_-">
                  <c:v>6452300</c:v>
                </c:pt>
                <c:pt idx="145" formatCode="_-* #,##0_-;\-* #,##0_-;_-* &quot;-&quot;??_-;_-@_-">
                  <c:v>8329000</c:v>
                </c:pt>
                <c:pt idx="146" formatCode="_-* #,##0_-;\-* #,##0_-;_-* &quot;-&quot;??_-;_-@_-">
                  <c:v>7584000</c:v>
                </c:pt>
                <c:pt idx="147" formatCode="_-* #,##0_-;\-* #,##0_-;_-* &quot;-&quot;??_-;_-@_-">
                  <c:v>7664000</c:v>
                </c:pt>
                <c:pt idx="148" formatCode="_-* #,##0_-;\-* #,##0_-;_-* &quot;-&quot;??_-;_-@_-">
                  <c:v>0</c:v>
                </c:pt>
                <c:pt idx="149" formatCode="_-* #,##0_-;\-* #,##0_-;_-* &quot;-&quot;??_-;_-@_-">
                  <c:v>15062100</c:v>
                </c:pt>
                <c:pt idx="150" formatCode="_-* #,##0_-;\-* #,##0_-;_-* &quot;-&quot;??_-;_-@_-">
                  <c:v>11134200</c:v>
                </c:pt>
                <c:pt idx="151" formatCode="_-* #,##0_-;\-* #,##0_-;_-* &quot;-&quot;??_-;_-@_-">
                  <c:v>8190500</c:v>
                </c:pt>
                <c:pt idx="152" formatCode="_-* #,##0_-;\-* #,##0_-;_-* &quot;-&quot;??_-;_-@_-">
                  <c:v>5565800</c:v>
                </c:pt>
                <c:pt idx="153" formatCode="_-* #,##0_-;\-* #,##0_-;_-* &quot;-&quot;??_-;_-@_-">
                  <c:v>6326000</c:v>
                </c:pt>
                <c:pt idx="154" formatCode="_-* #,##0_-;\-* #,##0_-;_-* &quot;-&quot;??_-;_-@_-">
                  <c:v>4741500</c:v>
                </c:pt>
                <c:pt idx="155" formatCode="_-* #,##0_-;\-* #,##0_-;_-* &quot;-&quot;??_-;_-@_-">
                  <c:v>0</c:v>
                </c:pt>
                <c:pt idx="156" formatCode="_-* #,##0_-;\-* #,##0_-;_-* &quot;-&quot;??_-;_-@_-">
                  <c:v>13763100</c:v>
                </c:pt>
                <c:pt idx="157" formatCode="_-* #,##0_-;\-* #,##0_-;_-* &quot;-&quot;??_-;_-@_-">
                  <c:v>7930700</c:v>
                </c:pt>
                <c:pt idx="158" formatCode="_-* #,##0_-;\-* #,##0_-;_-* &quot;-&quot;??_-;_-@_-">
                  <c:v>8599200</c:v>
                </c:pt>
                <c:pt idx="159" formatCode="_-* #,##0_-;\-* #,##0_-;_-* &quot;-&quot;??_-;_-@_-">
                  <c:v>3629100</c:v>
                </c:pt>
                <c:pt idx="160" formatCode="_-* #,##0_-;\-* #,##0_-;_-* &quot;-&quot;??_-;_-@_-">
                  <c:v>5702200</c:v>
                </c:pt>
                <c:pt idx="161" formatCode="_-* #,##0_-;\-* #,##0_-;_-* &quot;-&quot;??_-;_-@_-">
                  <c:v>4644400</c:v>
                </c:pt>
                <c:pt idx="162" formatCode="_-* #,##0_-;\-* #,##0_-;_-* &quot;-&quot;??_-;_-@_-">
                  <c:v>0</c:v>
                </c:pt>
                <c:pt idx="163" formatCode="_-* #,##0_-;\-* #,##0_-;_-* &quot;-&quot;??_-;_-@_-">
                  <c:v>6864100</c:v>
                </c:pt>
                <c:pt idx="164" formatCode="_-* #,##0_-;\-* #,##0_-;_-* &quot;-&quot;??_-;_-@_-">
                  <c:v>4944500</c:v>
                </c:pt>
                <c:pt idx="165" formatCode="_-* #,##0_-;\-* #,##0_-;_-* &quot;-&quot;??_-;_-@_-">
                  <c:v>4157600</c:v>
                </c:pt>
                <c:pt idx="166" formatCode="_-* #,##0_-;\-* #,##0_-;_-* &quot;-&quot;??_-;_-@_-">
                  <c:v>9946300</c:v>
                </c:pt>
                <c:pt idx="167" formatCode="_-* #,##0_-;\-* #,##0_-;_-* &quot;-&quot;??_-;_-@_-">
                  <c:v>6155700</c:v>
                </c:pt>
                <c:pt idx="168" formatCode="_-* #,##0_-;\-* #,##0_-;_-* &quot;-&quot;??_-;_-@_-">
                  <c:v>5764300</c:v>
                </c:pt>
                <c:pt idx="169" formatCode="_-* #,##0_-;\-* #,##0_-;_-* &quot;-&quot;??_-;_-@_-">
                  <c:v>0</c:v>
                </c:pt>
                <c:pt idx="170" formatCode="_-* #,##0_-;\-* #,##0_-;_-* &quot;-&quot;??_-;_-@_-">
                  <c:v>17789100</c:v>
                </c:pt>
                <c:pt idx="171" formatCode="_-* #,##0_-;\-* #,##0_-;_-* &quot;-&quot;??_-;_-@_-">
                  <c:v>7772300</c:v>
                </c:pt>
                <c:pt idx="172" formatCode="_-* #,##0_-;\-* #,##0_-;_-* &quot;-&quot;??_-;_-@_-">
                  <c:v>3960000</c:v>
                </c:pt>
                <c:pt idx="173" formatCode="_-* #,##0_-;\-* #,##0_-;_-* &quot;-&quot;??_-;_-@_-">
                  <c:v>7346300</c:v>
                </c:pt>
                <c:pt idx="174" formatCode="_-* #,##0_-;\-* #,##0_-;_-* &quot;-&quot;??_-;_-@_-">
                  <c:v>3104800</c:v>
                </c:pt>
                <c:pt idx="175" formatCode="_-* #,##0_-;\-* #,##0_-;_-* &quot;-&quot;??_-;_-@_-">
                  <c:v>8549800</c:v>
                </c:pt>
                <c:pt idx="176" formatCode="_-* #,##0_-;\-* #,##0_-;_-* &quot;-&quot;??_-;_-@_-">
                  <c:v>0</c:v>
                </c:pt>
                <c:pt idx="177" formatCode="_-* #,##0_-;\-* #,##0_-;_-* &quot;-&quot;??_-;_-@_-">
                  <c:v>7828700</c:v>
                </c:pt>
                <c:pt idx="178" formatCode="_-* #,##0_-;\-* #,##0_-;_-* &quot;-&quot;??_-;_-@_-">
                  <c:v>8774500</c:v>
                </c:pt>
                <c:pt idx="179" formatCode="_-* #,##0_-;\-* #,##0_-;_-* &quot;-&quot;??_-;_-@_-">
                  <c:v>8339000</c:v>
                </c:pt>
                <c:pt idx="180" formatCode="_-* #,##0_-;\-* #,##0_-;_-* &quot;-&quot;??_-;_-@_-">
                  <c:v>6869800</c:v>
                </c:pt>
                <c:pt idx="181" formatCode="_-* #,##0_-;\-* #,##0_-;_-* &quot;-&quot;??_-;_-@_-">
                  <c:v>5698000</c:v>
                </c:pt>
                <c:pt idx="182" formatCode="_-* #,##0_-;\-* #,##0_-;_-* &quot;-&quot;??_-;_-@_-">
                  <c:v>3643800</c:v>
                </c:pt>
                <c:pt idx="183" formatCode="_-* #,##0_-;\-* #,##0_-;_-* &quot;-&quot;??_-;_-@_-">
                  <c:v>0</c:v>
                </c:pt>
                <c:pt idx="184" formatCode="_-* #,##0_-;\-* #,##0_-;_-* &quot;-&quot;??_-;_-@_-">
                  <c:v>14866500</c:v>
                </c:pt>
                <c:pt idx="185" formatCode="_-* #,##0_-;\-* #,##0_-;_-* &quot;-&quot;??_-;_-@_-">
                  <c:v>5124200</c:v>
                </c:pt>
                <c:pt idx="186" formatCode="_-* #,##0_-;\-* #,##0_-;_-* &quot;-&quot;??_-;_-@_-">
                  <c:v>4720500</c:v>
                </c:pt>
                <c:pt idx="187" formatCode="_-* #,##0_-;\-* #,##0_-;_-* &quot;-&quot;??_-;_-@_-">
                  <c:v>3621800</c:v>
                </c:pt>
                <c:pt idx="188" formatCode="_-* #,##0_-;\-* #,##0_-;_-* &quot;-&quot;??_-;_-@_-">
                  <c:v>8795300</c:v>
                </c:pt>
                <c:pt idx="189" formatCode="_-* #,##0_-;\-* #,##0_-;_-* &quot;-&quot;??_-;_-@_-">
                  <c:v>6952800</c:v>
                </c:pt>
                <c:pt idx="191" formatCode="_-* #,##0_-;\-* #,##0_-;_-* &quot;-&quot;??_-;_-@_-">
                  <c:v>16120600</c:v>
                </c:pt>
                <c:pt idx="192" formatCode="_-* #,##0_-;\-* #,##0_-;_-* &quot;-&quot;??_-;_-@_-">
                  <c:v>6982300</c:v>
                </c:pt>
                <c:pt idx="193" formatCode="_-* #,##0_-;\-* #,##0_-;_-* &quot;-&quot;??_-;_-@_-">
                  <c:v>7653800</c:v>
                </c:pt>
                <c:pt idx="194" formatCode="_-* #,##0_-;\-* #,##0_-;_-* &quot;-&quot;??_-;_-@_-">
                  <c:v>8381900</c:v>
                </c:pt>
                <c:pt idx="195" formatCode="_-* #,##0_-;\-* #,##0_-;_-* &quot;-&quot;??_-;_-@_-">
                  <c:v>0</c:v>
                </c:pt>
                <c:pt idx="196" formatCode="_-* #,##0_-;\-* #,##0_-;_-* &quot;-&quot;??_-;_-@_-">
                  <c:v>11924700</c:v>
                </c:pt>
                <c:pt idx="197" formatCode="_-* #,##0_-;\-* #,##0_-;_-* &quot;-&quot;??_-;_-@_-">
                  <c:v>8562800</c:v>
                </c:pt>
                <c:pt idx="198" formatCode="_-* #,##0_-;\-* #,##0_-;_-* &quot;-&quot;??_-;_-@_-">
                  <c:v>6357400</c:v>
                </c:pt>
                <c:pt idx="199" formatCode="_-* #,##0_-;\-* #,##0_-;_-* &quot;-&quot;??_-;_-@_-">
                  <c:v>6270900</c:v>
                </c:pt>
                <c:pt idx="200" formatCode="_-* #,##0_-;\-* #,##0_-;_-* &quot;-&quot;??_-;_-@_-">
                  <c:v>4589200</c:v>
                </c:pt>
                <c:pt idx="201" formatCode="_-* #,##0_-;\-* #,##0_-;_-* &quot;-&quot;??_-;_-@_-">
                  <c:v>7210800</c:v>
                </c:pt>
                <c:pt idx="203" formatCode="_-* #,##0_-;\-* #,##0_-;_-* &quot;-&quot;??_-;_-@_-">
                  <c:v>9607400</c:v>
                </c:pt>
                <c:pt idx="204" formatCode="_-* #,##0_-;\-* #,##0_-;_-* &quot;-&quot;??_-;_-@_-">
                  <c:v>0</c:v>
                </c:pt>
                <c:pt idx="205" formatCode="_-* #,##0_-;\-* #,##0_-;_-* &quot;-&quot;??_-;_-@_-">
                  <c:v>17529700</c:v>
                </c:pt>
                <c:pt idx="206" formatCode="_-* #,##0_-;\-* #,##0_-;_-* &quot;-&quot;??_-;_-@_-">
                  <c:v>5155800</c:v>
                </c:pt>
                <c:pt idx="207" formatCode="_-* #,##0_-;\-* #,##0_-;_-* &quot;-&quot;??_-;_-@_-">
                  <c:v>13482200</c:v>
                </c:pt>
                <c:pt idx="208" formatCode="_-* #,##0_-;\-* #,##0_-;_-* &quot;-&quot;??_-;_-@_-">
                  <c:v>9553700</c:v>
                </c:pt>
                <c:pt idx="209" formatCode="_-* #,##0_-;\-* #,##0_-;_-* &quot;-&quot;??_-;_-@_-">
                  <c:v>10277700</c:v>
                </c:pt>
                <c:pt idx="210" formatCode="_-* #,##0_-;\-* #,##0_-;_-* &quot;-&quot;??_-;_-@_-">
                  <c:v>6440000</c:v>
                </c:pt>
                <c:pt idx="211" formatCode="_-* #,##0_-;\-* #,##0_-;_-* &quot;-&quot;??_-;_-@_-">
                  <c:v>0</c:v>
                </c:pt>
                <c:pt idx="212" formatCode="_-* #,##0_-;\-* #,##0_-;_-* &quot;-&quot;??_-;_-@_-">
                  <c:v>14853800</c:v>
                </c:pt>
                <c:pt idx="213" formatCode="_-* #,##0_-;\-* #,##0_-;_-* &quot;-&quot;??_-;_-@_-">
                  <c:v>7488800</c:v>
                </c:pt>
                <c:pt idx="214" formatCode="_-* #,##0_-;\-* #,##0_-;_-* &quot;-&quot;??_-;_-@_-">
                  <c:v>4630300</c:v>
                </c:pt>
                <c:pt idx="215" formatCode="_-* #,##0_-;\-* #,##0_-;_-* &quot;-&quot;??_-;_-@_-">
                  <c:v>3038200</c:v>
                </c:pt>
                <c:pt idx="216" formatCode="_-* #,##0_-;\-* #,##0_-;_-* &quot;-&quot;??_-;_-@_-">
                  <c:v>4059800</c:v>
                </c:pt>
                <c:pt idx="217" formatCode="_-* #,##0_-;\-* #,##0_-;_-* &quot;-&quot;??_-;_-@_-">
                  <c:v>4456000</c:v>
                </c:pt>
                <c:pt idx="218" formatCode="_-* #,##0_-;\-* #,##0_-;_-* &quot;-&quot;??_-;_-@_-">
                  <c:v>0</c:v>
                </c:pt>
                <c:pt idx="219" formatCode="_-* #,##0_-;\-* #,##0_-;_-* &quot;-&quot;??_-;_-@_-">
                  <c:v>9957500</c:v>
                </c:pt>
                <c:pt idx="220" formatCode="_-* #,##0_-;\-* #,##0_-;_-* &quot;-&quot;??_-;_-@_-">
                  <c:v>4169400</c:v>
                </c:pt>
                <c:pt idx="221" formatCode="_-* #,##0_-;\-* #,##0_-;_-* &quot;-&quot;??_-;_-@_-">
                  <c:v>4756100</c:v>
                </c:pt>
                <c:pt idx="222" formatCode="_-* #,##0_-;\-* #,##0_-;_-* &quot;-&quot;??_-;_-@_-">
                  <c:v>7286700</c:v>
                </c:pt>
                <c:pt idx="223" formatCode="_-* #,##0_-;\-* #,##0_-;_-* &quot;-&quot;??_-;_-@_-">
                  <c:v>5485800</c:v>
                </c:pt>
                <c:pt idx="224" formatCode="_-* #,##0_-;\-* #,##0_-;_-* &quot;-&quot;??_-;_-@_-">
                  <c:v>5257000</c:v>
                </c:pt>
                <c:pt idx="225" formatCode="_-* #,##0_-;\-* #,##0_-;_-* &quot;-&quot;??_-;_-@_-">
                  <c:v>0</c:v>
                </c:pt>
                <c:pt idx="226" formatCode="_-* #,##0_-;\-* #,##0_-;_-* &quot;-&quot;??_-;_-@_-">
                  <c:v>9600600</c:v>
                </c:pt>
                <c:pt idx="227" formatCode="_-* #,##0_-;\-* #,##0_-;_-* &quot;-&quot;??_-;_-@_-">
                  <c:v>6186500</c:v>
                </c:pt>
                <c:pt idx="228" formatCode="_-* #,##0_-;\-* #,##0_-;_-* &quot;-&quot;??_-;_-@_-">
                  <c:v>8433200</c:v>
                </c:pt>
                <c:pt idx="229" formatCode="_-* #,##0_-;\-* #,##0_-;_-* &quot;-&quot;??_-;_-@_-">
                  <c:v>6931800</c:v>
                </c:pt>
                <c:pt idx="230" formatCode="_-* #,##0_-;\-* #,##0_-;_-* &quot;-&quot;??_-;_-@_-">
                  <c:v>6945200</c:v>
                </c:pt>
                <c:pt idx="231" formatCode="_-* #,##0_-;\-* #,##0_-;_-* &quot;-&quot;??_-;_-@_-">
                  <c:v>5332000</c:v>
                </c:pt>
                <c:pt idx="232" formatCode="_-* #,##0_-;\-* #,##0_-;_-* &quot;-&quot;??_-;_-@_-">
                  <c:v>0</c:v>
                </c:pt>
                <c:pt idx="233" formatCode="_-* #,##0_-;\-* #,##0_-;_-* &quot;-&quot;??_-;_-@_-">
                  <c:v>19431000</c:v>
                </c:pt>
                <c:pt idx="234" formatCode="_-* #,##0_-;\-* #,##0_-;_-* &quot;-&quot;??_-;_-@_-">
                  <c:v>14629500</c:v>
                </c:pt>
                <c:pt idx="235" formatCode="_-* #,##0_-;\-* #,##0_-;_-* &quot;-&quot;??_-;_-@_-">
                  <c:v>7365800</c:v>
                </c:pt>
                <c:pt idx="236" formatCode="_-* #,##0_-;\-* #,##0_-;_-* &quot;-&quot;??_-;_-@_-">
                  <c:v>9663300</c:v>
                </c:pt>
                <c:pt idx="237" formatCode="_-* #,##0_-;\-* #,##0_-;_-* &quot;-&quot;??_-;_-@_-">
                  <c:v>3662500</c:v>
                </c:pt>
                <c:pt idx="238" formatCode="_-* #,##0_-;\-* #,##0_-;_-* &quot;-&quot;??_-;_-@_-">
                  <c:v>6075000</c:v>
                </c:pt>
                <c:pt idx="239" formatCode="_-* #,##0_-;\-* #,##0_-;_-* &quot;-&quot;??_-;_-@_-">
                  <c:v>0</c:v>
                </c:pt>
                <c:pt idx="240" formatCode="_-* #,##0_-;\-* #,##0_-;_-* &quot;-&quot;??_-;_-@_-">
                  <c:v>10381900</c:v>
                </c:pt>
                <c:pt idx="241" formatCode="_-* #,##0_-;\-* #,##0_-;_-* &quot;-&quot;??_-;_-@_-">
                  <c:v>5783600</c:v>
                </c:pt>
                <c:pt idx="242" formatCode="_-* #,##0_-;\-* #,##0_-;_-* &quot;-&quot;??_-;_-@_-">
                  <c:v>8612200</c:v>
                </c:pt>
                <c:pt idx="243" formatCode="_-* #,##0_-;\-* #,##0_-;_-* &quot;-&quot;??_-;_-@_-">
                  <c:v>9771200</c:v>
                </c:pt>
                <c:pt idx="244" formatCode="_-* #,##0_-;\-* #,##0_-;_-* &quot;-&quot;??_-;_-@_-">
                  <c:v>4997100</c:v>
                </c:pt>
                <c:pt idx="245" formatCode="_-* #,##0_-;\-* #,##0_-;_-* &quot;-&quot;??_-;_-@_-">
                  <c:v>5025700</c:v>
                </c:pt>
                <c:pt idx="246" formatCode="_-* #,##0_-;\-* #,##0_-;_-* &quot;-&quot;??_-;_-@_-">
                  <c:v>0</c:v>
                </c:pt>
                <c:pt idx="247" formatCode="_-* #,##0_-;\-* #,##0_-;_-* &quot;-&quot;??_-;_-@_-">
                  <c:v>22107800</c:v>
                </c:pt>
                <c:pt idx="248" formatCode="_-* #,##0_-;\-* #,##0_-;_-* &quot;-&quot;??_-;_-@_-">
                  <c:v>5249400</c:v>
                </c:pt>
                <c:pt idx="249" formatCode="_-* #,##0_-;\-* #,##0_-;_-* &quot;-&quot;??_-;_-@_-">
                  <c:v>9371000</c:v>
                </c:pt>
                <c:pt idx="250" formatCode="_-* #,##0_-;\-* #,##0_-;_-* &quot;-&quot;??_-;_-@_-">
                  <c:v>8187700</c:v>
                </c:pt>
                <c:pt idx="251" formatCode="_-* #,##0_-;\-* #,##0_-;_-* &quot;-&quot;??_-;_-@_-">
                  <c:v>5046200</c:v>
                </c:pt>
                <c:pt idx="252" formatCode="_-* #,##0_-;\-* #,##0_-;_-* &quot;-&quot;??_-;_-@_-">
                  <c:v>7015300</c:v>
                </c:pt>
                <c:pt idx="253" formatCode="_-* #,##0_-;\-* #,##0_-;_-* &quot;-&quot;??_-;_-@_-">
                  <c:v>0</c:v>
                </c:pt>
                <c:pt idx="254" formatCode="_-* #,##0_-;\-* #,##0_-;_-* &quot;-&quot;??_-;_-@_-">
                  <c:v>11390700</c:v>
                </c:pt>
                <c:pt idx="255" formatCode="_-* #,##0_-;\-* #,##0_-;_-* &quot;-&quot;??_-;_-@_-">
                  <c:v>4473800</c:v>
                </c:pt>
                <c:pt idx="256" formatCode="_-* #,##0_-;\-* #,##0_-;_-* &quot;-&quot;??_-;_-@_-">
                  <c:v>4655200</c:v>
                </c:pt>
                <c:pt idx="257" formatCode="_-* #,##0_-;\-* #,##0_-;_-* &quot;-&quot;??_-;_-@_-">
                  <c:v>7152700</c:v>
                </c:pt>
                <c:pt idx="258" formatCode="_-* #,##0_-;\-* #,##0_-;_-* &quot;-&quot;??_-;_-@_-">
                  <c:v>5616300</c:v>
                </c:pt>
                <c:pt idx="259" formatCode="_-* #,##0_-;\-* #,##0_-;_-* &quot;-&quot;??_-;_-@_-">
                  <c:v>4738500</c:v>
                </c:pt>
                <c:pt idx="260" formatCode="_-* #,##0_-;\-* #,##0_-;_-* &quot;-&quot;??_-;_-@_-">
                  <c:v>0</c:v>
                </c:pt>
                <c:pt idx="261" formatCode="_-* #,##0_-;\-* #,##0_-;_-* &quot;-&quot;??_-;_-@_-">
                  <c:v>12013200</c:v>
                </c:pt>
                <c:pt idx="262" formatCode="_-* #,##0_-;\-* #,##0_-;_-* &quot;-&quot;??_-;_-@_-">
                  <c:v>6681500</c:v>
                </c:pt>
                <c:pt idx="263" formatCode="_-* #,##0_-;\-* #,##0_-;_-* &quot;-&quot;??_-;_-@_-">
                  <c:v>6826600</c:v>
                </c:pt>
                <c:pt idx="264" formatCode="_-* #,##0_-;\-* #,##0_-;_-* &quot;-&quot;??_-;_-@_-">
                  <c:v>5682000</c:v>
                </c:pt>
                <c:pt idx="265" formatCode="_-* #,##0_-;\-* #,##0_-;_-* &quot;-&quot;??_-;_-@_-">
                  <c:v>6727500</c:v>
                </c:pt>
                <c:pt idx="266" formatCode="_-* #,##0_-;\-* #,##0_-;_-* &quot;-&quot;??_-;_-@_-">
                  <c:v>7169400</c:v>
                </c:pt>
                <c:pt idx="267" formatCode="_-* #,##0_-;\-* #,##0_-;_-* &quot;-&quot;??_-;_-@_-">
                  <c:v>0</c:v>
                </c:pt>
                <c:pt idx="268" formatCode="_-* #,##0_-;\-* #,##0_-;_-* &quot;-&quot;??_-;_-@_-">
                  <c:v>12809500</c:v>
                </c:pt>
                <c:pt idx="269" formatCode="_-* #,##0_-;\-* #,##0_-;_-* &quot;-&quot;??_-;_-@_-">
                  <c:v>14603500</c:v>
                </c:pt>
                <c:pt idx="270" formatCode="_-* #,##0_-;\-* #,##0_-;_-* &quot;-&quot;??_-;_-@_-">
                  <c:v>6903800</c:v>
                </c:pt>
                <c:pt idx="271" formatCode="_-* #,##0_-;\-* #,##0_-;_-* &quot;-&quot;??_-;_-@_-">
                  <c:v>8398800</c:v>
                </c:pt>
                <c:pt idx="272" formatCode="_-* #,##0_-;\-* #,##0_-;_-* &quot;-&quot;??_-;_-@_-">
                  <c:v>9600100</c:v>
                </c:pt>
                <c:pt idx="273" formatCode="_-* #,##0_-;\-* #,##0_-;_-* &quot;-&quot;??_-;_-@_-">
                  <c:v>7358200</c:v>
                </c:pt>
                <c:pt idx="274" formatCode="_-* #,##0_-;\-* #,##0_-;_-* &quot;-&quot;??_-;_-@_-">
                  <c:v>12118200</c:v>
                </c:pt>
                <c:pt idx="275" formatCode="_-* #,##0_-;\-* #,##0_-;_-* &quot;-&quot;??_-;_-@_-">
                  <c:v>7686200</c:v>
                </c:pt>
                <c:pt idx="276" formatCode="_-* #,##0_-;\-* #,##0_-;_-* &quot;-&quot;??_-;_-@_-">
                  <c:v>14483200</c:v>
                </c:pt>
                <c:pt idx="277" formatCode="_-* #,##0_-;\-* #,##0_-;_-* &quot;-&quot;??_-;_-@_-">
                  <c:v>4390000</c:v>
                </c:pt>
                <c:pt idx="278" formatCode="_-* #,##0_-;\-* #,##0_-;_-* &quot;-&quot;??_-;_-@_-">
                  <c:v>6182000</c:v>
                </c:pt>
                <c:pt idx="279" formatCode="_-* #,##0_-;\-* #,##0_-;_-* &quot;-&quot;??_-;_-@_-">
                  <c:v>7444600</c:v>
                </c:pt>
                <c:pt idx="280" formatCode="_-* #,##0_-;\-* #,##0_-;_-* &quot;-&quot;??_-;_-@_-">
                  <c:v>3592500</c:v>
                </c:pt>
                <c:pt idx="281" formatCode="_-* #,##0_-;\-* #,##0_-;_-* &quot;-&quot;??_-;_-@_-">
                  <c:v>5041500</c:v>
                </c:pt>
                <c:pt idx="282" formatCode="_-* #,##0_-;\-* #,##0_-;_-* &quot;-&quot;??_-;_-@_-">
                  <c:v>12176000</c:v>
                </c:pt>
                <c:pt idx="283" formatCode="_-* #,##0_-;\-* #,##0_-;_-* &quot;-&quot;??_-;_-@_-">
                  <c:v>5393600</c:v>
                </c:pt>
                <c:pt idx="284" formatCode="_-* #,##0_-;\-* #,##0_-;_-* &quot;-&quot;??_-;_-@_-">
                  <c:v>0</c:v>
                </c:pt>
                <c:pt idx="285" formatCode="_-* #,##0_-;\-* #,##0_-;_-* &quot;-&quot;??_-;_-@_-">
                  <c:v>16926600</c:v>
                </c:pt>
                <c:pt idx="286" formatCode="_-* #,##0_-;\-* #,##0_-;_-* &quot;-&quot;??_-;_-@_-">
                  <c:v>5667300</c:v>
                </c:pt>
                <c:pt idx="287" formatCode="_-* #,##0_-;\-* #,##0_-;_-* &quot;-&quot;??_-;_-@_-">
                  <c:v>7570200</c:v>
                </c:pt>
                <c:pt idx="288" formatCode="_-* #,##0_-;\-* #,##0_-;_-* &quot;-&quot;??_-;_-@_-">
                  <c:v>0</c:v>
                </c:pt>
                <c:pt idx="289" formatCode="_-* #,##0_-;\-* #,##0_-;_-* &quot;-&quot;??_-;_-@_-">
                  <c:v>18229400</c:v>
                </c:pt>
                <c:pt idx="290" formatCode="_-* #,##0_-;\-* #,##0_-;_-* &quot;-&quot;??_-;_-@_-">
                  <c:v>7162600</c:v>
                </c:pt>
                <c:pt idx="291" formatCode="_-* #,##0_-;\-* #,##0_-;_-* &quot;-&quot;??_-;_-@_-">
                  <c:v>12180200</c:v>
                </c:pt>
                <c:pt idx="292" formatCode="_-* #,##0_-;\-* #,##0_-;_-* &quot;-&quot;??_-;_-@_-">
                  <c:v>16359300</c:v>
                </c:pt>
                <c:pt idx="293" formatCode="_-* #,##0_-;\-* #,##0_-;_-* &quot;-&quot;??_-;_-@_-">
                  <c:v>11107600</c:v>
                </c:pt>
                <c:pt idx="294" formatCode="_-* #,##0_-;\-* #,##0_-;_-* &quot;-&quot;??_-;_-@_-">
                  <c:v>5521300</c:v>
                </c:pt>
                <c:pt idx="296" formatCode="_-* #,##0_-;\-* #,##0_-;_-* &quot;-&quot;??_-;_-@_-">
                  <c:v>20206900</c:v>
                </c:pt>
                <c:pt idx="297" formatCode="_-* #,##0_-;\-* #,##0_-;_-* &quot;-&quot;??_-;_-@_-">
                  <c:v>6017600</c:v>
                </c:pt>
                <c:pt idx="298" formatCode="_-* #,##0_-;\-* #,##0_-;_-* &quot;-&quot;??_-;_-@_-">
                  <c:v>5117100</c:v>
                </c:pt>
                <c:pt idx="299" formatCode="_-* #,##0_-;\-* #,##0_-;_-* &quot;-&quot;??_-;_-@_-">
                  <c:v>11065800</c:v>
                </c:pt>
                <c:pt idx="300" formatCode="_-* #,##0_-;\-* #,##0_-;_-* &quot;-&quot;??_-;_-@_-">
                  <c:v>5997000</c:v>
                </c:pt>
                <c:pt idx="301" formatCode="_-* #,##0_-;\-* #,##0_-;_-* &quot;-&quot;??_-;_-@_-">
                  <c:v>14007400</c:v>
                </c:pt>
                <c:pt idx="302" formatCode="_-* #,##0_-;\-* #,##0_-;_-* &quot;-&quot;??_-;_-@_-">
                  <c:v>0</c:v>
                </c:pt>
                <c:pt idx="303" formatCode="_-* #,##0_-;\-* #,##0_-;_-* &quot;-&quot;??_-;_-@_-">
                  <c:v>10096700</c:v>
                </c:pt>
                <c:pt idx="304" formatCode="_-* #,##0_-;\-* #,##0_-;_-* &quot;-&quot;??_-;_-@_-">
                  <c:v>4477700</c:v>
                </c:pt>
                <c:pt idx="305" formatCode="_-* #,##0_-;\-* #,##0_-;_-* &quot;-&quot;??_-;_-@_-">
                  <c:v>4392100</c:v>
                </c:pt>
                <c:pt idx="306" formatCode="_-* #,##0_-;\-* #,##0_-;_-* &quot;-&quot;??_-;_-@_-">
                  <c:v>6621500</c:v>
                </c:pt>
                <c:pt idx="307" formatCode="_-* #,##0_-;\-* #,##0_-;_-* &quot;-&quot;??_-;_-@_-">
                  <c:v>3717900</c:v>
                </c:pt>
                <c:pt idx="308" formatCode="_-* #,##0_-;\-* #,##0_-;_-* &quot;-&quot;??_-;_-@_-">
                  <c:v>8955600</c:v>
                </c:pt>
                <c:pt idx="309" formatCode="_-* #,##0_-;\-* #,##0_-;_-* &quot;-&quot;??_-;_-@_-">
                  <c:v>0</c:v>
                </c:pt>
                <c:pt idx="310" formatCode="_-* #,##0_-;\-* #,##0_-;_-* &quot;-&quot;??_-;_-@_-">
                  <c:v>9043700</c:v>
                </c:pt>
                <c:pt idx="311" formatCode="_-* #,##0_-;\-* #,##0_-;_-* &quot;-&quot;??_-;_-@_-">
                  <c:v>6631500</c:v>
                </c:pt>
                <c:pt idx="312" formatCode="_-* #,##0_-;\-* #,##0_-;_-* &quot;-&quot;??_-;_-@_-">
                  <c:v>4326800</c:v>
                </c:pt>
                <c:pt idx="313" formatCode="_-* #,##0_-;\-* #,##0_-;_-* &quot;-&quot;??_-;_-@_-">
                  <c:v>5000700</c:v>
                </c:pt>
                <c:pt idx="314" formatCode="_-* #,##0_-;\-* #,##0_-;_-* &quot;-&quot;??_-;_-@_-">
                  <c:v>4832400</c:v>
                </c:pt>
                <c:pt idx="315" formatCode="_-* #,##0_-;\-* #,##0_-;_-* &quot;-&quot;??_-;_-@_-">
                  <c:v>5525000</c:v>
                </c:pt>
                <c:pt idx="316" formatCode="_-* #,##0_-;\-* #,##0_-;_-* &quot;-&quot;??_-;_-@_-">
                  <c:v>6088500</c:v>
                </c:pt>
                <c:pt idx="317" formatCode="_-* #,##0_-;\-* #,##0_-;_-* &quot;-&quot;??_-;_-@_-">
                  <c:v>9515300</c:v>
                </c:pt>
                <c:pt idx="318" formatCode="_-* #,##0_-;\-* #,##0_-;_-* &quot;-&quot;??_-;_-@_-">
                  <c:v>4168000</c:v>
                </c:pt>
                <c:pt idx="319" formatCode="_-* #,##0_-;\-* #,##0_-;_-* &quot;-&quot;??_-;_-@_-">
                  <c:v>7143000</c:v>
                </c:pt>
                <c:pt idx="320" formatCode="_-* #,##0_-;\-* #,##0_-;_-* &quot;-&quot;??_-;_-@_-">
                  <c:v>7241200</c:v>
                </c:pt>
                <c:pt idx="321" formatCode="_-* #,##0_-;\-* #,##0_-;_-* &quot;-&quot;??_-;_-@_-">
                  <c:v>3209900</c:v>
                </c:pt>
                <c:pt idx="322" formatCode="_-* #,##0_-;\-* #,##0_-;_-* &quot;-&quot;??_-;_-@_-">
                  <c:v>5213700</c:v>
                </c:pt>
                <c:pt idx="323" formatCode="_-* #,##0_-;\-* #,##0_-;_-* &quot;-&quot;??_-;_-@_-">
                  <c:v>0</c:v>
                </c:pt>
                <c:pt idx="324" formatCode="_-* #,##0_-;\-* #,##0_-;_-* &quot;-&quot;??_-;_-@_-">
                  <c:v>9709500</c:v>
                </c:pt>
                <c:pt idx="325" formatCode="_-* #,##0_-;\-* #,##0_-;_-* &quot;-&quot;??_-;_-@_-">
                  <c:v>3646200</c:v>
                </c:pt>
                <c:pt idx="326" formatCode="_-* #,##0_-;\-* #,##0_-;_-* &quot;-&quot;??_-;_-@_-">
                  <c:v>4639400</c:v>
                </c:pt>
                <c:pt idx="327" formatCode="_-* #,##0_-;\-* #,##0_-;_-* &quot;-&quot;??_-;_-@_-">
                  <c:v>3082600</c:v>
                </c:pt>
                <c:pt idx="328" formatCode="_-* #,##0_-;\-* #,##0_-;_-* &quot;-&quot;??_-;_-@_-">
                  <c:v>4436100</c:v>
                </c:pt>
                <c:pt idx="329" formatCode="_-* #,##0_-;\-* #,##0_-;_-* &quot;-&quot;??_-;_-@_-">
                  <c:v>9433200</c:v>
                </c:pt>
                <c:pt idx="331" formatCode="_-* #,##0_-;\-* #,##0_-;_-* &quot;-&quot;??_-;_-@_-">
                  <c:v>12010700</c:v>
                </c:pt>
                <c:pt idx="332" formatCode="_-* #,##0_-;\-* #,##0_-;_-* &quot;-&quot;??_-;_-@_-">
                  <c:v>9444200</c:v>
                </c:pt>
                <c:pt idx="333" formatCode="_-* #,##0_-;\-* #,##0_-;_-* &quot;-&quot;??_-;_-@_-">
                  <c:v>5114500</c:v>
                </c:pt>
                <c:pt idx="334" formatCode="_-* #,##0_-;\-* #,##0_-;_-* &quot;-&quot;??_-;_-@_-">
                  <c:v>9874700</c:v>
                </c:pt>
                <c:pt idx="335" formatCode="_-* #,##0_-;\-* #,##0_-;_-* &quot;-&quot;??_-;_-@_-">
                  <c:v>6148900</c:v>
                </c:pt>
                <c:pt idx="336" formatCode="_-* #,##0_-;\-* #,##0_-;_-* &quot;-&quot;??_-;_-@_-">
                  <c:v>5087400</c:v>
                </c:pt>
                <c:pt idx="337" formatCode="_-* #,##0_-;\-* #,##0_-;_-* &quot;-&quot;??_-;_-@_-">
                  <c:v>0</c:v>
                </c:pt>
                <c:pt idx="338" formatCode="_-* #,##0_-;\-* #,##0_-;_-* &quot;-&quot;??_-;_-@_-">
                  <c:v>16191000</c:v>
                </c:pt>
                <c:pt idx="339" formatCode="_-* #,##0_-;\-* #,##0_-;_-* &quot;-&quot;??_-;_-@_-">
                  <c:v>8357200</c:v>
                </c:pt>
                <c:pt idx="340" formatCode="_-* #,##0_-;\-* #,##0_-;_-* &quot;-&quot;??_-;_-@_-">
                  <c:v>9199100</c:v>
                </c:pt>
                <c:pt idx="341" formatCode="_-* #,##0_-;\-* #,##0_-;_-* &quot;-&quot;??_-;_-@_-">
                  <c:v>7815300</c:v>
                </c:pt>
                <c:pt idx="342" formatCode="_-* #,##0_-;\-* #,##0_-;_-* &quot;-&quot;??_-;_-@_-">
                  <c:v>8191100</c:v>
                </c:pt>
                <c:pt idx="343" formatCode="_-* #,##0_-;\-* #,##0_-;_-* &quot;-&quot;??_-;_-@_-">
                  <c:v>5572300</c:v>
                </c:pt>
                <c:pt idx="344" formatCode="_-* #,##0_-;\-* #,##0_-;_-* &quot;-&quot;??_-;_-@_-">
                  <c:v>5917300</c:v>
                </c:pt>
                <c:pt idx="345" formatCode="_-* #,##0_-;\-* #,##0_-;_-* &quot;-&quot;??_-;_-@_-">
                  <c:v>6770000</c:v>
                </c:pt>
                <c:pt idx="346" formatCode="_-* #,##0_-;\-* #,##0_-;_-* &quot;-&quot;??_-;_-@_-">
                  <c:v>8088600</c:v>
                </c:pt>
                <c:pt idx="347" formatCode="_-* #,##0_-;\-* #,##0_-;_-* &quot;-&quot;??_-;_-@_-">
                  <c:v>6113000</c:v>
                </c:pt>
                <c:pt idx="348" formatCode="_-* #,##0_-;\-* #,##0_-;_-* &quot;-&quot;??_-;_-@_-">
                  <c:v>4518200</c:v>
                </c:pt>
                <c:pt idx="349" formatCode="_-* #,##0_-;\-* #,##0_-;_-* &quot;-&quot;??_-;_-@_-">
                  <c:v>4270500</c:v>
                </c:pt>
                <c:pt idx="350" formatCode="_-* #,##0_-;\-* #,##0_-;_-* &quot;-&quot;??_-;_-@_-">
                  <c:v>6471800</c:v>
                </c:pt>
                <c:pt idx="351" formatCode="_-* #,##0_-;\-* #,##0_-;_-* &quot;-&quot;??_-;_-@_-">
                  <c:v>0</c:v>
                </c:pt>
                <c:pt idx="352" formatCode="_-* #,##0_-;\-* #,##0_-;_-* &quot;-&quot;??_-;_-@_-">
                  <c:v>14348800</c:v>
                </c:pt>
                <c:pt idx="353" formatCode="_-* #,##0_-;\-* #,##0_-;_-* &quot;-&quot;??_-;_-@_-">
                  <c:v>5190400</c:v>
                </c:pt>
                <c:pt idx="354" formatCode="_-* #,##0_-;\-* #,##0_-;_-* &quot;-&quot;??_-;_-@_-">
                  <c:v>4753500</c:v>
                </c:pt>
                <c:pt idx="355" formatCode="_-* #,##0_-;\-* #,##0_-;_-* &quot;-&quot;??_-;_-@_-">
                  <c:v>5880100</c:v>
                </c:pt>
                <c:pt idx="356" formatCode="_-* #,##0_-;\-* #,##0_-;_-* &quot;-&quot;??_-;_-@_-">
                  <c:v>6088100</c:v>
                </c:pt>
                <c:pt idx="357" formatCode="_-* #,##0_-;\-* #,##0_-;_-* &quot;-&quot;??_-;_-@_-">
                  <c:v>4763000</c:v>
                </c:pt>
                <c:pt idx="358" formatCode="_-* #,##0_-;\-* #,##0_-;_-* &quot;-&quot;??_-;_-@_-">
                  <c:v>0</c:v>
                </c:pt>
                <c:pt idx="359" formatCode="_-* #,##0_-;\-* #,##0_-;_-* &quot;-&quot;??_-;_-@_-">
                  <c:v>12216800</c:v>
                </c:pt>
                <c:pt idx="360" formatCode="_-* #,##0_-;\-* #,##0_-;_-* &quot;-&quot;??_-;_-@_-">
                  <c:v>8892500</c:v>
                </c:pt>
                <c:pt idx="361" formatCode="_-* #,##0_-;\-* #,##0_-;_-* &quot;-&quot;??_-;_-@_-">
                  <c:v>0</c:v>
                </c:pt>
                <c:pt idx="362" formatCode="_-* #,##0_-;\-* #,##0_-;_-* &quot;-&quot;??_-;_-@_-">
                  <c:v>0</c:v>
                </c:pt>
                <c:pt idx="363" formatCode="_-* #,##0_-;\-* #,##0_-;_-* &quot;-&quot;??_-;_-@_-">
                  <c:v>38202200</c:v>
                </c:pt>
                <c:pt idx="364" formatCode="_-* #,##0_-;\-* #,##0_-;_-* &quot;-&quot;??_-;_-@_-">
                  <c:v>13654000</c:v>
                </c:pt>
                <c:pt idx="365" formatCode="_-* #,##0_-;\-* #,##0_-;_-* &quot;-&quot;??_-;_-@_-">
                  <c:v>0</c:v>
                </c:pt>
                <c:pt idx="366" formatCode="_-* #,##0_-;\-* #,##0_-;_-* &quot;-&quot;??_-;_-@_-">
                  <c:v>20618000</c:v>
                </c:pt>
                <c:pt idx="367" formatCode="_-* #,##0_-;\-* #,##0_-;_-* &quot;-&quot;??_-;_-@_-">
                  <c:v>14697300</c:v>
                </c:pt>
                <c:pt idx="368" formatCode="_-* #,##0_-;\-* #,##0_-;_-* &quot;-&quot;??_-;_-@_-">
                  <c:v>5200000</c:v>
                </c:pt>
                <c:pt idx="369" formatCode="_-* #,##0_-;\-* #,##0_-;_-* &quot;-&quot;??_-;_-@_-">
                  <c:v>18490700</c:v>
                </c:pt>
                <c:pt idx="370" formatCode="_-* #,##0_-;\-* #,##0_-;_-* &quot;-&quot;??_-;_-@_-">
                  <c:v>10210400</c:v>
                </c:pt>
                <c:pt idx="371" formatCode="_-* #,##0_-;\-* #,##0_-;_-* &quot;-&quot;??_-;_-@_-">
                  <c:v>8884000</c:v>
                </c:pt>
                <c:pt idx="373" formatCode="_-* #,##0_-;\-* #,##0_-;_-* &quot;-&quot;??_-;_-@_-">
                  <c:v>18164800</c:v>
                </c:pt>
                <c:pt idx="374" formatCode="_-* #,##0_-;\-* #,##0_-;_-* &quot;-&quot;??_-;_-@_-">
                  <c:v>6156000</c:v>
                </c:pt>
                <c:pt idx="375" formatCode="_-* #,##0_-;\-* #,##0_-;_-* &quot;-&quot;??_-;_-@_-">
                  <c:v>5760400</c:v>
                </c:pt>
                <c:pt idx="376" formatCode="_-* #,##0_-;\-* #,##0_-;_-* &quot;-&quot;??_-;_-@_-">
                  <c:v>7594200</c:v>
                </c:pt>
                <c:pt idx="377" formatCode="_-* #,##0_-;\-* #,##0_-;_-* &quot;-&quot;??_-;_-@_-">
                  <c:v>4617800</c:v>
                </c:pt>
                <c:pt idx="378" formatCode="_-* #,##0_-;\-* #,##0_-;_-* &quot;-&quot;??_-;_-@_-">
                  <c:v>5607000</c:v>
                </c:pt>
                <c:pt idx="379" formatCode="_-* #,##0_-;\-* #,##0_-;_-* &quot;-&quot;??_-;_-@_-">
                  <c:v>0</c:v>
                </c:pt>
                <c:pt idx="380" formatCode="_-* #,##0_-;\-* #,##0_-;_-* &quot;-&quot;??_-;_-@_-">
                  <c:v>12340100</c:v>
                </c:pt>
                <c:pt idx="381" formatCode="_-* #,##0_-;\-* #,##0_-;_-* &quot;-&quot;??_-;_-@_-">
                  <c:v>9561000</c:v>
                </c:pt>
                <c:pt idx="382" formatCode="_-* #,##0_-;\-* #,##0_-;_-* &quot;-&quot;??_-;_-@_-">
                  <c:v>7765100</c:v>
                </c:pt>
                <c:pt idx="383" formatCode="_-* #,##0_-;\-* #,##0_-;_-* &quot;-&quot;??_-;_-@_-">
                  <c:v>3586700</c:v>
                </c:pt>
                <c:pt idx="384" formatCode="_-* #,##0_-;\-* #,##0_-;_-* &quot;-&quot;??_-;_-@_-">
                  <c:v>7064900</c:v>
                </c:pt>
                <c:pt idx="385" formatCode="_-* #,##0_-;\-* #,##0_-;_-* &quot;-&quot;??_-;_-@_-">
                  <c:v>7398200</c:v>
                </c:pt>
                <c:pt idx="386" formatCode="_-* #,##0_-;\-* #,##0_-;_-* &quot;-&quot;??_-;_-@_-">
                  <c:v>0</c:v>
                </c:pt>
                <c:pt idx="387" formatCode="_-* #,##0_-;\-* #,##0_-;_-* &quot;-&quot;??_-;_-@_-">
                  <c:v>9329000</c:v>
                </c:pt>
                <c:pt idx="388" formatCode="_-* #,##0_-;\-* #,##0_-;_-* &quot;-&quot;??_-;_-@_-">
                  <c:v>4075100</c:v>
                </c:pt>
                <c:pt idx="389" formatCode="_-* #,##0_-;\-* #,##0_-;_-* &quot;-&quot;??_-;_-@_-">
                  <c:v>5357600</c:v>
                </c:pt>
                <c:pt idx="390" formatCode="_-* #,##0_-;\-* #,##0_-;_-* &quot;-&quot;??_-;_-@_-">
                  <c:v>5223600</c:v>
                </c:pt>
                <c:pt idx="391" formatCode="_-* #,##0_-;\-* #,##0_-;_-* &quot;-&quot;??_-;_-@_-">
                  <c:v>3581800</c:v>
                </c:pt>
                <c:pt idx="392" formatCode="_-* #,##0_-;\-* #,##0_-;_-* &quot;-&quot;??_-;_-@_-">
                  <c:v>5492600</c:v>
                </c:pt>
                <c:pt idx="393" formatCode="_-* #,##0_-;\-* #,##0_-;_-* &quot;-&quot;??_-;_-@_-">
                  <c:v>0</c:v>
                </c:pt>
                <c:pt idx="394" formatCode="_-* #,##0_-;\-* #,##0_-;_-* &quot;-&quot;??_-;_-@_-">
                  <c:v>16140600</c:v>
                </c:pt>
                <c:pt idx="395" formatCode="_-* #,##0_-;\-* #,##0_-;_-* &quot;-&quot;??_-;_-@_-">
                  <c:v>11521000</c:v>
                </c:pt>
                <c:pt idx="396" formatCode="_-* #,##0_-;\-* #,##0_-;_-* &quot;-&quot;??_-;_-@_-">
                  <c:v>6895500</c:v>
                </c:pt>
                <c:pt idx="397" formatCode="_-* #,##0_-;\-* #,##0_-;_-* &quot;-&quot;??_-;_-@_-">
                  <c:v>6509600</c:v>
                </c:pt>
                <c:pt idx="398" formatCode="_-* #,##0_-;\-* #,##0_-;_-* &quot;-&quot;??_-;_-@_-">
                  <c:v>6100000</c:v>
                </c:pt>
                <c:pt idx="399" formatCode="_-* #,##0_-;\-* #,##0_-;_-* &quot;-&quot;??_-;_-@_-">
                  <c:v>7405500</c:v>
                </c:pt>
                <c:pt idx="400" formatCode="_-* #,##0_-;\-* #,##0_-;_-* &quot;-&quot;??_-;_-@_-">
                  <c:v>7086800</c:v>
                </c:pt>
                <c:pt idx="401" formatCode="_-* #,##0_-;\-* #,##0_-;_-* &quot;-&quot;??_-;_-@_-">
                  <c:v>12553100</c:v>
                </c:pt>
                <c:pt idx="402" formatCode="_-* #,##0_-;\-* #,##0_-;_-* &quot;-&quot;??_-;_-@_-">
                  <c:v>9526100</c:v>
                </c:pt>
                <c:pt idx="403" formatCode="_-* #,##0_-;\-* #,##0_-;_-* &quot;-&quot;??_-;_-@_-">
                  <c:v>9823100</c:v>
                </c:pt>
                <c:pt idx="404" formatCode="_-* #,##0_-;\-* #,##0_-;_-* &quot;-&quot;??_-;_-@_-">
                  <c:v>8995800</c:v>
                </c:pt>
                <c:pt idx="405" formatCode="_-* #,##0_-;\-* #,##0_-;_-* &quot;-&quot;??_-;_-@_-">
                  <c:v>5151500</c:v>
                </c:pt>
                <c:pt idx="406" formatCode="_-* #,##0_-;\-* #,##0_-;_-* &quot;-&quot;??_-;_-@_-">
                  <c:v>5367800</c:v>
                </c:pt>
                <c:pt idx="407" formatCode="_-* #,##0_-;\-* #,##0_-;_-* &quot;-&quot;??_-;_-@_-">
                  <c:v>0</c:v>
                </c:pt>
                <c:pt idx="408" formatCode="_-* #,##0_-;\-* #,##0_-;_-* &quot;-&quot;??_-;_-@_-">
                  <c:v>11028000</c:v>
                </c:pt>
                <c:pt idx="409" formatCode="_-* #,##0_-;\-* #,##0_-;_-* &quot;-&quot;??_-;_-@_-">
                  <c:v>6343000</c:v>
                </c:pt>
                <c:pt idx="410" formatCode="_-* #,##0_-;\-* #,##0_-;_-* &quot;-&quot;??_-;_-@_-">
                  <c:v>7156300</c:v>
                </c:pt>
                <c:pt idx="411" formatCode="_-* #,##0_-;\-* #,##0_-;_-* &quot;-&quot;??_-;_-@_-">
                  <c:v>6938000</c:v>
                </c:pt>
                <c:pt idx="412" formatCode="_-* #,##0_-;\-* #,##0_-;_-* &quot;-&quot;??_-;_-@_-">
                  <c:v>9715000</c:v>
                </c:pt>
                <c:pt idx="413" formatCode="_-* #,##0_-;\-* #,##0_-;_-* &quot;-&quot;??_-;_-@_-">
                  <c:v>10841700</c:v>
                </c:pt>
                <c:pt idx="414" formatCode="_-* #,##0_-;\-* #,##0_-;_-* &quot;-&quot;??_-;_-@_-">
                  <c:v>0</c:v>
                </c:pt>
                <c:pt idx="415" formatCode="_-* #,##0_-;\-* #,##0_-;_-* &quot;-&quot;??_-;_-@_-">
                  <c:v>16367200</c:v>
                </c:pt>
                <c:pt idx="416" formatCode="_-* #,##0_-;\-* #,##0_-;_-* &quot;-&quot;??_-;_-@_-">
                  <c:v>8492000</c:v>
                </c:pt>
                <c:pt idx="417" formatCode="_-* #,##0_-;\-* #,##0_-;_-* &quot;-&quot;??_-;_-@_-">
                  <c:v>7754300</c:v>
                </c:pt>
                <c:pt idx="418" formatCode="_-* #,##0_-;\-* #,##0_-;_-* &quot;-&quot;??_-;_-@_-">
                  <c:v>7184700</c:v>
                </c:pt>
                <c:pt idx="419" formatCode="_-* #,##0_-;\-* #,##0_-;_-* &quot;-&quot;??_-;_-@_-">
                  <c:v>5388600</c:v>
                </c:pt>
                <c:pt idx="420" formatCode="_-* #,##0_-;\-* #,##0_-;_-* &quot;-&quot;??_-;_-@_-">
                  <c:v>7362000</c:v>
                </c:pt>
                <c:pt idx="421" formatCode="_-* #,##0_-;\-* #,##0_-;_-* &quot;-&quot;??_-;_-@_-">
                  <c:v>5525600</c:v>
                </c:pt>
                <c:pt idx="422" formatCode="_-* #,##0_-;\-* #,##0_-;_-* &quot;-&quot;??_-;_-@_-">
                  <c:v>6462300</c:v>
                </c:pt>
                <c:pt idx="423" formatCode="_-* #,##0_-;\-* #,##0_-;_-* &quot;-&quot;??_-;_-@_-">
                  <c:v>15538300</c:v>
                </c:pt>
                <c:pt idx="424" formatCode="_-* #,##0_-;\-* #,##0_-;_-* &quot;-&quot;??_-;_-@_-">
                  <c:v>6571000</c:v>
                </c:pt>
                <c:pt idx="425" formatCode="_-* #,##0_-;\-* #,##0_-;_-* &quot;-&quot;??_-;_-@_-">
                  <c:v>5685500</c:v>
                </c:pt>
                <c:pt idx="427" formatCode="_-* #,##0_-;\-* #,##0_-;_-* &quot;-&quot;??_-;_-@_-">
                  <c:v>8646200</c:v>
                </c:pt>
                <c:pt idx="429" formatCode="_-* #,##0_-;\-* #,##0_-;_-* &quot;-&quot;??_-;_-@_-">
                  <c:v>19427800</c:v>
                </c:pt>
                <c:pt idx="430" formatCode="_-* #,##0_-;\-* #,##0_-;_-* &quot;-&quot;??_-;_-@_-">
                  <c:v>6080400</c:v>
                </c:pt>
                <c:pt idx="431" formatCode="_-* #,##0_-;\-* #,##0_-;_-* &quot;-&quot;??_-;_-@_-">
                  <c:v>7217400</c:v>
                </c:pt>
                <c:pt idx="432" formatCode="_-* #,##0_-;\-* #,##0_-;_-* &quot;-&quot;??_-;_-@_-">
                  <c:v>9990300</c:v>
                </c:pt>
                <c:pt idx="433" formatCode="_-* #,##0_-;\-* #,##0_-;_-* &quot;-&quot;??_-;_-@_-">
                  <c:v>11146700</c:v>
                </c:pt>
                <c:pt idx="434" formatCode="_-* #,##0_-;\-* #,##0_-;_-* &quot;-&quot;??_-;_-@_-">
                  <c:v>0</c:v>
                </c:pt>
                <c:pt idx="435" formatCode="_-* #,##0_-;\-* #,##0_-;_-* &quot;-&quot;??_-;_-@_-">
                  <c:v>0</c:v>
                </c:pt>
                <c:pt idx="436" formatCode="_-* #,##0_-;\-* #,##0_-;_-* &quot;-&quot;??_-;_-@_-">
                  <c:v>19118400</c:v>
                </c:pt>
                <c:pt idx="437" formatCode="_-* #,##0_-;\-* #,##0_-;_-* &quot;-&quot;??_-;_-@_-">
                  <c:v>6376600</c:v>
                </c:pt>
                <c:pt idx="438" formatCode="_-* #,##0_-;\-* #,##0_-;_-* &quot;-&quot;??_-;_-@_-">
                  <c:v>7347300</c:v>
                </c:pt>
                <c:pt idx="439" formatCode="_-* #,##0_-;\-* #,##0_-;_-* &quot;-&quot;??_-;_-@_-">
                  <c:v>6340200</c:v>
                </c:pt>
                <c:pt idx="440" formatCode="_-* #,##0_-;\-* #,##0_-;_-* &quot;-&quot;??_-;_-@_-">
                  <c:v>6533700</c:v>
                </c:pt>
                <c:pt idx="441" formatCode="_-* #,##0_-;\-* #,##0_-;_-* &quot;-&quot;??_-;_-@_-">
                  <c:v>5335100</c:v>
                </c:pt>
                <c:pt idx="442" formatCode="_-* #,##0_-;\-* #,##0_-;_-* &quot;-&quot;??_-;_-@_-">
                  <c:v>0</c:v>
                </c:pt>
                <c:pt idx="443" formatCode="_-* #,##0_-;\-* #,##0_-;_-* &quot;-&quot;??_-;_-@_-">
                  <c:v>12734000</c:v>
                </c:pt>
                <c:pt idx="444" formatCode="_-* #,##0_-;\-* #,##0_-;_-* &quot;-&quot;??_-;_-@_-">
                  <c:v>10853700</c:v>
                </c:pt>
                <c:pt idx="445" formatCode="_-* #,##0_-;\-* #,##0_-;_-* &quot;-&quot;??_-;_-@_-">
                  <c:v>7511500</c:v>
                </c:pt>
                <c:pt idx="446" formatCode="_-* #,##0_-;\-* #,##0_-;_-* &quot;-&quot;??_-;_-@_-">
                  <c:v>5346200</c:v>
                </c:pt>
                <c:pt idx="447" formatCode="_-* #,##0_-;\-* #,##0_-;_-* &quot;-&quot;??_-;_-@_-">
                  <c:v>6924700</c:v>
                </c:pt>
                <c:pt idx="448" formatCode="_-* #,##0_-;\-* #,##0_-;_-* &quot;-&quot;??_-;_-@_-">
                  <c:v>7769000</c:v>
                </c:pt>
                <c:pt idx="449" formatCode="_-* #,##0_-;\-* #,##0_-;_-* &quot;-&quot;??_-;_-@_-">
                  <c:v>0</c:v>
                </c:pt>
                <c:pt idx="450" formatCode="_-* #,##0_-;\-* #,##0_-;_-* &quot;-&quot;??_-;_-@_-">
                  <c:v>11967100</c:v>
                </c:pt>
                <c:pt idx="451" formatCode="_-* #,##0_-;\-* #,##0_-;_-* &quot;-&quot;??_-;_-@_-">
                  <c:v>5213500</c:v>
                </c:pt>
                <c:pt idx="452" formatCode="_-* #,##0_-;\-* #,##0_-;_-* &quot;-&quot;??_-;_-@_-">
                  <c:v>7419300</c:v>
                </c:pt>
                <c:pt idx="453" formatCode="_-* #,##0_-;\-* #,##0_-;_-* &quot;-&quot;??_-;_-@_-">
                  <c:v>5021800</c:v>
                </c:pt>
                <c:pt idx="454" formatCode="_-* #,##0_-;\-* #,##0_-;_-* &quot;-&quot;??_-;_-@_-">
                  <c:v>7751700</c:v>
                </c:pt>
                <c:pt idx="455" formatCode="_-* #,##0_-;\-* #,##0_-;_-* &quot;-&quot;??_-;_-@_-">
                  <c:v>4079300</c:v>
                </c:pt>
                <c:pt idx="456" formatCode="_-* #,##0_-;\-* #,##0_-;_-* &quot;-&quot;??_-;_-@_-">
                  <c:v>7915800</c:v>
                </c:pt>
                <c:pt idx="457" formatCode="_-* #,##0_-;\-* #,##0_-;_-* &quot;-&quot;??_-;_-@_-">
                  <c:v>12687400</c:v>
                </c:pt>
                <c:pt idx="458" formatCode="_-* #,##0_-;\-* #,##0_-;_-* &quot;-&quot;??_-;_-@_-">
                  <c:v>8009000</c:v>
                </c:pt>
                <c:pt idx="459" formatCode="_-* #,##0_-;\-* #,##0_-;_-* &quot;-&quot;??_-;_-@_-">
                  <c:v>8856700</c:v>
                </c:pt>
                <c:pt idx="460" formatCode="_-* #,##0_-;\-* #,##0_-;_-* &quot;-&quot;??_-;_-@_-">
                  <c:v>7640300</c:v>
                </c:pt>
                <c:pt idx="461" formatCode="_-* #,##0_-;\-* #,##0_-;_-* &quot;-&quot;??_-;_-@_-">
                  <c:v>6505400</c:v>
                </c:pt>
                <c:pt idx="462" formatCode="_-* #,##0_-;\-* #,##0_-;_-* &quot;-&quot;??_-;_-@_-">
                  <c:v>8541300</c:v>
                </c:pt>
                <c:pt idx="463" formatCode="_-* #,##0_-;\-* #,##0_-;_-* &quot;-&quot;??_-;_-@_-">
                  <c:v>6854200</c:v>
                </c:pt>
                <c:pt idx="464" formatCode="_-* #,##0_-;\-* #,##0_-;_-* &quot;-&quot;??_-;_-@_-">
                  <c:v>7078600</c:v>
                </c:pt>
                <c:pt idx="465" formatCode="_-* #,##0_-;\-* #,##0_-;_-* &quot;-&quot;??_-;_-@_-">
                  <c:v>7853000</c:v>
                </c:pt>
                <c:pt idx="466" formatCode="_-* #,##0_-;\-* #,##0_-;_-* &quot;-&quot;??_-;_-@_-">
                  <c:v>6503000</c:v>
                </c:pt>
                <c:pt idx="467" formatCode="_-* #,##0_-;\-* #,##0_-;_-* &quot;-&quot;??_-;_-@_-">
                  <c:v>5864800</c:v>
                </c:pt>
                <c:pt idx="468" formatCode="_-* #,##0_-;\-* #,##0_-;_-* &quot;-&quot;??_-;_-@_-">
                  <c:v>11015800</c:v>
                </c:pt>
                <c:pt idx="469" formatCode="_-* #,##0_-;\-* #,##0_-;_-* &quot;-&quot;??_-;_-@_-">
                  <c:v>7922800</c:v>
                </c:pt>
                <c:pt idx="471" formatCode="_-* #,##0_-;\-* #,##0_-;_-* &quot;-&quot;??_-;_-@_-">
                  <c:v>14672400</c:v>
                </c:pt>
                <c:pt idx="472" formatCode="_-* #,##0_-;\-* #,##0_-;_-* &quot;-&quot;??_-;_-@_-">
                  <c:v>9322300</c:v>
                </c:pt>
                <c:pt idx="473" formatCode="_-* #,##0_-;\-* #,##0_-;_-* &quot;-&quot;??_-;_-@_-">
                  <c:v>10824700</c:v>
                </c:pt>
                <c:pt idx="474" formatCode="_-* #,##0_-;\-* #,##0_-;_-* &quot;-&quot;??_-;_-@_-">
                  <c:v>8466500</c:v>
                </c:pt>
                <c:pt idx="475" formatCode="_-* #,##0_-;\-* #,##0_-;_-* &quot;-&quot;??_-;_-@_-">
                  <c:v>0</c:v>
                </c:pt>
                <c:pt idx="476" formatCode="_-* #,##0_-;\-* #,##0_-;_-* &quot;-&quot;??_-;_-@_-">
                  <c:v>14409300</c:v>
                </c:pt>
                <c:pt idx="477" formatCode="_-* #,##0_-;\-* #,##0_-;_-* &quot;-&quot;??_-;_-@_-">
                  <c:v>0</c:v>
                </c:pt>
                <c:pt idx="478" formatCode="_-* #,##0_-;\-* #,##0_-;_-* &quot;-&quot;??_-;_-@_-">
                  <c:v>0</c:v>
                </c:pt>
                <c:pt idx="479" formatCode="_-* #,##0_-;\-* #,##0_-;_-* &quot;-&quot;??_-;_-@_-">
                  <c:v>13314000</c:v>
                </c:pt>
                <c:pt idx="480" formatCode="_-* #,##0_-;\-* #,##0_-;_-* &quot;-&quot;??_-;_-@_-">
                  <c:v>8757200</c:v>
                </c:pt>
                <c:pt idx="481" formatCode="_-* #,##0_-;\-* #,##0_-;_-* &quot;-&quot;??_-;_-@_-">
                  <c:v>11218200</c:v>
                </c:pt>
                <c:pt idx="482" formatCode="_-* #,##0_-;\-* #,##0_-;_-* &quot;-&quot;??_-;_-@_-">
                  <c:v>10632400</c:v>
                </c:pt>
                <c:pt idx="483" formatCode="_-* #,##0_-;\-* #,##0_-;_-* &quot;-&quot;??_-;_-@_-">
                  <c:v>9014400</c:v>
                </c:pt>
                <c:pt idx="484" formatCode="_-* #,##0_-;\-* #,##0_-;_-* &quot;-&quot;??_-;_-@_-">
                  <c:v>11627500</c:v>
                </c:pt>
                <c:pt idx="485" formatCode="_-* #,##0_-;\-* #,##0_-;_-* &quot;-&quot;??_-;_-@_-">
                  <c:v>9452500</c:v>
                </c:pt>
                <c:pt idx="486" formatCode="_-* #,##0_-;\-* #,##0_-;_-* &quot;-&quot;??_-;_-@_-">
                  <c:v>13455200</c:v>
                </c:pt>
                <c:pt idx="487" formatCode="_-* #,##0_-;\-* #,##0_-;_-* &quot;-&quot;??_-;_-@_-">
                  <c:v>13686800</c:v>
                </c:pt>
                <c:pt idx="488" formatCode="_-* #,##0_-;\-* #,##0_-;_-* &quot;-&quot;??_-;_-@_-">
                  <c:v>8498800</c:v>
                </c:pt>
                <c:pt idx="489" formatCode="_-* #,##0_-;\-* #,##0_-;_-* &quot;-&quot;??_-;_-@_-">
                  <c:v>10893200</c:v>
                </c:pt>
                <c:pt idx="490" formatCode="_-* #,##0_-;\-* #,##0_-;_-* &quot;-&quot;??_-;_-@_-">
                  <c:v>9918300</c:v>
                </c:pt>
                <c:pt idx="491" formatCode="_-* #,##0_-;\-* #,##0_-;_-* &quot;-&quot;??_-;_-@_-">
                  <c:v>0</c:v>
                </c:pt>
                <c:pt idx="492" formatCode="_-* #,##0_-;\-* #,##0_-;_-* &quot;-&quot;??_-;_-@_-">
                  <c:v>18462000</c:v>
                </c:pt>
                <c:pt idx="493" formatCode="_-* #,##0_-;\-* #,##0_-;_-* &quot;-&quot;??_-;_-@_-">
                  <c:v>10153300</c:v>
                </c:pt>
                <c:pt idx="494" formatCode="_-* #,##0_-;\-* #,##0_-;_-* &quot;-&quot;??_-;_-@_-">
                  <c:v>6515100</c:v>
                </c:pt>
                <c:pt idx="495" formatCode="_-* #,##0_-;\-* #,##0_-;_-* &quot;-&quot;??_-;_-@_-">
                  <c:v>5745000</c:v>
                </c:pt>
                <c:pt idx="496" formatCode="_-* #,##0_-;\-* #,##0_-;_-* &quot;-&quot;??_-;_-@_-">
                  <c:v>17065000</c:v>
                </c:pt>
                <c:pt idx="497" formatCode="_-* #,##0_-;\-* #,##0_-;_-* &quot;-&quot;??_-;_-@_-">
                  <c:v>12381000</c:v>
                </c:pt>
                <c:pt idx="498" formatCode="_-* #,##0_-;\-* #,##0_-;_-* &quot;-&quot;??_-;_-@_-">
                  <c:v>0</c:v>
                </c:pt>
                <c:pt idx="499" formatCode="_-* #,##0_-;\-* #,##0_-;_-* &quot;-&quot;??_-;_-@_-">
                  <c:v>26248400</c:v>
                </c:pt>
                <c:pt idx="500" formatCode="_-* #,##0_-;\-* #,##0_-;_-* &quot;-&quot;??_-;_-@_-">
                  <c:v>7154400</c:v>
                </c:pt>
                <c:pt idx="501" formatCode="_-* #,##0_-;\-* #,##0_-;_-* &quot;-&quot;??_-;_-@_-">
                  <c:v>9037000</c:v>
                </c:pt>
                <c:pt idx="502" formatCode="_-* #,##0_-;\-* #,##0_-;_-* &quot;-&quot;??_-;_-@_-">
                  <c:v>6301500</c:v>
                </c:pt>
                <c:pt idx="503" formatCode="_-* #,##0_-;\-* #,##0_-;_-* &quot;-&quot;??_-;_-@_-">
                  <c:v>9076600</c:v>
                </c:pt>
                <c:pt idx="504" formatCode="_-* #,##0_-;\-* #,##0_-;_-* &quot;-&quot;??_-;_-@_-">
                  <c:v>0</c:v>
                </c:pt>
                <c:pt idx="505" formatCode="_-* #,##0_-;\-* #,##0_-;_-* &quot;-&quot;??_-;_-@_-">
                  <c:v>0</c:v>
                </c:pt>
                <c:pt idx="506" formatCode="_-* #,##0_-;\-* #,##0_-;_-* &quot;-&quot;??_-;_-@_-">
                  <c:v>25586800</c:v>
                </c:pt>
                <c:pt idx="507" formatCode="_-* #,##0_-;\-* #,##0_-;_-* &quot;-&quot;??_-;_-@_-">
                  <c:v>13052000</c:v>
                </c:pt>
                <c:pt idx="508" formatCode="_-* #,##0_-;\-* #,##0_-;_-* &quot;-&quot;??_-;_-@_-">
                  <c:v>21220500</c:v>
                </c:pt>
                <c:pt idx="509" formatCode="_-* #,##0_-;\-* #,##0_-;_-* &quot;-&quot;??_-;_-@_-">
                  <c:v>11903200</c:v>
                </c:pt>
                <c:pt idx="510" formatCode="_-* #,##0_-;\-* #,##0_-;_-* &quot;-&quot;??_-;_-@_-">
                  <c:v>30203000</c:v>
                </c:pt>
                <c:pt idx="511" formatCode="_-* #,##0_-;\-* #,##0_-;_-* &quot;-&quot;??_-;_-@_-">
                  <c:v>8056500</c:v>
                </c:pt>
                <c:pt idx="512" formatCode="_-* #,##0_-;\-* #,##0_-;_-* &quot;-&quot;??_-;_-@_-">
                  <c:v>21029200</c:v>
                </c:pt>
                <c:pt idx="513" formatCode="_-* #,##0_-;\-* #,##0_-;_-* &quot;-&quot;??_-;_-@_-">
                  <c:v>9835500</c:v>
                </c:pt>
                <c:pt idx="514" formatCode="_-* #,##0_-;\-* #,##0_-;_-* &quot;-&quot;??_-;_-@_-">
                  <c:v>33513200</c:v>
                </c:pt>
                <c:pt idx="515" formatCode="_-* #,##0_-;\-* #,##0_-;_-* &quot;-&quot;??_-;_-@_-">
                  <c:v>0</c:v>
                </c:pt>
                <c:pt idx="516" formatCode="_-* #,##0_-;\-* #,##0_-;_-* &quot;-&quot;??_-;_-@_-">
                  <c:v>6146800</c:v>
                </c:pt>
                <c:pt idx="517" formatCode="_-* #,##0_-;\-* #,##0_-;_-* &quot;-&quot;??_-;_-@_-">
                  <c:v>22975700</c:v>
                </c:pt>
                <c:pt idx="518" formatCode="_-* #,##0_-;\-* #,##0_-;_-* &quot;-&quot;??_-;_-@_-">
                  <c:v>37017000</c:v>
                </c:pt>
                <c:pt idx="519" formatCode="_-* #,##0_-;\-* #,##0_-;_-* &quot;-&quot;??_-;_-@_-">
                  <c:v>20572400</c:v>
                </c:pt>
                <c:pt idx="520" formatCode="_-* #,##0_-;\-* #,##0_-;_-* &quot;-&quot;??_-;_-@_-">
                  <c:v>20540000</c:v>
                </c:pt>
                <c:pt idx="521" formatCode="_-* #,##0_-;\-* #,##0_-;_-* &quot;-&quot;??_-;_-@_-">
                  <c:v>0</c:v>
                </c:pt>
                <c:pt idx="522" formatCode="_-* #,##0_-;\-* #,##0_-;_-* &quot;-&quot;??_-;_-@_-">
                  <c:v>28483500</c:v>
                </c:pt>
                <c:pt idx="523" formatCode="_-* #,##0_-;\-* #,##0_-;_-* &quot;-&quot;??_-;_-@_-">
                  <c:v>16486300</c:v>
                </c:pt>
                <c:pt idx="524" formatCode="_-* #,##0_-;\-* #,##0_-;_-* &quot;-&quot;??_-;_-@_-">
                  <c:v>0</c:v>
                </c:pt>
                <c:pt idx="525" formatCode="_-* #,##0_-;\-* #,##0_-;_-* &quot;-&quot;??_-;_-@_-">
                  <c:v>30259400</c:v>
                </c:pt>
                <c:pt idx="526" formatCode="_-* #,##0_-;\-* #,##0_-;_-* &quot;-&quot;??_-;_-@_-">
                  <c:v>0</c:v>
                </c:pt>
                <c:pt idx="527" formatCode="_-* #,##0_-;\-* #,##0_-;_-* &quot;-&quot;??_-;_-@_-">
                  <c:v>0</c:v>
                </c:pt>
                <c:pt idx="528" formatCode="_-* #,##0_-;\-* #,##0_-;_-* &quot;-&quot;??_-;_-@_-">
                  <c:v>13475700</c:v>
                </c:pt>
                <c:pt idx="529" formatCode="_-* #,##0_-;\-* #,##0_-;_-* &quot;-&quot;??_-;_-@_-">
                  <c:v>12554600</c:v>
                </c:pt>
                <c:pt idx="530" formatCode="_-* #,##0_-;\-* #,##0_-;_-* &quot;-&quot;??_-;_-@_-">
                  <c:v>9004200</c:v>
                </c:pt>
                <c:pt idx="531" formatCode="_-* #,##0_-;\-* #,##0_-;_-* &quot;-&quot;??_-;_-@_-">
                  <c:v>14426400</c:v>
                </c:pt>
                <c:pt idx="532" formatCode="_-* #,##0_-;\-* #,##0_-;_-* &quot;-&quot;??_-;_-@_-">
                  <c:v>14952600</c:v>
                </c:pt>
                <c:pt idx="533" formatCode="_-* #,##0_-;\-* #,##0_-;_-* &quot;-&quot;??_-;_-@_-">
                  <c:v>0</c:v>
                </c:pt>
                <c:pt idx="534" formatCode="_-* #,##0_-;\-* #,##0_-;_-* &quot;-&quot;??_-;_-@_-">
                  <c:v>27754800</c:v>
                </c:pt>
                <c:pt idx="535" formatCode="_-* #,##0_-;\-* #,##0_-;_-* &quot;-&quot;??_-;_-@_-">
                  <c:v>14219700</c:v>
                </c:pt>
                <c:pt idx="536" formatCode="_-* #,##0_-;\-* #,##0_-;_-* &quot;-&quot;??_-;_-@_-">
                  <c:v>11539200</c:v>
                </c:pt>
                <c:pt idx="537" formatCode="_-* #,##0_-;\-* #,##0_-;_-* &quot;-&quot;??_-;_-@_-">
                  <c:v>10468400</c:v>
                </c:pt>
                <c:pt idx="538" formatCode="_-* #,##0_-;\-* #,##0_-;_-* &quot;-&quot;??_-;_-@_-">
                  <c:v>13463000</c:v>
                </c:pt>
                <c:pt idx="539" formatCode="_-* #,##0_-;\-* #,##0_-;_-* &quot;-&quot;??_-;_-@_-">
                  <c:v>9141300</c:v>
                </c:pt>
                <c:pt idx="540" formatCode="_-* #,##0_-;\-* #,##0_-;_-* &quot;-&quot;??_-;_-@_-">
                  <c:v>0</c:v>
                </c:pt>
                <c:pt idx="541" formatCode="_-* #,##0_-;\-* #,##0_-;_-* &quot;-&quot;??_-;_-@_-">
                  <c:v>14917500</c:v>
                </c:pt>
                <c:pt idx="542" formatCode="_-* #,##0_-;\-* #,##0_-;_-* &quot;-&quot;??_-;_-@_-">
                  <c:v>9404200</c:v>
                </c:pt>
                <c:pt idx="543" formatCode="_-* #,##0_-;\-* #,##0_-;_-* &quot;-&quot;??_-;_-@_-">
                  <c:v>14105300</c:v>
                </c:pt>
                <c:pt idx="544" formatCode="_-* #,##0_-;\-* #,##0_-;_-* &quot;-&quot;??_-;_-@_-">
                  <c:v>10437700</c:v>
                </c:pt>
                <c:pt idx="545" formatCode="_-* #,##0_-;\-* #,##0_-;_-* &quot;-&quot;??_-;_-@_-">
                  <c:v>16325600</c:v>
                </c:pt>
                <c:pt idx="546" formatCode="_-* #,##0_-;\-* #,##0_-;_-* &quot;-&quot;??_-;_-@_-">
                  <c:v>13554300</c:v>
                </c:pt>
                <c:pt idx="547" formatCode="_-* #,##0_-;\-* #,##0_-;_-* &quot;-&quot;??_-;_-@_-">
                  <c:v>0</c:v>
                </c:pt>
                <c:pt idx="548" formatCode="_-* #,##0_-;\-* #,##0_-;_-* &quot;-&quot;??_-;_-@_-">
                  <c:v>29802500</c:v>
                </c:pt>
                <c:pt idx="549" formatCode="_-* #,##0_-;\-* #,##0_-;_-* &quot;-&quot;??_-;_-@_-">
                  <c:v>22538300</c:v>
                </c:pt>
                <c:pt idx="550" formatCode="_-* #,##0_-;\-* #,##0_-;_-* &quot;-&quot;??_-;_-@_-">
                  <c:v>5815000</c:v>
                </c:pt>
                <c:pt idx="551" formatCode="_-* #,##0_-;\-* #,##0_-;_-* &quot;-&quot;??_-;_-@_-">
                  <c:v>12757400</c:v>
                </c:pt>
                <c:pt idx="552" formatCode="_-* #,##0_-;\-* #,##0_-;_-* &quot;-&quot;??_-;_-@_-">
                  <c:v>14643000</c:v>
                </c:pt>
                <c:pt idx="553" formatCode="_-* #,##0_-;\-* #,##0_-;_-* &quot;-&quot;??_-;_-@_-">
                  <c:v>0</c:v>
                </c:pt>
                <c:pt idx="554" formatCode="_-* #,##0_-;\-* #,##0_-;_-* &quot;-&quot;??_-;_-@_-">
                  <c:v>0</c:v>
                </c:pt>
                <c:pt idx="555" formatCode="_-* #,##0_-;\-* #,##0_-;_-* &quot;-&quot;??_-;_-@_-">
                  <c:v>27917300</c:v>
                </c:pt>
                <c:pt idx="556" formatCode="_-* #,##0_-;\-* #,##0_-;_-* &quot;-&quot;??_-;_-@_-">
                  <c:v>8219300</c:v>
                </c:pt>
                <c:pt idx="557" formatCode="_-* #,##0_-;\-* #,##0_-;_-* &quot;-&quot;??_-;_-@_-">
                  <c:v>8636000</c:v>
                </c:pt>
                <c:pt idx="558" formatCode="_-* #,##0_-;\-* #,##0_-;_-* &quot;-&quot;??_-;_-@_-">
                  <c:v>10255000</c:v>
                </c:pt>
                <c:pt idx="559" formatCode="_-* #,##0_-;\-* #,##0_-;_-* &quot;-&quot;??_-;_-@_-">
                  <c:v>12836400</c:v>
                </c:pt>
                <c:pt idx="560" formatCode="_-* #,##0_-;\-* #,##0_-;_-* &quot;-&quot;??_-;_-@_-">
                  <c:v>10105000</c:v>
                </c:pt>
                <c:pt idx="561" formatCode="_-* #,##0_-;\-* #,##0_-;_-* &quot;-&quot;??_-;_-@_-">
                  <c:v>0</c:v>
                </c:pt>
                <c:pt idx="562" formatCode="_-* #,##0_-;\-* #,##0_-;_-* &quot;-&quot;??_-;_-@_-">
                  <c:v>21801800</c:v>
                </c:pt>
                <c:pt idx="563" formatCode="_-* #,##0_-;\-* #,##0_-;_-* &quot;-&quot;??_-;_-@_-">
                  <c:v>10477200</c:v>
                </c:pt>
                <c:pt idx="564" formatCode="_-* #,##0_-;\-* #,##0_-;_-* &quot;-&quot;??_-;_-@_-">
                  <c:v>9606000</c:v>
                </c:pt>
                <c:pt idx="565" formatCode="_-* #,##0_-;\-* #,##0_-;_-* &quot;-&quot;??_-;_-@_-">
                  <c:v>7478500</c:v>
                </c:pt>
                <c:pt idx="566" formatCode="_-* #,##0_-;\-* #,##0_-;_-* &quot;-&quot;??_-;_-@_-">
                  <c:v>8618400</c:v>
                </c:pt>
                <c:pt idx="567" formatCode="_-* #,##0_-;\-* #,##0_-;_-* &quot;-&quot;??_-;_-@_-">
                  <c:v>10441400</c:v>
                </c:pt>
                <c:pt idx="568" formatCode="_-* #,##0_-;\-* #,##0_-;_-* &quot;-&quot;??_-;_-@_-">
                  <c:v>0</c:v>
                </c:pt>
                <c:pt idx="569" formatCode="_-* #,##0_-;\-* #,##0_-;_-* &quot;-&quot;??_-;_-@_-">
                  <c:v>30402600</c:v>
                </c:pt>
                <c:pt idx="570" formatCode="_-* #,##0_-;\-* #,##0_-;_-* &quot;-&quot;??_-;_-@_-">
                  <c:v>11497600</c:v>
                </c:pt>
                <c:pt idx="571" formatCode="_-* #,##0_-;\-* #,##0_-;_-* &quot;-&quot;??_-;_-@_-">
                  <c:v>7635100</c:v>
                </c:pt>
                <c:pt idx="572" formatCode="_-* #,##0_-;\-* #,##0_-;_-* &quot;-&quot;??_-;_-@_-">
                  <c:v>5961300</c:v>
                </c:pt>
                <c:pt idx="573" formatCode="_-* #,##0_-;\-* #,##0_-;_-* &quot;-&quot;??_-;_-@_-">
                  <c:v>6602300</c:v>
                </c:pt>
                <c:pt idx="574" formatCode="_-* #,##0_-;\-* #,##0_-;_-* &quot;-&quot;??_-;_-@_-">
                  <c:v>8041000</c:v>
                </c:pt>
                <c:pt idx="575" formatCode="_-* #,##0_-;\-* #,##0_-;_-* &quot;-&quot;??_-;_-@_-">
                  <c:v>0</c:v>
                </c:pt>
                <c:pt idx="576" formatCode="_-* #,##0_-;\-* #,##0_-;_-* &quot;-&quot;??_-;_-@_-">
                  <c:v>29893500</c:v>
                </c:pt>
                <c:pt idx="577" formatCode="_-* #,##0_-;\-* #,##0_-;_-* &quot;-&quot;??_-;_-@_-">
                  <c:v>15055000</c:v>
                </c:pt>
                <c:pt idx="578" formatCode="_-* #,##0_-;\-* #,##0_-;_-* &quot;-&quot;??_-;_-@_-">
                  <c:v>10994300</c:v>
                </c:pt>
                <c:pt idx="579" formatCode="_-* #,##0_-;\-* #,##0_-;_-* &quot;-&quot;??_-;_-@_-">
                  <c:v>11847300</c:v>
                </c:pt>
                <c:pt idx="580" formatCode="_-* #,##0_-;\-* #,##0_-;_-* &quot;-&quot;??_-;_-@_-">
                  <c:v>29275600</c:v>
                </c:pt>
                <c:pt idx="581" formatCode="_-* #,##0_-;\-* #,##0_-;_-* &quot;-&quot;??_-;_-@_-">
                  <c:v>16866300</c:v>
                </c:pt>
                <c:pt idx="582" formatCode="_-* #,##0_-;\-* #,##0_-;_-* &quot;-&quot;??_-;_-@_-">
                  <c:v>19670000</c:v>
                </c:pt>
                <c:pt idx="583" formatCode="_-* #,##0_-;\-* #,##0_-;_-* &quot;-&quot;??_-;_-@_-">
                  <c:v>15111000</c:v>
                </c:pt>
                <c:pt idx="584" formatCode="_-* #,##0_-;\-* #,##0_-;_-* &quot;-&quot;??_-;_-@_-">
                  <c:v>10631700</c:v>
                </c:pt>
                <c:pt idx="585" formatCode="_-* #,##0_-;\-* #,##0_-;_-* &quot;-&quot;??_-;_-@_-">
                  <c:v>13443300</c:v>
                </c:pt>
                <c:pt idx="586" formatCode="_-* #,##0_-;\-* #,##0_-;_-* &quot;-&quot;??_-;_-@_-">
                  <c:v>7225400</c:v>
                </c:pt>
                <c:pt idx="587" formatCode="_-* #,##0_-;\-* #,##0_-;_-* &quot;-&quot;??_-;_-@_-">
                  <c:v>9775000</c:v>
                </c:pt>
                <c:pt idx="588" formatCode="_-* #,##0_-;\-* #,##0_-;_-* &quot;-&quot;??_-;_-@_-">
                  <c:v>8983000</c:v>
                </c:pt>
                <c:pt idx="589" formatCode="_-* #,##0_-;\-* #,##0_-;_-* &quot;-&quot;??_-;_-@_-">
                  <c:v>11563700</c:v>
                </c:pt>
                <c:pt idx="590" formatCode="_-* #,##0_-;\-* #,##0_-;_-* &quot;-&quot;??_-;_-@_-">
                  <c:v>9530000</c:v>
                </c:pt>
                <c:pt idx="591" formatCode="_-* #,##0_-;\-* #,##0_-;_-* &quot;-&quot;??_-;_-@_-">
                  <c:v>18266300</c:v>
                </c:pt>
                <c:pt idx="592" formatCode="_-* #,##0_-;\-* #,##0_-;_-* &quot;-&quot;??_-;_-@_-">
                  <c:v>15898000</c:v>
                </c:pt>
                <c:pt idx="593" formatCode="_-* #,##0_-;\-* #,##0_-;_-* &quot;-&quot;??_-;_-@_-">
                  <c:v>14076600</c:v>
                </c:pt>
                <c:pt idx="594" formatCode="_-* #,##0_-;\-* #,##0_-;_-* &quot;-&quot;??_-;_-@_-">
                  <c:v>12366200</c:v>
                </c:pt>
                <c:pt idx="595" formatCode="_-* #,##0_-;\-* #,##0_-;_-* &quot;-&quot;??_-;_-@_-">
                  <c:v>17317700</c:v>
                </c:pt>
                <c:pt idx="596" formatCode="_-* #,##0_-;\-* #,##0_-;_-* &quot;-&quot;??_-;_-@_-">
                  <c:v>0</c:v>
                </c:pt>
                <c:pt idx="597" formatCode="_-* #,##0_-;\-* #,##0_-;_-* &quot;-&quot;??_-;_-@_-">
                  <c:v>26800000</c:v>
                </c:pt>
                <c:pt idx="598" formatCode="_-* #,##0_-;\-* #,##0_-;_-* &quot;-&quot;??_-;_-@_-">
                  <c:v>20362600</c:v>
                </c:pt>
                <c:pt idx="599" formatCode="_-* #,##0_-;\-* #,##0_-;_-* &quot;-&quot;??_-;_-@_-">
                  <c:v>14160000</c:v>
                </c:pt>
                <c:pt idx="600" formatCode="_-* #,##0_-;\-* #,##0_-;_-* &quot;-&quot;??_-;_-@_-">
                  <c:v>10946600</c:v>
                </c:pt>
                <c:pt idx="601" formatCode="_-* #,##0_-;\-* #,##0_-;_-* &quot;-&quot;??_-;_-@_-">
                  <c:v>13472600</c:v>
                </c:pt>
                <c:pt idx="602" formatCode="_-* #,##0_-;\-* #,##0_-;_-* &quot;-&quot;??_-;_-@_-">
                  <c:v>10797500</c:v>
                </c:pt>
                <c:pt idx="603" formatCode="_-* #,##0_-;\-* #,##0_-;_-* &quot;-&quot;??_-;_-@_-">
                  <c:v>12841300</c:v>
                </c:pt>
                <c:pt idx="604" formatCode="_-* #,##0_-;\-* #,##0_-;_-* &quot;-&quot;??_-;_-@_-">
                  <c:v>8601200</c:v>
                </c:pt>
                <c:pt idx="605" formatCode="_-* #,##0_-;\-* #,##0_-;_-* &quot;-&quot;??_-;_-@_-">
                  <c:v>10453600</c:v>
                </c:pt>
                <c:pt idx="606" formatCode="_-* #,##0_-;\-* #,##0_-;_-* &quot;-&quot;??_-;_-@_-">
                  <c:v>5643700</c:v>
                </c:pt>
                <c:pt idx="607" formatCode="_-* #,##0_-;\-* #,##0_-;_-* &quot;-&quot;??_-;_-@_-">
                  <c:v>10995500</c:v>
                </c:pt>
                <c:pt idx="608" formatCode="_-* #,##0_-;\-* #,##0_-;_-* &quot;-&quot;??_-;_-@_-">
                  <c:v>14496300</c:v>
                </c:pt>
                <c:pt idx="609" formatCode="_-* #,##0_-;\-* #,##0_-;_-* &quot;-&quot;??_-;_-@_-">
                  <c:v>21509000</c:v>
                </c:pt>
                <c:pt idx="610" formatCode="_-* #,##0_-;\-* #,##0_-;_-* &quot;-&quot;??_-;_-@_-">
                  <c:v>0</c:v>
                </c:pt>
                <c:pt idx="611" formatCode="_-* #,##0_-;\-* #,##0_-;_-* &quot;-&quot;??_-;_-@_-">
                  <c:v>30206300</c:v>
                </c:pt>
                <c:pt idx="612" formatCode="_-* #,##0_-;\-* #,##0_-;_-* &quot;-&quot;??_-;_-@_-">
                  <c:v>15859200</c:v>
                </c:pt>
                <c:pt idx="613" formatCode="_-* #,##0_-;\-* #,##0_-;_-* &quot;-&quot;??_-;_-@_-">
                  <c:v>9605000</c:v>
                </c:pt>
                <c:pt idx="614" formatCode="_-* #,##0_-;\-* #,##0_-;_-* &quot;-&quot;??_-;_-@_-">
                  <c:v>8308700</c:v>
                </c:pt>
                <c:pt idx="615" formatCode="_-* #,##0_-;\-* #,##0_-;_-* &quot;-&quot;??_-;_-@_-">
                  <c:v>11580000</c:v>
                </c:pt>
                <c:pt idx="616" formatCode="_-* #,##0_-;\-* #,##0_-;_-* &quot;-&quot;??_-;_-@_-">
                  <c:v>10170600</c:v>
                </c:pt>
                <c:pt idx="617" formatCode="_-* #,##0_-;\-* #,##0_-;_-* &quot;-&quot;??_-;_-@_-">
                  <c:v>12573500</c:v>
                </c:pt>
                <c:pt idx="618" formatCode="_-* #,##0_-;\-* #,##0_-;_-* &quot;-&quot;??_-;_-@_-">
                  <c:v>6909800</c:v>
                </c:pt>
                <c:pt idx="619" formatCode="_-* #,##0_-;\-* #,##0_-;_-* &quot;-&quot;??_-;_-@_-">
                  <c:v>20158700</c:v>
                </c:pt>
                <c:pt idx="620" formatCode="_-* #,##0_-;\-* #,##0_-;_-* &quot;-&quot;??_-;_-@_-">
                  <c:v>8026600</c:v>
                </c:pt>
                <c:pt idx="621" formatCode="_-* #,##0_-;\-* #,##0_-;_-* &quot;-&quot;??_-;_-@_-">
                  <c:v>8020000</c:v>
                </c:pt>
                <c:pt idx="622" formatCode="_-* #,##0_-;\-* #,##0_-;_-* &quot;-&quot;??_-;_-@_-">
                  <c:v>6945700</c:v>
                </c:pt>
                <c:pt idx="623" formatCode="_-* #,##0_-;\-* #,##0_-;_-* &quot;-&quot;??_-;_-@_-">
                  <c:v>6625200</c:v>
                </c:pt>
                <c:pt idx="624" formatCode="_-* #,##0_-;\-* #,##0_-;_-* &quot;-&quot;??_-;_-@_-">
                  <c:v>8204900</c:v>
                </c:pt>
                <c:pt idx="625" formatCode="_-* #,##0_-;\-* #,##0_-;_-* &quot;-&quot;??_-;_-@_-">
                  <c:v>8961100</c:v>
                </c:pt>
                <c:pt idx="626" formatCode="_-* #,##0_-;\-* #,##0_-;_-* &quot;-&quot;??_-;_-@_-">
                  <c:v>11763000</c:v>
                </c:pt>
                <c:pt idx="627" formatCode="_-* #,##0_-;\-* #,##0_-;_-* &quot;-&quot;??_-;_-@_-">
                  <c:v>9141600</c:v>
                </c:pt>
                <c:pt idx="628" formatCode="_-* #,##0_-;\-* #,##0_-;_-* &quot;-&quot;??_-;_-@_-">
                  <c:v>17698600</c:v>
                </c:pt>
                <c:pt idx="629" formatCode="_-* #,##0_-;\-* #,##0_-;_-* &quot;-&quot;??_-;_-@_-">
                  <c:v>9592100</c:v>
                </c:pt>
                <c:pt idx="630" formatCode="_-* #,##0_-;\-* #,##0_-;_-* &quot;-&quot;??_-;_-@_-">
                  <c:v>8016500</c:v>
                </c:pt>
                <c:pt idx="631" formatCode="_-* #,##0_-;\-* #,##0_-;_-* &quot;-&quot;??_-;_-@_-">
                  <c:v>9685000</c:v>
                </c:pt>
                <c:pt idx="632" formatCode="_-* #,##0_-;\-* #,##0_-;_-* &quot;-&quot;??_-;_-@_-">
                  <c:v>12082500</c:v>
                </c:pt>
                <c:pt idx="633" formatCode="_-* #,##0_-;\-* #,##0_-;_-* &quot;-&quot;??_-;_-@_-">
                  <c:v>11200500</c:v>
                </c:pt>
                <c:pt idx="634" formatCode="_-* #,##0_-;\-* #,##0_-;_-* &quot;-&quot;??_-;_-@_-">
                  <c:v>11720300</c:v>
                </c:pt>
                <c:pt idx="635" formatCode="_-* #,##0_-;\-* #,##0_-;_-* &quot;-&quot;??_-;_-@_-">
                  <c:v>7029400</c:v>
                </c:pt>
                <c:pt idx="636" formatCode="_-* #,##0_-;\-* #,##0_-;_-* &quot;-&quot;??_-;_-@_-">
                  <c:v>7566200</c:v>
                </c:pt>
                <c:pt idx="637" formatCode="_-* #,##0_-;\-* #,##0_-;_-* &quot;-&quot;??_-;_-@_-">
                  <c:v>8362000</c:v>
                </c:pt>
                <c:pt idx="638" formatCode="_-* #,##0_-;\-* #,##0_-;_-* &quot;-&quot;??_-;_-@_-">
                  <c:v>0</c:v>
                </c:pt>
                <c:pt idx="639" formatCode="_-* #,##0_-;\-* #,##0_-;_-* &quot;-&quot;??_-;_-@_-">
                  <c:v>14169400</c:v>
                </c:pt>
                <c:pt idx="640" formatCode="_-* #,##0_-;\-* #,##0_-;_-* &quot;-&quot;??_-;_-@_-">
                  <c:v>30527300</c:v>
                </c:pt>
                <c:pt idx="641" formatCode="_-* #,##0_-;\-* #,##0_-;_-* &quot;-&quot;??_-;_-@_-">
                  <c:v>6943400</c:v>
                </c:pt>
                <c:pt idx="642" formatCode="_-* #,##0_-;\-* #,##0_-;_-* &quot;-&quot;??_-;_-@_-">
                  <c:v>9055500</c:v>
                </c:pt>
                <c:pt idx="643" formatCode="_-* #,##0_-;\-* #,##0_-;_-* &quot;-&quot;??_-;_-@_-">
                  <c:v>15930300</c:v>
                </c:pt>
                <c:pt idx="644" formatCode="_-* #,##0_-;\-* #,##0_-;_-* &quot;-&quot;??_-;_-@_-">
                  <c:v>9729000</c:v>
                </c:pt>
                <c:pt idx="645" formatCode="_-* #,##0_-;\-* #,##0_-;_-* &quot;-&quot;??_-;_-@_-">
                  <c:v>13028700</c:v>
                </c:pt>
                <c:pt idx="646" formatCode="_-* #,##0_-;\-* #,##0_-;_-* &quot;-&quot;??_-;_-@_-">
                  <c:v>8568200</c:v>
                </c:pt>
                <c:pt idx="647" formatCode="_-* #,##0_-;\-* #,##0_-;_-* &quot;-&quot;??_-;_-@_-">
                  <c:v>11028000</c:v>
                </c:pt>
                <c:pt idx="648" formatCode="_-* #,##0_-;\-* #,##0_-;_-* &quot;-&quot;??_-;_-@_-">
                  <c:v>5358000</c:v>
                </c:pt>
                <c:pt idx="649" formatCode="_-* #,##0_-;\-* #,##0_-;_-* &quot;-&quot;??_-;_-@_-">
                  <c:v>11606400</c:v>
                </c:pt>
                <c:pt idx="650" formatCode="_-* #,##0_-;\-* #,##0_-;_-* &quot;-&quot;??_-;_-@_-">
                  <c:v>12204000</c:v>
                </c:pt>
                <c:pt idx="651" formatCode="_-* #,##0_-;\-* #,##0_-;_-* &quot;-&quot;??_-;_-@_-">
                  <c:v>10416800</c:v>
                </c:pt>
                <c:pt idx="652" formatCode="_-* #,##0_-;\-* #,##0_-;_-* &quot;-&quot;??_-;_-@_-">
                  <c:v>13367100</c:v>
                </c:pt>
                <c:pt idx="653" formatCode="_-* #,##0_-;\-* #,##0_-;_-* &quot;-&quot;??_-;_-@_-">
                  <c:v>6983500</c:v>
                </c:pt>
                <c:pt idx="654" formatCode="_-* #,##0_-;\-* #,##0_-;_-* &quot;-&quot;??_-;_-@_-">
                  <c:v>11835200</c:v>
                </c:pt>
                <c:pt idx="655" formatCode="_-* #,##0_-;\-* #,##0_-;_-* &quot;-&quot;??_-;_-@_-">
                  <c:v>10049000</c:v>
                </c:pt>
                <c:pt idx="656" formatCode="_-* #,##0_-;\-* #,##0_-;_-* &quot;-&quot;??_-;_-@_-">
                  <c:v>0</c:v>
                </c:pt>
                <c:pt idx="657" formatCode="_-* #,##0_-;\-* #,##0_-;_-* &quot;-&quot;??_-;_-@_-">
                  <c:v>15826500</c:v>
                </c:pt>
                <c:pt idx="658" formatCode="_-* #,##0_-;\-* #,##0_-;_-* &quot;-&quot;??_-;_-@_-">
                  <c:v>11848800</c:v>
                </c:pt>
                <c:pt idx="659" formatCode="_-* #,##0_-;\-* #,##0_-;_-* &quot;-&quot;??_-;_-@_-">
                  <c:v>0</c:v>
                </c:pt>
                <c:pt idx="660" formatCode="_-* #,##0_-;\-* #,##0_-;_-* &quot;-&quot;??_-;_-@_-">
                  <c:v>15159800</c:v>
                </c:pt>
                <c:pt idx="661" formatCode="_-* #,##0_-;\-* #,##0_-;_-* &quot;-&quot;??_-;_-@_-">
                  <c:v>12370000</c:v>
                </c:pt>
                <c:pt idx="662" formatCode="_-* #,##0_-;\-* #,##0_-;_-* &quot;-&quot;??_-;_-@_-">
                  <c:v>15303200</c:v>
                </c:pt>
                <c:pt idx="663" formatCode="_-* #,##0_-;\-* #,##0_-;_-* &quot;-&quot;??_-;_-@_-">
                  <c:v>10347500</c:v>
                </c:pt>
                <c:pt idx="664" formatCode="_-* #,##0_-;\-* #,##0_-;_-* &quot;-&quot;??_-;_-@_-">
                  <c:v>7382800</c:v>
                </c:pt>
                <c:pt idx="665" formatCode="_-* #,##0_-;\-* #,##0_-;_-* &quot;-&quot;??_-;_-@_-">
                  <c:v>19780000</c:v>
                </c:pt>
                <c:pt idx="670" formatCode="_-* #,##0_-;\-* #,##0_-;_-* &quot;-&quot;??_-;_-@_-">
                  <c:v>4739300</c:v>
                </c:pt>
                <c:pt idx="671" formatCode="_-* #,##0_-;\-* #,##0_-;_-* &quot;-&quot;??_-;_-@_-">
                  <c:v>13678300</c:v>
                </c:pt>
                <c:pt idx="672" formatCode="_-* #,##0_-;\-* #,##0_-;_-* &quot;-&quot;??_-;_-@_-">
                  <c:v>11772400</c:v>
                </c:pt>
                <c:pt idx="673" formatCode="_-* #,##0_-;\-* #,##0_-;_-* &quot;-&quot;??_-;_-@_-">
                  <c:v>0</c:v>
                </c:pt>
                <c:pt idx="674" formatCode="_-* #,##0_-;\-* #,##0_-;_-* &quot;-&quot;??_-;_-@_-">
                  <c:v>16444400</c:v>
                </c:pt>
                <c:pt idx="675" formatCode="_-* #,##0_-;\-* #,##0_-;_-* &quot;-&quot;??_-;_-@_-">
                  <c:v>14846000</c:v>
                </c:pt>
                <c:pt idx="676" formatCode="_-* #,##0_-;\-* #,##0_-;_-* &quot;-&quot;??_-;_-@_-">
                  <c:v>10625700</c:v>
                </c:pt>
                <c:pt idx="677" formatCode="_-* #,##0_-;\-* #,##0_-;_-* &quot;-&quot;??_-;_-@_-">
                  <c:v>11832000</c:v>
                </c:pt>
                <c:pt idx="678" formatCode="_-* #,##0_-;\-* #,##0_-;_-* &quot;-&quot;??_-;_-@_-">
                  <c:v>7128600</c:v>
                </c:pt>
                <c:pt idx="679" formatCode="_-* #,##0_-;\-* #,##0_-;_-* &quot;-&quot;??_-;_-@_-">
                  <c:v>9936700</c:v>
                </c:pt>
                <c:pt idx="680" formatCode="_-* #,##0_-;\-* #,##0_-;_-* &quot;-&quot;??_-;_-@_-">
                  <c:v>8773400</c:v>
                </c:pt>
                <c:pt idx="681" formatCode="_-* #,##0_-;\-* #,##0_-;_-* &quot;-&quot;??_-;_-@_-">
                  <c:v>10650000</c:v>
                </c:pt>
                <c:pt idx="682" formatCode="_-* #,##0_-;\-* #,##0_-;_-* &quot;-&quot;??_-;_-@_-">
                  <c:v>12550400</c:v>
                </c:pt>
                <c:pt idx="683" formatCode="_-* #,##0_-;\-* #,##0_-;_-* &quot;-&quot;??_-;_-@_-">
                  <c:v>11516600</c:v>
                </c:pt>
                <c:pt idx="684" formatCode="_-* #,##0_-;\-* #,##0_-;_-* &quot;-&quot;??_-;_-@_-">
                  <c:v>6643500</c:v>
                </c:pt>
                <c:pt idx="685" formatCode="_-* #,##0_-;\-* #,##0_-;_-* &quot;-&quot;??_-;_-@_-">
                  <c:v>6894600</c:v>
                </c:pt>
                <c:pt idx="686" formatCode="_-* #,##0_-;\-* #,##0_-;_-* &quot;-&quot;??_-;_-@_-">
                  <c:v>7377000</c:v>
                </c:pt>
                <c:pt idx="688" formatCode="_-* #,##0_-;\-* #,##0_-;_-* &quot;-&quot;??_-;_-@_-">
                  <c:v>10583500</c:v>
                </c:pt>
                <c:pt idx="689" formatCode="_-* #,##0_-;\-* #,##0_-;_-* &quot;-&quot;??_-;_-@_-">
                  <c:v>10332500</c:v>
                </c:pt>
                <c:pt idx="691" formatCode="_-* #,##0_-;\-* #,##0_-;_-* &quot;-&quot;??_-;_-@_-">
                  <c:v>9728400</c:v>
                </c:pt>
                <c:pt idx="692" formatCode="_-* #,##0_-;\-* #,##0_-;_-* &quot;-&quot;??_-;_-@_-">
                  <c:v>10631400</c:v>
                </c:pt>
                <c:pt idx="693" formatCode="_-* #,##0_-;\-* #,##0_-;_-* &quot;-&quot;??_-;_-@_-">
                  <c:v>7336300</c:v>
                </c:pt>
                <c:pt idx="695" formatCode="_-* #,##0_-;\-* #,##0_-;_-* &quot;-&quot;??_-;_-@_-">
                  <c:v>23272700</c:v>
                </c:pt>
                <c:pt idx="696" formatCode="_-* #,##0_-;\-* #,##0_-;_-* &quot;-&quot;??_-;_-@_-">
                  <c:v>13228000</c:v>
                </c:pt>
                <c:pt idx="697" formatCode="_-* #,##0_-;\-* #,##0_-;_-* &quot;-&quot;??_-;_-@_-">
                  <c:v>11026000</c:v>
                </c:pt>
                <c:pt idx="698" formatCode="_-* #,##0_-;\-* #,##0_-;_-* &quot;-&quot;??_-;_-@_-">
                  <c:v>13909400</c:v>
                </c:pt>
                <c:pt idx="699" formatCode="_-* #,##0_-;\-* #,##0_-;_-* &quot;-&quot;??_-;_-@_-">
                  <c:v>9191600</c:v>
                </c:pt>
                <c:pt idx="700" formatCode="_-* #,##0_-;\-* #,##0_-;_-* &quot;-&quot;??_-;_-@_-">
                  <c:v>11508000</c:v>
                </c:pt>
                <c:pt idx="702" formatCode="_-* #,##0_-;\-* #,##0_-;_-* &quot;-&quot;??_-;_-@_-">
                  <c:v>13860000</c:v>
                </c:pt>
                <c:pt idx="703" formatCode="_-* #,##0_-;\-* #,##0_-;_-* &quot;-&quot;??_-;_-@_-">
                  <c:v>5012300</c:v>
                </c:pt>
                <c:pt idx="704" formatCode="_-* #,##0_-;\-* #,##0_-;_-* &quot;-&quot;??_-;_-@_-">
                  <c:v>11697400</c:v>
                </c:pt>
                <c:pt idx="705" formatCode="_-* #,##0_-;\-* #,##0_-;_-* &quot;-&quot;??_-;_-@_-">
                  <c:v>14039400</c:v>
                </c:pt>
                <c:pt idx="706" formatCode="_-* #,##0_-;\-* #,##0_-;_-* &quot;-&quot;??_-;_-@_-">
                  <c:v>10019300</c:v>
                </c:pt>
                <c:pt idx="709" formatCode="_-* #,##0_-;\-* #,##0_-;_-* &quot;-&quot;??_-;_-@_-">
                  <c:v>23895000</c:v>
                </c:pt>
                <c:pt idx="711" formatCode="_-* #,##0_-;\-* #,##0_-;_-* &quot;-&quot;??_-;_-@_-">
                  <c:v>8114300</c:v>
                </c:pt>
                <c:pt idx="712" formatCode="_-* #,##0_-;\-* #,##0_-;_-* &quot;-&quot;??_-;_-@_-">
                  <c:v>8013600</c:v>
                </c:pt>
                <c:pt idx="714" formatCode="_-* #,##0_-;\-* #,##0_-;_-* &quot;-&quot;??_-;_-@_-">
                  <c:v>18476000</c:v>
                </c:pt>
                <c:pt idx="716" formatCode="_-* #,##0_-;\-* #,##0_-;_-* &quot;-&quot;??_-;_-@_-">
                  <c:v>8629700</c:v>
                </c:pt>
                <c:pt idx="717" formatCode="_-* #,##0_-;\-* #,##0_-;_-* &quot;-&quot;??_-;_-@_-">
                  <c:v>5160600</c:v>
                </c:pt>
                <c:pt idx="719" formatCode="_-* #,##0_-;\-* #,##0_-;_-* &quot;-&quot;??_-;_-@_-">
                  <c:v>10711300</c:v>
                </c:pt>
                <c:pt idx="721" formatCode="_-* #,##0_-;\-* #,##0_-;_-* &quot;-&quot;??_-;_-@_-">
                  <c:v>8226500</c:v>
                </c:pt>
                <c:pt idx="723" formatCode="_-* #,##0_-;\-* #,##0_-;_-* &quot;-&quot;??_-;_-@_-">
                  <c:v>5117300</c:v>
                </c:pt>
                <c:pt idx="724" formatCode="_-* #,##0_-;\-* #,##0_-;_-* &quot;-&quot;??_-;_-@_-">
                  <c:v>7395400</c:v>
                </c:pt>
                <c:pt idx="725" formatCode="_-* #,##0_-;\-* #,##0_-;_-* &quot;-&quot;??_-;_-@_-">
                  <c:v>12563600</c:v>
                </c:pt>
                <c:pt idx="728" formatCode="_-* #,##0_-;\-* #,##0_-;_-* &quot;-&quot;??_-;_-@_-">
                  <c:v>18972500</c:v>
                </c:pt>
                <c:pt idx="730" formatCode="_-* #,##0_-;\-* #,##0_-;_-* &quot;-&quot;??_-;_-@_-">
                  <c:v>25668000</c:v>
                </c:pt>
                <c:pt idx="731" formatCode="_-* #,##0_-;\-* #,##0_-;_-* &quot;-&quot;??_-;_-@_-">
                  <c:v>5472700</c:v>
                </c:pt>
                <c:pt idx="734" formatCode="_-* #,##0_-;\-* #,##0_-;_-* &quot;-&quot;??_-;_-@_-">
                  <c:v>15943500</c:v>
                </c:pt>
                <c:pt idx="737" formatCode="_-* #,##0_-;\-* #,##0_-;_-* &quot;-&quot;??_-;_-@_-">
                  <c:v>13514500</c:v>
                </c:pt>
                <c:pt idx="739" formatCode="_-* #,##0_-;\-* #,##0_-;_-* &quot;-&quot;??_-;_-@_-">
                  <c:v>8691400</c:v>
                </c:pt>
                <c:pt idx="742" formatCode="_-* #,##0_-;\-* #,##0_-;_-* &quot;-&quot;??_-;_-@_-">
                  <c:v>11762000</c:v>
                </c:pt>
                <c:pt idx="744" formatCode="_-* #,##0_-;\-* #,##0_-;_-* &quot;-&quot;??_-;_-@_-">
                  <c:v>17460500</c:v>
                </c:pt>
                <c:pt idx="746" formatCode="_-* #,##0_-;\-* #,##0_-;_-* &quot;-&quot;??_-;_-@_-">
                  <c:v>7211800</c:v>
                </c:pt>
                <c:pt idx="751" formatCode="_-* #,##0_-;\-* #,##0_-;_-* &quot;-&quot;??_-;_-@_-">
                  <c:v>50288000</c:v>
                </c:pt>
                <c:pt idx="752" formatCode="_-* #,##0_-;\-* #,##0_-;_-* &quot;-&quot;??_-;_-@_-">
                  <c:v>18980000</c:v>
                </c:pt>
                <c:pt idx="753" formatCode="_-* #,##0_-;\-* #,##0_-;_-* &quot;-&quot;??_-;_-@_-">
                  <c:v>19429500</c:v>
                </c:pt>
                <c:pt idx="759" formatCode="_-* #,##0_-;\-* #,##0_-;_-* &quot;-&quot;??_-;_-@_-">
                  <c:v>32461300</c:v>
                </c:pt>
                <c:pt idx="760" formatCode="_-* #,##0_-;\-* #,##0_-;_-* &quot;-&quot;??_-;_-@_-">
                  <c:v>6039100</c:v>
                </c:pt>
                <c:pt idx="761" formatCode="_-* #,##0_-;\-* #,##0_-;_-* &quot;-&quot;??_-;_-@_-">
                  <c:v>19372000</c:v>
                </c:pt>
                <c:pt idx="762" formatCode="_-* #,##0_-;\-* #,##0_-;_-* &quot;-&quot;??_-;_-@_-">
                  <c:v>11020000</c:v>
                </c:pt>
                <c:pt idx="763" formatCode="_-* #,##0_-;\-* #,##0_-;_-* &quot;-&quot;??_-;_-@_-">
                  <c:v>13268000</c:v>
                </c:pt>
                <c:pt idx="765" formatCode="_-* #,##0_-;\-* #,##0_-;_-* &quot;-&quot;??_-;_-@_-">
                  <c:v>16562400</c:v>
                </c:pt>
                <c:pt idx="789" formatCode="_-* #,##0_-;\-* #,##0_-;_-* &quot;-&quot;??_-;_-@_-">
                  <c:v>5806000</c:v>
                </c:pt>
                <c:pt idx="799" formatCode="_-* #,##0_-;\-* #,##0_-;_-* &quot;-&quot;??_-;_-@_-">
                  <c:v>0</c:v>
                </c:pt>
                <c:pt idx="800" formatCode="_-* #,##0_-;\-* #,##0_-;_-* &quot;-&quot;??_-;_-@_-">
                  <c:v>15114600</c:v>
                </c:pt>
                <c:pt idx="803" formatCode="_-* #,##0_-;\-* #,##0_-;_-* &quot;-&quot;??_-;_-@_-">
                  <c:v>10770000</c:v>
                </c:pt>
                <c:pt idx="804" formatCode="_-* #,##0_-;\-* #,##0_-;_-* &quot;-&quot;??_-;_-@_-">
                  <c:v>0</c:v>
                </c:pt>
                <c:pt idx="805" formatCode="_-* #,##0_-;\-* #,##0_-;_-* &quot;-&quot;??_-;_-@_-">
                  <c:v>8260600</c:v>
                </c:pt>
                <c:pt idx="806" formatCode="_-* #,##0_-;\-* #,##0_-;_-* &quot;-&quot;??_-;_-@_-">
                  <c:v>0</c:v>
                </c:pt>
                <c:pt idx="807" formatCode="_-* #,##0_-;\-* #,##0_-;_-* &quot;-&quot;??_-;_-@_-">
                  <c:v>0</c:v>
                </c:pt>
                <c:pt idx="808" formatCode="_-* #,##0_-;\-* #,##0_-;_-* &quot;-&quot;??_-;_-@_-">
                  <c:v>11020500</c:v>
                </c:pt>
                <c:pt idx="809" formatCode="_-* #,##0_-;\-* #,##0_-;_-* &quot;-&quot;??_-;_-@_-">
                  <c:v>0</c:v>
                </c:pt>
                <c:pt idx="810" formatCode="_-* #,##0_-;\-* #,##0_-;_-* &quot;-&quot;??_-;_-@_-">
                  <c:v>10655000</c:v>
                </c:pt>
                <c:pt idx="811" formatCode="_-* #,##0_-;\-* #,##0_-;_-* &quot;-&quot;??_-;_-@_-">
                  <c:v>0</c:v>
                </c:pt>
                <c:pt idx="812" formatCode="_-* #,##0_-;\-* #,##0_-;_-* &quot;-&quot;??_-;_-@_-">
                  <c:v>12824000</c:v>
                </c:pt>
                <c:pt idx="813" formatCode="_-* #,##0_-;\-* #,##0_-;_-* &quot;-&quot;??_-;_-@_-">
                  <c:v>0</c:v>
                </c:pt>
                <c:pt idx="814" formatCode="_-* #,##0_-;\-* #,##0_-;_-* &quot;-&quot;??_-;_-@_-">
                  <c:v>32376600</c:v>
                </c:pt>
                <c:pt idx="816" formatCode="_-* #,##0_-;\-* #,##0_-;_-* &quot;-&quot;??_-;_-@_-">
                  <c:v>14108500</c:v>
                </c:pt>
                <c:pt idx="818" formatCode="_-* #,##0_-;\-* #,##0_-;_-* &quot;-&quot;??_-;_-@_-">
                  <c:v>12463800</c:v>
                </c:pt>
                <c:pt idx="819" formatCode="_-* #,##0_-;\-* #,##0_-;_-* &quot;-&quot;??_-;_-@_-">
                  <c:v>12036000</c:v>
                </c:pt>
                <c:pt idx="821" formatCode="_-* #,##0_-;\-* #,##0_-;_-* &quot;-&quot;??_-;_-@_-">
                  <c:v>30755300</c:v>
                </c:pt>
                <c:pt idx="822" formatCode="_-* #,##0_-;\-* #,##0_-;_-* &quot;-&quot;??_-;_-@_-">
                  <c:v>10771000</c:v>
                </c:pt>
                <c:pt idx="823" formatCode="_-* #,##0_-;\-* #,##0_-;_-* &quot;-&quot;??_-;_-@_-">
                  <c:v>14949300</c:v>
                </c:pt>
                <c:pt idx="824" formatCode="_-* #,##0_-;\-* #,##0_-;_-* &quot;-&quot;??_-;_-@_-">
                  <c:v>10691300</c:v>
                </c:pt>
                <c:pt idx="826" formatCode="_-* #,##0_-;\-* #,##0_-;_-* &quot;-&quot;??_-;_-@_-">
                  <c:v>20378400</c:v>
                </c:pt>
                <c:pt idx="829" formatCode="_-* #,##0_-;\-* #,##0_-;_-* &quot;-&quot;??_-;_-@_-">
                  <c:v>35365700</c:v>
                </c:pt>
                <c:pt idx="830" formatCode="_-* #,##0_-;\-* #,##0_-;_-* &quot;-&quot;??_-;_-@_-">
                  <c:v>7821700</c:v>
                </c:pt>
                <c:pt idx="831" formatCode="_-* #,##0_-;\-* #,##0_-;_-* &quot;-&quot;??_-;_-@_-">
                  <c:v>15792700</c:v>
                </c:pt>
                <c:pt idx="832" formatCode="_-* #,##0_-;\-* #,##0_-;_-* &quot;-&quot;??_-;_-@_-">
                  <c:v>7652200</c:v>
                </c:pt>
                <c:pt idx="833" formatCode="_-* #,##0_-;\-* #,##0_-;_-* &quot;-&quot;??_-;_-@_-">
                  <c:v>5390000</c:v>
                </c:pt>
                <c:pt idx="835" formatCode="_-* #,##0_-;\-* #,##0_-;_-* &quot;-&quot;??_-;_-@_-">
                  <c:v>45725700</c:v>
                </c:pt>
                <c:pt idx="836" formatCode="_-* #,##0_-;\-* #,##0_-;_-* &quot;-&quot;??_-;_-@_-">
                  <c:v>0</c:v>
                </c:pt>
                <c:pt idx="837" formatCode="_-* #,##0_-;\-* #,##0_-;_-* &quot;-&quot;??_-;_-@_-">
                  <c:v>10802000</c:v>
                </c:pt>
                <c:pt idx="838" formatCode="_-* #,##0_-;\-* #,##0_-;_-* &quot;-&quot;??_-;_-@_-">
                  <c:v>10070000</c:v>
                </c:pt>
                <c:pt idx="839" formatCode="_-* #,##0_-;\-* #,##0_-;_-* &quot;-&quot;??_-;_-@_-">
                  <c:v>14245700</c:v>
                </c:pt>
                <c:pt idx="840" formatCode="_-* #,##0_-;\-* #,##0_-;_-* &quot;-&quot;??_-;_-@_-">
                  <c:v>8735000</c:v>
                </c:pt>
                <c:pt idx="842" formatCode="_-* #,##0_-;\-* #,##0_-;_-* &quot;-&quot;??_-;_-@_-">
                  <c:v>31825000</c:v>
                </c:pt>
                <c:pt idx="846" formatCode="_-* #,##0_-;\-* #,##0_-;_-* &quot;-&quot;??_-;_-@_-">
                  <c:v>16317500</c:v>
                </c:pt>
                <c:pt idx="847" formatCode="_-* #,##0_-;\-* #,##0_-;_-* &quot;-&quot;??_-;_-@_-">
                  <c:v>37002000</c:v>
                </c:pt>
                <c:pt idx="849" formatCode="_-* #,##0_-;\-* #,##0_-;_-* &quot;-&quot;??_-;_-@_-">
                  <c:v>9137500</c:v>
                </c:pt>
                <c:pt idx="851" formatCode="_-* #,##0_-;\-* #,##0_-;_-* &quot;-&quot;??_-;_-@_-">
                  <c:v>56500500</c:v>
                </c:pt>
                <c:pt idx="852" formatCode="_-* #,##0_-;\-* #,##0_-;_-* &quot;-&quot;??_-;_-@_-">
                  <c:v>32963000</c:v>
                </c:pt>
                <c:pt idx="853" formatCode="_-* #,##0_-;\-* #,##0_-;_-* &quot;-&quot;??_-;_-@_-">
                  <c:v>40798000</c:v>
                </c:pt>
                <c:pt idx="854" formatCode="_-* #,##0_-;\-* #,##0_-;_-* &quot;-&quot;??_-;_-@_-">
                  <c:v>53940000</c:v>
                </c:pt>
                <c:pt idx="855" formatCode="_-* #,##0_-;\-* #,##0_-;_-* &quot;-&quot;??_-;_-@_-">
                  <c:v>13509500</c:v>
                </c:pt>
                <c:pt idx="856" formatCode="_-* #,##0_-;\-* #,##0_-;_-* &quot;-&quot;??_-;_-@_-">
                  <c:v>30393000</c:v>
                </c:pt>
                <c:pt idx="857" formatCode="_-* #,##0_-;\-* #,##0_-;_-* &quot;-&quot;??_-;_-@_-">
                  <c:v>21076000</c:v>
                </c:pt>
                <c:pt idx="858" formatCode="_-* #,##0_-;\-* #,##0_-;_-* &quot;-&quot;??_-;_-@_-">
                  <c:v>15007000</c:v>
                </c:pt>
                <c:pt idx="859" formatCode="_-* #,##0_-;\-* #,##0_-;_-* &quot;-&quot;??_-;_-@_-">
                  <c:v>43932000</c:v>
                </c:pt>
                <c:pt idx="860" formatCode="_-* #,##0_-;\-* #,##0_-;_-* &quot;-&quot;??_-;_-@_-">
                  <c:v>19041200</c:v>
                </c:pt>
                <c:pt idx="861" formatCode="_-* #,##0_-;\-* #,##0_-;_-* &quot;-&quot;??_-;_-@_-">
                  <c:v>18470200</c:v>
                </c:pt>
                <c:pt idx="862" formatCode="_-* #,##0_-;\-* #,##0_-;_-* &quot;-&quot;??_-;_-@_-">
                  <c:v>36990000</c:v>
                </c:pt>
                <c:pt idx="863" formatCode="_-* #,##0_-;\-* #,##0_-;_-* &quot;-&quot;??_-;_-@_-">
                  <c:v>22771000</c:v>
                </c:pt>
                <c:pt idx="864" formatCode="_-* #,##0_-;\-* #,##0_-;_-* &quot;-&quot;??_-;_-@_-">
                  <c:v>13497100</c:v>
                </c:pt>
                <c:pt idx="865" formatCode="_-* #,##0_-;\-* #,##0_-;_-* &quot;-&quot;??_-;_-@_-">
                  <c:v>30939000</c:v>
                </c:pt>
                <c:pt idx="866" formatCode="_-* #,##0_-;\-* #,##0_-;_-* &quot;-&quot;??_-;_-@_-">
                  <c:v>20980000</c:v>
                </c:pt>
                <c:pt idx="867" formatCode="_-* #,##0_-;\-* #,##0_-;_-* &quot;-&quot;??_-;_-@_-">
                  <c:v>6090000</c:v>
                </c:pt>
                <c:pt idx="868" formatCode="_-* #,##0_-;\-* #,##0_-;_-* &quot;-&quot;??_-;_-@_-">
                  <c:v>71665000</c:v>
                </c:pt>
                <c:pt idx="869" formatCode="_-* #,##0_-;\-* #,##0_-;_-* &quot;-&quot;??_-;_-@_-">
                  <c:v>38840000</c:v>
                </c:pt>
                <c:pt idx="870" formatCode="_-* #,##0_-;\-* #,##0_-;_-* &quot;-&quot;??_-;_-@_-">
                  <c:v>7825000</c:v>
                </c:pt>
                <c:pt idx="871" formatCode="_-* #,##0_-;\-* #,##0_-;_-* &quot;-&quot;??_-;_-@_-">
                  <c:v>12300000</c:v>
                </c:pt>
                <c:pt idx="872" formatCode="_-* #,##0_-;\-* #,##0_-;_-* &quot;-&quot;??_-;_-@_-">
                  <c:v>7214800</c:v>
                </c:pt>
                <c:pt idx="873" formatCode="_-* #,##0_-;\-* #,##0_-;_-* &quot;-&quot;??_-;_-@_-">
                  <c:v>7615700</c:v>
                </c:pt>
                <c:pt idx="874" formatCode="_-* #,##0_-;\-* #,##0_-;_-* &quot;-&quot;??_-;_-@_-">
                  <c:v>49095500</c:v>
                </c:pt>
                <c:pt idx="875" formatCode="_-* #,##0_-;\-* #,##0_-;_-* &quot;-&quot;??_-;_-@_-">
                  <c:v>20766700</c:v>
                </c:pt>
                <c:pt idx="876" formatCode="_-* #,##0_-;\-* #,##0_-;_-* &quot;-&quot;??_-;_-@_-">
                  <c:v>38233000</c:v>
                </c:pt>
                <c:pt idx="877" formatCode="_-* #,##0_-;\-* #,##0_-;_-* &quot;-&quot;??_-;_-@_-">
                  <c:v>12864300</c:v>
                </c:pt>
                <c:pt idx="878" formatCode="_-* #,##0_-;\-* #,##0_-;_-* &quot;-&quot;??_-;_-@_-">
                  <c:v>37030700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093-4675-8CF1-E99C3E7C4480}"/>
            </c:ext>
          </c:extLst>
        </c:ser>
        <c:ser>
          <c:idx val="43"/>
          <c:order val="43"/>
          <c:tx>
            <c:strRef>
              <c:f>'CASH FLOW'!$AS$1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'CASH FLOW'!$A$2:$A$969</c:f>
              <c:strCache>
                <c:ptCount val="968"/>
                <c:pt idx="0">
                  <c:v>DATE</c:v>
                </c:pt>
                <c:pt idx="2">
                  <c:v>01-Jan-24</c:v>
                </c:pt>
                <c:pt idx="3">
                  <c:v>02-Jan-24</c:v>
                </c:pt>
                <c:pt idx="4">
                  <c:v>03-Jan-24</c:v>
                </c:pt>
                <c:pt idx="5">
                  <c:v>04-Jan-24</c:v>
                </c:pt>
                <c:pt idx="6">
                  <c:v>05-Jan-24</c:v>
                </c:pt>
                <c:pt idx="7">
                  <c:v>06-Jan-24</c:v>
                </c:pt>
                <c:pt idx="8">
                  <c:v>07-Jan-24</c:v>
                </c:pt>
                <c:pt idx="9">
                  <c:v>08-Jan-24</c:v>
                </c:pt>
                <c:pt idx="10">
                  <c:v>09-Jan-24</c:v>
                </c:pt>
                <c:pt idx="11">
                  <c:v>10-Jan-24</c:v>
                </c:pt>
                <c:pt idx="12">
                  <c:v>11-Jan-24</c:v>
                </c:pt>
                <c:pt idx="13">
                  <c:v>12-Jan-24</c:v>
                </c:pt>
                <c:pt idx="14">
                  <c:v>13-Jan-24</c:v>
                </c:pt>
                <c:pt idx="15">
                  <c:v>14-Jan-24</c:v>
                </c:pt>
                <c:pt idx="16">
                  <c:v>15-Jan-24</c:v>
                </c:pt>
                <c:pt idx="17">
                  <c:v>16-Jan-24</c:v>
                </c:pt>
                <c:pt idx="18">
                  <c:v>17-Jan-24</c:v>
                </c:pt>
                <c:pt idx="19">
                  <c:v>18-Jan-24</c:v>
                </c:pt>
                <c:pt idx="20">
                  <c:v>19-Jan-24</c:v>
                </c:pt>
                <c:pt idx="21">
                  <c:v>20-Jan-24</c:v>
                </c:pt>
                <c:pt idx="22">
                  <c:v>21-Jan-24</c:v>
                </c:pt>
                <c:pt idx="23">
                  <c:v>22-Jan-24</c:v>
                </c:pt>
                <c:pt idx="24">
                  <c:v>23-Jan-24</c:v>
                </c:pt>
                <c:pt idx="25">
                  <c:v>24-Jan-24</c:v>
                </c:pt>
                <c:pt idx="26">
                  <c:v>25-Jan-24</c:v>
                </c:pt>
                <c:pt idx="27">
                  <c:v>26-Jan-24</c:v>
                </c:pt>
                <c:pt idx="28">
                  <c:v>27-Jan-24</c:v>
                </c:pt>
                <c:pt idx="29">
                  <c:v>28-Jan-24</c:v>
                </c:pt>
                <c:pt idx="30">
                  <c:v>29-Jan-24</c:v>
                </c:pt>
                <c:pt idx="31">
                  <c:v>30-Jan-24</c:v>
                </c:pt>
                <c:pt idx="32">
                  <c:v>31-Jan-24</c:v>
                </c:pt>
                <c:pt idx="33">
                  <c:v>01-Feb-24</c:v>
                </c:pt>
                <c:pt idx="34">
                  <c:v>02-Feb-24</c:v>
                </c:pt>
                <c:pt idx="35">
                  <c:v>03-Feb-24</c:v>
                </c:pt>
                <c:pt idx="36">
                  <c:v>04-Feb-24</c:v>
                </c:pt>
                <c:pt idx="37">
                  <c:v>05-Feb-24</c:v>
                </c:pt>
                <c:pt idx="38">
                  <c:v>06-Feb-24</c:v>
                </c:pt>
                <c:pt idx="39">
                  <c:v>07-Feb-24</c:v>
                </c:pt>
                <c:pt idx="40">
                  <c:v>08-Feb-24</c:v>
                </c:pt>
                <c:pt idx="41">
                  <c:v>09-Feb-24</c:v>
                </c:pt>
                <c:pt idx="42">
                  <c:v>10-Feb-24</c:v>
                </c:pt>
                <c:pt idx="43">
                  <c:v>11-Feb-24</c:v>
                </c:pt>
                <c:pt idx="44">
                  <c:v>12-Feb-24</c:v>
                </c:pt>
                <c:pt idx="45">
                  <c:v>13-Feb-24</c:v>
                </c:pt>
                <c:pt idx="46">
                  <c:v>14-Feb-24</c:v>
                </c:pt>
                <c:pt idx="47">
                  <c:v>15-Feb-24</c:v>
                </c:pt>
                <c:pt idx="48">
                  <c:v>16-Feb-24</c:v>
                </c:pt>
                <c:pt idx="49">
                  <c:v>17-Feb-24</c:v>
                </c:pt>
                <c:pt idx="50">
                  <c:v>18-Feb-24</c:v>
                </c:pt>
                <c:pt idx="51">
                  <c:v>19-Feb-24</c:v>
                </c:pt>
                <c:pt idx="52">
                  <c:v>20-Feb-24</c:v>
                </c:pt>
                <c:pt idx="53">
                  <c:v>21-Feb-24</c:v>
                </c:pt>
                <c:pt idx="54">
                  <c:v>22-Feb-24</c:v>
                </c:pt>
                <c:pt idx="55">
                  <c:v>23-Feb-24</c:v>
                </c:pt>
                <c:pt idx="56">
                  <c:v>24-Feb-24</c:v>
                </c:pt>
                <c:pt idx="57">
                  <c:v>25-Feb-24</c:v>
                </c:pt>
                <c:pt idx="58">
                  <c:v>26-Feb-24</c:v>
                </c:pt>
                <c:pt idx="59">
                  <c:v>27-Feb-24</c:v>
                </c:pt>
                <c:pt idx="60">
                  <c:v>28-Feb-24</c:v>
                </c:pt>
                <c:pt idx="61">
                  <c:v>29-Feb-24</c:v>
                </c:pt>
                <c:pt idx="62">
                  <c:v>01-Mar-24</c:v>
                </c:pt>
                <c:pt idx="63">
                  <c:v>02-Mar-24</c:v>
                </c:pt>
                <c:pt idx="64">
                  <c:v>03-Mar-24</c:v>
                </c:pt>
                <c:pt idx="65">
                  <c:v>04-Mar-24</c:v>
                </c:pt>
                <c:pt idx="66">
                  <c:v>05-Mar-24</c:v>
                </c:pt>
                <c:pt idx="67">
                  <c:v>06-Mar-24</c:v>
                </c:pt>
                <c:pt idx="68">
                  <c:v>07-Mar-24</c:v>
                </c:pt>
                <c:pt idx="69">
                  <c:v>08-Mar-24</c:v>
                </c:pt>
                <c:pt idx="70">
                  <c:v>09-Mar-24</c:v>
                </c:pt>
                <c:pt idx="71">
                  <c:v>10-Mar-24</c:v>
                </c:pt>
                <c:pt idx="72">
                  <c:v>11-Mar-24</c:v>
                </c:pt>
                <c:pt idx="73">
                  <c:v>12-Mar-24</c:v>
                </c:pt>
                <c:pt idx="74">
                  <c:v>13-Mar-24</c:v>
                </c:pt>
                <c:pt idx="75">
                  <c:v>14-Mar-24</c:v>
                </c:pt>
                <c:pt idx="76">
                  <c:v>15-Mar-24</c:v>
                </c:pt>
                <c:pt idx="77">
                  <c:v>16-Mar-24</c:v>
                </c:pt>
                <c:pt idx="78">
                  <c:v>17-Mar-24</c:v>
                </c:pt>
                <c:pt idx="79">
                  <c:v>18-Mar-24</c:v>
                </c:pt>
                <c:pt idx="80">
                  <c:v>19-Mar-24</c:v>
                </c:pt>
                <c:pt idx="81">
                  <c:v>20-Mar-24</c:v>
                </c:pt>
                <c:pt idx="82">
                  <c:v>21-Mar-24</c:v>
                </c:pt>
                <c:pt idx="83">
                  <c:v>22-Mar-24</c:v>
                </c:pt>
                <c:pt idx="84">
                  <c:v>23-Mar-24</c:v>
                </c:pt>
                <c:pt idx="85">
                  <c:v>24-Mar-24</c:v>
                </c:pt>
                <c:pt idx="86">
                  <c:v>25-Mar-24</c:v>
                </c:pt>
                <c:pt idx="87">
                  <c:v>26-Mar-24</c:v>
                </c:pt>
                <c:pt idx="88">
                  <c:v>27-Mar-24</c:v>
                </c:pt>
                <c:pt idx="89">
                  <c:v>28-Mar-24</c:v>
                </c:pt>
                <c:pt idx="90">
                  <c:v>29-Mar-24</c:v>
                </c:pt>
                <c:pt idx="91">
                  <c:v>30-Mar-24</c:v>
                </c:pt>
                <c:pt idx="92">
                  <c:v>31-Mar-24</c:v>
                </c:pt>
                <c:pt idx="93">
                  <c:v>01-Apr-24</c:v>
                </c:pt>
                <c:pt idx="94">
                  <c:v>02-Apr-24</c:v>
                </c:pt>
                <c:pt idx="95">
                  <c:v>03-Apr-24</c:v>
                </c:pt>
                <c:pt idx="96">
                  <c:v>04-Apr-24</c:v>
                </c:pt>
                <c:pt idx="97">
                  <c:v>05-Apr-24</c:v>
                </c:pt>
                <c:pt idx="98">
                  <c:v>06-Apr-24</c:v>
                </c:pt>
                <c:pt idx="99">
                  <c:v>07-Apr-24</c:v>
                </c:pt>
                <c:pt idx="100">
                  <c:v>08-Apr-24</c:v>
                </c:pt>
                <c:pt idx="101">
                  <c:v>09-Apr-24</c:v>
                </c:pt>
                <c:pt idx="102">
                  <c:v>10-Apr-24</c:v>
                </c:pt>
                <c:pt idx="103">
                  <c:v>11-Apr-24</c:v>
                </c:pt>
                <c:pt idx="104">
                  <c:v>12-Apr-24</c:v>
                </c:pt>
                <c:pt idx="105">
                  <c:v>13-Apr-24</c:v>
                </c:pt>
                <c:pt idx="106">
                  <c:v>14-Apr-24</c:v>
                </c:pt>
                <c:pt idx="107">
                  <c:v>15-Apr-24</c:v>
                </c:pt>
                <c:pt idx="108">
                  <c:v>16-Apr-24</c:v>
                </c:pt>
                <c:pt idx="109">
                  <c:v>17-Apr-24</c:v>
                </c:pt>
                <c:pt idx="110">
                  <c:v>18-Apr-24</c:v>
                </c:pt>
                <c:pt idx="111">
                  <c:v>19-Apr-24</c:v>
                </c:pt>
                <c:pt idx="112">
                  <c:v>20-Apr-24</c:v>
                </c:pt>
                <c:pt idx="113">
                  <c:v>21-Apr-24</c:v>
                </c:pt>
                <c:pt idx="114">
                  <c:v>22-Apr-24</c:v>
                </c:pt>
                <c:pt idx="115">
                  <c:v>23-Apr-24</c:v>
                </c:pt>
                <c:pt idx="116">
                  <c:v>24-Apr-24</c:v>
                </c:pt>
                <c:pt idx="117">
                  <c:v>25-Apr-24</c:v>
                </c:pt>
                <c:pt idx="118">
                  <c:v>26-Apr-24</c:v>
                </c:pt>
                <c:pt idx="119">
                  <c:v>27-Apr-24</c:v>
                </c:pt>
                <c:pt idx="120">
                  <c:v>28-Apr-24</c:v>
                </c:pt>
                <c:pt idx="121">
                  <c:v>29-Apr-24</c:v>
                </c:pt>
                <c:pt idx="122">
                  <c:v>30-Apr-24</c:v>
                </c:pt>
                <c:pt idx="123">
                  <c:v>01-May-24</c:v>
                </c:pt>
                <c:pt idx="124">
                  <c:v>02-May-24</c:v>
                </c:pt>
                <c:pt idx="125">
                  <c:v>03-May-24</c:v>
                </c:pt>
                <c:pt idx="126">
                  <c:v>04-May-24</c:v>
                </c:pt>
                <c:pt idx="127">
                  <c:v>05-May-24</c:v>
                </c:pt>
                <c:pt idx="128">
                  <c:v>06-May-24</c:v>
                </c:pt>
                <c:pt idx="129">
                  <c:v>07-May-24</c:v>
                </c:pt>
                <c:pt idx="130">
                  <c:v>08-May-24</c:v>
                </c:pt>
                <c:pt idx="131">
                  <c:v>09-May-24</c:v>
                </c:pt>
                <c:pt idx="132">
                  <c:v>10-May-24</c:v>
                </c:pt>
                <c:pt idx="133">
                  <c:v>11-May-24</c:v>
                </c:pt>
                <c:pt idx="134">
                  <c:v>12-May-24</c:v>
                </c:pt>
                <c:pt idx="135">
                  <c:v>13-May-24</c:v>
                </c:pt>
                <c:pt idx="136">
                  <c:v>14-May-24</c:v>
                </c:pt>
                <c:pt idx="137">
                  <c:v>15-May-24</c:v>
                </c:pt>
                <c:pt idx="138">
                  <c:v>16-May-24</c:v>
                </c:pt>
                <c:pt idx="139">
                  <c:v>17-May-24</c:v>
                </c:pt>
                <c:pt idx="140">
                  <c:v>18-May-24</c:v>
                </c:pt>
                <c:pt idx="141">
                  <c:v>19-May-24</c:v>
                </c:pt>
                <c:pt idx="142">
                  <c:v>20-May-24</c:v>
                </c:pt>
                <c:pt idx="143">
                  <c:v>21-May-24</c:v>
                </c:pt>
                <c:pt idx="144">
                  <c:v>22-May-24</c:v>
                </c:pt>
                <c:pt idx="145">
                  <c:v>23-May-24</c:v>
                </c:pt>
                <c:pt idx="146">
                  <c:v>24-May-24</c:v>
                </c:pt>
                <c:pt idx="147">
                  <c:v>25-May-24</c:v>
                </c:pt>
                <c:pt idx="148">
                  <c:v>26-May-24</c:v>
                </c:pt>
                <c:pt idx="149">
                  <c:v>27-May-24</c:v>
                </c:pt>
                <c:pt idx="150">
                  <c:v>28-May-24</c:v>
                </c:pt>
                <c:pt idx="151">
                  <c:v>29-May-24</c:v>
                </c:pt>
                <c:pt idx="152">
                  <c:v>30-May-24</c:v>
                </c:pt>
                <c:pt idx="153">
                  <c:v>31-May-24</c:v>
                </c:pt>
                <c:pt idx="154">
                  <c:v>01-Jun-24</c:v>
                </c:pt>
                <c:pt idx="155">
                  <c:v>02-Jun-24</c:v>
                </c:pt>
                <c:pt idx="156">
                  <c:v>03-Jun-24</c:v>
                </c:pt>
                <c:pt idx="157">
                  <c:v>04-Jun-24</c:v>
                </c:pt>
                <c:pt idx="158">
                  <c:v>05-Jun-24</c:v>
                </c:pt>
                <c:pt idx="159">
                  <c:v>06-Jun-24</c:v>
                </c:pt>
                <c:pt idx="160">
                  <c:v>07-Jun-24</c:v>
                </c:pt>
                <c:pt idx="161">
                  <c:v>08-Jun-24</c:v>
                </c:pt>
                <c:pt idx="162">
                  <c:v>09-Jun-24</c:v>
                </c:pt>
                <c:pt idx="163">
                  <c:v>10-Jun-24</c:v>
                </c:pt>
                <c:pt idx="164">
                  <c:v>11-Jun-24</c:v>
                </c:pt>
                <c:pt idx="165">
                  <c:v>12-Jun-24</c:v>
                </c:pt>
                <c:pt idx="166">
                  <c:v>13-Jun-24</c:v>
                </c:pt>
                <c:pt idx="167">
                  <c:v>14-Jun-24</c:v>
                </c:pt>
                <c:pt idx="168">
                  <c:v>15-Jun-24</c:v>
                </c:pt>
                <c:pt idx="169">
                  <c:v>16-Jun-24</c:v>
                </c:pt>
                <c:pt idx="170">
                  <c:v>17-Jun-24</c:v>
                </c:pt>
                <c:pt idx="171">
                  <c:v>18-Jun-24</c:v>
                </c:pt>
                <c:pt idx="172">
                  <c:v>19-Jun-24</c:v>
                </c:pt>
                <c:pt idx="173">
                  <c:v>20-Jun-24</c:v>
                </c:pt>
                <c:pt idx="174">
                  <c:v>21-Jun-24</c:v>
                </c:pt>
                <c:pt idx="175">
                  <c:v>22-Jun-24</c:v>
                </c:pt>
                <c:pt idx="176">
                  <c:v>23-Jun-24</c:v>
                </c:pt>
                <c:pt idx="177">
                  <c:v>24-Jun-24</c:v>
                </c:pt>
                <c:pt idx="178">
                  <c:v>25-Jun-24</c:v>
                </c:pt>
                <c:pt idx="179">
                  <c:v>26-Jun-24</c:v>
                </c:pt>
                <c:pt idx="180">
                  <c:v>27-Jun-24</c:v>
                </c:pt>
                <c:pt idx="181">
                  <c:v>28-Jun-24</c:v>
                </c:pt>
                <c:pt idx="182">
                  <c:v>29-Jun-24</c:v>
                </c:pt>
                <c:pt idx="183">
                  <c:v>30-Jun-24</c:v>
                </c:pt>
                <c:pt idx="184">
                  <c:v>01-Jul-24</c:v>
                </c:pt>
                <c:pt idx="185">
                  <c:v>02-Jul-24</c:v>
                </c:pt>
                <c:pt idx="186">
                  <c:v>03-Jul-24</c:v>
                </c:pt>
                <c:pt idx="187">
                  <c:v>04-Jul-24</c:v>
                </c:pt>
                <c:pt idx="188">
                  <c:v>05-Jul-24</c:v>
                </c:pt>
                <c:pt idx="189">
                  <c:v>06-Jul-24</c:v>
                </c:pt>
                <c:pt idx="190">
                  <c:v>07-Jul-24</c:v>
                </c:pt>
                <c:pt idx="191">
                  <c:v>08-Jul-24</c:v>
                </c:pt>
                <c:pt idx="192">
                  <c:v>09-Jul-24</c:v>
                </c:pt>
                <c:pt idx="193">
                  <c:v>10-Jul-24</c:v>
                </c:pt>
                <c:pt idx="194">
                  <c:v>11-Jul-24</c:v>
                </c:pt>
                <c:pt idx="195">
                  <c:v>12-Jul-24</c:v>
                </c:pt>
                <c:pt idx="196">
                  <c:v>13-Jul-24</c:v>
                </c:pt>
                <c:pt idx="197">
                  <c:v>14-Jul-24</c:v>
                </c:pt>
                <c:pt idx="198">
                  <c:v>15-Jul-24</c:v>
                </c:pt>
                <c:pt idx="199">
                  <c:v>16-Jul-24</c:v>
                </c:pt>
                <c:pt idx="200">
                  <c:v>17-Jul-24</c:v>
                </c:pt>
                <c:pt idx="201">
                  <c:v>18-Jul-24</c:v>
                </c:pt>
                <c:pt idx="202">
                  <c:v>19-Jul-24</c:v>
                </c:pt>
                <c:pt idx="203">
                  <c:v>20-Jul-24</c:v>
                </c:pt>
                <c:pt idx="204">
                  <c:v>21-Jul-24</c:v>
                </c:pt>
                <c:pt idx="205">
                  <c:v>22-Jul-24</c:v>
                </c:pt>
                <c:pt idx="206">
                  <c:v>23-Jul-24</c:v>
                </c:pt>
                <c:pt idx="207">
                  <c:v>24-Jul-24</c:v>
                </c:pt>
                <c:pt idx="208">
                  <c:v>25-Jul-24</c:v>
                </c:pt>
                <c:pt idx="209">
                  <c:v>26-Jul-24</c:v>
                </c:pt>
                <c:pt idx="210">
                  <c:v>27-Jul-24</c:v>
                </c:pt>
                <c:pt idx="211">
                  <c:v>28-Jul-24</c:v>
                </c:pt>
                <c:pt idx="212">
                  <c:v>29-Jul-24</c:v>
                </c:pt>
                <c:pt idx="213">
                  <c:v>30-Jul-24</c:v>
                </c:pt>
                <c:pt idx="214">
                  <c:v>31-Jul-24</c:v>
                </c:pt>
                <c:pt idx="215">
                  <c:v>01-Aug-24</c:v>
                </c:pt>
                <c:pt idx="216">
                  <c:v>02-Aug-24</c:v>
                </c:pt>
                <c:pt idx="217">
                  <c:v>03-Aug-24</c:v>
                </c:pt>
                <c:pt idx="218">
                  <c:v>04-Aug-24</c:v>
                </c:pt>
                <c:pt idx="219">
                  <c:v>05-Aug-24</c:v>
                </c:pt>
                <c:pt idx="220">
                  <c:v>06-Aug-24</c:v>
                </c:pt>
                <c:pt idx="221">
                  <c:v>07-Aug-24</c:v>
                </c:pt>
                <c:pt idx="222">
                  <c:v>08-Aug-24</c:v>
                </c:pt>
                <c:pt idx="223">
                  <c:v>09-Aug-24</c:v>
                </c:pt>
                <c:pt idx="224">
                  <c:v>10-Aug-24</c:v>
                </c:pt>
                <c:pt idx="225">
                  <c:v>11-Aug-24</c:v>
                </c:pt>
                <c:pt idx="226">
                  <c:v>12-Aug-24</c:v>
                </c:pt>
                <c:pt idx="227">
                  <c:v>13-Aug-24</c:v>
                </c:pt>
                <c:pt idx="228">
                  <c:v>14-Aug-24</c:v>
                </c:pt>
                <c:pt idx="229">
                  <c:v>15-Aug-24</c:v>
                </c:pt>
                <c:pt idx="230">
                  <c:v>16-Aug-24</c:v>
                </c:pt>
                <c:pt idx="231">
                  <c:v>17-Aug-24</c:v>
                </c:pt>
                <c:pt idx="232">
                  <c:v>18-Aug-24</c:v>
                </c:pt>
                <c:pt idx="233">
                  <c:v>19-Aug-24</c:v>
                </c:pt>
                <c:pt idx="234">
                  <c:v>20-Aug-24</c:v>
                </c:pt>
                <c:pt idx="235">
                  <c:v>21-Aug-24</c:v>
                </c:pt>
                <c:pt idx="236">
                  <c:v>22-Aug-24</c:v>
                </c:pt>
                <c:pt idx="237">
                  <c:v>23-Aug-24</c:v>
                </c:pt>
                <c:pt idx="238">
                  <c:v>24-Aug-24</c:v>
                </c:pt>
                <c:pt idx="239">
                  <c:v>25-Aug-24</c:v>
                </c:pt>
                <c:pt idx="240">
                  <c:v>26-Aug-24</c:v>
                </c:pt>
                <c:pt idx="241">
                  <c:v>27-Aug-24</c:v>
                </c:pt>
                <c:pt idx="242">
                  <c:v>28-Aug-24</c:v>
                </c:pt>
                <c:pt idx="243">
                  <c:v>29-Aug-24</c:v>
                </c:pt>
                <c:pt idx="244">
                  <c:v>30-Aug-24</c:v>
                </c:pt>
                <c:pt idx="245">
                  <c:v>31-Aug-24</c:v>
                </c:pt>
                <c:pt idx="246">
                  <c:v>01-Sep-24</c:v>
                </c:pt>
                <c:pt idx="247">
                  <c:v>02-Sep-24</c:v>
                </c:pt>
                <c:pt idx="248">
                  <c:v>03-Sep-24</c:v>
                </c:pt>
                <c:pt idx="249">
                  <c:v>04-Sep-24</c:v>
                </c:pt>
                <c:pt idx="250">
                  <c:v>05-Sep-24</c:v>
                </c:pt>
                <c:pt idx="251">
                  <c:v>06-Sep-24</c:v>
                </c:pt>
                <c:pt idx="252">
                  <c:v>07-Sep-24</c:v>
                </c:pt>
                <c:pt idx="253">
                  <c:v>08-Sep-24</c:v>
                </c:pt>
                <c:pt idx="254">
                  <c:v>09-Sep-24</c:v>
                </c:pt>
                <c:pt idx="255">
                  <c:v>10-Sep-24</c:v>
                </c:pt>
                <c:pt idx="256">
                  <c:v>11-Sep-24</c:v>
                </c:pt>
                <c:pt idx="257">
                  <c:v>12-Sep-24</c:v>
                </c:pt>
                <c:pt idx="258">
                  <c:v>13-Sep-24</c:v>
                </c:pt>
                <c:pt idx="259">
                  <c:v>14-Sep-24</c:v>
                </c:pt>
                <c:pt idx="260">
                  <c:v>15-Sep-24</c:v>
                </c:pt>
                <c:pt idx="261">
                  <c:v>16-Sep-24</c:v>
                </c:pt>
                <c:pt idx="262">
                  <c:v>17-Sep-24</c:v>
                </c:pt>
                <c:pt idx="263">
                  <c:v>18-Sep-24</c:v>
                </c:pt>
                <c:pt idx="264">
                  <c:v>19-Sep-24</c:v>
                </c:pt>
                <c:pt idx="265">
                  <c:v>20-Sep-24</c:v>
                </c:pt>
                <c:pt idx="266">
                  <c:v>21-Sep-24</c:v>
                </c:pt>
                <c:pt idx="267">
                  <c:v>22-Sep-24</c:v>
                </c:pt>
                <c:pt idx="268">
                  <c:v>23-Sep-24</c:v>
                </c:pt>
                <c:pt idx="269">
                  <c:v>24-Sep-24</c:v>
                </c:pt>
                <c:pt idx="270">
                  <c:v>25-Sep-24</c:v>
                </c:pt>
                <c:pt idx="271">
                  <c:v>26-Sep-24</c:v>
                </c:pt>
                <c:pt idx="272">
                  <c:v>27-Sep-24</c:v>
                </c:pt>
                <c:pt idx="273">
                  <c:v>28-Sep-24</c:v>
                </c:pt>
                <c:pt idx="274">
                  <c:v>29-Sep-24</c:v>
                </c:pt>
                <c:pt idx="275">
                  <c:v>30-Sep-24</c:v>
                </c:pt>
                <c:pt idx="276">
                  <c:v>01-Oct-24</c:v>
                </c:pt>
                <c:pt idx="277">
                  <c:v>02-Oct-24</c:v>
                </c:pt>
                <c:pt idx="278">
                  <c:v>03-Oct-24</c:v>
                </c:pt>
                <c:pt idx="279">
                  <c:v>04-Oct-24</c:v>
                </c:pt>
                <c:pt idx="280">
                  <c:v>05-Oct-24</c:v>
                </c:pt>
                <c:pt idx="281">
                  <c:v>06-Oct-24</c:v>
                </c:pt>
                <c:pt idx="282">
                  <c:v>07-Oct-24</c:v>
                </c:pt>
                <c:pt idx="283">
                  <c:v>08-Oct-24</c:v>
                </c:pt>
                <c:pt idx="284">
                  <c:v>09-Oct-24</c:v>
                </c:pt>
                <c:pt idx="285">
                  <c:v>10-Oct-24</c:v>
                </c:pt>
                <c:pt idx="286">
                  <c:v>11-Oct-24</c:v>
                </c:pt>
                <c:pt idx="287">
                  <c:v>12-Oct-24</c:v>
                </c:pt>
                <c:pt idx="288">
                  <c:v>13-Oct-24</c:v>
                </c:pt>
                <c:pt idx="289">
                  <c:v>14-Oct-24</c:v>
                </c:pt>
                <c:pt idx="290">
                  <c:v>15-Oct-24</c:v>
                </c:pt>
                <c:pt idx="291">
                  <c:v>16-Oct-24</c:v>
                </c:pt>
                <c:pt idx="292">
                  <c:v>17-Oct-24</c:v>
                </c:pt>
                <c:pt idx="293">
                  <c:v>18-Oct-24</c:v>
                </c:pt>
                <c:pt idx="294">
                  <c:v>19-Oct-24</c:v>
                </c:pt>
                <c:pt idx="295">
                  <c:v>20-Oct-24</c:v>
                </c:pt>
                <c:pt idx="296">
                  <c:v>21-Oct-24</c:v>
                </c:pt>
                <c:pt idx="297">
                  <c:v>22-Oct-24</c:v>
                </c:pt>
                <c:pt idx="298">
                  <c:v>23-Oct-24</c:v>
                </c:pt>
                <c:pt idx="299">
                  <c:v>24-Oct-24</c:v>
                </c:pt>
                <c:pt idx="300">
                  <c:v>25-Oct-24</c:v>
                </c:pt>
                <c:pt idx="301">
                  <c:v>26-Oct-24</c:v>
                </c:pt>
                <c:pt idx="302">
                  <c:v>27-Oct-24</c:v>
                </c:pt>
                <c:pt idx="303">
                  <c:v>28-Oct-24</c:v>
                </c:pt>
                <c:pt idx="304">
                  <c:v>29-Oct-24</c:v>
                </c:pt>
                <c:pt idx="305">
                  <c:v>30-Oct-24</c:v>
                </c:pt>
                <c:pt idx="306">
                  <c:v>31-Oct-24</c:v>
                </c:pt>
                <c:pt idx="307">
                  <c:v>01-Nov-24</c:v>
                </c:pt>
                <c:pt idx="308">
                  <c:v>02-Nov-24</c:v>
                </c:pt>
                <c:pt idx="309">
                  <c:v>03-Nov-24</c:v>
                </c:pt>
                <c:pt idx="310">
                  <c:v>04-Nov-24</c:v>
                </c:pt>
                <c:pt idx="311">
                  <c:v>05-Nov-24</c:v>
                </c:pt>
                <c:pt idx="312">
                  <c:v>06-Nov-24</c:v>
                </c:pt>
                <c:pt idx="313">
                  <c:v>07-Nov-24</c:v>
                </c:pt>
                <c:pt idx="314">
                  <c:v>08-Nov-24</c:v>
                </c:pt>
                <c:pt idx="315">
                  <c:v>09-Nov-24</c:v>
                </c:pt>
                <c:pt idx="316">
                  <c:v>10-Nov-24</c:v>
                </c:pt>
                <c:pt idx="317">
                  <c:v>11-Nov-24</c:v>
                </c:pt>
                <c:pt idx="318">
                  <c:v>12-Nov-24</c:v>
                </c:pt>
                <c:pt idx="319">
                  <c:v>13-Nov-24</c:v>
                </c:pt>
                <c:pt idx="320">
                  <c:v>14-Nov-24</c:v>
                </c:pt>
                <c:pt idx="321">
                  <c:v>15-Nov-24</c:v>
                </c:pt>
                <c:pt idx="322">
                  <c:v>16-Nov-24</c:v>
                </c:pt>
                <c:pt idx="323">
                  <c:v>17-Nov-24</c:v>
                </c:pt>
                <c:pt idx="324">
                  <c:v>18-Nov-24</c:v>
                </c:pt>
                <c:pt idx="325">
                  <c:v>19-Nov-24</c:v>
                </c:pt>
                <c:pt idx="326">
                  <c:v>20-Nov-24</c:v>
                </c:pt>
                <c:pt idx="327">
                  <c:v>21-Nov-24</c:v>
                </c:pt>
                <c:pt idx="328">
                  <c:v>22-Nov-24</c:v>
                </c:pt>
                <c:pt idx="329">
                  <c:v>23-Nov-24</c:v>
                </c:pt>
                <c:pt idx="330">
                  <c:v>24-Nov-24</c:v>
                </c:pt>
                <c:pt idx="331">
                  <c:v>25-Nov-24</c:v>
                </c:pt>
                <c:pt idx="332">
                  <c:v>26-Nov-24</c:v>
                </c:pt>
                <c:pt idx="333">
                  <c:v>27-Nov-24</c:v>
                </c:pt>
                <c:pt idx="334">
                  <c:v>28-Nov-24</c:v>
                </c:pt>
                <c:pt idx="335">
                  <c:v>29-Nov-24</c:v>
                </c:pt>
                <c:pt idx="336">
                  <c:v>30-Nov-24</c:v>
                </c:pt>
                <c:pt idx="337">
                  <c:v>01-Dec-24</c:v>
                </c:pt>
                <c:pt idx="338">
                  <c:v>02-Dec-24</c:v>
                </c:pt>
                <c:pt idx="339">
                  <c:v>03-Dec-24</c:v>
                </c:pt>
                <c:pt idx="340">
                  <c:v>04-Dec-24</c:v>
                </c:pt>
                <c:pt idx="341">
                  <c:v>05-Dec-24</c:v>
                </c:pt>
                <c:pt idx="342">
                  <c:v>06-Dec-24</c:v>
                </c:pt>
                <c:pt idx="343">
                  <c:v>07-Dec-24</c:v>
                </c:pt>
                <c:pt idx="344">
                  <c:v>08-Dec-24</c:v>
                </c:pt>
                <c:pt idx="345">
                  <c:v>09-Dec-24</c:v>
                </c:pt>
                <c:pt idx="346">
                  <c:v>10-Dec-24</c:v>
                </c:pt>
                <c:pt idx="347">
                  <c:v>11-Dec-24</c:v>
                </c:pt>
                <c:pt idx="348">
                  <c:v>12-Dec-24</c:v>
                </c:pt>
                <c:pt idx="349">
                  <c:v>13-Dec-24</c:v>
                </c:pt>
                <c:pt idx="350">
                  <c:v>14-Dec-24</c:v>
                </c:pt>
                <c:pt idx="351">
                  <c:v>15-Dec-24</c:v>
                </c:pt>
                <c:pt idx="352">
                  <c:v>16-Dec-24</c:v>
                </c:pt>
                <c:pt idx="353">
                  <c:v>17-Dec-24</c:v>
                </c:pt>
                <c:pt idx="354">
                  <c:v>18-Dec-24</c:v>
                </c:pt>
                <c:pt idx="355">
                  <c:v>19-Dec-24</c:v>
                </c:pt>
                <c:pt idx="356">
                  <c:v>20-Dec-24</c:v>
                </c:pt>
                <c:pt idx="357">
                  <c:v>21-Dec-24</c:v>
                </c:pt>
                <c:pt idx="358">
                  <c:v>22-Dec-24</c:v>
                </c:pt>
                <c:pt idx="359">
                  <c:v>23-Dec-24</c:v>
                </c:pt>
                <c:pt idx="360">
                  <c:v>24-Dec-24</c:v>
                </c:pt>
                <c:pt idx="361">
                  <c:v>25-Dec-24</c:v>
                </c:pt>
                <c:pt idx="362">
                  <c:v>26-Dec-24</c:v>
                </c:pt>
                <c:pt idx="363">
                  <c:v>27-Dec-24</c:v>
                </c:pt>
                <c:pt idx="364">
                  <c:v>28-Dec-24</c:v>
                </c:pt>
                <c:pt idx="365">
                  <c:v>29-Dec-24</c:v>
                </c:pt>
                <c:pt idx="366">
                  <c:v>30-Dec-24</c:v>
                </c:pt>
                <c:pt idx="367">
                  <c:v>31-Dec-24</c:v>
                </c:pt>
                <c:pt idx="368">
                  <c:v>01-Jan-25</c:v>
                </c:pt>
                <c:pt idx="369">
                  <c:v>02-Jan-25</c:v>
                </c:pt>
                <c:pt idx="370">
                  <c:v>03-Jan-25</c:v>
                </c:pt>
                <c:pt idx="371">
                  <c:v>04-Jan-25</c:v>
                </c:pt>
                <c:pt idx="372">
                  <c:v>05-Jan-25</c:v>
                </c:pt>
                <c:pt idx="373">
                  <c:v>06-Jan-25</c:v>
                </c:pt>
                <c:pt idx="374">
                  <c:v>07-Jan-25</c:v>
                </c:pt>
                <c:pt idx="375">
                  <c:v>08-Jan-25</c:v>
                </c:pt>
                <c:pt idx="376">
                  <c:v>09-Jan-25</c:v>
                </c:pt>
                <c:pt idx="377">
                  <c:v>10-Jan-25</c:v>
                </c:pt>
                <c:pt idx="378">
                  <c:v>11-Jan-25</c:v>
                </c:pt>
                <c:pt idx="379">
                  <c:v>12-Jan-25</c:v>
                </c:pt>
                <c:pt idx="380">
                  <c:v>13-Jan-25</c:v>
                </c:pt>
                <c:pt idx="381">
                  <c:v>14-Jan-25</c:v>
                </c:pt>
                <c:pt idx="382">
                  <c:v>15-Jan-25</c:v>
                </c:pt>
                <c:pt idx="383">
                  <c:v>16-Jan-25</c:v>
                </c:pt>
                <c:pt idx="384">
                  <c:v>17-Jan-25</c:v>
                </c:pt>
                <c:pt idx="385">
                  <c:v>18-Jan-25</c:v>
                </c:pt>
                <c:pt idx="386">
                  <c:v>19-Jan-25</c:v>
                </c:pt>
                <c:pt idx="387">
                  <c:v>20-Jan-25</c:v>
                </c:pt>
                <c:pt idx="388">
                  <c:v>21-Jan-25</c:v>
                </c:pt>
                <c:pt idx="389">
                  <c:v>22-Jan-25</c:v>
                </c:pt>
                <c:pt idx="390">
                  <c:v>23-Jan-25</c:v>
                </c:pt>
                <c:pt idx="391">
                  <c:v>24-Jan-25</c:v>
                </c:pt>
                <c:pt idx="392">
                  <c:v>25-Jan-25</c:v>
                </c:pt>
                <c:pt idx="393">
                  <c:v>26-Jan-25</c:v>
                </c:pt>
                <c:pt idx="394">
                  <c:v>27-Jan-25</c:v>
                </c:pt>
                <c:pt idx="395">
                  <c:v>28-Jan-25</c:v>
                </c:pt>
                <c:pt idx="396">
                  <c:v>29-Jan-25</c:v>
                </c:pt>
                <c:pt idx="397">
                  <c:v>30-Jan-25</c:v>
                </c:pt>
                <c:pt idx="398">
                  <c:v>31-Jan-25</c:v>
                </c:pt>
                <c:pt idx="399">
                  <c:v>01-Feb-25</c:v>
                </c:pt>
                <c:pt idx="400">
                  <c:v>02-Feb-25</c:v>
                </c:pt>
                <c:pt idx="401">
                  <c:v>03-Feb-25</c:v>
                </c:pt>
                <c:pt idx="402">
                  <c:v>04-Feb-25</c:v>
                </c:pt>
                <c:pt idx="403">
                  <c:v>05-Feb-25</c:v>
                </c:pt>
                <c:pt idx="404">
                  <c:v>06-Feb-25</c:v>
                </c:pt>
                <c:pt idx="405">
                  <c:v>07-Feb-25</c:v>
                </c:pt>
                <c:pt idx="406">
                  <c:v>08-Feb-25</c:v>
                </c:pt>
                <c:pt idx="407">
                  <c:v>09-Feb-25</c:v>
                </c:pt>
                <c:pt idx="408">
                  <c:v>10-Feb-25</c:v>
                </c:pt>
                <c:pt idx="409">
                  <c:v>11-Feb-25</c:v>
                </c:pt>
                <c:pt idx="410">
                  <c:v>12-Feb-25</c:v>
                </c:pt>
                <c:pt idx="411">
                  <c:v>13-Feb-25</c:v>
                </c:pt>
                <c:pt idx="412">
                  <c:v>14-Feb-25</c:v>
                </c:pt>
                <c:pt idx="413">
                  <c:v>15-Feb-25</c:v>
                </c:pt>
                <c:pt idx="414">
                  <c:v>16-Feb-25</c:v>
                </c:pt>
                <c:pt idx="415">
                  <c:v>17-Feb-25</c:v>
                </c:pt>
                <c:pt idx="416">
                  <c:v>18-Feb-25</c:v>
                </c:pt>
                <c:pt idx="417">
                  <c:v>19-Feb-25</c:v>
                </c:pt>
                <c:pt idx="418">
                  <c:v>20-Feb-25</c:v>
                </c:pt>
                <c:pt idx="419">
                  <c:v>21-Feb-25</c:v>
                </c:pt>
                <c:pt idx="420">
                  <c:v>22-Feb-25</c:v>
                </c:pt>
                <c:pt idx="421">
                  <c:v>23-Feb-25</c:v>
                </c:pt>
                <c:pt idx="422">
                  <c:v>24-Feb-25</c:v>
                </c:pt>
                <c:pt idx="423">
                  <c:v>25-Feb-25</c:v>
                </c:pt>
                <c:pt idx="424">
                  <c:v>26-Feb-25</c:v>
                </c:pt>
                <c:pt idx="425">
                  <c:v>27-Feb-25</c:v>
                </c:pt>
                <c:pt idx="426">
                  <c:v>28-Feb-25</c:v>
                </c:pt>
                <c:pt idx="427">
                  <c:v>01-Mar-25</c:v>
                </c:pt>
                <c:pt idx="428">
                  <c:v>02-Mar-25</c:v>
                </c:pt>
                <c:pt idx="429">
                  <c:v>03-Mar-25</c:v>
                </c:pt>
                <c:pt idx="430">
                  <c:v>04-Mar-25</c:v>
                </c:pt>
                <c:pt idx="431">
                  <c:v>05-Mar-25</c:v>
                </c:pt>
                <c:pt idx="432">
                  <c:v>06-Mar-25</c:v>
                </c:pt>
                <c:pt idx="433">
                  <c:v>07-Mar-25</c:v>
                </c:pt>
                <c:pt idx="434">
                  <c:v>08-Mar-25</c:v>
                </c:pt>
                <c:pt idx="435">
                  <c:v>09-Mar-25</c:v>
                </c:pt>
                <c:pt idx="436">
                  <c:v>10-Mar-25</c:v>
                </c:pt>
                <c:pt idx="437">
                  <c:v>11-Mar-25</c:v>
                </c:pt>
                <c:pt idx="438">
                  <c:v>12-Mar-25</c:v>
                </c:pt>
                <c:pt idx="439">
                  <c:v>13-Mar-25</c:v>
                </c:pt>
                <c:pt idx="440">
                  <c:v>14-Mar-25</c:v>
                </c:pt>
                <c:pt idx="441">
                  <c:v>15-Mar-25</c:v>
                </c:pt>
                <c:pt idx="442">
                  <c:v>16-Mar-25</c:v>
                </c:pt>
                <c:pt idx="443">
                  <c:v>17-Mar-25</c:v>
                </c:pt>
                <c:pt idx="444">
                  <c:v>18-Mar-25</c:v>
                </c:pt>
                <c:pt idx="445">
                  <c:v>19-Mar-25</c:v>
                </c:pt>
                <c:pt idx="446">
                  <c:v>20-Mar-25</c:v>
                </c:pt>
                <c:pt idx="447">
                  <c:v>21-Mar-25</c:v>
                </c:pt>
                <c:pt idx="448">
                  <c:v>22-Mar-25</c:v>
                </c:pt>
                <c:pt idx="449">
                  <c:v>23-Mar-25</c:v>
                </c:pt>
                <c:pt idx="450">
                  <c:v>24-Mar-25</c:v>
                </c:pt>
                <c:pt idx="451">
                  <c:v>25-Mar-25</c:v>
                </c:pt>
                <c:pt idx="452">
                  <c:v>26-Mar-25</c:v>
                </c:pt>
                <c:pt idx="453">
                  <c:v>27-Mar-25</c:v>
                </c:pt>
                <c:pt idx="454">
                  <c:v>28-Mar-25</c:v>
                </c:pt>
                <c:pt idx="455">
                  <c:v>29-Mar-25</c:v>
                </c:pt>
                <c:pt idx="456">
                  <c:v>30-Mar-25</c:v>
                </c:pt>
                <c:pt idx="457">
                  <c:v>31-Mar-25</c:v>
                </c:pt>
                <c:pt idx="458">
                  <c:v>01-Apr-25</c:v>
                </c:pt>
                <c:pt idx="459">
                  <c:v>02-Apr-25</c:v>
                </c:pt>
                <c:pt idx="460">
                  <c:v>03-Apr-25</c:v>
                </c:pt>
                <c:pt idx="461">
                  <c:v>04-Apr-25</c:v>
                </c:pt>
                <c:pt idx="462">
                  <c:v>05-Apr-25</c:v>
                </c:pt>
                <c:pt idx="463">
                  <c:v>06-Apr-25</c:v>
                </c:pt>
                <c:pt idx="464">
                  <c:v>07-Apr-25</c:v>
                </c:pt>
                <c:pt idx="465">
                  <c:v>08-Apr-25</c:v>
                </c:pt>
                <c:pt idx="466">
                  <c:v>09-Apr-25</c:v>
                </c:pt>
                <c:pt idx="467">
                  <c:v>10-Apr-25</c:v>
                </c:pt>
                <c:pt idx="468">
                  <c:v>11-Apr-25</c:v>
                </c:pt>
                <c:pt idx="469">
                  <c:v>12-Apr-25</c:v>
                </c:pt>
                <c:pt idx="470">
                  <c:v>13-Apr-25</c:v>
                </c:pt>
                <c:pt idx="471">
                  <c:v>14-Apr-25</c:v>
                </c:pt>
                <c:pt idx="472">
                  <c:v>15-Apr-25</c:v>
                </c:pt>
                <c:pt idx="473">
                  <c:v>16-Apr-25</c:v>
                </c:pt>
                <c:pt idx="474">
                  <c:v>17-Apr-25</c:v>
                </c:pt>
                <c:pt idx="475">
                  <c:v>18-Apr-25</c:v>
                </c:pt>
                <c:pt idx="476">
                  <c:v>19-Apr-25</c:v>
                </c:pt>
                <c:pt idx="477">
                  <c:v>20-Apr-25</c:v>
                </c:pt>
                <c:pt idx="478">
                  <c:v>21-Apr-25</c:v>
                </c:pt>
                <c:pt idx="479">
                  <c:v>22-Apr-25</c:v>
                </c:pt>
                <c:pt idx="480">
                  <c:v>23-Apr-25</c:v>
                </c:pt>
                <c:pt idx="481">
                  <c:v>24-Apr-25</c:v>
                </c:pt>
                <c:pt idx="482">
                  <c:v>25-Apr-25</c:v>
                </c:pt>
                <c:pt idx="483">
                  <c:v>26-Apr-25</c:v>
                </c:pt>
                <c:pt idx="484">
                  <c:v>27-Apr-25</c:v>
                </c:pt>
                <c:pt idx="485">
                  <c:v>28-Apr-25</c:v>
                </c:pt>
                <c:pt idx="486">
                  <c:v>29-Apr-25</c:v>
                </c:pt>
                <c:pt idx="487">
                  <c:v>30-Apr-25</c:v>
                </c:pt>
                <c:pt idx="488">
                  <c:v>01-May-25</c:v>
                </c:pt>
                <c:pt idx="489">
                  <c:v>02-May-25</c:v>
                </c:pt>
                <c:pt idx="490">
                  <c:v>03-May-25</c:v>
                </c:pt>
                <c:pt idx="491">
                  <c:v>04-May-25</c:v>
                </c:pt>
                <c:pt idx="492">
                  <c:v>05-May-25</c:v>
                </c:pt>
                <c:pt idx="493">
                  <c:v>06-May-25</c:v>
                </c:pt>
                <c:pt idx="494">
                  <c:v>07-May-25</c:v>
                </c:pt>
                <c:pt idx="495">
                  <c:v>08-May-25</c:v>
                </c:pt>
                <c:pt idx="496">
                  <c:v>09-May-25</c:v>
                </c:pt>
                <c:pt idx="497">
                  <c:v>10-May-25</c:v>
                </c:pt>
                <c:pt idx="498">
                  <c:v>11-May-25</c:v>
                </c:pt>
                <c:pt idx="499">
                  <c:v>12-May-25</c:v>
                </c:pt>
                <c:pt idx="500">
                  <c:v>13-May-25</c:v>
                </c:pt>
                <c:pt idx="501">
                  <c:v>14-May-25</c:v>
                </c:pt>
                <c:pt idx="502">
                  <c:v>15-May-25</c:v>
                </c:pt>
                <c:pt idx="503">
                  <c:v>16-May-25</c:v>
                </c:pt>
                <c:pt idx="504">
                  <c:v>17-May-25</c:v>
                </c:pt>
                <c:pt idx="505">
                  <c:v>18-May-25</c:v>
                </c:pt>
                <c:pt idx="506">
                  <c:v>19-May-25</c:v>
                </c:pt>
                <c:pt idx="507">
                  <c:v>20-May-25</c:v>
                </c:pt>
                <c:pt idx="508">
                  <c:v>21-May-25</c:v>
                </c:pt>
                <c:pt idx="509">
                  <c:v>22-May-25</c:v>
                </c:pt>
                <c:pt idx="510">
                  <c:v>23-May-25</c:v>
                </c:pt>
                <c:pt idx="511">
                  <c:v>24-May-25</c:v>
                </c:pt>
                <c:pt idx="512">
                  <c:v>25-May-25</c:v>
                </c:pt>
                <c:pt idx="513">
                  <c:v>26-May-25</c:v>
                </c:pt>
                <c:pt idx="514">
                  <c:v>27-May-25</c:v>
                </c:pt>
                <c:pt idx="515">
                  <c:v>28-May-25</c:v>
                </c:pt>
                <c:pt idx="516">
                  <c:v>29-May-25</c:v>
                </c:pt>
                <c:pt idx="517">
                  <c:v>30-May-25</c:v>
                </c:pt>
                <c:pt idx="518">
                  <c:v>31-May-25</c:v>
                </c:pt>
                <c:pt idx="519">
                  <c:v>01-Jun-25</c:v>
                </c:pt>
                <c:pt idx="520">
                  <c:v>02-Jun-25</c:v>
                </c:pt>
                <c:pt idx="521">
                  <c:v>03-Jun-25</c:v>
                </c:pt>
                <c:pt idx="522">
                  <c:v>04-Jun-25</c:v>
                </c:pt>
                <c:pt idx="523">
                  <c:v>05-Jun-25</c:v>
                </c:pt>
                <c:pt idx="524">
                  <c:v>06-Jun-25</c:v>
                </c:pt>
                <c:pt idx="525">
                  <c:v>07-Jun-25</c:v>
                </c:pt>
                <c:pt idx="526">
                  <c:v>08-Jun-25</c:v>
                </c:pt>
                <c:pt idx="527">
                  <c:v>09-Jun-25</c:v>
                </c:pt>
                <c:pt idx="528">
                  <c:v>10-Jun-25</c:v>
                </c:pt>
                <c:pt idx="529">
                  <c:v>11-Jun-25</c:v>
                </c:pt>
                <c:pt idx="530">
                  <c:v>12-Jun-25</c:v>
                </c:pt>
                <c:pt idx="531">
                  <c:v>13-Jun-25</c:v>
                </c:pt>
                <c:pt idx="532">
                  <c:v>14-Jun-25</c:v>
                </c:pt>
                <c:pt idx="533">
                  <c:v>15-Jun-25</c:v>
                </c:pt>
                <c:pt idx="534">
                  <c:v>16-Jun-25</c:v>
                </c:pt>
                <c:pt idx="535">
                  <c:v>17-Jun-25</c:v>
                </c:pt>
                <c:pt idx="536">
                  <c:v>18-Jun-25</c:v>
                </c:pt>
                <c:pt idx="537">
                  <c:v>19-Jun-25</c:v>
                </c:pt>
                <c:pt idx="538">
                  <c:v>20-Jun-25</c:v>
                </c:pt>
                <c:pt idx="539">
                  <c:v>21-Jun-25</c:v>
                </c:pt>
                <c:pt idx="540">
                  <c:v>22-Jun-25</c:v>
                </c:pt>
                <c:pt idx="541">
                  <c:v>23-Jun-25</c:v>
                </c:pt>
                <c:pt idx="542">
                  <c:v>24-Jun-25</c:v>
                </c:pt>
                <c:pt idx="543">
                  <c:v>25-Jun-25</c:v>
                </c:pt>
                <c:pt idx="544">
                  <c:v>26-Jun-25</c:v>
                </c:pt>
                <c:pt idx="545">
                  <c:v>27-Jun-25</c:v>
                </c:pt>
                <c:pt idx="546">
                  <c:v>28-Jun-25</c:v>
                </c:pt>
                <c:pt idx="547">
                  <c:v>29-Jun-25</c:v>
                </c:pt>
                <c:pt idx="548">
                  <c:v>30-Jun-25</c:v>
                </c:pt>
                <c:pt idx="549">
                  <c:v>01-Jul-25</c:v>
                </c:pt>
                <c:pt idx="550">
                  <c:v>02-Jul-25</c:v>
                </c:pt>
                <c:pt idx="551">
                  <c:v>03-Jul-25</c:v>
                </c:pt>
                <c:pt idx="552">
                  <c:v>04-Jul-25</c:v>
                </c:pt>
                <c:pt idx="553">
                  <c:v>05-Jul-25</c:v>
                </c:pt>
                <c:pt idx="554">
                  <c:v>06-Jul-25</c:v>
                </c:pt>
                <c:pt idx="555">
                  <c:v>07-Jul-25</c:v>
                </c:pt>
                <c:pt idx="556">
                  <c:v>08-Jul-25</c:v>
                </c:pt>
                <c:pt idx="557">
                  <c:v>09-Jul-25</c:v>
                </c:pt>
                <c:pt idx="558">
                  <c:v>10-Jul-25</c:v>
                </c:pt>
                <c:pt idx="559">
                  <c:v>11-Jul-25</c:v>
                </c:pt>
                <c:pt idx="560">
                  <c:v>12-Jul-25</c:v>
                </c:pt>
                <c:pt idx="561">
                  <c:v>13-Jul-25</c:v>
                </c:pt>
                <c:pt idx="562">
                  <c:v>14-Jul-25</c:v>
                </c:pt>
                <c:pt idx="563">
                  <c:v>15-Jul-25</c:v>
                </c:pt>
                <c:pt idx="564">
                  <c:v>16-Jul-25</c:v>
                </c:pt>
                <c:pt idx="565">
                  <c:v>17-Jul-25</c:v>
                </c:pt>
                <c:pt idx="566">
                  <c:v>18-Jul-25</c:v>
                </c:pt>
                <c:pt idx="567">
                  <c:v>19-Jul-25</c:v>
                </c:pt>
                <c:pt idx="568">
                  <c:v>20-Jul-25</c:v>
                </c:pt>
                <c:pt idx="569">
                  <c:v>21-Jul-25</c:v>
                </c:pt>
                <c:pt idx="570">
                  <c:v>22-Jul-25</c:v>
                </c:pt>
                <c:pt idx="571">
                  <c:v>23-Jul-25</c:v>
                </c:pt>
                <c:pt idx="572">
                  <c:v>24-Jul-25</c:v>
                </c:pt>
                <c:pt idx="573">
                  <c:v>25-Jul-25</c:v>
                </c:pt>
                <c:pt idx="574">
                  <c:v>26-Jul-25</c:v>
                </c:pt>
                <c:pt idx="575">
                  <c:v>27-Jul-25</c:v>
                </c:pt>
                <c:pt idx="576">
                  <c:v>28-Jul-25</c:v>
                </c:pt>
                <c:pt idx="577">
                  <c:v>29-Jul-25</c:v>
                </c:pt>
                <c:pt idx="578">
                  <c:v>30-Jul-25</c:v>
                </c:pt>
                <c:pt idx="579">
                  <c:v>31-Jul-25</c:v>
                </c:pt>
                <c:pt idx="580">
                  <c:v>01-Aug-25</c:v>
                </c:pt>
                <c:pt idx="581">
                  <c:v>02-Aug-25</c:v>
                </c:pt>
                <c:pt idx="582">
                  <c:v>03-Aug-25</c:v>
                </c:pt>
                <c:pt idx="583">
                  <c:v>04-Aug-25</c:v>
                </c:pt>
                <c:pt idx="584">
                  <c:v>05-Aug-25</c:v>
                </c:pt>
                <c:pt idx="585">
                  <c:v>06-Aug-25</c:v>
                </c:pt>
                <c:pt idx="586">
                  <c:v>07-Aug-25</c:v>
                </c:pt>
                <c:pt idx="587">
                  <c:v>08-Aug-25</c:v>
                </c:pt>
                <c:pt idx="588">
                  <c:v>09-Aug-25</c:v>
                </c:pt>
                <c:pt idx="589">
                  <c:v>10-Aug-25</c:v>
                </c:pt>
                <c:pt idx="590">
                  <c:v>11-Aug-25</c:v>
                </c:pt>
                <c:pt idx="591">
                  <c:v>12-Aug-25</c:v>
                </c:pt>
                <c:pt idx="592">
                  <c:v>13-Aug-25</c:v>
                </c:pt>
                <c:pt idx="593">
                  <c:v>14-Aug-25</c:v>
                </c:pt>
                <c:pt idx="594">
                  <c:v>15-Aug-25</c:v>
                </c:pt>
                <c:pt idx="595">
                  <c:v>16-Aug-25</c:v>
                </c:pt>
                <c:pt idx="596">
                  <c:v>17-Aug-25</c:v>
                </c:pt>
                <c:pt idx="597">
                  <c:v>18-Aug-25</c:v>
                </c:pt>
                <c:pt idx="598">
                  <c:v>19-Aug-25</c:v>
                </c:pt>
                <c:pt idx="599">
                  <c:v>20-Aug-25</c:v>
                </c:pt>
                <c:pt idx="600">
                  <c:v>21-Aug-25</c:v>
                </c:pt>
                <c:pt idx="601">
                  <c:v>22-Aug-25</c:v>
                </c:pt>
                <c:pt idx="602">
                  <c:v>23-Aug-25</c:v>
                </c:pt>
                <c:pt idx="603">
                  <c:v>24-Aug-25</c:v>
                </c:pt>
                <c:pt idx="604">
                  <c:v>25-Aug-25</c:v>
                </c:pt>
                <c:pt idx="605">
                  <c:v>26-Aug-25</c:v>
                </c:pt>
                <c:pt idx="606">
                  <c:v>27-Aug-25</c:v>
                </c:pt>
                <c:pt idx="607">
                  <c:v>28-Aug-25</c:v>
                </c:pt>
                <c:pt idx="608">
                  <c:v>29-Aug-25</c:v>
                </c:pt>
                <c:pt idx="609">
                  <c:v>30-Aug-25</c:v>
                </c:pt>
                <c:pt idx="610">
                  <c:v>31-Aug-25</c:v>
                </c:pt>
                <c:pt idx="611">
                  <c:v>01-Sep-25</c:v>
                </c:pt>
                <c:pt idx="612">
                  <c:v>02-Sep-25</c:v>
                </c:pt>
                <c:pt idx="613">
                  <c:v>03-Sep-25</c:v>
                </c:pt>
                <c:pt idx="614">
                  <c:v>04-Sep-25</c:v>
                </c:pt>
                <c:pt idx="615">
                  <c:v>05-Sep-25</c:v>
                </c:pt>
                <c:pt idx="616">
                  <c:v>06-Sep-25</c:v>
                </c:pt>
                <c:pt idx="617">
                  <c:v>07-Sep-25</c:v>
                </c:pt>
                <c:pt idx="618">
                  <c:v>08-Sep-25</c:v>
                </c:pt>
                <c:pt idx="619">
                  <c:v>09-Sep-25</c:v>
                </c:pt>
                <c:pt idx="620">
                  <c:v>10-Sep-25</c:v>
                </c:pt>
                <c:pt idx="621">
                  <c:v>11-Sep-25</c:v>
                </c:pt>
                <c:pt idx="622">
                  <c:v>12-Sep-25</c:v>
                </c:pt>
                <c:pt idx="623">
                  <c:v>13-Sep-25</c:v>
                </c:pt>
                <c:pt idx="624">
                  <c:v>14-Sep-25</c:v>
                </c:pt>
                <c:pt idx="625">
                  <c:v>15-Sep-25</c:v>
                </c:pt>
                <c:pt idx="626">
                  <c:v>16-Sep-25</c:v>
                </c:pt>
                <c:pt idx="627">
                  <c:v>17-Sep-25</c:v>
                </c:pt>
                <c:pt idx="628">
                  <c:v>18-Sep-25</c:v>
                </c:pt>
                <c:pt idx="629">
                  <c:v>19-Sep-25</c:v>
                </c:pt>
                <c:pt idx="630">
                  <c:v>20-Sep-25</c:v>
                </c:pt>
                <c:pt idx="631">
                  <c:v>21-Sep-25</c:v>
                </c:pt>
                <c:pt idx="632">
                  <c:v>22-Sep-25</c:v>
                </c:pt>
                <c:pt idx="633">
                  <c:v>23-Sep-25</c:v>
                </c:pt>
                <c:pt idx="634">
                  <c:v>24-Sep-25</c:v>
                </c:pt>
                <c:pt idx="635">
                  <c:v>25-Sep-25</c:v>
                </c:pt>
                <c:pt idx="636">
                  <c:v>26-Sep-25</c:v>
                </c:pt>
                <c:pt idx="637">
                  <c:v>27-Sep-25</c:v>
                </c:pt>
                <c:pt idx="638">
                  <c:v>28-Sep-25</c:v>
                </c:pt>
                <c:pt idx="639">
                  <c:v>29-Sep-25</c:v>
                </c:pt>
                <c:pt idx="640">
                  <c:v>30-Sep-25</c:v>
                </c:pt>
                <c:pt idx="641">
                  <c:v>01-Oct-25</c:v>
                </c:pt>
                <c:pt idx="642">
                  <c:v>02-Oct-25</c:v>
                </c:pt>
                <c:pt idx="643">
                  <c:v>03-Oct-25</c:v>
                </c:pt>
                <c:pt idx="644">
                  <c:v>04-Oct-25</c:v>
                </c:pt>
                <c:pt idx="645">
                  <c:v>05-Oct-25</c:v>
                </c:pt>
                <c:pt idx="646">
                  <c:v>06-Oct-25</c:v>
                </c:pt>
                <c:pt idx="647">
                  <c:v>07-Oct-25</c:v>
                </c:pt>
                <c:pt idx="648">
                  <c:v>08-Oct-25</c:v>
                </c:pt>
                <c:pt idx="649">
                  <c:v>09-Oct-25</c:v>
                </c:pt>
                <c:pt idx="650">
                  <c:v>10-Oct-25</c:v>
                </c:pt>
                <c:pt idx="651">
                  <c:v>11-Oct-25</c:v>
                </c:pt>
                <c:pt idx="652">
                  <c:v>12-Oct-25</c:v>
                </c:pt>
                <c:pt idx="653">
                  <c:v>13-Oct-25</c:v>
                </c:pt>
                <c:pt idx="654">
                  <c:v>14-Oct-25</c:v>
                </c:pt>
                <c:pt idx="655">
                  <c:v>15-Oct-25</c:v>
                </c:pt>
                <c:pt idx="656">
                  <c:v>16-Oct-25</c:v>
                </c:pt>
                <c:pt idx="657">
                  <c:v>17-Oct-25</c:v>
                </c:pt>
                <c:pt idx="658">
                  <c:v>18-Oct-25</c:v>
                </c:pt>
                <c:pt idx="659">
                  <c:v>19-Oct-25</c:v>
                </c:pt>
                <c:pt idx="660">
                  <c:v>20-Oct-25</c:v>
                </c:pt>
                <c:pt idx="661">
                  <c:v>21-Oct-25</c:v>
                </c:pt>
                <c:pt idx="662">
                  <c:v>22-Oct-25</c:v>
                </c:pt>
                <c:pt idx="663">
                  <c:v>23-Oct-25</c:v>
                </c:pt>
                <c:pt idx="664">
                  <c:v>24-Oct-25</c:v>
                </c:pt>
                <c:pt idx="665">
                  <c:v>25-Oct-25</c:v>
                </c:pt>
                <c:pt idx="666">
                  <c:v>26-Oct-25</c:v>
                </c:pt>
                <c:pt idx="667">
                  <c:v>27-Oct-25</c:v>
                </c:pt>
                <c:pt idx="668">
                  <c:v>28-Oct-25</c:v>
                </c:pt>
                <c:pt idx="669">
                  <c:v>29-Oct-25</c:v>
                </c:pt>
                <c:pt idx="670">
                  <c:v>30-Oct-25</c:v>
                </c:pt>
                <c:pt idx="671">
                  <c:v>31-Oct-25</c:v>
                </c:pt>
                <c:pt idx="672">
                  <c:v>01-Nov-25</c:v>
                </c:pt>
                <c:pt idx="673">
                  <c:v>02-Nov-25</c:v>
                </c:pt>
                <c:pt idx="674">
                  <c:v>03-Nov-25</c:v>
                </c:pt>
                <c:pt idx="675">
                  <c:v>04-Nov-25</c:v>
                </c:pt>
                <c:pt idx="676">
                  <c:v>05-Nov-25</c:v>
                </c:pt>
                <c:pt idx="677">
                  <c:v>06-Nov-25</c:v>
                </c:pt>
                <c:pt idx="678">
                  <c:v>07-Nov-25</c:v>
                </c:pt>
                <c:pt idx="679">
                  <c:v>08-Nov-25</c:v>
                </c:pt>
                <c:pt idx="680">
                  <c:v>09-Nov-25</c:v>
                </c:pt>
                <c:pt idx="681">
                  <c:v>10-Nov-25</c:v>
                </c:pt>
                <c:pt idx="682">
                  <c:v>11-Nov-25</c:v>
                </c:pt>
                <c:pt idx="683">
                  <c:v>12-Nov-25</c:v>
                </c:pt>
                <c:pt idx="684">
                  <c:v>13-Nov-25</c:v>
                </c:pt>
                <c:pt idx="685">
                  <c:v>14-Nov-25</c:v>
                </c:pt>
                <c:pt idx="686">
                  <c:v>15-Nov-25</c:v>
                </c:pt>
                <c:pt idx="687">
                  <c:v>16-Nov-25</c:v>
                </c:pt>
                <c:pt idx="688">
                  <c:v>17-Nov-25</c:v>
                </c:pt>
                <c:pt idx="689">
                  <c:v>18-Nov-25</c:v>
                </c:pt>
                <c:pt idx="690">
                  <c:v>19-Nov-25</c:v>
                </c:pt>
                <c:pt idx="691">
                  <c:v>20-Nov-25</c:v>
                </c:pt>
                <c:pt idx="692">
                  <c:v>21-Nov-25</c:v>
                </c:pt>
                <c:pt idx="693">
                  <c:v>22-Nov-25</c:v>
                </c:pt>
                <c:pt idx="694">
                  <c:v>23-Nov-25</c:v>
                </c:pt>
                <c:pt idx="695">
                  <c:v>24-Nov-25</c:v>
                </c:pt>
                <c:pt idx="696">
                  <c:v>25-Nov-25</c:v>
                </c:pt>
                <c:pt idx="697">
                  <c:v>26-Nov-25</c:v>
                </c:pt>
                <c:pt idx="698">
                  <c:v>27-Nov-25</c:v>
                </c:pt>
                <c:pt idx="699">
                  <c:v>28-Nov-25</c:v>
                </c:pt>
                <c:pt idx="700">
                  <c:v>29-Nov-25</c:v>
                </c:pt>
                <c:pt idx="701">
                  <c:v>30-Nov-25</c:v>
                </c:pt>
                <c:pt idx="702">
                  <c:v>01-Dec-25</c:v>
                </c:pt>
                <c:pt idx="703">
                  <c:v>02-Dec-25</c:v>
                </c:pt>
                <c:pt idx="704">
                  <c:v>03-Dec-25</c:v>
                </c:pt>
                <c:pt idx="705">
                  <c:v>04-Dec-25</c:v>
                </c:pt>
                <c:pt idx="706">
                  <c:v>05-Dec-25</c:v>
                </c:pt>
                <c:pt idx="707">
                  <c:v>06-Dec-25</c:v>
                </c:pt>
                <c:pt idx="708">
                  <c:v>07-Dec-25</c:v>
                </c:pt>
                <c:pt idx="709">
                  <c:v>08-Dec-25</c:v>
                </c:pt>
                <c:pt idx="710">
                  <c:v>09-Dec-25</c:v>
                </c:pt>
                <c:pt idx="711">
                  <c:v>10-Dec-25</c:v>
                </c:pt>
                <c:pt idx="712">
                  <c:v>11-Dec-25</c:v>
                </c:pt>
                <c:pt idx="713">
                  <c:v>12-Dec-25</c:v>
                </c:pt>
                <c:pt idx="714">
                  <c:v>13-Dec-25</c:v>
                </c:pt>
                <c:pt idx="715">
                  <c:v>14-Dec-25</c:v>
                </c:pt>
                <c:pt idx="716">
                  <c:v>15-Dec-25</c:v>
                </c:pt>
                <c:pt idx="717">
                  <c:v>16-Dec-25</c:v>
                </c:pt>
                <c:pt idx="718">
                  <c:v>17-Dec-25</c:v>
                </c:pt>
                <c:pt idx="719">
                  <c:v>18-Dec-25</c:v>
                </c:pt>
                <c:pt idx="720">
                  <c:v>19-Dec-25</c:v>
                </c:pt>
                <c:pt idx="721">
                  <c:v>20-Dec-25</c:v>
                </c:pt>
                <c:pt idx="722">
                  <c:v>21-Dec-25</c:v>
                </c:pt>
                <c:pt idx="723">
                  <c:v>22-Dec-25</c:v>
                </c:pt>
                <c:pt idx="724">
                  <c:v>23-Dec-25</c:v>
                </c:pt>
                <c:pt idx="725">
                  <c:v>24-Dec-25</c:v>
                </c:pt>
                <c:pt idx="726">
                  <c:v>25-Dec-25</c:v>
                </c:pt>
                <c:pt idx="727">
                  <c:v>26-Dec-25</c:v>
                </c:pt>
                <c:pt idx="728">
                  <c:v>27-Dec-25</c:v>
                </c:pt>
                <c:pt idx="729">
                  <c:v>28-Dec-25</c:v>
                </c:pt>
                <c:pt idx="730">
                  <c:v>29-Dec-25</c:v>
                </c:pt>
                <c:pt idx="731">
                  <c:v>30-Dec-25</c:v>
                </c:pt>
                <c:pt idx="732">
                  <c:v>31-Dec-25</c:v>
                </c:pt>
                <c:pt idx="733">
                  <c:v>01-Jan-26</c:v>
                </c:pt>
                <c:pt idx="734">
                  <c:v>02-Jan-26</c:v>
                </c:pt>
                <c:pt idx="735">
                  <c:v>03-Jan-26</c:v>
                </c:pt>
                <c:pt idx="736">
                  <c:v>04-Jan-26</c:v>
                </c:pt>
                <c:pt idx="737">
                  <c:v>05-Jan-26</c:v>
                </c:pt>
                <c:pt idx="738">
                  <c:v>06-Jan-26</c:v>
                </c:pt>
                <c:pt idx="739">
                  <c:v>07-Jan-26</c:v>
                </c:pt>
                <c:pt idx="740">
                  <c:v>08-Jan-26</c:v>
                </c:pt>
                <c:pt idx="741">
                  <c:v>09-Jan-26</c:v>
                </c:pt>
                <c:pt idx="742">
                  <c:v>10-Jan-26</c:v>
                </c:pt>
                <c:pt idx="743">
                  <c:v>11-Jan-26</c:v>
                </c:pt>
                <c:pt idx="744">
                  <c:v>12-Jan-26</c:v>
                </c:pt>
                <c:pt idx="745">
                  <c:v>13-Jan-26</c:v>
                </c:pt>
                <c:pt idx="746">
                  <c:v>14-Jan-26</c:v>
                </c:pt>
                <c:pt idx="747">
                  <c:v>15-Jan-26</c:v>
                </c:pt>
                <c:pt idx="748">
                  <c:v>16-Jan-26</c:v>
                </c:pt>
                <c:pt idx="749">
                  <c:v>17-Jan-26</c:v>
                </c:pt>
                <c:pt idx="750">
                  <c:v>18-Jan-26</c:v>
                </c:pt>
                <c:pt idx="751">
                  <c:v>19-Jan-26</c:v>
                </c:pt>
                <c:pt idx="752">
                  <c:v>20-Jan-26</c:v>
                </c:pt>
                <c:pt idx="753">
                  <c:v>21-Jan-26</c:v>
                </c:pt>
                <c:pt idx="754">
                  <c:v>22-Jan-26</c:v>
                </c:pt>
                <c:pt idx="755">
                  <c:v>23-Jan-26</c:v>
                </c:pt>
                <c:pt idx="756">
                  <c:v>24-Jan-26</c:v>
                </c:pt>
                <c:pt idx="757">
                  <c:v>25-Jan-26</c:v>
                </c:pt>
                <c:pt idx="758">
                  <c:v>26-Jan-26</c:v>
                </c:pt>
                <c:pt idx="759">
                  <c:v>27-Jan-26</c:v>
                </c:pt>
                <c:pt idx="760">
                  <c:v>28-Jan-26</c:v>
                </c:pt>
                <c:pt idx="761">
                  <c:v>29-Jan-26</c:v>
                </c:pt>
                <c:pt idx="762">
                  <c:v>30-Jan-26</c:v>
                </c:pt>
                <c:pt idx="763">
                  <c:v>31-Jan-26</c:v>
                </c:pt>
                <c:pt idx="764">
                  <c:v>01-Feb-26</c:v>
                </c:pt>
                <c:pt idx="765">
                  <c:v>02-Feb-26</c:v>
                </c:pt>
                <c:pt idx="766">
                  <c:v>03-Feb-26</c:v>
                </c:pt>
                <c:pt idx="767">
                  <c:v>04-Feb-26</c:v>
                </c:pt>
                <c:pt idx="768">
                  <c:v>05-Feb-26</c:v>
                </c:pt>
                <c:pt idx="769">
                  <c:v>06-Feb-26</c:v>
                </c:pt>
                <c:pt idx="770">
                  <c:v>07-Feb-26</c:v>
                </c:pt>
                <c:pt idx="771">
                  <c:v>08-Feb-26</c:v>
                </c:pt>
                <c:pt idx="772">
                  <c:v>09-Feb-26</c:v>
                </c:pt>
                <c:pt idx="773">
                  <c:v>10-Feb-26</c:v>
                </c:pt>
                <c:pt idx="774">
                  <c:v>11-Feb-26</c:v>
                </c:pt>
                <c:pt idx="775">
                  <c:v>12-Feb-26</c:v>
                </c:pt>
                <c:pt idx="776">
                  <c:v>13-Feb-26</c:v>
                </c:pt>
                <c:pt idx="777">
                  <c:v>14-Feb-26</c:v>
                </c:pt>
                <c:pt idx="778">
                  <c:v>15-Feb-26</c:v>
                </c:pt>
                <c:pt idx="779">
                  <c:v>16-Feb-26</c:v>
                </c:pt>
                <c:pt idx="780">
                  <c:v>17-Feb-26</c:v>
                </c:pt>
                <c:pt idx="781">
                  <c:v>18-Feb-26</c:v>
                </c:pt>
                <c:pt idx="782">
                  <c:v>19-Feb-26</c:v>
                </c:pt>
                <c:pt idx="783">
                  <c:v>20-Feb-26</c:v>
                </c:pt>
                <c:pt idx="784">
                  <c:v>21-Feb-26</c:v>
                </c:pt>
                <c:pt idx="785">
                  <c:v>22-Feb-26</c:v>
                </c:pt>
                <c:pt idx="786">
                  <c:v>23-Feb-26</c:v>
                </c:pt>
                <c:pt idx="787">
                  <c:v>24-Feb-26</c:v>
                </c:pt>
                <c:pt idx="788">
                  <c:v>25-Feb-26</c:v>
                </c:pt>
                <c:pt idx="789">
                  <c:v>26-Feb-26</c:v>
                </c:pt>
                <c:pt idx="790">
                  <c:v>27-Feb-26</c:v>
                </c:pt>
                <c:pt idx="791">
                  <c:v>28-Feb-26</c:v>
                </c:pt>
                <c:pt idx="792">
                  <c:v>01-Mar-26</c:v>
                </c:pt>
                <c:pt idx="793">
                  <c:v>02-Mar-26</c:v>
                </c:pt>
                <c:pt idx="794">
                  <c:v>03-Mar-26</c:v>
                </c:pt>
                <c:pt idx="795">
                  <c:v>04-Mar-26</c:v>
                </c:pt>
                <c:pt idx="796">
                  <c:v>05-Mar-26</c:v>
                </c:pt>
                <c:pt idx="797">
                  <c:v>06-Mar-26</c:v>
                </c:pt>
                <c:pt idx="798">
                  <c:v>07-Mar-26</c:v>
                </c:pt>
                <c:pt idx="799">
                  <c:v>08-Mar-26</c:v>
                </c:pt>
                <c:pt idx="800">
                  <c:v>09-Mar-26</c:v>
                </c:pt>
                <c:pt idx="801">
                  <c:v>10-Mar-26</c:v>
                </c:pt>
                <c:pt idx="802">
                  <c:v>11-Mar-26</c:v>
                </c:pt>
                <c:pt idx="803">
                  <c:v>12-Mar-26</c:v>
                </c:pt>
                <c:pt idx="804">
                  <c:v>13-Mar-26</c:v>
                </c:pt>
                <c:pt idx="805">
                  <c:v>14-Mar-26</c:v>
                </c:pt>
                <c:pt idx="806">
                  <c:v>15-Mar-26</c:v>
                </c:pt>
                <c:pt idx="807">
                  <c:v>16-Mar-26</c:v>
                </c:pt>
                <c:pt idx="808">
                  <c:v>17-Mar-26</c:v>
                </c:pt>
                <c:pt idx="809">
                  <c:v>18-Mar-26</c:v>
                </c:pt>
                <c:pt idx="810">
                  <c:v>19-Mar-26</c:v>
                </c:pt>
                <c:pt idx="811">
                  <c:v>20-Mar-26</c:v>
                </c:pt>
                <c:pt idx="812">
                  <c:v>21-Mar-26</c:v>
                </c:pt>
                <c:pt idx="813">
                  <c:v>22-Mar-26</c:v>
                </c:pt>
                <c:pt idx="814">
                  <c:v>23-Mar-26</c:v>
                </c:pt>
                <c:pt idx="815">
                  <c:v>24-Mar-26</c:v>
                </c:pt>
                <c:pt idx="816">
                  <c:v>25-Mar-26</c:v>
                </c:pt>
                <c:pt idx="817">
                  <c:v>26-Mar-26</c:v>
                </c:pt>
                <c:pt idx="818">
                  <c:v>27-Mar-26</c:v>
                </c:pt>
                <c:pt idx="819">
                  <c:v>28-Mar-26</c:v>
                </c:pt>
                <c:pt idx="820">
                  <c:v>29-Mar-26</c:v>
                </c:pt>
                <c:pt idx="821">
                  <c:v>30-Mar-26</c:v>
                </c:pt>
                <c:pt idx="822">
                  <c:v>31-Mar-26</c:v>
                </c:pt>
                <c:pt idx="823">
                  <c:v>01-Apr-26</c:v>
                </c:pt>
                <c:pt idx="824">
                  <c:v>02-Apr-26</c:v>
                </c:pt>
                <c:pt idx="825">
                  <c:v>03-Apr-26</c:v>
                </c:pt>
                <c:pt idx="826">
                  <c:v>04-Apr-26</c:v>
                </c:pt>
                <c:pt idx="827">
                  <c:v>05-Apr-26</c:v>
                </c:pt>
                <c:pt idx="828">
                  <c:v>06-Apr-26</c:v>
                </c:pt>
                <c:pt idx="829">
                  <c:v>07-Apr-26</c:v>
                </c:pt>
                <c:pt idx="830">
                  <c:v>08-Apr-26</c:v>
                </c:pt>
                <c:pt idx="831">
                  <c:v>09-Apr-26</c:v>
                </c:pt>
                <c:pt idx="832">
                  <c:v>10-Apr-26</c:v>
                </c:pt>
                <c:pt idx="833">
                  <c:v>11-Apr-26</c:v>
                </c:pt>
                <c:pt idx="834">
                  <c:v>12-Apr-26</c:v>
                </c:pt>
                <c:pt idx="835">
                  <c:v>13-Apr-26</c:v>
                </c:pt>
                <c:pt idx="836">
                  <c:v>14-Apr-26</c:v>
                </c:pt>
                <c:pt idx="837">
                  <c:v>15-Apr-26</c:v>
                </c:pt>
                <c:pt idx="838">
                  <c:v>16-Apr-26</c:v>
                </c:pt>
                <c:pt idx="839">
                  <c:v>17-Apr-26</c:v>
                </c:pt>
                <c:pt idx="840">
                  <c:v>18-Apr-26</c:v>
                </c:pt>
                <c:pt idx="841">
                  <c:v>19-Apr-26</c:v>
                </c:pt>
                <c:pt idx="842">
                  <c:v>20-Apr-26</c:v>
                </c:pt>
                <c:pt idx="843">
                  <c:v>21-Apr-26</c:v>
                </c:pt>
                <c:pt idx="844">
                  <c:v>22-Apr-26</c:v>
                </c:pt>
                <c:pt idx="845">
                  <c:v>23-Apr-26</c:v>
                </c:pt>
                <c:pt idx="846">
                  <c:v>24-Apr-26</c:v>
                </c:pt>
                <c:pt idx="847">
                  <c:v>25-Apr-26</c:v>
                </c:pt>
                <c:pt idx="848">
                  <c:v>26-Apr-26</c:v>
                </c:pt>
                <c:pt idx="849">
                  <c:v>27-Apr-26</c:v>
                </c:pt>
                <c:pt idx="850">
                  <c:v>28-Apr-26</c:v>
                </c:pt>
                <c:pt idx="851">
                  <c:v>29-Apr-26</c:v>
                </c:pt>
                <c:pt idx="852">
                  <c:v>30-Apr-26</c:v>
                </c:pt>
                <c:pt idx="853">
                  <c:v>01-May-26</c:v>
                </c:pt>
                <c:pt idx="854">
                  <c:v>02-May-26</c:v>
                </c:pt>
                <c:pt idx="855">
                  <c:v>03-May-26</c:v>
                </c:pt>
                <c:pt idx="856">
                  <c:v>04-May-26</c:v>
                </c:pt>
                <c:pt idx="857">
                  <c:v>05-May-26</c:v>
                </c:pt>
                <c:pt idx="858">
                  <c:v>06-May-26</c:v>
                </c:pt>
                <c:pt idx="859">
                  <c:v>07-May-26</c:v>
                </c:pt>
                <c:pt idx="860">
                  <c:v>08-May-26</c:v>
                </c:pt>
                <c:pt idx="861">
                  <c:v>09-May-26</c:v>
                </c:pt>
                <c:pt idx="862">
                  <c:v>10-May-26</c:v>
                </c:pt>
                <c:pt idx="863">
                  <c:v>11-May-26</c:v>
                </c:pt>
                <c:pt idx="864">
                  <c:v>12-May-26</c:v>
                </c:pt>
                <c:pt idx="865">
                  <c:v>13-May-26</c:v>
                </c:pt>
                <c:pt idx="866">
                  <c:v>14-May-26</c:v>
                </c:pt>
                <c:pt idx="867">
                  <c:v>15-May-26</c:v>
                </c:pt>
                <c:pt idx="868">
                  <c:v>16-May-26</c:v>
                </c:pt>
                <c:pt idx="869">
                  <c:v>17-May-26</c:v>
                </c:pt>
                <c:pt idx="870">
                  <c:v>18-May-26</c:v>
                </c:pt>
                <c:pt idx="871">
                  <c:v>19-May-26</c:v>
                </c:pt>
                <c:pt idx="872">
                  <c:v>20-May-26</c:v>
                </c:pt>
                <c:pt idx="873">
                  <c:v>21-May-26</c:v>
                </c:pt>
                <c:pt idx="874">
                  <c:v>22-May-26</c:v>
                </c:pt>
                <c:pt idx="875">
                  <c:v>23-May-26</c:v>
                </c:pt>
                <c:pt idx="876">
                  <c:v>24-May-26</c:v>
                </c:pt>
                <c:pt idx="877">
                  <c:v>25-May-26</c:v>
                </c:pt>
                <c:pt idx="878">
                  <c:v>26-May-26</c:v>
                </c:pt>
                <c:pt idx="879">
                  <c:v>27-May-26</c:v>
                </c:pt>
                <c:pt idx="880">
                  <c:v>28-May-26</c:v>
                </c:pt>
                <c:pt idx="881">
                  <c:v>29-May-26</c:v>
                </c:pt>
                <c:pt idx="882">
                  <c:v>30-May-26</c:v>
                </c:pt>
                <c:pt idx="883">
                  <c:v>31-May-26</c:v>
                </c:pt>
                <c:pt idx="884">
                  <c:v>01-Jun-26</c:v>
                </c:pt>
                <c:pt idx="885">
                  <c:v>02-Jun-26</c:v>
                </c:pt>
                <c:pt idx="886">
                  <c:v>03-Jun-26</c:v>
                </c:pt>
                <c:pt idx="887">
                  <c:v>04-Jun-26</c:v>
                </c:pt>
                <c:pt idx="888">
                  <c:v>05-Jun-26</c:v>
                </c:pt>
                <c:pt idx="889">
                  <c:v>06-Jun-26</c:v>
                </c:pt>
                <c:pt idx="890">
                  <c:v>07-Jun-26</c:v>
                </c:pt>
                <c:pt idx="891">
                  <c:v>08-Jun-26</c:v>
                </c:pt>
                <c:pt idx="892">
                  <c:v>09-Jun-26</c:v>
                </c:pt>
                <c:pt idx="893">
                  <c:v>10-Jun-26</c:v>
                </c:pt>
                <c:pt idx="894">
                  <c:v>11-Jun-26</c:v>
                </c:pt>
                <c:pt idx="895">
                  <c:v>12-Jun-26</c:v>
                </c:pt>
                <c:pt idx="896">
                  <c:v>13-Jun-26</c:v>
                </c:pt>
                <c:pt idx="897">
                  <c:v>14-Jun-26</c:v>
                </c:pt>
                <c:pt idx="898">
                  <c:v>15-Jun-26</c:v>
                </c:pt>
                <c:pt idx="899">
                  <c:v>16-Jun-26</c:v>
                </c:pt>
                <c:pt idx="900">
                  <c:v>17-Jun-26</c:v>
                </c:pt>
                <c:pt idx="901">
                  <c:v>18-Jun-26</c:v>
                </c:pt>
                <c:pt idx="902">
                  <c:v>19-Jun-26</c:v>
                </c:pt>
                <c:pt idx="903">
                  <c:v>20-Jun-26</c:v>
                </c:pt>
                <c:pt idx="904">
                  <c:v>21-Jun-26</c:v>
                </c:pt>
                <c:pt idx="905">
                  <c:v>22-Jun-26</c:v>
                </c:pt>
                <c:pt idx="906">
                  <c:v>23-Jun-26</c:v>
                </c:pt>
                <c:pt idx="907">
                  <c:v>24-Jun-26</c:v>
                </c:pt>
                <c:pt idx="908">
                  <c:v>25-Jun-26</c:v>
                </c:pt>
                <c:pt idx="909">
                  <c:v>26-Jun-26</c:v>
                </c:pt>
                <c:pt idx="910">
                  <c:v>27-Jun-26</c:v>
                </c:pt>
                <c:pt idx="911">
                  <c:v>28-Jun-26</c:v>
                </c:pt>
                <c:pt idx="912">
                  <c:v>29-Jun-26</c:v>
                </c:pt>
                <c:pt idx="913">
                  <c:v>30-Jun-26</c:v>
                </c:pt>
                <c:pt idx="914">
                  <c:v>01-Jul-26</c:v>
                </c:pt>
                <c:pt idx="915">
                  <c:v>02-Jul-26</c:v>
                </c:pt>
                <c:pt idx="916">
                  <c:v>03-Jul-26</c:v>
                </c:pt>
                <c:pt idx="917">
                  <c:v>04-Jul-26</c:v>
                </c:pt>
                <c:pt idx="918">
                  <c:v>05-Jul-26</c:v>
                </c:pt>
                <c:pt idx="919">
                  <c:v>06-Jul-26</c:v>
                </c:pt>
                <c:pt idx="920">
                  <c:v>07-Jul-26</c:v>
                </c:pt>
                <c:pt idx="921">
                  <c:v>08-Jul-26</c:v>
                </c:pt>
                <c:pt idx="922">
                  <c:v>09-Jul-26</c:v>
                </c:pt>
                <c:pt idx="923">
                  <c:v>10-Jul-26</c:v>
                </c:pt>
                <c:pt idx="924">
                  <c:v>11-Jul-26</c:v>
                </c:pt>
                <c:pt idx="925">
                  <c:v>12-Jul-26</c:v>
                </c:pt>
                <c:pt idx="926">
                  <c:v>13-Jul-26</c:v>
                </c:pt>
                <c:pt idx="927">
                  <c:v>14-Jul-26</c:v>
                </c:pt>
                <c:pt idx="928">
                  <c:v>15-Jul-26</c:v>
                </c:pt>
                <c:pt idx="929">
                  <c:v>16-Jul-26</c:v>
                </c:pt>
                <c:pt idx="930">
                  <c:v>17-Jul-26</c:v>
                </c:pt>
                <c:pt idx="931">
                  <c:v>18-Jul-26</c:v>
                </c:pt>
                <c:pt idx="932">
                  <c:v>19-Jul-26</c:v>
                </c:pt>
                <c:pt idx="933">
                  <c:v>20-Jul-26</c:v>
                </c:pt>
                <c:pt idx="934">
                  <c:v>21-Jul-26</c:v>
                </c:pt>
                <c:pt idx="935">
                  <c:v>22-Jul-26</c:v>
                </c:pt>
                <c:pt idx="936">
                  <c:v>23-Jul-26</c:v>
                </c:pt>
                <c:pt idx="937">
                  <c:v>24-Jul-26</c:v>
                </c:pt>
                <c:pt idx="938">
                  <c:v>25-Jul-26</c:v>
                </c:pt>
                <c:pt idx="939">
                  <c:v>26-Jul-26</c:v>
                </c:pt>
                <c:pt idx="940">
                  <c:v>27-Jul-26</c:v>
                </c:pt>
                <c:pt idx="941">
                  <c:v>28-Jul-26</c:v>
                </c:pt>
                <c:pt idx="942">
                  <c:v>29-Jul-26</c:v>
                </c:pt>
                <c:pt idx="943">
                  <c:v>30-Jul-26</c:v>
                </c:pt>
                <c:pt idx="944">
                  <c:v>31-Jul-26</c:v>
                </c:pt>
                <c:pt idx="945">
                  <c:v>01-Aug-26</c:v>
                </c:pt>
                <c:pt idx="946">
                  <c:v>02-Aug-26</c:v>
                </c:pt>
                <c:pt idx="947">
                  <c:v>03-Aug-26</c:v>
                </c:pt>
                <c:pt idx="948">
                  <c:v>04-Aug-26</c:v>
                </c:pt>
                <c:pt idx="949">
                  <c:v>05-Aug-26</c:v>
                </c:pt>
                <c:pt idx="950">
                  <c:v>06-Aug-26</c:v>
                </c:pt>
                <c:pt idx="951">
                  <c:v>07-Aug-26</c:v>
                </c:pt>
                <c:pt idx="952">
                  <c:v>08-Aug-26</c:v>
                </c:pt>
                <c:pt idx="953">
                  <c:v>09-Aug-26</c:v>
                </c:pt>
                <c:pt idx="954">
                  <c:v>10-Aug-26</c:v>
                </c:pt>
                <c:pt idx="955">
                  <c:v>11-Aug-26</c:v>
                </c:pt>
                <c:pt idx="956">
                  <c:v>12-Aug-26</c:v>
                </c:pt>
                <c:pt idx="957">
                  <c:v>13-Aug-26</c:v>
                </c:pt>
                <c:pt idx="958">
                  <c:v>14-Aug-26</c:v>
                </c:pt>
                <c:pt idx="959">
                  <c:v>15-Aug-26</c:v>
                </c:pt>
                <c:pt idx="960">
                  <c:v>16-Aug-26</c:v>
                </c:pt>
                <c:pt idx="961">
                  <c:v>17-Aug-26</c:v>
                </c:pt>
                <c:pt idx="962">
                  <c:v>18-Aug-26</c:v>
                </c:pt>
                <c:pt idx="963">
                  <c:v>19-Aug-26</c:v>
                </c:pt>
                <c:pt idx="964">
                  <c:v>20-Aug-26</c:v>
                </c:pt>
                <c:pt idx="965">
                  <c:v>21-Aug-26</c:v>
                </c:pt>
                <c:pt idx="966">
                  <c:v>22-Aug-26</c:v>
                </c:pt>
                <c:pt idx="967">
                  <c:v>23-Aug-26</c:v>
                </c:pt>
              </c:strCache>
            </c:strRef>
          </c:cat>
          <c:val>
            <c:numRef>
              <c:f>'CASH FLOW'!$AS$2:$AS$969</c:f>
              <c:numCache>
                <c:formatCode>General</c:formatCode>
                <c:ptCount val="968"/>
                <c:pt idx="1">
                  <c:v>0</c:v>
                </c:pt>
                <c:pt idx="2" formatCode="_-* #,##0_-;\-* #,##0_-;_-* &quot;-&quot;??_-;_-@_-">
                  <c:v>-4546169.4970000014</c:v>
                </c:pt>
                <c:pt idx="3" formatCode="_-* #,##0_-;\-* #,##0_-;_-* &quot;-&quot;??_-;_-@_-">
                  <c:v>7308625.3809999973</c:v>
                </c:pt>
                <c:pt idx="4" formatCode="_-* #,##0_-;\-* #,##0_-;_-* &quot;-&quot;??_-;_-@_-">
                  <c:v>-371.87000000476837</c:v>
                </c:pt>
                <c:pt idx="5" formatCode="_-* #,##0_-;\-* #,##0_-;_-* &quot;-&quot;??_-;_-@_-">
                  <c:v>9.5970000028610229</c:v>
                </c:pt>
                <c:pt idx="6" formatCode="_-* #,##0_-;\-* #,##0_-;_-* &quot;-&quot;??_-;_-@_-">
                  <c:v>83.04900000244379</c:v>
                </c:pt>
                <c:pt idx="7" formatCode="_-* #,##0_-;\-* #,##0_-;_-* &quot;-&quot;??_-;_-@_-">
                  <c:v>1044.7989999949932</c:v>
                </c:pt>
                <c:pt idx="8" formatCode="_-* #,##0_-;\-* #,##0_-;_-* &quot;-&quot;??_-;_-@_-">
                  <c:v>3941.9319999963045</c:v>
                </c:pt>
                <c:pt idx="9" formatCode="_-* #,##0_-;\-* #,##0_-;_-* &quot;-&quot;??_-;_-@_-">
                  <c:v>68.015999998897314</c:v>
                </c:pt>
                <c:pt idx="10" formatCode="_-* #,##0_-;\-* #,##0_-;_-* &quot;-&quot;??_-;_-@_-">
                  <c:v>-6.4390000030398369</c:v>
                </c:pt>
                <c:pt idx="11" formatCode="_-* #,##0_-;\-* #,##0_-;_-* &quot;-&quot;??_-;_-@_-">
                  <c:v>25.205000001937151</c:v>
                </c:pt>
                <c:pt idx="12" formatCode="_-* #,##0_-;\-* #,##0_-;_-* &quot;-&quot;??_-;_-@_-">
                  <c:v>16.322999998927116</c:v>
                </c:pt>
                <c:pt idx="13" formatCode="_-* #,##0_-;\-* #,##0_-;_-* &quot;-&quot;??_-;_-@_-">
                  <c:v>57.151000000536442</c:v>
                </c:pt>
                <c:pt idx="14" formatCode="_-* #,##0_-;\-* #,##0_-;_-* &quot;-&quot;??_-;_-@_-">
                  <c:v>136097.86900000274</c:v>
                </c:pt>
                <c:pt idx="15" formatCode="_-* #,##0_-;\-* #,##0_-;_-* &quot;-&quot;??_-;_-@_-">
                  <c:v>-136017.43600000069</c:v>
                </c:pt>
                <c:pt idx="16" formatCode="_-* #,##0_-;\-* #,##0_-;_-* &quot;-&quot;??_-;_-@_-">
                  <c:v>-23.074999999254942</c:v>
                </c:pt>
                <c:pt idx="17" formatCode="_-* #,##0_-;\-* #,##0_-;_-* &quot;-&quot;??_-;_-@_-">
                  <c:v>-35.065999999642372</c:v>
                </c:pt>
                <c:pt idx="18" formatCode="_-* #,##0_-;\-* #,##0_-;_-* &quot;-&quot;??_-;_-@_-">
                  <c:v>2029.0480000004172</c:v>
                </c:pt>
                <c:pt idx="19" formatCode="_-* #,##0_-;\-* #,##0_-;_-* &quot;-&quot;??_-;_-@_-">
                  <c:v>100.5</c:v>
                </c:pt>
                <c:pt idx="20" formatCode="_-* #,##0_-;\-* #,##0_-;_-* &quot;-&quot;??_-;_-@_-">
                  <c:v>29.353000000119209</c:v>
                </c:pt>
                <c:pt idx="21" formatCode="_-* #,##0_-;\-* #,##0_-;_-* &quot;-&quot;??_-;_-@_-">
                  <c:v>-153.28999999910593</c:v>
                </c:pt>
                <c:pt idx="22" formatCode="_-* #,##0_-;\-* #,##0_-;_-* &quot;-&quot;??_-;_-@_-">
                  <c:v>-6913208.1400000006</c:v>
                </c:pt>
                <c:pt idx="23" formatCode="_-* #,##0_-;\-* #,##0_-;_-* &quot;-&quot;??_-;_-@_-">
                  <c:v>6913161.1539999992</c:v>
                </c:pt>
                <c:pt idx="24" formatCode="_-* #,##0_-;\-* #,##0_-;_-* &quot;-&quot;??_-;_-@_-">
                  <c:v>-26.403999999165535</c:v>
                </c:pt>
                <c:pt idx="25" formatCode="_-* #,##0_-;\-* #,##0_-;_-* &quot;-&quot;??_-;_-@_-">
                  <c:v>-0.40599999576807022</c:v>
                </c:pt>
                <c:pt idx="26" formatCode="_-* #,##0_-;\-* #,##0_-;_-* &quot;-&quot;??_-;_-@_-">
                  <c:v>-2.688000001013279</c:v>
                </c:pt>
                <c:pt idx="27" formatCode="_-* #,##0_-;\-* #,##0_-;_-* &quot;-&quot;??_-;_-@_-">
                  <c:v>-42.282000001519918</c:v>
                </c:pt>
                <c:pt idx="28" formatCode="_-* #,##0_-;\-* #,##0_-;_-* &quot;-&quot;??_-;_-@_-">
                  <c:v>-18044.054999999702</c:v>
                </c:pt>
                <c:pt idx="29" formatCode="_-* #,##0_-;\-* #,##0_-;_-* &quot;-&quot;??_-;_-@_-">
                  <c:v>-15778536.355999999</c:v>
                </c:pt>
                <c:pt idx="30" formatCode="_-* #,##0_-;\-* #,##0_-;_-* &quot;-&quot;??_-;_-@_-">
                  <c:v>15785892.160000004</c:v>
                </c:pt>
                <c:pt idx="31" formatCode="_-* #,##0_-;\-* #,##0_-;_-* &quot;-&quot;??_-;_-@_-">
                  <c:v>-64731.620000004768</c:v>
                </c:pt>
                <c:pt idx="32" formatCode="_-* #,##0_-;\-* #,##0_-;_-* &quot;-&quot;??_-;_-@_-">
                  <c:v>-0.17000000178813934</c:v>
                </c:pt>
                <c:pt idx="33" formatCode="_-* #,##0_-;\-* #,##0_-;_-* &quot;-&quot;??_-;_-@_-">
                  <c:v>-29.740000002086163</c:v>
                </c:pt>
                <c:pt idx="34" formatCode="_-* #,##0_-;\-* #,##0_-;_-* &quot;-&quot;??_-;_-@_-">
                  <c:v>7.5</c:v>
                </c:pt>
                <c:pt idx="35" formatCode="_-* #,##0_-;\-* #,##0_-;_-* &quot;-&quot;??_-;_-@_-">
                  <c:v>30.029999997466803</c:v>
                </c:pt>
                <c:pt idx="36" formatCode="_-* #,##0_-;\-* #,##0_-;_-* &quot;-&quot;??_-;_-@_-">
                  <c:v>-10316231.920000002</c:v>
                </c:pt>
                <c:pt idx="37" formatCode="_-* #,##0_-;\-* #,##0_-;_-* &quot;-&quot;??_-;_-@_-">
                  <c:v>10307917.920000002</c:v>
                </c:pt>
                <c:pt idx="38" formatCode="_-* #,##0_-;\-* #,##0_-;_-* &quot;-&quot;??_-;_-@_-">
                  <c:v>897</c:v>
                </c:pt>
                <c:pt idx="39" formatCode="_-* #,##0_-;\-* #,##0_-;_-* &quot;-&quot;??_-;_-@_-">
                  <c:v>-30.719999998807907</c:v>
                </c:pt>
                <c:pt idx="40" formatCode="_-* #,##0_-;\-* #,##0_-;_-* &quot;-&quot;??_-;_-@_-">
                  <c:v>-38.769999999552965</c:v>
                </c:pt>
                <c:pt idx="41" formatCode="_-* #,##0_-;\-* #,##0_-;_-* &quot;-&quot;??_-;_-@_-">
                  <c:v>13.969999998807907</c:v>
                </c:pt>
                <c:pt idx="42" formatCode="_-* #,##0_-;\-* #,##0_-;_-* &quot;-&quot;??_-;_-@_-">
                  <c:v>-5584394.8299999982</c:v>
                </c:pt>
                <c:pt idx="43" formatCode="_-* #,##0_-;\-* #,##0_-;_-* &quot;-&quot;??_-;_-@_-">
                  <c:v>-8683381.25</c:v>
                </c:pt>
                <c:pt idx="44" formatCode="_-* #,##0_-;\-* #,##0_-;_-* &quot;-&quot;??_-;_-@_-">
                  <c:v>14267770.450000003</c:v>
                </c:pt>
                <c:pt idx="45" formatCode="_-* #,##0_-;\-* #,##0_-;_-* &quot;-&quot;??_-;_-@_-">
                  <c:v>-20.820000000298023</c:v>
                </c:pt>
                <c:pt idx="46" formatCode="_-* #,##0_-;\-* #,##0_-;_-* &quot;-&quot;??_-;_-@_-">
                  <c:v>4.6000000014901161</c:v>
                </c:pt>
                <c:pt idx="47" formatCode="_-* #,##0_-;\-* #,##0_-;_-* &quot;-&quot;??_-;_-@_-">
                  <c:v>1976.5900000035763</c:v>
                </c:pt>
                <c:pt idx="48" formatCode="_-* #,##0_-;\-* #,##0_-;_-* &quot;-&quot;??_-;_-@_-">
                  <c:v>1381.6999999992549</c:v>
                </c:pt>
                <c:pt idx="49" formatCode="_-* #,##0_-;\-* #,##0_-;_-* &quot;-&quot;??_-;_-@_-">
                  <c:v>57489.909999996424</c:v>
                </c:pt>
                <c:pt idx="50" formatCode="_-* #,##0_-;\-* #,##0_-;_-* &quot;-&quot;??_-;_-@_-">
                  <c:v>-7452370.3399999999</c:v>
                </c:pt>
                <c:pt idx="51" formatCode="_-* #,##0_-;\-* #,##0_-;_-* &quot;-&quot;??_-;_-@_-">
                  <c:v>7452430.9399999976</c:v>
                </c:pt>
                <c:pt idx="52" formatCode="_-* #,##0_-;\-* #,##0_-;_-* &quot;-&quot;??_-;_-@_-">
                  <c:v>7793.1899999976158</c:v>
                </c:pt>
                <c:pt idx="53" formatCode="_-* #,##0_-;\-* #,##0_-;_-* &quot;-&quot;??_-;_-@_-">
                  <c:v>292.65000000223517</c:v>
                </c:pt>
                <c:pt idx="54" formatCode="_-* #,##0_-;\-* #,##0_-;_-* &quot;-&quot;??_-;_-@_-">
                  <c:v>-50.145999997854233</c:v>
                </c:pt>
                <c:pt idx="55" formatCode="_-* #,##0_-;\-* #,##0_-;_-* &quot;-&quot;??_-;_-@_-">
                  <c:v>-21.868000000715256</c:v>
                </c:pt>
                <c:pt idx="56" formatCode="_-* #,##0_-;\-* #,##0_-;_-* &quot;-&quot;??_-;_-@_-">
                  <c:v>8.1719999983906746</c:v>
                </c:pt>
                <c:pt idx="57" formatCode="_-* #,##0_-;\-* #,##0_-;_-* &quot;-&quot;??_-;_-@_-">
                  <c:v>-7399539.1569999978</c:v>
                </c:pt>
                <c:pt idx="58" formatCode="_-* #,##0_-;\-* #,##0_-;_-* &quot;-&quot;??_-;_-@_-">
                  <c:v>7399605.182</c:v>
                </c:pt>
                <c:pt idx="59" formatCode="_-* #,##0_-;\-* #,##0_-;_-* &quot;-&quot;??_-;_-@_-">
                  <c:v>-25.037000000476837</c:v>
                </c:pt>
                <c:pt idx="60" formatCode="_-* #,##0_-;\-* #,##0_-;_-* &quot;-&quot;??_-;_-@_-">
                  <c:v>1212.3500000014901</c:v>
                </c:pt>
                <c:pt idx="61" formatCode="_-* #,##0_-;\-* #,##0_-;_-* &quot;-&quot;??_-;_-@_-">
                  <c:v>32142.839999999851</c:v>
                </c:pt>
                <c:pt idx="62" formatCode="_-* #,##0_-;\-* #,##0_-;_-* &quot;-&quot;??_-;_-@_-">
                  <c:v>179.62799999862909</c:v>
                </c:pt>
                <c:pt idx="63" formatCode="_-* #,##0_-;\-* #,##0_-;_-* &quot;-&quot;??_-;_-@_-">
                  <c:v>-5482297.362999998</c:v>
                </c:pt>
                <c:pt idx="64" formatCode="_-* #,##0_-;\-* #,##0_-;_-* &quot;-&quot;??_-;_-@_-">
                  <c:v>-6865724.0639999956</c:v>
                </c:pt>
                <c:pt idx="65" formatCode="_-* #,##0_-;\-* #,##0_-;_-* &quot;-&quot;??_-;_-@_-">
                  <c:v>12352397.280000001</c:v>
                </c:pt>
                <c:pt idx="66" formatCode="_-* #,##0_-;\-* #,##0_-;_-* &quot;-&quot;??_-;_-@_-">
                  <c:v>-119.49400000274181</c:v>
                </c:pt>
                <c:pt idx="67" formatCode="_-* #,##0_-;\-* #,##0_-;_-* &quot;-&quot;??_-;_-@_-">
                  <c:v>29.570000000298023</c:v>
                </c:pt>
                <c:pt idx="68" formatCode="_-* #,##0_-;\-* #,##0_-;_-* &quot;-&quot;??_-;_-@_-">
                  <c:v>7711</c:v>
                </c:pt>
                <c:pt idx="69" formatCode="_-* #,##0_-;\-* #,##0_-;_-* &quot;-&quot;??_-;_-@_-">
                  <c:v>-4289.0269999988377</c:v>
                </c:pt>
                <c:pt idx="70" formatCode="_-* #,##0_-;\-* #,##0_-;_-* &quot;-&quot;??_-;_-@_-">
                  <c:v>1594.7219999991357</c:v>
                </c:pt>
                <c:pt idx="71" formatCode="_-* #,##0_-;\-* #,##0_-;_-* &quot;-&quot;??_-;_-@_-">
                  <c:v>19.130000000819564</c:v>
                </c:pt>
                <c:pt idx="72" formatCode="_-* #,##0_-;\-* #,##0_-;_-* &quot;-&quot;??_-;_-@_-">
                  <c:v>23.480000000447035</c:v>
                </c:pt>
                <c:pt idx="73" formatCode="_-* #,##0_-;\-* #,##0_-;_-* &quot;-&quot;??_-;_-@_-">
                  <c:v>-38.030000001192093</c:v>
                </c:pt>
                <c:pt idx="74" formatCode="_-* #,##0_-;\-* #,##0_-;_-* &quot;-&quot;??_-;_-@_-">
                  <c:v>36.107999999076128</c:v>
                </c:pt>
                <c:pt idx="75" formatCode="_-* #,##0_-;\-* #,##0_-;_-* &quot;-&quot;??_-;_-@_-">
                  <c:v>20012.346999999136</c:v>
                </c:pt>
                <c:pt idx="76" formatCode="_-* #,##0_-;\-* #,##0_-;_-* &quot;-&quot;??_-;_-@_-">
                  <c:v>-1030.6499999985099</c:v>
                </c:pt>
                <c:pt idx="77" formatCode="_-* #,##0_-;\-* #,##0_-;_-* &quot;-&quot;??_-;_-@_-">
                  <c:v>-6879246.688000001</c:v>
                </c:pt>
                <c:pt idx="78" formatCode="_-* #,##0_-;\-* #,##0_-;_-* &quot;-&quot;??_-;_-@_-">
                  <c:v>-8772903.25</c:v>
                </c:pt>
                <c:pt idx="79" formatCode="_-* #,##0_-;\-* #,##0_-;_-* &quot;-&quot;??_-;_-@_-">
                  <c:v>14985793.184</c:v>
                </c:pt>
                <c:pt idx="80" formatCode="_-* #,##0_-;\-* #,##0_-;_-* &quot;-&quot;??_-;_-@_-">
                  <c:v>669997.13199999928</c:v>
                </c:pt>
                <c:pt idx="81" formatCode="_-* #,##0_-;\-* #,##0_-;_-* &quot;-&quot;??_-;_-@_-">
                  <c:v>0.56499999761581421</c:v>
                </c:pt>
                <c:pt idx="82" formatCode="_-* #,##0_-;\-* #,##0_-;_-* &quot;-&quot;??_-;_-@_-">
                  <c:v>-63.362000003457069</c:v>
                </c:pt>
                <c:pt idx="83" formatCode="_-* #,##0_-;\-* #,##0_-;_-* &quot;-&quot;??_-;_-@_-">
                  <c:v>-91.18299999833107</c:v>
                </c:pt>
                <c:pt idx="84" formatCode="_-* #,##0_-;\-* #,##0_-;_-* &quot;-&quot;??_-;_-@_-">
                  <c:v>-253.35799999907613</c:v>
                </c:pt>
                <c:pt idx="85" formatCode="_-* #,##0_-;\-* #,##0_-;_-* &quot;-&quot;??_-;_-@_-">
                  <c:v>-9162783.2980000004</c:v>
                </c:pt>
                <c:pt idx="86" formatCode="_-* #,##0_-;\-* #,##0_-;_-* &quot;-&quot;??_-;_-@_-">
                  <c:v>9156699.7199999988</c:v>
                </c:pt>
                <c:pt idx="87" formatCode="_-* #,##0_-;\-* #,##0_-;_-* &quot;-&quot;??_-;_-@_-">
                  <c:v>-809.52899999916553</c:v>
                </c:pt>
                <c:pt idx="88" formatCode="_-* #,##0_-;\-* #,##0_-;_-* &quot;-&quot;??_-;_-@_-">
                  <c:v>6.3610000014305115</c:v>
                </c:pt>
                <c:pt idx="89" formatCode="_-* #,##0_-;\-* #,##0_-;_-* &quot;-&quot;??_-;_-@_-">
                  <c:v>-2740.2540000006557</c:v>
                </c:pt>
                <c:pt idx="90" formatCode="_-* #,##0_-;\-* #,##0_-;_-* &quot;-&quot;??_-;_-@_-">
                  <c:v>15.020000003278255</c:v>
                </c:pt>
                <c:pt idx="91" formatCode="_-* #,##0_-;\-* #,##0_-;_-* &quot;-&quot;??_-;_-@_-">
                  <c:v>6819911.1909999996</c:v>
                </c:pt>
                <c:pt idx="92" formatCode="_-* #,##0_-;\-* #,##0_-;_-* &quot;-&quot;??_-;_-@_-">
                  <c:v>-97</c:v>
                </c:pt>
                <c:pt idx="93" formatCode="_-* #,##0_-;\-* #,##0_-;_-* &quot;-&quot;??_-;_-@_-">
                  <c:v>12508472</c:v>
                </c:pt>
                <c:pt idx="94" formatCode="_-* #,##0_-;\-* #,##0_-;_-* &quot;-&quot;??_-;_-@_-">
                  <c:v>-16864.72899999842</c:v>
                </c:pt>
                <c:pt idx="95" formatCode="_-* #,##0_-;\-* #,##0_-;_-* &quot;-&quot;??_-;_-@_-">
                  <c:v>3931145.3690000027</c:v>
                </c:pt>
                <c:pt idx="96" formatCode="_-* #,##0_-;\-* #,##0_-;_-* &quot;-&quot;??_-;_-@_-">
                  <c:v>-18.196000002324581</c:v>
                </c:pt>
                <c:pt idx="97" formatCode="_-* #,##0_-;\-* #,##0_-;_-* &quot;-&quot;??_-;_-@_-">
                  <c:v>-43.814999997615814</c:v>
                </c:pt>
                <c:pt idx="98" formatCode="_-* #,##0_-;\-* #,##0_-;_-* &quot;-&quot;??_-;_-@_-">
                  <c:v>-46.394999999552965</c:v>
                </c:pt>
                <c:pt idx="99" formatCode="_-* #,##0_-;\-* #,##0_-;_-* &quot;-&quot;??_-;_-@_-">
                  <c:v>3924.8559999987483</c:v>
                </c:pt>
                <c:pt idx="100" formatCode="_-* #,##0_-;\-* #,##0_-;_-* &quot;-&quot;??_-;_-@_-">
                  <c:v>72.631999999284744</c:v>
                </c:pt>
                <c:pt idx="101" formatCode="_-* #,##0_-;\-* #,##0_-;_-* &quot;-&quot;??_-;_-@_-">
                  <c:v>34.622000001370907</c:v>
                </c:pt>
                <c:pt idx="102" formatCode="_-* #,##0_-;\-* #,##0_-;_-* &quot;-&quot;??_-;_-@_-">
                  <c:v>3952.6299999989569</c:v>
                </c:pt>
                <c:pt idx="103" formatCode="_-* #,##0_-;\-* #,##0_-;_-* &quot;-&quot;??_-;_-@_-">
                  <c:v>33.107999999076128</c:v>
                </c:pt>
                <c:pt idx="104" formatCode="_-* #,##0_-;\-* #,##0_-;_-* &quot;-&quot;??_-;_-@_-">
                  <c:v>-1430.2859999984503</c:v>
                </c:pt>
                <c:pt idx="105" formatCode="_-* #,##0_-;\-* #,##0_-;_-* &quot;-&quot;??_-;_-@_-">
                  <c:v>11.235999997705221</c:v>
                </c:pt>
                <c:pt idx="106" formatCode="_-* #,##0_-;\-* #,##0_-;_-* &quot;-&quot;??_-;_-@_-">
                  <c:v>-2477137.4670000039</c:v>
                </c:pt>
                <c:pt idx="107" formatCode="_-* #,##0_-;\-* #,##0_-;_-* &quot;-&quot;??_-;_-@_-">
                  <c:v>2477124.2719999999</c:v>
                </c:pt>
                <c:pt idx="108" formatCode="_-* #,##0_-;\-* #,##0_-;_-* &quot;-&quot;??_-;_-@_-">
                  <c:v>79389.692000001669</c:v>
                </c:pt>
                <c:pt idx="109" formatCode="_-* #,##0_-;\-* #,##0_-;_-* &quot;-&quot;??_-;_-@_-">
                  <c:v>498.77099999785423</c:v>
                </c:pt>
                <c:pt idx="110" formatCode="_-* #,##0_-;\-* #,##0_-;_-* &quot;-&quot;??_-;_-@_-">
                  <c:v>-46.925000000745058</c:v>
                </c:pt>
                <c:pt idx="111" formatCode="_-* #,##0_-;\-* #,##0_-;_-* &quot;-&quot;??_-;_-@_-">
                  <c:v>77.846000000834465</c:v>
                </c:pt>
                <c:pt idx="112" formatCode="_-* #,##0_-;\-* #,##0_-;_-* &quot;-&quot;??_-;_-@_-">
                  <c:v>-52.449000000953674</c:v>
                </c:pt>
                <c:pt idx="113" formatCode="_-* #,##0_-;\-* #,##0_-;_-* &quot;-&quot;??_-;_-@_-">
                  <c:v>-4664876.0529999994</c:v>
                </c:pt>
                <c:pt idx="114" formatCode="_-* #,##0_-;\-* #,##0_-;_-* &quot;-&quot;??_-;_-@_-">
                  <c:v>4664991.4820000008</c:v>
                </c:pt>
                <c:pt idx="115" formatCode="_-* #,##0_-;\-* #,##0_-;_-* &quot;-&quot;??_-;_-@_-">
                  <c:v>415955.52699999884</c:v>
                </c:pt>
                <c:pt idx="116" formatCode="_-* #,##0_-;\-* #,##0_-;_-* &quot;-&quot;??_-;_-@_-">
                  <c:v>-415956</c:v>
                </c:pt>
                <c:pt idx="117" formatCode="_-* #,##0_-;\-* #,##0_-;_-* &quot;-&quot;??_-;_-@_-">
                  <c:v>105.13500000163913</c:v>
                </c:pt>
                <c:pt idx="118" formatCode="_-* #,##0_-;\-* #,##0_-;_-* &quot;-&quot;??_-;_-@_-">
                  <c:v>-2505.1000000014901</c:v>
                </c:pt>
                <c:pt idx="119" formatCode="_-* #,##0_-;\-* #,##0_-;_-* &quot;-&quot;??_-;_-@_-">
                  <c:v>-2126161.748999998</c:v>
                </c:pt>
                <c:pt idx="120" formatCode="_-* #,##0_-;\-* #,##0_-;_-* &quot;-&quot;??_-;_-@_-">
                  <c:v>-4214235.43</c:v>
                </c:pt>
                <c:pt idx="121" formatCode="_-* #,##0_-;\-* #,##0_-;_-* &quot;-&quot;??_-;_-@_-">
                  <c:v>6340360.1000000015</c:v>
                </c:pt>
                <c:pt idx="122" formatCode="_-* #,##0_-;\-* #,##0_-;_-* &quot;-&quot;??_-;_-@_-">
                  <c:v>32.420000001788139</c:v>
                </c:pt>
                <c:pt idx="123" formatCode="_-* #,##0_-;\-* #,##0_-;_-* &quot;-&quot;??_-;_-@_-">
                  <c:v>5263.8800000026822</c:v>
                </c:pt>
                <c:pt idx="124" formatCode="_-* #,##0_-;\-* #,##0_-;_-* &quot;-&quot;??_-;_-@_-">
                  <c:v>1958.1369999945164</c:v>
                </c:pt>
                <c:pt idx="125" formatCode="_-* #,##0_-;\-* #,##0_-;_-* &quot;-&quot;??_-;_-@_-">
                  <c:v>-9.9940000027418137</c:v>
                </c:pt>
                <c:pt idx="126" formatCode="_-* #,##0_-;\-* #,##0_-;_-* &quot;-&quot;??_-;_-@_-">
                  <c:v>1772.8660000003874</c:v>
                </c:pt>
                <c:pt idx="127" formatCode="_-* #,##0_-;\-* #,##0_-;_-* &quot;-&quot;??_-;_-@_-">
                  <c:v>-3400388.379999999</c:v>
                </c:pt>
                <c:pt idx="128" formatCode="_-* #,##0_-;\-* #,##0_-;_-* &quot;-&quot;??_-;_-@_-">
                  <c:v>3401521.9299999997</c:v>
                </c:pt>
                <c:pt idx="129" formatCode="_-* #,##0_-;\-* #,##0_-;_-* &quot;-&quot;??_-;_-@_-">
                  <c:v>27.640000000596046</c:v>
                </c:pt>
                <c:pt idx="130" formatCode="_-* #,##0_-;\-* #,##0_-;_-* &quot;-&quot;??_-;_-@_-">
                  <c:v>-2839724.4750000015</c:v>
                </c:pt>
                <c:pt idx="131" formatCode="_-* #,##0_-;\-* #,##0_-;_-* &quot;-&quot;??_-;_-@_-">
                  <c:v>2839669.0239999965</c:v>
                </c:pt>
                <c:pt idx="132" formatCode="_-* #,##0_-;\-* #,##0_-;_-* &quot;-&quot;??_-;_-@_-">
                  <c:v>0.60499999672174454</c:v>
                </c:pt>
                <c:pt idx="133" formatCode="_-* #,##0_-;\-* #,##0_-;_-* &quot;-&quot;??_-;_-@_-">
                  <c:v>-3.8980000019073486</c:v>
                </c:pt>
                <c:pt idx="134" formatCode="_-* #,##0_-;\-* #,##0_-;_-* &quot;-&quot;??_-;_-@_-">
                  <c:v>-4087003.1070000008</c:v>
                </c:pt>
                <c:pt idx="135" formatCode="_-* #,##0_-;\-* #,##0_-;_-* &quot;-&quot;??_-;_-@_-">
                  <c:v>4086986.2349999994</c:v>
                </c:pt>
                <c:pt idx="136" formatCode="_-* #,##0_-;\-* #,##0_-;_-* &quot;-&quot;??_-;_-@_-">
                  <c:v>-192.34199999645352</c:v>
                </c:pt>
                <c:pt idx="137" formatCode="_-* #,##0_-;\-* #,##0_-;_-* &quot;-&quot;??_-;_-@_-">
                  <c:v>13025.39999999851</c:v>
                </c:pt>
                <c:pt idx="138" formatCode="_-* #,##0_-;\-* #,##0_-;_-* &quot;-&quot;??_-;_-@_-">
                  <c:v>26.377999998629093</c:v>
                </c:pt>
                <c:pt idx="139" formatCode="_-* #,##0_-;\-* #,##0_-;_-* &quot;-&quot;??_-;_-@_-">
                  <c:v>17005.357999999076</c:v>
                </c:pt>
                <c:pt idx="140" formatCode="_-* #,##0_-;\-* #,##0_-;_-* &quot;-&quot;??_-;_-@_-">
                  <c:v>10304.587999999523</c:v>
                </c:pt>
                <c:pt idx="141" formatCode="_-* #,##0_-;\-* #,##0_-;_-* &quot;-&quot;??_-;_-@_-">
                  <c:v>-3384231.2210000008</c:v>
                </c:pt>
                <c:pt idx="142" formatCode="_-* #,##0_-;\-* #,##0_-;_-* &quot;-&quot;??_-;_-@_-">
                  <c:v>3384200.3949999996</c:v>
                </c:pt>
                <c:pt idx="143" formatCode="_-* #,##0_-;\-* #,##0_-;_-* &quot;-&quot;??_-;_-@_-">
                  <c:v>26.493999999016523</c:v>
                </c:pt>
                <c:pt idx="144" formatCode="_-* #,##0_-;\-* #,##0_-;_-* &quot;-&quot;??_-;_-@_-">
                  <c:v>1253.1469999998808</c:v>
                </c:pt>
                <c:pt idx="145" formatCode="_-* #,##0_-;\-* #,##0_-;_-* &quot;-&quot;??_-;_-@_-">
                  <c:v>2184.5249999985099</c:v>
                </c:pt>
                <c:pt idx="146" formatCode="_-* #,##0_-;\-* #,##0_-;_-* &quot;-&quot;??_-;_-@_-">
                  <c:v>12.256999999284744</c:v>
                </c:pt>
                <c:pt idx="147" formatCode="_-* #,##0_-;\-* #,##0_-;_-* &quot;-&quot;??_-;_-@_-">
                  <c:v>-957.67700000107288</c:v>
                </c:pt>
                <c:pt idx="148" formatCode="_-* #,##0_-;\-* #,##0_-;_-* &quot;-&quot;??_-;_-@_-">
                  <c:v>-6687983.3280000016</c:v>
                </c:pt>
                <c:pt idx="149" formatCode="_-* #,##0_-;\-* #,##0_-;_-* &quot;-&quot;??_-;_-@_-">
                  <c:v>6687971.6199999973</c:v>
                </c:pt>
                <c:pt idx="150" formatCode="_-* #,##0_-;\-* #,##0_-;_-* &quot;-&quot;??_-;_-@_-">
                  <c:v>-3354.6590000018477</c:v>
                </c:pt>
                <c:pt idx="151" formatCode="_-* #,##0_-;\-* #,##0_-;_-* &quot;-&quot;??_-;_-@_-">
                  <c:v>-34.48200000077486</c:v>
                </c:pt>
                <c:pt idx="152" formatCode="_-* #,##0_-;\-* #,##0_-;_-* &quot;-&quot;??_-;_-@_-">
                  <c:v>-12.289000000804663</c:v>
                </c:pt>
                <c:pt idx="153" formatCode="_-* #,##0_-;\-* #,##0_-;_-* &quot;-&quot;??_-;_-@_-">
                  <c:v>4559.7199999988079</c:v>
                </c:pt>
                <c:pt idx="154" formatCode="_-* #,##0_-;\-* #,##0_-;_-* &quot;-&quot;??_-;_-@_-">
                  <c:v>71.770999997854233</c:v>
                </c:pt>
                <c:pt idx="155" formatCode="_-* #,##0_-;\-* #,##0_-;_-* &quot;-&quot;??_-;_-@_-">
                  <c:v>-10322536.550999999</c:v>
                </c:pt>
                <c:pt idx="156" formatCode="_-* #,##0_-;\-* #,##0_-;_-* &quot;-&quot;??_-;_-@_-">
                  <c:v>10322482.733000003</c:v>
                </c:pt>
                <c:pt idx="157" formatCode="_-* #,##0_-;\-* #,##0_-;_-* &quot;-&quot;??_-;_-@_-">
                  <c:v>31.219999998807907</c:v>
                </c:pt>
                <c:pt idx="158" formatCode="_-* #,##0_-;\-* #,##0_-;_-* &quot;-&quot;??_-;_-@_-">
                  <c:v>4612.1459999978542</c:v>
                </c:pt>
                <c:pt idx="159" formatCode="_-* #,##0_-;\-* #,##0_-;_-* &quot;-&quot;??_-;_-@_-">
                  <c:v>-29.399999998509884</c:v>
                </c:pt>
                <c:pt idx="160" formatCode="_-* #,##0_-;\-* #,##0_-;_-* &quot;-&quot;??_-;_-@_-">
                  <c:v>-12.181999996304512</c:v>
                </c:pt>
                <c:pt idx="161" formatCode="_-* #,##0_-;\-* #,##0_-;_-* &quot;-&quot;??_-;_-@_-">
                  <c:v>1.3770000040531158</c:v>
                </c:pt>
                <c:pt idx="162" formatCode="_-* #,##0_-;\-* #,##0_-;_-* &quot;-&quot;??_-;_-@_-">
                  <c:v>-3260258.7690000013</c:v>
                </c:pt>
                <c:pt idx="163" formatCode="_-* #,##0_-;\-* #,##0_-;_-* &quot;-&quot;??_-;_-@_-">
                  <c:v>3260322.987999998</c:v>
                </c:pt>
                <c:pt idx="164" formatCode="_-* #,##0_-;\-* #,##0_-;_-* &quot;-&quot;??_-;_-@_-">
                  <c:v>38.800000000745058</c:v>
                </c:pt>
                <c:pt idx="165" formatCode="_-* #,##0_-;\-* #,##0_-;_-* &quot;-&quot;??_-;_-@_-">
                  <c:v>50806.855999998748</c:v>
                </c:pt>
                <c:pt idx="166" formatCode="_-* #,##0_-;\-* #,##0_-;_-* &quot;-&quot;??_-;_-@_-">
                  <c:v>-21.457000002264977</c:v>
                </c:pt>
                <c:pt idx="167" formatCode="_-* #,##0_-;\-* #,##0_-;_-* &quot;-&quot;??_-;_-@_-">
                  <c:v>-28.998999997973442</c:v>
                </c:pt>
                <c:pt idx="168" formatCode="_-* #,##0_-;\-* #,##0_-;_-* &quot;-&quot;??_-;_-@_-">
                  <c:v>-96.054999999701977</c:v>
                </c:pt>
                <c:pt idx="169" formatCode="_-* #,##0_-;\-* #,##0_-;_-* &quot;-&quot;??_-;_-@_-">
                  <c:v>-10951253.145999998</c:v>
                </c:pt>
                <c:pt idx="170" formatCode="_-* #,##0_-;\-* #,##0_-;_-* &quot;-&quot;??_-;_-@_-">
                  <c:v>10951190.332000002</c:v>
                </c:pt>
                <c:pt idx="171" formatCode="_-* #,##0_-;\-* #,##0_-;_-* &quot;-&quot;??_-;_-@_-">
                  <c:v>39.254000000655651</c:v>
                </c:pt>
                <c:pt idx="172" formatCode="_-* #,##0_-;\-* #,##0_-;_-* &quot;-&quot;??_-;_-@_-">
                  <c:v>-14.067999999970198</c:v>
                </c:pt>
                <c:pt idx="173" formatCode="_-* #,##0_-;\-* #,##0_-;_-* &quot;-&quot;??_-;_-@_-">
                  <c:v>-39.355000004172325</c:v>
                </c:pt>
                <c:pt idx="174" formatCode="_-* #,##0_-;\-* #,##0_-;_-* &quot;-&quot;??_-;_-@_-">
                  <c:v>10.605999998748302</c:v>
                </c:pt>
                <c:pt idx="175" formatCode="_-* #,##0_-;\-* #,##0_-;_-* &quot;-&quot;??_-;_-@_-">
                  <c:v>-9810.9670000001788</c:v>
                </c:pt>
                <c:pt idx="176" formatCode="_-* #,##0_-;\-* #,##0_-;_-* &quot;-&quot;??_-;_-@_-">
                  <c:v>-5235353.1499999985</c:v>
                </c:pt>
                <c:pt idx="177" formatCode="_-* #,##0_-;\-* #,##0_-;_-* &quot;-&quot;??_-;_-@_-">
                  <c:v>5235401.0860000029</c:v>
                </c:pt>
                <c:pt idx="178" formatCode="_-* #,##0_-;\-* #,##0_-;_-* &quot;-&quot;??_-;_-@_-">
                  <c:v>8.7400000020861626</c:v>
                </c:pt>
                <c:pt idx="179" formatCode="_-* #,##0_-;\-* #,##0_-;_-* &quot;-&quot;??_-;_-@_-">
                  <c:v>12.156000003218651</c:v>
                </c:pt>
                <c:pt idx="180" formatCode="_-* #,##0_-;\-* #,##0_-;_-* &quot;-&quot;??_-;_-@_-">
                  <c:v>35.109999999403954</c:v>
                </c:pt>
                <c:pt idx="181" formatCode="_-* #,##0_-;\-* #,##0_-;_-* &quot;-&quot;??_-;_-@_-">
                  <c:v>-48.565999999642372</c:v>
                </c:pt>
                <c:pt idx="182" formatCode="_-* #,##0_-;\-* #,##0_-;_-* &quot;-&quot;??_-;_-@_-">
                  <c:v>47.968999996781349</c:v>
                </c:pt>
                <c:pt idx="183" formatCode="_-* #,##0_-;\-* #,##0_-;_-* &quot;-&quot;??_-;_-@_-">
                  <c:v>-8810693.5940000005</c:v>
                </c:pt>
                <c:pt idx="184" formatCode="_-* #,##0_-;\-* #,##0_-;_-* &quot;-&quot;??_-;_-@_-">
                  <c:v>8810934.4469999969</c:v>
                </c:pt>
                <c:pt idx="185" formatCode="_-* #,##0_-;\-* #,##0_-;_-* &quot;-&quot;??_-;_-@_-">
                  <c:v>-404.65399999916553</c:v>
                </c:pt>
                <c:pt idx="186" formatCode="_-* #,##0_-;\-* #,##0_-;_-* &quot;-&quot;??_-;_-@_-">
                  <c:v>-1483.4519999995828</c:v>
                </c:pt>
                <c:pt idx="187" formatCode="_-* #,##0_-;\-* #,##0_-;_-* &quot;-&quot;??_-;_-@_-">
                  <c:v>44.436000000685453</c:v>
                </c:pt>
                <c:pt idx="188" formatCode="_-* #,##0_-;\-* #,##0_-;_-* &quot;-&quot;??_-;_-@_-">
                  <c:v>42.972000002861023</c:v>
                </c:pt>
                <c:pt idx="189" formatCode="_-* #,##0_-;\-* #,##0_-;_-* &quot;-&quot;??_-;_-@_-">
                  <c:v>25.950000002980232</c:v>
                </c:pt>
                <c:pt idx="190" formatCode="_-* #,##0_-;\-* #,##0_-;_-* &quot;-&quot;??_-;_-@_-">
                  <c:v>-9652618.4829999991</c:v>
                </c:pt>
                <c:pt idx="191" formatCode="_-* #,##0_-;\-* #,##0_-;_-* &quot;-&quot;??_-;_-@_-">
                  <c:v>9650557.7569999993</c:v>
                </c:pt>
                <c:pt idx="192" formatCode="_-* #,##0_-;\-* #,##0_-;_-* &quot;-&quot;??_-;_-@_-">
                  <c:v>17.056000001728535</c:v>
                </c:pt>
                <c:pt idx="193" formatCode="_-* #,##0_-;\-* #,##0_-;_-* &quot;-&quot;??_-;_-@_-">
                  <c:v>1023.3630000017583</c:v>
                </c:pt>
                <c:pt idx="194" formatCode="_-* #,##0_-;\-* #,##0_-;_-* &quot;-&quot;??_-;_-@_-">
                  <c:v>-106.58799999952316</c:v>
                </c:pt>
                <c:pt idx="195" formatCode="_-* #,##0_-;\-* #,##0_-;_-* &quot;-&quot;??_-;_-@_-">
                  <c:v>-7765756.9200000018</c:v>
                </c:pt>
                <c:pt idx="196" formatCode="_-* #,##0_-;\-* #,##0_-;_-* &quot;-&quot;??_-;_-@_-">
                  <c:v>7765788.376000002</c:v>
                </c:pt>
                <c:pt idx="197" formatCode="_-* #,##0_-;\-* #,##0_-;_-* &quot;-&quot;??_-;_-@_-">
                  <c:v>-47.247000001370907</c:v>
                </c:pt>
                <c:pt idx="198" formatCode="_-* #,##0_-;\-* #,##0_-;_-* &quot;-&quot;??_-;_-@_-">
                  <c:v>-23.311999998986721</c:v>
                </c:pt>
                <c:pt idx="199" formatCode="_-* #,##0_-;\-* #,##0_-;_-* &quot;-&quot;??_-;_-@_-">
                  <c:v>5.0419999957084656</c:v>
                </c:pt>
                <c:pt idx="200" formatCode="_-* #,##0_-;\-* #,##0_-;_-* &quot;-&quot;??_-;_-@_-">
                  <c:v>-719.92499999701977</c:v>
                </c:pt>
                <c:pt idx="201" formatCode="_-* #,##0_-;\-* #,##0_-;_-* &quot;-&quot;??_-;_-@_-">
                  <c:v>33.709000002592802</c:v>
                </c:pt>
                <c:pt idx="202" formatCode="_-* #,##0_-;\-* #,##0_-;_-* &quot;-&quot;??_-;_-@_-">
                  <c:v>-5604429.6570000015</c:v>
                </c:pt>
                <c:pt idx="203" formatCode="_-* #,##0_-;\-* #,##0_-;_-* &quot;-&quot;??_-;_-@_-">
                  <c:v>5604543.7039999962</c:v>
                </c:pt>
                <c:pt idx="204" formatCode="_-* #,##0_-;\-* #,##0_-;_-* &quot;-&quot;??_-;_-@_-">
                  <c:v>-10632665.093000002</c:v>
                </c:pt>
                <c:pt idx="205" formatCode="_-* #,##0_-;\-* #,##0_-;_-* &quot;-&quot;??_-;_-@_-">
                  <c:v>10632573.644000001</c:v>
                </c:pt>
                <c:pt idx="206" formatCode="_-* #,##0_-;\-* #,##0_-;_-* &quot;-&quot;??_-;_-@_-">
                  <c:v>69.461999997496605</c:v>
                </c:pt>
                <c:pt idx="207" formatCode="_-* #,##0_-;\-* #,##0_-;_-* &quot;-&quot;??_-;_-@_-">
                  <c:v>44.133000001311302</c:v>
                </c:pt>
                <c:pt idx="208" formatCode="_-* #,##0_-;\-* #,##0_-;_-* &quot;-&quot;??_-;_-@_-">
                  <c:v>963.19099999964237</c:v>
                </c:pt>
                <c:pt idx="209" formatCode="_-* #,##0_-;\-* #,##0_-;_-* &quot;-&quot;??_-;_-@_-">
                  <c:v>-1299.9409999996424</c:v>
                </c:pt>
                <c:pt idx="210" formatCode="_-* #,##0_-;\-* #,##0_-;_-* &quot;-&quot;??_-;_-@_-">
                  <c:v>2.5649999976158142</c:v>
                </c:pt>
                <c:pt idx="211" formatCode="_-* #,##0_-;\-* #,##0_-;_-* &quot;-&quot;??_-;_-@_-">
                  <c:v>-8518978.0559999943</c:v>
                </c:pt>
                <c:pt idx="212" formatCode="_-* #,##0_-;\-* #,##0_-;_-* &quot;-&quot;??_-;_-@_-">
                  <c:v>8519074.9589999989</c:v>
                </c:pt>
                <c:pt idx="213" formatCode="_-* #,##0_-;\-* #,##0_-;_-* &quot;-&quot;??_-;_-@_-">
                  <c:v>518.86199999973178</c:v>
                </c:pt>
                <c:pt idx="214" formatCode="_-* #,##0_-;\-* #,##0_-;_-* &quot;-&quot;??_-;_-@_-">
                  <c:v>24.462000001221895</c:v>
                </c:pt>
                <c:pt idx="215" formatCode="_-* #,##0_-;\-* #,##0_-;_-* &quot;-&quot;??_-;_-@_-">
                  <c:v>-10.485999997705221</c:v>
                </c:pt>
                <c:pt idx="216" formatCode="_-* #,##0_-;\-* #,##0_-;_-* &quot;-&quot;??_-;_-@_-">
                  <c:v>-46962.662000000477</c:v>
                </c:pt>
                <c:pt idx="217" formatCode="_-* #,##0_-;\-* #,##0_-;_-* &quot;-&quot;??_-;_-@_-">
                  <c:v>-46.853000000119209</c:v>
                </c:pt>
                <c:pt idx="218" formatCode="_-* #,##0_-;\-* #,##0_-;_-* &quot;-&quot;??_-;_-@_-">
                  <c:v>-3646297.1230000034</c:v>
                </c:pt>
                <c:pt idx="219" formatCode="_-* #,##0_-;\-* #,##0_-;_-* &quot;-&quot;??_-;_-@_-">
                  <c:v>3652358.4169999994</c:v>
                </c:pt>
                <c:pt idx="220" formatCode="_-* #,##0_-;\-* #,##0_-;_-* &quot;-&quot;??_-;_-@_-">
                  <c:v>44.28999999910593</c:v>
                </c:pt>
                <c:pt idx="221" formatCode="_-* #,##0_-;\-* #,##0_-;_-* &quot;-&quot;??_-;_-@_-">
                  <c:v>1038.0240000002086</c:v>
                </c:pt>
                <c:pt idx="222" formatCode="_-* #,##0_-;\-* #,##0_-;_-* &quot;-&quot;??_-;_-@_-">
                  <c:v>-135.8559999987483</c:v>
                </c:pt>
                <c:pt idx="223" formatCode="_-* #,##0_-;\-* #,##0_-;_-* &quot;-&quot;??_-;_-@_-">
                  <c:v>-25.42400000244379</c:v>
                </c:pt>
                <c:pt idx="224" formatCode="_-* #,##0_-;\-* #,##0_-;_-* &quot;-&quot;??_-;_-@_-">
                  <c:v>1301.8660000041127</c:v>
                </c:pt>
                <c:pt idx="225" formatCode="_-* #,##0_-;\-* #,##0_-;_-* &quot;-&quot;??_-;_-@_-">
                  <c:v>-7069710.423999995</c:v>
                </c:pt>
                <c:pt idx="226" formatCode="_-* #,##0_-;\-* #,##0_-;_-* &quot;-&quot;??_-;_-@_-">
                  <c:v>7072355.5469999984</c:v>
                </c:pt>
                <c:pt idx="227" formatCode="_-* #,##0_-;\-* #,##0_-;_-* &quot;-&quot;??_-;_-@_-">
                  <c:v>3.8669999986886978</c:v>
                </c:pt>
                <c:pt idx="228" formatCode="_-* #,##0_-;\-* #,##0_-;_-* &quot;-&quot;??_-;_-@_-">
                  <c:v>-50.238000001758337</c:v>
                </c:pt>
                <c:pt idx="229" formatCode="_-* #,##0_-;\-* #,##0_-;_-* &quot;-&quot;??_-;_-@_-">
                  <c:v>10.256999999284744</c:v>
                </c:pt>
                <c:pt idx="230" formatCode="_-* #,##0_-;\-* #,##0_-;_-* &quot;-&quot;??_-;_-@_-">
                  <c:v>-182775.10000000149</c:v>
                </c:pt>
                <c:pt idx="231" formatCode="_-* #,##0_-;\-* #,##0_-;_-* &quot;-&quot;??_-;_-@_-">
                  <c:v>-18.640000000596046</c:v>
                </c:pt>
                <c:pt idx="232" formatCode="_-* #,##0_-;\-* #,##0_-;_-* &quot;-&quot;??_-;_-@_-">
                  <c:v>-9886504.7699999996</c:v>
                </c:pt>
                <c:pt idx="233" formatCode="_-* #,##0_-;\-* #,##0_-;_-* &quot;-&quot;??_-;_-@_-">
                  <c:v>9886497.4899999984</c:v>
                </c:pt>
                <c:pt idx="234" formatCode="_-* #,##0_-;\-* #,##0_-;_-* &quot;-&quot;??_-;_-@_-">
                  <c:v>42.310000002384186</c:v>
                </c:pt>
                <c:pt idx="235" formatCode="_-* #,##0_-;\-* #,##0_-;_-* &quot;-&quot;??_-;_-@_-">
                  <c:v>79.5</c:v>
                </c:pt>
                <c:pt idx="236" formatCode="_-* #,##0_-;\-* #,##0_-;_-* &quot;-&quot;??_-;_-@_-">
                  <c:v>5.5700000002980232</c:v>
                </c:pt>
                <c:pt idx="237" formatCode="_-* #,##0_-;\-* #,##0_-;_-* &quot;-&quot;??_-;_-@_-">
                  <c:v>827.59000000357628</c:v>
                </c:pt>
                <c:pt idx="238" formatCode="_-* #,##0_-;\-* #,##0_-;_-* &quot;-&quot;??_-;_-@_-">
                  <c:v>633.15999999642372</c:v>
                </c:pt>
                <c:pt idx="239" formatCode="_-* #,##0_-;\-* #,##0_-;_-* &quot;-&quot;??_-;_-@_-">
                  <c:v>-6267596.879999999</c:v>
                </c:pt>
                <c:pt idx="240" formatCode="_-* #,##0_-;\-* #,##0_-;_-* &quot;-&quot;??_-;_-@_-">
                  <c:v>6267640.3000000007</c:v>
                </c:pt>
                <c:pt idx="241" formatCode="_-* #,##0_-;\-* #,##0_-;_-* &quot;-&quot;??_-;_-@_-">
                  <c:v>7.0899999961256981</c:v>
                </c:pt>
                <c:pt idx="242" formatCode="_-* #,##0_-;\-* #,##0_-;_-* &quot;-&quot;??_-;_-@_-">
                  <c:v>-78.189999997615814</c:v>
                </c:pt>
                <c:pt idx="243" formatCode="_-* #,##0_-;\-* #,##0_-;_-* &quot;-&quot;??_-;_-@_-">
                  <c:v>-64.380000002682209</c:v>
                </c:pt>
                <c:pt idx="244" formatCode="_-* #,##0_-;\-* #,##0_-;_-* &quot;-&quot;??_-;_-@_-">
                  <c:v>-1.1899999976158142</c:v>
                </c:pt>
                <c:pt idx="245" formatCode="_-* #,##0_-;\-* #,##0_-;_-* &quot;-&quot;??_-;_-@_-">
                  <c:v>-5.4200000017881393</c:v>
                </c:pt>
                <c:pt idx="246" formatCode="_-* #,##0_-;\-* #,##0_-;_-* &quot;-&quot;??_-;_-@_-">
                  <c:v>-8129192.4299999997</c:v>
                </c:pt>
                <c:pt idx="247" formatCode="_-* #,##0_-;\-* #,##0_-;_-* &quot;-&quot;??_-;_-@_-">
                  <c:v>8129193.0399999991</c:v>
                </c:pt>
                <c:pt idx="248" formatCode="_-* #,##0_-;\-* #,##0_-;_-* &quot;-&quot;??_-;_-@_-">
                  <c:v>390.21999999880791</c:v>
                </c:pt>
                <c:pt idx="249" formatCode="_-* #,##0_-;\-* #,##0_-;_-* &quot;-&quot;??_-;_-@_-">
                  <c:v>17.480000004172325</c:v>
                </c:pt>
                <c:pt idx="250" formatCode="_-* #,##0_-;\-* #,##0_-;_-* &quot;-&quot;??_-;_-@_-">
                  <c:v>7.25</c:v>
                </c:pt>
                <c:pt idx="251" formatCode="_-* #,##0_-;\-* #,##0_-;_-* &quot;-&quot;??_-;_-@_-">
                  <c:v>-1.0899999961256981</c:v>
                </c:pt>
                <c:pt idx="252" formatCode="_-* #,##0_-;\-* #,##0_-;_-* &quot;-&quot;??_-;_-@_-">
                  <c:v>15.980000000447035</c:v>
                </c:pt>
                <c:pt idx="253" formatCode="_-* #,##0_-;\-* #,##0_-;_-* &quot;-&quot;??_-;_-@_-">
                  <c:v>-5526439.620000001</c:v>
                </c:pt>
                <c:pt idx="254" formatCode="_-* #,##0_-;\-* #,##0_-;_-* &quot;-&quot;??_-;_-@_-">
                  <c:v>5500500.9400000013</c:v>
                </c:pt>
                <c:pt idx="255" formatCode="_-* #,##0_-;\-* #,##0_-;_-* &quot;-&quot;??_-;_-@_-">
                  <c:v>394.17999999970198</c:v>
                </c:pt>
                <c:pt idx="256" formatCode="_-* #,##0_-;\-* #,##0_-;_-* &quot;-&quot;??_-;_-@_-">
                  <c:v>26.899999998509884</c:v>
                </c:pt>
                <c:pt idx="257" formatCode="_-* #,##0_-;\-* #,##0_-;_-* &quot;-&quot;??_-;_-@_-">
                  <c:v>5.5499999970197678</c:v>
                </c:pt>
                <c:pt idx="258" formatCode="_-* #,##0_-;\-* #,##0_-;_-* &quot;-&quot;??_-;_-@_-">
                  <c:v>-47</c:v>
                </c:pt>
                <c:pt idx="259" formatCode="_-* #,##0_-;\-* #,##0_-;_-* &quot;-&quot;??_-;_-@_-">
                  <c:v>-99927.390000000596</c:v>
                </c:pt>
                <c:pt idx="260" formatCode="_-* #,##0_-;\-* #,##0_-;_-* &quot;-&quot;??_-;_-@_-">
                  <c:v>-6775699.9699999988</c:v>
                </c:pt>
                <c:pt idx="261" formatCode="_-* #,##0_-;\-* #,##0_-;_-* &quot;-&quot;??_-;_-@_-">
                  <c:v>6875600.6699999981</c:v>
                </c:pt>
                <c:pt idx="262" formatCode="_-* #,##0_-;\-* #,##0_-;_-* &quot;-&quot;??_-;_-@_-">
                  <c:v>68912.070000000298</c:v>
                </c:pt>
                <c:pt idx="263" formatCode="_-* #,##0_-;\-* #,##0_-;_-* &quot;-&quot;??_-;_-@_-">
                  <c:v>13.190000001341105</c:v>
                </c:pt>
                <c:pt idx="264" formatCode="_-* #,##0_-;\-* #,##0_-;_-* &quot;-&quot;??_-;_-@_-">
                  <c:v>17.160000000149012</c:v>
                </c:pt>
                <c:pt idx="265" formatCode="_-* #,##0_-;\-* #,##0_-;_-* &quot;-&quot;??_-;_-@_-">
                  <c:v>-5232515.4800000004</c:v>
                </c:pt>
                <c:pt idx="266" formatCode="_-* #,##0_-;\-* #,##0_-;_-* &quot;-&quot;??_-;_-@_-">
                  <c:v>7.2800000011920929</c:v>
                </c:pt>
                <c:pt idx="267" formatCode="_-* #,##0_-;\-* #,##0_-;_-* &quot;-&quot;??_-;_-@_-">
                  <c:v>-7464217.5799999982</c:v>
                </c:pt>
                <c:pt idx="268" formatCode="_-* #,##0_-;\-* #,##0_-;_-* &quot;-&quot;??_-;_-@_-">
                  <c:v>7464276.3000000007</c:v>
                </c:pt>
                <c:pt idx="269" formatCode="_-* #,##0_-;\-* #,##0_-;_-* &quot;-&quot;??_-;_-@_-">
                  <c:v>10.429999999701977</c:v>
                </c:pt>
                <c:pt idx="270" formatCode="_-* #,##0_-;\-* #,##0_-;_-* &quot;-&quot;??_-;_-@_-">
                  <c:v>-38.690000001341105</c:v>
                </c:pt>
                <c:pt idx="271" formatCode="_-* #,##0_-;\-* #,##0_-;_-* &quot;-&quot;??_-;_-@_-">
                  <c:v>44.990000002086163</c:v>
                </c:pt>
                <c:pt idx="272" formatCode="_-* #,##0_-;\-* #,##0_-;_-* &quot;-&quot;??_-;_-@_-">
                  <c:v>21.440000005066395</c:v>
                </c:pt>
                <c:pt idx="273" formatCode="_-* #,##0_-;\-* #,##0_-;_-* &quot;-&quot;??_-;_-@_-">
                  <c:v>-12.75</c:v>
                </c:pt>
                <c:pt idx="274" formatCode="_-* #,##0_-;\-* #,##0_-;_-* &quot;-&quot;??_-;_-@_-">
                  <c:v>56.679999999701977</c:v>
                </c:pt>
                <c:pt idx="275" formatCode="_-* #,##0_-;\-* #,##0_-;_-* &quot;-&quot;??_-;_-@_-">
                  <c:v>-956.99000000208616</c:v>
                </c:pt>
                <c:pt idx="276" formatCode="_-* #,##0_-;\-* #,##0_-;_-* &quot;-&quot;??_-;_-@_-">
                  <c:v>-9.3299999982118607</c:v>
                </c:pt>
                <c:pt idx="277" formatCode="_-* #,##0_-;\-* #,##0_-;_-* &quot;-&quot;??_-;_-@_-">
                  <c:v>138.01999999582767</c:v>
                </c:pt>
                <c:pt idx="278" formatCode="_-* #,##0_-;\-* #,##0_-;_-* &quot;-&quot;??_-;_-@_-">
                  <c:v>67.700000002980232</c:v>
                </c:pt>
                <c:pt idx="279" formatCode="_-* #,##0_-;\-* #,##0_-;_-* &quot;-&quot;??_-;_-@_-">
                  <c:v>-395.12999999895692</c:v>
                </c:pt>
                <c:pt idx="280" formatCode="_-* #,##0_-;\-* #,##0_-;_-* &quot;-&quot;??_-;_-@_-">
                  <c:v>82.390000000596046</c:v>
                </c:pt>
                <c:pt idx="281" formatCode="_-* #,##0_-;\-* #,##0_-;_-* &quot;-&quot;??_-;_-@_-">
                  <c:v>91.859999999403954</c:v>
                </c:pt>
                <c:pt idx="282" formatCode="_-* #,##0_-;\-* #,##0_-;_-* &quot;-&quot;??_-;_-@_-">
                  <c:v>5041502</c:v>
                </c:pt>
                <c:pt idx="283" formatCode="_-* #,##0_-;\-* #,##0_-;_-* &quot;-&quot;??_-;_-@_-">
                  <c:v>29.880000002682209</c:v>
                </c:pt>
                <c:pt idx="284" formatCode="_-* #,##0_-;\-* #,##0_-;_-* &quot;-&quot;??_-;_-@_-">
                  <c:v>-11187841.149999999</c:v>
                </c:pt>
                <c:pt idx="285" formatCode="_-* #,##0_-;\-* #,##0_-;_-* &quot;-&quot;??_-;_-@_-">
                  <c:v>11179506.699999999</c:v>
                </c:pt>
                <c:pt idx="286" formatCode="_-* #,##0_-;\-* #,##0_-;_-* &quot;-&quot;??_-;_-@_-">
                  <c:v>-5.7800000011920929</c:v>
                </c:pt>
                <c:pt idx="287" formatCode="_-* #,##0_-;\-* #,##0_-;_-* &quot;-&quot;??_-;_-@_-">
                  <c:v>-166.57999999821186</c:v>
                </c:pt>
                <c:pt idx="288" formatCode="_-* #,##0_-;\-* #,##0_-;_-* &quot;-&quot;??_-;_-@_-">
                  <c:v>-11676333.730000004</c:v>
                </c:pt>
                <c:pt idx="289" formatCode="_-* #,##0_-;\-* #,##0_-;_-* &quot;-&quot;??_-;_-@_-">
                  <c:v>11676577.09</c:v>
                </c:pt>
                <c:pt idx="290" formatCode="_-* #,##0_-;\-* #,##0_-;_-* &quot;-&quot;??_-;_-@_-">
                  <c:v>-13.510000005364418</c:v>
                </c:pt>
                <c:pt idx="291" formatCode="_-* #,##0_-;\-* #,##0_-;_-* &quot;-&quot;??_-;_-@_-">
                  <c:v>5.6000000014901161</c:v>
                </c:pt>
                <c:pt idx="292" formatCode="_-* #,##0_-;\-* #,##0_-;_-* &quot;-&quot;??_-;_-@_-">
                  <c:v>29.130000002682209</c:v>
                </c:pt>
                <c:pt idx="293" formatCode="_-* #,##0_-;\-* #,##0_-;_-* &quot;-&quot;??_-;_-@_-">
                  <c:v>3032.839999999851</c:v>
                </c:pt>
                <c:pt idx="294" formatCode="_-* #,##0_-;\-* #,##0_-;_-* &quot;-&quot;??_-;_-@_-">
                  <c:v>-11.940000001341105</c:v>
                </c:pt>
                <c:pt idx="295" formatCode="_-* #,##0_-;\-* #,##0_-;_-* &quot;-&quot;??_-;_-@_-">
                  <c:v>-10717799.5</c:v>
                </c:pt>
                <c:pt idx="296" formatCode="_-* #,##0_-;\-* #,##0_-;_-* &quot;-&quot;??_-;_-@_-">
                  <c:v>10716641.079999998</c:v>
                </c:pt>
                <c:pt idx="297" formatCode="_-* #,##0_-;\-* #,##0_-;_-* &quot;-&quot;??_-;_-@_-">
                  <c:v>785.82999999821186</c:v>
                </c:pt>
                <c:pt idx="298" formatCode="_-* #,##0_-;\-* #,##0_-;_-* &quot;-&quot;??_-;_-@_-">
                  <c:v>-13.850000001490116</c:v>
                </c:pt>
                <c:pt idx="299" formatCode="_-* #,##0_-;\-* #,##0_-;_-* &quot;-&quot;??_-;_-@_-">
                  <c:v>-48.629999995231628</c:v>
                </c:pt>
                <c:pt idx="300" formatCode="_-* #,##0_-;\-* #,##0_-;_-* &quot;-&quot;??_-;_-@_-">
                  <c:v>51.509999997913837</c:v>
                </c:pt>
                <c:pt idx="301" formatCode="_-* #,##0_-;\-* #,##0_-;_-* &quot;-&quot;??_-;_-@_-">
                  <c:v>-70.230000000447035</c:v>
                </c:pt>
                <c:pt idx="302" formatCode="_-* #,##0_-;\-* #,##0_-;_-* &quot;-&quot;??_-;_-@_-">
                  <c:v>-3357165</c:v>
                </c:pt>
                <c:pt idx="303" formatCode="_-* #,##0_-;\-* #,##0_-;_-* &quot;-&quot;??_-;_-@_-">
                  <c:v>3357065.1899999976</c:v>
                </c:pt>
                <c:pt idx="304" formatCode="_-* #,##0_-;\-* #,##0_-;_-* &quot;-&quot;??_-;_-@_-">
                  <c:v>-10.480000000447035</c:v>
                </c:pt>
                <c:pt idx="305" formatCode="_-* #,##0_-;\-* #,##0_-;_-* &quot;-&quot;??_-;_-@_-">
                  <c:v>-31</c:v>
                </c:pt>
                <c:pt idx="306" formatCode="_-* #,##0_-;\-* #,##0_-;_-* &quot;-&quot;??_-;_-@_-">
                  <c:v>14.810000002384186</c:v>
                </c:pt>
                <c:pt idx="307" formatCode="_-* #,##0_-;\-* #,##0_-;_-* &quot;-&quot;??_-;_-@_-">
                  <c:v>588.67000000178814</c:v>
                </c:pt>
                <c:pt idx="308" formatCode="_-* #,##0_-;\-* #,##0_-;_-* &quot;-&quot;??_-;_-@_-">
                  <c:v>25.339999999850988</c:v>
                </c:pt>
                <c:pt idx="309" formatCode="_-* #,##0_-;\-* #,##0_-;_-* &quot;-&quot;??_-;_-@_-">
                  <c:v>-5059417.5</c:v>
                </c:pt>
                <c:pt idx="310" formatCode="_-* #,##0_-;\-* #,##0_-;_-* &quot;-&quot;??_-;_-@_-">
                  <c:v>5059414.82</c:v>
                </c:pt>
                <c:pt idx="311" formatCode="_-* #,##0_-;\-* #,##0_-;_-* &quot;-&quot;??_-;_-@_-">
                  <c:v>22.900000005960464</c:v>
                </c:pt>
                <c:pt idx="312" formatCode="_-* #,##0_-;\-* #,##0_-;_-* &quot;-&quot;??_-;_-@_-">
                  <c:v>23.079999998211861</c:v>
                </c:pt>
                <c:pt idx="313" formatCode="_-* #,##0_-;\-* #,##0_-;_-* &quot;-&quot;??_-;_-@_-">
                  <c:v>50.879999995231628</c:v>
                </c:pt>
                <c:pt idx="314" formatCode="_-* #,##0_-;\-* #,##0_-;_-* &quot;-&quot;??_-;_-@_-">
                  <c:v>-21.179999999701977</c:v>
                </c:pt>
                <c:pt idx="315" formatCode="_-* #,##0_-;\-* #,##0_-;_-* &quot;-&quot;??_-;_-@_-">
                  <c:v>25.530000001192093</c:v>
                </c:pt>
                <c:pt idx="316" formatCode="_-* #,##0_-;\-* #,##0_-;_-* &quot;-&quot;??_-;_-@_-">
                  <c:v>287.80000000074506</c:v>
                </c:pt>
                <c:pt idx="317" formatCode="_-* #,##0_-;\-* #,##0_-;_-* &quot;-&quot;??_-;_-@_-">
                  <c:v>6088538.6899999976</c:v>
                </c:pt>
                <c:pt idx="318" formatCode="_-* #,##0_-;\-* #,##0_-;_-* &quot;-&quot;??_-;_-@_-">
                  <c:v>-14.21000000089407</c:v>
                </c:pt>
                <c:pt idx="319" formatCode="_-* #,##0_-;\-* #,##0_-;_-* &quot;-&quot;??_-;_-@_-">
                  <c:v>11.940000001341105</c:v>
                </c:pt>
                <c:pt idx="320" formatCode="_-* #,##0_-;\-* #,##0_-;_-* &quot;-&quot;??_-;_-@_-">
                  <c:v>59.25</c:v>
                </c:pt>
                <c:pt idx="321" formatCode="_-* #,##0_-;\-* #,##0_-;_-* &quot;-&quot;??_-;_-@_-">
                  <c:v>-24.799999997019768</c:v>
                </c:pt>
                <c:pt idx="322" formatCode="_-* #,##0_-;\-* #,##0_-;_-* &quot;-&quot;??_-;_-@_-">
                  <c:v>27.880000002682209</c:v>
                </c:pt>
                <c:pt idx="323" formatCode="_-* #,##0_-;\-* #,##0_-;_-* &quot;-&quot;??_-;_-@_-">
                  <c:v>-4011355.5</c:v>
                </c:pt>
                <c:pt idx="324" formatCode="_-* #,##0_-;\-* #,##0_-;_-* &quot;-&quot;??_-;_-@_-">
                  <c:v>4011446.5399999991</c:v>
                </c:pt>
                <c:pt idx="325" formatCode="_-* #,##0_-;\-* #,##0_-;_-* &quot;-&quot;??_-;_-@_-">
                  <c:v>15.339999999850988</c:v>
                </c:pt>
                <c:pt idx="326" formatCode="_-* #,##0_-;\-* #,##0_-;_-* &quot;-&quot;??_-;_-@_-">
                  <c:v>67.300000000745058</c:v>
                </c:pt>
                <c:pt idx="327" formatCode="_-* #,##0_-;\-* #,##0_-;_-* &quot;-&quot;??_-;_-@_-">
                  <c:v>503.33999999985099</c:v>
                </c:pt>
                <c:pt idx="328" formatCode="_-* #,##0_-;\-* #,##0_-;_-* &quot;-&quot;??_-;_-@_-">
                  <c:v>1.2599999979138374</c:v>
                </c:pt>
                <c:pt idx="329" formatCode="_-* #,##0_-;\-* #,##0_-;_-* &quot;-&quot;??_-;_-@_-">
                  <c:v>-1965.0399999991059</c:v>
                </c:pt>
                <c:pt idx="330" formatCode="_-* #,##0_-;\-* #,##0_-;_-* &quot;-&quot;??_-;_-@_-">
                  <c:v>-5237139.1400000006</c:v>
                </c:pt>
                <c:pt idx="331" formatCode="_-* #,##0_-;\-* #,##0_-;_-* &quot;-&quot;??_-;_-@_-">
                  <c:v>5237269.1500000004</c:v>
                </c:pt>
                <c:pt idx="332" formatCode="_-* #,##0_-;\-* #,##0_-;_-* &quot;-&quot;??_-;_-@_-">
                  <c:v>85.300000000745058</c:v>
                </c:pt>
                <c:pt idx="333" formatCode="_-* #,##0_-;\-* #,##0_-;_-* &quot;-&quot;??_-;_-@_-">
                  <c:v>-21.21000000089407</c:v>
                </c:pt>
                <c:pt idx="334" formatCode="_-* #,##0_-;\-* #,##0_-;_-* &quot;-&quot;??_-;_-@_-">
                  <c:v>6.7100000008940697</c:v>
                </c:pt>
                <c:pt idx="335" formatCode="_-* #,##0_-;\-* #,##0_-;_-* &quot;-&quot;??_-;_-@_-">
                  <c:v>26.549999997019768</c:v>
                </c:pt>
                <c:pt idx="336" formatCode="_-* #,##0_-;\-* #,##0_-;_-* &quot;-&quot;??_-;_-@_-">
                  <c:v>51.599999994039536</c:v>
                </c:pt>
                <c:pt idx="337" formatCode="_-* #,##0_-;\-* #,##0_-;_-* &quot;-&quot;??_-;_-@_-">
                  <c:v>-7874445.5099999979</c:v>
                </c:pt>
                <c:pt idx="338" formatCode="_-* #,##0_-;\-* #,##0_-;_-* &quot;-&quot;??_-;_-@_-">
                  <c:v>7874455.1999999993</c:v>
                </c:pt>
                <c:pt idx="339" formatCode="_-* #,##0_-;\-* #,##0_-;_-* &quot;-&quot;??_-;_-@_-">
                  <c:v>145.35999999940395</c:v>
                </c:pt>
                <c:pt idx="340" formatCode="_-* #,##0_-;\-* #,##0_-;_-* &quot;-&quot;??_-;_-@_-">
                  <c:v>15.649999998509884</c:v>
                </c:pt>
                <c:pt idx="341" formatCode="_-* #,##0_-;\-* #,##0_-;_-* &quot;-&quot;??_-;_-@_-">
                  <c:v>-25.509999997913837</c:v>
                </c:pt>
                <c:pt idx="342" formatCode="_-* #,##0_-;\-* #,##0_-;_-* &quot;-&quot;??_-;_-@_-">
                  <c:v>-1.7999999970197678</c:v>
                </c:pt>
                <c:pt idx="343" formatCode="_-* #,##0_-;\-* #,##0_-;_-* &quot;-&quot;??_-;_-@_-">
                  <c:v>16.300000000745058</c:v>
                </c:pt>
                <c:pt idx="344" formatCode="_-* #,##0_-;\-* #,##0_-;_-* &quot;-&quot;??_-;_-@_-">
                  <c:v>5.4800000004470348</c:v>
                </c:pt>
                <c:pt idx="345" formatCode="_-* #,##0_-;\-* #,##0_-;_-* &quot;-&quot;??_-;_-@_-">
                  <c:v>44.699999999254942</c:v>
                </c:pt>
                <c:pt idx="346" formatCode="_-* #,##0_-;\-* #,##0_-;_-* &quot;-&quot;??_-;_-@_-">
                  <c:v>-33.53999999910593</c:v>
                </c:pt>
                <c:pt idx="347" formatCode="_-* #,##0_-;\-* #,##0_-;_-* &quot;-&quot;??_-;_-@_-">
                  <c:v>209.06000000238419</c:v>
                </c:pt>
                <c:pt idx="348" formatCode="_-* #,##0_-;\-* #,##0_-;_-* &quot;-&quot;??_-;_-@_-">
                  <c:v>29.300000000745058</c:v>
                </c:pt>
                <c:pt idx="349" formatCode="_-* #,##0_-;\-* #,##0_-;_-* &quot;-&quot;??_-;_-@_-">
                  <c:v>-19.530000001192093</c:v>
                </c:pt>
                <c:pt idx="350" formatCode="_-* #,##0_-;\-* #,##0_-;_-* &quot;-&quot;??_-;_-@_-">
                  <c:v>66.829999998211861</c:v>
                </c:pt>
                <c:pt idx="351" formatCode="_-* #,##0_-;\-* #,##0_-;_-* &quot;-&quot;??_-;_-@_-">
                  <c:v>-6019333.5099999979</c:v>
                </c:pt>
                <c:pt idx="352" formatCode="_-* #,##0_-;\-* #,##0_-;_-* &quot;-&quot;??_-;_-@_-">
                  <c:v>6019331.0600000024</c:v>
                </c:pt>
                <c:pt idx="353" formatCode="_-* #,##0_-;\-* #,##0_-;_-* &quot;-&quot;??_-;_-@_-">
                  <c:v>-2105.5500000007451</c:v>
                </c:pt>
                <c:pt idx="354" formatCode="_-* #,##0_-;\-* #,##0_-;_-* &quot;-&quot;??_-;_-@_-">
                  <c:v>-55.620000004768372</c:v>
                </c:pt>
                <c:pt idx="355" formatCode="_-* #,##0_-;\-* #,##0_-;_-* &quot;-&quot;??_-;_-@_-">
                  <c:v>52.53999999910593</c:v>
                </c:pt>
                <c:pt idx="356" formatCode="_-* #,##0_-;\-* #,##0_-;_-* &quot;-&quot;??_-;_-@_-">
                  <c:v>-4.4299999997019768</c:v>
                </c:pt>
                <c:pt idx="357" formatCode="_-* #,##0_-;\-* #,##0_-;_-* &quot;-&quot;??_-;_-@_-">
                  <c:v>-29.570000000298023</c:v>
                </c:pt>
                <c:pt idx="358" formatCode="_-* #,##0_-;\-* #,##0_-;_-* &quot;-&quot;??_-;_-@_-">
                  <c:v>-5561599.799999997</c:v>
                </c:pt>
                <c:pt idx="359" formatCode="_-* #,##0_-;\-* #,##0_-;_-* &quot;-&quot;??_-;_-@_-">
                  <c:v>5561673.3999999985</c:v>
                </c:pt>
                <c:pt idx="360" formatCode="_-* #,##0_-;\-* #,##0_-;_-* &quot;-&quot;??_-;_-@_-">
                  <c:v>3653.1999999992549</c:v>
                </c:pt>
                <c:pt idx="361" formatCode="_-* #,##0_-;\-* #,##0_-;_-* &quot;-&quot;??_-;_-@_-">
                  <c:v>-20550514.609999999</c:v>
                </c:pt>
                <c:pt idx="362" formatCode="_-* #,##0_-;\-* #,##0_-;_-* &quot;-&quot;??_-;_-@_-">
                  <c:v>-7132293.5010000002</c:v>
                </c:pt>
                <c:pt idx="363" formatCode="_-* #,##0_-;\-* #,##0_-;_-* &quot;-&quot;??_-;_-@_-">
                  <c:v>27656822.206</c:v>
                </c:pt>
                <c:pt idx="364" formatCode="_-* #,##0_-;\-* #,##0_-;_-* &quot;-&quot;??_-;_-@_-">
                  <c:v>94.147999998182058</c:v>
                </c:pt>
                <c:pt idx="365" formatCode="_-* #,##0_-;\-* #,##0_-;_-* &quot;-&quot;??_-;_-@_-">
                  <c:v>-11340834.623000003</c:v>
                </c:pt>
                <c:pt idx="366" formatCode="_-* #,##0_-;\-* #,##0_-;_-* &quot;-&quot;??_-;_-@_-">
                  <c:v>11349275.615000002</c:v>
                </c:pt>
                <c:pt idx="367" formatCode="_-* #,##0_-;\-* #,##0_-;_-* &quot;-&quot;??_-;_-@_-">
                  <c:v>28.049999997019768</c:v>
                </c:pt>
                <c:pt idx="368" formatCode="_-* #,##0_-;\-* #,##0_-;_-* &quot;-&quot;??_-;_-@_-">
                  <c:v>-9129928.1900000013</c:v>
                </c:pt>
                <c:pt idx="369" formatCode="_-* #,##0_-;\-* #,##0_-;_-* &quot;-&quot;??_-;_-@_-">
                  <c:v>9130451.2379999999</c:v>
                </c:pt>
                <c:pt idx="370" formatCode="_-* #,##0_-;\-* #,##0_-;_-* &quot;-&quot;??_-;_-@_-">
                  <c:v>97.302000001072884</c:v>
                </c:pt>
                <c:pt idx="371" formatCode="_-* #,##0_-;\-* #,##0_-;_-* &quot;-&quot;??_-;_-@_-">
                  <c:v>-934.74599999934435</c:v>
                </c:pt>
                <c:pt idx="372" formatCode="_-* #,##0_-;\-* #,##0_-;_-* &quot;-&quot;??_-;_-@_-">
                  <c:v>-8905470.7880000025</c:v>
                </c:pt>
                <c:pt idx="373" formatCode="_-* #,##0_-;\-* #,##0_-;_-* &quot;-&quot;??_-;_-@_-">
                  <c:v>8921067.8610000014</c:v>
                </c:pt>
                <c:pt idx="374" formatCode="_-* #,##0_-;\-* #,##0_-;_-* &quot;-&quot;??_-;_-@_-">
                  <c:v>9.9739999994635582</c:v>
                </c:pt>
                <c:pt idx="375" formatCode="_-* #,##0_-;\-* #,##0_-;_-* &quot;-&quot;??_-;_-@_-">
                  <c:v>52.358000002801418</c:v>
                </c:pt>
                <c:pt idx="376" formatCode="_-* #,##0_-;\-* #,##0_-;_-* &quot;-&quot;??_-;_-@_-">
                  <c:v>-35.679999999701977</c:v>
                </c:pt>
                <c:pt idx="377" formatCode="_-* #,##0_-;\-* #,##0_-;_-* &quot;-&quot;??_-;_-@_-">
                  <c:v>-6.5399999991059303</c:v>
                </c:pt>
                <c:pt idx="378" formatCode="_-* #,##0_-;\-* #,##0_-;_-* &quot;-&quot;??_-;_-@_-">
                  <c:v>90.160000003874302</c:v>
                </c:pt>
                <c:pt idx="379" formatCode="_-* #,##0_-;\-* #,##0_-;_-* &quot;-&quot;??_-;_-@_-">
                  <c:v>-6140847.4199999981</c:v>
                </c:pt>
                <c:pt idx="380" formatCode="_-* #,##0_-;\-* #,##0_-;_-* &quot;-&quot;??_-;_-@_-">
                  <c:v>6140863.0899999999</c:v>
                </c:pt>
                <c:pt idx="381" formatCode="_-* #,##0_-;\-* #,##0_-;_-* &quot;-&quot;??_-;_-@_-">
                  <c:v>-195.73000000044703</c:v>
                </c:pt>
                <c:pt idx="382" formatCode="_-* #,##0_-;\-* #,##0_-;_-* &quot;-&quot;??_-;_-@_-">
                  <c:v>42.329999998211861</c:v>
                </c:pt>
                <c:pt idx="383" formatCode="_-* #,##0_-;\-* #,##0_-;_-* &quot;-&quot;??_-;_-@_-">
                  <c:v>70.300000000745058</c:v>
                </c:pt>
                <c:pt idx="384" formatCode="_-* #,##0_-;\-* #,##0_-;_-* &quot;-&quot;??_-;_-@_-">
                  <c:v>45.049999998882413</c:v>
                </c:pt>
                <c:pt idx="385" formatCode="_-* #,##0_-;\-* #,##0_-;_-* &quot;-&quot;??_-;_-@_-">
                  <c:v>35.359999999403954</c:v>
                </c:pt>
                <c:pt idx="386" formatCode="_-* #,##0_-;\-* #,##0_-;_-* &quot;-&quot;??_-;_-@_-">
                  <c:v>-4789040.4200000018</c:v>
                </c:pt>
                <c:pt idx="387" formatCode="_-* #,##0_-;\-* #,##0_-;_-* &quot;-&quot;??_-;_-@_-">
                  <c:v>4788581.1000000015</c:v>
                </c:pt>
                <c:pt idx="388" formatCode="_-* #,##0_-;\-* #,##0_-;_-* &quot;-&quot;??_-;_-@_-">
                  <c:v>10.299999997019768</c:v>
                </c:pt>
                <c:pt idx="389" formatCode="_-* #,##0_-;\-* #,##0_-;_-* &quot;-&quot;??_-;_-@_-">
                  <c:v>-243.38000000268221</c:v>
                </c:pt>
                <c:pt idx="390" formatCode="_-* #,##0_-;\-* #,##0_-;_-* &quot;-&quot;??_-;_-@_-">
                  <c:v>209.08999999985099</c:v>
                </c:pt>
                <c:pt idx="391" formatCode="_-* #,##0_-;\-* #,##0_-;_-* &quot;-&quot;??_-;_-@_-">
                  <c:v>60.660000000149012</c:v>
                </c:pt>
                <c:pt idx="392" formatCode="_-* #,##0_-;\-* #,##0_-;_-* &quot;-&quot;??_-;_-@_-">
                  <c:v>128526.8030000031</c:v>
                </c:pt>
                <c:pt idx="393" formatCode="_-* #,##0_-;\-* #,##0_-;_-* &quot;-&quot;??_-;_-@_-">
                  <c:v>-9515353.2189999968</c:v>
                </c:pt>
                <c:pt idx="394" formatCode="_-* #,##0_-;\-* #,##0_-;_-* &quot;-&quot;??_-;_-@_-">
                  <c:v>9515375.9959999993</c:v>
                </c:pt>
                <c:pt idx="395" formatCode="_-* #,##0_-;\-* #,##0_-;_-* &quot;-&quot;??_-;_-@_-">
                  <c:v>136.44900000095367</c:v>
                </c:pt>
                <c:pt idx="396" formatCode="_-* #,##0_-;\-* #,##0_-;_-* &quot;-&quot;??_-;_-@_-">
                  <c:v>-9.284000001847744</c:v>
                </c:pt>
                <c:pt idx="397" formatCode="_-* #,##0_-;\-* #,##0_-;_-* &quot;-&quot;??_-;_-@_-">
                  <c:v>-8.7390000000596046</c:v>
                </c:pt>
                <c:pt idx="398" formatCode="_-* #,##0_-;\-* #,##0_-;_-* &quot;-&quot;??_-;_-@_-">
                  <c:v>9608.6499999985099</c:v>
                </c:pt>
                <c:pt idx="399" formatCode="_-* #,##0_-;\-* #,##0_-;_-* &quot;-&quot;??_-;_-@_-">
                  <c:v>27.513000000268221</c:v>
                </c:pt>
                <c:pt idx="400" formatCode="_-* #,##0_-;\-* #,##0_-;_-* &quot;-&quot;??_-;_-@_-">
                  <c:v>2933.1590000018477</c:v>
                </c:pt>
                <c:pt idx="401" formatCode="_-* #,##0_-;\-* #,##0_-;_-* &quot;-&quot;??_-;_-@_-">
                  <c:v>7089784.6569999978</c:v>
                </c:pt>
                <c:pt idx="402" formatCode="_-* #,##0_-;\-* #,##0_-;_-* &quot;-&quot;??_-;_-@_-">
                  <c:v>8.4499999992549419</c:v>
                </c:pt>
                <c:pt idx="403" formatCode="_-* #,##0_-;\-* #,##0_-;_-* &quot;-&quot;??_-;_-@_-">
                  <c:v>993.43299999833107</c:v>
                </c:pt>
                <c:pt idx="404" formatCode="_-* #,##0_-;\-* #,##0_-;_-* &quot;-&quot;??_-;_-@_-">
                  <c:v>1783.7939999997616</c:v>
                </c:pt>
                <c:pt idx="405" formatCode="_-* #,##0_-;\-* #,##0_-;_-* &quot;-&quot;??_-;_-@_-">
                  <c:v>-6.2349999994039536</c:v>
                </c:pt>
                <c:pt idx="406" formatCode="_-* #,##0_-;\-* #,##0_-;_-* &quot;-&quot;??_-;_-@_-">
                  <c:v>-28.072999998927116</c:v>
                </c:pt>
                <c:pt idx="407" formatCode="_-* #,##0_-;\-* #,##0_-;_-* &quot;-&quot;??_-;_-@_-">
                  <c:v>-5315160.4279999994</c:v>
                </c:pt>
                <c:pt idx="408" formatCode="_-* #,##0_-;\-* #,##0_-;_-* &quot;-&quot;??_-;_-@_-">
                  <c:v>5317472.0040000007</c:v>
                </c:pt>
                <c:pt idx="409" formatCode="_-* #,##0_-;\-* #,##0_-;_-* &quot;-&quot;??_-;_-@_-">
                  <c:v>-214.97199999913573</c:v>
                </c:pt>
                <c:pt idx="410" formatCode="_-* #,##0_-;\-* #,##0_-;_-* &quot;-&quot;??_-;_-@_-">
                  <c:v>-22.166999999433756</c:v>
                </c:pt>
                <c:pt idx="411" formatCode="_-* #,##0_-;\-* #,##0_-;_-* &quot;-&quot;??_-;_-@_-">
                  <c:v>-1.193000003695488</c:v>
                </c:pt>
                <c:pt idx="412" formatCode="_-* #,##0_-;\-* #,##0_-;_-* &quot;-&quot;??_-;_-@_-">
                  <c:v>-54.11600000038743</c:v>
                </c:pt>
                <c:pt idx="413" formatCode="_-* #,##0_-;\-* #,##0_-;_-* &quot;-&quot;??_-;_-@_-">
                  <c:v>2588.7719999998808</c:v>
                </c:pt>
                <c:pt idx="414" formatCode="_-* #,##0_-;\-* #,##0_-;_-* &quot;-&quot;??_-;_-@_-">
                  <c:v>-10369425.130000003</c:v>
                </c:pt>
                <c:pt idx="415" formatCode="_-* #,##0_-;\-* #,##0_-;_-* &quot;-&quot;??_-;_-@_-">
                  <c:v>10368821.067</c:v>
                </c:pt>
                <c:pt idx="416" formatCode="_-* #,##0_-;\-* #,##0_-;_-* &quot;-&quot;??_-;_-@_-">
                  <c:v>136.0599999986589</c:v>
                </c:pt>
                <c:pt idx="417" formatCode="_-* #,##0_-;\-* #,##0_-;_-* &quot;-&quot;??_-;_-@_-">
                  <c:v>65.368000000715256</c:v>
                </c:pt>
                <c:pt idx="418" formatCode="_-* #,##0_-;\-* #,##0_-;_-* &quot;-&quot;??_-;_-@_-">
                  <c:v>-3.1889999993145466</c:v>
                </c:pt>
                <c:pt idx="419" formatCode="_-* #,##0_-;\-* #,##0_-;_-* &quot;-&quot;??_-;_-@_-">
                  <c:v>-13.098999999463558</c:v>
                </c:pt>
                <c:pt idx="420" formatCode="_-* #,##0_-;\-* #,##0_-;_-* &quot;-&quot;??_-;_-@_-">
                  <c:v>43.494999997317791</c:v>
                </c:pt>
                <c:pt idx="421" formatCode="_-* #,##0_-;\-* #,##0_-;_-* &quot;-&quot;??_-;_-@_-">
                  <c:v>67.666000001132488</c:v>
                </c:pt>
                <c:pt idx="422" formatCode="_-* #,##0_-;\-* #,##0_-;_-* &quot;-&quot;??_-;_-@_-">
                  <c:v>174.75400000065565</c:v>
                </c:pt>
                <c:pt idx="423" formatCode="_-* #,##0_-;\-* #,##0_-;_-* &quot;-&quot;??_-;_-@_-">
                  <c:v>149.17599999904633</c:v>
                </c:pt>
                <c:pt idx="424" formatCode="_-* #,##0_-;\-* #,##0_-;_-* &quot;-&quot;??_-;_-@_-">
                  <c:v>87.510999999940395</c:v>
                </c:pt>
                <c:pt idx="425" formatCode="_-* #,##0_-;\-* #,##0_-;_-* &quot;-&quot;??_-;_-@_-">
                  <c:v>69.439000001177192</c:v>
                </c:pt>
                <c:pt idx="426" formatCode="_-* #,##0_-;\-* #,##0_-;_-* &quot;-&quot;??_-;_-@_-">
                  <c:v>-11274240.068999998</c:v>
                </c:pt>
                <c:pt idx="427" formatCode="_-* #,##0_-;\-* #,##0_-;_-* &quot;-&quot;??_-;_-@_-">
                  <c:v>54.703999999910593</c:v>
                </c:pt>
                <c:pt idx="428" formatCode="_-* #,##0_-;\-* #,##0_-;_-* &quot;-&quot;??_-;_-@_-">
                  <c:v>-12098758.734999999</c:v>
                </c:pt>
                <c:pt idx="429" formatCode="_-* #,##0_-;\-* #,##0_-;_-* &quot;-&quot;??_-;_-@_-">
                  <c:v>12098848.309</c:v>
                </c:pt>
                <c:pt idx="430" formatCode="_-* #,##0_-;\-* #,##0_-;_-* &quot;-&quot;??_-;_-@_-">
                  <c:v>5.1000000014901161</c:v>
                </c:pt>
                <c:pt idx="431" formatCode="_-* #,##0_-;\-* #,##0_-;_-* &quot;-&quot;??_-;_-@_-">
                  <c:v>15.479000002145767</c:v>
                </c:pt>
                <c:pt idx="432" formatCode="_-* #,##0_-;\-* #,##0_-;_-* &quot;-&quot;??_-;_-@_-">
                  <c:v>30.498999997973442</c:v>
                </c:pt>
                <c:pt idx="433" formatCode="_-* #,##0_-;\-* #,##0_-;_-* &quot;-&quot;??_-;_-@_-">
                  <c:v>-46.377999998629093</c:v>
                </c:pt>
                <c:pt idx="434" formatCode="_-* #,##0_-;\-* #,##0_-;_-* &quot;-&quot;??_-;_-@_-">
                  <c:v>-7235958.5350000001</c:v>
                </c:pt>
                <c:pt idx="435" formatCode="_-* #,##0_-;\-* #,##0_-;_-* &quot;-&quot;??_-;_-@_-">
                  <c:v>-5212126.7580000013</c:v>
                </c:pt>
                <c:pt idx="436" formatCode="_-* #,##0_-;\-* #,##0_-;_-* &quot;-&quot;??_-;_-@_-">
                  <c:v>12449035.192000002</c:v>
                </c:pt>
                <c:pt idx="437" formatCode="_-* #,##0_-;\-* #,##0_-;_-* &quot;-&quot;??_-;_-@_-">
                  <c:v>-41.322999998927116</c:v>
                </c:pt>
                <c:pt idx="438" formatCode="_-* #,##0_-;\-* #,##0_-;_-* &quot;-&quot;??_-;_-@_-">
                  <c:v>61.594999998807907</c:v>
                </c:pt>
                <c:pt idx="439" formatCode="_-* #,##0_-;\-* #,##0_-;_-* &quot;-&quot;??_-;_-@_-">
                  <c:v>11.25</c:v>
                </c:pt>
                <c:pt idx="440" formatCode="_-* #,##0_-;\-* #,##0_-;_-* &quot;-&quot;??_-;_-@_-">
                  <c:v>-6.9100000001490116</c:v>
                </c:pt>
                <c:pt idx="441" formatCode="_-* #,##0_-;\-* #,##0_-;_-* &quot;-&quot;??_-;_-@_-">
                  <c:v>18.513000000268221</c:v>
                </c:pt>
                <c:pt idx="442" formatCode="_-* #,##0_-;\-* #,##0_-;_-* &quot;-&quot;??_-;_-@_-">
                  <c:v>-6283059.9629999995</c:v>
                </c:pt>
                <c:pt idx="443" formatCode="_-* #,##0_-;\-* #,##0_-;_-* &quot;-&quot;??_-;_-@_-">
                  <c:v>6358954.9800000004</c:v>
                </c:pt>
                <c:pt idx="444" formatCode="_-* #,##0_-;\-* #,##0_-;_-* &quot;-&quot;??_-;_-@_-">
                  <c:v>201.56000000238419</c:v>
                </c:pt>
                <c:pt idx="445" formatCode="_-* #,##0_-;\-* #,##0_-;_-* &quot;-&quot;??_-;_-@_-">
                  <c:v>36.100000001490116</c:v>
                </c:pt>
                <c:pt idx="446" formatCode="_-* #,##0_-;\-* #,##0_-;_-* &quot;-&quot;??_-;_-@_-">
                  <c:v>62.28999999910593</c:v>
                </c:pt>
                <c:pt idx="447" formatCode="_-* #,##0_-;\-* #,##0_-;_-* &quot;-&quot;??_-;_-@_-">
                  <c:v>-31.309999998658895</c:v>
                </c:pt>
                <c:pt idx="448" formatCode="_-* #,##0_-;\-* #,##0_-;_-* &quot;-&quot;??_-;_-@_-">
                  <c:v>167.71999999880791</c:v>
                </c:pt>
                <c:pt idx="449" formatCode="_-* #,##0_-;\-* #,##0_-;_-* &quot;-&quot;??_-;_-@_-">
                  <c:v>-6257885.3000000007</c:v>
                </c:pt>
                <c:pt idx="450" formatCode="_-* #,##0_-;\-* #,##0_-;_-* &quot;-&quot;??_-;_-@_-">
                  <c:v>6258049.6099999994</c:v>
                </c:pt>
                <c:pt idx="451" formatCode="_-* #,##0_-;\-* #,##0_-;_-* &quot;-&quot;??_-;_-@_-">
                  <c:v>1.0599999986588955</c:v>
                </c:pt>
                <c:pt idx="452" formatCode="_-* #,##0_-;\-* #,##0_-;_-* &quot;-&quot;??_-;_-@_-">
                  <c:v>29951.699999999255</c:v>
                </c:pt>
                <c:pt idx="453" formatCode="_-* #,##0_-;\-* #,##0_-;_-* &quot;-&quot;??_-;_-@_-">
                  <c:v>-1018.1899999976158</c:v>
                </c:pt>
                <c:pt idx="454" formatCode="_-* #,##0_-;\-* #,##0_-;_-* &quot;-&quot;??_-;_-@_-">
                  <c:v>-28.659999996423721</c:v>
                </c:pt>
                <c:pt idx="455" formatCode="_-* #,##0_-;\-* #,##0_-;_-* &quot;-&quot;??_-;_-@_-">
                  <c:v>73.270000003278255</c:v>
                </c:pt>
                <c:pt idx="456" formatCode="_-* #,##0_-;\-* #,##0_-;_-* &quot;-&quot;??_-;_-@_-">
                  <c:v>2990.1599999964237</c:v>
                </c:pt>
                <c:pt idx="457" formatCode="_-* #,##0_-;\-* #,##0_-;_-* &quot;-&quot;??_-;_-@_-">
                  <c:v>2.6000000014901161</c:v>
                </c:pt>
                <c:pt idx="458" formatCode="_-* #,##0_-;\-* #,##0_-;_-* &quot;-&quot;??_-;_-@_-">
                  <c:v>-1713.7000000029802</c:v>
                </c:pt>
                <c:pt idx="459" formatCode="_-* #,##0_-;\-* #,##0_-;_-* &quot;-&quot;??_-;_-@_-">
                  <c:v>17.119999997317791</c:v>
                </c:pt>
                <c:pt idx="460" formatCode="_-* #,##0_-;\-* #,##0_-;_-* &quot;-&quot;??_-;_-@_-">
                  <c:v>28.850000001490116</c:v>
                </c:pt>
                <c:pt idx="461" formatCode="_-* #,##0_-;\-* #,##0_-;_-* &quot;-&quot;??_-;_-@_-">
                  <c:v>2825.6499999985099</c:v>
                </c:pt>
                <c:pt idx="462" formatCode="_-* #,##0_-;\-* #,##0_-;_-* &quot;-&quot;??_-;_-@_-">
                  <c:v>-3452.2099999971688</c:v>
                </c:pt>
                <c:pt idx="463" formatCode="_-* #,##0_-;\-* #,##0_-;_-* &quot;-&quot;??_-;_-@_-">
                  <c:v>318.82000000029802</c:v>
                </c:pt>
                <c:pt idx="464" formatCode="_-* #,##0_-;\-* #,##0_-;_-* &quot;-&quot;??_-;_-@_-">
                  <c:v>64.189999997615814</c:v>
                </c:pt>
                <c:pt idx="465" formatCode="_-* #,##0_-;\-* #,##0_-;_-* &quot;-&quot;??_-;_-@_-">
                  <c:v>150.10999999940395</c:v>
                </c:pt>
                <c:pt idx="466" formatCode="_-* #,##0_-;\-* #,##0_-;_-* &quot;-&quot;??_-;_-@_-">
                  <c:v>3519.2899999991059</c:v>
                </c:pt>
                <c:pt idx="467" formatCode="_-* #,##0_-;\-* #,##0_-;_-* &quot;-&quot;??_-;_-@_-">
                  <c:v>19776.939999997616</c:v>
                </c:pt>
                <c:pt idx="468" formatCode="_-* #,##0_-;\-* #,##0_-;_-* &quot;-&quot;??_-;_-@_-">
                  <c:v>-228.84700000286102</c:v>
                </c:pt>
                <c:pt idx="469" formatCode="_-* #,##0_-;\-* #,##0_-;_-* &quot;-&quot;??_-;_-@_-">
                  <c:v>22.850000001490116</c:v>
                </c:pt>
                <c:pt idx="470" formatCode="_-* #,##0_-;\-* #,##0_-;_-* &quot;-&quot;??_-;_-@_-">
                  <c:v>-7180691.693</c:v>
                </c:pt>
                <c:pt idx="471" formatCode="_-* #,##0_-;\-* #,##0_-;_-* &quot;-&quot;??_-;_-@_-">
                  <c:v>7180736.2630000003</c:v>
                </c:pt>
                <c:pt idx="472" formatCode="_-* #,##0_-;\-* #,##0_-;_-* &quot;-&quot;??_-;_-@_-">
                  <c:v>22.7989999987185</c:v>
                </c:pt>
                <c:pt idx="473" formatCode="_-* #,##0_-;\-* #,##0_-;_-* &quot;-&quot;??_-;_-@_-">
                  <c:v>-32.603000000119209</c:v>
                </c:pt>
                <c:pt idx="474" formatCode="_-* #,##0_-;\-* #,##0_-;_-* &quot;-&quot;??_-;_-@_-">
                  <c:v>1.3099999986588955</c:v>
                </c:pt>
                <c:pt idx="475" formatCode="_-* #,##0_-;\-* #,##0_-;_-* &quot;-&quot;??_-;_-@_-">
                  <c:v>-7262254.8430000022</c:v>
                </c:pt>
                <c:pt idx="476" formatCode="_-* #,##0_-;\-* #,##0_-;_-* &quot;-&quot;??_-;_-@_-">
                  <c:v>7262765.8980000019</c:v>
                </c:pt>
                <c:pt idx="477" formatCode="_-* #,##0_-;\-* #,##0_-;_-* &quot;-&quot;??_-;_-@_-">
                  <c:v>-5535272.1140000001</c:v>
                </c:pt>
                <c:pt idx="478" formatCode="_-* #,##0_-;\-* #,##0_-;_-* &quot;-&quot;??_-;_-@_-">
                  <c:v>-4745496.307</c:v>
                </c:pt>
                <c:pt idx="479" formatCode="_-* #,##0_-;\-* #,##0_-;_-* &quot;-&quot;??_-;_-@_-">
                  <c:v>10292754</c:v>
                </c:pt>
                <c:pt idx="480" formatCode="_-* #,##0_-;\-* #,##0_-;_-* &quot;-&quot;??_-;_-@_-">
                  <c:v>45.050999999046326</c:v>
                </c:pt>
                <c:pt idx="481" formatCode="_-* #,##0_-;\-* #,##0_-;_-* &quot;-&quot;??_-;_-@_-">
                  <c:v>-13.147999998182058</c:v>
                </c:pt>
                <c:pt idx="482" formatCode="_-* #,##0_-;\-* #,##0_-;_-* &quot;-&quot;??_-;_-@_-">
                  <c:v>95.265000000596046</c:v>
                </c:pt>
                <c:pt idx="483" formatCode="_-* #,##0_-;\-* #,##0_-;_-* &quot;-&quot;??_-;_-@_-">
                  <c:v>44.177999999374151</c:v>
                </c:pt>
                <c:pt idx="484" formatCode="_-* #,##0_-;\-* #,##0_-;_-* &quot;-&quot;??_-;_-@_-">
                  <c:v>589.52800000086427</c:v>
                </c:pt>
                <c:pt idx="485" formatCode="_-* #,##0_-;\-* #,##0_-;_-* &quot;-&quot;??_-;_-@_-">
                  <c:v>-3223.7309999987483</c:v>
                </c:pt>
                <c:pt idx="486" formatCode="_-* #,##0_-;\-* #,##0_-;_-* &quot;-&quot;??_-;_-@_-">
                  <c:v>-110.67300000041723</c:v>
                </c:pt>
                <c:pt idx="487" formatCode="_-* #,##0_-;\-* #,##0_-;_-* &quot;-&quot;??_-;_-@_-">
                  <c:v>42.012999996542931</c:v>
                </c:pt>
                <c:pt idx="488" formatCode="_-* #,##0_-;\-* #,##0_-;_-* &quot;-&quot;??_-;_-@_-">
                  <c:v>-23.831000000238419</c:v>
                </c:pt>
                <c:pt idx="489" formatCode="_-* #,##0_-;\-* #,##0_-;_-* &quot;-&quot;??_-;_-@_-">
                  <c:v>-23.057000003755093</c:v>
                </c:pt>
                <c:pt idx="490" formatCode="_-* #,##0_-;\-* #,##0_-;_-* &quot;-&quot;??_-;_-@_-">
                  <c:v>12296.254999998957</c:v>
                </c:pt>
                <c:pt idx="491" formatCode="_-* #,##0_-;\-* #,##0_-;_-* &quot;-&quot;??_-;_-@_-">
                  <c:v>-11082927.912</c:v>
                </c:pt>
                <c:pt idx="492" formatCode="_-* #,##0_-;\-* #,##0_-;_-* &quot;-&quot;??_-;_-@_-">
                  <c:v>11101984.226999998</c:v>
                </c:pt>
                <c:pt idx="493" formatCode="_-* #,##0_-;\-* #,##0_-;_-* &quot;-&quot;??_-;_-@_-">
                  <c:v>-983.85999999940395</c:v>
                </c:pt>
                <c:pt idx="494" formatCode="_-* #,##0_-;\-* #,##0_-;_-* &quot;-&quot;??_-;_-@_-">
                  <c:v>-44982.809000000358</c:v>
                </c:pt>
                <c:pt idx="495" formatCode="_-* #,##0_-;\-* #,##0_-;_-* &quot;-&quot;??_-;_-@_-">
                  <c:v>44592.950999997556</c:v>
                </c:pt>
                <c:pt idx="496" formatCode="_-* #,##0_-;\-* #,##0_-;_-* &quot;-&quot;??_-;_-@_-">
                  <c:v>47.510999999940395</c:v>
                </c:pt>
                <c:pt idx="497" formatCode="_-* #,##0_-;\-* #,##0_-;_-* &quot;-&quot;??_-;_-@_-">
                  <c:v>86.475999999791384</c:v>
                </c:pt>
                <c:pt idx="498" formatCode="_-* #,##0_-;\-* #,##0_-;_-* &quot;-&quot;??_-;_-@_-">
                  <c:v>-14747388.067999996</c:v>
                </c:pt>
                <c:pt idx="499" formatCode="_-* #,##0_-;\-* #,##0_-;_-* &quot;-&quot;??_-;_-@_-">
                  <c:v>14747359.27</c:v>
                </c:pt>
                <c:pt idx="500" formatCode="_-* #,##0_-;\-* #,##0_-;_-* &quot;-&quot;??_-;_-@_-">
                  <c:v>9.6939999982714653</c:v>
                </c:pt>
                <c:pt idx="501" formatCode="_-* #,##0_-;\-* #,##0_-;_-* &quot;-&quot;??_-;_-@_-">
                  <c:v>-65.986000001430511</c:v>
                </c:pt>
                <c:pt idx="502" formatCode="_-* #,##0_-;\-* #,##0_-;_-* &quot;-&quot;??_-;_-@_-">
                  <c:v>1119.6200000010431</c:v>
                </c:pt>
                <c:pt idx="503" formatCode="_-* #,##0_-;\-* #,##0_-;_-* &quot;-&quot;??_-;_-@_-">
                  <c:v>1108.4030000045896</c:v>
                </c:pt>
                <c:pt idx="504" formatCode="_-* #,##0_-;\-* #,##0_-;_-* &quot;-&quot;??_-;_-@_-">
                  <c:v>-6730195.126000002</c:v>
                </c:pt>
                <c:pt idx="505" formatCode="_-* #,##0_-;\-* #,##0_-;_-* &quot;-&quot;??_-;_-@_-">
                  <c:v>-11711418.067000002</c:v>
                </c:pt>
                <c:pt idx="506" formatCode="_-* #,##0_-;\-* #,##0_-;_-* &quot;-&quot;??_-;_-@_-">
                  <c:v>18439876.414999999</c:v>
                </c:pt>
                <c:pt idx="507" formatCode="_-* #,##0_-;\-* #,##0_-;_-* &quot;-&quot;??_-;_-@_-">
                  <c:v>-64.984999999403954</c:v>
                </c:pt>
                <c:pt idx="508" formatCode="_-* #,##0_-;\-* #,##0_-;_-* &quot;-&quot;??_-;_-@_-">
                  <c:v>10478501.906999998</c:v>
                </c:pt>
                <c:pt idx="509" formatCode="_-* #,##0_-;\-* #,##0_-;_-* &quot;-&quot;??_-;_-@_-">
                  <c:v>-10394563.829999998</c:v>
                </c:pt>
                <c:pt idx="510" formatCode="_-* #,##0_-;\-* #,##0_-;_-* &quot;-&quot;??_-;_-@_-">
                  <c:v>20739966.843999997</c:v>
                </c:pt>
                <c:pt idx="511" formatCode="_-* #,##0_-;\-* #,##0_-;_-* &quot;-&quot;??_-;_-@_-">
                  <c:v>-20735881.178000003</c:v>
                </c:pt>
                <c:pt idx="512" formatCode="_-* #,##0_-;\-* #,##0_-;_-* &quot;-&quot;??_-;_-@_-">
                  <c:v>-52.659999996423721</c:v>
                </c:pt>
                <c:pt idx="513" formatCode="_-* #,##0_-;\-* #,##0_-;_-* &quot;-&quot;??_-;_-@_-">
                  <c:v>-771.43400000035763</c:v>
                </c:pt>
                <c:pt idx="514" formatCode="_-* #,##0_-;\-* #,##0_-;_-* &quot;-&quot;??_-;_-@_-">
                  <c:v>31110574.369999997</c:v>
                </c:pt>
                <c:pt idx="515" formatCode="_-* #,##0_-;\-* #,##0_-;_-* &quot;-&quot;??_-;_-@_-">
                  <c:v>-2819002.623999998</c:v>
                </c:pt>
                <c:pt idx="516" formatCode="_-* #,##0_-;\-* #,##0_-;_-* &quot;-&quot;??_-;_-@_-">
                  <c:v>-28291027.109999999</c:v>
                </c:pt>
                <c:pt idx="517" formatCode="_-* #,##0_-;\-* #,##0_-;_-* &quot;-&quot;??_-;_-@_-">
                  <c:v>11504320.488000005</c:v>
                </c:pt>
                <c:pt idx="518" formatCode="_-* #,##0_-;\-* #,##0_-;_-* &quot;-&quot;??_-;_-@_-">
                  <c:v>5361978.4670000002</c:v>
                </c:pt>
                <c:pt idx="519" formatCode="_-* #,##0_-;\-* #,##0_-;_-* &quot;-&quot;??_-;_-@_-">
                  <c:v>-3899529.8999999985</c:v>
                </c:pt>
                <c:pt idx="520" formatCode="_-* #,##0_-;\-* #,##0_-;_-* &quot;-&quot;??_-;_-@_-">
                  <c:v>-12959939.503000006</c:v>
                </c:pt>
                <c:pt idx="521" formatCode="_-* #,##0_-;\-* #,##0_-;_-* &quot;-&quot;??_-;_-@_-">
                  <c:v>-13585327.568999998</c:v>
                </c:pt>
                <c:pt idx="522" formatCode="_-* #,##0_-;\-* #,##0_-;_-* &quot;-&quot;??_-;_-@_-">
                  <c:v>13532069.269999996</c:v>
                </c:pt>
                <c:pt idx="523" formatCode="_-* #,##0_-;\-* #,##0_-;_-* &quot;-&quot;??_-;_-@_-">
                  <c:v>-99.829999998211861</c:v>
                </c:pt>
                <c:pt idx="524" formatCode="_-* #,##0_-;\-* #,##0_-;_-* &quot;-&quot;??_-;_-@_-">
                  <c:v>-15187932.539999999</c:v>
                </c:pt>
                <c:pt idx="525" formatCode="_-* #,##0_-;\-* #,##0_-;_-* &quot;-&quot;??_-;_-@_-">
                  <c:v>15187994.689999998</c:v>
                </c:pt>
                <c:pt idx="526" formatCode="_-* #,##0_-;\-* #,##0_-;_-* &quot;-&quot;??_-;_-@_-">
                  <c:v>-15112437.09</c:v>
                </c:pt>
                <c:pt idx="527" formatCode="_-* #,##0_-;\-* #,##0_-;_-* &quot;-&quot;??_-;_-@_-">
                  <c:v>-12085279.609999999</c:v>
                </c:pt>
                <c:pt idx="528" formatCode="_-* #,##0_-;\-* #,##0_-;_-* &quot;-&quot;??_-;_-@_-">
                  <c:v>54.53999999910593</c:v>
                </c:pt>
                <c:pt idx="529" formatCode="_-* #,##0_-;\-* #,##0_-;_-* &quot;-&quot;??_-;_-@_-">
                  <c:v>-787.82999999821186</c:v>
                </c:pt>
                <c:pt idx="530" formatCode="_-* #,##0_-;\-* #,##0_-;_-* &quot;-&quot;??_-;_-@_-">
                  <c:v>-15178.5</c:v>
                </c:pt>
                <c:pt idx="531" formatCode="_-* #,##0_-;\-* #,##0_-;_-* &quot;-&quot;??_-;_-@_-">
                  <c:v>14.159999996423721</c:v>
                </c:pt>
                <c:pt idx="532" formatCode="_-* #,##0_-;\-* #,##0_-;_-* &quot;-&quot;??_-;_-@_-">
                  <c:v>-25.519999995827675</c:v>
                </c:pt>
                <c:pt idx="533" formatCode="_-* #,##0_-;\-* #,##0_-;_-* &quot;-&quot;??_-;_-@_-">
                  <c:v>-13252484.399999999</c:v>
                </c:pt>
                <c:pt idx="534" formatCode="_-* #,##0_-;\-* #,##0_-;_-* &quot;-&quot;??_-;_-@_-">
                  <c:v>13252389.200000003</c:v>
                </c:pt>
                <c:pt idx="535" formatCode="_-* #,##0_-;\-* #,##0_-;_-* &quot;-&quot;??_-;_-@_-">
                  <c:v>-51.880000002682209</c:v>
                </c:pt>
                <c:pt idx="536" formatCode="_-* #,##0_-;\-* #,##0_-;_-* &quot;-&quot;??_-;_-@_-">
                  <c:v>-19.259999997913837</c:v>
                </c:pt>
                <c:pt idx="537" formatCode="_-* #,##0_-;\-* #,##0_-;_-* &quot;-&quot;??_-;_-@_-">
                  <c:v>59.339999999850988</c:v>
                </c:pt>
                <c:pt idx="538" formatCode="_-* #,##0_-;\-* #,##0_-;_-* &quot;-&quot;??_-;_-@_-">
                  <c:v>-50.200000002980232</c:v>
                </c:pt>
                <c:pt idx="539" formatCode="_-* #,##0_-;\-* #,##0_-;_-* &quot;-&quot;??_-;_-@_-">
                  <c:v>-26.579999998211861</c:v>
                </c:pt>
                <c:pt idx="540" formatCode="_-* #,##0_-;\-* #,##0_-;_-* &quot;-&quot;??_-;_-@_-">
                  <c:v>-8232460.2800000012</c:v>
                </c:pt>
                <c:pt idx="541" formatCode="_-* #,##0_-;\-* #,##0_-;_-* &quot;-&quot;??_-;_-@_-">
                  <c:v>8232559.6000000015</c:v>
                </c:pt>
                <c:pt idx="542" formatCode="_-* #,##0_-;\-* #,##0_-;_-* &quot;-&quot;??_-;_-@_-">
                  <c:v>-2647.7999999970198</c:v>
                </c:pt>
                <c:pt idx="543" formatCode="_-* #,##0_-;\-* #,##0_-;_-* &quot;-&quot;??_-;_-@_-">
                  <c:v>73.688000001013279</c:v>
                </c:pt>
                <c:pt idx="544" formatCode="_-* #,##0_-;\-* #,##0_-;_-* &quot;-&quot;??_-;_-@_-">
                  <c:v>39.953999996185303</c:v>
                </c:pt>
                <c:pt idx="545" formatCode="_-* #,##0_-;\-* #,##0_-;_-* &quot;-&quot;??_-;_-@_-">
                  <c:v>4.0349999964237213</c:v>
                </c:pt>
                <c:pt idx="546" formatCode="_-* #,##0_-;\-* #,##0_-;_-* &quot;-&quot;??_-;_-@_-">
                  <c:v>2.5820000022649765</c:v>
                </c:pt>
                <c:pt idx="547" formatCode="_-* #,##0_-;\-* #,##0_-;_-* &quot;-&quot;??_-;_-@_-">
                  <c:v>-13433515.174999997</c:v>
                </c:pt>
                <c:pt idx="548" formatCode="_-* #,##0_-;\-* #,##0_-;_-* &quot;-&quot;??_-;_-@_-">
                  <c:v>13384694.655999999</c:v>
                </c:pt>
                <c:pt idx="549" formatCode="_-* #,##0_-;\-* #,##0_-;_-* &quot;-&quot;??_-;_-@_-">
                  <c:v>6.4860000014305115</c:v>
                </c:pt>
                <c:pt idx="550" formatCode="_-* #,##0_-;\-* #,##0_-;_-* &quot;-&quot;??_-;_-@_-">
                  <c:v>25.599999997764826</c:v>
                </c:pt>
                <c:pt idx="551" formatCode="_-* #,##0_-;\-* #,##0_-;_-* &quot;-&quot;??_-;_-@_-">
                  <c:v>-6.4279999956488609</c:v>
                </c:pt>
                <c:pt idx="552" formatCode="_-* #,##0_-;\-* #,##0_-;_-* &quot;-&quot;??_-;_-@_-">
                  <c:v>-69.96000000089407</c:v>
                </c:pt>
                <c:pt idx="553" formatCode="_-* #,##0_-;\-* #,##0_-;_-* &quot;-&quot;??_-;_-@_-">
                  <c:v>-9001040.9299999997</c:v>
                </c:pt>
                <c:pt idx="554" formatCode="_-* #,##0_-;\-* #,##0_-;_-* &quot;-&quot;??_-;_-@_-">
                  <c:v>-12334782.199999999</c:v>
                </c:pt>
                <c:pt idx="555" formatCode="_-* #,##0_-;\-* #,##0_-;_-* &quot;-&quot;??_-;_-@_-">
                  <c:v>21335841.869999997</c:v>
                </c:pt>
                <c:pt idx="556" formatCode="_-* #,##0_-;\-* #,##0_-;_-* &quot;-&quot;??_-;_-@_-">
                  <c:v>-16.240000002086163</c:v>
                </c:pt>
                <c:pt idx="557" formatCode="_-* #,##0_-;\-* #,##0_-;_-* &quot;-&quot;??_-;_-@_-">
                  <c:v>-15.969999998807907</c:v>
                </c:pt>
                <c:pt idx="558" formatCode="_-* #,##0_-;\-* #,##0_-;_-* &quot;-&quot;??_-;_-@_-">
                  <c:v>-412.61800000071526</c:v>
                </c:pt>
                <c:pt idx="559" formatCode="_-* #,##0_-;\-* #,##0_-;_-* &quot;-&quot;??_-;_-@_-">
                  <c:v>43.984999999403954</c:v>
                </c:pt>
                <c:pt idx="560" formatCode="_-* #,##0_-;\-* #,##0_-;_-* &quot;-&quot;??_-;_-@_-">
                  <c:v>-74.024999998509884</c:v>
                </c:pt>
                <c:pt idx="561" formatCode="_-* #,##0_-;\-* #,##0_-;_-* &quot;-&quot;??_-;_-@_-">
                  <c:v>-9672796.0300000012</c:v>
                </c:pt>
                <c:pt idx="562" formatCode="_-* #,##0_-;\-* #,##0_-;_-* &quot;-&quot;??_-;_-@_-">
                  <c:v>9673418.7250000015</c:v>
                </c:pt>
                <c:pt idx="563" formatCode="_-* #,##0_-;\-* #,##0_-;_-* &quot;-&quot;??_-;_-@_-">
                  <c:v>-47.365000002086163</c:v>
                </c:pt>
                <c:pt idx="564" formatCode="_-* #,##0_-;\-* #,##0_-;_-* &quot;-&quot;??_-;_-@_-">
                  <c:v>-53.91499999910593</c:v>
                </c:pt>
                <c:pt idx="565" formatCode="_-* #,##0_-;\-* #,##0_-;_-* &quot;-&quot;??_-;_-@_-">
                  <c:v>2.5649999976158142</c:v>
                </c:pt>
                <c:pt idx="566" formatCode="_-* #,##0_-;\-* #,##0_-;_-* &quot;-&quot;??_-;_-@_-">
                  <c:v>9.0799999982118607</c:v>
                </c:pt>
                <c:pt idx="567" formatCode="_-* #,##0_-;\-* #,##0_-;_-* &quot;-&quot;??_-;_-@_-">
                  <c:v>-860.50500000268221</c:v>
                </c:pt>
                <c:pt idx="568" formatCode="_-* #,##0_-;\-* #,##0_-;_-* &quot;-&quot;??_-;_-@_-">
                  <c:v>-10425530.674999997</c:v>
                </c:pt>
                <c:pt idx="569" formatCode="_-* #,##0_-;\-* #,##0_-;_-* &quot;-&quot;??_-;_-@_-">
                  <c:v>10425501.744999997</c:v>
                </c:pt>
                <c:pt idx="570" formatCode="_-* #,##0_-;\-* #,##0_-;_-* &quot;-&quot;??_-;_-@_-">
                  <c:v>-954.69500000029802</c:v>
                </c:pt>
                <c:pt idx="571" formatCode="_-* #,##0_-;\-* #,##0_-;_-* &quot;-&quot;??_-;_-@_-">
                  <c:v>12.83500000089407</c:v>
                </c:pt>
                <c:pt idx="572" formatCode="_-* #,##0_-;\-* #,##0_-;_-* &quot;-&quot;??_-;_-@_-">
                  <c:v>51.320000000298023</c:v>
                </c:pt>
                <c:pt idx="573" formatCode="_-* #,##0_-;\-* #,##0_-;_-* &quot;-&quot;??_-;_-@_-">
                  <c:v>0.42999999970197678</c:v>
                </c:pt>
                <c:pt idx="574" formatCode="_-* #,##0_-;\-* #,##0_-;_-* &quot;-&quot;??_-;_-@_-">
                  <c:v>-310.375</c:v>
                </c:pt>
                <c:pt idx="575" formatCode="_-* #,##0_-;\-* #,##0_-;_-* &quot;-&quot;??_-;_-@_-">
                  <c:v>-14534230.265000001</c:v>
                </c:pt>
                <c:pt idx="576" formatCode="_-* #,##0_-;\-* #,##0_-;_-* &quot;-&quot;??_-;_-@_-">
                  <c:v>14558935.109999999</c:v>
                </c:pt>
                <c:pt idx="577" formatCode="_-* #,##0_-;\-* #,##0_-;_-* &quot;-&quot;??_-;_-@_-">
                  <c:v>16.949999999254942</c:v>
                </c:pt>
                <c:pt idx="578" formatCode="_-* #,##0_-;\-* #,##0_-;_-* &quot;-&quot;??_-;_-@_-">
                  <c:v>-404.52499999850988</c:v>
                </c:pt>
                <c:pt idx="579" formatCode="_-* #,##0_-;\-* #,##0_-;_-* &quot;-&quot;??_-;_-@_-">
                  <c:v>60.375</c:v>
                </c:pt>
                <c:pt idx="580" formatCode="_-* #,##0_-;\-* #,##0_-;_-* &quot;-&quot;??_-;_-@_-">
                  <c:v>57.909999996423721</c:v>
                </c:pt>
                <c:pt idx="581" formatCode="_-* #,##0_-;\-* #,##0_-;_-* &quot;-&quot;??_-;_-@_-">
                  <c:v>-332.89999999850988</c:v>
                </c:pt>
                <c:pt idx="582" formatCode="_-* #,##0_-;\-* #,##0_-;_-* &quot;-&quot;??_-;_-@_-">
                  <c:v>105.625</c:v>
                </c:pt>
                <c:pt idx="583" formatCode="_-* #,##0_-;\-* #,##0_-;_-* &quot;-&quot;??_-;_-@_-">
                  <c:v>-89.560999996960163</c:v>
                </c:pt>
                <c:pt idx="584" formatCode="_-* #,##0_-;\-* #,##0_-;_-* &quot;-&quot;??_-;_-@_-">
                  <c:v>19870.460000000894</c:v>
                </c:pt>
                <c:pt idx="585" formatCode="_-* #,##0_-;\-* #,##0_-;_-* &quot;-&quot;??_-;_-@_-">
                  <c:v>25586.478999994695</c:v>
                </c:pt>
                <c:pt idx="586" formatCode="_-* #,##0_-;\-* #,##0_-;_-* &quot;-&quot;??_-;_-@_-">
                  <c:v>16.311000000685453</c:v>
                </c:pt>
                <c:pt idx="587" formatCode="_-* #,##0_-;\-* #,##0_-;_-* &quot;-&quot;??_-;_-@_-">
                  <c:v>3281.8449999988079</c:v>
                </c:pt>
                <c:pt idx="588" formatCode="_-* #,##0_-;\-* #,##0_-;_-* &quot;-&quot;??_-;_-@_-">
                  <c:v>63.149999998509884</c:v>
                </c:pt>
                <c:pt idx="589" formatCode="_-* #,##0_-;\-* #,##0_-;_-* &quot;-&quot;??_-;_-@_-">
                  <c:v>22634.760000001639</c:v>
                </c:pt>
                <c:pt idx="590" formatCode="_-* #,##0_-;\-* #,##0_-;_-* &quot;-&quot;??_-;_-@_-">
                  <c:v>7.6200000010430813</c:v>
                </c:pt>
                <c:pt idx="591" formatCode="_-* #,##0_-;\-* #,##0_-;_-* &quot;-&quot;??_-;_-@_-">
                  <c:v>-18.925999999046326</c:v>
                </c:pt>
                <c:pt idx="592" formatCode="_-* #,##0_-;\-* #,##0_-;_-* &quot;-&quot;??_-;_-@_-">
                  <c:v>84.954999998211861</c:v>
                </c:pt>
                <c:pt idx="593" formatCode="_-* #,##0_-;\-* #,##0_-;_-* &quot;-&quot;??_-;_-@_-">
                  <c:v>-32.255999997258186</c:v>
                </c:pt>
                <c:pt idx="594" formatCode="_-* #,##0_-;\-* #,##0_-;_-* &quot;-&quot;??_-;_-@_-">
                  <c:v>106450.21500000358</c:v>
                </c:pt>
                <c:pt idx="595" formatCode="_-* #,##0_-;\-* #,##0_-;_-* &quot;-&quot;??_-;_-@_-">
                  <c:v>-146995.01900000125</c:v>
                </c:pt>
                <c:pt idx="596" formatCode="_-* #,##0_-;\-* #,##0_-;_-* &quot;-&quot;??_-;_-@_-">
                  <c:v>-14813855.130000003</c:v>
                </c:pt>
                <c:pt idx="597" formatCode="_-* #,##0_-;\-* #,##0_-;_-* &quot;-&quot;??_-;_-@_-">
                  <c:v>14814782.899</c:v>
                </c:pt>
                <c:pt idx="598" formatCode="_-* #,##0_-;\-* #,##0_-;_-* &quot;-&quot;??_-;_-@_-">
                  <c:v>11.472000002861023</c:v>
                </c:pt>
                <c:pt idx="599" formatCode="_-* #,##0_-;\-* #,##0_-;_-* &quot;-&quot;??_-;_-@_-">
                  <c:v>95.83500000089407</c:v>
                </c:pt>
                <c:pt idx="600" formatCode="_-* #,##0_-;\-* #,##0_-;_-* &quot;-&quot;??_-;_-@_-">
                  <c:v>3.8009999990463257</c:v>
                </c:pt>
                <c:pt idx="601" formatCode="_-* #,##0_-;\-* #,##0_-;_-* &quot;-&quot;??_-;_-@_-">
                  <c:v>-12.75900000333786</c:v>
                </c:pt>
                <c:pt idx="602" formatCode="_-* #,##0_-;\-* #,##0_-;_-* &quot;-&quot;??_-;_-@_-">
                  <c:v>100070.94099999964</c:v>
                </c:pt>
                <c:pt idx="603" formatCode="_-* #,##0_-;\-* #,##0_-;_-* &quot;-&quot;??_-;_-@_-">
                  <c:v>66.285000000149012</c:v>
                </c:pt>
                <c:pt idx="604" formatCode="_-* #,##0_-;\-* #,##0_-;_-* &quot;-&quot;??_-;_-@_-">
                  <c:v>-347.82100000232458</c:v>
                </c:pt>
                <c:pt idx="605" formatCode="_-* #,##0_-;\-* #,##0_-;_-* &quot;-&quot;??_-;_-@_-">
                  <c:v>-31996.306000001729</c:v>
                </c:pt>
                <c:pt idx="606" formatCode="_-* #,##0_-;\-* #,##0_-;_-* &quot;-&quot;??_-;_-@_-">
                  <c:v>49.655999999493361</c:v>
                </c:pt>
                <c:pt idx="607" formatCode="_-* #,##0_-;\-* #,##0_-;_-* &quot;-&quot;??_-;_-@_-">
                  <c:v>451.65500000119209</c:v>
                </c:pt>
                <c:pt idx="608" formatCode="_-* #,##0_-;\-* #,##0_-;_-* &quot;-&quot;??_-;_-@_-">
                  <c:v>35.464000001549721</c:v>
                </c:pt>
                <c:pt idx="609" formatCode="_-* #,##0_-;\-* #,##0_-;_-* &quot;-&quot;??_-;_-@_-">
                  <c:v>9.8310000002384186</c:v>
                </c:pt>
                <c:pt idx="610" formatCode="_-* #,##0_-;\-* #,##0_-;_-* &quot;-&quot;??_-;_-@_-">
                  <c:v>-16010047.903000005</c:v>
                </c:pt>
                <c:pt idx="611" formatCode="_-* #,##0_-;\-* #,##0_-;_-* &quot;-&quot;??_-;_-@_-">
                  <c:v>16010069.031999998</c:v>
                </c:pt>
                <c:pt idx="612" formatCode="_-* #,##0_-;\-* #,##0_-;_-* &quot;-&quot;??_-;_-@_-">
                  <c:v>1653.4350000023842</c:v>
                </c:pt>
                <c:pt idx="613" formatCode="_-* #,##0_-;\-* #,##0_-;_-* &quot;-&quot;??_-;_-@_-">
                  <c:v>12.006999999284744</c:v>
                </c:pt>
                <c:pt idx="614" formatCode="_-* #,##0_-;\-* #,##0_-;_-* &quot;-&quot;??_-;_-@_-">
                  <c:v>-657.31800000369549</c:v>
                </c:pt>
                <c:pt idx="615" formatCode="_-* #,##0_-;\-* #,##0_-;_-* &quot;-&quot;??_-;_-@_-">
                  <c:v>-41.684999998658895</c:v>
                </c:pt>
                <c:pt idx="616" formatCode="_-* #,##0_-;\-* #,##0_-;_-* &quot;-&quot;??_-;_-@_-">
                  <c:v>-18.777999997138977</c:v>
                </c:pt>
                <c:pt idx="617" formatCode="_-* #,##0_-;\-* #,##0_-;_-* &quot;-&quot;??_-;_-@_-">
                  <c:v>-2.6660000011324883</c:v>
                </c:pt>
                <c:pt idx="618" formatCode="_-* #,##0_-;\-* #,##0_-;_-* &quot;-&quot;??_-;_-@_-">
                  <c:v>23</c:v>
                </c:pt>
                <c:pt idx="619" formatCode="_-* #,##0_-;\-* #,##0_-;_-* &quot;-&quot;??_-;_-@_-">
                  <c:v>-7.7760000005364418</c:v>
                </c:pt>
                <c:pt idx="620" formatCode="_-* #,##0_-;\-* #,##0_-;_-* &quot;-&quot;??_-;_-@_-">
                  <c:v>-6.9130000025033951</c:v>
                </c:pt>
                <c:pt idx="621" formatCode="_-* #,##0_-;\-* #,##0_-;_-* &quot;-&quot;??_-;_-@_-">
                  <c:v>17996.159999996424</c:v>
                </c:pt>
                <c:pt idx="622" formatCode="_-* #,##0_-;\-* #,##0_-;_-* &quot;-&quot;??_-;_-@_-">
                  <c:v>-1178.887000001967</c:v>
                </c:pt>
                <c:pt idx="623" formatCode="_-* #,##0_-;\-* #,##0_-;_-* &quot;-&quot;??_-;_-@_-">
                  <c:v>-7.2290000021457672</c:v>
                </c:pt>
                <c:pt idx="624" formatCode="_-* #,##0_-;\-* #,##0_-;_-* &quot;-&quot;??_-;_-@_-">
                  <c:v>-23.435000002384186</c:v>
                </c:pt>
                <c:pt idx="625" formatCode="_-* #,##0_-;\-* #,##0_-;_-* &quot;-&quot;??_-;_-@_-">
                  <c:v>-134.96299999952316</c:v>
                </c:pt>
                <c:pt idx="626" formatCode="_-* #,##0_-;\-* #,##0_-;_-* &quot;-&quot;??_-;_-@_-">
                  <c:v>6.8969999998807907</c:v>
                </c:pt>
                <c:pt idx="627" formatCode="_-* #,##0_-;\-* #,##0_-;_-* &quot;-&quot;??_-;_-@_-">
                  <c:v>2519.0960000008345</c:v>
                </c:pt>
                <c:pt idx="628" formatCode="_-* #,##0_-;\-* #,##0_-;_-* &quot;-&quot;??_-;_-@_-">
                  <c:v>971.46400000154972</c:v>
                </c:pt>
                <c:pt idx="629" formatCode="_-* #,##0_-;\-* #,##0_-;_-* &quot;-&quot;??_-;_-@_-">
                  <c:v>16.611000001430511</c:v>
                </c:pt>
                <c:pt idx="630" formatCode="_-* #,##0_-;\-* #,##0_-;_-* &quot;-&quot;??_-;_-@_-">
                  <c:v>436.48600000143051</c:v>
                </c:pt>
                <c:pt idx="631" formatCode="_-* #,##0_-;\-* #,##0_-;_-* &quot;-&quot;??_-;_-@_-">
                  <c:v>-19.094000000506639</c:v>
                </c:pt>
                <c:pt idx="632" formatCode="_-* #,##0_-;\-* #,##0_-;_-* &quot;-&quot;??_-;_-@_-">
                  <c:v>398.31499999761581</c:v>
                </c:pt>
                <c:pt idx="633" formatCode="_-* #,##0_-;\-* #,##0_-;_-* &quot;-&quot;??_-;_-@_-">
                  <c:v>-0.23499999940395355</c:v>
                </c:pt>
                <c:pt idx="634" formatCode="_-* #,##0_-;\-* #,##0_-;_-* &quot;-&quot;??_-;_-@_-">
                  <c:v>54.58899999782443</c:v>
                </c:pt>
                <c:pt idx="635" formatCode="_-* #,##0_-;\-* #,##0_-;_-* &quot;-&quot;??_-;_-@_-">
                  <c:v>-22162.422000002116</c:v>
                </c:pt>
                <c:pt idx="636" formatCode="_-* #,##0_-;\-* #,##0_-;_-* &quot;-&quot;??_-;_-@_-">
                  <c:v>55.217000000178814</c:v>
                </c:pt>
                <c:pt idx="637" formatCode="_-* #,##0_-;\-* #,##0_-;_-* &quot;-&quot;??_-;_-@_-">
                  <c:v>49407.059000000358</c:v>
                </c:pt>
                <c:pt idx="638" formatCode="_-* #,##0_-;\-* #,##0_-;_-* &quot;-&quot;??_-;_-@_-">
                  <c:v>-6203401.6090000011</c:v>
                </c:pt>
                <c:pt idx="639" formatCode="_-* #,##0_-;\-* #,##0_-;_-* &quot;-&quot;??_-;_-@_-">
                  <c:v>6207444.5749999993</c:v>
                </c:pt>
                <c:pt idx="640" formatCode="_-* #,##0_-;\-* #,##0_-;_-* &quot;-&quot;??_-;_-@_-">
                  <c:v>16.070000000298023</c:v>
                </c:pt>
                <c:pt idx="641" formatCode="_-* #,##0_-;\-* #,##0_-;_-* &quot;-&quot;??_-;_-@_-">
                  <c:v>27.06700000166893</c:v>
                </c:pt>
                <c:pt idx="642" formatCode="_-* #,##0_-;\-* #,##0_-;_-* &quot;-&quot;??_-;_-@_-">
                  <c:v>348.8940000012517</c:v>
                </c:pt>
                <c:pt idx="643" formatCode="_-* #,##0_-;\-* #,##0_-;_-* &quot;-&quot;??_-;_-@_-">
                  <c:v>63.28999999910593</c:v>
                </c:pt>
                <c:pt idx="644" formatCode="_-* #,##0_-;\-* #,##0_-;_-* &quot;-&quot;??_-;_-@_-">
                  <c:v>-50.466000001877546</c:v>
                </c:pt>
                <c:pt idx="645" formatCode="_-* #,##0_-;\-* #,##0_-;_-* &quot;-&quot;??_-;_-@_-">
                  <c:v>-15.016000002622604</c:v>
                </c:pt>
                <c:pt idx="646" formatCode="_-* #,##0_-;\-* #,##0_-;_-* &quot;-&quot;??_-;_-@_-">
                  <c:v>655.19599999859929</c:v>
                </c:pt>
                <c:pt idx="647" formatCode="_-* #,##0_-;\-* #,##0_-;_-* &quot;-&quot;??_-;_-@_-">
                  <c:v>23.370999999344349</c:v>
                </c:pt>
                <c:pt idx="648" formatCode="_-* #,##0_-;\-* #,##0_-;_-* &quot;-&quot;??_-;_-@_-">
                  <c:v>53.129000000655651</c:v>
                </c:pt>
                <c:pt idx="649" formatCode="_-* #,##0_-;\-* #,##0_-;_-* &quot;-&quot;??_-;_-@_-">
                  <c:v>46.410999998450279</c:v>
                </c:pt>
                <c:pt idx="650" formatCode="_-* #,##0_-;\-* #,##0_-;_-* &quot;-&quot;??_-;_-@_-">
                  <c:v>18.329999998211861</c:v>
                </c:pt>
                <c:pt idx="651" formatCode="_-* #,##0_-;\-* #,##0_-;_-* &quot;-&quot;??_-;_-@_-">
                  <c:v>27.042999997735023</c:v>
                </c:pt>
                <c:pt idx="652" formatCode="_-* #,##0_-;\-* #,##0_-;_-* &quot;-&quot;??_-;_-@_-">
                  <c:v>-2663.8819999992847</c:v>
                </c:pt>
                <c:pt idx="653" formatCode="_-* #,##0_-;\-* #,##0_-;_-* &quot;-&quot;??_-;_-@_-">
                  <c:v>21.50899999961257</c:v>
                </c:pt>
                <c:pt idx="654" formatCode="_-* #,##0_-;\-* #,##0_-;_-* &quot;-&quot;??_-;_-@_-">
                  <c:v>171987.75300000235</c:v>
                </c:pt>
                <c:pt idx="655" formatCode="_-* #,##0_-;\-* #,##0_-;_-* &quot;-&quot;??_-;_-@_-">
                  <c:v>52.36599999666214</c:v>
                </c:pt>
                <c:pt idx="656" formatCode="_-* #,##0_-;\-* #,##0_-;_-* &quot;-&quot;??_-;_-@_-">
                  <c:v>-3051151.2740000002</c:v>
                </c:pt>
                <c:pt idx="657" formatCode="_-* #,##0_-;\-* #,##0_-;_-* &quot;-&quot;??_-;_-@_-">
                  <c:v>3048446.6220000014</c:v>
                </c:pt>
                <c:pt idx="658" formatCode="_-* #,##0_-;\-* #,##0_-;_-* &quot;-&quot;??_-;_-@_-">
                  <c:v>21261.923999998719</c:v>
                </c:pt>
                <c:pt idx="659" formatCode="_-* #,##0_-;\-* #,##0_-;_-* &quot;-&quot;??_-;_-@_-">
                  <c:v>-9093702.0419999957</c:v>
                </c:pt>
                <c:pt idx="660" formatCode="_-* #,##0_-;\-* #,##0_-;_-* &quot;-&quot;??_-;_-@_-">
                  <c:v>5717551.5899999999</c:v>
                </c:pt>
                <c:pt idx="661" formatCode="_-* #,##0_-;\-* #,##0_-;_-* &quot;-&quot;??_-;_-@_-">
                  <c:v>-1.971000000834465</c:v>
                </c:pt>
                <c:pt idx="662" formatCode="_-* #,##0_-;\-* #,##0_-;_-* &quot;-&quot;??_-;_-@_-">
                  <c:v>12.092000000178814</c:v>
                </c:pt>
                <c:pt idx="663" formatCode="_-* #,##0_-;\-* #,##0_-;_-* &quot;-&quot;??_-;_-@_-">
                  <c:v>181.58100000023842</c:v>
                </c:pt>
                <c:pt idx="664" formatCode="_-* #,##0_-;\-* #,##0_-;_-* &quot;-&quot;??_-;_-@_-">
                  <c:v>-143537.55700000003</c:v>
                </c:pt>
                <c:pt idx="665" formatCode="_-* #,##0_-;\-* #,##0_-;_-* &quot;-&quot;??_-;_-@_-">
                  <c:v>-971597.17100000381</c:v>
                </c:pt>
                <c:pt idx="666" formatCode="_-* #,##0_-;\-* #,##0_-;_-* &quot;-&quot;??_-;_-@_-">
                  <c:v>-16159666.475000001</c:v>
                </c:pt>
                <c:pt idx="667" formatCode="_-* #,##0_-;\-* #,##0_-;_-* &quot;-&quot;??_-;_-@_-">
                  <c:v>-11436372.877999999</c:v>
                </c:pt>
                <c:pt idx="668" formatCode="_-* #,##0_-;\-* #,##0_-;_-* &quot;-&quot;??_-;_-@_-">
                  <c:v>-8561073.4600000009</c:v>
                </c:pt>
                <c:pt idx="669" formatCode="_-* #,##0_-;\-* #,##0_-;_-* &quot;-&quot;??_-;_-@_-">
                  <c:v>-11662840.046000004</c:v>
                </c:pt>
                <c:pt idx="670" formatCode="_-* #,##0_-;\-* #,##0_-;_-* &quot;-&quot;??_-;_-@_-">
                  <c:v>3.8709999993443489</c:v>
                </c:pt>
                <c:pt idx="671" formatCode="_-* #,##0_-;\-* #,##0_-;_-* &quot;-&quot;??_-;_-@_-">
                  <c:v>-29.098999999463558</c:v>
                </c:pt>
                <c:pt idx="672" formatCode="_-* #,##0_-;\-* #,##0_-;_-* &quot;-&quot;??_-;_-@_-">
                  <c:v>129667.09300000221</c:v>
                </c:pt>
                <c:pt idx="673" formatCode="_-* #,##0_-;\-* #,##0_-;_-* &quot;-&quot;??_-;_-@_-">
                  <c:v>-10557465.339000002</c:v>
                </c:pt>
                <c:pt idx="674" formatCode="_-* #,##0_-;\-* #,##0_-;_-* &quot;-&quot;??_-;_-@_-">
                  <c:v>10555488.188999999</c:v>
                </c:pt>
                <c:pt idx="675" formatCode="_-* #,##0_-;\-* #,##0_-;_-* &quot;-&quot;??_-;_-@_-">
                  <c:v>47.572999998927116</c:v>
                </c:pt>
                <c:pt idx="676" formatCode="_-* #,##0_-;\-* #,##0_-;_-* &quot;-&quot;??_-;_-@_-">
                  <c:v>65.002000000327826</c:v>
                </c:pt>
                <c:pt idx="677" formatCode="_-* #,##0_-;\-* #,##0_-;_-* &quot;-&quot;??_-;_-@_-">
                  <c:v>91.825000002980232</c:v>
                </c:pt>
                <c:pt idx="678" formatCode="_-* #,##0_-;\-* #,##0_-;_-* &quot;-&quot;??_-;_-@_-">
                  <c:v>230824.11900000274</c:v>
                </c:pt>
                <c:pt idx="679" formatCode="_-* #,##0_-;\-* #,##0_-;_-* &quot;-&quot;??_-;_-@_-">
                  <c:v>239526.65600000322</c:v>
                </c:pt>
                <c:pt idx="680" formatCode="_-* #,##0_-;\-* #,##0_-;_-* &quot;-&quot;??_-;_-@_-">
                  <c:v>15.045000001788139</c:v>
                </c:pt>
                <c:pt idx="681" formatCode="_-* #,##0_-;\-* #,##0_-;_-* &quot;-&quot;??_-;_-@_-">
                  <c:v>801.51599999889731</c:v>
                </c:pt>
                <c:pt idx="682" formatCode="_-* #,##0_-;\-* #,##0_-;_-* &quot;-&quot;??_-;_-@_-">
                  <c:v>-4371971.935999997</c:v>
                </c:pt>
                <c:pt idx="683" formatCode="_-* #,##0_-;\-* #,##0_-;_-* &quot;-&quot;??_-;_-@_-">
                  <c:v>2156825.4560000002</c:v>
                </c:pt>
                <c:pt idx="684" formatCode="_-* #,##0_-;\-* #,##0_-;_-* &quot;-&quot;??_-;_-@_-">
                  <c:v>7.3619999997317791</c:v>
                </c:pt>
                <c:pt idx="685" formatCode="_-* #,##0_-;\-* #,##0_-;_-* &quot;-&quot;??_-;_-@_-">
                  <c:v>1860339.373999998</c:v>
                </c:pt>
                <c:pt idx="686" formatCode="_-* #,##0_-;\-* #,##0_-;_-* &quot;-&quot;??_-;_-@_-">
                  <c:v>1350036.1019999981</c:v>
                </c:pt>
                <c:pt idx="687" formatCode="_-* #,##0_-;\-* #,##0_-;_-* &quot;-&quot;??_-;_-@_-">
                  <c:v>-4553299.8729999959</c:v>
                </c:pt>
                <c:pt idx="688" formatCode="_-* #,##0_-;\-* #,##0_-;_-* &quot;-&quot;??_-;_-@_-">
                  <c:v>4553347.2689999975</c:v>
                </c:pt>
                <c:pt idx="689" formatCode="_-* #,##0_-;\-* #,##0_-;_-* &quot;-&quot;??_-;_-@_-">
                  <c:v>1162061.6579999998</c:v>
                </c:pt>
                <c:pt idx="690" formatCode="_-* #,##0_-;\-* #,##0_-;_-* &quot;-&quot;??_-;_-@_-">
                  <c:v>-4635104.9849999994</c:v>
                </c:pt>
                <c:pt idx="691" formatCode="_-* #,##0_-;\-* #,##0_-;_-* &quot;-&quot;??_-;_-@_-">
                  <c:v>1635120.8330000006</c:v>
                </c:pt>
                <c:pt idx="692" formatCode="_-* #,##0_-;\-* #,##0_-;_-* &quot;-&quot;??_-;_-@_-">
                  <c:v>2999996.8900000006</c:v>
                </c:pt>
                <c:pt idx="693" formatCode="_-* #,##0_-;\-* #,##0_-;_-* &quot;-&quot;??_-;_-@_-">
                  <c:v>-3.4699999988079071</c:v>
                </c:pt>
                <c:pt idx="694" formatCode="_-* #,##0_-;\-* #,##0_-;_-* &quot;-&quot;??_-;_-@_-">
                  <c:v>-13877344.329999998</c:v>
                </c:pt>
                <c:pt idx="695" formatCode="_-* #,##0_-;\-* #,##0_-;_-* &quot;-&quot;??_-;_-@_-">
                  <c:v>13877326.743000001</c:v>
                </c:pt>
                <c:pt idx="696" formatCode="_-* #,##0_-;\-* #,##0_-;_-* &quot;-&quot;??_-;_-@_-">
                  <c:v>62406.601999998093</c:v>
                </c:pt>
                <c:pt idx="697" formatCode="_-* #,##0_-;\-* #,##0_-;_-* &quot;-&quot;??_-;_-@_-">
                  <c:v>-16007.971000000834</c:v>
                </c:pt>
                <c:pt idx="698" formatCode="_-* #,##0_-;\-* #,##0_-;_-* &quot;-&quot;??_-;_-@_-">
                  <c:v>-999940.06300000101</c:v>
                </c:pt>
                <c:pt idx="699" formatCode="_-* #,##0_-;\-* #,##0_-;_-* &quot;-&quot;??_-;_-@_-">
                  <c:v>17.024999998509884</c:v>
                </c:pt>
                <c:pt idx="700" formatCode="_-* #,##0_-;\-* #,##0_-;_-* &quot;-&quot;??_-;_-@_-">
                  <c:v>-4807057.5719999969</c:v>
                </c:pt>
                <c:pt idx="701" formatCode="_-* #,##0_-;\-* #,##0_-;_-* &quot;-&quot;??_-;_-@_-">
                  <c:v>-11291084.740999997</c:v>
                </c:pt>
                <c:pt idx="702" formatCode="_-* #,##0_-;\-* #,##0_-;_-* &quot;-&quot;??_-;_-@_-">
                  <c:v>7588988.5040000007</c:v>
                </c:pt>
                <c:pt idx="703" formatCode="_-* #,##0_-;\-* #,##0_-;_-* &quot;-&quot;??_-;_-@_-">
                  <c:v>119.1410000026226</c:v>
                </c:pt>
                <c:pt idx="704" formatCode="_-* #,##0_-;\-* #,##0_-;_-* &quot;-&quot;??_-;_-@_-">
                  <c:v>51.671999998390675</c:v>
                </c:pt>
                <c:pt idx="705" formatCode="_-* #,##0_-;\-* #,##0_-;_-* &quot;-&quot;??_-;_-@_-">
                  <c:v>-27.019999995827675</c:v>
                </c:pt>
                <c:pt idx="706" formatCode="_-* #,##0_-;\-* #,##0_-;_-* &quot;-&quot;??_-;_-@_-">
                  <c:v>-26533.633000001311</c:v>
                </c:pt>
                <c:pt idx="707" formatCode="_-* #,##0_-;\-* #,##0_-;_-* &quot;-&quot;??_-;_-@_-">
                  <c:v>-9206946.4780000001</c:v>
                </c:pt>
                <c:pt idx="708" formatCode="_-* #,##0_-;\-* #,##0_-;_-* &quot;-&quot;??_-;_-@_-">
                  <c:v>-8857019.6090000011</c:v>
                </c:pt>
                <c:pt idx="709" formatCode="_-* #,##0_-;\-* #,##0_-;_-* &quot;-&quot;??_-;_-@_-">
                  <c:v>15643929.765000001</c:v>
                </c:pt>
                <c:pt idx="710" formatCode="_-* #,##0_-;\-* #,##0_-;_-* &quot;-&quot;??_-;_-@_-">
                  <c:v>-11979903.193999998</c:v>
                </c:pt>
                <c:pt idx="711" formatCode="_-* #,##0_-;\-* #,##0_-;_-* &quot;-&quot;??_-;_-@_-">
                  <c:v>724790.55700000003</c:v>
                </c:pt>
                <c:pt idx="712" formatCode="_-* #,##0_-;\-* #,##0_-;_-* &quot;-&quot;??_-;_-@_-">
                  <c:v>-30.5</c:v>
                </c:pt>
                <c:pt idx="713" formatCode="_-* #,##0_-;\-* #,##0_-;_-* &quot;-&quot;??_-;_-@_-">
                  <c:v>-5681936.2110000029</c:v>
                </c:pt>
                <c:pt idx="714" formatCode="_-* #,##0_-;\-* #,##0_-;_-* &quot;-&quot;??_-;_-@_-">
                  <c:v>5702166.9299999997</c:v>
                </c:pt>
                <c:pt idx="715" formatCode="_-* #,##0_-;\-* #,##0_-;_-* &quot;-&quot;??_-;_-@_-">
                  <c:v>-8048848.5399999991</c:v>
                </c:pt>
                <c:pt idx="716" formatCode="_-* #,##0_-;\-* #,##0_-;_-* &quot;-&quot;??_-;_-@_-">
                  <c:v>58996.390999998897</c:v>
                </c:pt>
                <c:pt idx="717" formatCode="_-* #,##0_-;\-* #,##0_-;_-* &quot;-&quot;??_-;_-@_-">
                  <c:v>-195.10400000214577</c:v>
                </c:pt>
                <c:pt idx="718" formatCode="_-* #,##0_-;\-* #,##0_-;_-* &quot;-&quot;??_-;_-@_-">
                  <c:v>-2058187.2239999995</c:v>
                </c:pt>
                <c:pt idx="719" formatCode="_-* #,##0_-;\-* #,##0_-;_-* &quot;-&quot;??_-;_-@_-">
                  <c:v>2058107.6620000005</c:v>
                </c:pt>
                <c:pt idx="720" formatCode="_-* #,##0_-;\-* #,##0_-;_-* &quot;-&quot;??_-;_-@_-">
                  <c:v>-6335110.5179999992</c:v>
                </c:pt>
                <c:pt idx="721" formatCode="_-* #,##0_-;\-* #,##0_-;_-* &quot;-&quot;??_-;_-@_-">
                  <c:v>-2494860.935999997</c:v>
                </c:pt>
                <c:pt idx="722" formatCode="_-* #,##0_-;\-* #,##0_-;_-* &quot;-&quot;??_-;_-@_-">
                  <c:v>-5509840.4829999954</c:v>
                </c:pt>
                <c:pt idx="723" formatCode="_-* #,##0_-;\-* #,##0_-;_-* &quot;-&quot;??_-;_-@_-">
                  <c:v>-3726994.0819999985</c:v>
                </c:pt>
                <c:pt idx="724" formatCode="_-* #,##0_-;\-* #,##0_-;_-* &quot;-&quot;??_-;_-@_-">
                  <c:v>4043.4210000038147</c:v>
                </c:pt>
                <c:pt idx="725" formatCode="_-* #,##0_-;\-* #,##0_-;_-* &quot;-&quot;??_-;_-@_-">
                  <c:v>72.245000004768372</c:v>
                </c:pt>
                <c:pt idx="726" formatCode="_-* #,##0_-;\-* #,##0_-;_-* &quot;-&quot;??_-;_-@_-">
                  <c:v>-8620840.3929999992</c:v>
                </c:pt>
                <c:pt idx="727" formatCode="_-* #,##0_-;\-* #,##0_-;_-* &quot;-&quot;??_-;_-@_-">
                  <c:v>-5261722.3540000021</c:v>
                </c:pt>
                <c:pt idx="728" formatCode="_-* #,##0_-;\-* #,##0_-;_-* &quot;-&quot;??_-;_-@_-">
                  <c:v>9067724.5569999963</c:v>
                </c:pt>
                <c:pt idx="729" formatCode="_-* #,##0_-;\-* #,##0_-;_-* &quot;-&quot;??_-;_-@_-">
                  <c:v>-19584884.800999999</c:v>
                </c:pt>
                <c:pt idx="730" formatCode="_-* #,##0_-;\-* #,##0_-;_-* &quot;-&quot;??_-;_-@_-">
                  <c:v>10843913.004999995</c:v>
                </c:pt>
                <c:pt idx="731" formatCode="_-* #,##0_-;\-* #,##0_-;_-* &quot;-&quot;??_-;_-@_-">
                  <c:v>149750.82299999893</c:v>
                </c:pt>
                <c:pt idx="732" formatCode="_-* #,##0_-;\-* #,##0_-;_-* &quot;-&quot;??_-;_-@_-">
                  <c:v>-3904235.2910000011</c:v>
                </c:pt>
                <c:pt idx="733" formatCode="_-* #,##0_-;\-* #,##0_-;_-* &quot;-&quot;??_-;_-@_-">
                  <c:v>-5639224.6349999905</c:v>
                </c:pt>
                <c:pt idx="734" formatCode="_-* #,##0_-;\-* #,##0_-;_-* &quot;-&quot;??_-;_-@_-">
                  <c:v>9577841.1459999979</c:v>
                </c:pt>
                <c:pt idx="735" formatCode="_-* #,##0_-;\-* #,##0_-;_-* &quot;-&quot;??_-;_-@_-">
                  <c:v>-3537203.3879999965</c:v>
                </c:pt>
                <c:pt idx="736" formatCode="_-* #,##0_-;\-* #,##0_-;_-* &quot;-&quot;??_-;_-@_-">
                  <c:v>-4679996.1510000005</c:v>
                </c:pt>
                <c:pt idx="737" formatCode="_-* #,##0_-;\-* #,##0_-;_-* &quot;-&quot;??_-;_-@_-">
                  <c:v>7995685.9839999974</c:v>
                </c:pt>
                <c:pt idx="738" formatCode="_-* #,##0_-;\-* #,##0_-;_-* &quot;-&quot;??_-;_-@_-">
                  <c:v>-1898545.5480000079</c:v>
                </c:pt>
                <c:pt idx="739" formatCode="_-* #,##0_-;\-* #,##0_-;_-* &quot;-&quot;??_-;_-@_-">
                  <c:v>2188763.4959999993</c:v>
                </c:pt>
                <c:pt idx="740" formatCode="_-* #,##0_-;\-* #,##0_-;_-* &quot;-&quot;??_-;_-@_-">
                  <c:v>-2199702.4479999989</c:v>
                </c:pt>
                <c:pt idx="741" formatCode="_-* #,##0_-;\-* #,##0_-;_-* &quot;-&quot;??_-;_-@_-">
                  <c:v>-3642267.3449999988</c:v>
                </c:pt>
                <c:pt idx="742" formatCode="_-* #,##0_-;\-* #,##0_-;_-* &quot;-&quot;??_-;_-@_-">
                  <c:v>5842598.6169999987</c:v>
                </c:pt>
                <c:pt idx="743" formatCode="_-* #,##0_-;\-* #,##0_-;_-* &quot;-&quot;??_-;_-@_-">
                  <c:v>-9215495.0219999999</c:v>
                </c:pt>
                <c:pt idx="744" formatCode="_-* #,##0_-;\-* #,##0_-;_-* &quot;-&quot;??_-;_-@_-">
                  <c:v>9215461.7929999977</c:v>
                </c:pt>
                <c:pt idx="745" formatCode="_-* #,##0_-;\-* #,##0_-;_-* &quot;-&quot;??_-;_-@_-">
                  <c:v>-4262825.5160000026</c:v>
                </c:pt>
                <c:pt idx="746" formatCode="_-* #,##0_-;\-* #,##0_-;_-* &quot;-&quot;??_-;_-@_-">
                  <c:v>1009075.0764999986</c:v>
                </c:pt>
                <c:pt idx="747" formatCode="_-* #,##0_-;\-* #,##0_-;_-* &quot;-&quot;??_-;_-@_-">
                  <c:v>-12323803.509000003</c:v>
                </c:pt>
                <c:pt idx="748" formatCode="_-* #,##0_-;\-* #,##0_-;_-* &quot;-&quot;??_-;_-@_-">
                  <c:v>-6687906.4690000005</c:v>
                </c:pt>
                <c:pt idx="749" formatCode="_-* #,##0_-;\-* #,##0_-;_-* &quot;-&quot;??_-;_-@_-">
                  <c:v>-8113192.9780000001</c:v>
                </c:pt>
                <c:pt idx="750" formatCode="_-* #,##0_-;\-* #,##0_-;_-* &quot;-&quot;??_-;_-@_-">
                  <c:v>-13145990.144000001</c:v>
                </c:pt>
                <c:pt idx="751" formatCode="_-* #,##0_-;\-* #,##0_-;_-* &quot;-&quot;??_-;_-@_-">
                  <c:v>40271009.642000005</c:v>
                </c:pt>
                <c:pt idx="752" formatCode="_-* #,##0_-;\-* #,##0_-;_-* &quot;-&quot;??_-;_-@_-">
                  <c:v>383.54500000178814</c:v>
                </c:pt>
                <c:pt idx="753" formatCode="_-* #,##0_-;\-* #,##0_-;_-* &quot;-&quot;??_-;_-@_-">
                  <c:v>128.56000000238419</c:v>
                </c:pt>
                <c:pt idx="754" formatCode="_-* #,##0_-;\-* #,##0_-;_-* &quot;-&quot;??_-;_-@_-">
                  <c:v>-6067324.1590000018</c:v>
                </c:pt>
                <c:pt idx="755" formatCode="_-* #,##0_-;\-* #,##0_-;_-* &quot;-&quot;??_-;_-@_-">
                  <c:v>-13124652.493000001</c:v>
                </c:pt>
                <c:pt idx="756" formatCode="_-* #,##0_-;\-* #,##0_-;_-* &quot;-&quot;??_-;_-@_-">
                  <c:v>-13280912.435000002</c:v>
                </c:pt>
                <c:pt idx="757" formatCode="_-* #,##0_-;\-* #,##0_-;_-* &quot;-&quot;??_-;_-@_-">
                  <c:v>-14471804.351999998</c:v>
                </c:pt>
                <c:pt idx="758" formatCode="_-* #,##0_-;\-* #,##0_-;_-* &quot;-&quot;??_-;_-@_-">
                  <c:v>-5189150.82</c:v>
                </c:pt>
                <c:pt idx="759" formatCode="_-* #,##0_-;\-* #,##0_-;_-* &quot;-&quot;??_-;_-@_-">
                  <c:v>22133184.912</c:v>
                </c:pt>
                <c:pt idx="760" formatCode="_-* #,##0_-;\-* #,##0_-;_-* &quot;-&quot;??_-;_-@_-">
                  <c:v>9.4839999973773956</c:v>
                </c:pt>
                <c:pt idx="761" formatCode="_-* #,##0_-;\-* #,##0_-;_-* &quot;-&quot;??_-;_-@_-">
                  <c:v>159.93100000172853</c:v>
                </c:pt>
                <c:pt idx="762" formatCode="_-* #,##0_-;\-* #,##0_-;_-* &quot;-&quot;??_-;_-@_-">
                  <c:v>-16.903000000864267</c:v>
                </c:pt>
                <c:pt idx="763" formatCode="_-* #,##0_-;\-* #,##0_-;_-* &quot;-&quot;??_-;_-@_-">
                  <c:v>5050064.7639999986</c:v>
                </c:pt>
                <c:pt idx="764" formatCode="_-* #,##0_-;\-* #,##0_-;_-* &quot;-&quot;??_-;_-@_-">
                  <c:v>-12341735.783</c:v>
                </c:pt>
                <c:pt idx="765" formatCode="_-* #,##0_-;\-* #,##0_-;_-* &quot;-&quot;??_-;_-@_-">
                  <c:v>10291150.983999997</c:v>
                </c:pt>
                <c:pt idx="766" formatCode="_-* #,##0_-;\-* #,##0_-;_-* &quot;-&quot;??_-;_-@_-">
                  <c:v>-7882348.3690000027</c:v>
                </c:pt>
                <c:pt idx="767" formatCode="_-* #,##0_-;\-* #,##0_-;_-* &quot;-&quot;??_-;_-@_-">
                  <c:v>-18748498.759999998</c:v>
                </c:pt>
                <c:pt idx="768" formatCode="_-* #,##0_-;\-* #,##0_-;_-* &quot;-&quot;??_-;_-@_-">
                  <c:v>-28225116.730999999</c:v>
                </c:pt>
                <c:pt idx="769" formatCode="_-* #,##0_-;\-* #,##0_-;_-* &quot;-&quot;??_-;_-@_-">
                  <c:v>-11269069.892999999</c:v>
                </c:pt>
                <c:pt idx="770" formatCode="_-* #,##0_-;\-* #,##0_-;_-* &quot;-&quot;??_-;_-@_-">
                  <c:v>-39567972.097999997</c:v>
                </c:pt>
                <c:pt idx="771" formatCode="_-* #,##0_-;\-* #,##0_-;_-* &quot;-&quot;??_-;_-@_-">
                  <c:v>-46142343.354999997</c:v>
                </c:pt>
                <c:pt idx="772" formatCode="_-* #,##0_-;\-* #,##0_-;_-* &quot;-&quot;??_-;_-@_-">
                  <c:v>-31385433.350000001</c:v>
                </c:pt>
                <c:pt idx="773" formatCode="_-* #,##0_-;\-* #,##0_-;_-* &quot;-&quot;??_-;_-@_-">
                  <c:v>-36923422.501999997</c:v>
                </c:pt>
                <c:pt idx="774" formatCode="_-* #,##0_-;\-* #,##0_-;_-* &quot;-&quot;??_-;_-@_-">
                  <c:v>-44321434.056000002</c:v>
                </c:pt>
                <c:pt idx="775" formatCode="_-* #,##0_-;\-* #,##0_-;_-* &quot;-&quot;??_-;_-@_-">
                  <c:v>-33843772.351999998</c:v>
                </c:pt>
                <c:pt idx="776" formatCode="_-* #,##0_-;\-* #,##0_-;_-* &quot;-&quot;??_-;_-@_-">
                  <c:v>-29735779.951000001</c:v>
                </c:pt>
                <c:pt idx="777" formatCode="_-* #,##0_-;\-* #,##0_-;_-* &quot;-&quot;??_-;_-@_-">
                  <c:v>-32710222.713</c:v>
                </c:pt>
                <c:pt idx="778" formatCode="_-* #,##0_-;\-* #,##0_-;_-* &quot;-&quot;??_-;_-@_-">
                  <c:v>-25897761.199000001</c:v>
                </c:pt>
                <c:pt idx="779" formatCode="_-* #,##0_-;\-* #,##0_-;_-* &quot;-&quot;??_-;_-@_-">
                  <c:v>-20517866.901999995</c:v>
                </c:pt>
                <c:pt idx="780" formatCode="_-* #,##0_-;\-* #,##0_-;_-* &quot;-&quot;??_-;_-@_-">
                  <c:v>-29552439.833000001</c:v>
                </c:pt>
                <c:pt idx="781" formatCode="_-* #,##0_-;\-* #,##0_-;_-* &quot;-&quot;??_-;_-@_-">
                  <c:v>-33821731.439999998</c:v>
                </c:pt>
                <c:pt idx="782" formatCode="_-* #,##0_-;\-* #,##0_-;_-* &quot;-&quot;??_-;_-@_-">
                  <c:v>-27243605.218999997</c:v>
                </c:pt>
                <c:pt idx="783" formatCode="_-* #,##0_-;\-* #,##0_-;_-* &quot;-&quot;??_-;_-@_-">
                  <c:v>-27352052.464000002</c:v>
                </c:pt>
                <c:pt idx="784" formatCode="_-* #,##0_-;\-* #,##0_-;_-* &quot;-&quot;??_-;_-@_-">
                  <c:v>-32079801.950999998</c:v>
                </c:pt>
                <c:pt idx="785" formatCode="_-* #,##0_-;\-* #,##0_-;_-* &quot;-&quot;??_-;_-@_-">
                  <c:v>-20540696.717</c:v>
                </c:pt>
                <c:pt idx="786" formatCode="_-* #,##0_-;\-* #,##0_-;_-* &quot;-&quot;??_-;_-@_-">
                  <c:v>-20610463.272999998</c:v>
                </c:pt>
                <c:pt idx="787" formatCode="_-* #,##0_-;\-* #,##0_-;_-* &quot;-&quot;??_-;_-@_-">
                  <c:v>-34443627.685999997</c:v>
                </c:pt>
                <c:pt idx="788" formatCode="_-* #,##0_-;\-* #,##0_-;_-* &quot;-&quot;??_-;_-@_-">
                  <c:v>-48123687.204000004</c:v>
                </c:pt>
                <c:pt idx="789" formatCode="_-* #,##0_-;\-* #,##0_-;_-* &quot;-&quot;??_-;_-@_-">
                  <c:v>100081.98799999803</c:v>
                </c:pt>
                <c:pt idx="790" formatCode="_-* #,##0_-;\-* #,##0_-;_-* &quot;-&quot;??_-;_-@_-">
                  <c:v>-11235365.216000006</c:v>
                </c:pt>
                <c:pt idx="791" formatCode="_-* #,##0_-;\-* #,##0_-;_-* &quot;-&quot;??_-;_-@_-">
                  <c:v>-27956427.978</c:v>
                </c:pt>
                <c:pt idx="792" formatCode="_-* #,##0_-;\-* #,##0_-;_-* &quot;-&quot;??_-;_-@_-">
                  <c:v>-44937336.593000002</c:v>
                </c:pt>
                <c:pt idx="793" formatCode="_-* #,##0_-;\-* #,##0_-;_-* &quot;-&quot;??_-;_-@_-">
                  <c:v>-26899483.776000001</c:v>
                </c:pt>
                <c:pt idx="794" formatCode="_-* #,##0_-;\-* #,##0_-;_-* &quot;-&quot;??_-;_-@_-">
                  <c:v>-46320087.602000006</c:v>
                </c:pt>
                <c:pt idx="795" formatCode="_-* #,##0_-;\-* #,##0_-;_-* &quot;-&quot;??_-;_-@_-">
                  <c:v>-37868033.468999997</c:v>
                </c:pt>
                <c:pt idx="796" formatCode="_-* #,##0_-;\-* #,##0_-;_-* &quot;-&quot;??_-;_-@_-">
                  <c:v>-28423461.088</c:v>
                </c:pt>
                <c:pt idx="797" formatCode="_-* #,##0_-;\-* #,##0_-;_-* &quot;-&quot;??_-;_-@_-">
                  <c:v>-19963087.181999996</c:v>
                </c:pt>
                <c:pt idx="798" formatCode="_-* #,##0_-;\-* #,##0_-;_-* &quot;-&quot;??_-;_-@_-">
                  <c:v>-8827532.8469999991</c:v>
                </c:pt>
                <c:pt idx="799" formatCode="_-* #,##0_-;\-* #,##0_-;_-* &quot;-&quot;??_-;_-@_-">
                  <c:v>-3219647.8170000017</c:v>
                </c:pt>
                <c:pt idx="800" formatCode="_-* #,##0_-;\-* #,##0_-;_-* &quot;-&quot;??_-;_-@_-">
                  <c:v>-269035.95299999788</c:v>
                </c:pt>
                <c:pt idx="801" formatCode="_-* #,##0_-;\-* #,##0_-;_-* &quot;-&quot;??_-;_-@_-">
                  <c:v>-36028281.487999998</c:v>
                </c:pt>
                <c:pt idx="802" formatCode="_-* #,##0_-;\-* #,##0_-;_-* &quot;-&quot;??_-;_-@_-">
                  <c:v>-24904496.497000001</c:v>
                </c:pt>
                <c:pt idx="803" formatCode="_-* #,##0_-;\-* #,##0_-;_-* &quot;-&quot;??_-;_-@_-">
                  <c:v>-302.97699999809265</c:v>
                </c:pt>
                <c:pt idx="804" formatCode="_-* #,##0_-;\-* #,##0_-;_-* &quot;-&quot;??_-;_-@_-">
                  <c:v>-3634493.8690000027</c:v>
                </c:pt>
                <c:pt idx="805" formatCode="_-* #,##0_-;\-* #,##0_-;_-* &quot;-&quot;??_-;_-@_-">
                  <c:v>3501020.8409999982</c:v>
                </c:pt>
                <c:pt idx="806" formatCode="_-* #,##0_-;\-* #,##0_-;_-* &quot;-&quot;??_-;_-@_-">
                  <c:v>-7199729.7810000032</c:v>
                </c:pt>
                <c:pt idx="807" formatCode="_-* #,##0_-;\-* #,##0_-;_-* &quot;-&quot;??_-;_-@_-">
                  <c:v>3505668.4869999997</c:v>
                </c:pt>
                <c:pt idx="808" formatCode="_-* #,##0_-;\-* #,##0_-;_-* &quot;-&quot;??_-;_-@_-">
                  <c:v>3602893.1560000032</c:v>
                </c:pt>
                <c:pt idx="809" formatCode="_-* #,##0_-;\-* #,##0_-;_-* &quot;-&quot;??_-;_-@_-">
                  <c:v>-4531679.4690000005</c:v>
                </c:pt>
                <c:pt idx="810" formatCode="_-* #,##0_-;\-* #,##0_-;_-* &quot;-&quot;??_-;_-@_-">
                  <c:v>4532247.8399999961</c:v>
                </c:pt>
                <c:pt idx="811" formatCode="_-* #,##0_-;\-* #,##0_-;_-* &quot;-&quot;??_-;_-@_-">
                  <c:v>-7790890.1409999989</c:v>
                </c:pt>
                <c:pt idx="812" formatCode="_-* #,##0_-;\-* #,##0_-;_-* &quot;-&quot;??_-;_-@_-">
                  <c:v>7792389.7800000012</c:v>
                </c:pt>
                <c:pt idx="813" formatCode="_-* #,##0_-;\-* #,##0_-;_-* &quot;-&quot;??_-;_-@_-">
                  <c:v>-19869579.696999997</c:v>
                </c:pt>
                <c:pt idx="814" formatCode="_-* #,##0_-;\-* #,##0_-;_-* &quot;-&quot;??_-;_-@_-">
                  <c:v>19980951.263</c:v>
                </c:pt>
                <c:pt idx="815" formatCode="_-* #,##0_-;\-* #,##0_-;_-* &quot;-&quot;??_-;_-@_-">
                  <c:v>-4141723.4459999986</c:v>
                </c:pt>
                <c:pt idx="816" formatCode="_-* #,##0_-;\-* #,##0_-;_-* &quot;-&quot;??_-;_-@_-">
                  <c:v>4105753.2080000043</c:v>
                </c:pt>
                <c:pt idx="817" formatCode="_-* #,##0_-;\-* #,##0_-;_-* &quot;-&quot;??_-;_-@_-">
                  <c:v>-6078024.0469999984</c:v>
                </c:pt>
                <c:pt idx="818" formatCode="_-* #,##0_-;\-* #,##0_-;_-* &quot;-&quot;??_-;_-@_-">
                  <c:v>6016384.1510000005</c:v>
                </c:pt>
                <c:pt idx="819" formatCode="_-* #,##0_-;\-* #,##0_-;_-* &quot;-&quot;??_-;_-@_-">
                  <c:v>3004780.5150000006</c:v>
                </c:pt>
                <c:pt idx="820" formatCode="_-* #,##0_-;\-* #,##0_-;_-* &quot;-&quot;??_-;_-@_-">
                  <c:v>-16113493.170000002</c:v>
                </c:pt>
                <c:pt idx="821" formatCode="_-* #,##0_-;\-* #,##0_-;_-* &quot;-&quot;??_-;_-@_-">
                  <c:v>19423503.354999997</c:v>
                </c:pt>
                <c:pt idx="822" formatCode="_-* #,##0_-;\-* #,##0_-;_-* &quot;-&quot;??_-;_-@_-">
                  <c:v>87.025000005960464</c:v>
                </c:pt>
                <c:pt idx="823" formatCode="_-* #,##0_-;\-* #,##0_-;_-* &quot;-&quot;??_-;_-@_-">
                  <c:v>-140066.89500000328</c:v>
                </c:pt>
                <c:pt idx="824" formatCode="_-* #,##0_-;\-* #,##0_-;_-* &quot;-&quot;??_-;_-@_-">
                  <c:v>-29.649999998509884</c:v>
                </c:pt>
                <c:pt idx="825" formatCode="_-* #,##0_-;\-* #,##0_-;_-* &quot;-&quot;??_-;_-@_-">
                  <c:v>-12746269.875</c:v>
                </c:pt>
                <c:pt idx="826" formatCode="_-* #,##0_-;\-* #,##0_-;_-* &quot;-&quot;??_-;_-@_-">
                  <c:v>12729228.859999999</c:v>
                </c:pt>
                <c:pt idx="827" formatCode="_-* #,##0_-;\-* #,##0_-;_-* &quot;-&quot;??_-;_-@_-">
                  <c:v>-18152188.331</c:v>
                </c:pt>
                <c:pt idx="828" formatCode="_-* #,##0_-;\-* #,##0_-;_-* &quot;-&quot;??_-;_-@_-">
                  <c:v>-10952732.979</c:v>
                </c:pt>
                <c:pt idx="829" formatCode="_-* #,##0_-;\-* #,##0_-;_-* &quot;-&quot;??_-;_-@_-">
                  <c:v>29104979.133000001</c:v>
                </c:pt>
                <c:pt idx="830" formatCode="_-* #,##0_-;\-* #,##0_-;_-* &quot;-&quot;??_-;_-@_-">
                  <c:v>8017.012000001967</c:v>
                </c:pt>
                <c:pt idx="831" formatCode="_-* #,##0_-;\-* #,##0_-;_-* &quot;-&quot;??_-;_-@_-">
                  <c:v>8071.929999999702</c:v>
                </c:pt>
                <c:pt idx="832" formatCode="_-* #,##0_-;\-* #,##0_-;_-* &quot;-&quot;??_-;_-@_-">
                  <c:v>-373027.4299999997</c:v>
                </c:pt>
                <c:pt idx="833" formatCode="_-* #,##0_-;\-* #,##0_-;_-* &quot;-&quot;??_-;_-@_-">
                  <c:v>-6945514.6499999985</c:v>
                </c:pt>
                <c:pt idx="834" formatCode="_-* #,##0_-;\-* #,##0_-;_-* &quot;-&quot;??_-;_-@_-">
                  <c:v>-15597461.600000001</c:v>
                </c:pt>
                <c:pt idx="835" formatCode="_-* #,##0_-;\-* #,##0_-;_-* &quot;-&quot;??_-;_-@_-">
                  <c:v>22899026.630000003</c:v>
                </c:pt>
                <c:pt idx="836" formatCode="_-* #,##0_-;\-* #,##0_-;_-* &quot;-&quot;??_-;_-@_-">
                  <c:v>69.219999998807907</c:v>
                </c:pt>
                <c:pt idx="837" formatCode="_-* #,##0_-;\-* #,##0_-;_-* &quot;-&quot;??_-;_-@_-">
                  <c:v>1133.429999999702</c:v>
                </c:pt>
                <c:pt idx="838" formatCode="_-* #,##0_-;\-* #,##0_-;_-* &quot;-&quot;??_-;_-@_-">
                  <c:v>-4699.410000000149</c:v>
                </c:pt>
                <c:pt idx="839" formatCode="_-* #,##0_-;\-* #,##0_-;_-* &quot;-&quot;??_-;_-@_-">
                  <c:v>10070253.290000001</c:v>
                </c:pt>
                <c:pt idx="840" formatCode="_-* #,##0_-;\-* #,##0_-;_-* &quot;-&quot;??_-;_-@_-">
                  <c:v>1941566.6899999995</c:v>
                </c:pt>
                <c:pt idx="841" formatCode="_-* #,##0_-;\-* #,##0_-;_-* &quot;-&quot;??_-;_-@_-">
                  <c:v>-15407987.280000001</c:v>
                </c:pt>
                <c:pt idx="842" formatCode="_-* #,##0_-;\-* #,##0_-;_-* &quot;-&quot;??_-;_-@_-">
                  <c:v>13464284.950000003</c:v>
                </c:pt>
                <c:pt idx="843" formatCode="_-* #,##0_-;\-* #,##0_-;_-* &quot;-&quot;??_-;_-@_-">
                  <c:v>-5352172.18</c:v>
                </c:pt>
                <c:pt idx="844" formatCode="_-* #,##0_-;\-* #,##0_-;_-* &quot;-&quot;??_-;_-@_-">
                  <c:v>-420243.12000000104</c:v>
                </c:pt>
                <c:pt idx="845" formatCode="_-* #,##0_-;\-* #,##0_-;_-* &quot;-&quot;??_-;_-@_-">
                  <c:v>-2951302.4700000025</c:v>
                </c:pt>
                <c:pt idx="846" formatCode="_-* #,##0_-;\-* #,##0_-;_-* &quot;-&quot;??_-;_-@_-">
                  <c:v>8668519.4600000009</c:v>
                </c:pt>
                <c:pt idx="847" formatCode="_-* #,##0_-;\-* #,##0_-;_-* &quot;-&quot;??_-;_-@_-">
                  <c:v>180.96700000762939</c:v>
                </c:pt>
                <c:pt idx="848" formatCode="_-* #,##0_-;\-* #,##0_-;_-* &quot;-&quot;??_-;_-@_-">
                  <c:v>-2503486.5219999999</c:v>
                </c:pt>
                <c:pt idx="849" formatCode="_-* #,##0_-;\-* #,##0_-;_-* &quot;-&quot;??_-;_-@_-">
                  <c:v>2503631.1500000004</c:v>
                </c:pt>
                <c:pt idx="850" formatCode="_-* #,##0_-;\-* #,##0_-;_-* &quot;-&quot;??_-;_-@_-">
                  <c:v>-15354756.650999993</c:v>
                </c:pt>
                <c:pt idx="851" formatCode="_-* #,##0_-;\-* #,##0_-;_-* &quot;-&quot;??_-;_-@_-">
                  <c:v>13604066.153999999</c:v>
                </c:pt>
                <c:pt idx="852" formatCode="_-* #,##0_-;\-* #,##0_-;_-* &quot;-&quot;??_-;_-@_-">
                  <c:v>-3644.3050000071526</c:v>
                </c:pt>
                <c:pt idx="853" formatCode="_-* #,##0_-;\-* #,##0_-;_-* &quot;-&quot;??_-;_-@_-">
                  <c:v>418.32400000095367</c:v>
                </c:pt>
                <c:pt idx="854" formatCode="_-* #,##0_-;\-* #,##0_-;_-* &quot;-&quot;??_-;_-@_-">
                  <c:v>-182436.69099999964</c:v>
                </c:pt>
                <c:pt idx="855" formatCode="_-* #,##0_-;\-* #,##0_-;_-* &quot;-&quot;??_-;_-@_-">
                  <c:v>-541764.12000000104</c:v>
                </c:pt>
                <c:pt idx="856" formatCode="_-* #,##0_-;\-* #,##0_-;_-* &quot;-&quot;??_-;_-@_-">
                  <c:v>657</c:v>
                </c:pt>
                <c:pt idx="857" formatCode="_-* #,##0_-;\-* #,##0_-;_-* &quot;-&quot;??_-;_-@_-">
                  <c:v>-10.780000001192093</c:v>
                </c:pt>
                <c:pt idx="858" formatCode="_-* #,##0_-;\-* #,##0_-;_-* &quot;-&quot;??_-;_-@_-">
                  <c:v>37.134999997913837</c:v>
                </c:pt>
                <c:pt idx="859" formatCode="_-* #,##0_-;\-* #,##0_-;_-* &quot;-&quot;??_-;_-@_-">
                  <c:v>771.18000000715256</c:v>
                </c:pt>
                <c:pt idx="860" formatCode="_-* #,##0_-;\-* #,##0_-;_-* &quot;-&quot;??_-;_-@_-">
                  <c:v>33.905000001192093</c:v>
                </c:pt>
                <c:pt idx="861" formatCode="_-* #,##0_-;\-* #,##0_-;_-* &quot;-&quot;??_-;_-@_-">
                  <c:v>-502.97500000149012</c:v>
                </c:pt>
                <c:pt idx="862" formatCode="_-* #,##0_-;\-* #,##0_-;_-* &quot;-&quot;??_-;_-@_-">
                  <c:v>-202.32999999821186</c:v>
                </c:pt>
                <c:pt idx="863" formatCode="_-* #,##0_-;\-* #,##0_-;_-* &quot;-&quot;??_-;_-@_-">
                  <c:v>-7.5450000017881393</c:v>
                </c:pt>
                <c:pt idx="864" formatCode="_-* #,##0_-;\-* #,##0_-;_-* &quot;-&quot;??_-;_-@_-">
                  <c:v>-16.145000003278255</c:v>
                </c:pt>
                <c:pt idx="865" formatCode="_-* #,##0_-;\-* #,##0_-;_-* &quot;-&quot;??_-;_-@_-">
                  <c:v>-1613.4499999880791</c:v>
                </c:pt>
                <c:pt idx="866" formatCode="_-* #,##0_-;\-* #,##0_-;_-* &quot;-&quot;??_-;_-@_-">
                  <c:v>703.97500000149012</c:v>
                </c:pt>
                <c:pt idx="867" formatCode="_-* #,##0_-;\-* #,##0_-;_-* &quot;-&quot;??_-;_-@_-">
                  <c:v>-43.08500000089407</c:v>
                </c:pt>
                <c:pt idx="868" formatCode="_-* #,##0_-;\-* #,##0_-;_-* &quot;-&quot;??_-;_-@_-">
                  <c:v>661.37999999523163</c:v>
                </c:pt>
                <c:pt idx="869" formatCode="_-* #,##0_-;\-* #,##0_-;_-* &quot;-&quot;??_-;_-@_-">
                  <c:v>-1107.4750000014901</c:v>
                </c:pt>
                <c:pt idx="870" formatCode="_-* #,##0_-;\-* #,##0_-;_-* &quot;-&quot;??_-;_-@_-">
                  <c:v>436.55999999493361</c:v>
                </c:pt>
                <c:pt idx="871" formatCode="_-* #,##0_-;\-* #,##0_-;_-* &quot;-&quot;??_-;_-@_-">
                  <c:v>-323.60999999940395</c:v>
                </c:pt>
                <c:pt idx="872" formatCode="_-* #,##0_-;\-* #,##0_-;_-* &quot;-&quot;??_-;_-@_-">
                  <c:v>-388</c:v>
                </c:pt>
                <c:pt idx="873" formatCode="_-* #,##0_-;\-* #,##0_-;_-* &quot;-&quot;??_-;_-@_-">
                  <c:v>673.64999999850988</c:v>
                </c:pt>
                <c:pt idx="874" formatCode="_-* #,##0_-;\-* #,##0_-;_-* &quot;-&quot;??_-;_-@_-">
                  <c:v>94.030000001192093</c:v>
                </c:pt>
                <c:pt idx="875" formatCode="_-* #,##0_-;\-* #,##0_-;_-* &quot;-&quot;??_-;_-@_-">
                  <c:v>853.32999999821186</c:v>
                </c:pt>
                <c:pt idx="876" formatCode="_-* #,##0_-;\-* #,##0_-;_-* &quot;-&quot;??_-;_-@_-">
                  <c:v>-370754.25299999118</c:v>
                </c:pt>
                <c:pt idx="877" formatCode="_-* #,##0_-;\-* #,##0_-;_-* &quot;-&quot;??_-;_-@_-">
                  <c:v>16.16499999910593</c:v>
                </c:pt>
                <c:pt idx="878" formatCode="_-* #,##0_-;\-* #,##0_-;_-* &quot;-&quot;??_-;_-@_-">
                  <c:v>2870.6770000010729</c:v>
                </c:pt>
                <c:pt idx="879" formatCode="_-* #,##0_-;\-* #,##0_-;_-* &quot;-&quot;??_-;_-@_-">
                  <c:v>0</c:v>
                </c:pt>
                <c:pt idx="880" formatCode="_-* #,##0_-;\-* #,##0_-;_-* &quot;-&quot;??_-;_-@_-">
                  <c:v>0</c:v>
                </c:pt>
                <c:pt idx="881" formatCode="_-* #,##0_-;\-* #,##0_-;_-* &quot;-&quot;??_-;_-@_-">
                  <c:v>0</c:v>
                </c:pt>
                <c:pt idx="882" formatCode="_-* #,##0_-;\-* #,##0_-;_-* &quot;-&quot;??_-;_-@_-">
                  <c:v>0</c:v>
                </c:pt>
                <c:pt idx="883" formatCode="_-* #,##0_-;\-* #,##0_-;_-* &quot;-&quot;??_-;_-@_-">
                  <c:v>0</c:v>
                </c:pt>
                <c:pt idx="884" formatCode="_-* #,##0_-;\-* #,##0_-;_-* &quot;-&quot;??_-;_-@_-">
                  <c:v>0</c:v>
                </c:pt>
                <c:pt idx="885" formatCode="_-* #,##0_-;\-* #,##0_-;_-* &quot;-&quot;??_-;_-@_-">
                  <c:v>0</c:v>
                </c:pt>
                <c:pt idx="886" formatCode="_-* #,##0_-;\-* #,##0_-;_-* &quot;-&quot;??_-;_-@_-">
                  <c:v>0</c:v>
                </c:pt>
                <c:pt idx="887" formatCode="_-* #,##0_-;\-* #,##0_-;_-* &quot;-&quot;??_-;_-@_-">
                  <c:v>0</c:v>
                </c:pt>
                <c:pt idx="888" formatCode="_-* #,##0_-;\-* #,##0_-;_-* &quot;-&quot;??_-;_-@_-">
                  <c:v>0</c:v>
                </c:pt>
                <c:pt idx="889" formatCode="_-* #,##0_-;\-* #,##0_-;_-* &quot;-&quot;??_-;_-@_-">
                  <c:v>0</c:v>
                </c:pt>
                <c:pt idx="890" formatCode="_-* #,##0_-;\-* #,##0_-;_-* &quot;-&quot;??_-;_-@_-">
                  <c:v>0</c:v>
                </c:pt>
                <c:pt idx="891" formatCode="_-* #,##0_-;\-* #,##0_-;_-* &quot;-&quot;??_-;_-@_-">
                  <c:v>0</c:v>
                </c:pt>
                <c:pt idx="892" formatCode="_-* #,##0_-;\-* #,##0_-;_-* &quot;-&quot;??_-;_-@_-">
                  <c:v>0</c:v>
                </c:pt>
                <c:pt idx="893" formatCode="_-* #,##0_-;\-* #,##0_-;_-* &quot;-&quot;??_-;_-@_-">
                  <c:v>0</c:v>
                </c:pt>
                <c:pt idx="894" formatCode="_-* #,##0_-;\-* #,##0_-;_-* &quot;-&quot;??_-;_-@_-">
                  <c:v>0</c:v>
                </c:pt>
                <c:pt idx="895" formatCode="_-* #,##0_-;\-* #,##0_-;_-* &quot;-&quot;??_-;_-@_-">
                  <c:v>0</c:v>
                </c:pt>
                <c:pt idx="896" formatCode="_-* #,##0_-;\-* #,##0_-;_-* &quot;-&quot;??_-;_-@_-">
                  <c:v>0</c:v>
                </c:pt>
                <c:pt idx="897" formatCode="_-* #,##0_-;\-* #,##0_-;_-* &quot;-&quot;??_-;_-@_-">
                  <c:v>0</c:v>
                </c:pt>
                <c:pt idx="898" formatCode="_-* #,##0_-;\-* #,##0_-;_-* &quot;-&quot;??_-;_-@_-">
                  <c:v>0</c:v>
                </c:pt>
                <c:pt idx="899" formatCode="_-* #,##0_-;\-* #,##0_-;_-* &quot;-&quot;??_-;_-@_-">
                  <c:v>0</c:v>
                </c:pt>
                <c:pt idx="900" formatCode="_-* #,##0_-;\-* #,##0_-;_-* &quot;-&quot;??_-;_-@_-">
                  <c:v>0</c:v>
                </c:pt>
                <c:pt idx="901" formatCode="_-* #,##0_-;\-* #,##0_-;_-* &quot;-&quot;??_-;_-@_-">
                  <c:v>0</c:v>
                </c:pt>
                <c:pt idx="902" formatCode="_-* #,##0_-;\-* #,##0_-;_-* &quot;-&quot;??_-;_-@_-">
                  <c:v>0</c:v>
                </c:pt>
                <c:pt idx="903" formatCode="_-* #,##0_-;\-* #,##0_-;_-* &quot;-&quot;??_-;_-@_-">
                  <c:v>0</c:v>
                </c:pt>
                <c:pt idx="904" formatCode="_-* #,##0_-;\-* #,##0_-;_-* &quot;-&quot;??_-;_-@_-">
                  <c:v>0</c:v>
                </c:pt>
                <c:pt idx="905" formatCode="_-* #,##0_-;\-* #,##0_-;_-* &quot;-&quot;??_-;_-@_-">
                  <c:v>0</c:v>
                </c:pt>
                <c:pt idx="906" formatCode="_-* #,##0_-;\-* #,##0_-;_-* &quot;-&quot;??_-;_-@_-">
                  <c:v>0</c:v>
                </c:pt>
                <c:pt idx="907" formatCode="_-* #,##0_-;\-* #,##0_-;_-* &quot;-&quot;??_-;_-@_-">
                  <c:v>0</c:v>
                </c:pt>
                <c:pt idx="908" formatCode="_-* #,##0_-;\-* #,##0_-;_-* &quot;-&quot;??_-;_-@_-">
                  <c:v>0</c:v>
                </c:pt>
                <c:pt idx="909" formatCode="_-* #,##0_-;\-* #,##0_-;_-* &quot;-&quot;??_-;_-@_-">
                  <c:v>0</c:v>
                </c:pt>
                <c:pt idx="910" formatCode="_-* #,##0_-;\-* #,##0_-;_-* &quot;-&quot;??_-;_-@_-">
                  <c:v>0</c:v>
                </c:pt>
                <c:pt idx="911" formatCode="_-* #,##0_-;\-* #,##0_-;_-* &quot;-&quot;??_-;_-@_-">
                  <c:v>0</c:v>
                </c:pt>
                <c:pt idx="912" formatCode="_-* #,##0_-;\-* #,##0_-;_-* &quot;-&quot;??_-;_-@_-">
                  <c:v>0</c:v>
                </c:pt>
                <c:pt idx="913" formatCode="_-* #,##0_-;\-* #,##0_-;_-* &quot;-&quot;??_-;_-@_-">
                  <c:v>0</c:v>
                </c:pt>
                <c:pt idx="914" formatCode="_-* #,##0_-;\-* #,##0_-;_-* &quot;-&quot;??_-;_-@_-">
                  <c:v>0</c:v>
                </c:pt>
                <c:pt idx="915" formatCode="_-* #,##0_-;\-* #,##0_-;_-* &quot;-&quot;??_-;_-@_-">
                  <c:v>0</c:v>
                </c:pt>
                <c:pt idx="916" formatCode="_-* #,##0_-;\-* #,##0_-;_-* &quot;-&quot;??_-;_-@_-">
                  <c:v>0</c:v>
                </c:pt>
                <c:pt idx="917" formatCode="_-* #,##0_-;\-* #,##0_-;_-* &quot;-&quot;??_-;_-@_-">
                  <c:v>0</c:v>
                </c:pt>
                <c:pt idx="918" formatCode="_-* #,##0_-;\-* #,##0_-;_-* &quot;-&quot;??_-;_-@_-">
                  <c:v>0</c:v>
                </c:pt>
                <c:pt idx="919" formatCode="_-* #,##0_-;\-* #,##0_-;_-* &quot;-&quot;??_-;_-@_-">
                  <c:v>0</c:v>
                </c:pt>
                <c:pt idx="920" formatCode="_-* #,##0_-;\-* #,##0_-;_-* &quot;-&quot;??_-;_-@_-">
                  <c:v>0</c:v>
                </c:pt>
                <c:pt idx="921" formatCode="_-* #,##0_-;\-* #,##0_-;_-* &quot;-&quot;??_-;_-@_-">
                  <c:v>0</c:v>
                </c:pt>
                <c:pt idx="922" formatCode="_-* #,##0_-;\-* #,##0_-;_-* &quot;-&quot;??_-;_-@_-">
                  <c:v>0</c:v>
                </c:pt>
                <c:pt idx="923" formatCode="_-* #,##0_-;\-* #,##0_-;_-* &quot;-&quot;??_-;_-@_-">
                  <c:v>0</c:v>
                </c:pt>
                <c:pt idx="924" formatCode="_-* #,##0_-;\-* #,##0_-;_-* &quot;-&quot;??_-;_-@_-">
                  <c:v>0</c:v>
                </c:pt>
                <c:pt idx="925" formatCode="_-* #,##0_-;\-* #,##0_-;_-* &quot;-&quot;??_-;_-@_-">
                  <c:v>0</c:v>
                </c:pt>
                <c:pt idx="926" formatCode="_-* #,##0_-;\-* #,##0_-;_-* &quot;-&quot;??_-;_-@_-">
                  <c:v>0</c:v>
                </c:pt>
                <c:pt idx="927" formatCode="_-* #,##0_-;\-* #,##0_-;_-* &quot;-&quot;??_-;_-@_-">
                  <c:v>0</c:v>
                </c:pt>
                <c:pt idx="928" formatCode="_-* #,##0_-;\-* #,##0_-;_-* &quot;-&quot;??_-;_-@_-">
                  <c:v>0</c:v>
                </c:pt>
                <c:pt idx="929" formatCode="_-* #,##0_-;\-* #,##0_-;_-* &quot;-&quot;??_-;_-@_-">
                  <c:v>0</c:v>
                </c:pt>
                <c:pt idx="930" formatCode="_-* #,##0_-;\-* #,##0_-;_-* &quot;-&quot;??_-;_-@_-">
                  <c:v>0</c:v>
                </c:pt>
                <c:pt idx="931" formatCode="_-* #,##0_-;\-* #,##0_-;_-* &quot;-&quot;??_-;_-@_-">
                  <c:v>0</c:v>
                </c:pt>
                <c:pt idx="932" formatCode="_-* #,##0_-;\-* #,##0_-;_-* &quot;-&quot;??_-;_-@_-">
                  <c:v>0</c:v>
                </c:pt>
                <c:pt idx="933" formatCode="_-* #,##0_-;\-* #,##0_-;_-* &quot;-&quot;??_-;_-@_-">
                  <c:v>0</c:v>
                </c:pt>
                <c:pt idx="934" formatCode="_-* #,##0_-;\-* #,##0_-;_-* &quot;-&quot;??_-;_-@_-">
                  <c:v>0</c:v>
                </c:pt>
                <c:pt idx="935" formatCode="_-* #,##0_-;\-* #,##0_-;_-* &quot;-&quot;??_-;_-@_-">
                  <c:v>0</c:v>
                </c:pt>
                <c:pt idx="936" formatCode="_-* #,##0_-;\-* #,##0_-;_-* &quot;-&quot;??_-;_-@_-">
                  <c:v>0</c:v>
                </c:pt>
                <c:pt idx="937" formatCode="_-* #,##0_-;\-* #,##0_-;_-* &quot;-&quot;??_-;_-@_-">
                  <c:v>0</c:v>
                </c:pt>
                <c:pt idx="938" formatCode="_-* #,##0_-;\-* #,##0_-;_-* &quot;-&quot;??_-;_-@_-">
                  <c:v>0</c:v>
                </c:pt>
                <c:pt idx="939" formatCode="_-* #,##0_-;\-* #,##0_-;_-* &quot;-&quot;??_-;_-@_-">
                  <c:v>0</c:v>
                </c:pt>
                <c:pt idx="940" formatCode="_-* #,##0_-;\-* #,##0_-;_-* &quot;-&quot;??_-;_-@_-">
                  <c:v>0</c:v>
                </c:pt>
                <c:pt idx="941" formatCode="_-* #,##0_-;\-* #,##0_-;_-* &quot;-&quot;??_-;_-@_-">
                  <c:v>0</c:v>
                </c:pt>
                <c:pt idx="942" formatCode="_-* #,##0_-;\-* #,##0_-;_-* &quot;-&quot;??_-;_-@_-">
                  <c:v>0</c:v>
                </c:pt>
                <c:pt idx="943" formatCode="_-* #,##0_-;\-* #,##0_-;_-* &quot;-&quot;??_-;_-@_-">
                  <c:v>0</c:v>
                </c:pt>
                <c:pt idx="944" formatCode="_-* #,##0_-;\-* #,##0_-;_-* &quot;-&quot;??_-;_-@_-">
                  <c:v>0</c:v>
                </c:pt>
                <c:pt idx="945" formatCode="_-* #,##0_-;\-* #,##0_-;_-* &quot;-&quot;??_-;_-@_-">
                  <c:v>0</c:v>
                </c:pt>
                <c:pt idx="946" formatCode="_-* #,##0_-;\-* #,##0_-;_-* &quot;-&quot;??_-;_-@_-">
                  <c:v>0</c:v>
                </c:pt>
                <c:pt idx="947" formatCode="_-* #,##0_-;\-* #,##0_-;_-* &quot;-&quot;??_-;_-@_-">
                  <c:v>0</c:v>
                </c:pt>
                <c:pt idx="948" formatCode="_-* #,##0_-;\-* #,##0_-;_-* &quot;-&quot;??_-;_-@_-">
                  <c:v>0</c:v>
                </c:pt>
                <c:pt idx="949" formatCode="_-* #,##0_-;\-* #,##0_-;_-* &quot;-&quot;??_-;_-@_-">
                  <c:v>0</c:v>
                </c:pt>
                <c:pt idx="950" formatCode="_-* #,##0_-;\-* #,##0_-;_-* &quot;-&quot;??_-;_-@_-">
                  <c:v>0</c:v>
                </c:pt>
                <c:pt idx="951" formatCode="_-* #,##0_-;\-* #,##0_-;_-* &quot;-&quot;??_-;_-@_-">
                  <c:v>0</c:v>
                </c:pt>
                <c:pt idx="952" formatCode="_-* #,##0_-;\-* #,##0_-;_-* &quot;-&quot;??_-;_-@_-">
                  <c:v>0</c:v>
                </c:pt>
                <c:pt idx="953" formatCode="_-* #,##0_-;\-* #,##0_-;_-* &quot;-&quot;??_-;_-@_-">
                  <c:v>0</c:v>
                </c:pt>
                <c:pt idx="954" formatCode="_-* #,##0_-;\-* #,##0_-;_-* &quot;-&quot;??_-;_-@_-">
                  <c:v>0</c:v>
                </c:pt>
                <c:pt idx="955" formatCode="_-* #,##0_-;\-* #,##0_-;_-* &quot;-&quot;??_-;_-@_-">
                  <c:v>0</c:v>
                </c:pt>
                <c:pt idx="956" formatCode="_-* #,##0_-;\-* #,##0_-;_-* &quot;-&quot;??_-;_-@_-">
                  <c:v>0</c:v>
                </c:pt>
                <c:pt idx="957" formatCode="_-* #,##0_-;\-* #,##0_-;_-* &quot;-&quot;??_-;_-@_-">
                  <c:v>0</c:v>
                </c:pt>
                <c:pt idx="958" formatCode="_-* #,##0_-;\-* #,##0_-;_-* &quot;-&quot;??_-;_-@_-">
                  <c:v>0</c:v>
                </c:pt>
                <c:pt idx="959" formatCode="_-* #,##0_-;\-* #,##0_-;_-* &quot;-&quot;??_-;_-@_-">
                  <c:v>0</c:v>
                </c:pt>
                <c:pt idx="960" formatCode="_-* #,##0_-;\-* #,##0_-;_-* &quot;-&quot;??_-;_-@_-">
                  <c:v>0</c:v>
                </c:pt>
                <c:pt idx="961" formatCode="_-* #,##0_-;\-* #,##0_-;_-* &quot;-&quot;??_-;_-@_-">
                  <c:v>0</c:v>
                </c:pt>
                <c:pt idx="962" formatCode="_-* #,##0_-;\-* #,##0_-;_-* &quot;-&quot;??_-;_-@_-">
                  <c:v>0</c:v>
                </c:pt>
                <c:pt idx="963" formatCode="_-* #,##0_-;\-* #,##0_-;_-* &quot;-&quot;??_-;_-@_-">
                  <c:v>0</c:v>
                </c:pt>
                <c:pt idx="964" formatCode="_-* #,##0_-;\-* #,##0_-;_-* &quot;-&quot;??_-;_-@_-">
                  <c:v>0</c:v>
                </c:pt>
                <c:pt idx="965" formatCode="_-* #,##0_-;\-* #,##0_-;_-* &quot;-&quot;??_-;_-@_-">
                  <c:v>0</c:v>
                </c:pt>
                <c:pt idx="966" formatCode="_-* #,##0_-;\-* #,##0_-;_-* &quot;-&quot;??_-;_-@_-">
                  <c:v>0</c:v>
                </c:pt>
                <c:pt idx="967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093-4675-8CF1-E99C3E7C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09248"/>
        <c:axId val="107510784"/>
      </c:barChart>
      <c:catAx>
        <c:axId val="1075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0784"/>
        <c:crosses val="autoZero"/>
        <c:auto val="1"/>
        <c:lblAlgn val="ctr"/>
        <c:lblOffset val="100"/>
        <c:noMultiLvlLbl val="0"/>
      </c:catAx>
      <c:valAx>
        <c:axId val="1075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rch%202026/TOTAL%20RWIZI%20END%20OF%20MARCH%20REPORT..xlsx" TargetMode="External"/><Relationship Id="rId2" Type="http://schemas.openxmlformats.org/officeDocument/2006/relationships/externalLinkPath" Target="file:///C:\Users\TOTAL%20RWIZI\Desktop\Daily%20Data\March%202026\TOTAL%20RWIZI%20END%20OF%20MARCH%20REPORT..xlsx" TargetMode="External"/><Relationship Id="rId1" Type="http://schemas.openxmlformats.org/officeDocument/2006/relationships/externalLinkPath" Target="/Users/TOTAL%20RWIZI/Desktop/Daily%20Data/March%202026/TOTAL%20RWIZI%20END%20OF%20MARCH%20REPORT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ril%202026/TOTAL%20RWIZI%20END%20OF%20APRIL%20REPORT..xlsx" TargetMode="External"/><Relationship Id="rId2" Type="http://schemas.openxmlformats.org/officeDocument/2006/relationships/externalLinkPath" Target="file:///C:\Users\TOTAL%20RWIZI\Desktop\Daily%20Data\April%202026\TOTAL%20RWIZI%20END%20OF%20APRIL%20REPORT..xlsx" TargetMode="External"/><Relationship Id="rId1" Type="http://schemas.openxmlformats.org/officeDocument/2006/relationships/externalLinkPath" Target="/Users/TOTAL%20RWIZI/Desktop/Daily%20Data/April%202026/TOTAL%20RWIZI%20END%20OF%20APRIL%20REPORT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TAL%20RWIZI\Desktop\Daily%20Data\May%202026\Stock%20mvt-Template-2025-2026-V1-7-25.xlsx" TargetMode="External"/><Relationship Id="rId1" Type="http://schemas.openxmlformats.org/officeDocument/2006/relationships/externalLinkPath" Target="Stock%20mvt-Template-2025-2026-V1-7-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TAL%20RWIZI\Desktop\Daily%20Data\May%202026\TOTAL%20RWIZI%20END%20OF%20MAY%20REPORT..xlsx" TargetMode="External"/><Relationship Id="rId1" Type="http://schemas.openxmlformats.org/officeDocument/2006/relationships/externalLinkPath" Target="TOTAL%20RWIZI%20END%20OF%20MAY%20REPORT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. 2024"/>
      <sheetName val="SEP.2023 (2)"/>
      <sheetName val="SEMPT 2022"/>
      <sheetName val="OCT 2022"/>
      <sheetName val="NOV.2022"/>
      <sheetName val="DEC.2022"/>
      <sheetName val="JAN 2023"/>
      <sheetName val="JUNE 2023"/>
      <sheetName val="JULY 2023"/>
      <sheetName val="AUGUST 2023"/>
      <sheetName val="SEP.2023"/>
      <sheetName val="OCT 2023"/>
      <sheetName val="NOV.2023"/>
      <sheetName val="DEC.2023"/>
      <sheetName val="FEB.2024"/>
      <sheetName val="MARCH.34"/>
      <sheetName val="APRIL .24"/>
      <sheetName val="MAY.2024"/>
      <sheetName val="JUNE.2024"/>
      <sheetName val="JULY.2024"/>
      <sheetName val="AUG.2024"/>
      <sheetName val="SEP.2024"/>
      <sheetName val="OCT.2024"/>
      <sheetName val="NOV.2024"/>
      <sheetName val="DEC.2024"/>
      <sheetName val="JAN.2025"/>
      <sheetName val="FEB.2025"/>
      <sheetName val="MARCH.2025"/>
      <sheetName val="APIRL.2025"/>
      <sheetName val="MAY.2025"/>
      <sheetName val="JUNE.2025"/>
      <sheetName val="JULY.2025"/>
      <sheetName val="AUG.2025"/>
      <sheetName val="SEP.2025"/>
      <sheetName val="OCT.2025"/>
      <sheetName val="NOV.2025"/>
      <sheetName val="DEC 2025"/>
      <sheetName val="JAN 2026"/>
      <sheetName val="FEB 2026"/>
      <sheetName val="MAR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H2">
            <v>21.5</v>
          </cell>
          <cell r="J2">
            <v>61.5</v>
          </cell>
        </row>
        <row r="3">
          <cell r="H3">
            <v>77.5</v>
          </cell>
          <cell r="J3">
            <v>86.5</v>
          </cell>
        </row>
        <row r="4">
          <cell r="H4">
            <v>114.5</v>
          </cell>
          <cell r="J4">
            <v>45.5</v>
          </cell>
        </row>
        <row r="5">
          <cell r="H5">
            <v>61.25</v>
          </cell>
          <cell r="J5">
            <v>27</v>
          </cell>
        </row>
        <row r="6">
          <cell r="H6">
            <v>66</v>
          </cell>
          <cell r="J6">
            <v>49</v>
          </cell>
        </row>
        <row r="7">
          <cell r="H7">
            <v>214.5</v>
          </cell>
          <cell r="J7">
            <v>159.5</v>
          </cell>
        </row>
        <row r="8">
          <cell r="H8">
            <v>40</v>
          </cell>
          <cell r="J8">
            <v>83.5</v>
          </cell>
        </row>
        <row r="9">
          <cell r="H9">
            <v>56.5</v>
          </cell>
          <cell r="J9">
            <v>56</v>
          </cell>
        </row>
        <row r="10">
          <cell r="H10">
            <v>90.25</v>
          </cell>
          <cell r="J10">
            <v>46</v>
          </cell>
        </row>
        <row r="11">
          <cell r="H11">
            <v>41.75</v>
          </cell>
          <cell r="J11">
            <v>62</v>
          </cell>
        </row>
        <row r="12">
          <cell r="H12">
            <v>32.75</v>
          </cell>
          <cell r="J12">
            <v>48</v>
          </cell>
        </row>
        <row r="13">
          <cell r="H13">
            <v>33.85</v>
          </cell>
          <cell r="J13">
            <v>18</v>
          </cell>
        </row>
        <row r="14">
          <cell r="H14">
            <v>40.5</v>
          </cell>
          <cell r="J14">
            <v>55</v>
          </cell>
        </row>
        <row r="15">
          <cell r="H15">
            <v>63.5</v>
          </cell>
          <cell r="J15">
            <v>86.5</v>
          </cell>
        </row>
        <row r="16">
          <cell r="H16">
            <v>37</v>
          </cell>
          <cell r="J16">
            <v>52</v>
          </cell>
        </row>
        <row r="17">
          <cell r="H17">
            <v>82.75</v>
          </cell>
          <cell r="J17">
            <v>40</v>
          </cell>
        </row>
        <row r="18">
          <cell r="H18">
            <v>35.5</v>
          </cell>
          <cell r="J18">
            <v>58</v>
          </cell>
        </row>
        <row r="19">
          <cell r="H19">
            <v>69</v>
          </cell>
          <cell r="J19">
            <v>49</v>
          </cell>
        </row>
        <row r="20">
          <cell r="H20">
            <v>102</v>
          </cell>
          <cell r="J20">
            <v>50.5</v>
          </cell>
        </row>
        <row r="21">
          <cell r="H21">
            <v>63</v>
          </cell>
          <cell r="J21">
            <v>86</v>
          </cell>
        </row>
        <row r="22">
          <cell r="H22">
            <v>238.75</v>
          </cell>
          <cell r="J22">
            <v>62.5</v>
          </cell>
        </row>
        <row r="23">
          <cell r="H23">
            <v>47</v>
          </cell>
          <cell r="J23">
            <v>21.5</v>
          </cell>
        </row>
        <row r="24">
          <cell r="H24">
            <v>59.5</v>
          </cell>
          <cell r="J24">
            <v>85.5</v>
          </cell>
        </row>
        <row r="25">
          <cell r="H25">
            <v>82.5</v>
          </cell>
          <cell r="J25">
            <v>74.5</v>
          </cell>
        </row>
        <row r="26">
          <cell r="H26">
            <v>23.5</v>
          </cell>
          <cell r="J26">
            <v>67.5</v>
          </cell>
        </row>
        <row r="27">
          <cell r="H27">
            <v>70</v>
          </cell>
          <cell r="J27">
            <v>43</v>
          </cell>
        </row>
        <row r="28">
          <cell r="H28">
            <v>32.75</v>
          </cell>
          <cell r="J28">
            <v>46</v>
          </cell>
        </row>
        <row r="29">
          <cell r="H29">
            <v>43</v>
          </cell>
          <cell r="J29">
            <v>24</v>
          </cell>
        </row>
        <row r="30">
          <cell r="H30">
            <v>44.5</v>
          </cell>
          <cell r="J30">
            <v>37</v>
          </cell>
        </row>
        <row r="31">
          <cell r="H31">
            <v>51.25</v>
          </cell>
          <cell r="J31">
            <v>54</v>
          </cell>
        </row>
        <row r="32">
          <cell r="H32">
            <v>120</v>
          </cell>
          <cell r="J32">
            <v>67.5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. 2024"/>
      <sheetName val="SEP.2023 (2)"/>
      <sheetName val="SEMPT 2022"/>
      <sheetName val="OCT 2022"/>
      <sheetName val="NOV.2022"/>
      <sheetName val="DEC.2022"/>
      <sheetName val="JAN 2023"/>
      <sheetName val="JUNE 2023"/>
      <sheetName val="JULY 2023"/>
      <sheetName val="AUGUST 2023"/>
      <sheetName val="SEP.2023"/>
      <sheetName val="OCT 2023"/>
      <sheetName val="NOV.2023"/>
      <sheetName val="DEC.2023"/>
      <sheetName val="FEB.2024"/>
      <sheetName val="MARCH.34"/>
      <sheetName val="APRIL .24"/>
      <sheetName val="MAY.2024"/>
      <sheetName val="JUNE.2024"/>
      <sheetName val="JULY.2024"/>
      <sheetName val="AUG.2024"/>
      <sheetName val="SEP.2024"/>
      <sheetName val="OCT.2024"/>
      <sheetName val="NOV.2024"/>
      <sheetName val="DEC.2024"/>
      <sheetName val="JAN.2025"/>
      <sheetName val="FEB.2025"/>
      <sheetName val="MARCH.2025"/>
      <sheetName val="APIRL.2025"/>
      <sheetName val="MAY.2025"/>
      <sheetName val="JUNE.2025"/>
      <sheetName val="JULY.2025"/>
      <sheetName val="AUG.2025"/>
      <sheetName val="SEP.2025"/>
      <sheetName val="OCT.2025"/>
      <sheetName val="NOV.2025"/>
      <sheetName val="DEC 2025"/>
      <sheetName val="JAN 2026"/>
      <sheetName val="FEB 2026"/>
      <sheetName val="MAR 2026"/>
      <sheetName val="APRIL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3">
          <cell r="B3">
            <v>2629.29</v>
          </cell>
          <cell r="C3">
            <v>2769.2049999999999</v>
          </cell>
          <cell r="H3">
            <v>55</v>
          </cell>
          <cell r="I3">
            <v>1210000</v>
          </cell>
          <cell r="J3">
            <v>42</v>
          </cell>
          <cell r="K3">
            <v>371000</v>
          </cell>
          <cell r="L3">
            <v>58000</v>
          </cell>
          <cell r="N3">
            <v>0</v>
          </cell>
        </row>
        <row r="4">
          <cell r="B4">
            <v>2675.8009999999999</v>
          </cell>
          <cell r="C4">
            <v>3798.43</v>
          </cell>
          <cell r="H4">
            <v>52.25</v>
          </cell>
          <cell r="I4">
            <v>1087000</v>
          </cell>
          <cell r="J4">
            <v>46.5</v>
          </cell>
          <cell r="K4">
            <v>392000</v>
          </cell>
          <cell r="L4">
            <v>141000</v>
          </cell>
          <cell r="N4">
            <v>0</v>
          </cell>
        </row>
        <row r="5">
          <cell r="B5">
            <v>2747.4319999999998</v>
          </cell>
          <cell r="C5">
            <v>4032.183</v>
          </cell>
          <cell r="H5">
            <v>91</v>
          </cell>
          <cell r="I5">
            <v>2010500</v>
          </cell>
          <cell r="J5">
            <v>58.5</v>
          </cell>
          <cell r="K5">
            <v>477000</v>
          </cell>
          <cell r="L5">
            <v>31000</v>
          </cell>
          <cell r="N5">
            <v>0</v>
          </cell>
        </row>
        <row r="6">
          <cell r="B6">
            <v>2758.549</v>
          </cell>
          <cell r="C6">
            <v>3149.3409999999999</v>
          </cell>
          <cell r="H6">
            <v>30</v>
          </cell>
          <cell r="I6">
            <v>610000</v>
          </cell>
          <cell r="J6">
            <v>61</v>
          </cell>
          <cell r="K6">
            <v>531000</v>
          </cell>
          <cell r="L6">
            <v>41000</v>
          </cell>
          <cell r="N6">
            <v>0</v>
          </cell>
        </row>
        <row r="7">
          <cell r="B7">
            <v>1830.6210000000001</v>
          </cell>
          <cell r="C7">
            <v>764.39499999999998</v>
          </cell>
          <cell r="H7">
            <v>29.25</v>
          </cell>
          <cell r="I7">
            <v>650000</v>
          </cell>
          <cell r="J7">
            <v>31.5</v>
          </cell>
          <cell r="K7">
            <v>316000</v>
          </cell>
          <cell r="L7">
            <v>30000</v>
          </cell>
          <cell r="N7">
            <v>0</v>
          </cell>
        </row>
        <row r="8">
          <cell r="B8">
            <v>2461.2330000000002</v>
          </cell>
          <cell r="C8">
            <v>2804.92</v>
          </cell>
          <cell r="H8">
            <v>45.25</v>
          </cell>
          <cell r="I8">
            <v>1259000</v>
          </cell>
          <cell r="J8">
            <v>55.5</v>
          </cell>
          <cell r="K8">
            <v>477000</v>
          </cell>
          <cell r="L8">
            <v>39000</v>
          </cell>
          <cell r="N8">
            <v>0</v>
          </cell>
        </row>
        <row r="9">
          <cell r="B9">
            <v>2575.6320000000001</v>
          </cell>
          <cell r="C9">
            <v>7130.8090000000002</v>
          </cell>
          <cell r="H9">
            <v>87.75</v>
          </cell>
          <cell r="I9">
            <v>1734000</v>
          </cell>
          <cell r="J9">
            <v>112</v>
          </cell>
          <cell r="K9">
            <v>999000</v>
          </cell>
          <cell r="L9">
            <v>209000</v>
          </cell>
          <cell r="N9">
            <v>75500</v>
          </cell>
        </row>
        <row r="10">
          <cell r="B10">
            <v>1528.13</v>
          </cell>
          <cell r="C10">
            <v>2822.59</v>
          </cell>
          <cell r="H10">
            <v>70</v>
          </cell>
          <cell r="I10">
            <v>1474500</v>
          </cell>
          <cell r="J10">
            <v>43</v>
          </cell>
          <cell r="K10">
            <v>407000</v>
          </cell>
          <cell r="L10">
            <v>49000</v>
          </cell>
          <cell r="N10">
            <v>231000</v>
          </cell>
        </row>
        <row r="11">
          <cell r="B11">
            <v>1218.6949999999999</v>
          </cell>
          <cell r="C11">
            <v>4001.6610000000001</v>
          </cell>
          <cell r="H11">
            <v>42.75</v>
          </cell>
          <cell r="I11">
            <v>907000</v>
          </cell>
          <cell r="J11">
            <v>24</v>
          </cell>
          <cell r="K11">
            <v>310000</v>
          </cell>
          <cell r="L11">
            <v>58000</v>
          </cell>
          <cell r="N11">
            <v>75500</v>
          </cell>
        </row>
        <row r="12">
          <cell r="B12">
            <v>6.3849999999999998</v>
          </cell>
          <cell r="C12">
            <v>2868.6849999999999</v>
          </cell>
          <cell r="H12">
            <v>95.25</v>
          </cell>
          <cell r="I12">
            <v>2221500</v>
          </cell>
          <cell r="J12">
            <v>30</v>
          </cell>
          <cell r="K12">
            <v>310000</v>
          </cell>
          <cell r="L12">
            <v>107000</v>
          </cell>
          <cell r="N12">
            <v>0</v>
          </cell>
        </row>
        <row r="13">
          <cell r="B13">
            <v>2811.4850000000001</v>
          </cell>
          <cell r="C13">
            <v>3295.181</v>
          </cell>
          <cell r="H13">
            <v>13.75</v>
          </cell>
          <cell r="I13">
            <v>361500</v>
          </cell>
          <cell r="J13">
            <v>25</v>
          </cell>
          <cell r="K13">
            <v>229000</v>
          </cell>
          <cell r="L13">
            <v>24000</v>
          </cell>
          <cell r="N13">
            <v>0</v>
          </cell>
        </row>
        <row r="14">
          <cell r="B14">
            <v>3009.587</v>
          </cell>
          <cell r="C14">
            <v>2782.808</v>
          </cell>
          <cell r="H14">
            <v>69.25</v>
          </cell>
          <cell r="I14">
            <v>1456800</v>
          </cell>
          <cell r="J14">
            <v>86</v>
          </cell>
          <cell r="K14">
            <v>832000</v>
          </cell>
          <cell r="L14">
            <v>158000</v>
          </cell>
          <cell r="N14">
            <v>0</v>
          </cell>
        </row>
        <row r="15">
          <cell r="B15">
            <v>564.50300000000004</v>
          </cell>
          <cell r="C15">
            <v>5133.6970000000001</v>
          </cell>
          <cell r="H15">
            <v>69</v>
          </cell>
          <cell r="I15">
            <v>1387500</v>
          </cell>
          <cell r="J15">
            <v>72.5</v>
          </cell>
          <cell r="K15">
            <v>785000</v>
          </cell>
          <cell r="L15">
            <v>16000</v>
          </cell>
          <cell r="N15">
            <v>0</v>
          </cell>
        </row>
        <row r="16">
          <cell r="B16">
            <v>2614.4319999999998</v>
          </cell>
          <cell r="C16">
            <v>4516.5330000000004</v>
          </cell>
          <cell r="H16">
            <v>76</v>
          </cell>
          <cell r="I16">
            <v>1732500</v>
          </cell>
          <cell r="J16">
            <v>18</v>
          </cell>
          <cell r="K16">
            <v>186000</v>
          </cell>
          <cell r="L16">
            <v>112000</v>
          </cell>
          <cell r="N16">
            <v>75500</v>
          </cell>
        </row>
        <row r="17">
          <cell r="B17">
            <v>2261.8409999999999</v>
          </cell>
          <cell r="C17">
            <v>2485.9659999999999</v>
          </cell>
          <cell r="H17">
            <v>99.75</v>
          </cell>
          <cell r="I17">
            <v>2031500</v>
          </cell>
          <cell r="J17">
            <v>12</v>
          </cell>
          <cell r="K17">
            <v>177000</v>
          </cell>
          <cell r="L17">
            <v>121000</v>
          </cell>
          <cell r="N17">
            <v>0</v>
          </cell>
        </row>
        <row r="18">
          <cell r="B18">
            <v>2012.8209999999999</v>
          </cell>
          <cell r="C18">
            <v>30</v>
          </cell>
          <cell r="H18">
            <v>85.25</v>
          </cell>
          <cell r="I18">
            <v>1776000</v>
          </cell>
          <cell r="J18">
            <v>44</v>
          </cell>
          <cell r="K18">
            <v>407000</v>
          </cell>
          <cell r="L18">
            <v>85000</v>
          </cell>
          <cell r="N18">
            <v>0</v>
          </cell>
        </row>
        <row r="19">
          <cell r="B19">
            <v>2029.5309999999999</v>
          </cell>
          <cell r="C19">
            <v>57.19</v>
          </cell>
          <cell r="H19">
            <v>49</v>
          </cell>
          <cell r="I19">
            <v>1027500</v>
          </cell>
          <cell r="J19">
            <v>66.5</v>
          </cell>
          <cell r="K19">
            <v>675000</v>
          </cell>
          <cell r="L19">
            <v>104000</v>
          </cell>
          <cell r="N19">
            <v>28000</v>
          </cell>
        </row>
        <row r="20">
          <cell r="B20">
            <v>2308.6529999999998</v>
          </cell>
          <cell r="C20">
            <v>2675.2170000000001</v>
          </cell>
          <cell r="H20">
            <v>35.5</v>
          </cell>
          <cell r="I20">
            <v>561000</v>
          </cell>
          <cell r="J20">
            <v>18.5</v>
          </cell>
          <cell r="K20">
            <v>177000</v>
          </cell>
          <cell r="L20">
            <v>41000</v>
          </cell>
          <cell r="N20">
            <v>0</v>
          </cell>
        </row>
        <row r="21">
          <cell r="B21">
            <v>2914.08</v>
          </cell>
          <cell r="C21">
            <v>3115.2249999999999</v>
          </cell>
          <cell r="H21">
            <v>112</v>
          </cell>
          <cell r="I21">
            <v>2401500</v>
          </cell>
          <cell r="J21">
            <v>42.5</v>
          </cell>
          <cell r="K21">
            <v>425000</v>
          </cell>
          <cell r="L21">
            <v>73000</v>
          </cell>
          <cell r="N21">
            <v>105500</v>
          </cell>
        </row>
        <row r="22">
          <cell r="B22">
            <v>1730.568</v>
          </cell>
          <cell r="C22">
            <v>3367.614</v>
          </cell>
          <cell r="H22">
            <v>105.5</v>
          </cell>
          <cell r="I22">
            <v>2192500</v>
          </cell>
          <cell r="J22">
            <v>36.5</v>
          </cell>
          <cell r="K22">
            <v>303000</v>
          </cell>
          <cell r="L22">
            <v>105000</v>
          </cell>
          <cell r="N22">
            <v>0</v>
          </cell>
        </row>
        <row r="23">
          <cell r="B23">
            <v>353.66199999999998</v>
          </cell>
          <cell r="C23">
            <v>978.81</v>
          </cell>
          <cell r="H23">
            <v>89.5</v>
          </cell>
          <cell r="I23">
            <v>1897000</v>
          </cell>
          <cell r="J23">
            <v>85.5</v>
          </cell>
          <cell r="K23">
            <v>732000</v>
          </cell>
          <cell r="L23">
            <v>16000</v>
          </cell>
          <cell r="N23">
            <v>58000</v>
          </cell>
        </row>
        <row r="24">
          <cell r="B24">
            <v>3473.0970000000002</v>
          </cell>
          <cell r="C24">
            <v>0</v>
          </cell>
          <cell r="H24">
            <v>48.25</v>
          </cell>
          <cell r="I24">
            <v>1003000</v>
          </cell>
          <cell r="J24">
            <v>43</v>
          </cell>
          <cell r="K24">
            <v>416000</v>
          </cell>
          <cell r="L24">
            <v>87000</v>
          </cell>
          <cell r="N24">
            <v>0</v>
          </cell>
        </row>
        <row r="25">
          <cell r="B25">
            <v>544.95399999999995</v>
          </cell>
          <cell r="C25">
            <v>0</v>
          </cell>
          <cell r="H25">
            <v>33.75</v>
          </cell>
          <cell r="I25">
            <v>666500</v>
          </cell>
          <cell r="J25">
            <v>33.5</v>
          </cell>
          <cell r="K25">
            <v>333000</v>
          </cell>
          <cell r="L25">
            <v>39000</v>
          </cell>
          <cell r="N25">
            <v>84500</v>
          </cell>
        </row>
        <row r="26">
          <cell r="B26">
            <v>4575.7569999999996</v>
          </cell>
          <cell r="C26">
            <v>6724.1369999999997</v>
          </cell>
          <cell r="H26">
            <v>76.5</v>
          </cell>
          <cell r="I26">
            <v>1556000</v>
          </cell>
          <cell r="J26">
            <v>73.5</v>
          </cell>
          <cell r="K26">
            <v>655000</v>
          </cell>
          <cell r="L26">
            <v>123000</v>
          </cell>
          <cell r="N26">
            <v>0</v>
          </cell>
        </row>
        <row r="27">
          <cell r="B27">
            <v>201.94399999999999</v>
          </cell>
          <cell r="C27">
            <v>624.31799999999998</v>
          </cell>
          <cell r="H27">
            <v>25</v>
          </cell>
          <cell r="I27">
            <v>468000</v>
          </cell>
          <cell r="J27">
            <v>27</v>
          </cell>
          <cell r="K27">
            <v>278000</v>
          </cell>
          <cell r="L27">
            <v>31000</v>
          </cell>
          <cell r="N27">
            <v>58000</v>
          </cell>
        </row>
        <row r="28">
          <cell r="B28">
            <v>52.091000000000001</v>
          </cell>
          <cell r="C28">
            <v>1840.56</v>
          </cell>
          <cell r="H28">
            <v>15</v>
          </cell>
          <cell r="I28">
            <v>285000</v>
          </cell>
          <cell r="J28">
            <v>77.5</v>
          </cell>
          <cell r="K28">
            <v>652500</v>
          </cell>
          <cell r="L28">
            <v>16000</v>
          </cell>
          <cell r="N28">
            <v>105500</v>
          </cell>
        </row>
        <row r="29">
          <cell r="B29">
            <v>61.731999999999999</v>
          </cell>
          <cell r="C29">
            <v>12367.369000000001</v>
          </cell>
          <cell r="H29">
            <v>37.25</v>
          </cell>
          <cell r="I29">
            <v>729000</v>
          </cell>
          <cell r="J29">
            <v>61</v>
          </cell>
          <cell r="K29">
            <v>592000</v>
          </cell>
          <cell r="L29">
            <v>166000</v>
          </cell>
          <cell r="N29">
            <v>21000</v>
          </cell>
        </row>
        <row r="30">
          <cell r="B30">
            <v>7525.8109999999997</v>
          </cell>
          <cell r="C30">
            <v>7096.9639999999999</v>
          </cell>
          <cell r="H30">
            <v>41.75</v>
          </cell>
          <cell r="I30">
            <v>891000</v>
          </cell>
          <cell r="J30">
            <v>24.5</v>
          </cell>
          <cell r="K30">
            <v>235500</v>
          </cell>
          <cell r="L30">
            <v>91000</v>
          </cell>
          <cell r="N30">
            <v>0</v>
          </cell>
        </row>
        <row r="31">
          <cell r="B31">
            <v>3267.73</v>
          </cell>
          <cell r="C31">
            <v>7969.4949999999999</v>
          </cell>
          <cell r="H31">
            <v>34</v>
          </cell>
          <cell r="I31">
            <v>1117500</v>
          </cell>
          <cell r="J31">
            <v>59</v>
          </cell>
          <cell r="K31">
            <v>321000</v>
          </cell>
          <cell r="L31">
            <v>116000</v>
          </cell>
          <cell r="N31">
            <v>105500</v>
          </cell>
        </row>
        <row r="32">
          <cell r="B32">
            <v>5889.7939999999999</v>
          </cell>
          <cell r="C32">
            <v>9372.4639999999999</v>
          </cell>
          <cell r="H32">
            <v>327.5</v>
          </cell>
          <cell r="I32">
            <v>6897000</v>
          </cell>
          <cell r="J32">
            <v>67</v>
          </cell>
          <cell r="K32">
            <v>648000</v>
          </cell>
          <cell r="L32">
            <v>111000</v>
          </cell>
          <cell r="N3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el Mvt-2025-2026-PMS ...."/>
      <sheetName val="Fuel Mvt-2025-2026-AGO"/>
      <sheetName val="Fuel Sales Sumary"/>
      <sheetName val="General Sales Sumary"/>
      <sheetName val="Shop Sales"/>
      <sheetName val="Daily Expenses"/>
      <sheetName val="Day fuel sales"/>
      <sheetName val="Other Products-July 25"/>
      <sheetName val="Other Products-Aug 25"/>
      <sheetName val="Other Products-Sep 25"/>
      <sheetName val="Other Products-Oct 25"/>
      <sheetName val="Other Products-Nov 25"/>
      <sheetName val="Other Products-Dec 25"/>
      <sheetName val="Other Products-Jan 26"/>
      <sheetName val="Other Products-Feb 26"/>
      <sheetName val="Other Products-Mar 26"/>
      <sheetName val="Other Products-Apri 26"/>
      <sheetName val="Other Products-May 26"/>
      <sheetName val="Other Products-June 26"/>
    </sheetNames>
    <sheetDataSet>
      <sheetData sheetId="0">
        <row r="320">
          <cell r="F320">
            <v>9551.7829999999994</v>
          </cell>
          <cell r="M320">
            <v>5560</v>
          </cell>
        </row>
        <row r="321">
          <cell r="F321">
            <v>560</v>
          </cell>
          <cell r="M321">
            <v>5835</v>
          </cell>
        </row>
        <row r="322">
          <cell r="F322">
            <v>4803.1000000000004</v>
          </cell>
          <cell r="M322">
            <v>5835</v>
          </cell>
        </row>
        <row r="323">
          <cell r="F323">
            <v>3906.36</v>
          </cell>
          <cell r="M323">
            <v>5835</v>
          </cell>
        </row>
        <row r="324">
          <cell r="F324">
            <v>1830.519</v>
          </cell>
          <cell r="M324">
            <v>5835</v>
          </cell>
        </row>
        <row r="325">
          <cell r="F325">
            <v>4931.884</v>
          </cell>
          <cell r="M325">
            <v>5835</v>
          </cell>
        </row>
        <row r="326">
          <cell r="F326">
            <v>1610.7809999999999</v>
          </cell>
          <cell r="M326">
            <v>5835</v>
          </cell>
        </row>
        <row r="327">
          <cell r="F327">
            <v>1399.2170000000001</v>
          </cell>
          <cell r="M327">
            <v>5835</v>
          </cell>
        </row>
        <row r="328">
          <cell r="F328">
            <v>4843.116</v>
          </cell>
          <cell r="M328">
            <v>5835</v>
          </cell>
        </row>
        <row r="329">
          <cell r="F329">
            <v>2370.0349999999999</v>
          </cell>
          <cell r="M329">
            <v>5835</v>
          </cell>
        </row>
        <row r="330">
          <cell r="F330">
            <v>2618.6610000000001</v>
          </cell>
          <cell r="M330">
            <v>5835</v>
          </cell>
        </row>
        <row r="331">
          <cell r="F331">
            <v>3529.0740000000001</v>
          </cell>
          <cell r="M331">
            <v>5835</v>
          </cell>
        </row>
        <row r="332">
          <cell r="F332">
            <v>572.86699999999996</v>
          </cell>
          <cell r="M332">
            <v>5835</v>
          </cell>
        </row>
        <row r="333">
          <cell r="F333">
            <v>1518.9349999999999</v>
          </cell>
          <cell r="M333">
            <v>5835</v>
          </cell>
        </row>
        <row r="334">
          <cell r="F334">
            <v>13257.366</v>
          </cell>
          <cell r="M334">
            <v>5835</v>
          </cell>
        </row>
        <row r="335">
          <cell r="F335">
            <v>8204.7849999999999</v>
          </cell>
          <cell r="M335">
            <v>5835</v>
          </cell>
        </row>
        <row r="336">
          <cell r="F336">
            <v>1742.4780000000001</v>
          </cell>
          <cell r="M336">
            <v>5835</v>
          </cell>
        </row>
        <row r="337">
          <cell r="F337">
            <v>1359.82</v>
          </cell>
          <cell r="M337">
            <v>5835</v>
          </cell>
        </row>
        <row r="338">
          <cell r="F338">
            <v>705.35</v>
          </cell>
          <cell r="M338">
            <v>5835</v>
          </cell>
        </row>
        <row r="339">
          <cell r="F339">
            <v>0</v>
          </cell>
          <cell r="M339">
            <v>5835</v>
          </cell>
        </row>
        <row r="340">
          <cell r="F340">
            <v>4289.0219999999999</v>
          </cell>
          <cell r="M340">
            <v>5835</v>
          </cell>
        </row>
        <row r="341">
          <cell r="F341">
            <v>0</v>
          </cell>
          <cell r="M341">
            <v>6390</v>
          </cell>
        </row>
        <row r="342">
          <cell r="F342">
            <v>4236.5559999999996</v>
          </cell>
          <cell r="M342">
            <v>6390</v>
          </cell>
        </row>
        <row r="343">
          <cell r="F343">
            <v>1126.913</v>
          </cell>
          <cell r="M343">
            <v>6390</v>
          </cell>
        </row>
        <row r="344">
          <cell r="F344">
            <v>3188.357</v>
          </cell>
          <cell r="M344">
            <v>6390</v>
          </cell>
        </row>
        <row r="345">
          <cell r="F345"/>
          <cell r="M345">
            <v>6390</v>
          </cell>
        </row>
        <row r="346">
          <cell r="F346"/>
          <cell r="M346">
            <v>6390</v>
          </cell>
        </row>
        <row r="347">
          <cell r="F347"/>
          <cell r="M347">
            <v>6390</v>
          </cell>
        </row>
        <row r="348">
          <cell r="F348"/>
          <cell r="M348">
            <v>6390</v>
          </cell>
        </row>
        <row r="349">
          <cell r="F349"/>
          <cell r="M349">
            <v>6390</v>
          </cell>
        </row>
        <row r="350">
          <cell r="F350"/>
          <cell r="M350">
            <v>6390</v>
          </cell>
        </row>
      </sheetData>
      <sheetData sheetId="1">
        <row r="320">
          <cell r="F320">
            <v>4966.4889999999996</v>
          </cell>
          <cell r="M320">
            <v>5299</v>
          </cell>
        </row>
        <row r="321">
          <cell r="F321">
            <v>3778.2640000000001</v>
          </cell>
          <cell r="M321">
            <v>5580</v>
          </cell>
        </row>
        <row r="322">
          <cell r="F322">
            <v>4835.875</v>
          </cell>
          <cell r="M322">
            <v>5580</v>
          </cell>
        </row>
        <row r="323">
          <cell r="F323">
            <v>2795.2710000000002</v>
          </cell>
          <cell r="M323">
            <v>5580</v>
          </cell>
        </row>
        <row r="324">
          <cell r="F324">
            <v>4036.7249999999999</v>
          </cell>
          <cell r="M324">
            <v>5580</v>
          </cell>
        </row>
        <row r="325">
          <cell r="F325">
            <v>7926.8459999999995</v>
          </cell>
          <cell r="M325">
            <v>5580</v>
          </cell>
        </row>
        <row r="326">
          <cell r="F326">
            <v>10832.562</v>
          </cell>
          <cell r="M326">
            <v>5580</v>
          </cell>
        </row>
        <row r="327">
          <cell r="F327">
            <v>9491.991</v>
          </cell>
          <cell r="M327">
            <v>5580</v>
          </cell>
        </row>
        <row r="328">
          <cell r="F328">
            <v>5284.4930000000004</v>
          </cell>
          <cell r="M328">
            <v>5790</v>
          </cell>
        </row>
        <row r="329">
          <cell r="F329">
            <v>4614.1080000000002</v>
          </cell>
          <cell r="M329">
            <v>5790</v>
          </cell>
        </row>
        <row r="330">
          <cell r="F330">
            <v>1814.999</v>
          </cell>
          <cell r="M330">
            <v>5790</v>
          </cell>
        </row>
        <row r="331">
          <cell r="F331">
            <v>7758.4539999999997</v>
          </cell>
          <cell r="M331">
            <v>5790</v>
          </cell>
        </row>
        <row r="332">
          <cell r="F332">
            <v>2140.752</v>
          </cell>
          <cell r="M332">
            <v>5790</v>
          </cell>
        </row>
        <row r="333">
          <cell r="F333">
            <v>1350.684</v>
          </cell>
          <cell r="M333">
            <v>5790</v>
          </cell>
        </row>
        <row r="334">
          <cell r="F334">
            <v>5286.8190000000004</v>
          </cell>
          <cell r="M334">
            <v>5790</v>
          </cell>
        </row>
        <row r="335">
          <cell r="F335">
            <v>0</v>
          </cell>
          <cell r="M335">
            <v>5790</v>
          </cell>
        </row>
        <row r="336">
          <cell r="F336">
            <v>4849.6890000000003</v>
          </cell>
          <cell r="M336">
            <v>5790</v>
          </cell>
        </row>
        <row r="337">
          <cell r="F337">
            <v>3759.4290000000001</v>
          </cell>
          <cell r="M337">
            <v>5790</v>
          </cell>
        </row>
        <row r="338">
          <cell r="F338">
            <v>4887.125</v>
          </cell>
          <cell r="M338">
            <v>5790</v>
          </cell>
        </row>
        <row r="339">
          <cell r="F339">
            <v>5356.165</v>
          </cell>
          <cell r="M339">
            <v>5790</v>
          </cell>
        </row>
        <row r="340">
          <cell r="F340">
            <v>7651.84</v>
          </cell>
          <cell r="M340">
            <v>5790</v>
          </cell>
        </row>
        <row r="341">
          <cell r="F341">
            <v>4624.33</v>
          </cell>
          <cell r="M341">
            <v>6599</v>
          </cell>
        </row>
        <row r="342">
          <cell r="F342">
            <v>3923.7869999999998</v>
          </cell>
          <cell r="M342">
            <v>6599</v>
          </cell>
        </row>
        <row r="343">
          <cell r="F343">
            <v>1440.2349999999999</v>
          </cell>
          <cell r="M343">
            <v>6599</v>
          </cell>
        </row>
        <row r="344">
          <cell r="F344">
            <v>3692.107</v>
          </cell>
          <cell r="M344">
            <v>6599</v>
          </cell>
        </row>
        <row r="345">
          <cell r="F345"/>
          <cell r="M345">
            <v>6599</v>
          </cell>
        </row>
        <row r="346">
          <cell r="F346"/>
          <cell r="M346">
            <v>6599</v>
          </cell>
        </row>
        <row r="347">
          <cell r="F347"/>
          <cell r="M347">
            <v>6599</v>
          </cell>
        </row>
        <row r="348">
          <cell r="F348"/>
          <cell r="M348">
            <v>6599</v>
          </cell>
        </row>
        <row r="349">
          <cell r="F349"/>
          <cell r="M349">
            <v>6599</v>
          </cell>
        </row>
        <row r="350">
          <cell r="F350"/>
          <cell r="M350">
            <v>6599</v>
          </cell>
        </row>
      </sheetData>
      <sheetData sheetId="2"/>
      <sheetData sheetId="3">
        <row r="317">
          <cell r="D317">
            <v>1283500</v>
          </cell>
          <cell r="E317">
            <v>0</v>
          </cell>
          <cell r="F317">
            <v>0</v>
          </cell>
          <cell r="G317">
            <v>622000</v>
          </cell>
        </row>
        <row r="318">
          <cell r="D318">
            <v>302500</v>
          </cell>
          <cell r="E318">
            <v>0</v>
          </cell>
          <cell r="F318">
            <v>367000</v>
          </cell>
          <cell r="G318">
            <v>738000</v>
          </cell>
        </row>
        <row r="319">
          <cell r="D319">
            <v>1108500</v>
          </cell>
          <cell r="E319">
            <v>79000</v>
          </cell>
          <cell r="F319">
            <v>286500</v>
          </cell>
          <cell r="G319">
            <v>702000</v>
          </cell>
        </row>
        <row r="320">
          <cell r="D320">
            <v>1193500</v>
          </cell>
          <cell r="E320">
            <v>119000</v>
          </cell>
          <cell r="F320">
            <v>126500</v>
          </cell>
          <cell r="G320">
            <v>884000</v>
          </cell>
        </row>
        <row r="321">
          <cell r="D321">
            <v>1238500</v>
          </cell>
          <cell r="E321">
            <v>109000</v>
          </cell>
          <cell r="F321">
            <v>105500</v>
          </cell>
          <cell r="G321">
            <v>295000</v>
          </cell>
        </row>
        <row r="322">
          <cell r="D322">
            <v>3193000</v>
          </cell>
          <cell r="E322">
            <v>213000</v>
          </cell>
          <cell r="F322">
            <v>253000</v>
          </cell>
          <cell r="G322">
            <v>873500</v>
          </cell>
        </row>
        <row r="323">
          <cell r="D323">
            <v>848500</v>
          </cell>
          <cell r="E323">
            <v>24000</v>
          </cell>
          <cell r="F323">
            <v>100500</v>
          </cell>
          <cell r="G323">
            <v>492500</v>
          </cell>
        </row>
        <row r="324">
          <cell r="D324">
            <v>677000</v>
          </cell>
          <cell r="E324">
            <v>46000</v>
          </cell>
          <cell r="F324">
            <v>0</v>
          </cell>
          <cell r="G324">
            <v>471000</v>
          </cell>
        </row>
        <row r="325">
          <cell r="D325">
            <v>2197000</v>
          </cell>
          <cell r="E325">
            <v>231000</v>
          </cell>
          <cell r="F325">
            <v>316500</v>
          </cell>
          <cell r="G325">
            <v>796500</v>
          </cell>
        </row>
        <row r="326">
          <cell r="D326">
            <v>370500</v>
          </cell>
          <cell r="E326">
            <v>16000</v>
          </cell>
          <cell r="F326">
            <v>0</v>
          </cell>
          <cell r="G326">
            <v>904500</v>
          </cell>
        </row>
        <row r="327">
          <cell r="D327">
            <v>3408000</v>
          </cell>
          <cell r="E327">
            <v>319000</v>
          </cell>
          <cell r="F327">
            <v>211000</v>
          </cell>
          <cell r="G327">
            <v>177000</v>
          </cell>
        </row>
        <row r="328">
          <cell r="D328">
            <v>1768500</v>
          </cell>
          <cell r="E328">
            <v>110000</v>
          </cell>
          <cell r="F328">
            <v>30000</v>
          </cell>
          <cell r="G328">
            <v>353500</v>
          </cell>
        </row>
        <row r="329">
          <cell r="D329">
            <v>3852000</v>
          </cell>
          <cell r="E329">
            <v>91000</v>
          </cell>
          <cell r="F329">
            <v>105500</v>
          </cell>
          <cell r="G329">
            <v>353500</v>
          </cell>
        </row>
        <row r="330">
          <cell r="D330">
            <v>1119500</v>
          </cell>
          <cell r="E330">
            <v>39000</v>
          </cell>
          <cell r="F330">
            <v>30000</v>
          </cell>
          <cell r="G330">
            <v>304000</v>
          </cell>
        </row>
        <row r="331">
          <cell r="D331">
            <v>1897500</v>
          </cell>
          <cell r="E331">
            <v>0</v>
          </cell>
          <cell r="F331">
            <v>181000</v>
          </cell>
          <cell r="G331">
            <v>208000</v>
          </cell>
        </row>
        <row r="332">
          <cell r="D332">
            <v>1632000</v>
          </cell>
          <cell r="E332">
            <v>120000</v>
          </cell>
          <cell r="F332">
            <v>115500</v>
          </cell>
          <cell r="G332">
            <v>621500</v>
          </cell>
        </row>
        <row r="333">
          <cell r="D333">
            <v>885500</v>
          </cell>
          <cell r="E333">
            <v>25000</v>
          </cell>
          <cell r="F333">
            <v>105500</v>
          </cell>
          <cell r="G333">
            <v>443000</v>
          </cell>
        </row>
        <row r="334">
          <cell r="D334">
            <v>1108500</v>
          </cell>
          <cell r="E334">
            <v>0</v>
          </cell>
          <cell r="F334">
            <v>211000</v>
          </cell>
          <cell r="G334">
            <v>471500</v>
          </cell>
        </row>
        <row r="335">
          <cell r="D335">
            <v>1348500</v>
          </cell>
          <cell r="E335">
            <v>60000</v>
          </cell>
          <cell r="F335">
            <v>84500</v>
          </cell>
          <cell r="G335">
            <v>236000</v>
          </cell>
        </row>
        <row r="336">
          <cell r="D336">
            <v>1028500</v>
          </cell>
          <cell r="E336">
            <v>50000</v>
          </cell>
          <cell r="F336">
            <v>0</v>
          </cell>
          <cell r="G336">
            <v>531000</v>
          </cell>
        </row>
        <row r="337">
          <cell r="D337">
            <v>843500</v>
          </cell>
          <cell r="E337">
            <v>0</v>
          </cell>
          <cell r="F337">
            <v>0</v>
          </cell>
          <cell r="G337">
            <v>118500</v>
          </cell>
        </row>
        <row r="338">
          <cell r="D338">
            <v>3123000</v>
          </cell>
          <cell r="E338">
            <v>30000</v>
          </cell>
          <cell r="F338">
            <v>0</v>
          </cell>
          <cell r="G338">
            <v>737500</v>
          </cell>
        </row>
        <row r="339">
          <cell r="D339">
            <v>2649000</v>
          </cell>
          <cell r="E339">
            <v>15000</v>
          </cell>
          <cell r="F339">
            <v>382000</v>
          </cell>
          <cell r="G339">
            <v>965500</v>
          </cell>
        </row>
        <row r="340">
          <cell r="D340">
            <v>1422500</v>
          </cell>
          <cell r="E340">
            <v>0</v>
          </cell>
          <cell r="F340">
            <v>56000</v>
          </cell>
          <cell r="G340">
            <v>464500</v>
          </cell>
        </row>
        <row r="341">
          <cell r="D341">
            <v>1424000</v>
          </cell>
          <cell r="E341">
            <v>0</v>
          </cell>
          <cell r="F341">
            <v>151000</v>
          </cell>
          <cell r="G341">
            <v>702000</v>
          </cell>
        </row>
        <row r="342">
          <cell r="D342"/>
          <cell r="E342"/>
          <cell r="F342"/>
          <cell r="G342"/>
        </row>
        <row r="343">
          <cell r="D343"/>
          <cell r="E343"/>
          <cell r="F343"/>
          <cell r="G343"/>
        </row>
        <row r="344">
          <cell r="D344"/>
          <cell r="E344"/>
          <cell r="F344"/>
          <cell r="G344"/>
        </row>
        <row r="345">
          <cell r="D345"/>
          <cell r="E345"/>
          <cell r="F345"/>
          <cell r="G345"/>
        </row>
        <row r="346">
          <cell r="D346"/>
          <cell r="E346"/>
          <cell r="F346"/>
          <cell r="G346"/>
        </row>
        <row r="347">
          <cell r="D347"/>
          <cell r="E347"/>
          <cell r="F347"/>
          <cell r="G347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. 2024"/>
      <sheetName val="SEP.2023 (2)"/>
      <sheetName val="SEMPT 2022"/>
      <sheetName val="OCT 2022"/>
      <sheetName val="NOV.2022"/>
      <sheetName val="DEC.2022"/>
      <sheetName val="JAN 2023"/>
      <sheetName val="JUNE 2023"/>
      <sheetName val="JULY 2023"/>
      <sheetName val="AUGUST 2023"/>
      <sheetName val="SEP.2023"/>
      <sheetName val="OCT 2023"/>
      <sheetName val="NOV.2023"/>
      <sheetName val="DEC.2023"/>
      <sheetName val="FEB.2024"/>
      <sheetName val="MARCH.34"/>
      <sheetName val="APRIL .24"/>
      <sheetName val="MAY.2024"/>
      <sheetName val="JUNE.2024"/>
      <sheetName val="JULY.2024"/>
      <sheetName val="AUG.2024"/>
      <sheetName val="SEP.2024"/>
      <sheetName val="OCT.2024"/>
      <sheetName val="NOV.2024"/>
      <sheetName val="DEC.2024"/>
      <sheetName val="JAN.2025"/>
      <sheetName val="FEB.2025"/>
      <sheetName val="MARCH.2025"/>
      <sheetName val="APIRL.2025"/>
      <sheetName val="MAY.2025"/>
      <sheetName val="JUNE.2025"/>
      <sheetName val="JULY.2025"/>
      <sheetName val="AUG.2025"/>
      <sheetName val="SEP.2025"/>
      <sheetName val="OCT.2025"/>
      <sheetName val="NOV.2025"/>
      <sheetName val="DEC 2025"/>
      <sheetName val="JAN 2026"/>
      <sheetName val="FEB 2026"/>
      <sheetName val="MAR 2026"/>
      <sheetName val="APRIL 2026"/>
      <sheetName val="MAY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3">
          <cell r="H3">
            <v>66.5</v>
          </cell>
          <cell r="J3">
            <v>74</v>
          </cell>
        </row>
        <row r="4">
          <cell r="H4">
            <v>15</v>
          </cell>
          <cell r="J4">
            <v>84</v>
          </cell>
        </row>
        <row r="5">
          <cell r="H5">
            <v>54</v>
          </cell>
          <cell r="J5">
            <v>67</v>
          </cell>
        </row>
        <row r="6">
          <cell r="H6">
            <v>61.5</v>
          </cell>
          <cell r="J6">
            <v>78.5</v>
          </cell>
        </row>
        <row r="7">
          <cell r="H7">
            <v>61.75</v>
          </cell>
          <cell r="J7">
            <v>18</v>
          </cell>
        </row>
        <row r="8">
          <cell r="H8">
            <v>147.25</v>
          </cell>
          <cell r="J8">
            <v>87.5</v>
          </cell>
        </row>
        <row r="9">
          <cell r="H9">
            <v>36.75</v>
          </cell>
          <cell r="J9">
            <v>46.5</v>
          </cell>
        </row>
        <row r="10">
          <cell r="H10">
            <v>29</v>
          </cell>
          <cell r="J10">
            <v>49</v>
          </cell>
        </row>
        <row r="11">
          <cell r="H11">
            <v>111.5</v>
          </cell>
          <cell r="J11">
            <v>58</v>
          </cell>
        </row>
        <row r="12">
          <cell r="H12">
            <v>16.25</v>
          </cell>
          <cell r="J12">
            <v>59</v>
          </cell>
        </row>
        <row r="13">
          <cell r="H13">
            <v>138.5</v>
          </cell>
          <cell r="J13">
            <v>18</v>
          </cell>
        </row>
        <row r="14">
          <cell r="H14">
            <v>72.25</v>
          </cell>
          <cell r="J14">
            <v>36.5</v>
          </cell>
        </row>
        <row r="15">
          <cell r="H15">
            <v>146.25</v>
          </cell>
          <cell r="J15">
            <v>55</v>
          </cell>
        </row>
        <row r="16">
          <cell r="H16">
            <v>24</v>
          </cell>
          <cell r="J16">
            <v>18.5</v>
          </cell>
        </row>
        <row r="17">
          <cell r="H17">
            <v>73.25</v>
          </cell>
          <cell r="J17">
            <v>21</v>
          </cell>
        </row>
        <row r="18">
          <cell r="H18">
            <v>35.25</v>
          </cell>
          <cell r="J18">
            <v>74.5</v>
          </cell>
        </row>
        <row r="19">
          <cell r="H19">
            <v>37</v>
          </cell>
          <cell r="J19">
            <v>46</v>
          </cell>
        </row>
        <row r="20">
          <cell r="H20">
            <v>41.5</v>
          </cell>
          <cell r="J20">
            <v>48.5</v>
          </cell>
        </row>
        <row r="21">
          <cell r="H21">
            <v>56.25</v>
          </cell>
          <cell r="J21">
            <v>24</v>
          </cell>
        </row>
        <row r="22">
          <cell r="H22">
            <v>40.75</v>
          </cell>
          <cell r="J22">
            <v>54</v>
          </cell>
        </row>
        <row r="23">
          <cell r="H23">
            <v>35</v>
          </cell>
          <cell r="J23">
            <v>12</v>
          </cell>
        </row>
        <row r="24">
          <cell r="H24">
            <v>147.75</v>
          </cell>
          <cell r="J24">
            <v>76.5</v>
          </cell>
        </row>
        <row r="25">
          <cell r="H25">
            <v>110.5</v>
          </cell>
          <cell r="J25">
            <v>106.5</v>
          </cell>
        </row>
        <row r="26">
          <cell r="H26">
            <v>56</v>
          </cell>
          <cell r="J26">
            <v>50.5</v>
          </cell>
        </row>
        <row r="27">
          <cell r="H27"/>
          <cell r="J27"/>
        </row>
        <row r="28">
          <cell r="H28"/>
          <cell r="J28"/>
        </row>
        <row r="29">
          <cell r="H29"/>
          <cell r="J29"/>
        </row>
        <row r="30">
          <cell r="H30"/>
          <cell r="J30"/>
        </row>
        <row r="31">
          <cell r="H31"/>
          <cell r="J31"/>
        </row>
        <row r="32">
          <cell r="H32"/>
          <cell r="J32"/>
        </row>
        <row r="33">
          <cell r="H33"/>
          <cell r="J3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969"/>
  <sheetViews>
    <sheetView tabSelected="1" view="pageBreakPreview" zoomScale="110" zoomScaleNormal="110" zoomScaleSheetLayoutView="110" workbookViewId="0">
      <pane xSplit="1" ySplit="3" topLeftCell="AG843" activePane="bottomRight" state="frozen"/>
      <selection pane="topRight" activeCell="B1" sqref="B1"/>
      <selection pane="bottomLeft" activeCell="A4" sqref="A4"/>
      <selection pane="bottomRight" activeCell="B878" sqref="B878"/>
    </sheetView>
  </sheetViews>
  <sheetFormatPr defaultRowHeight="15" x14ac:dyDescent="0.25"/>
  <cols>
    <col min="1" max="1" width="10.5703125" style="42" bestFit="1" customWidth="1"/>
    <col min="2" max="3" width="10" style="1" bestFit="1" customWidth="1"/>
    <col min="4" max="5" width="8" style="1" bestFit="1" customWidth="1"/>
    <col min="6" max="7" width="10.42578125" style="3" bestFit="1" customWidth="1"/>
    <col min="8" max="8" width="10" style="3" bestFit="1" customWidth="1"/>
    <col min="9" max="9" width="11" style="1" bestFit="1" customWidth="1"/>
    <col min="10" max="10" width="6.42578125" bestFit="1" customWidth="1"/>
    <col min="11" max="11" width="11" style="1" bestFit="1" customWidth="1"/>
    <col min="12" max="12" width="12.28515625" style="1" bestFit="1" customWidth="1"/>
    <col min="13" max="13" width="18.140625" style="1" bestFit="1" customWidth="1"/>
    <col min="14" max="14" width="13.5703125" style="1" bestFit="1" customWidth="1"/>
    <col min="15" max="15" width="12.7109375" style="1" bestFit="1" customWidth="1"/>
    <col min="16" max="16" width="8.5703125" bestFit="1" customWidth="1"/>
    <col min="17" max="17" width="11.5703125" style="5" bestFit="1" customWidth="1"/>
    <col min="18" max="18" width="11" style="1" bestFit="1" customWidth="1"/>
    <col min="19" max="19" width="12" style="1" bestFit="1" customWidth="1"/>
    <col min="20" max="20" width="10" style="1" bestFit="1" customWidth="1"/>
    <col min="21" max="21" width="11.7109375" style="1" bestFit="1" customWidth="1"/>
    <col min="22" max="22" width="11.140625" style="1" bestFit="1" customWidth="1"/>
    <col min="23" max="23" width="11" style="1" bestFit="1" customWidth="1"/>
    <col min="24" max="24" width="11.5703125" bestFit="1" customWidth="1"/>
    <col min="25" max="25" width="12.5703125" style="1" bestFit="1" customWidth="1"/>
    <col min="26" max="26" width="10.42578125" bestFit="1" customWidth="1"/>
    <col min="27" max="27" width="11" bestFit="1" customWidth="1"/>
    <col min="28" max="28" width="10" bestFit="1" customWidth="1"/>
    <col min="29" max="29" width="11.140625" bestFit="1" customWidth="1"/>
    <col min="30" max="30" width="10.85546875" bestFit="1" customWidth="1"/>
    <col min="31" max="33" width="11" bestFit="1" customWidth="1"/>
    <col min="34" max="34" width="10" bestFit="1" customWidth="1"/>
    <col min="35" max="35" width="10.140625" bestFit="1" customWidth="1"/>
    <col min="36" max="36" width="8.7109375" customWidth="1"/>
    <col min="37" max="37" width="15.7109375" bestFit="1" customWidth="1"/>
    <col min="38" max="38" width="11" style="4" bestFit="1" customWidth="1"/>
    <col min="39" max="39" width="10" bestFit="1" customWidth="1"/>
    <col min="40" max="40" width="11" bestFit="1" customWidth="1"/>
    <col min="41" max="41" width="14.42578125" bestFit="1" customWidth="1"/>
    <col min="42" max="42" width="4.7109375" bestFit="1" customWidth="1"/>
    <col min="43" max="43" width="18.140625" bestFit="1" customWidth="1"/>
    <col min="44" max="44" width="11.85546875" bestFit="1" customWidth="1"/>
    <col min="45" max="45" width="11.5703125" bestFit="1" customWidth="1"/>
    <col min="46" max="63" width="9.7109375" bestFit="1" customWidth="1"/>
    <col min="64" max="64" width="10" bestFit="1" customWidth="1"/>
  </cols>
  <sheetData>
    <row r="1" spans="1:45" s="2" customFormat="1" ht="18.75" x14ac:dyDescent="0.3">
      <c r="A1" s="39"/>
      <c r="B1" s="52" t="s">
        <v>46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24" t="s">
        <v>51</v>
      </c>
      <c r="R1" s="57" t="s">
        <v>47</v>
      </c>
      <c r="S1" s="57"/>
      <c r="T1" s="57"/>
      <c r="U1" s="57"/>
      <c r="V1" s="57"/>
      <c r="W1" s="57"/>
      <c r="X1" s="57"/>
      <c r="Y1" s="23" t="s">
        <v>51</v>
      </c>
      <c r="Z1" s="46" t="s">
        <v>33</v>
      </c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25" t="s">
        <v>52</v>
      </c>
      <c r="AQ1" s="26" t="s">
        <v>42</v>
      </c>
    </row>
    <row r="2" spans="1:45" s="9" customFormat="1" ht="12.75" x14ac:dyDescent="0.2">
      <c r="A2" s="40" t="s">
        <v>0</v>
      </c>
      <c r="B2" s="56" t="s">
        <v>5</v>
      </c>
      <c r="C2" s="56"/>
      <c r="D2" s="56" t="s">
        <v>12</v>
      </c>
      <c r="E2" s="56"/>
      <c r="F2" s="56" t="s">
        <v>6</v>
      </c>
      <c r="G2" s="56"/>
      <c r="H2" s="44" t="s">
        <v>7</v>
      </c>
      <c r="I2" s="44"/>
      <c r="J2" s="44" t="s">
        <v>8</v>
      </c>
      <c r="K2" s="44"/>
      <c r="L2" s="7"/>
      <c r="M2" s="7" t="s">
        <v>35</v>
      </c>
      <c r="N2" s="44" t="s">
        <v>15</v>
      </c>
      <c r="O2" s="44"/>
      <c r="P2" s="44"/>
      <c r="Q2" s="19"/>
      <c r="R2" s="53" t="s">
        <v>36</v>
      </c>
      <c r="S2" s="54"/>
      <c r="T2" s="55"/>
      <c r="U2" s="49" t="s">
        <v>48</v>
      </c>
      <c r="V2" s="50"/>
      <c r="W2" s="51"/>
      <c r="X2" s="6" t="s">
        <v>14</v>
      </c>
      <c r="Y2" s="8"/>
      <c r="Z2" s="43" t="s">
        <v>13</v>
      </c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7" t="s">
        <v>34</v>
      </c>
      <c r="AM2" s="45" t="s">
        <v>29</v>
      </c>
      <c r="AN2" s="45"/>
      <c r="AO2" s="45"/>
      <c r="AP2" s="21"/>
      <c r="AQ2" s="6"/>
    </row>
    <row r="3" spans="1:45" s="9" customFormat="1" ht="25.5" x14ac:dyDescent="0.2">
      <c r="A3" s="41"/>
      <c r="B3" s="11" t="s">
        <v>1</v>
      </c>
      <c r="C3" s="11" t="s">
        <v>2</v>
      </c>
      <c r="D3" s="11" t="s">
        <v>1</v>
      </c>
      <c r="E3" s="11" t="s">
        <v>2</v>
      </c>
      <c r="F3" s="12" t="s">
        <v>1</v>
      </c>
      <c r="G3" s="12" t="s">
        <v>2</v>
      </c>
      <c r="H3" s="12" t="s">
        <v>9</v>
      </c>
      <c r="I3" s="11" t="s">
        <v>10</v>
      </c>
      <c r="J3" s="10" t="s">
        <v>11</v>
      </c>
      <c r="K3" s="11" t="s">
        <v>10</v>
      </c>
      <c r="L3" s="11" t="s">
        <v>4</v>
      </c>
      <c r="M3" s="11"/>
      <c r="N3" s="11" t="s">
        <v>27</v>
      </c>
      <c r="O3" s="11" t="s">
        <v>40</v>
      </c>
      <c r="P3" s="10" t="s">
        <v>28</v>
      </c>
      <c r="Q3" s="19" t="s">
        <v>3</v>
      </c>
      <c r="R3" s="11" t="s">
        <v>1</v>
      </c>
      <c r="S3" s="11" t="s">
        <v>2</v>
      </c>
      <c r="T3" s="11" t="s">
        <v>45</v>
      </c>
      <c r="U3" s="11" t="s">
        <v>39</v>
      </c>
      <c r="V3" s="11" t="s">
        <v>38</v>
      </c>
      <c r="W3" s="11" t="s">
        <v>37</v>
      </c>
      <c r="X3" s="22" t="s">
        <v>50</v>
      </c>
      <c r="Y3" s="13" t="s">
        <v>49</v>
      </c>
      <c r="Z3" s="10" t="s">
        <v>16</v>
      </c>
      <c r="AA3" s="10" t="s">
        <v>17</v>
      </c>
      <c r="AB3" s="10" t="s">
        <v>18</v>
      </c>
      <c r="AC3" s="10" t="s">
        <v>19</v>
      </c>
      <c r="AD3" s="10" t="s">
        <v>20</v>
      </c>
      <c r="AE3" s="10" t="s">
        <v>21</v>
      </c>
      <c r="AF3" s="10" t="s">
        <v>22</v>
      </c>
      <c r="AG3" s="10" t="s">
        <v>23</v>
      </c>
      <c r="AH3" s="10" t="s">
        <v>24</v>
      </c>
      <c r="AI3" s="10" t="s">
        <v>25</v>
      </c>
      <c r="AJ3" s="10" t="s">
        <v>26</v>
      </c>
      <c r="AK3" s="10" t="s">
        <v>41</v>
      </c>
      <c r="AL3" s="48"/>
      <c r="AM3" s="14" t="s">
        <v>30</v>
      </c>
      <c r="AN3" s="14" t="s">
        <v>31</v>
      </c>
      <c r="AO3" s="14" t="s">
        <v>32</v>
      </c>
      <c r="AP3" s="22"/>
      <c r="AQ3" s="15" t="s">
        <v>42</v>
      </c>
      <c r="AR3" s="16" t="s">
        <v>44</v>
      </c>
      <c r="AS3" s="17" t="s">
        <v>43</v>
      </c>
    </row>
    <row r="4" spans="1:45" x14ac:dyDescent="0.25">
      <c r="A4" s="40">
        <v>45292</v>
      </c>
      <c r="B4" s="20">
        <v>1928.5250000000001</v>
      </c>
      <c r="C4" s="20">
        <v>1764.653</v>
      </c>
      <c r="D4" s="20">
        <v>5690</v>
      </c>
      <c r="E4" s="20">
        <v>5299</v>
      </c>
      <c r="F4" s="7">
        <f t="shared" ref="F4:F67" si="0">B4*D4</f>
        <v>10973307.25</v>
      </c>
      <c r="G4" s="7">
        <f t="shared" ref="G4:G67" si="1">C4*E4</f>
        <v>9350896.2469999995</v>
      </c>
      <c r="H4" s="20">
        <v>44</v>
      </c>
      <c r="I4" s="20">
        <v>628000</v>
      </c>
      <c r="J4" s="20">
        <v>60.5</v>
      </c>
      <c r="K4" s="20">
        <v>561000</v>
      </c>
      <c r="L4" s="20">
        <v>15000</v>
      </c>
      <c r="M4" s="20">
        <v>0</v>
      </c>
      <c r="N4" s="20">
        <v>0</v>
      </c>
      <c r="O4" s="20">
        <v>1926066</v>
      </c>
      <c r="P4" s="20">
        <v>0</v>
      </c>
      <c r="Q4" s="19">
        <f t="shared" ref="Q4:Q67" si="2">SUM(F4:G4)+I4+K4+SUM(L4:P4)</f>
        <v>23454269.497000001</v>
      </c>
      <c r="R4" s="20">
        <v>1229222</v>
      </c>
      <c r="S4" s="20">
        <v>9181718</v>
      </c>
      <c r="T4" s="20"/>
      <c r="U4" s="20"/>
      <c r="V4" s="20"/>
      <c r="W4" s="20">
        <v>782297</v>
      </c>
      <c r="X4" s="20">
        <v>3409463</v>
      </c>
      <c r="Y4" s="8">
        <f t="shared" ref="Y4:Y67" si="3">Q4-SUM(R4:X4)</f>
        <v>8851569.4970000014</v>
      </c>
      <c r="Z4" s="36"/>
      <c r="AA4" s="36"/>
      <c r="AB4" s="36">
        <v>625400</v>
      </c>
      <c r="AC4" s="36"/>
      <c r="AD4" s="36"/>
      <c r="AE4" s="36">
        <v>900000</v>
      </c>
      <c r="AF4" s="36"/>
      <c r="AG4" s="36">
        <v>2780000</v>
      </c>
      <c r="AH4" s="36"/>
      <c r="AI4" s="36"/>
      <c r="AJ4" s="36"/>
      <c r="AK4" s="36"/>
      <c r="AL4" s="37">
        <f t="shared" ref="AL4:AL67" si="4">SUM(Z4:AK4)</f>
        <v>4305400</v>
      </c>
      <c r="AM4" s="36"/>
      <c r="AN4" s="36"/>
      <c r="AO4" s="36"/>
      <c r="AP4" s="7"/>
      <c r="AQ4" s="38">
        <f t="shared" ref="AQ4:AQ67" si="5">Q4-SUM(R4:X4)-AL4-SUM(AM4:AO4)</f>
        <v>4546169.4970000014</v>
      </c>
      <c r="AR4" s="36">
        <v>0</v>
      </c>
      <c r="AS4" s="18">
        <f t="shared" ref="AS4:AS67" si="6">AR4-AQ4</f>
        <v>-4546169.4970000014</v>
      </c>
    </row>
    <row r="5" spans="1:45" x14ac:dyDescent="0.25">
      <c r="A5" s="40">
        <v>45293</v>
      </c>
      <c r="B5" s="20">
        <v>1209</v>
      </c>
      <c r="C5" s="20">
        <v>2758.681</v>
      </c>
      <c r="D5" s="20">
        <v>5690</v>
      </c>
      <c r="E5" s="20">
        <v>5299</v>
      </c>
      <c r="F5" s="7">
        <f t="shared" si="0"/>
        <v>6879210</v>
      </c>
      <c r="G5" s="7">
        <f t="shared" si="1"/>
        <v>14618250.619000001</v>
      </c>
      <c r="H5" s="20">
        <v>26.5</v>
      </c>
      <c r="I5" s="20">
        <v>534000</v>
      </c>
      <c r="J5" s="20">
        <v>6</v>
      </c>
      <c r="K5" s="20">
        <v>56000</v>
      </c>
      <c r="L5" s="20">
        <v>49000</v>
      </c>
      <c r="M5" s="20"/>
      <c r="N5" s="20"/>
      <c r="O5" s="20">
        <v>0</v>
      </c>
      <c r="P5" s="20"/>
      <c r="Q5" s="19">
        <f t="shared" si="2"/>
        <v>22136460.619000003</v>
      </c>
      <c r="R5" s="20">
        <v>523970</v>
      </c>
      <c r="S5" s="20">
        <v>12614097</v>
      </c>
      <c r="T5" s="20"/>
      <c r="U5" s="20"/>
      <c r="V5" s="20"/>
      <c r="W5" s="20">
        <v>392000</v>
      </c>
      <c r="X5" s="20">
        <v>2357119</v>
      </c>
      <c r="Y5" s="8">
        <f t="shared" si="3"/>
        <v>6249274.6190000027</v>
      </c>
      <c r="Z5" s="36"/>
      <c r="AA5" s="36"/>
      <c r="AB5" s="36"/>
      <c r="AC5" s="36"/>
      <c r="AD5" s="36"/>
      <c r="AE5" s="36"/>
      <c r="AF5" s="36">
        <v>5000</v>
      </c>
      <c r="AG5" s="36"/>
      <c r="AH5" s="36"/>
      <c r="AI5" s="36"/>
      <c r="AJ5" s="36"/>
      <c r="AK5" s="36"/>
      <c r="AL5" s="37">
        <f t="shared" si="4"/>
        <v>5000</v>
      </c>
      <c r="AM5" s="36"/>
      <c r="AN5" s="36"/>
      <c r="AO5" s="36"/>
      <c r="AP5" s="7"/>
      <c r="AQ5" s="38">
        <f t="shared" si="5"/>
        <v>6244274.6190000027</v>
      </c>
      <c r="AR5" s="36">
        <v>13552900</v>
      </c>
      <c r="AS5" s="18">
        <f t="shared" si="6"/>
        <v>7308625.3809999973</v>
      </c>
    </row>
    <row r="6" spans="1:45" x14ac:dyDescent="0.25">
      <c r="A6" s="40">
        <v>45294</v>
      </c>
      <c r="B6" s="20">
        <v>1494.0540000000001</v>
      </c>
      <c r="C6" s="20">
        <v>4976.3900000000003</v>
      </c>
      <c r="D6" s="20">
        <v>5690</v>
      </c>
      <c r="E6" s="20">
        <v>5299</v>
      </c>
      <c r="F6" s="7">
        <f t="shared" si="0"/>
        <v>8501167.2599999998</v>
      </c>
      <c r="G6" s="7">
        <f t="shared" si="1"/>
        <v>26369890.610000003</v>
      </c>
      <c r="H6" s="20">
        <v>30.5</v>
      </c>
      <c r="I6" s="20">
        <v>585500</v>
      </c>
      <c r="J6" s="20">
        <v>24.5</v>
      </c>
      <c r="K6" s="20">
        <v>225000</v>
      </c>
      <c r="L6" s="20">
        <v>31000</v>
      </c>
      <c r="M6" s="20"/>
      <c r="N6" s="20"/>
      <c r="O6" s="20">
        <v>2100660</v>
      </c>
      <c r="P6" s="20">
        <v>50000</v>
      </c>
      <c r="Q6" s="19">
        <f t="shared" si="2"/>
        <v>37863217.870000005</v>
      </c>
      <c r="R6" s="20">
        <v>1203917</v>
      </c>
      <c r="S6" s="20">
        <v>23883846</v>
      </c>
      <c r="T6" s="20"/>
      <c r="U6" s="20"/>
      <c r="V6" s="20"/>
      <c r="W6" s="20">
        <v>410000</v>
      </c>
      <c r="X6" s="20">
        <v>4918083</v>
      </c>
      <c r="Y6" s="8">
        <f t="shared" si="3"/>
        <v>7447371.8700000048</v>
      </c>
      <c r="Z6" s="36"/>
      <c r="AA6" s="36"/>
      <c r="AB6" s="36"/>
      <c r="AC6" s="36"/>
      <c r="AD6" s="36"/>
      <c r="AE6" s="36"/>
      <c r="AF6" s="36">
        <v>7000</v>
      </c>
      <c r="AG6" s="36"/>
      <c r="AH6" s="36">
        <v>70000</v>
      </c>
      <c r="AI6" s="36"/>
      <c r="AJ6" s="36"/>
      <c r="AK6" s="36"/>
      <c r="AL6" s="37">
        <f t="shared" si="4"/>
        <v>77000</v>
      </c>
      <c r="AM6" s="36"/>
      <c r="AN6" s="36"/>
      <c r="AO6" s="36"/>
      <c r="AP6" s="7"/>
      <c r="AQ6" s="38">
        <f t="shared" si="5"/>
        <v>7370371.8700000048</v>
      </c>
      <c r="AR6" s="36">
        <v>7370000</v>
      </c>
      <c r="AS6" s="18">
        <f t="shared" si="6"/>
        <v>-371.87000000476837</v>
      </c>
    </row>
    <row r="7" spans="1:45" x14ac:dyDescent="0.25">
      <c r="A7" s="40">
        <v>45295</v>
      </c>
      <c r="B7" s="20">
        <v>1862</v>
      </c>
      <c r="C7" s="20">
        <v>1516.6969999999999</v>
      </c>
      <c r="D7" s="20">
        <v>5690</v>
      </c>
      <c r="E7" s="20">
        <v>5299</v>
      </c>
      <c r="F7" s="7">
        <f t="shared" si="0"/>
        <v>10594780</v>
      </c>
      <c r="G7" s="7">
        <f t="shared" si="1"/>
        <v>8036977.402999999</v>
      </c>
      <c r="H7" s="20">
        <v>28</v>
      </c>
      <c r="I7" s="20">
        <v>529000</v>
      </c>
      <c r="J7" s="20">
        <v>79</v>
      </c>
      <c r="K7" s="20">
        <v>702000</v>
      </c>
      <c r="L7" s="20">
        <v>45000</v>
      </c>
      <c r="M7" s="20"/>
      <c r="N7" s="20"/>
      <c r="O7" s="20">
        <v>632000</v>
      </c>
      <c r="P7" s="20">
        <v>0</v>
      </c>
      <c r="Q7" s="19">
        <f t="shared" si="2"/>
        <v>20539757.402999997</v>
      </c>
      <c r="R7" s="20">
        <v>1704607</v>
      </c>
      <c r="S7" s="20">
        <v>4995367</v>
      </c>
      <c r="T7" s="20"/>
      <c r="U7" s="20"/>
      <c r="V7" s="20"/>
      <c r="W7" s="20">
        <v>590000</v>
      </c>
      <c r="X7" s="20">
        <v>7347793</v>
      </c>
      <c r="Y7" s="8">
        <f t="shared" si="3"/>
        <v>5901990.4029999971</v>
      </c>
      <c r="Z7" s="36"/>
      <c r="AA7" s="36"/>
      <c r="AB7" s="36"/>
      <c r="AC7" s="36">
        <v>18000</v>
      </c>
      <c r="AD7" s="36"/>
      <c r="AE7" s="36"/>
      <c r="AF7" s="36">
        <v>13000</v>
      </c>
      <c r="AG7" s="36"/>
      <c r="AH7" s="36"/>
      <c r="AI7" s="36"/>
      <c r="AJ7" s="36"/>
      <c r="AK7" s="36">
        <v>50000</v>
      </c>
      <c r="AL7" s="37">
        <f t="shared" si="4"/>
        <v>81000</v>
      </c>
      <c r="AM7" s="36"/>
      <c r="AN7" s="36"/>
      <c r="AO7" s="36"/>
      <c r="AP7" s="7"/>
      <c r="AQ7" s="38">
        <f t="shared" si="5"/>
        <v>5820990.4029999971</v>
      </c>
      <c r="AR7" s="36">
        <v>5821000</v>
      </c>
      <c r="AS7" s="18">
        <f t="shared" si="6"/>
        <v>9.5970000028610229</v>
      </c>
    </row>
    <row r="8" spans="1:45" x14ac:dyDescent="0.25">
      <c r="A8" s="40">
        <v>45296</v>
      </c>
      <c r="B8" s="20">
        <v>1760.559</v>
      </c>
      <c r="C8" s="20">
        <v>2595.4589999999998</v>
      </c>
      <c r="D8" s="20">
        <v>5690</v>
      </c>
      <c r="E8" s="20">
        <v>5299</v>
      </c>
      <c r="F8" s="7">
        <f t="shared" si="0"/>
        <v>10017580.709999999</v>
      </c>
      <c r="G8" s="7">
        <f t="shared" si="1"/>
        <v>13753337.240999999</v>
      </c>
      <c r="H8" s="20">
        <v>37.5</v>
      </c>
      <c r="I8" s="20">
        <v>738000</v>
      </c>
      <c r="J8" s="20">
        <v>39.5</v>
      </c>
      <c r="K8" s="20">
        <v>365000</v>
      </c>
      <c r="L8" s="20">
        <v>32000</v>
      </c>
      <c r="M8" s="20"/>
      <c r="N8" s="20"/>
      <c r="O8" s="20">
        <v>1295000</v>
      </c>
      <c r="P8" s="20">
        <v>0</v>
      </c>
      <c r="Q8" s="19">
        <f t="shared" si="2"/>
        <v>26200917.950999998</v>
      </c>
      <c r="R8" s="20">
        <v>729601</v>
      </c>
      <c r="S8" s="20">
        <v>10636140</v>
      </c>
      <c r="T8" s="20"/>
      <c r="U8" s="20"/>
      <c r="V8" s="20"/>
      <c r="W8" s="20">
        <v>377000</v>
      </c>
      <c r="X8" s="20">
        <v>4617060</v>
      </c>
      <c r="Y8" s="8">
        <f t="shared" si="3"/>
        <v>9841116.9509999976</v>
      </c>
      <c r="Z8" s="36"/>
      <c r="AA8" s="36"/>
      <c r="AB8" s="36"/>
      <c r="AC8" s="36">
        <v>0</v>
      </c>
      <c r="AD8" s="36"/>
      <c r="AE8" s="36"/>
      <c r="AF8" s="36">
        <v>0</v>
      </c>
      <c r="AG8" s="36">
        <v>2000000</v>
      </c>
      <c r="AH8" s="36">
        <v>10000</v>
      </c>
      <c r="AI8" s="36"/>
      <c r="AJ8" s="36">
        <v>5000</v>
      </c>
      <c r="AK8" s="36"/>
      <c r="AL8" s="37">
        <f t="shared" si="4"/>
        <v>2015000</v>
      </c>
      <c r="AM8" s="36"/>
      <c r="AN8" s="36"/>
      <c r="AO8" s="36"/>
      <c r="AP8" s="7"/>
      <c r="AQ8" s="38">
        <f t="shared" si="5"/>
        <v>7826116.9509999976</v>
      </c>
      <c r="AR8" s="36">
        <v>7826200</v>
      </c>
      <c r="AS8" s="18">
        <f t="shared" si="6"/>
        <v>83.04900000244379</v>
      </c>
    </row>
    <row r="9" spans="1:45" x14ac:dyDescent="0.25">
      <c r="A9" s="40">
        <v>45297</v>
      </c>
      <c r="B9" s="20">
        <v>1962.634</v>
      </c>
      <c r="C9" s="20">
        <v>5125.9589999999998</v>
      </c>
      <c r="D9" s="20">
        <v>5690</v>
      </c>
      <c r="E9" s="20">
        <v>5299</v>
      </c>
      <c r="F9" s="7">
        <f t="shared" si="0"/>
        <v>11167387.460000001</v>
      </c>
      <c r="G9" s="7">
        <f t="shared" si="1"/>
        <v>27162456.741</v>
      </c>
      <c r="H9" s="20">
        <v>36.25</v>
      </c>
      <c r="I9" s="20">
        <v>877000</v>
      </c>
      <c r="J9" s="20">
        <v>77</v>
      </c>
      <c r="K9" s="20">
        <v>891000</v>
      </c>
      <c r="L9" s="20">
        <v>38000</v>
      </c>
      <c r="M9" s="20"/>
      <c r="N9" s="20"/>
      <c r="O9" s="20">
        <v>1844800</v>
      </c>
      <c r="P9" s="20">
        <v>250000</v>
      </c>
      <c r="Q9" s="19">
        <f t="shared" si="2"/>
        <v>42230644.201000005</v>
      </c>
      <c r="R9" s="20">
        <v>1156929</v>
      </c>
      <c r="S9" s="20">
        <v>25526529</v>
      </c>
      <c r="T9" s="20"/>
      <c r="U9" s="20"/>
      <c r="V9" s="20"/>
      <c r="W9" s="20">
        <v>225000</v>
      </c>
      <c r="X9" s="20">
        <v>10445731</v>
      </c>
      <c r="Y9" s="8">
        <f t="shared" si="3"/>
        <v>4876455.201000005</v>
      </c>
      <c r="Z9" s="36"/>
      <c r="AA9" s="36"/>
      <c r="AB9" s="36"/>
      <c r="AC9" s="36">
        <v>48000</v>
      </c>
      <c r="AD9" s="36"/>
      <c r="AE9" s="36"/>
      <c r="AF9" s="36">
        <v>2000</v>
      </c>
      <c r="AG9" s="36"/>
      <c r="AH9" s="36"/>
      <c r="AI9" s="36"/>
      <c r="AJ9" s="36"/>
      <c r="AK9" s="36"/>
      <c r="AL9" s="37">
        <f t="shared" si="4"/>
        <v>50000</v>
      </c>
      <c r="AM9" s="36"/>
      <c r="AN9" s="36"/>
      <c r="AO9" s="36"/>
      <c r="AP9" s="7"/>
      <c r="AQ9" s="38">
        <f t="shared" si="5"/>
        <v>4826455.201000005</v>
      </c>
      <c r="AR9" s="36">
        <v>4827500</v>
      </c>
      <c r="AS9" s="18">
        <f t="shared" si="6"/>
        <v>1044.7989999949932</v>
      </c>
    </row>
    <row r="10" spans="1:45" x14ac:dyDescent="0.25">
      <c r="A10" s="40">
        <v>45298</v>
      </c>
      <c r="B10" s="20">
        <v>1837.4970000000001</v>
      </c>
      <c r="C10" s="20">
        <v>3981.462</v>
      </c>
      <c r="D10" s="20">
        <v>5690</v>
      </c>
      <c r="E10" s="20">
        <v>5299</v>
      </c>
      <c r="F10" s="7">
        <f t="shared" si="0"/>
        <v>10455357.93</v>
      </c>
      <c r="G10" s="7">
        <f t="shared" si="1"/>
        <v>21097767.138</v>
      </c>
      <c r="H10" s="20">
        <v>53</v>
      </c>
      <c r="I10" s="20">
        <v>1020000</v>
      </c>
      <c r="J10" s="20">
        <v>116</v>
      </c>
      <c r="K10" s="20">
        <v>1247100</v>
      </c>
      <c r="L10" s="20">
        <v>59000</v>
      </c>
      <c r="M10" s="20">
        <v>100000</v>
      </c>
      <c r="N10" s="20"/>
      <c r="O10" s="20">
        <v>515000</v>
      </c>
      <c r="P10" s="20">
        <v>0</v>
      </c>
      <c r="Q10" s="19">
        <f t="shared" si="2"/>
        <v>34494225.068000004</v>
      </c>
      <c r="R10" s="20">
        <v>1388553</v>
      </c>
      <c r="S10" s="20">
        <v>22686653</v>
      </c>
      <c r="T10" s="20"/>
      <c r="U10" s="20"/>
      <c r="V10" s="20"/>
      <c r="W10" s="20">
        <v>285092</v>
      </c>
      <c r="X10" s="20">
        <v>3423869</v>
      </c>
      <c r="Y10" s="8">
        <f t="shared" si="3"/>
        <v>6710058.0680000037</v>
      </c>
      <c r="Z10" s="36"/>
      <c r="AA10" s="36"/>
      <c r="AB10" s="36"/>
      <c r="AC10" s="36"/>
      <c r="AD10" s="36"/>
      <c r="AE10" s="36"/>
      <c r="AF10" s="36">
        <v>7000</v>
      </c>
      <c r="AG10" s="36"/>
      <c r="AH10" s="36">
        <v>20000</v>
      </c>
      <c r="AI10" s="36"/>
      <c r="AJ10" s="36"/>
      <c r="AK10" s="36"/>
      <c r="AL10" s="37">
        <f t="shared" si="4"/>
        <v>27000</v>
      </c>
      <c r="AM10" s="36"/>
      <c r="AN10" s="36"/>
      <c r="AO10" s="36"/>
      <c r="AP10" s="7"/>
      <c r="AQ10" s="38">
        <f t="shared" si="5"/>
        <v>6683058.0680000037</v>
      </c>
      <c r="AR10" s="36">
        <v>6687000</v>
      </c>
      <c r="AS10" s="18">
        <f t="shared" si="6"/>
        <v>3941.9319999963045</v>
      </c>
    </row>
    <row r="11" spans="1:45" x14ac:dyDescent="0.25">
      <c r="A11" s="40">
        <v>45299</v>
      </c>
      <c r="B11" s="20">
        <v>1421.269</v>
      </c>
      <c r="C11" s="20">
        <v>2045.4259999999999</v>
      </c>
      <c r="D11" s="20">
        <v>5690</v>
      </c>
      <c r="E11" s="20">
        <v>5299</v>
      </c>
      <c r="F11" s="7">
        <f t="shared" si="0"/>
        <v>8087020.6100000003</v>
      </c>
      <c r="G11" s="7">
        <f t="shared" si="1"/>
        <v>10838712.374</v>
      </c>
      <c r="H11" s="20">
        <v>52</v>
      </c>
      <c r="I11" s="20">
        <v>1045500</v>
      </c>
      <c r="J11" s="20">
        <v>43</v>
      </c>
      <c r="K11" s="20">
        <v>394000</v>
      </c>
      <c r="L11" s="20">
        <v>142000</v>
      </c>
      <c r="M11" s="20"/>
      <c r="N11" s="20"/>
      <c r="O11" s="20">
        <v>1687690</v>
      </c>
      <c r="P11" s="20"/>
      <c r="Q11" s="19">
        <f t="shared" si="2"/>
        <v>22194922.984000001</v>
      </c>
      <c r="R11" s="20">
        <v>368280</v>
      </c>
      <c r="S11" s="20">
        <v>6908297</v>
      </c>
      <c r="T11" s="20"/>
      <c r="U11" s="20"/>
      <c r="V11" s="20"/>
      <c r="W11" s="20">
        <v>1402598</v>
      </c>
      <c r="X11" s="20">
        <v>6939576</v>
      </c>
      <c r="Y11" s="8">
        <f t="shared" si="3"/>
        <v>6576171.9840000011</v>
      </c>
      <c r="Z11" s="36"/>
      <c r="AA11" s="36"/>
      <c r="AB11" s="36"/>
      <c r="AC11" s="36"/>
      <c r="AD11" s="36"/>
      <c r="AE11" s="36">
        <v>317940</v>
      </c>
      <c r="AF11" s="36"/>
      <c r="AG11" s="36"/>
      <c r="AH11" s="36"/>
      <c r="AI11" s="36"/>
      <c r="AJ11" s="36"/>
      <c r="AK11" s="36"/>
      <c r="AL11" s="37">
        <f t="shared" si="4"/>
        <v>317940</v>
      </c>
      <c r="AM11" s="36"/>
      <c r="AN11" s="36"/>
      <c r="AO11" s="36"/>
      <c r="AP11" s="7"/>
      <c r="AQ11" s="38">
        <f t="shared" si="5"/>
        <v>6258231.9840000011</v>
      </c>
      <c r="AR11" s="36">
        <v>6258300</v>
      </c>
      <c r="AS11" s="18">
        <f t="shared" si="6"/>
        <v>68.015999998897314</v>
      </c>
    </row>
    <row r="12" spans="1:45" x14ac:dyDescent="0.25">
      <c r="A12" s="40">
        <v>45300</v>
      </c>
      <c r="B12" s="20">
        <v>1841.923</v>
      </c>
      <c r="C12" s="20">
        <v>3894.7310000000002</v>
      </c>
      <c r="D12" s="20">
        <v>5690</v>
      </c>
      <c r="E12" s="20">
        <v>5299</v>
      </c>
      <c r="F12" s="7">
        <f t="shared" si="0"/>
        <v>10480541.869999999</v>
      </c>
      <c r="G12" s="7">
        <f t="shared" si="1"/>
        <v>20638179.569000002</v>
      </c>
      <c r="H12" s="20">
        <v>36.5</v>
      </c>
      <c r="I12" s="20">
        <v>783000</v>
      </c>
      <c r="J12" s="20">
        <v>55.5</v>
      </c>
      <c r="K12" s="20">
        <v>616000</v>
      </c>
      <c r="L12" s="20">
        <v>68000</v>
      </c>
      <c r="M12" s="20">
        <v>0</v>
      </c>
      <c r="N12" s="20"/>
      <c r="O12" s="20">
        <v>1314600</v>
      </c>
      <c r="P12" s="20"/>
      <c r="Q12" s="19">
        <f t="shared" si="2"/>
        <v>33900321.439000003</v>
      </c>
      <c r="R12" s="20">
        <v>1576975</v>
      </c>
      <c r="S12" s="20">
        <v>14980342</v>
      </c>
      <c r="T12" s="20"/>
      <c r="U12" s="20"/>
      <c r="V12" s="20"/>
      <c r="W12" s="20">
        <v>605940</v>
      </c>
      <c r="X12" s="20">
        <v>11159558</v>
      </c>
      <c r="Y12" s="8">
        <f t="shared" si="3"/>
        <v>5577506.439000003</v>
      </c>
      <c r="Z12" s="36"/>
      <c r="AA12" s="36"/>
      <c r="AB12" s="36"/>
      <c r="AC12" s="36"/>
      <c r="AD12" s="36"/>
      <c r="AE12" s="36"/>
      <c r="AF12" s="36">
        <v>3000</v>
      </c>
      <c r="AG12" s="36"/>
      <c r="AH12" s="36"/>
      <c r="AI12" s="36"/>
      <c r="AJ12" s="36">
        <v>200000</v>
      </c>
      <c r="AK12" s="36"/>
      <c r="AL12" s="37">
        <f t="shared" si="4"/>
        <v>203000</v>
      </c>
      <c r="AM12" s="36"/>
      <c r="AN12" s="36"/>
      <c r="AO12" s="36"/>
      <c r="AP12" s="7"/>
      <c r="AQ12" s="38">
        <f t="shared" si="5"/>
        <v>5374506.439000003</v>
      </c>
      <c r="AR12" s="36">
        <v>5374500</v>
      </c>
      <c r="AS12" s="18">
        <f t="shared" si="6"/>
        <v>-6.4390000030398369</v>
      </c>
    </row>
    <row r="13" spans="1:45" x14ac:dyDescent="0.25">
      <c r="A13" s="40">
        <v>45301</v>
      </c>
      <c r="B13" s="20">
        <v>1326.65</v>
      </c>
      <c r="C13" s="20">
        <v>4199.2049999999999</v>
      </c>
      <c r="D13" s="20">
        <v>5690</v>
      </c>
      <c r="E13" s="20">
        <v>5299</v>
      </c>
      <c r="F13" s="7">
        <f t="shared" si="0"/>
        <v>7548638.5000000009</v>
      </c>
      <c r="G13" s="7">
        <f t="shared" si="1"/>
        <v>22251587.294999998</v>
      </c>
      <c r="H13" s="20">
        <v>58.5</v>
      </c>
      <c r="I13" s="20">
        <v>1227500</v>
      </c>
      <c r="J13" s="20">
        <v>18</v>
      </c>
      <c r="K13" s="20">
        <v>185000</v>
      </c>
      <c r="L13" s="20">
        <v>76000</v>
      </c>
      <c r="M13" s="20"/>
      <c r="N13" s="20"/>
      <c r="O13" s="20">
        <v>1350000</v>
      </c>
      <c r="P13" s="20"/>
      <c r="Q13" s="19">
        <f t="shared" si="2"/>
        <v>32638725.794999998</v>
      </c>
      <c r="R13" s="20">
        <v>957303</v>
      </c>
      <c r="S13" s="20">
        <v>18990443</v>
      </c>
      <c r="T13" s="20"/>
      <c r="U13" s="20"/>
      <c r="V13" s="20"/>
      <c r="W13" s="20">
        <v>429010</v>
      </c>
      <c r="X13" s="20">
        <v>5942995</v>
      </c>
      <c r="Y13" s="8">
        <f t="shared" si="3"/>
        <v>6318974.7949999981</v>
      </c>
      <c r="Z13" s="36"/>
      <c r="AA13" s="36"/>
      <c r="AB13" s="36"/>
      <c r="AC13" s="36"/>
      <c r="AD13" s="36"/>
      <c r="AE13" s="36"/>
      <c r="AF13" s="36"/>
      <c r="AG13" s="36"/>
      <c r="AH13" s="36">
        <v>19000</v>
      </c>
      <c r="AI13" s="36"/>
      <c r="AJ13" s="36"/>
      <c r="AK13" s="36"/>
      <c r="AL13" s="37">
        <f t="shared" si="4"/>
        <v>19000</v>
      </c>
      <c r="AM13" s="36"/>
      <c r="AN13" s="36"/>
      <c r="AO13" s="36"/>
      <c r="AP13" s="7"/>
      <c r="AQ13" s="38">
        <f t="shared" si="5"/>
        <v>6299974.7949999981</v>
      </c>
      <c r="AR13" s="36">
        <v>6300000</v>
      </c>
      <c r="AS13" s="18">
        <f t="shared" si="6"/>
        <v>25.205000001937151</v>
      </c>
    </row>
    <row r="14" spans="1:45" x14ac:dyDescent="0.25">
      <c r="A14" s="40">
        <v>45302</v>
      </c>
      <c r="B14" s="20">
        <v>1455.623</v>
      </c>
      <c r="C14" s="20">
        <v>2002.0930000000001</v>
      </c>
      <c r="D14" s="20">
        <v>5690</v>
      </c>
      <c r="E14" s="20">
        <v>5299</v>
      </c>
      <c r="F14" s="7">
        <f t="shared" si="0"/>
        <v>8282494.8700000001</v>
      </c>
      <c r="G14" s="7">
        <f t="shared" si="1"/>
        <v>10609090.807</v>
      </c>
      <c r="H14" s="20">
        <v>40.75</v>
      </c>
      <c r="I14" s="20">
        <v>869500</v>
      </c>
      <c r="J14" s="20">
        <v>67</v>
      </c>
      <c r="K14" s="20">
        <v>841500</v>
      </c>
      <c r="L14" s="20">
        <v>8000</v>
      </c>
      <c r="M14" s="20"/>
      <c r="N14" s="20"/>
      <c r="O14" s="20">
        <v>1599010</v>
      </c>
      <c r="P14" s="20"/>
      <c r="Q14" s="19">
        <f t="shared" si="2"/>
        <v>22209595.677000001</v>
      </c>
      <c r="R14" s="20">
        <v>1657662</v>
      </c>
      <c r="S14" s="20">
        <v>7966045</v>
      </c>
      <c r="T14" s="20"/>
      <c r="U14" s="20"/>
      <c r="V14" s="20"/>
      <c r="W14" s="20">
        <v>15000</v>
      </c>
      <c r="X14" s="20">
        <v>6093605</v>
      </c>
      <c r="Y14" s="8">
        <f t="shared" si="3"/>
        <v>6477283.6770000011</v>
      </c>
      <c r="Z14" s="36"/>
      <c r="AA14" s="36"/>
      <c r="AB14" s="36"/>
      <c r="AC14" s="36"/>
      <c r="AD14" s="36"/>
      <c r="AE14" s="36"/>
      <c r="AF14" s="36">
        <v>13000</v>
      </c>
      <c r="AG14" s="36">
        <v>5000000</v>
      </c>
      <c r="AH14" s="36"/>
      <c r="AI14" s="36"/>
      <c r="AJ14" s="36"/>
      <c r="AK14" s="36"/>
      <c r="AL14" s="37">
        <f t="shared" si="4"/>
        <v>5013000</v>
      </c>
      <c r="AM14" s="36"/>
      <c r="AN14" s="36"/>
      <c r="AO14" s="36"/>
      <c r="AP14" s="7"/>
      <c r="AQ14" s="38">
        <f t="shared" si="5"/>
        <v>1464283.6770000011</v>
      </c>
      <c r="AR14" s="36">
        <v>1464300</v>
      </c>
      <c r="AS14" s="18">
        <f t="shared" si="6"/>
        <v>16.322999998927116</v>
      </c>
    </row>
    <row r="15" spans="1:45" x14ac:dyDescent="0.25">
      <c r="A15" s="40">
        <v>45303</v>
      </c>
      <c r="B15" s="20">
        <v>1519.9349999999999</v>
      </c>
      <c r="C15" s="20">
        <v>1375.6010000000001</v>
      </c>
      <c r="D15" s="20">
        <v>5690</v>
      </c>
      <c r="E15" s="20">
        <v>5299</v>
      </c>
      <c r="F15" s="7">
        <f t="shared" si="0"/>
        <v>8648430.1500000004</v>
      </c>
      <c r="G15" s="7">
        <f t="shared" si="1"/>
        <v>7289309.699000001</v>
      </c>
      <c r="H15" s="20">
        <v>22.5</v>
      </c>
      <c r="I15" s="20">
        <v>481000</v>
      </c>
      <c r="J15" s="20">
        <v>42.5</v>
      </c>
      <c r="K15" s="20">
        <v>393000</v>
      </c>
      <c r="L15" s="20">
        <v>30000</v>
      </c>
      <c r="M15" s="20"/>
      <c r="N15" s="20"/>
      <c r="O15" s="20">
        <v>0</v>
      </c>
      <c r="P15" s="20"/>
      <c r="Q15" s="19">
        <f t="shared" si="2"/>
        <v>16841739.848999999</v>
      </c>
      <c r="R15" s="20">
        <v>536070</v>
      </c>
      <c r="S15" s="20">
        <v>5242881</v>
      </c>
      <c r="T15" s="20"/>
      <c r="U15" s="20"/>
      <c r="V15" s="20"/>
      <c r="W15" s="20">
        <v>200000</v>
      </c>
      <c r="X15" s="20">
        <v>6096846</v>
      </c>
      <c r="Y15" s="8">
        <f t="shared" si="3"/>
        <v>4765942.8489999995</v>
      </c>
      <c r="Z15" s="36"/>
      <c r="AA15" s="36"/>
      <c r="AB15" s="36"/>
      <c r="AC15" s="36"/>
      <c r="AD15" s="36"/>
      <c r="AE15" s="36"/>
      <c r="AF15" s="36"/>
      <c r="AG15" s="36">
        <v>2000000</v>
      </c>
      <c r="AH15" s="36"/>
      <c r="AI15" s="36"/>
      <c r="AJ15" s="36"/>
      <c r="AK15" s="36"/>
      <c r="AL15" s="37">
        <f t="shared" si="4"/>
        <v>2000000</v>
      </c>
      <c r="AM15" s="36"/>
      <c r="AN15" s="36"/>
      <c r="AO15" s="36"/>
      <c r="AP15" s="7"/>
      <c r="AQ15" s="38">
        <f t="shared" si="5"/>
        <v>2765942.8489999995</v>
      </c>
      <c r="AR15" s="36">
        <v>2766000</v>
      </c>
      <c r="AS15" s="18">
        <f t="shared" si="6"/>
        <v>57.151000000536442</v>
      </c>
    </row>
    <row r="16" spans="1:45" x14ac:dyDescent="0.25">
      <c r="A16" s="40">
        <v>45304</v>
      </c>
      <c r="B16" s="20">
        <v>1646.4359999999999</v>
      </c>
      <c r="C16" s="20">
        <v>6993.4089999999997</v>
      </c>
      <c r="D16" s="20">
        <v>5690</v>
      </c>
      <c r="E16" s="20">
        <v>5299</v>
      </c>
      <c r="F16" s="7">
        <f t="shared" si="0"/>
        <v>9368220.8399999999</v>
      </c>
      <c r="G16" s="7">
        <f t="shared" si="1"/>
        <v>37058074.291000001</v>
      </c>
      <c r="H16" s="20">
        <v>73</v>
      </c>
      <c r="I16" s="20">
        <v>1691500</v>
      </c>
      <c r="J16" s="20">
        <v>36.5</v>
      </c>
      <c r="K16" s="20">
        <v>337000</v>
      </c>
      <c r="L16" s="20">
        <v>191000</v>
      </c>
      <c r="M16" s="20"/>
      <c r="N16" s="20"/>
      <c r="O16" s="20">
        <v>228700</v>
      </c>
      <c r="P16" s="20"/>
      <c r="Q16" s="19">
        <f t="shared" si="2"/>
        <v>48874495.130999997</v>
      </c>
      <c r="R16" s="20">
        <v>1270327</v>
      </c>
      <c r="S16" s="20">
        <v>36250468</v>
      </c>
      <c r="T16" s="20"/>
      <c r="U16" s="20"/>
      <c r="V16" s="20"/>
      <c r="W16" s="20">
        <v>759618</v>
      </c>
      <c r="X16" s="20">
        <v>7082380</v>
      </c>
      <c r="Y16" s="8">
        <f t="shared" si="3"/>
        <v>3511702.1309999973</v>
      </c>
      <c r="Z16" s="36"/>
      <c r="AA16" s="36"/>
      <c r="AB16" s="36"/>
      <c r="AC16" s="36"/>
      <c r="AD16" s="36"/>
      <c r="AE16" s="36"/>
      <c r="AF16" s="36">
        <v>3000</v>
      </c>
      <c r="AG16" s="36"/>
      <c r="AH16" s="36"/>
      <c r="AI16" s="36"/>
      <c r="AJ16" s="36"/>
      <c r="AK16" s="36"/>
      <c r="AL16" s="37">
        <f t="shared" si="4"/>
        <v>3000</v>
      </c>
      <c r="AM16" s="36"/>
      <c r="AN16" s="36"/>
      <c r="AO16" s="36"/>
      <c r="AP16" s="7"/>
      <c r="AQ16" s="38">
        <f t="shared" si="5"/>
        <v>3508702.1309999973</v>
      </c>
      <c r="AR16" s="36">
        <v>3644800</v>
      </c>
      <c r="AS16" s="18">
        <f t="shared" si="6"/>
        <v>136097.86900000274</v>
      </c>
    </row>
    <row r="17" spans="1:45" x14ac:dyDescent="0.25">
      <c r="A17" s="40">
        <v>45305</v>
      </c>
      <c r="B17" s="20">
        <v>1592.125</v>
      </c>
      <c r="C17" s="20">
        <v>915.01400000000001</v>
      </c>
      <c r="D17" s="20">
        <v>5690</v>
      </c>
      <c r="E17" s="20">
        <v>5299</v>
      </c>
      <c r="F17" s="7">
        <f t="shared" si="0"/>
        <v>9059191.25</v>
      </c>
      <c r="G17" s="7">
        <f t="shared" si="1"/>
        <v>4848659.1859999998</v>
      </c>
      <c r="H17" s="20">
        <v>54.5</v>
      </c>
      <c r="I17" s="20">
        <v>1202000</v>
      </c>
      <c r="J17" s="20">
        <v>18.5</v>
      </c>
      <c r="K17" s="20">
        <v>198000</v>
      </c>
      <c r="L17" s="20">
        <v>61000</v>
      </c>
      <c r="M17" s="20"/>
      <c r="N17" s="20"/>
      <c r="O17" s="20">
        <v>812375</v>
      </c>
      <c r="P17" s="20"/>
      <c r="Q17" s="19">
        <f t="shared" si="2"/>
        <v>16181225.436000001</v>
      </c>
      <c r="R17" s="20">
        <v>752570</v>
      </c>
      <c r="S17" s="20">
        <v>3591407</v>
      </c>
      <c r="T17" s="20"/>
      <c r="U17" s="20"/>
      <c r="V17" s="20"/>
      <c r="W17" s="20">
        <v>250000</v>
      </c>
      <c r="X17" s="20">
        <v>4367831</v>
      </c>
      <c r="Y17" s="8">
        <f t="shared" si="3"/>
        <v>7219417.4360000007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7">
        <f t="shared" si="4"/>
        <v>0</v>
      </c>
      <c r="AM17" s="36"/>
      <c r="AN17" s="36"/>
      <c r="AO17" s="36"/>
      <c r="AP17" s="7"/>
      <c r="AQ17" s="38">
        <f t="shared" si="5"/>
        <v>7219417.4360000007</v>
      </c>
      <c r="AR17" s="36">
        <v>7083400</v>
      </c>
      <c r="AS17" s="18">
        <f t="shared" si="6"/>
        <v>-136017.43600000069</v>
      </c>
    </row>
    <row r="18" spans="1:45" x14ac:dyDescent="0.25">
      <c r="A18" s="40">
        <v>45306</v>
      </c>
      <c r="B18" s="20">
        <v>1526.819</v>
      </c>
      <c r="C18" s="20">
        <v>2453.5349999999999</v>
      </c>
      <c r="D18" s="20">
        <v>5690</v>
      </c>
      <c r="E18" s="20">
        <v>5299</v>
      </c>
      <c r="F18" s="7">
        <f t="shared" si="0"/>
        <v>8687600.1099999994</v>
      </c>
      <c r="G18" s="7">
        <f t="shared" si="1"/>
        <v>13001281.965</v>
      </c>
      <c r="H18" s="20">
        <v>24.5</v>
      </c>
      <c r="I18" s="20">
        <v>523500</v>
      </c>
      <c r="J18" s="20">
        <v>73</v>
      </c>
      <c r="K18" s="20">
        <v>674000</v>
      </c>
      <c r="L18" s="20">
        <v>156000</v>
      </c>
      <c r="M18" s="20"/>
      <c r="N18" s="20"/>
      <c r="O18" s="20">
        <v>2258468</v>
      </c>
      <c r="P18" s="20"/>
      <c r="Q18" s="19">
        <f t="shared" si="2"/>
        <v>25300850.074999999</v>
      </c>
      <c r="R18" s="20">
        <v>983409</v>
      </c>
      <c r="S18" s="20">
        <v>8265601</v>
      </c>
      <c r="T18" s="20"/>
      <c r="U18" s="20"/>
      <c r="V18" s="20"/>
      <c r="W18" s="20">
        <v>454000</v>
      </c>
      <c r="X18" s="20">
        <v>5229887</v>
      </c>
      <c r="Y18" s="8">
        <f t="shared" si="3"/>
        <v>10367953.074999999</v>
      </c>
      <c r="Z18" s="36">
        <v>1415030</v>
      </c>
      <c r="AA18" s="36"/>
      <c r="AB18" s="36"/>
      <c r="AC18" s="36">
        <v>3000</v>
      </c>
      <c r="AD18" s="36"/>
      <c r="AE18" s="36"/>
      <c r="AF18" s="36"/>
      <c r="AG18" s="36"/>
      <c r="AH18" s="36"/>
      <c r="AI18" s="36"/>
      <c r="AJ18" s="36"/>
      <c r="AK18" s="36"/>
      <c r="AL18" s="37">
        <f t="shared" si="4"/>
        <v>1418030</v>
      </c>
      <c r="AM18" s="36"/>
      <c r="AN18" s="36"/>
      <c r="AO18" s="36"/>
      <c r="AP18" s="7"/>
      <c r="AQ18" s="38">
        <f t="shared" si="5"/>
        <v>8949923.0749999993</v>
      </c>
      <c r="AR18" s="36">
        <v>8949900</v>
      </c>
      <c r="AS18" s="18">
        <f t="shared" si="6"/>
        <v>-23.074999999254942</v>
      </c>
    </row>
    <row r="19" spans="1:45" x14ac:dyDescent="0.25">
      <c r="A19" s="40">
        <v>45307</v>
      </c>
      <c r="B19" s="20">
        <v>1428.5740000000001</v>
      </c>
      <c r="C19" s="20">
        <v>4664.1940000000004</v>
      </c>
      <c r="D19" s="20">
        <v>5690</v>
      </c>
      <c r="E19" s="20">
        <v>5299</v>
      </c>
      <c r="F19" s="7">
        <f t="shared" si="0"/>
        <v>8128586.0600000005</v>
      </c>
      <c r="G19" s="7">
        <f t="shared" si="1"/>
        <v>24715564.006000001</v>
      </c>
      <c r="H19" s="20">
        <v>15.75</v>
      </c>
      <c r="I19" s="20">
        <v>325000</v>
      </c>
      <c r="J19" s="20">
        <v>33</v>
      </c>
      <c r="K19" s="20">
        <v>434000</v>
      </c>
      <c r="L19" s="20">
        <v>8000</v>
      </c>
      <c r="M19" s="20"/>
      <c r="N19" s="20"/>
      <c r="O19" s="20">
        <v>0</v>
      </c>
      <c r="P19" s="20"/>
      <c r="Q19" s="19">
        <f t="shared" si="2"/>
        <v>33611150.066</v>
      </c>
      <c r="R19" s="20">
        <v>786915</v>
      </c>
      <c r="S19" s="20">
        <v>23093043</v>
      </c>
      <c r="T19" s="20"/>
      <c r="U19" s="20"/>
      <c r="V19" s="20"/>
      <c r="W19" s="20">
        <v>0</v>
      </c>
      <c r="X19" s="20">
        <v>6252457</v>
      </c>
      <c r="Y19" s="8">
        <f t="shared" si="3"/>
        <v>3478735.0659999996</v>
      </c>
      <c r="Z19" s="36"/>
      <c r="AA19" s="36"/>
      <c r="AB19" s="36"/>
      <c r="AC19" s="36"/>
      <c r="AD19" s="36"/>
      <c r="AE19" s="36"/>
      <c r="AF19" s="36">
        <v>12000</v>
      </c>
      <c r="AG19" s="36"/>
      <c r="AH19" s="36">
        <v>10000</v>
      </c>
      <c r="AI19" s="36"/>
      <c r="AJ19" s="36">
        <v>120000</v>
      </c>
      <c r="AK19" s="36"/>
      <c r="AL19" s="37">
        <f t="shared" si="4"/>
        <v>142000</v>
      </c>
      <c r="AM19" s="36"/>
      <c r="AN19" s="36"/>
      <c r="AO19" s="36"/>
      <c r="AP19" s="7"/>
      <c r="AQ19" s="38">
        <f t="shared" si="5"/>
        <v>3336735.0659999996</v>
      </c>
      <c r="AR19" s="36">
        <v>3336700</v>
      </c>
      <c r="AS19" s="18">
        <f t="shared" si="6"/>
        <v>-35.065999999642372</v>
      </c>
    </row>
    <row r="20" spans="1:45" x14ac:dyDescent="0.25">
      <c r="A20" s="40">
        <v>45308</v>
      </c>
      <c r="B20" s="20">
        <v>1583.662</v>
      </c>
      <c r="C20" s="20">
        <v>1093.2280000000001</v>
      </c>
      <c r="D20" s="20">
        <v>5690</v>
      </c>
      <c r="E20" s="20">
        <v>5299</v>
      </c>
      <c r="F20" s="7">
        <f t="shared" si="0"/>
        <v>9011036.7799999993</v>
      </c>
      <c r="G20" s="7">
        <f t="shared" si="1"/>
        <v>5793015.1720000003</v>
      </c>
      <c r="H20" s="20">
        <v>98.5</v>
      </c>
      <c r="I20" s="20">
        <v>2331000</v>
      </c>
      <c r="J20" s="20">
        <v>61.5</v>
      </c>
      <c r="K20" s="20">
        <v>387000</v>
      </c>
      <c r="L20" s="20">
        <v>55000</v>
      </c>
      <c r="M20" s="20"/>
      <c r="N20" s="20"/>
      <c r="O20" s="20">
        <v>530000</v>
      </c>
      <c r="P20" s="20"/>
      <c r="Q20" s="19">
        <f t="shared" si="2"/>
        <v>18107051.952</v>
      </c>
      <c r="R20" s="20">
        <v>1250735</v>
      </c>
      <c r="S20" s="20">
        <v>4825704</v>
      </c>
      <c r="T20" s="20"/>
      <c r="U20" s="20"/>
      <c r="V20" s="20"/>
      <c r="W20" s="20">
        <v>386195</v>
      </c>
      <c r="X20" s="20">
        <v>5392647</v>
      </c>
      <c r="Y20" s="8">
        <f t="shared" si="3"/>
        <v>6251770.9519999996</v>
      </c>
      <c r="Z20" s="36"/>
      <c r="AA20" s="36"/>
      <c r="AB20" s="36"/>
      <c r="AC20" s="36"/>
      <c r="AD20" s="36"/>
      <c r="AE20" s="36"/>
      <c r="AF20" s="36">
        <v>2000</v>
      </c>
      <c r="AG20" s="36"/>
      <c r="AH20" s="36"/>
      <c r="AI20" s="36"/>
      <c r="AJ20" s="36"/>
      <c r="AK20" s="36"/>
      <c r="AL20" s="37">
        <f t="shared" si="4"/>
        <v>2000</v>
      </c>
      <c r="AM20" s="36"/>
      <c r="AN20" s="36"/>
      <c r="AO20" s="36"/>
      <c r="AP20" s="7"/>
      <c r="AQ20" s="38">
        <f t="shared" si="5"/>
        <v>6249770.9519999996</v>
      </c>
      <c r="AR20" s="36">
        <v>6251800</v>
      </c>
      <c r="AS20" s="18">
        <f t="shared" si="6"/>
        <v>2029.0480000004172</v>
      </c>
    </row>
    <row r="21" spans="1:45" x14ac:dyDescent="0.25">
      <c r="A21" s="40">
        <v>45309</v>
      </c>
      <c r="B21" s="20">
        <v>1661.35</v>
      </c>
      <c r="C21" s="20">
        <v>3487</v>
      </c>
      <c r="D21" s="20">
        <v>5690</v>
      </c>
      <c r="E21" s="20">
        <v>5299</v>
      </c>
      <c r="F21" s="7">
        <f t="shared" si="0"/>
        <v>9453081.5</v>
      </c>
      <c r="G21" s="7">
        <f t="shared" si="1"/>
        <v>18477613</v>
      </c>
      <c r="H21" s="20">
        <v>6.5</v>
      </c>
      <c r="I21" s="20">
        <v>122500</v>
      </c>
      <c r="J21" s="20">
        <v>18</v>
      </c>
      <c r="K21" s="20">
        <v>185000</v>
      </c>
      <c r="L21" s="20">
        <v>15000</v>
      </c>
      <c r="M21" s="20"/>
      <c r="N21" s="20"/>
      <c r="O21" s="20">
        <v>810195</v>
      </c>
      <c r="P21" s="20"/>
      <c r="Q21" s="19">
        <f t="shared" si="2"/>
        <v>29063389.5</v>
      </c>
      <c r="R21" s="20">
        <v>1644633</v>
      </c>
      <c r="S21" s="20">
        <v>14695759</v>
      </c>
      <c r="T21" s="20"/>
      <c r="U21" s="20"/>
      <c r="V21" s="20"/>
      <c r="W21" s="20">
        <v>424000</v>
      </c>
      <c r="X21" s="20">
        <v>7911698</v>
      </c>
      <c r="Y21" s="8">
        <f t="shared" si="3"/>
        <v>4387299.5</v>
      </c>
      <c r="Z21" s="36"/>
      <c r="AA21" s="36"/>
      <c r="AB21" s="36"/>
      <c r="AC21" s="36"/>
      <c r="AD21" s="36"/>
      <c r="AE21" s="36"/>
      <c r="AF21" s="36">
        <v>3000</v>
      </c>
      <c r="AG21" s="36"/>
      <c r="AH21" s="36">
        <v>21000</v>
      </c>
      <c r="AI21" s="36"/>
      <c r="AJ21" s="36">
        <v>500000</v>
      </c>
      <c r="AK21" s="36"/>
      <c r="AL21" s="37">
        <f t="shared" si="4"/>
        <v>524000</v>
      </c>
      <c r="AM21" s="36"/>
      <c r="AN21" s="36"/>
      <c r="AO21" s="36"/>
      <c r="AP21" s="7"/>
      <c r="AQ21" s="38">
        <f t="shared" si="5"/>
        <v>3863299.5</v>
      </c>
      <c r="AR21" s="36">
        <v>3863400</v>
      </c>
      <c r="AS21" s="18">
        <f t="shared" si="6"/>
        <v>100.5</v>
      </c>
    </row>
    <row r="22" spans="1:45" x14ac:dyDescent="0.25">
      <c r="A22" s="40">
        <v>45310</v>
      </c>
      <c r="B22" s="20">
        <v>1716.799</v>
      </c>
      <c r="C22" s="20">
        <v>1871.5630000000001</v>
      </c>
      <c r="D22" s="20">
        <v>5690</v>
      </c>
      <c r="E22" s="20">
        <v>5299</v>
      </c>
      <c r="F22" s="7">
        <f t="shared" si="0"/>
        <v>9768586.3100000005</v>
      </c>
      <c r="G22" s="7">
        <f t="shared" si="1"/>
        <v>9917412.3370000012</v>
      </c>
      <c r="H22" s="20">
        <v>20.5</v>
      </c>
      <c r="I22" s="20">
        <v>395000</v>
      </c>
      <c r="J22" s="20">
        <v>24</v>
      </c>
      <c r="K22" s="20">
        <v>413000</v>
      </c>
      <c r="L22" s="20">
        <v>38000</v>
      </c>
      <c r="M22" s="20"/>
      <c r="N22" s="20"/>
      <c r="O22" s="20">
        <v>505000</v>
      </c>
      <c r="P22" s="20"/>
      <c r="Q22" s="19">
        <f t="shared" si="2"/>
        <v>21036998.647</v>
      </c>
      <c r="R22" s="20">
        <v>432015</v>
      </c>
      <c r="S22" s="20">
        <v>8820758</v>
      </c>
      <c r="T22" s="20"/>
      <c r="U22" s="20"/>
      <c r="V22" s="20"/>
      <c r="W22" s="20">
        <v>1247636</v>
      </c>
      <c r="X22" s="20">
        <v>5343519</v>
      </c>
      <c r="Y22" s="8">
        <f t="shared" si="3"/>
        <v>5193070.6469999999</v>
      </c>
      <c r="Z22" s="36"/>
      <c r="AA22" s="36"/>
      <c r="AB22" s="36"/>
      <c r="AC22" s="36"/>
      <c r="AD22" s="36"/>
      <c r="AE22" s="36"/>
      <c r="AF22" s="36">
        <v>5000</v>
      </c>
      <c r="AG22" s="36"/>
      <c r="AH22" s="36"/>
      <c r="AI22" s="36"/>
      <c r="AJ22" s="36"/>
      <c r="AK22" s="36"/>
      <c r="AL22" s="37">
        <f t="shared" si="4"/>
        <v>5000</v>
      </c>
      <c r="AM22" s="36"/>
      <c r="AN22" s="36"/>
      <c r="AO22" s="36"/>
      <c r="AP22" s="7"/>
      <c r="AQ22" s="38">
        <f t="shared" si="5"/>
        <v>5188070.6469999999</v>
      </c>
      <c r="AR22" s="36">
        <v>5188100</v>
      </c>
      <c r="AS22" s="18">
        <f t="shared" si="6"/>
        <v>29.353000000119209</v>
      </c>
    </row>
    <row r="23" spans="1:45" x14ac:dyDescent="0.25">
      <c r="A23" s="40">
        <v>45311</v>
      </c>
      <c r="B23" s="20">
        <v>1541.2360000000001</v>
      </c>
      <c r="C23" s="20">
        <v>3199.55</v>
      </c>
      <c r="D23" s="20">
        <v>5690</v>
      </c>
      <c r="E23" s="20">
        <v>5299</v>
      </c>
      <c r="F23" s="7">
        <f t="shared" si="0"/>
        <v>8769632.8399999999</v>
      </c>
      <c r="G23" s="7">
        <f t="shared" si="1"/>
        <v>16954415.449999999</v>
      </c>
      <c r="H23" s="20">
        <v>57.75</v>
      </c>
      <c r="I23" s="20">
        <v>1223000</v>
      </c>
      <c r="J23" s="20">
        <v>36.5</v>
      </c>
      <c r="K23" s="20">
        <v>698000</v>
      </c>
      <c r="L23" s="20">
        <v>128000</v>
      </c>
      <c r="M23" s="20"/>
      <c r="N23" s="20"/>
      <c r="O23" s="20">
        <v>3570036</v>
      </c>
      <c r="P23" s="20"/>
      <c r="Q23" s="19">
        <f t="shared" si="2"/>
        <v>31343084.289999999</v>
      </c>
      <c r="R23" s="20">
        <v>1348602</v>
      </c>
      <c r="S23" s="20">
        <v>16626763</v>
      </c>
      <c r="T23" s="20"/>
      <c r="U23" s="20"/>
      <c r="V23" s="20"/>
      <c r="W23" s="20">
        <v>179969</v>
      </c>
      <c r="X23" s="20">
        <v>5923607</v>
      </c>
      <c r="Y23" s="8">
        <f t="shared" si="3"/>
        <v>7264143.2899999991</v>
      </c>
      <c r="Z23" s="36"/>
      <c r="AA23" s="36"/>
      <c r="AB23" s="36"/>
      <c r="AC23" s="36"/>
      <c r="AD23" s="36">
        <v>52990</v>
      </c>
      <c r="AE23" s="36"/>
      <c r="AF23" s="36">
        <v>3000</v>
      </c>
      <c r="AG23" s="36"/>
      <c r="AH23" s="36"/>
      <c r="AI23" s="36"/>
      <c r="AJ23" s="36">
        <v>20000</v>
      </c>
      <c r="AK23" s="36"/>
      <c r="AL23" s="37">
        <f t="shared" si="4"/>
        <v>75990</v>
      </c>
      <c r="AM23" s="36"/>
      <c r="AN23" s="36"/>
      <c r="AO23" s="36"/>
      <c r="AP23" s="7"/>
      <c r="AQ23" s="38">
        <f t="shared" si="5"/>
        <v>7188153.2899999991</v>
      </c>
      <c r="AR23" s="36">
        <v>7188000</v>
      </c>
      <c r="AS23" s="18">
        <f t="shared" si="6"/>
        <v>-153.28999999910593</v>
      </c>
    </row>
    <row r="24" spans="1:45" x14ac:dyDescent="0.25">
      <c r="A24" s="40">
        <v>45312</v>
      </c>
      <c r="B24" s="20">
        <v>1655.1320000000001</v>
      </c>
      <c r="C24" s="20">
        <v>3418.94</v>
      </c>
      <c r="D24" s="20">
        <v>5690</v>
      </c>
      <c r="E24" s="20">
        <v>5299</v>
      </c>
      <c r="F24" s="7">
        <f t="shared" si="0"/>
        <v>9417701.0800000001</v>
      </c>
      <c r="G24" s="7">
        <f t="shared" si="1"/>
        <v>18116963.059999999</v>
      </c>
      <c r="H24" s="20">
        <v>33.75</v>
      </c>
      <c r="I24" s="20">
        <v>641500</v>
      </c>
      <c r="J24" s="20">
        <v>33</v>
      </c>
      <c r="K24" s="20">
        <v>308000</v>
      </c>
      <c r="L24" s="20">
        <v>31000</v>
      </c>
      <c r="M24" s="20"/>
      <c r="N24" s="20"/>
      <c r="O24" s="20">
        <v>0</v>
      </c>
      <c r="P24" s="20"/>
      <c r="Q24" s="19">
        <f t="shared" si="2"/>
        <v>28515164.140000001</v>
      </c>
      <c r="R24" s="20">
        <v>2115479</v>
      </c>
      <c r="S24" s="20">
        <v>10447974</v>
      </c>
      <c r="T24" s="20"/>
      <c r="U24" s="20"/>
      <c r="V24" s="20"/>
      <c r="W24" s="20">
        <v>327727</v>
      </c>
      <c r="X24" s="20">
        <v>8700776</v>
      </c>
      <c r="Y24" s="8">
        <f t="shared" si="3"/>
        <v>6923208.1400000006</v>
      </c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>
        <v>10000</v>
      </c>
      <c r="AK24" s="36"/>
      <c r="AL24" s="37">
        <f t="shared" si="4"/>
        <v>10000</v>
      </c>
      <c r="AM24" s="36"/>
      <c r="AN24" s="36"/>
      <c r="AO24" s="36"/>
      <c r="AP24" s="7"/>
      <c r="AQ24" s="38">
        <f t="shared" si="5"/>
        <v>6913208.1400000006</v>
      </c>
      <c r="AR24" s="36">
        <v>0</v>
      </c>
      <c r="AS24" s="18">
        <f t="shared" si="6"/>
        <v>-6913208.1400000006</v>
      </c>
    </row>
    <row r="25" spans="1:45" x14ac:dyDescent="0.25">
      <c r="A25" s="40">
        <v>45313</v>
      </c>
      <c r="B25" s="20">
        <v>1800.5150000000001</v>
      </c>
      <c r="C25" s="20">
        <v>1666.704</v>
      </c>
      <c r="D25" s="20">
        <v>5690</v>
      </c>
      <c r="E25" s="20">
        <v>5299</v>
      </c>
      <c r="F25" s="7">
        <f t="shared" si="0"/>
        <v>10244930.350000001</v>
      </c>
      <c r="G25" s="7">
        <f t="shared" si="1"/>
        <v>8831864.4959999993</v>
      </c>
      <c r="H25" s="20">
        <v>51.5</v>
      </c>
      <c r="I25" s="20">
        <v>955000</v>
      </c>
      <c r="J25" s="20">
        <v>48.5</v>
      </c>
      <c r="K25" s="20">
        <v>558000</v>
      </c>
      <c r="L25" s="20">
        <v>68000</v>
      </c>
      <c r="M25" s="20"/>
      <c r="N25" s="20"/>
      <c r="O25" s="20">
        <v>719656</v>
      </c>
      <c r="P25" s="20"/>
      <c r="Q25" s="19">
        <f t="shared" si="2"/>
        <v>21377450.846000001</v>
      </c>
      <c r="R25" s="20">
        <v>1017250</v>
      </c>
      <c r="S25" s="20">
        <v>4888232</v>
      </c>
      <c r="T25" s="20"/>
      <c r="U25" s="20"/>
      <c r="V25" s="20"/>
      <c r="W25" s="20">
        <v>467960</v>
      </c>
      <c r="X25" s="20">
        <v>3950670</v>
      </c>
      <c r="Y25" s="8">
        <f t="shared" si="3"/>
        <v>11053338.846000001</v>
      </c>
      <c r="Z25" s="36"/>
      <c r="AA25" s="36"/>
      <c r="AB25" s="36"/>
      <c r="AC25" s="36"/>
      <c r="AD25" s="36"/>
      <c r="AE25" s="36"/>
      <c r="AF25" s="36">
        <v>10000</v>
      </c>
      <c r="AG25" s="36"/>
      <c r="AH25" s="36"/>
      <c r="AI25" s="36"/>
      <c r="AJ25" s="36"/>
      <c r="AK25" s="36"/>
      <c r="AL25" s="37">
        <f t="shared" si="4"/>
        <v>10000</v>
      </c>
      <c r="AM25" s="36"/>
      <c r="AN25" s="36"/>
      <c r="AO25" s="36"/>
      <c r="AP25" s="7"/>
      <c r="AQ25" s="38">
        <f t="shared" si="5"/>
        <v>11043338.846000001</v>
      </c>
      <c r="AR25" s="36">
        <v>17956500</v>
      </c>
      <c r="AS25" s="18">
        <f t="shared" si="6"/>
        <v>6913161.1539999992</v>
      </c>
    </row>
    <row r="26" spans="1:45" x14ac:dyDescent="0.25">
      <c r="A26" s="40">
        <v>45314</v>
      </c>
      <c r="B26" s="20">
        <v>1376.5519999999999</v>
      </c>
      <c r="C26" s="20">
        <v>2560.076</v>
      </c>
      <c r="D26" s="20">
        <v>5590</v>
      </c>
      <c r="E26" s="20">
        <v>5299</v>
      </c>
      <c r="F26" s="7">
        <f t="shared" si="0"/>
        <v>7694925.6799999997</v>
      </c>
      <c r="G26" s="7">
        <f t="shared" si="1"/>
        <v>13565842.723999999</v>
      </c>
      <c r="H26" s="20">
        <v>103.75</v>
      </c>
      <c r="I26" s="20">
        <v>2140500</v>
      </c>
      <c r="J26" s="20">
        <v>24.5</v>
      </c>
      <c r="K26" s="20">
        <v>351000</v>
      </c>
      <c r="L26" s="20">
        <v>23000</v>
      </c>
      <c r="M26" s="20"/>
      <c r="N26" s="20"/>
      <c r="O26" s="20">
        <v>406000</v>
      </c>
      <c r="P26" s="20"/>
      <c r="Q26" s="19">
        <f t="shared" si="2"/>
        <v>24181268.403999999</v>
      </c>
      <c r="R26" s="20">
        <v>915278</v>
      </c>
      <c r="S26" s="20">
        <v>9843033</v>
      </c>
      <c r="T26" s="20"/>
      <c r="U26" s="20"/>
      <c r="V26" s="20"/>
      <c r="W26" s="20">
        <v>1059000</v>
      </c>
      <c r="X26" s="20">
        <v>5674431</v>
      </c>
      <c r="Y26" s="8">
        <f t="shared" si="3"/>
        <v>6689526.4039999992</v>
      </c>
      <c r="Z26" s="36"/>
      <c r="AA26" s="36"/>
      <c r="AB26" s="36"/>
      <c r="AC26" s="36">
        <v>53000</v>
      </c>
      <c r="AD26" s="36"/>
      <c r="AE26" s="36"/>
      <c r="AF26" s="36">
        <v>23000</v>
      </c>
      <c r="AG26" s="36"/>
      <c r="AH26" s="36">
        <v>37000</v>
      </c>
      <c r="AI26" s="36"/>
      <c r="AJ26" s="36"/>
      <c r="AK26" s="36"/>
      <c r="AL26" s="37">
        <f t="shared" si="4"/>
        <v>113000</v>
      </c>
      <c r="AM26" s="36"/>
      <c r="AN26" s="36"/>
      <c r="AO26" s="36"/>
      <c r="AP26" s="7"/>
      <c r="AQ26" s="38">
        <f t="shared" si="5"/>
        <v>6576526.4039999992</v>
      </c>
      <c r="AR26" s="36">
        <v>6576500</v>
      </c>
      <c r="AS26" s="18">
        <f t="shared" si="6"/>
        <v>-26.403999999165535</v>
      </c>
    </row>
    <row r="27" spans="1:45" x14ac:dyDescent="0.25">
      <c r="A27" s="40">
        <v>45315</v>
      </c>
      <c r="B27" s="20">
        <v>1639.2449999999999</v>
      </c>
      <c r="C27" s="20">
        <v>3225.3440000000001</v>
      </c>
      <c r="D27" s="20">
        <v>5590</v>
      </c>
      <c r="E27" s="20">
        <v>5299</v>
      </c>
      <c r="F27" s="7">
        <f t="shared" si="0"/>
        <v>9163379.5499999989</v>
      </c>
      <c r="G27" s="7">
        <f t="shared" si="1"/>
        <v>17091097.855999999</v>
      </c>
      <c r="H27" s="20">
        <v>102.25</v>
      </c>
      <c r="I27" s="20">
        <v>2214000</v>
      </c>
      <c r="J27" s="20">
        <v>49</v>
      </c>
      <c r="K27" s="20">
        <v>450000</v>
      </c>
      <c r="L27" s="20">
        <v>46000</v>
      </c>
      <c r="M27" s="20"/>
      <c r="N27" s="20"/>
      <c r="O27" s="20">
        <v>1376940</v>
      </c>
      <c r="P27" s="20"/>
      <c r="Q27" s="19">
        <f t="shared" si="2"/>
        <v>30341417.405999996</v>
      </c>
      <c r="R27" s="20">
        <v>1171127</v>
      </c>
      <c r="S27" s="20">
        <v>11835459</v>
      </c>
      <c r="T27" s="20"/>
      <c r="U27" s="20"/>
      <c r="V27" s="20"/>
      <c r="W27" s="20">
        <v>45000</v>
      </c>
      <c r="X27" s="20">
        <v>9066131</v>
      </c>
      <c r="Y27" s="8">
        <f t="shared" si="3"/>
        <v>8223700.4059999958</v>
      </c>
      <c r="Z27" s="36"/>
      <c r="AA27" s="36"/>
      <c r="AB27" s="36"/>
      <c r="AC27" s="36">
        <v>16000</v>
      </c>
      <c r="AD27" s="36"/>
      <c r="AE27" s="36"/>
      <c r="AF27" s="36"/>
      <c r="AG27" s="36"/>
      <c r="AH27" s="36"/>
      <c r="AI27" s="36"/>
      <c r="AJ27" s="36"/>
      <c r="AK27" s="36"/>
      <c r="AL27" s="37">
        <f t="shared" si="4"/>
        <v>16000</v>
      </c>
      <c r="AM27" s="36"/>
      <c r="AN27" s="36"/>
      <c r="AO27" s="36"/>
      <c r="AP27" s="7"/>
      <c r="AQ27" s="38">
        <f t="shared" si="5"/>
        <v>8207700.4059999958</v>
      </c>
      <c r="AR27" s="36">
        <v>8207700</v>
      </c>
      <c r="AS27" s="18">
        <f t="shared" si="6"/>
        <v>-0.40599999576807022</v>
      </c>
    </row>
    <row r="28" spans="1:45" x14ac:dyDescent="0.25">
      <c r="A28" s="40">
        <v>45316</v>
      </c>
      <c r="B28" s="20">
        <v>1534.5070000000001</v>
      </c>
      <c r="C28" s="20">
        <v>3430.0419999999999</v>
      </c>
      <c r="D28" s="20">
        <v>5590</v>
      </c>
      <c r="E28" s="20">
        <v>5299</v>
      </c>
      <c r="F28" s="7">
        <f t="shared" si="0"/>
        <v>8577894.1300000008</v>
      </c>
      <c r="G28" s="7">
        <f t="shared" si="1"/>
        <v>18175792.557999998</v>
      </c>
      <c r="H28" s="20">
        <v>28.5</v>
      </c>
      <c r="I28" s="20">
        <v>576500</v>
      </c>
      <c r="J28" s="20">
        <v>24</v>
      </c>
      <c r="K28" s="20">
        <v>350000</v>
      </c>
      <c r="L28" s="20">
        <v>8000</v>
      </c>
      <c r="M28" s="20"/>
      <c r="N28" s="20"/>
      <c r="O28" s="20">
        <v>62000</v>
      </c>
      <c r="P28" s="20">
        <v>65000</v>
      </c>
      <c r="Q28" s="19">
        <f t="shared" si="2"/>
        <v>27815186.688000001</v>
      </c>
      <c r="R28" s="20">
        <v>684974</v>
      </c>
      <c r="S28" s="20">
        <v>14492720</v>
      </c>
      <c r="T28" s="20"/>
      <c r="U28" s="20"/>
      <c r="V28" s="20"/>
      <c r="W28" s="20">
        <v>0</v>
      </c>
      <c r="X28" s="20">
        <v>8137390</v>
      </c>
      <c r="Y28" s="8">
        <f t="shared" si="3"/>
        <v>4500102.688000001</v>
      </c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7">
        <f t="shared" si="4"/>
        <v>0</v>
      </c>
      <c r="AM28" s="36"/>
      <c r="AN28" s="36"/>
      <c r="AO28" s="36"/>
      <c r="AP28" s="7"/>
      <c r="AQ28" s="38">
        <f t="shared" si="5"/>
        <v>4500102.688000001</v>
      </c>
      <c r="AR28" s="36">
        <v>4500100</v>
      </c>
      <c r="AS28" s="18">
        <f t="shared" si="6"/>
        <v>-2.688000001013279</v>
      </c>
    </row>
    <row r="29" spans="1:45" x14ac:dyDescent="0.25">
      <c r="A29" s="40">
        <v>45317</v>
      </c>
      <c r="B29" s="20">
        <v>1500.15</v>
      </c>
      <c r="C29" s="20">
        <v>2578.6179999999999</v>
      </c>
      <c r="D29" s="20">
        <v>5590</v>
      </c>
      <c r="E29" s="20">
        <v>5299</v>
      </c>
      <c r="F29" s="7">
        <f t="shared" si="0"/>
        <v>8385838.5000000009</v>
      </c>
      <c r="G29" s="7">
        <f t="shared" si="1"/>
        <v>13664096.782</v>
      </c>
      <c r="H29" s="20">
        <v>28.75</v>
      </c>
      <c r="I29" s="20">
        <v>573000</v>
      </c>
      <c r="J29" s="20">
        <v>52.5</v>
      </c>
      <c r="K29" s="20">
        <v>754500</v>
      </c>
      <c r="L29" s="20">
        <v>24000</v>
      </c>
      <c r="M29" s="20"/>
      <c r="N29" s="20"/>
      <c r="O29" s="20">
        <v>100000</v>
      </c>
      <c r="P29" s="20">
        <v>0</v>
      </c>
      <c r="Q29" s="19">
        <f t="shared" si="2"/>
        <v>23501435.282000002</v>
      </c>
      <c r="R29" s="20">
        <v>822639</v>
      </c>
      <c r="S29" s="20">
        <v>10846854</v>
      </c>
      <c r="T29" s="20"/>
      <c r="U29" s="20"/>
      <c r="V29" s="20"/>
      <c r="W29" s="20">
        <v>80000</v>
      </c>
      <c r="X29" s="20">
        <v>5773100</v>
      </c>
      <c r="Y29" s="8">
        <f t="shared" si="3"/>
        <v>5978842.2820000015</v>
      </c>
      <c r="Z29" s="36"/>
      <c r="AA29" s="36"/>
      <c r="AB29" s="36"/>
      <c r="AC29" s="36"/>
      <c r="AD29" s="36"/>
      <c r="AE29" s="36"/>
      <c r="AF29" s="36">
        <v>2000</v>
      </c>
      <c r="AG29" s="36"/>
      <c r="AH29" s="36">
        <v>6000</v>
      </c>
      <c r="AI29" s="36"/>
      <c r="AJ29" s="36"/>
      <c r="AK29" s="36"/>
      <c r="AL29" s="37">
        <f t="shared" si="4"/>
        <v>8000</v>
      </c>
      <c r="AM29" s="36"/>
      <c r="AN29" s="36"/>
      <c r="AO29" s="36"/>
      <c r="AP29" s="7"/>
      <c r="AQ29" s="38">
        <f t="shared" si="5"/>
        <v>5970842.2820000015</v>
      </c>
      <c r="AR29" s="36">
        <v>5970800</v>
      </c>
      <c r="AS29" s="18">
        <f t="shared" si="6"/>
        <v>-42.282000001519918</v>
      </c>
    </row>
    <row r="30" spans="1:45" x14ac:dyDescent="0.25">
      <c r="A30" s="40">
        <v>45318</v>
      </c>
      <c r="B30" s="20">
        <v>1551.6320000000001</v>
      </c>
      <c r="C30" s="20">
        <v>6593.3249999999998</v>
      </c>
      <c r="D30" s="20">
        <v>5590</v>
      </c>
      <c r="E30" s="20">
        <v>5299</v>
      </c>
      <c r="F30" s="7">
        <f t="shared" si="0"/>
        <v>8673622.8800000008</v>
      </c>
      <c r="G30" s="7">
        <f t="shared" si="1"/>
        <v>34938029.174999997</v>
      </c>
      <c r="H30" s="20">
        <v>17.5</v>
      </c>
      <c r="I30" s="20">
        <v>401500</v>
      </c>
      <c r="J30" s="20">
        <v>69.5</v>
      </c>
      <c r="K30" s="20">
        <v>1299000</v>
      </c>
      <c r="L30" s="20">
        <v>30000</v>
      </c>
      <c r="M30" s="20">
        <v>380000</v>
      </c>
      <c r="N30" s="20"/>
      <c r="O30" s="20"/>
      <c r="P30" s="20"/>
      <c r="Q30" s="19">
        <f t="shared" si="2"/>
        <v>45722152.055</v>
      </c>
      <c r="R30" s="20">
        <v>854250</v>
      </c>
      <c r="S30" s="20">
        <v>25840188</v>
      </c>
      <c r="T30" s="20"/>
      <c r="U30" s="20"/>
      <c r="V30" s="20"/>
      <c r="W30" s="20">
        <v>60000</v>
      </c>
      <c r="X30" s="20">
        <v>12307270</v>
      </c>
      <c r="Y30" s="8">
        <f t="shared" si="3"/>
        <v>6660444.0549999997</v>
      </c>
      <c r="Z30" s="36"/>
      <c r="AA30" s="36"/>
      <c r="AB30" s="36"/>
      <c r="AC30" s="36">
        <v>101000</v>
      </c>
      <c r="AD30" s="36"/>
      <c r="AE30" s="36"/>
      <c r="AF30" s="36">
        <v>153000</v>
      </c>
      <c r="AG30" s="36">
        <v>1000000</v>
      </c>
      <c r="AH30" s="36">
        <v>19000</v>
      </c>
      <c r="AI30" s="36"/>
      <c r="AJ30" s="36"/>
      <c r="AK30" s="36"/>
      <c r="AL30" s="37">
        <f t="shared" si="4"/>
        <v>1273000</v>
      </c>
      <c r="AM30" s="36"/>
      <c r="AN30" s="36"/>
      <c r="AO30" s="36"/>
      <c r="AP30" s="7"/>
      <c r="AQ30" s="38">
        <f t="shared" si="5"/>
        <v>5387444.0549999997</v>
      </c>
      <c r="AR30" s="36">
        <v>5369400</v>
      </c>
      <c r="AS30" s="18">
        <f t="shared" si="6"/>
        <v>-18044.054999999702</v>
      </c>
    </row>
    <row r="31" spans="1:45" x14ac:dyDescent="0.25">
      <c r="A31" s="40">
        <v>45319</v>
      </c>
      <c r="B31" s="20">
        <v>1719.538</v>
      </c>
      <c r="C31" s="20">
        <v>2737.2640000000001</v>
      </c>
      <c r="D31" s="20">
        <v>5590</v>
      </c>
      <c r="E31" s="20">
        <v>5299</v>
      </c>
      <c r="F31" s="7">
        <f t="shared" si="0"/>
        <v>9612217.4199999999</v>
      </c>
      <c r="G31" s="7">
        <f t="shared" si="1"/>
        <v>14504761.936000001</v>
      </c>
      <c r="H31" s="20">
        <v>79.5</v>
      </c>
      <c r="I31" s="20">
        <v>1719000</v>
      </c>
      <c r="J31" s="20">
        <v>46</v>
      </c>
      <c r="K31" s="20">
        <v>611000</v>
      </c>
      <c r="L31" s="20">
        <v>38000</v>
      </c>
      <c r="M31" s="20"/>
      <c r="N31" s="20"/>
      <c r="O31" s="20">
        <v>7948500</v>
      </c>
      <c r="P31" s="20"/>
      <c r="Q31" s="19">
        <f t="shared" si="2"/>
        <v>34433479.355999999</v>
      </c>
      <c r="R31" s="20">
        <v>752038</v>
      </c>
      <c r="S31" s="20">
        <v>5126628</v>
      </c>
      <c r="T31" s="20"/>
      <c r="U31" s="20"/>
      <c r="V31" s="20"/>
      <c r="W31" s="20">
        <v>860000</v>
      </c>
      <c r="X31" s="20">
        <v>11909277</v>
      </c>
      <c r="Y31" s="8">
        <f t="shared" si="3"/>
        <v>15785536.355999999</v>
      </c>
      <c r="Z31" s="36"/>
      <c r="AA31" s="36"/>
      <c r="AB31" s="36"/>
      <c r="AC31" s="36"/>
      <c r="AD31" s="36"/>
      <c r="AE31" s="36"/>
      <c r="AF31" s="36">
        <v>7000</v>
      </c>
      <c r="AG31" s="36"/>
      <c r="AH31" s="36"/>
      <c r="AI31" s="36"/>
      <c r="AJ31" s="36"/>
      <c r="AK31" s="36"/>
      <c r="AL31" s="37">
        <f t="shared" si="4"/>
        <v>7000</v>
      </c>
      <c r="AM31" s="36"/>
      <c r="AN31" s="36"/>
      <c r="AO31" s="36"/>
      <c r="AP31" s="7"/>
      <c r="AQ31" s="38">
        <f t="shared" si="5"/>
        <v>15778536.355999999</v>
      </c>
      <c r="AR31" s="36">
        <v>0</v>
      </c>
      <c r="AS31" s="18">
        <f t="shared" si="6"/>
        <v>-15778536.355999999</v>
      </c>
    </row>
    <row r="32" spans="1:45" x14ac:dyDescent="0.25">
      <c r="A32" s="40">
        <v>45320</v>
      </c>
      <c r="B32" s="20">
        <v>1637.3530000000001</v>
      </c>
      <c r="C32" s="20">
        <v>2515.4299999999998</v>
      </c>
      <c r="D32" s="20">
        <v>5590</v>
      </c>
      <c r="E32" s="20">
        <v>5299</v>
      </c>
      <c r="F32" s="7">
        <f t="shared" si="0"/>
        <v>9152803.2699999996</v>
      </c>
      <c r="G32" s="7">
        <f t="shared" si="1"/>
        <v>13329263.569999998</v>
      </c>
      <c r="H32" s="20">
        <v>41.5</v>
      </c>
      <c r="I32" s="20">
        <v>846000</v>
      </c>
      <c r="J32" s="20">
        <v>42.5</v>
      </c>
      <c r="K32" s="20">
        <v>599500</v>
      </c>
      <c r="L32" s="20">
        <v>8000</v>
      </c>
      <c r="M32" s="20">
        <v>200000</v>
      </c>
      <c r="N32" s="20"/>
      <c r="O32" s="20">
        <v>150000</v>
      </c>
      <c r="P32" s="20"/>
      <c r="Q32" s="19">
        <f t="shared" si="2"/>
        <v>24285566.839999996</v>
      </c>
      <c r="R32" s="20">
        <v>570900</v>
      </c>
      <c r="S32" s="20">
        <v>11388803</v>
      </c>
      <c r="T32" s="20"/>
      <c r="U32" s="20"/>
      <c r="V32" s="20"/>
      <c r="W32" s="20">
        <v>730593</v>
      </c>
      <c r="X32" s="20">
        <v>3893763</v>
      </c>
      <c r="Y32" s="8">
        <f t="shared" si="3"/>
        <v>7701507.8399999961</v>
      </c>
      <c r="Z32" s="36"/>
      <c r="AA32" s="36">
        <v>116000</v>
      </c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7">
        <f t="shared" si="4"/>
        <v>116000</v>
      </c>
      <c r="AM32" s="36"/>
      <c r="AN32" s="36"/>
      <c r="AO32" s="36"/>
      <c r="AP32" s="7"/>
      <c r="AQ32" s="38">
        <f t="shared" si="5"/>
        <v>7585507.8399999961</v>
      </c>
      <c r="AR32" s="36">
        <v>23371400</v>
      </c>
      <c r="AS32" s="18">
        <f t="shared" si="6"/>
        <v>15785892.160000004</v>
      </c>
    </row>
    <row r="33" spans="1:45" x14ac:dyDescent="0.25">
      <c r="A33" s="40">
        <v>45321</v>
      </c>
      <c r="B33" s="20">
        <v>1786.7660000000001</v>
      </c>
      <c r="C33" s="20">
        <v>7925.7839999999997</v>
      </c>
      <c r="D33" s="20">
        <v>5570</v>
      </c>
      <c r="E33" s="20">
        <v>5250</v>
      </c>
      <c r="F33" s="7">
        <f t="shared" si="0"/>
        <v>9952286.620000001</v>
      </c>
      <c r="G33" s="7">
        <f t="shared" si="1"/>
        <v>41610366</v>
      </c>
      <c r="H33" s="20">
        <v>51.75</v>
      </c>
      <c r="I33" s="20">
        <v>1101000</v>
      </c>
      <c r="J33" s="20">
        <v>55.5</v>
      </c>
      <c r="K33" s="20">
        <v>708000</v>
      </c>
      <c r="L33" s="20">
        <v>45000</v>
      </c>
      <c r="M33" s="20"/>
      <c r="N33" s="20"/>
      <c r="O33" s="20">
        <v>5216300</v>
      </c>
      <c r="P33" s="20"/>
      <c r="Q33" s="19">
        <f t="shared" si="2"/>
        <v>58632952.620000005</v>
      </c>
      <c r="R33" s="20">
        <v>1737133</v>
      </c>
      <c r="S33" s="20">
        <v>28176729</v>
      </c>
      <c r="T33" s="20"/>
      <c r="U33" s="20"/>
      <c r="V33" s="20"/>
      <c r="W33" s="20">
        <v>427884</v>
      </c>
      <c r="X33" s="20">
        <v>14445975</v>
      </c>
      <c r="Y33" s="8">
        <f t="shared" si="3"/>
        <v>13845231.620000005</v>
      </c>
      <c r="Z33" s="36"/>
      <c r="AA33" s="36"/>
      <c r="AB33" s="36"/>
      <c r="AC33" s="36"/>
      <c r="AD33" s="36"/>
      <c r="AE33" s="36"/>
      <c r="AF33" s="36">
        <v>6000</v>
      </c>
      <c r="AG33" s="36"/>
      <c r="AH33" s="36"/>
      <c r="AI33" s="36"/>
      <c r="AJ33" s="36"/>
      <c r="AK33" s="36"/>
      <c r="AL33" s="37">
        <f t="shared" si="4"/>
        <v>6000</v>
      </c>
      <c r="AM33" s="36"/>
      <c r="AN33" s="36"/>
      <c r="AO33" s="36"/>
      <c r="AP33" s="7"/>
      <c r="AQ33" s="38">
        <f t="shared" si="5"/>
        <v>13839231.620000005</v>
      </c>
      <c r="AR33" s="36">
        <v>13774500</v>
      </c>
      <c r="AS33" s="18">
        <f t="shared" si="6"/>
        <v>-64731.620000004768</v>
      </c>
    </row>
    <row r="34" spans="1:45" x14ac:dyDescent="0.25">
      <c r="A34" s="40">
        <v>45322</v>
      </c>
      <c r="B34" s="20">
        <v>1529.556</v>
      </c>
      <c r="C34" s="20">
        <v>4909.6930000000002</v>
      </c>
      <c r="D34" s="20">
        <v>5570</v>
      </c>
      <c r="E34" s="20">
        <v>5250</v>
      </c>
      <c r="F34" s="7">
        <f t="shared" si="0"/>
        <v>8519626.9199999999</v>
      </c>
      <c r="G34" s="7">
        <f t="shared" si="1"/>
        <v>25775888.25</v>
      </c>
      <c r="H34" s="20">
        <v>77.25</v>
      </c>
      <c r="I34" s="20">
        <v>1533500</v>
      </c>
      <c r="J34" s="20">
        <v>55</v>
      </c>
      <c r="K34" s="20">
        <v>804500</v>
      </c>
      <c r="L34" s="20">
        <v>84000</v>
      </c>
      <c r="M34" s="20"/>
      <c r="N34" s="20"/>
      <c r="O34" s="20">
        <v>1508884</v>
      </c>
      <c r="P34" s="20"/>
      <c r="Q34" s="19">
        <f t="shared" si="2"/>
        <v>38226399.170000002</v>
      </c>
      <c r="R34" s="20">
        <v>1158710</v>
      </c>
      <c r="S34" s="20">
        <v>12204678</v>
      </c>
      <c r="T34" s="20"/>
      <c r="U34" s="20"/>
      <c r="V34" s="20"/>
      <c r="W34" s="20">
        <v>214000</v>
      </c>
      <c r="X34" s="20">
        <v>15642311</v>
      </c>
      <c r="Y34" s="8">
        <f t="shared" si="3"/>
        <v>9006700.1700000018</v>
      </c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7">
        <f t="shared" si="4"/>
        <v>0</v>
      </c>
      <c r="AM34" s="36"/>
      <c r="AN34" s="36"/>
      <c r="AO34" s="36"/>
      <c r="AP34" s="7"/>
      <c r="AQ34" s="38">
        <f t="shared" si="5"/>
        <v>9006700.1700000018</v>
      </c>
      <c r="AR34" s="36">
        <v>9006700</v>
      </c>
      <c r="AS34" s="18">
        <f t="shared" si="6"/>
        <v>-0.17000000178813934</v>
      </c>
    </row>
    <row r="35" spans="1:45" x14ac:dyDescent="0.25">
      <c r="A35" s="40">
        <v>45323</v>
      </c>
      <c r="B35" s="20">
        <v>1822.0820000000001</v>
      </c>
      <c r="C35" s="20">
        <v>3771.5160000000001</v>
      </c>
      <c r="D35" s="20">
        <v>5570</v>
      </c>
      <c r="E35" s="20">
        <v>5250</v>
      </c>
      <c r="F35" s="7">
        <f t="shared" si="0"/>
        <v>10148996.74</v>
      </c>
      <c r="G35" s="7">
        <f t="shared" si="1"/>
        <v>19800459</v>
      </c>
      <c r="H35" s="20">
        <v>53.25</v>
      </c>
      <c r="I35" s="20">
        <v>1086000</v>
      </c>
      <c r="J35" s="20">
        <v>97.5</v>
      </c>
      <c r="K35" s="20">
        <v>797000</v>
      </c>
      <c r="L35" s="20">
        <v>105000</v>
      </c>
      <c r="M35" s="20"/>
      <c r="N35" s="20"/>
      <c r="O35" s="20">
        <v>230000</v>
      </c>
      <c r="P35" s="20"/>
      <c r="Q35" s="19">
        <f t="shared" si="2"/>
        <v>32167455.740000002</v>
      </c>
      <c r="R35" s="36">
        <v>1648454</v>
      </c>
      <c r="S35" s="36">
        <v>18242905</v>
      </c>
      <c r="T35" s="36"/>
      <c r="U35" s="20"/>
      <c r="V35" s="20"/>
      <c r="W35" s="20">
        <v>0</v>
      </c>
      <c r="X35" s="20">
        <v>3465467</v>
      </c>
      <c r="Y35" s="8">
        <f t="shared" si="3"/>
        <v>8810629.7400000021</v>
      </c>
      <c r="Z35" s="36"/>
      <c r="AA35" s="36"/>
      <c r="AB35" s="36"/>
      <c r="AC35" s="36">
        <v>11500</v>
      </c>
      <c r="AD35" s="36"/>
      <c r="AE35" s="36"/>
      <c r="AF35" s="36">
        <v>2000</v>
      </c>
      <c r="AG35" s="36"/>
      <c r="AH35" s="36"/>
      <c r="AI35" s="36"/>
      <c r="AJ35" s="36"/>
      <c r="AK35" s="36"/>
      <c r="AL35" s="37">
        <f t="shared" si="4"/>
        <v>13500</v>
      </c>
      <c r="AM35" s="36"/>
      <c r="AN35" s="36"/>
      <c r="AO35" s="36"/>
      <c r="AP35" s="7"/>
      <c r="AQ35" s="38">
        <f t="shared" si="5"/>
        <v>8797129.7400000021</v>
      </c>
      <c r="AR35" s="36">
        <v>8797100</v>
      </c>
      <c r="AS35" s="18">
        <f t="shared" si="6"/>
        <v>-29.740000002086163</v>
      </c>
    </row>
    <row r="36" spans="1:45" x14ac:dyDescent="0.25">
      <c r="A36" s="40">
        <v>45324</v>
      </c>
      <c r="B36" s="20">
        <v>1572.3</v>
      </c>
      <c r="C36" s="20">
        <v>4716.174</v>
      </c>
      <c r="D36" s="20">
        <v>5570</v>
      </c>
      <c r="E36" s="20">
        <v>5250</v>
      </c>
      <c r="F36" s="7">
        <f t="shared" si="0"/>
        <v>8757711</v>
      </c>
      <c r="G36" s="7">
        <f t="shared" si="1"/>
        <v>24759913.5</v>
      </c>
      <c r="H36" s="20">
        <v>51</v>
      </c>
      <c r="I36" s="20">
        <v>1015000</v>
      </c>
      <c r="J36" s="20">
        <v>70.5</v>
      </c>
      <c r="K36" s="20">
        <v>647000</v>
      </c>
      <c r="L36" s="20">
        <v>38000</v>
      </c>
      <c r="M36" s="20"/>
      <c r="N36" s="20"/>
      <c r="O36" s="20">
        <v>1202000</v>
      </c>
      <c r="P36" s="20"/>
      <c r="Q36" s="19">
        <f t="shared" si="2"/>
        <v>36419624.5</v>
      </c>
      <c r="R36" s="20">
        <v>1657857</v>
      </c>
      <c r="S36" s="20">
        <v>21925958</v>
      </c>
      <c r="T36" s="20"/>
      <c r="U36" s="20"/>
      <c r="V36" s="20"/>
      <c r="W36" s="20">
        <v>0</v>
      </c>
      <c r="X36" s="20">
        <v>4871217</v>
      </c>
      <c r="Y36" s="8">
        <f t="shared" si="3"/>
        <v>7964592.5</v>
      </c>
      <c r="Z36" s="36"/>
      <c r="AA36" s="36"/>
      <c r="AB36" s="36"/>
      <c r="AC36" s="36"/>
      <c r="AD36" s="36"/>
      <c r="AE36" s="36"/>
      <c r="AF36" s="36">
        <v>5000</v>
      </c>
      <c r="AG36" s="36">
        <v>2070000</v>
      </c>
      <c r="AH36" s="36"/>
      <c r="AI36" s="36"/>
      <c r="AJ36" s="36">
        <v>2000000</v>
      </c>
      <c r="AK36" s="36"/>
      <c r="AL36" s="37">
        <f t="shared" si="4"/>
        <v>4075000</v>
      </c>
      <c r="AM36" s="36"/>
      <c r="AN36" s="36"/>
      <c r="AO36" s="36"/>
      <c r="AP36" s="7"/>
      <c r="AQ36" s="38">
        <f t="shared" si="5"/>
        <v>3889592.5</v>
      </c>
      <c r="AR36" s="36">
        <v>3889600</v>
      </c>
      <c r="AS36" s="18">
        <f t="shared" si="6"/>
        <v>7.5</v>
      </c>
    </row>
    <row r="37" spans="1:45" x14ac:dyDescent="0.25">
      <c r="A37" s="40">
        <v>45325</v>
      </c>
      <c r="B37" s="20">
        <v>2334.8710000000001</v>
      </c>
      <c r="C37" s="20">
        <v>2353.5100000000002</v>
      </c>
      <c r="D37" s="20">
        <v>5570</v>
      </c>
      <c r="E37" s="20">
        <v>5250</v>
      </c>
      <c r="F37" s="7">
        <f t="shared" si="0"/>
        <v>13005231.470000001</v>
      </c>
      <c r="G37" s="7">
        <f t="shared" si="1"/>
        <v>12355927.500000002</v>
      </c>
      <c r="H37" s="20">
        <v>45.25</v>
      </c>
      <c r="I37" s="20">
        <v>909000</v>
      </c>
      <c r="J37" s="20">
        <v>91</v>
      </c>
      <c r="K37" s="20">
        <v>1118000</v>
      </c>
      <c r="L37" s="20">
        <v>76000</v>
      </c>
      <c r="M37" s="20"/>
      <c r="N37" s="20"/>
      <c r="O37" s="20">
        <v>1390500</v>
      </c>
      <c r="P37" s="20"/>
      <c r="Q37" s="19">
        <f t="shared" si="2"/>
        <v>28854658.970000003</v>
      </c>
      <c r="R37" s="20">
        <v>1639649</v>
      </c>
      <c r="S37" s="20">
        <v>8650483</v>
      </c>
      <c r="T37" s="20"/>
      <c r="U37" s="20"/>
      <c r="V37" s="20"/>
      <c r="W37" s="20"/>
      <c r="X37" s="20">
        <v>6186957</v>
      </c>
      <c r="Y37" s="8">
        <f t="shared" si="3"/>
        <v>12377569.970000003</v>
      </c>
      <c r="Z37" s="36"/>
      <c r="AA37" s="36"/>
      <c r="AB37" s="36">
        <v>625400</v>
      </c>
      <c r="AC37" s="36">
        <v>28000</v>
      </c>
      <c r="AD37" s="36"/>
      <c r="AE37" s="36">
        <v>837000</v>
      </c>
      <c r="AF37" s="36"/>
      <c r="AG37" s="36"/>
      <c r="AH37" s="36"/>
      <c r="AI37" s="36"/>
      <c r="AJ37" s="36">
        <v>4000000</v>
      </c>
      <c r="AK37" s="36"/>
      <c r="AL37" s="37">
        <f t="shared" si="4"/>
        <v>5490400</v>
      </c>
      <c r="AM37" s="36"/>
      <c r="AN37" s="36"/>
      <c r="AO37" s="36"/>
      <c r="AP37" s="7"/>
      <c r="AQ37" s="38">
        <f t="shared" si="5"/>
        <v>6887169.9700000025</v>
      </c>
      <c r="AR37" s="36">
        <v>6887200</v>
      </c>
      <c r="AS37" s="18">
        <f t="shared" si="6"/>
        <v>30.029999997466803</v>
      </c>
    </row>
    <row r="38" spans="1:45" x14ac:dyDescent="0.25">
      <c r="A38" s="40">
        <v>45326</v>
      </c>
      <c r="B38" s="20">
        <v>2785.931</v>
      </c>
      <c r="C38" s="20">
        <v>2744.277</v>
      </c>
      <c r="D38" s="20">
        <v>5570</v>
      </c>
      <c r="E38" s="20">
        <v>5250</v>
      </c>
      <c r="F38" s="7">
        <f t="shared" si="0"/>
        <v>15517635.67</v>
      </c>
      <c r="G38" s="7">
        <f t="shared" si="1"/>
        <v>14407454.25</v>
      </c>
      <c r="H38" s="20">
        <v>85.5</v>
      </c>
      <c r="I38" s="20">
        <v>1715000</v>
      </c>
      <c r="J38" s="20">
        <v>54.5</v>
      </c>
      <c r="K38" s="20">
        <v>689000</v>
      </c>
      <c r="L38" s="20">
        <v>118000</v>
      </c>
      <c r="M38" s="20"/>
      <c r="N38" s="20"/>
      <c r="O38" s="20">
        <v>87000</v>
      </c>
      <c r="P38" s="20">
        <v>50000</v>
      </c>
      <c r="Q38" s="19">
        <f t="shared" si="2"/>
        <v>32584089.920000002</v>
      </c>
      <c r="R38" s="20">
        <v>2753066</v>
      </c>
      <c r="S38" s="20">
        <v>10611045</v>
      </c>
      <c r="T38" s="20"/>
      <c r="U38" s="20"/>
      <c r="V38" s="20"/>
      <c r="W38" s="20"/>
      <c r="X38" s="20">
        <v>4828747</v>
      </c>
      <c r="Y38" s="8">
        <f t="shared" si="3"/>
        <v>14391231.920000002</v>
      </c>
      <c r="Z38" s="36"/>
      <c r="AA38" s="36"/>
      <c r="AB38" s="36"/>
      <c r="AC38" s="36">
        <v>5000</v>
      </c>
      <c r="AD38" s="36"/>
      <c r="AE38" s="36"/>
      <c r="AF38" s="36"/>
      <c r="AG38" s="36"/>
      <c r="AH38" s="36">
        <v>70000</v>
      </c>
      <c r="AI38" s="36"/>
      <c r="AJ38" s="36">
        <v>4000000</v>
      </c>
      <c r="AK38" s="36"/>
      <c r="AL38" s="37">
        <f t="shared" si="4"/>
        <v>4075000</v>
      </c>
      <c r="AM38" s="36"/>
      <c r="AN38" s="36"/>
      <c r="AO38" s="36"/>
      <c r="AP38" s="7"/>
      <c r="AQ38" s="38">
        <f t="shared" si="5"/>
        <v>10316231.920000002</v>
      </c>
      <c r="AR38" s="36">
        <v>0</v>
      </c>
      <c r="AS38" s="18">
        <f t="shared" si="6"/>
        <v>-10316231.920000002</v>
      </c>
    </row>
    <row r="39" spans="1:45" x14ac:dyDescent="0.25">
      <c r="A39" s="40">
        <v>45327</v>
      </c>
      <c r="B39" s="20">
        <v>2590.7440000000001</v>
      </c>
      <c r="C39" s="20">
        <v>1765.72</v>
      </c>
      <c r="D39" s="20">
        <v>5570</v>
      </c>
      <c r="E39" s="20">
        <v>5250</v>
      </c>
      <c r="F39" s="7">
        <f t="shared" si="0"/>
        <v>14430444.08</v>
      </c>
      <c r="G39" s="7">
        <f t="shared" si="1"/>
        <v>9270030</v>
      </c>
      <c r="H39" s="20">
        <v>46.25</v>
      </c>
      <c r="I39" s="20">
        <v>977000</v>
      </c>
      <c r="J39" s="20">
        <v>24.5</v>
      </c>
      <c r="K39" s="20">
        <v>225000</v>
      </c>
      <c r="L39" s="20">
        <v>32000</v>
      </c>
      <c r="M39" s="20"/>
      <c r="N39" s="20"/>
      <c r="O39" s="20">
        <v>2855860</v>
      </c>
      <c r="P39" s="20">
        <v>50000</v>
      </c>
      <c r="Q39" s="19">
        <f t="shared" si="2"/>
        <v>27840334.079999998</v>
      </c>
      <c r="R39" s="20">
        <v>1380818</v>
      </c>
      <c r="S39" s="20">
        <v>5901909</v>
      </c>
      <c r="T39" s="20"/>
      <c r="U39" s="20"/>
      <c r="V39" s="20"/>
      <c r="W39" s="20"/>
      <c r="X39" s="20">
        <v>3050125</v>
      </c>
      <c r="Y39" s="8">
        <f t="shared" si="3"/>
        <v>17507482.079999998</v>
      </c>
      <c r="Z39" s="36"/>
      <c r="AA39" s="36"/>
      <c r="AB39" s="36"/>
      <c r="AC39" s="36"/>
      <c r="AD39" s="36"/>
      <c r="AE39" s="36"/>
      <c r="AF39" s="36">
        <v>50000</v>
      </c>
      <c r="AG39" s="36"/>
      <c r="AH39" s="36"/>
      <c r="AI39" s="36"/>
      <c r="AJ39" s="36">
        <v>6745000</v>
      </c>
      <c r="AK39" s="36"/>
      <c r="AL39" s="37">
        <f t="shared" si="4"/>
        <v>6795000</v>
      </c>
      <c r="AM39" s="36"/>
      <c r="AN39" s="36"/>
      <c r="AO39" s="36"/>
      <c r="AP39" s="7"/>
      <c r="AQ39" s="38">
        <f t="shared" si="5"/>
        <v>10712482.079999998</v>
      </c>
      <c r="AR39" s="36">
        <v>21020400</v>
      </c>
      <c r="AS39" s="18">
        <f t="shared" si="6"/>
        <v>10307917.920000002</v>
      </c>
    </row>
    <row r="40" spans="1:45" x14ac:dyDescent="0.25">
      <c r="A40" s="40">
        <v>45328</v>
      </c>
      <c r="B40" s="20">
        <v>3445.15</v>
      </c>
      <c r="C40" s="20">
        <v>9595.2340000000004</v>
      </c>
      <c r="D40" s="20">
        <v>5570</v>
      </c>
      <c r="E40" s="20">
        <v>5250</v>
      </c>
      <c r="F40" s="7">
        <f t="shared" si="0"/>
        <v>19189485.5</v>
      </c>
      <c r="G40" s="7">
        <f t="shared" si="1"/>
        <v>50374978.5</v>
      </c>
      <c r="H40" s="20">
        <v>33.5</v>
      </c>
      <c r="I40" s="20">
        <v>701000</v>
      </c>
      <c r="J40" s="20">
        <v>70</v>
      </c>
      <c r="K40" s="20">
        <v>922000</v>
      </c>
      <c r="L40" s="20">
        <v>30000</v>
      </c>
      <c r="M40" s="20"/>
      <c r="N40" s="20"/>
      <c r="O40" s="20">
        <v>1400000</v>
      </c>
      <c r="P40" s="20"/>
      <c r="Q40" s="19">
        <f t="shared" si="2"/>
        <v>72617464</v>
      </c>
      <c r="R40" s="20">
        <v>2137696</v>
      </c>
      <c r="S40" s="20">
        <v>40624937</v>
      </c>
      <c r="T40" s="20"/>
      <c r="U40" s="20"/>
      <c r="V40" s="20"/>
      <c r="W40" s="20"/>
      <c r="X40" s="20">
        <v>18521228</v>
      </c>
      <c r="Y40" s="8">
        <f t="shared" si="3"/>
        <v>11333603</v>
      </c>
      <c r="Z40" s="36"/>
      <c r="AA40" s="36"/>
      <c r="AB40" s="36"/>
      <c r="AC40" s="36"/>
      <c r="AD40" s="36"/>
      <c r="AE40" s="36"/>
      <c r="AF40" s="36"/>
      <c r="AG40" s="36"/>
      <c r="AH40" s="36">
        <v>25000</v>
      </c>
      <c r="AI40" s="36"/>
      <c r="AJ40" s="36">
        <v>500000</v>
      </c>
      <c r="AK40" s="36"/>
      <c r="AL40" s="37">
        <f t="shared" si="4"/>
        <v>525000</v>
      </c>
      <c r="AM40" s="36"/>
      <c r="AN40" s="36"/>
      <c r="AO40" s="36"/>
      <c r="AP40" s="7"/>
      <c r="AQ40" s="38">
        <f t="shared" si="5"/>
        <v>10808603</v>
      </c>
      <c r="AR40" s="36">
        <v>10809500</v>
      </c>
      <c r="AS40" s="18">
        <f t="shared" si="6"/>
        <v>897</v>
      </c>
    </row>
    <row r="41" spans="1:45" x14ac:dyDescent="0.25">
      <c r="A41" s="40">
        <v>45329</v>
      </c>
      <c r="B41" s="20">
        <v>1643.896</v>
      </c>
      <c r="C41" s="20">
        <v>3145.616</v>
      </c>
      <c r="D41" s="20">
        <v>5570</v>
      </c>
      <c r="E41" s="20">
        <v>5250</v>
      </c>
      <c r="F41" s="7">
        <f t="shared" si="0"/>
        <v>9156500.7200000007</v>
      </c>
      <c r="G41" s="7">
        <f t="shared" si="1"/>
        <v>16514484</v>
      </c>
      <c r="H41" s="20">
        <v>23.25</v>
      </c>
      <c r="I41" s="20">
        <v>484000</v>
      </c>
      <c r="J41" s="20">
        <v>91.5</v>
      </c>
      <c r="K41" s="20">
        <v>1027000</v>
      </c>
      <c r="L41" s="20">
        <v>0</v>
      </c>
      <c r="M41" s="20"/>
      <c r="N41" s="20"/>
      <c r="O41" s="20">
        <v>64500</v>
      </c>
      <c r="P41" s="20"/>
      <c r="Q41" s="19">
        <f t="shared" si="2"/>
        <v>27246484.719999999</v>
      </c>
      <c r="R41" s="36">
        <v>1393996</v>
      </c>
      <c r="S41" s="20">
        <v>12795644</v>
      </c>
      <c r="T41" s="20"/>
      <c r="U41" s="20"/>
      <c r="V41" s="20"/>
      <c r="W41" s="20">
        <v>114500</v>
      </c>
      <c r="X41" s="20">
        <v>5182414</v>
      </c>
      <c r="Y41" s="8">
        <f t="shared" si="3"/>
        <v>7759930.7199999988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7">
        <f t="shared" si="4"/>
        <v>0</v>
      </c>
      <c r="AM41" s="36"/>
      <c r="AN41" s="36"/>
      <c r="AO41" s="36"/>
      <c r="AP41" s="7"/>
      <c r="AQ41" s="38">
        <f t="shared" si="5"/>
        <v>7759930.7199999988</v>
      </c>
      <c r="AR41" s="36">
        <v>7759900</v>
      </c>
      <c r="AS41" s="18">
        <f t="shared" si="6"/>
        <v>-30.719999998807907</v>
      </c>
    </row>
    <row r="42" spans="1:45" x14ac:dyDescent="0.25">
      <c r="A42" s="40">
        <v>45330</v>
      </c>
      <c r="B42" s="20">
        <v>1481.0609999999999</v>
      </c>
      <c r="C42" s="20">
        <v>1908.2439999999999</v>
      </c>
      <c r="D42" s="20">
        <v>5570</v>
      </c>
      <c r="E42" s="20">
        <v>5250</v>
      </c>
      <c r="F42" s="7">
        <f t="shared" si="0"/>
        <v>8249509.7699999996</v>
      </c>
      <c r="G42" s="7">
        <f t="shared" si="1"/>
        <v>10018281</v>
      </c>
      <c r="H42" s="20">
        <v>68</v>
      </c>
      <c r="I42" s="20">
        <v>1538000</v>
      </c>
      <c r="J42" s="20">
        <v>55</v>
      </c>
      <c r="K42" s="20">
        <v>598000</v>
      </c>
      <c r="L42" s="20">
        <v>55000</v>
      </c>
      <c r="M42" s="20">
        <v>200000</v>
      </c>
      <c r="N42" s="20"/>
      <c r="O42" s="20">
        <v>6631000</v>
      </c>
      <c r="P42" s="20"/>
      <c r="Q42" s="19">
        <f t="shared" si="2"/>
        <v>27289790.77</v>
      </c>
      <c r="R42" s="20">
        <v>1767295</v>
      </c>
      <c r="S42" s="20">
        <v>7882960</v>
      </c>
      <c r="T42" s="20"/>
      <c r="U42" s="20"/>
      <c r="V42" s="20"/>
      <c r="W42" s="20">
        <v>0</v>
      </c>
      <c r="X42" s="20">
        <v>4641197</v>
      </c>
      <c r="Y42" s="8">
        <f t="shared" si="3"/>
        <v>12998338.77</v>
      </c>
      <c r="Z42" s="36"/>
      <c r="AA42" s="36"/>
      <c r="AB42" s="36"/>
      <c r="AC42" s="36"/>
      <c r="AD42" s="36"/>
      <c r="AE42" s="36"/>
      <c r="AF42" s="36">
        <v>3000</v>
      </c>
      <c r="AG42" s="36"/>
      <c r="AH42" s="36"/>
      <c r="AI42" s="36"/>
      <c r="AJ42" s="36">
        <v>38000</v>
      </c>
      <c r="AK42" s="36"/>
      <c r="AL42" s="37">
        <f t="shared" si="4"/>
        <v>41000</v>
      </c>
      <c r="AM42" s="36"/>
      <c r="AN42" s="36"/>
      <c r="AO42" s="36"/>
      <c r="AP42" s="7"/>
      <c r="AQ42" s="38">
        <f t="shared" si="5"/>
        <v>12957338.77</v>
      </c>
      <c r="AR42" s="36">
        <v>12957300</v>
      </c>
      <c r="AS42" s="18">
        <f t="shared" si="6"/>
        <v>-38.769999999552965</v>
      </c>
    </row>
    <row r="43" spans="1:45" x14ac:dyDescent="0.25">
      <c r="A43" s="40">
        <v>45331</v>
      </c>
      <c r="B43" s="20">
        <v>1586.3789999999999</v>
      </c>
      <c r="C43" s="20">
        <v>3817.7040000000002</v>
      </c>
      <c r="D43" s="20">
        <v>5570</v>
      </c>
      <c r="E43" s="20">
        <v>5250</v>
      </c>
      <c r="F43" s="7">
        <f t="shared" si="0"/>
        <v>8836131.0299999993</v>
      </c>
      <c r="G43" s="7">
        <f t="shared" si="1"/>
        <v>20042946</v>
      </c>
      <c r="H43" s="20">
        <v>52.25</v>
      </c>
      <c r="I43" s="20">
        <v>1070500</v>
      </c>
      <c r="J43" s="20">
        <v>68</v>
      </c>
      <c r="K43" s="20">
        <v>694000</v>
      </c>
      <c r="L43" s="20">
        <v>31000</v>
      </c>
      <c r="M43" s="20"/>
      <c r="N43" s="20"/>
      <c r="O43" s="20">
        <v>50000</v>
      </c>
      <c r="P43" s="20"/>
      <c r="Q43" s="19">
        <f t="shared" si="2"/>
        <v>30724577.030000001</v>
      </c>
      <c r="R43" s="20">
        <v>1783153</v>
      </c>
      <c r="S43" s="20">
        <v>17303592</v>
      </c>
      <c r="T43" s="20"/>
      <c r="U43" s="20"/>
      <c r="V43" s="20"/>
      <c r="W43" s="20"/>
      <c r="X43" s="20">
        <v>2709846</v>
      </c>
      <c r="Y43" s="8">
        <f t="shared" si="3"/>
        <v>8927986.0300000012</v>
      </c>
      <c r="Z43" s="36"/>
      <c r="AA43" s="36"/>
      <c r="AB43" s="36"/>
      <c r="AC43" s="36">
        <v>22900</v>
      </c>
      <c r="AD43" s="36"/>
      <c r="AE43" s="36"/>
      <c r="AF43" s="36">
        <v>100000</v>
      </c>
      <c r="AG43" s="36"/>
      <c r="AH43" s="36">
        <v>10000</v>
      </c>
      <c r="AI43" s="36"/>
      <c r="AJ43" s="36"/>
      <c r="AK43" s="36"/>
      <c r="AL43" s="37">
        <f t="shared" si="4"/>
        <v>132900</v>
      </c>
      <c r="AM43" s="36"/>
      <c r="AN43" s="36"/>
      <c r="AO43" s="36"/>
      <c r="AP43" s="7"/>
      <c r="AQ43" s="38">
        <f t="shared" si="5"/>
        <v>8795086.0300000012</v>
      </c>
      <c r="AR43" s="36">
        <v>8795100</v>
      </c>
      <c r="AS43" s="18">
        <f t="shared" si="6"/>
        <v>13.969999998807907</v>
      </c>
    </row>
    <row r="44" spans="1:45" x14ac:dyDescent="0.25">
      <c r="A44" s="40">
        <v>45332</v>
      </c>
      <c r="B44" s="20">
        <v>1845.6189999999999</v>
      </c>
      <c r="C44" s="20">
        <v>1273.9880000000001</v>
      </c>
      <c r="D44" s="20">
        <v>5570</v>
      </c>
      <c r="E44" s="20">
        <v>5250</v>
      </c>
      <c r="F44" s="7">
        <f t="shared" si="0"/>
        <v>10280097.83</v>
      </c>
      <c r="G44" s="7">
        <f t="shared" si="1"/>
        <v>6688437</v>
      </c>
      <c r="H44" s="20">
        <v>28.25</v>
      </c>
      <c r="I44" s="20">
        <v>551000</v>
      </c>
      <c r="J44" s="20">
        <v>49</v>
      </c>
      <c r="K44" s="20">
        <v>450000</v>
      </c>
      <c r="L44" s="20">
        <v>0</v>
      </c>
      <c r="M44" s="20">
        <v>467000</v>
      </c>
      <c r="N44" s="20"/>
      <c r="O44" s="20">
        <v>0</v>
      </c>
      <c r="P44" s="20"/>
      <c r="Q44" s="19">
        <f t="shared" si="2"/>
        <v>18436534.829999998</v>
      </c>
      <c r="R44" s="20">
        <v>2485423</v>
      </c>
      <c r="S44" s="20">
        <v>5763500</v>
      </c>
      <c r="T44" s="20"/>
      <c r="U44" s="20"/>
      <c r="V44" s="20"/>
      <c r="W44" s="20"/>
      <c r="X44" s="20">
        <v>4503517</v>
      </c>
      <c r="Y44" s="8">
        <f t="shared" si="3"/>
        <v>5684094.8299999982</v>
      </c>
      <c r="Z44" s="36"/>
      <c r="AA44" s="36"/>
      <c r="AB44" s="36"/>
      <c r="AC44" s="36">
        <v>35000</v>
      </c>
      <c r="AD44" s="36">
        <v>55700</v>
      </c>
      <c r="AE44" s="36"/>
      <c r="AF44" s="36">
        <v>9000</v>
      </c>
      <c r="AG44" s="36"/>
      <c r="AH44" s="36"/>
      <c r="AI44" s="36"/>
      <c r="AJ44" s="36"/>
      <c r="AK44" s="36"/>
      <c r="AL44" s="37">
        <f t="shared" si="4"/>
        <v>99700</v>
      </c>
      <c r="AM44" s="36"/>
      <c r="AN44" s="36"/>
      <c r="AO44" s="36"/>
      <c r="AP44" s="7"/>
      <c r="AQ44" s="38">
        <f t="shared" si="5"/>
        <v>5584394.8299999982</v>
      </c>
      <c r="AR44" s="36">
        <v>0</v>
      </c>
      <c r="AS44" s="18">
        <f t="shared" si="6"/>
        <v>-5584394.8299999982</v>
      </c>
    </row>
    <row r="45" spans="1:45" x14ac:dyDescent="0.25">
      <c r="A45" s="40">
        <v>45333</v>
      </c>
      <c r="B45" s="20">
        <v>1795.5</v>
      </c>
      <c r="C45" s="20">
        <v>2032.373</v>
      </c>
      <c r="D45" s="20">
        <v>5570</v>
      </c>
      <c r="E45" s="20">
        <v>5250</v>
      </c>
      <c r="F45" s="7">
        <f t="shared" si="0"/>
        <v>10000935</v>
      </c>
      <c r="G45" s="7">
        <f t="shared" si="1"/>
        <v>10669958.25</v>
      </c>
      <c r="H45" s="20">
        <v>91</v>
      </c>
      <c r="I45" s="20">
        <v>1766600</v>
      </c>
      <c r="J45" s="20">
        <v>51.5</v>
      </c>
      <c r="K45" s="20">
        <v>557000</v>
      </c>
      <c r="L45" s="20">
        <v>76000</v>
      </c>
      <c r="M45" s="20">
        <v>0</v>
      </c>
      <c r="N45" s="20"/>
      <c r="O45" s="20">
        <v>0</v>
      </c>
      <c r="P45" s="20">
        <v>0</v>
      </c>
      <c r="Q45" s="19">
        <f t="shared" si="2"/>
        <v>23070493.25</v>
      </c>
      <c r="R45" s="20">
        <v>2880807</v>
      </c>
      <c r="S45" s="20">
        <v>8193805</v>
      </c>
      <c r="T45" s="20"/>
      <c r="U45" s="20"/>
      <c r="V45" s="20"/>
      <c r="W45" s="20"/>
      <c r="X45" s="20">
        <v>3308000</v>
      </c>
      <c r="Y45" s="8">
        <f t="shared" si="3"/>
        <v>8687881.25</v>
      </c>
      <c r="Z45" s="36"/>
      <c r="AA45" s="36"/>
      <c r="AB45" s="36"/>
      <c r="AC45" s="36">
        <v>4500</v>
      </c>
      <c r="AD45" s="36"/>
      <c r="AE45" s="36"/>
      <c r="AF45" s="36"/>
      <c r="AG45" s="36"/>
      <c r="AH45" s="36"/>
      <c r="AI45" s="36"/>
      <c r="AJ45" s="36"/>
      <c r="AK45" s="36"/>
      <c r="AL45" s="37">
        <f t="shared" si="4"/>
        <v>4500</v>
      </c>
      <c r="AM45" s="36"/>
      <c r="AN45" s="36"/>
      <c r="AO45" s="36"/>
      <c r="AP45" s="7"/>
      <c r="AQ45" s="38">
        <f t="shared" si="5"/>
        <v>8683381.25</v>
      </c>
      <c r="AR45" s="36">
        <v>0</v>
      </c>
      <c r="AS45" s="18">
        <f t="shared" si="6"/>
        <v>-8683381.25</v>
      </c>
    </row>
    <row r="46" spans="1:45" x14ac:dyDescent="0.25">
      <c r="A46" s="40">
        <v>45334</v>
      </c>
      <c r="B46" s="20">
        <v>1420.0650000000001</v>
      </c>
      <c r="C46" s="20">
        <v>4736.7139999999999</v>
      </c>
      <c r="D46" s="20">
        <v>5570</v>
      </c>
      <c r="E46" s="20">
        <v>5250</v>
      </c>
      <c r="F46" s="7">
        <f t="shared" si="0"/>
        <v>7909762.0500000007</v>
      </c>
      <c r="G46" s="7">
        <f t="shared" si="1"/>
        <v>24867748.5</v>
      </c>
      <c r="H46" s="20">
        <v>35.25</v>
      </c>
      <c r="I46" s="20">
        <v>729000</v>
      </c>
      <c r="J46" s="20">
        <v>37</v>
      </c>
      <c r="K46" s="20">
        <v>338000</v>
      </c>
      <c r="L46" s="20">
        <v>30000</v>
      </c>
      <c r="M46" s="20">
        <v>0</v>
      </c>
      <c r="N46" s="20"/>
      <c r="O46" s="20">
        <v>500000</v>
      </c>
      <c r="P46" s="20">
        <v>50000</v>
      </c>
      <c r="Q46" s="19">
        <f t="shared" si="2"/>
        <v>34424510.549999997</v>
      </c>
      <c r="R46" s="20">
        <v>1169119</v>
      </c>
      <c r="S46" s="20">
        <v>16456455</v>
      </c>
      <c r="T46" s="20"/>
      <c r="U46" s="20"/>
      <c r="V46" s="20"/>
      <c r="W46" s="20"/>
      <c r="X46" s="20">
        <v>12990007</v>
      </c>
      <c r="Y46" s="8">
        <f t="shared" si="3"/>
        <v>3808929.549999997</v>
      </c>
      <c r="Z46" s="36"/>
      <c r="AA46" s="36"/>
      <c r="AB46" s="36"/>
      <c r="AC46" s="36">
        <v>0</v>
      </c>
      <c r="AD46" s="36"/>
      <c r="AE46" s="36"/>
      <c r="AF46" s="36"/>
      <c r="AG46" s="36"/>
      <c r="AH46" s="36"/>
      <c r="AI46" s="36"/>
      <c r="AJ46" s="36"/>
      <c r="AK46" s="36"/>
      <c r="AL46" s="37">
        <f t="shared" si="4"/>
        <v>0</v>
      </c>
      <c r="AM46" s="36"/>
      <c r="AN46" s="36"/>
      <c r="AO46" s="36"/>
      <c r="AP46" s="7"/>
      <c r="AQ46" s="38">
        <f t="shared" si="5"/>
        <v>3808929.549999997</v>
      </c>
      <c r="AR46" s="36">
        <v>18076700</v>
      </c>
      <c r="AS46" s="18">
        <f t="shared" si="6"/>
        <v>14267770.450000003</v>
      </c>
    </row>
    <row r="47" spans="1:45" x14ac:dyDescent="0.25">
      <c r="A47" s="40">
        <v>45335</v>
      </c>
      <c r="B47" s="20">
        <v>1711.1510000000001</v>
      </c>
      <c r="C47" s="20">
        <v>5930.0630000000001</v>
      </c>
      <c r="D47" s="20">
        <v>5570</v>
      </c>
      <c r="E47" s="20">
        <v>5250</v>
      </c>
      <c r="F47" s="7">
        <f t="shared" si="0"/>
        <v>9531111.0700000003</v>
      </c>
      <c r="G47" s="7">
        <f t="shared" si="1"/>
        <v>31132830.75</v>
      </c>
      <c r="H47" s="20">
        <v>72.75</v>
      </c>
      <c r="I47" s="20">
        <v>1338000</v>
      </c>
      <c r="J47" s="20">
        <v>72</v>
      </c>
      <c r="K47" s="20">
        <v>844000</v>
      </c>
      <c r="L47" s="20">
        <v>63000</v>
      </c>
      <c r="M47" s="20">
        <v>194000</v>
      </c>
      <c r="N47" s="20"/>
      <c r="O47" s="20">
        <v>1457500</v>
      </c>
      <c r="P47" s="20"/>
      <c r="Q47" s="19">
        <f t="shared" si="2"/>
        <v>44560441.82</v>
      </c>
      <c r="R47" s="20">
        <v>2132477</v>
      </c>
      <c r="S47" s="20">
        <v>27945482</v>
      </c>
      <c r="T47" s="20"/>
      <c r="U47" s="20"/>
      <c r="V47" s="20"/>
      <c r="W47" s="20"/>
      <c r="X47" s="20">
        <v>8276546</v>
      </c>
      <c r="Y47" s="8">
        <f t="shared" si="3"/>
        <v>6205936.8200000003</v>
      </c>
      <c r="Z47" s="36">
        <v>1613116</v>
      </c>
      <c r="AA47" s="36"/>
      <c r="AB47" s="36"/>
      <c r="AC47" s="36"/>
      <c r="AD47" s="36"/>
      <c r="AE47" s="36"/>
      <c r="AF47" s="36">
        <v>7000</v>
      </c>
      <c r="AG47" s="36"/>
      <c r="AH47" s="36"/>
      <c r="AI47" s="36"/>
      <c r="AJ47" s="36"/>
      <c r="AK47" s="36"/>
      <c r="AL47" s="37">
        <f t="shared" si="4"/>
        <v>1620116</v>
      </c>
      <c r="AM47" s="36"/>
      <c r="AN47" s="36"/>
      <c r="AO47" s="36"/>
      <c r="AP47" s="7"/>
      <c r="AQ47" s="38">
        <f t="shared" si="5"/>
        <v>4585820.82</v>
      </c>
      <c r="AR47" s="36">
        <v>4585800</v>
      </c>
      <c r="AS47" s="18">
        <f t="shared" si="6"/>
        <v>-20.820000000298023</v>
      </c>
    </row>
    <row r="48" spans="1:45" x14ac:dyDescent="0.25">
      <c r="A48" s="40">
        <v>45336</v>
      </c>
      <c r="B48" s="20">
        <v>1755.02</v>
      </c>
      <c r="C48" s="20">
        <v>2332.4560000000001</v>
      </c>
      <c r="D48" s="20">
        <v>5570</v>
      </c>
      <c r="E48" s="20">
        <v>5250</v>
      </c>
      <c r="F48" s="7">
        <f t="shared" si="0"/>
        <v>9775461.4000000004</v>
      </c>
      <c r="G48" s="7">
        <f t="shared" si="1"/>
        <v>12245394</v>
      </c>
      <c r="H48" s="20">
        <v>69.5</v>
      </c>
      <c r="I48" s="20">
        <v>1807500</v>
      </c>
      <c r="J48" s="20">
        <v>116</v>
      </c>
      <c r="K48" s="20">
        <v>1139000</v>
      </c>
      <c r="L48" s="20">
        <v>121000</v>
      </c>
      <c r="M48" s="20">
        <v>0</v>
      </c>
      <c r="N48" s="20"/>
      <c r="O48" s="20">
        <v>3401700</v>
      </c>
      <c r="P48" s="20"/>
      <c r="Q48" s="19">
        <f t="shared" si="2"/>
        <v>28490055.399999999</v>
      </c>
      <c r="R48" s="20">
        <v>1574599</v>
      </c>
      <c r="S48" s="20">
        <v>11485256</v>
      </c>
      <c r="T48" s="20"/>
      <c r="U48" s="20"/>
      <c r="V48" s="20"/>
      <c r="W48" s="20"/>
      <c r="X48" s="20">
        <v>6092905</v>
      </c>
      <c r="Y48" s="8">
        <f t="shared" si="3"/>
        <v>9337295.3999999985</v>
      </c>
      <c r="Z48" s="36"/>
      <c r="AA48" s="36"/>
      <c r="AB48" s="36"/>
      <c r="AC48" s="36"/>
      <c r="AD48" s="36">
        <v>210000</v>
      </c>
      <c r="AE48" s="36"/>
      <c r="AF48" s="36"/>
      <c r="AG48" s="36">
        <v>159500</v>
      </c>
      <c r="AH48" s="36"/>
      <c r="AI48" s="36"/>
      <c r="AJ48" s="36">
        <v>30000</v>
      </c>
      <c r="AK48" s="36"/>
      <c r="AL48" s="37">
        <f t="shared" si="4"/>
        <v>399500</v>
      </c>
      <c r="AM48" s="36"/>
      <c r="AN48" s="36"/>
      <c r="AO48" s="36"/>
      <c r="AP48" s="7"/>
      <c r="AQ48" s="38">
        <f t="shared" si="5"/>
        <v>8937795.3999999985</v>
      </c>
      <c r="AR48" s="36">
        <v>8937800</v>
      </c>
      <c r="AS48" s="18">
        <f t="shared" si="6"/>
        <v>4.6000000014901161</v>
      </c>
    </row>
    <row r="49" spans="1:45" x14ac:dyDescent="0.25">
      <c r="A49" s="40">
        <v>45337</v>
      </c>
      <c r="B49" s="20">
        <v>1445.213</v>
      </c>
      <c r="C49" s="20">
        <v>4593.3720000000003</v>
      </c>
      <c r="D49" s="20">
        <v>5570</v>
      </c>
      <c r="E49" s="20">
        <v>5250</v>
      </c>
      <c r="F49" s="7">
        <f t="shared" si="0"/>
        <v>8049836.4100000001</v>
      </c>
      <c r="G49" s="7">
        <f t="shared" si="1"/>
        <v>24115203</v>
      </c>
      <c r="H49" s="20">
        <v>27.5</v>
      </c>
      <c r="I49" s="20">
        <v>558500</v>
      </c>
      <c r="J49" s="20">
        <v>60.5</v>
      </c>
      <c r="K49" s="20">
        <v>561000</v>
      </c>
      <c r="L49" s="20">
        <v>8000</v>
      </c>
      <c r="M49" s="20">
        <v>255000</v>
      </c>
      <c r="N49" s="20"/>
      <c r="O49" s="20">
        <v>1197500</v>
      </c>
      <c r="P49" s="20"/>
      <c r="Q49" s="19">
        <f t="shared" si="2"/>
        <v>34745039.409999996</v>
      </c>
      <c r="R49" s="20">
        <v>1278531</v>
      </c>
      <c r="S49" s="20">
        <v>18324528</v>
      </c>
      <c r="T49" s="20"/>
      <c r="U49" s="20"/>
      <c r="V49" s="20"/>
      <c r="W49" s="20">
        <v>139573</v>
      </c>
      <c r="X49" s="20">
        <v>10245084</v>
      </c>
      <c r="Y49" s="8">
        <f t="shared" si="3"/>
        <v>4757323.4099999964</v>
      </c>
      <c r="Z49" s="36"/>
      <c r="AA49" s="36"/>
      <c r="AB49" s="36"/>
      <c r="AC49" s="36">
        <v>24800</v>
      </c>
      <c r="AD49" s="36"/>
      <c r="AE49" s="36"/>
      <c r="AF49" s="36"/>
      <c r="AG49" s="36"/>
      <c r="AH49" s="36"/>
      <c r="AI49" s="36"/>
      <c r="AJ49" s="36"/>
      <c r="AK49" s="36"/>
      <c r="AL49" s="37">
        <f t="shared" si="4"/>
        <v>24800</v>
      </c>
      <c r="AM49" s="36"/>
      <c r="AN49" s="36"/>
      <c r="AO49" s="36"/>
      <c r="AP49" s="7"/>
      <c r="AQ49" s="38">
        <f t="shared" si="5"/>
        <v>4732523.4099999964</v>
      </c>
      <c r="AR49" s="36">
        <v>4734500</v>
      </c>
      <c r="AS49" s="18">
        <f t="shared" si="6"/>
        <v>1976.5900000035763</v>
      </c>
    </row>
    <row r="50" spans="1:45" x14ac:dyDescent="0.25">
      <c r="A50" s="40">
        <v>45338</v>
      </c>
      <c r="B50" s="20">
        <v>1429.84</v>
      </c>
      <c r="C50" s="20">
        <v>3556.194</v>
      </c>
      <c r="D50" s="20">
        <v>5570</v>
      </c>
      <c r="E50" s="20">
        <v>5250</v>
      </c>
      <c r="F50" s="7">
        <f t="shared" si="0"/>
        <v>7964208.7999999998</v>
      </c>
      <c r="G50" s="7">
        <f t="shared" si="1"/>
        <v>18670018.5</v>
      </c>
      <c r="H50" s="20">
        <v>51</v>
      </c>
      <c r="I50" s="20">
        <v>1061000</v>
      </c>
      <c r="J50" s="20">
        <v>33.5</v>
      </c>
      <c r="K50" s="20">
        <v>389000</v>
      </c>
      <c r="L50" s="20">
        <v>54000</v>
      </c>
      <c r="M50" s="20">
        <v>60000</v>
      </c>
      <c r="N50" s="20"/>
      <c r="O50" s="20">
        <v>1785000</v>
      </c>
      <c r="P50" s="20"/>
      <c r="Q50" s="19">
        <f t="shared" si="2"/>
        <v>29983227.300000001</v>
      </c>
      <c r="R50" s="20">
        <v>1669937</v>
      </c>
      <c r="S50" s="20">
        <v>12611152</v>
      </c>
      <c r="T50" s="20"/>
      <c r="U50" s="20"/>
      <c r="V50" s="20"/>
      <c r="W50" s="20"/>
      <c r="X50" s="20">
        <v>7650520</v>
      </c>
      <c r="Y50" s="8">
        <f t="shared" si="3"/>
        <v>8051618.3000000007</v>
      </c>
      <c r="Z50" s="36"/>
      <c r="AA50" s="36"/>
      <c r="AB50" s="36"/>
      <c r="AC50" s="36"/>
      <c r="AD50" s="36"/>
      <c r="AE50" s="36"/>
      <c r="AF50" s="36"/>
      <c r="AG50" s="36"/>
      <c r="AH50" s="36">
        <v>21000</v>
      </c>
      <c r="AI50" s="36"/>
      <c r="AJ50" s="36"/>
      <c r="AK50" s="36"/>
      <c r="AL50" s="37">
        <f t="shared" si="4"/>
        <v>21000</v>
      </c>
      <c r="AM50" s="36"/>
      <c r="AN50" s="36"/>
      <c r="AO50" s="36"/>
      <c r="AP50" s="7"/>
      <c r="AQ50" s="38">
        <f t="shared" si="5"/>
        <v>8030618.3000000007</v>
      </c>
      <c r="AR50" s="36">
        <v>8032000</v>
      </c>
      <c r="AS50" s="18">
        <f t="shared" si="6"/>
        <v>1381.6999999992549</v>
      </c>
    </row>
    <row r="51" spans="1:45" x14ac:dyDescent="0.25">
      <c r="A51" s="40">
        <v>45339</v>
      </c>
      <c r="B51" s="20">
        <v>1697.3620000000001</v>
      </c>
      <c r="C51" s="20">
        <v>4532.6750000000002</v>
      </c>
      <c r="D51" s="20">
        <v>5570</v>
      </c>
      <c r="E51" s="20">
        <v>5250</v>
      </c>
      <c r="F51" s="7">
        <f t="shared" si="0"/>
        <v>9454306.3399999999</v>
      </c>
      <c r="G51" s="7">
        <f t="shared" si="1"/>
        <v>23796543.75</v>
      </c>
      <c r="H51" s="20">
        <v>43.25</v>
      </c>
      <c r="I51" s="20">
        <v>856500</v>
      </c>
      <c r="J51" s="20">
        <v>70</v>
      </c>
      <c r="K51" s="20">
        <v>886000</v>
      </c>
      <c r="L51" s="20">
        <v>78000</v>
      </c>
      <c r="M51" s="20">
        <v>208000</v>
      </c>
      <c r="N51" s="20"/>
      <c r="O51" s="20">
        <v>0</v>
      </c>
      <c r="P51" s="20">
        <v>0</v>
      </c>
      <c r="Q51" s="19">
        <f t="shared" si="2"/>
        <v>35279350.090000004</v>
      </c>
      <c r="R51" s="20">
        <v>1594755</v>
      </c>
      <c r="S51" s="20">
        <v>21679585</v>
      </c>
      <c r="T51" s="20"/>
      <c r="U51" s="20"/>
      <c r="V51" s="20"/>
      <c r="W51" s="20">
        <v>377000</v>
      </c>
      <c r="X51" s="20">
        <v>3776400</v>
      </c>
      <c r="Y51" s="8">
        <f t="shared" si="3"/>
        <v>7851610.0900000036</v>
      </c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7">
        <f t="shared" si="4"/>
        <v>0</v>
      </c>
      <c r="AM51" s="36"/>
      <c r="AN51" s="36"/>
      <c r="AO51" s="36"/>
      <c r="AP51" s="7"/>
      <c r="AQ51" s="38">
        <f t="shared" si="5"/>
        <v>7851610.0900000036</v>
      </c>
      <c r="AR51" s="36">
        <v>7909100</v>
      </c>
      <c r="AS51" s="18">
        <f t="shared" si="6"/>
        <v>57489.909999996424</v>
      </c>
    </row>
    <row r="52" spans="1:45" x14ac:dyDescent="0.25">
      <c r="A52" s="40">
        <v>45340</v>
      </c>
      <c r="B52" s="20">
        <v>1718.1120000000001</v>
      </c>
      <c r="C52" s="20">
        <v>1828.8219999999999</v>
      </c>
      <c r="D52" s="20">
        <v>5570</v>
      </c>
      <c r="E52" s="20">
        <v>5250</v>
      </c>
      <c r="F52" s="7">
        <f t="shared" si="0"/>
        <v>9569883.8399999999</v>
      </c>
      <c r="G52" s="7">
        <f t="shared" si="1"/>
        <v>9601315.5</v>
      </c>
      <c r="H52" s="20">
        <v>50.25</v>
      </c>
      <c r="I52" s="20">
        <v>939000</v>
      </c>
      <c r="J52" s="20">
        <v>93</v>
      </c>
      <c r="K52" s="20">
        <v>976000</v>
      </c>
      <c r="L52" s="20">
        <v>16000</v>
      </c>
      <c r="M52" s="20">
        <v>0</v>
      </c>
      <c r="N52" s="20"/>
      <c r="O52" s="20">
        <v>922000</v>
      </c>
      <c r="P52" s="20">
        <v>0</v>
      </c>
      <c r="Q52" s="19">
        <f t="shared" si="2"/>
        <v>22024199.34</v>
      </c>
      <c r="R52" s="20">
        <v>1056300</v>
      </c>
      <c r="S52" s="20">
        <v>8090250</v>
      </c>
      <c r="T52" s="20"/>
      <c r="U52" s="20"/>
      <c r="V52" s="20"/>
      <c r="W52" s="20">
        <v>220000</v>
      </c>
      <c r="X52" s="20">
        <v>5105279</v>
      </c>
      <c r="Y52" s="8">
        <f t="shared" si="3"/>
        <v>7552370.3399999999</v>
      </c>
      <c r="Z52" s="36"/>
      <c r="AA52" s="36"/>
      <c r="AB52" s="36"/>
      <c r="AC52" s="36"/>
      <c r="AD52" s="36"/>
      <c r="AE52" s="36"/>
      <c r="AF52" s="36">
        <v>100000</v>
      </c>
      <c r="AG52" s="36"/>
      <c r="AH52" s="36"/>
      <c r="AI52" s="36"/>
      <c r="AJ52" s="36"/>
      <c r="AK52" s="36"/>
      <c r="AL52" s="37">
        <f t="shared" si="4"/>
        <v>100000</v>
      </c>
      <c r="AM52" s="36"/>
      <c r="AN52" s="36"/>
      <c r="AO52" s="36"/>
      <c r="AP52" s="7"/>
      <c r="AQ52" s="38">
        <f t="shared" si="5"/>
        <v>7452370.3399999999</v>
      </c>
      <c r="AR52" s="36">
        <v>0</v>
      </c>
      <c r="AS52" s="18">
        <f t="shared" si="6"/>
        <v>-7452370.3399999999</v>
      </c>
    </row>
    <row r="53" spans="1:45" x14ac:dyDescent="0.25">
      <c r="A53" s="40">
        <v>45341</v>
      </c>
      <c r="B53" s="20">
        <v>1608.2080000000001</v>
      </c>
      <c r="C53" s="20">
        <v>1758.07</v>
      </c>
      <c r="D53" s="20">
        <v>5570</v>
      </c>
      <c r="E53" s="20">
        <v>5250</v>
      </c>
      <c r="F53" s="7">
        <f t="shared" si="0"/>
        <v>8957718.5600000005</v>
      </c>
      <c r="G53" s="7">
        <f t="shared" si="1"/>
        <v>9229867.5</v>
      </c>
      <c r="H53" s="20">
        <v>37.25</v>
      </c>
      <c r="I53" s="20">
        <v>712000</v>
      </c>
      <c r="J53" s="20">
        <v>6</v>
      </c>
      <c r="K53" s="20">
        <v>56000</v>
      </c>
      <c r="L53" s="20">
        <v>40000</v>
      </c>
      <c r="M53" s="20">
        <v>0</v>
      </c>
      <c r="N53" s="20"/>
      <c r="O53" s="20">
        <v>840000</v>
      </c>
      <c r="P53" s="20">
        <v>0</v>
      </c>
      <c r="Q53" s="19">
        <f t="shared" si="2"/>
        <v>19835586.060000002</v>
      </c>
      <c r="R53" s="36">
        <v>646198</v>
      </c>
      <c r="S53" s="36">
        <v>5844234</v>
      </c>
      <c r="T53" s="20"/>
      <c r="U53" s="20"/>
      <c r="V53" s="20"/>
      <c r="W53" s="20"/>
      <c r="X53" s="20">
        <v>3273085</v>
      </c>
      <c r="Y53" s="8">
        <f t="shared" si="3"/>
        <v>10072069.060000002</v>
      </c>
      <c r="Z53" s="36"/>
      <c r="AA53" s="36"/>
      <c r="AB53" s="36"/>
      <c r="AC53" s="36">
        <v>4000</v>
      </c>
      <c r="AD53" s="36"/>
      <c r="AE53" s="36"/>
      <c r="AF53" s="36"/>
      <c r="AG53" s="36"/>
      <c r="AH53" s="36"/>
      <c r="AI53" s="36"/>
      <c r="AJ53" s="36"/>
      <c r="AK53" s="36"/>
      <c r="AL53" s="37">
        <f t="shared" si="4"/>
        <v>4000</v>
      </c>
      <c r="AM53" s="36"/>
      <c r="AN53" s="36"/>
      <c r="AO53" s="36"/>
      <c r="AP53" s="7"/>
      <c r="AQ53" s="38">
        <f t="shared" si="5"/>
        <v>10068069.060000002</v>
      </c>
      <c r="AR53" s="36">
        <v>17520500</v>
      </c>
      <c r="AS53" s="18">
        <f t="shared" si="6"/>
        <v>7452430.9399999976</v>
      </c>
    </row>
    <row r="54" spans="1:45" x14ac:dyDescent="0.25">
      <c r="A54" s="40">
        <v>45342</v>
      </c>
      <c r="B54" s="20">
        <v>2049.96</v>
      </c>
      <c r="C54" s="20">
        <v>3943.39</v>
      </c>
      <c r="D54" s="20">
        <v>5570</v>
      </c>
      <c r="E54" s="20">
        <v>5199</v>
      </c>
      <c r="F54" s="7">
        <f t="shared" si="0"/>
        <v>11418277.200000001</v>
      </c>
      <c r="G54" s="7">
        <f t="shared" si="1"/>
        <v>20501684.609999999</v>
      </c>
      <c r="H54" s="20">
        <v>60.5</v>
      </c>
      <c r="I54" s="20">
        <v>1270000</v>
      </c>
      <c r="J54" s="20">
        <v>21</v>
      </c>
      <c r="K54" s="20">
        <v>276000</v>
      </c>
      <c r="L54" s="20">
        <v>8000</v>
      </c>
      <c r="M54" s="20">
        <v>0</v>
      </c>
      <c r="N54" s="20"/>
      <c r="O54" s="20">
        <v>2526680</v>
      </c>
      <c r="P54" s="20"/>
      <c r="Q54" s="19">
        <f t="shared" si="2"/>
        <v>36000641.810000002</v>
      </c>
      <c r="R54" s="20">
        <v>744559</v>
      </c>
      <c r="S54" s="20">
        <v>18353233</v>
      </c>
      <c r="T54" s="20"/>
      <c r="U54" s="20">
        <v>896090</v>
      </c>
      <c r="V54" s="20"/>
      <c r="W54" s="20">
        <v>150000</v>
      </c>
      <c r="X54" s="20">
        <v>4371553</v>
      </c>
      <c r="Y54" s="8">
        <f t="shared" si="3"/>
        <v>11485206.810000002</v>
      </c>
      <c r="Z54" s="36"/>
      <c r="AA54" s="36"/>
      <c r="AB54" s="36"/>
      <c r="AC54" s="36">
        <v>36000</v>
      </c>
      <c r="AD54" s="36"/>
      <c r="AE54" s="36"/>
      <c r="AF54" s="36">
        <v>3000</v>
      </c>
      <c r="AG54" s="36"/>
      <c r="AH54" s="36"/>
      <c r="AI54" s="36"/>
      <c r="AJ54" s="36"/>
      <c r="AK54" s="36"/>
      <c r="AL54" s="37">
        <f t="shared" si="4"/>
        <v>39000</v>
      </c>
      <c r="AM54" s="36"/>
      <c r="AN54" s="36"/>
      <c r="AO54" s="36"/>
      <c r="AP54" s="7"/>
      <c r="AQ54" s="38">
        <f t="shared" si="5"/>
        <v>11446206.810000002</v>
      </c>
      <c r="AR54" s="36">
        <v>11454000</v>
      </c>
      <c r="AS54" s="18">
        <f t="shared" si="6"/>
        <v>7793.1899999976158</v>
      </c>
    </row>
    <row r="55" spans="1:45" x14ac:dyDescent="0.25">
      <c r="A55" s="40">
        <v>45343</v>
      </c>
      <c r="B55" s="20">
        <v>1947.37</v>
      </c>
      <c r="C55" s="20">
        <v>3604.55</v>
      </c>
      <c r="D55" s="20">
        <v>5570</v>
      </c>
      <c r="E55" s="20">
        <v>5199</v>
      </c>
      <c r="F55" s="7">
        <f t="shared" si="0"/>
        <v>10846850.899999999</v>
      </c>
      <c r="G55" s="7">
        <f t="shared" si="1"/>
        <v>18740055.449999999</v>
      </c>
      <c r="H55" s="20">
        <v>34</v>
      </c>
      <c r="I55" s="20">
        <v>678000</v>
      </c>
      <c r="J55" s="20">
        <v>39.5</v>
      </c>
      <c r="K55" s="20">
        <v>516000</v>
      </c>
      <c r="L55" s="20">
        <v>0</v>
      </c>
      <c r="M55" s="20"/>
      <c r="N55" s="20"/>
      <c r="O55" s="20"/>
      <c r="P55" s="20"/>
      <c r="Q55" s="19">
        <f t="shared" si="2"/>
        <v>30780906.349999998</v>
      </c>
      <c r="R55" s="20">
        <v>1984771</v>
      </c>
      <c r="S55" s="20">
        <v>11700528</v>
      </c>
      <c r="T55" s="20"/>
      <c r="U55" s="20">
        <v>0</v>
      </c>
      <c r="V55" s="20">
        <v>0</v>
      </c>
      <c r="W55" s="20">
        <v>672031</v>
      </c>
      <c r="X55" s="20">
        <v>7677969</v>
      </c>
      <c r="Y55" s="8">
        <f t="shared" si="3"/>
        <v>8745607.3499999978</v>
      </c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>
        <v>30000</v>
      </c>
      <c r="AK55" s="36"/>
      <c r="AL55" s="37">
        <f t="shared" si="4"/>
        <v>30000</v>
      </c>
      <c r="AM55" s="36"/>
      <c r="AN55" s="36"/>
      <c r="AO55" s="36"/>
      <c r="AP55" s="7"/>
      <c r="AQ55" s="38">
        <f t="shared" si="5"/>
        <v>8715607.3499999978</v>
      </c>
      <c r="AR55" s="36">
        <v>8715900</v>
      </c>
      <c r="AS55" s="18">
        <f t="shared" si="6"/>
        <v>292.65000000223517</v>
      </c>
    </row>
    <row r="56" spans="1:45" x14ac:dyDescent="0.25">
      <c r="A56" s="40">
        <v>45344</v>
      </c>
      <c r="B56" s="20">
        <v>1556.355</v>
      </c>
      <c r="C56" s="20">
        <v>2152.0039999999999</v>
      </c>
      <c r="D56" s="20">
        <v>5570</v>
      </c>
      <c r="E56" s="20">
        <v>5199</v>
      </c>
      <c r="F56" s="7">
        <f t="shared" si="0"/>
        <v>8668897.3499999996</v>
      </c>
      <c r="G56" s="7">
        <f t="shared" si="1"/>
        <v>11188268.796</v>
      </c>
      <c r="H56" s="20">
        <v>185</v>
      </c>
      <c r="I56" s="20">
        <v>4134000</v>
      </c>
      <c r="J56" s="20">
        <v>42</v>
      </c>
      <c r="K56" s="20">
        <v>552000</v>
      </c>
      <c r="L56" s="20">
        <v>108000</v>
      </c>
      <c r="M56" s="20"/>
      <c r="N56" s="20"/>
      <c r="O56" s="20">
        <v>1917891</v>
      </c>
      <c r="P56" s="20"/>
      <c r="Q56" s="19">
        <f t="shared" si="2"/>
        <v>26569057.145999998</v>
      </c>
      <c r="R56" s="20">
        <v>2065750</v>
      </c>
      <c r="S56" s="20">
        <v>6503431</v>
      </c>
      <c r="T56" s="20"/>
      <c r="U56" s="20"/>
      <c r="V56" s="20"/>
      <c r="W56" s="20"/>
      <c r="X56" s="20">
        <v>6695626</v>
      </c>
      <c r="Y56" s="8">
        <f t="shared" si="3"/>
        <v>11304250.145999998</v>
      </c>
      <c r="Z56" s="36"/>
      <c r="AA56" s="36"/>
      <c r="AB56" s="36"/>
      <c r="AC56" s="36"/>
      <c r="AD56" s="36"/>
      <c r="AE56" s="36"/>
      <c r="AF56" s="36"/>
      <c r="AG56" s="36"/>
      <c r="AH56" s="36">
        <v>20000</v>
      </c>
      <c r="AI56" s="36"/>
      <c r="AJ56" s="36"/>
      <c r="AK56" s="36"/>
      <c r="AL56" s="37">
        <f t="shared" si="4"/>
        <v>20000</v>
      </c>
      <c r="AM56" s="36"/>
      <c r="AN56" s="36"/>
      <c r="AO56" s="36"/>
      <c r="AP56" s="7"/>
      <c r="AQ56" s="38">
        <f t="shared" si="5"/>
        <v>11284250.145999998</v>
      </c>
      <c r="AR56" s="36">
        <v>11284200</v>
      </c>
      <c r="AS56" s="18">
        <f t="shared" si="6"/>
        <v>-50.145999997854233</v>
      </c>
    </row>
    <row r="57" spans="1:45" x14ac:dyDescent="0.25">
      <c r="A57" s="40">
        <v>45345</v>
      </c>
      <c r="B57" s="20">
        <v>1623.509</v>
      </c>
      <c r="C57" s="20">
        <v>3471.6619999999998</v>
      </c>
      <c r="D57" s="20">
        <v>5570</v>
      </c>
      <c r="E57" s="20">
        <v>5199</v>
      </c>
      <c r="F57" s="7">
        <f t="shared" si="0"/>
        <v>9042945.1300000008</v>
      </c>
      <c r="G57" s="7">
        <f t="shared" si="1"/>
        <v>18049170.737999998</v>
      </c>
      <c r="H57" s="20">
        <v>52.5</v>
      </c>
      <c r="I57" s="20">
        <v>1047500</v>
      </c>
      <c r="J57" s="20">
        <v>55</v>
      </c>
      <c r="K57" s="20">
        <v>792500</v>
      </c>
      <c r="L57" s="20">
        <v>90000</v>
      </c>
      <c r="M57" s="20"/>
      <c r="N57" s="20"/>
      <c r="O57" s="20">
        <v>56000</v>
      </c>
      <c r="P57" s="20"/>
      <c r="Q57" s="19">
        <f t="shared" si="2"/>
        <v>29078115.868000001</v>
      </c>
      <c r="R57" s="20">
        <v>1018748</v>
      </c>
      <c r="S57" s="20">
        <v>15094646</v>
      </c>
      <c r="T57" s="20"/>
      <c r="U57" s="20"/>
      <c r="V57" s="20"/>
      <c r="W57" s="20"/>
      <c r="X57" s="20">
        <v>4371400</v>
      </c>
      <c r="Y57" s="8">
        <f t="shared" si="3"/>
        <v>8593321.8680000007</v>
      </c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7">
        <f t="shared" si="4"/>
        <v>0</v>
      </c>
      <c r="AM57" s="36"/>
      <c r="AN57" s="36"/>
      <c r="AO57" s="36"/>
      <c r="AP57" s="7"/>
      <c r="AQ57" s="38">
        <f t="shared" si="5"/>
        <v>8593321.8680000007</v>
      </c>
      <c r="AR57" s="36">
        <v>8593300</v>
      </c>
      <c r="AS57" s="18">
        <f t="shared" si="6"/>
        <v>-21.868000000715256</v>
      </c>
    </row>
    <row r="58" spans="1:45" x14ac:dyDescent="0.25">
      <c r="A58" s="40">
        <v>45346</v>
      </c>
      <c r="B58" s="20">
        <v>1872.299</v>
      </c>
      <c r="C58" s="20">
        <v>1959.002</v>
      </c>
      <c r="D58" s="20">
        <v>5570</v>
      </c>
      <c r="E58" s="20">
        <v>5199</v>
      </c>
      <c r="F58" s="7">
        <f t="shared" si="0"/>
        <v>10428705.43</v>
      </c>
      <c r="G58" s="7">
        <f t="shared" si="1"/>
        <v>10184851.398</v>
      </c>
      <c r="H58" s="20">
        <v>29.5</v>
      </c>
      <c r="I58" s="20">
        <v>571500</v>
      </c>
      <c r="J58" s="20">
        <v>89.5</v>
      </c>
      <c r="K58" s="20">
        <v>787000</v>
      </c>
      <c r="L58" s="20">
        <v>53000</v>
      </c>
      <c r="M58" s="20"/>
      <c r="N58" s="20"/>
      <c r="O58" s="20">
        <v>1323560</v>
      </c>
      <c r="P58" s="20"/>
      <c r="Q58" s="19">
        <f t="shared" si="2"/>
        <v>23348616.828000002</v>
      </c>
      <c r="R58" s="20">
        <v>1089851</v>
      </c>
      <c r="S58" s="20">
        <v>9007314</v>
      </c>
      <c r="T58" s="20"/>
      <c r="U58" s="20"/>
      <c r="V58" s="20"/>
      <c r="W58" s="20">
        <v>140000</v>
      </c>
      <c r="X58" s="20">
        <v>3787360</v>
      </c>
      <c r="Y58" s="8">
        <f t="shared" si="3"/>
        <v>9324091.8280000016</v>
      </c>
      <c r="Z58" s="36"/>
      <c r="AA58" s="36"/>
      <c r="AB58" s="36"/>
      <c r="AC58" s="36">
        <v>56000</v>
      </c>
      <c r="AD58" s="36"/>
      <c r="AE58" s="36"/>
      <c r="AF58" s="36"/>
      <c r="AG58" s="36"/>
      <c r="AH58" s="36">
        <v>19000</v>
      </c>
      <c r="AI58" s="36"/>
      <c r="AJ58" s="36"/>
      <c r="AK58" s="36"/>
      <c r="AL58" s="37">
        <f t="shared" si="4"/>
        <v>75000</v>
      </c>
      <c r="AM58" s="36"/>
      <c r="AN58" s="36"/>
      <c r="AO58" s="36"/>
      <c r="AP58" s="7"/>
      <c r="AQ58" s="38">
        <f t="shared" si="5"/>
        <v>9249091.8280000016</v>
      </c>
      <c r="AR58" s="36">
        <v>9249100</v>
      </c>
      <c r="AS58" s="18">
        <f t="shared" si="6"/>
        <v>8.1719999983906746</v>
      </c>
    </row>
    <row r="59" spans="1:45" x14ac:dyDescent="0.25">
      <c r="A59" s="40">
        <v>45347</v>
      </c>
      <c r="B59" s="20">
        <v>2318.6019999999999</v>
      </c>
      <c r="C59" s="20">
        <v>2529.5830000000001</v>
      </c>
      <c r="D59" s="20">
        <v>5570</v>
      </c>
      <c r="E59" s="20">
        <v>5199</v>
      </c>
      <c r="F59" s="7">
        <f t="shared" si="0"/>
        <v>12914613.139999999</v>
      </c>
      <c r="G59" s="7">
        <f t="shared" si="1"/>
        <v>13151302.017000001</v>
      </c>
      <c r="H59" s="20">
        <v>68</v>
      </c>
      <c r="I59" s="20">
        <v>1500000</v>
      </c>
      <c r="J59" s="20">
        <v>92</v>
      </c>
      <c r="K59" s="20">
        <v>1004000</v>
      </c>
      <c r="L59" s="20">
        <v>8000</v>
      </c>
      <c r="M59" s="20"/>
      <c r="N59" s="20"/>
      <c r="O59" s="20">
        <v>1000000</v>
      </c>
      <c r="P59" s="20">
        <v>25000</v>
      </c>
      <c r="Q59" s="19">
        <f t="shared" si="2"/>
        <v>29602915.156999998</v>
      </c>
      <c r="R59" s="20">
        <v>1131530</v>
      </c>
      <c r="S59" s="20">
        <v>9083129</v>
      </c>
      <c r="T59" s="20"/>
      <c r="U59" s="20"/>
      <c r="V59" s="20"/>
      <c r="W59" s="20">
        <v>1105934</v>
      </c>
      <c r="X59" s="20">
        <v>10674823</v>
      </c>
      <c r="Y59" s="8">
        <f t="shared" si="3"/>
        <v>7607499.1569999978</v>
      </c>
      <c r="Z59" s="36"/>
      <c r="AA59" s="36"/>
      <c r="AB59" s="36"/>
      <c r="AC59" s="36"/>
      <c r="AD59" s="36">
        <v>207960</v>
      </c>
      <c r="AE59" s="36"/>
      <c r="AF59" s="36"/>
      <c r="AG59" s="36"/>
      <c r="AH59" s="36"/>
      <c r="AI59" s="36"/>
      <c r="AJ59" s="36"/>
      <c r="AK59" s="36"/>
      <c r="AL59" s="37">
        <f t="shared" si="4"/>
        <v>207960</v>
      </c>
      <c r="AM59" s="36"/>
      <c r="AN59" s="36"/>
      <c r="AO59" s="36"/>
      <c r="AP59" s="7"/>
      <c r="AQ59" s="38">
        <f t="shared" si="5"/>
        <v>7399539.1569999978</v>
      </c>
      <c r="AR59" s="36"/>
      <c r="AS59" s="18">
        <f t="shared" si="6"/>
        <v>-7399539.1569999978</v>
      </c>
    </row>
    <row r="60" spans="1:45" x14ac:dyDescent="0.25">
      <c r="A60" s="40">
        <v>45348</v>
      </c>
      <c r="B60" s="20">
        <v>1448.002</v>
      </c>
      <c r="C60" s="20">
        <v>2080.7220000000002</v>
      </c>
      <c r="D60" s="20">
        <v>5570</v>
      </c>
      <c r="E60" s="20">
        <v>5199</v>
      </c>
      <c r="F60" s="7">
        <f t="shared" si="0"/>
        <v>8065371.1399999997</v>
      </c>
      <c r="G60" s="7">
        <f t="shared" si="1"/>
        <v>10817673.678000001</v>
      </c>
      <c r="H60" s="20">
        <v>11.75</v>
      </c>
      <c r="I60" s="20">
        <v>271500</v>
      </c>
      <c r="J60" s="20">
        <v>51.5</v>
      </c>
      <c r="K60" s="20">
        <v>637000</v>
      </c>
      <c r="L60" s="20">
        <v>0</v>
      </c>
      <c r="M60" s="20">
        <v>250000</v>
      </c>
      <c r="N60" s="20"/>
      <c r="O60" s="20">
        <v>3043600</v>
      </c>
      <c r="P60" s="20">
        <v>50000</v>
      </c>
      <c r="Q60" s="19">
        <f t="shared" si="2"/>
        <v>23135144.818</v>
      </c>
      <c r="R60" s="20">
        <v>1878265</v>
      </c>
      <c r="S60" s="20">
        <v>2904707</v>
      </c>
      <c r="T60" s="20"/>
      <c r="U60" s="20"/>
      <c r="V60" s="20"/>
      <c r="W60" s="20">
        <v>240000</v>
      </c>
      <c r="X60" s="20">
        <v>9547978</v>
      </c>
      <c r="Y60" s="8">
        <f t="shared" si="3"/>
        <v>8564194.818</v>
      </c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7">
        <f t="shared" si="4"/>
        <v>0</v>
      </c>
      <c r="AM60" s="36"/>
      <c r="AN60" s="36"/>
      <c r="AO60" s="36"/>
      <c r="AP60" s="7"/>
      <c r="AQ60" s="38">
        <f t="shared" si="5"/>
        <v>8564194.818</v>
      </c>
      <c r="AR60" s="36">
        <v>15963800</v>
      </c>
      <c r="AS60" s="18">
        <f t="shared" si="6"/>
        <v>7399605.182</v>
      </c>
    </row>
    <row r="61" spans="1:45" x14ac:dyDescent="0.25">
      <c r="A61" s="40">
        <v>45349</v>
      </c>
      <c r="B61" s="20">
        <v>1908.6079999999999</v>
      </c>
      <c r="C61" s="20">
        <v>5550.1229999999996</v>
      </c>
      <c r="D61" s="20">
        <v>5570</v>
      </c>
      <c r="E61" s="20">
        <v>5199</v>
      </c>
      <c r="F61" s="7">
        <f t="shared" si="0"/>
        <v>10630946.560000001</v>
      </c>
      <c r="G61" s="7">
        <f t="shared" si="1"/>
        <v>28855089.476999998</v>
      </c>
      <c r="H61" s="20">
        <v>54.75</v>
      </c>
      <c r="I61" s="20">
        <v>1006500</v>
      </c>
      <c r="J61" s="20">
        <v>98</v>
      </c>
      <c r="K61" s="20">
        <v>900000</v>
      </c>
      <c r="L61" s="20">
        <v>65000</v>
      </c>
      <c r="M61" s="20"/>
      <c r="N61" s="20"/>
      <c r="O61" s="20">
        <v>1714934</v>
      </c>
      <c r="P61" s="20">
        <v>0</v>
      </c>
      <c r="Q61" s="19">
        <f t="shared" si="2"/>
        <v>43172470.037</v>
      </c>
      <c r="R61" s="20">
        <v>2515586</v>
      </c>
      <c r="S61" s="20">
        <v>21903619</v>
      </c>
      <c r="T61" s="20"/>
      <c r="U61" s="20"/>
      <c r="V61" s="20"/>
      <c r="W61" s="20">
        <v>606439</v>
      </c>
      <c r="X61" s="20">
        <v>8628601</v>
      </c>
      <c r="Y61" s="8">
        <f t="shared" si="3"/>
        <v>9518225.0370000005</v>
      </c>
      <c r="Z61" s="36"/>
      <c r="AA61" s="36">
        <v>127900</v>
      </c>
      <c r="AB61" s="36"/>
      <c r="AC61" s="36"/>
      <c r="AD61" s="36"/>
      <c r="AE61" s="36"/>
      <c r="AF61" s="36">
        <v>13000</v>
      </c>
      <c r="AG61" s="36"/>
      <c r="AH61" s="36">
        <v>40000</v>
      </c>
      <c r="AI61" s="36"/>
      <c r="AJ61" s="36"/>
      <c r="AK61" s="36"/>
      <c r="AL61" s="37">
        <f t="shared" si="4"/>
        <v>180900</v>
      </c>
      <c r="AM61" s="36"/>
      <c r="AN61" s="36"/>
      <c r="AO61" s="36"/>
      <c r="AP61" s="7"/>
      <c r="AQ61" s="38">
        <f t="shared" si="5"/>
        <v>9337325.0370000005</v>
      </c>
      <c r="AR61" s="36">
        <v>9337300</v>
      </c>
      <c r="AS61" s="18">
        <f t="shared" si="6"/>
        <v>-25.037000000476837</v>
      </c>
    </row>
    <row r="62" spans="1:45" x14ac:dyDescent="0.25">
      <c r="A62" s="40">
        <v>45350</v>
      </c>
      <c r="B62" s="20">
        <v>1583.6949999999999</v>
      </c>
      <c r="C62" s="20">
        <v>2637.5</v>
      </c>
      <c r="D62" s="20">
        <v>5570</v>
      </c>
      <c r="E62" s="20">
        <v>5199</v>
      </c>
      <c r="F62" s="7">
        <f t="shared" si="0"/>
        <v>8821181.1500000004</v>
      </c>
      <c r="G62" s="7">
        <f t="shared" si="1"/>
        <v>13712362.5</v>
      </c>
      <c r="H62" s="20">
        <v>42.25</v>
      </c>
      <c r="I62" s="20">
        <v>1003000</v>
      </c>
      <c r="J62" s="20">
        <v>42</v>
      </c>
      <c r="K62" s="20">
        <v>472000</v>
      </c>
      <c r="L62" s="20">
        <v>31000</v>
      </c>
      <c r="M62" s="20"/>
      <c r="N62" s="20"/>
      <c r="O62" s="20">
        <v>2907499</v>
      </c>
      <c r="P62" s="20">
        <v>0</v>
      </c>
      <c r="Q62" s="19">
        <f t="shared" si="2"/>
        <v>26947042.649999999</v>
      </c>
      <c r="R62" s="20">
        <v>919210</v>
      </c>
      <c r="S62" s="20">
        <v>14064260</v>
      </c>
      <c r="T62" s="20"/>
      <c r="U62" s="20"/>
      <c r="V62" s="20"/>
      <c r="W62" s="20">
        <v>310000</v>
      </c>
      <c r="X62" s="20">
        <v>4518085</v>
      </c>
      <c r="Y62" s="8">
        <f t="shared" si="3"/>
        <v>7135487.6499999985</v>
      </c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7">
        <f t="shared" si="4"/>
        <v>0</v>
      </c>
      <c r="AM62" s="36"/>
      <c r="AN62" s="36"/>
      <c r="AO62" s="36"/>
      <c r="AP62" s="7"/>
      <c r="AQ62" s="38">
        <f t="shared" si="5"/>
        <v>7135487.6499999985</v>
      </c>
      <c r="AR62" s="36">
        <v>7136700</v>
      </c>
      <c r="AS62" s="18">
        <f t="shared" si="6"/>
        <v>1212.3500000014901</v>
      </c>
    </row>
    <row r="63" spans="1:45" x14ac:dyDescent="0.25">
      <c r="A63" s="40">
        <v>45351</v>
      </c>
      <c r="B63" s="20">
        <v>1002.303</v>
      </c>
      <c r="C63" s="20">
        <v>3023.55</v>
      </c>
      <c r="D63" s="20">
        <v>5570</v>
      </c>
      <c r="E63" s="20">
        <v>5199</v>
      </c>
      <c r="F63" s="7">
        <f t="shared" si="0"/>
        <v>5582827.71</v>
      </c>
      <c r="G63" s="7">
        <f t="shared" si="1"/>
        <v>15719436.450000001</v>
      </c>
      <c r="H63" s="20">
        <v>71</v>
      </c>
      <c r="I63" s="20">
        <v>1386500</v>
      </c>
      <c r="J63" s="20">
        <v>36.5</v>
      </c>
      <c r="K63" s="20">
        <v>337000</v>
      </c>
      <c r="L63" s="20">
        <v>23000</v>
      </c>
      <c r="M63" s="20"/>
      <c r="N63" s="20"/>
      <c r="O63" s="20">
        <v>1259500</v>
      </c>
      <c r="P63" s="20"/>
      <c r="Q63" s="19">
        <f t="shared" si="2"/>
        <v>24308264.16</v>
      </c>
      <c r="R63" s="20">
        <v>919210</v>
      </c>
      <c r="S63" s="20">
        <v>16137252</v>
      </c>
      <c r="T63" s="20"/>
      <c r="U63" s="20"/>
      <c r="V63" s="20"/>
      <c r="W63" s="20">
        <v>300000</v>
      </c>
      <c r="X63" s="20">
        <v>1825045</v>
      </c>
      <c r="Y63" s="8">
        <f t="shared" si="3"/>
        <v>5126757.16</v>
      </c>
      <c r="Z63" s="36"/>
      <c r="AA63" s="36"/>
      <c r="AB63" s="36"/>
      <c r="AC63" s="36">
        <v>22000</v>
      </c>
      <c r="AD63" s="36"/>
      <c r="AE63" s="36"/>
      <c r="AF63" s="36">
        <v>3000</v>
      </c>
      <c r="AG63" s="36"/>
      <c r="AH63" s="36"/>
      <c r="AI63" s="36"/>
      <c r="AJ63" s="36"/>
      <c r="AK63" s="36"/>
      <c r="AL63" s="37">
        <f t="shared" si="4"/>
        <v>25000</v>
      </c>
      <c r="AM63" s="36"/>
      <c r="AN63" s="36"/>
      <c r="AO63" s="36"/>
      <c r="AP63" s="7"/>
      <c r="AQ63" s="38">
        <f t="shared" si="5"/>
        <v>5101757.16</v>
      </c>
      <c r="AR63" s="36">
        <v>5133900</v>
      </c>
      <c r="AS63" s="18">
        <f t="shared" si="6"/>
        <v>32142.839999999851</v>
      </c>
    </row>
    <row r="64" spans="1:45" x14ac:dyDescent="0.25">
      <c r="A64" s="40">
        <v>45352</v>
      </c>
      <c r="B64" s="20">
        <v>1614.047</v>
      </c>
      <c r="C64" s="20">
        <v>2831.018</v>
      </c>
      <c r="D64" s="20">
        <v>5570</v>
      </c>
      <c r="E64" s="20">
        <v>5199</v>
      </c>
      <c r="F64" s="7">
        <f t="shared" si="0"/>
        <v>8990241.790000001</v>
      </c>
      <c r="G64" s="7">
        <f t="shared" si="1"/>
        <v>14718462.582</v>
      </c>
      <c r="H64" s="20">
        <v>18</v>
      </c>
      <c r="I64" s="20">
        <v>403000</v>
      </c>
      <c r="J64" s="20">
        <v>120</v>
      </c>
      <c r="K64" s="20">
        <v>1148000</v>
      </c>
      <c r="L64" s="20">
        <v>8000</v>
      </c>
      <c r="M64" s="20"/>
      <c r="N64" s="20"/>
      <c r="O64" s="20">
        <v>491800</v>
      </c>
      <c r="P64" s="20"/>
      <c r="Q64" s="19">
        <f t="shared" si="2"/>
        <v>25759504.372000001</v>
      </c>
      <c r="R64" s="20">
        <v>510328</v>
      </c>
      <c r="S64" s="20">
        <v>12673020</v>
      </c>
      <c r="T64" s="20"/>
      <c r="U64" s="20"/>
      <c r="V64" s="20"/>
      <c r="W64" s="20">
        <v>50000</v>
      </c>
      <c r="X64" s="20">
        <v>4235536</v>
      </c>
      <c r="Y64" s="8">
        <f t="shared" si="3"/>
        <v>8290620.3720000014</v>
      </c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>
        <v>45000</v>
      </c>
      <c r="AK64" s="36"/>
      <c r="AL64" s="37">
        <f t="shared" si="4"/>
        <v>45000</v>
      </c>
      <c r="AM64" s="36"/>
      <c r="AN64" s="36"/>
      <c r="AO64" s="36"/>
      <c r="AP64" s="7"/>
      <c r="AQ64" s="38">
        <f t="shared" si="5"/>
        <v>8245620.3720000014</v>
      </c>
      <c r="AR64" s="36">
        <v>8245800</v>
      </c>
      <c r="AS64" s="18">
        <f t="shared" si="6"/>
        <v>179.62799999862909</v>
      </c>
    </row>
    <row r="65" spans="1:45" x14ac:dyDescent="0.25">
      <c r="A65" s="40">
        <v>45353</v>
      </c>
      <c r="B65" s="20">
        <v>1829.9880000000001</v>
      </c>
      <c r="C65" s="20">
        <v>2137.1970000000001</v>
      </c>
      <c r="D65" s="20">
        <v>5570</v>
      </c>
      <c r="E65" s="20">
        <v>5199</v>
      </c>
      <c r="F65" s="7">
        <f t="shared" si="0"/>
        <v>10193033.16</v>
      </c>
      <c r="G65" s="7">
        <f t="shared" si="1"/>
        <v>11111287.203</v>
      </c>
      <c r="H65" s="20">
        <v>37.75</v>
      </c>
      <c r="I65" s="20">
        <v>807500</v>
      </c>
      <c r="J65" s="20">
        <v>79</v>
      </c>
      <c r="K65" s="20">
        <v>907000</v>
      </c>
      <c r="L65" s="20">
        <v>145000</v>
      </c>
      <c r="M65" s="20"/>
      <c r="N65" s="20"/>
      <c r="O65" s="20">
        <v>727860</v>
      </c>
      <c r="P65" s="20"/>
      <c r="Q65" s="19">
        <f t="shared" si="2"/>
        <v>23891680.362999998</v>
      </c>
      <c r="R65" s="20">
        <v>1376003</v>
      </c>
      <c r="S65" s="20">
        <v>8664260</v>
      </c>
      <c r="T65" s="20"/>
      <c r="U65" s="20"/>
      <c r="V65" s="20"/>
      <c r="W65" s="20">
        <v>498777</v>
      </c>
      <c r="X65" s="20">
        <v>3935343</v>
      </c>
      <c r="Y65" s="8">
        <f t="shared" si="3"/>
        <v>9417297.362999998</v>
      </c>
      <c r="Z65" s="36"/>
      <c r="AA65" s="36"/>
      <c r="AB65" s="36"/>
      <c r="AC65" s="36"/>
      <c r="AD65" s="36">
        <v>870000</v>
      </c>
      <c r="AE65" s="36"/>
      <c r="AF65" s="36">
        <v>3000</v>
      </c>
      <c r="AG65" s="36">
        <v>2962000</v>
      </c>
      <c r="AH65" s="36">
        <v>100000</v>
      </c>
      <c r="AI65" s="36"/>
      <c r="AJ65" s="36"/>
      <c r="AK65" s="36"/>
      <c r="AL65" s="37">
        <f t="shared" si="4"/>
        <v>3935000</v>
      </c>
      <c r="AM65" s="36"/>
      <c r="AN65" s="36"/>
      <c r="AO65" s="36"/>
      <c r="AP65" s="7"/>
      <c r="AQ65" s="38">
        <f t="shared" si="5"/>
        <v>5482297.362999998</v>
      </c>
      <c r="AR65" s="36">
        <v>0</v>
      </c>
      <c r="AS65" s="18">
        <f t="shared" si="6"/>
        <v>-5482297.362999998</v>
      </c>
    </row>
    <row r="66" spans="1:45" x14ac:dyDescent="0.25">
      <c r="A66" s="40">
        <v>45354</v>
      </c>
      <c r="B66" s="20">
        <v>1780.6479999999999</v>
      </c>
      <c r="C66" s="20">
        <v>4242.4960000000001</v>
      </c>
      <c r="D66" s="20">
        <v>5570</v>
      </c>
      <c r="E66" s="20">
        <v>5199</v>
      </c>
      <c r="F66" s="7">
        <f t="shared" si="0"/>
        <v>9918209.3599999994</v>
      </c>
      <c r="G66" s="7">
        <f t="shared" si="1"/>
        <v>22056736.704</v>
      </c>
      <c r="H66" s="20">
        <v>39.75</v>
      </c>
      <c r="I66" s="20">
        <v>793000</v>
      </c>
      <c r="J66" s="20">
        <v>98</v>
      </c>
      <c r="K66" s="20">
        <v>1094000</v>
      </c>
      <c r="L66" s="20">
        <v>8000</v>
      </c>
      <c r="M66" s="20"/>
      <c r="N66" s="20"/>
      <c r="O66" s="20">
        <v>1432607</v>
      </c>
      <c r="P66" s="20"/>
      <c r="Q66" s="19">
        <f t="shared" si="2"/>
        <v>35302553.063999996</v>
      </c>
      <c r="R66" s="20">
        <v>1455358</v>
      </c>
      <c r="S66" s="20">
        <v>21126287</v>
      </c>
      <c r="T66" s="20"/>
      <c r="U66" s="20"/>
      <c r="V66" s="20"/>
      <c r="W66" s="20">
        <v>100000</v>
      </c>
      <c r="X66" s="20">
        <v>5733184</v>
      </c>
      <c r="Y66" s="8">
        <f t="shared" si="3"/>
        <v>6887724.0639999956</v>
      </c>
      <c r="Z66" s="36"/>
      <c r="AA66" s="36"/>
      <c r="AB66" s="36"/>
      <c r="AC66" s="36">
        <v>22000</v>
      </c>
      <c r="AD66" s="36"/>
      <c r="AE66" s="36"/>
      <c r="AF66" s="36"/>
      <c r="AG66" s="36"/>
      <c r="AH66" s="36"/>
      <c r="AI66" s="36"/>
      <c r="AJ66" s="36"/>
      <c r="AK66" s="36"/>
      <c r="AL66" s="37">
        <f t="shared" si="4"/>
        <v>22000</v>
      </c>
      <c r="AM66" s="36"/>
      <c r="AN66" s="36"/>
      <c r="AO66" s="36"/>
      <c r="AP66" s="7"/>
      <c r="AQ66" s="38">
        <f t="shared" si="5"/>
        <v>6865724.0639999956</v>
      </c>
      <c r="AR66" s="36">
        <v>0</v>
      </c>
      <c r="AS66" s="18">
        <f t="shared" si="6"/>
        <v>-6865724.0639999956</v>
      </c>
    </row>
    <row r="67" spans="1:45" x14ac:dyDescent="0.25">
      <c r="A67" s="40">
        <v>45355</v>
      </c>
      <c r="B67" s="20">
        <v>1873.203</v>
      </c>
      <c r="C67" s="20">
        <v>2999.99</v>
      </c>
      <c r="D67" s="20">
        <v>5570</v>
      </c>
      <c r="E67" s="20">
        <v>5199</v>
      </c>
      <c r="F67" s="7">
        <f t="shared" si="0"/>
        <v>10433740.709999999</v>
      </c>
      <c r="G67" s="7">
        <f t="shared" si="1"/>
        <v>15596948.01</v>
      </c>
      <c r="H67" s="20">
        <v>65.25</v>
      </c>
      <c r="I67" s="20">
        <v>1483500</v>
      </c>
      <c r="J67" s="20">
        <v>72.5</v>
      </c>
      <c r="K67" s="20">
        <v>785000</v>
      </c>
      <c r="L67" s="20">
        <v>48000</v>
      </c>
      <c r="M67" s="20"/>
      <c r="N67" s="20"/>
      <c r="O67" s="20">
        <v>4900</v>
      </c>
      <c r="P67" s="20"/>
      <c r="Q67" s="19">
        <f t="shared" si="2"/>
        <v>28352088.719999999</v>
      </c>
      <c r="R67" s="20">
        <v>1353235</v>
      </c>
      <c r="S67" s="20">
        <v>16941950</v>
      </c>
      <c r="T67" s="20"/>
      <c r="U67" s="20"/>
      <c r="V67" s="20"/>
      <c r="W67" s="20">
        <v>639621</v>
      </c>
      <c r="X67" s="20">
        <v>3040480</v>
      </c>
      <c r="Y67" s="8">
        <f t="shared" si="3"/>
        <v>6376802.7199999988</v>
      </c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7">
        <f t="shared" si="4"/>
        <v>0</v>
      </c>
      <c r="AM67" s="36"/>
      <c r="AN67" s="36"/>
      <c r="AO67" s="36"/>
      <c r="AP67" s="7"/>
      <c r="AQ67" s="38">
        <f t="shared" si="5"/>
        <v>6376802.7199999988</v>
      </c>
      <c r="AR67" s="36">
        <v>18729200</v>
      </c>
      <c r="AS67" s="18">
        <f t="shared" si="6"/>
        <v>12352397.280000001</v>
      </c>
    </row>
    <row r="68" spans="1:45" x14ac:dyDescent="0.25">
      <c r="A68" s="40">
        <v>45356</v>
      </c>
      <c r="B68" s="20">
        <v>1804.9860000000001</v>
      </c>
      <c r="C68" s="20">
        <v>2769.7260000000001</v>
      </c>
      <c r="D68" s="20">
        <v>5570</v>
      </c>
      <c r="E68" s="20">
        <v>5199</v>
      </c>
      <c r="F68" s="7">
        <f t="shared" ref="F68:F131" si="7">B68*D68</f>
        <v>10053772.020000001</v>
      </c>
      <c r="G68" s="7">
        <f t="shared" ref="G68:G131" si="8">C68*E68</f>
        <v>14399805.474000001</v>
      </c>
      <c r="H68" s="20">
        <v>99</v>
      </c>
      <c r="I68" s="20">
        <v>2066500</v>
      </c>
      <c r="J68" s="20">
        <v>70</v>
      </c>
      <c r="K68" s="20">
        <v>823000</v>
      </c>
      <c r="L68" s="20">
        <v>115000</v>
      </c>
      <c r="M68" s="20"/>
      <c r="N68" s="20"/>
      <c r="O68" s="20">
        <v>1855740</v>
      </c>
      <c r="P68" s="20">
        <v>25000</v>
      </c>
      <c r="Q68" s="19">
        <f t="shared" ref="Q68:Q131" si="9">SUM(F68:G68)+I68+K68+SUM(L68:P68)</f>
        <v>29338817.494000003</v>
      </c>
      <c r="R68" s="20">
        <v>358253</v>
      </c>
      <c r="S68" s="20">
        <v>10013271</v>
      </c>
      <c r="T68" s="20"/>
      <c r="U68" s="20"/>
      <c r="V68" s="20"/>
      <c r="W68" s="20">
        <v>347100</v>
      </c>
      <c r="X68" s="20">
        <v>6899374</v>
      </c>
      <c r="Y68" s="8">
        <f t="shared" ref="Y68:Y131" si="10">Q68-SUM(R68:X68)</f>
        <v>11720819.494000003</v>
      </c>
      <c r="Z68" s="36"/>
      <c r="AA68" s="36"/>
      <c r="AB68" s="36"/>
      <c r="AC68" s="36"/>
      <c r="AD68" s="36"/>
      <c r="AE68" s="36"/>
      <c r="AF68" s="36"/>
      <c r="AG68" s="36"/>
      <c r="AH68" s="36">
        <v>27500</v>
      </c>
      <c r="AI68" s="36"/>
      <c r="AJ68" s="36">
        <v>400000</v>
      </c>
      <c r="AK68" s="36"/>
      <c r="AL68" s="37">
        <f t="shared" ref="AL68:AL131" si="11">SUM(Z68:AK68)</f>
        <v>427500</v>
      </c>
      <c r="AM68" s="36"/>
      <c r="AN68" s="36"/>
      <c r="AO68" s="36"/>
      <c r="AP68" s="7"/>
      <c r="AQ68" s="38">
        <f t="shared" ref="AQ68:AQ131" si="12">Q68-SUM(R68:X68)-AL68-SUM(AM68:AO68)</f>
        <v>11293319.494000003</v>
      </c>
      <c r="AR68" s="36">
        <v>11293200</v>
      </c>
      <c r="AS68" s="18">
        <f t="shared" ref="AS68:AS131" si="13">AR68-AQ68</f>
        <v>-119.49400000274181</v>
      </c>
    </row>
    <row r="69" spans="1:45" x14ac:dyDescent="0.25">
      <c r="A69" s="40">
        <v>45357</v>
      </c>
      <c r="B69" s="20">
        <v>1425.93</v>
      </c>
      <c r="C69" s="20">
        <v>6503.67</v>
      </c>
      <c r="D69" s="20">
        <v>5570</v>
      </c>
      <c r="E69" s="20">
        <v>5199</v>
      </c>
      <c r="F69" s="7">
        <f t="shared" si="7"/>
        <v>7942430.1000000006</v>
      </c>
      <c r="G69" s="7">
        <f t="shared" si="8"/>
        <v>33812580.329999998</v>
      </c>
      <c r="H69" s="20">
        <v>65</v>
      </c>
      <c r="I69" s="20">
        <v>1424500</v>
      </c>
      <c r="J69" s="20">
        <v>70</v>
      </c>
      <c r="K69" s="20">
        <v>838000</v>
      </c>
      <c r="L69" s="20">
        <v>63000</v>
      </c>
      <c r="M69" s="20"/>
      <c r="N69" s="20">
        <v>145000</v>
      </c>
      <c r="O69" s="20">
        <v>935800</v>
      </c>
      <c r="P69" s="20"/>
      <c r="Q69" s="19">
        <f t="shared" si="9"/>
        <v>45161310.43</v>
      </c>
      <c r="R69" s="20">
        <v>1597632</v>
      </c>
      <c r="S69" s="20">
        <v>24982843</v>
      </c>
      <c r="T69" s="20"/>
      <c r="U69" s="20">
        <v>402000</v>
      </c>
      <c r="V69" s="20"/>
      <c r="W69" s="20">
        <v>276005</v>
      </c>
      <c r="X69" s="20">
        <v>9078160</v>
      </c>
      <c r="Y69" s="8">
        <f t="shared" si="10"/>
        <v>8824670.4299999997</v>
      </c>
      <c r="Z69" s="36"/>
      <c r="AA69" s="36"/>
      <c r="AB69" s="36"/>
      <c r="AC69" s="36"/>
      <c r="AD69" s="36"/>
      <c r="AE69" s="36"/>
      <c r="AF69" s="36">
        <v>3000</v>
      </c>
      <c r="AG69" s="36"/>
      <c r="AH69" s="36"/>
      <c r="AI69" s="36"/>
      <c r="AJ69" s="36">
        <v>4830000</v>
      </c>
      <c r="AK69" s="36"/>
      <c r="AL69" s="37">
        <f t="shared" si="11"/>
        <v>4833000</v>
      </c>
      <c r="AM69" s="36"/>
      <c r="AN69" s="36"/>
      <c r="AO69" s="36"/>
      <c r="AP69" s="7"/>
      <c r="AQ69" s="38">
        <f t="shared" si="12"/>
        <v>3991670.4299999997</v>
      </c>
      <c r="AR69" s="36">
        <v>3991700</v>
      </c>
      <c r="AS69" s="18">
        <f t="shared" si="13"/>
        <v>29.570000000298023</v>
      </c>
    </row>
    <row r="70" spans="1:45" x14ac:dyDescent="0.25">
      <c r="A70" s="40">
        <v>45358</v>
      </c>
      <c r="B70" s="20">
        <v>1324</v>
      </c>
      <c r="C70" s="20">
        <v>1490</v>
      </c>
      <c r="D70" s="20">
        <v>5570</v>
      </c>
      <c r="E70" s="20">
        <v>5199</v>
      </c>
      <c r="F70" s="7">
        <f t="shared" si="7"/>
        <v>7374680</v>
      </c>
      <c r="G70" s="7">
        <f t="shared" si="8"/>
        <v>7746510</v>
      </c>
      <c r="H70" s="20">
        <v>14</v>
      </c>
      <c r="I70" s="20">
        <v>295500</v>
      </c>
      <c r="J70" s="20">
        <v>48</v>
      </c>
      <c r="K70" s="20">
        <v>836000</v>
      </c>
      <c r="L70" s="20">
        <v>8000</v>
      </c>
      <c r="M70" s="20"/>
      <c r="N70" s="20"/>
      <c r="O70" s="20">
        <v>1532726</v>
      </c>
      <c r="P70" s="20">
        <v>50000</v>
      </c>
      <c r="Q70" s="19">
        <f t="shared" si="9"/>
        <v>17843416</v>
      </c>
      <c r="R70" s="20">
        <v>785260</v>
      </c>
      <c r="S70" s="20">
        <v>7120408</v>
      </c>
      <c r="T70" s="20"/>
      <c r="U70" s="20"/>
      <c r="V70" s="20"/>
      <c r="W70" s="20">
        <v>0</v>
      </c>
      <c r="X70" s="20">
        <v>3327559</v>
      </c>
      <c r="Y70" s="8">
        <f t="shared" si="10"/>
        <v>6610189</v>
      </c>
      <c r="Z70" s="36"/>
      <c r="AA70" s="36"/>
      <c r="AB70" s="36"/>
      <c r="AC70" s="36"/>
      <c r="AD70" s="36">
        <v>68000</v>
      </c>
      <c r="AE70" s="36"/>
      <c r="AF70" s="36"/>
      <c r="AG70" s="36"/>
      <c r="AH70" s="36"/>
      <c r="AI70" s="36"/>
      <c r="AJ70" s="36">
        <v>2500000</v>
      </c>
      <c r="AK70" s="36"/>
      <c r="AL70" s="37">
        <f t="shared" si="11"/>
        <v>2568000</v>
      </c>
      <c r="AM70" s="36"/>
      <c r="AN70" s="36"/>
      <c r="AO70" s="36"/>
      <c r="AP70" s="7"/>
      <c r="AQ70" s="38">
        <f t="shared" si="12"/>
        <v>4042189</v>
      </c>
      <c r="AR70" s="36">
        <v>4049900</v>
      </c>
      <c r="AS70" s="18">
        <f t="shared" si="13"/>
        <v>7711</v>
      </c>
    </row>
    <row r="71" spans="1:45" x14ac:dyDescent="0.25">
      <c r="A71" s="40">
        <v>45359</v>
      </c>
      <c r="B71" s="20">
        <v>1703.18</v>
      </c>
      <c r="C71" s="20">
        <v>1359.173</v>
      </c>
      <c r="D71" s="20">
        <v>5570</v>
      </c>
      <c r="E71" s="20">
        <v>5199</v>
      </c>
      <c r="F71" s="7">
        <f t="shared" si="7"/>
        <v>9486712.5999999996</v>
      </c>
      <c r="G71" s="7">
        <f t="shared" si="8"/>
        <v>7066340.4270000001</v>
      </c>
      <c r="H71" s="20">
        <v>40</v>
      </c>
      <c r="I71" s="20">
        <v>819500</v>
      </c>
      <c r="J71" s="20">
        <v>86.5</v>
      </c>
      <c r="K71" s="20">
        <v>983000</v>
      </c>
      <c r="L71" s="20">
        <v>8000</v>
      </c>
      <c r="M71" s="20"/>
      <c r="N71" s="20"/>
      <c r="O71" s="20">
        <v>1040000</v>
      </c>
      <c r="P71" s="20"/>
      <c r="Q71" s="19">
        <f t="shared" si="9"/>
        <v>19403553.026999999</v>
      </c>
      <c r="R71" s="20">
        <v>1343623</v>
      </c>
      <c r="S71" s="20">
        <v>5344264</v>
      </c>
      <c r="T71" s="20"/>
      <c r="U71" s="20"/>
      <c r="V71" s="20"/>
      <c r="W71" s="20">
        <v>100000</v>
      </c>
      <c r="X71" s="20">
        <v>4424877</v>
      </c>
      <c r="Y71" s="8">
        <f t="shared" si="10"/>
        <v>8190789.0269999988</v>
      </c>
      <c r="Z71" s="36"/>
      <c r="AA71" s="36"/>
      <c r="AB71" s="36"/>
      <c r="AC71" s="36"/>
      <c r="AD71" s="36">
        <v>18500</v>
      </c>
      <c r="AE71" s="36"/>
      <c r="AF71" s="36"/>
      <c r="AG71" s="36"/>
      <c r="AH71" s="36"/>
      <c r="AI71" s="36"/>
      <c r="AJ71" s="36">
        <v>3000000</v>
      </c>
      <c r="AK71" s="36"/>
      <c r="AL71" s="37">
        <f t="shared" si="11"/>
        <v>3018500</v>
      </c>
      <c r="AM71" s="36"/>
      <c r="AN71" s="36"/>
      <c r="AO71" s="36"/>
      <c r="AP71" s="7"/>
      <c r="AQ71" s="38">
        <f t="shared" si="12"/>
        <v>5172289.0269999988</v>
      </c>
      <c r="AR71" s="36">
        <v>5168000</v>
      </c>
      <c r="AS71" s="18">
        <f t="shared" si="13"/>
        <v>-4289.0269999988377</v>
      </c>
    </row>
    <row r="72" spans="1:45" x14ac:dyDescent="0.25">
      <c r="A72" s="40">
        <v>45360</v>
      </c>
      <c r="B72" s="20">
        <v>1766.539</v>
      </c>
      <c r="C72" s="20">
        <v>1946.3520000000001</v>
      </c>
      <c r="D72" s="20">
        <v>5570</v>
      </c>
      <c r="E72" s="20">
        <v>5199</v>
      </c>
      <c r="F72" s="7">
        <f t="shared" si="7"/>
        <v>9839622.2300000004</v>
      </c>
      <c r="G72" s="7">
        <f t="shared" si="8"/>
        <v>10119084.048</v>
      </c>
      <c r="H72" s="20">
        <v>44</v>
      </c>
      <c r="I72" s="20">
        <v>901500</v>
      </c>
      <c r="J72" s="20">
        <v>61</v>
      </c>
      <c r="K72" s="20">
        <v>970000</v>
      </c>
      <c r="L72" s="20">
        <v>23000</v>
      </c>
      <c r="M72" s="20"/>
      <c r="N72" s="20"/>
      <c r="O72" s="20">
        <v>285945</v>
      </c>
      <c r="P72" s="20"/>
      <c r="Q72" s="19">
        <f t="shared" si="9"/>
        <v>22139151.278000001</v>
      </c>
      <c r="R72" s="20">
        <v>1747092</v>
      </c>
      <c r="S72" s="20">
        <v>6046019</v>
      </c>
      <c r="T72" s="20"/>
      <c r="U72" s="20">
        <v>789480</v>
      </c>
      <c r="V72" s="20"/>
      <c r="W72" s="20"/>
      <c r="X72" s="20">
        <v>6284655</v>
      </c>
      <c r="Y72" s="8">
        <f t="shared" si="10"/>
        <v>7271905.2780000009</v>
      </c>
      <c r="Z72" s="36"/>
      <c r="AA72" s="36"/>
      <c r="AB72" s="36"/>
      <c r="AC72" s="36"/>
      <c r="AD72" s="36"/>
      <c r="AE72" s="36"/>
      <c r="AF72" s="36">
        <v>3000</v>
      </c>
      <c r="AG72" s="36"/>
      <c r="AH72" s="36"/>
      <c r="AI72" s="36"/>
      <c r="AJ72" s="36">
        <v>3000000</v>
      </c>
      <c r="AK72" s="36"/>
      <c r="AL72" s="37">
        <f t="shared" si="11"/>
        <v>3003000</v>
      </c>
      <c r="AM72" s="36"/>
      <c r="AN72" s="36"/>
      <c r="AO72" s="36"/>
      <c r="AP72" s="7"/>
      <c r="AQ72" s="38">
        <f t="shared" si="12"/>
        <v>4268905.2780000009</v>
      </c>
      <c r="AR72" s="36">
        <v>4270500</v>
      </c>
      <c r="AS72" s="18">
        <f t="shared" si="13"/>
        <v>1594.7219999991357</v>
      </c>
    </row>
    <row r="73" spans="1:45" x14ac:dyDescent="0.25">
      <c r="A73" s="40">
        <v>45361</v>
      </c>
      <c r="B73" s="20">
        <v>1616.4549999999999</v>
      </c>
      <c r="C73" s="20">
        <v>730.48</v>
      </c>
      <c r="D73" s="20">
        <v>5570</v>
      </c>
      <c r="E73" s="20">
        <v>5199</v>
      </c>
      <c r="F73" s="7">
        <f t="shared" si="7"/>
        <v>9003654.3499999996</v>
      </c>
      <c r="G73" s="7">
        <f t="shared" si="8"/>
        <v>3797765.52</v>
      </c>
      <c r="H73" s="20">
        <v>25</v>
      </c>
      <c r="I73" s="20">
        <v>494500</v>
      </c>
      <c r="J73" s="20">
        <v>18</v>
      </c>
      <c r="K73" s="20">
        <v>168000</v>
      </c>
      <c r="L73" s="20">
        <v>30000</v>
      </c>
      <c r="M73" s="20"/>
      <c r="N73" s="20"/>
      <c r="O73" s="20">
        <v>977860</v>
      </c>
      <c r="P73" s="20"/>
      <c r="Q73" s="19">
        <f t="shared" si="9"/>
        <v>14471779.869999999</v>
      </c>
      <c r="R73" s="20">
        <v>919052</v>
      </c>
      <c r="S73" s="20">
        <v>3190757</v>
      </c>
      <c r="T73" s="20"/>
      <c r="U73" s="20">
        <v>340000</v>
      </c>
      <c r="V73" s="20"/>
      <c r="W73" s="20">
        <v>150000</v>
      </c>
      <c r="X73" s="20">
        <v>3688610</v>
      </c>
      <c r="Y73" s="8">
        <f t="shared" si="10"/>
        <v>6183360.8699999992</v>
      </c>
      <c r="Z73" s="36"/>
      <c r="AA73" s="36"/>
      <c r="AB73" s="36"/>
      <c r="AC73" s="36">
        <v>15000</v>
      </c>
      <c r="AD73" s="36">
        <v>103980</v>
      </c>
      <c r="AE73" s="36"/>
      <c r="AF73" s="36"/>
      <c r="AG73" s="36"/>
      <c r="AH73" s="36"/>
      <c r="AI73" s="36"/>
      <c r="AJ73" s="36"/>
      <c r="AK73" s="36"/>
      <c r="AL73" s="37">
        <f t="shared" si="11"/>
        <v>118980</v>
      </c>
      <c r="AM73" s="36"/>
      <c r="AN73" s="36"/>
      <c r="AO73" s="36"/>
      <c r="AP73" s="7"/>
      <c r="AQ73" s="38">
        <f t="shared" si="12"/>
        <v>6064380.8699999992</v>
      </c>
      <c r="AR73" s="36">
        <v>6064400</v>
      </c>
      <c r="AS73" s="18">
        <f t="shared" si="13"/>
        <v>19.130000000819564</v>
      </c>
    </row>
    <row r="74" spans="1:45" x14ac:dyDescent="0.25">
      <c r="A74" s="40">
        <v>45362</v>
      </c>
      <c r="B74" s="20">
        <v>1463.376</v>
      </c>
      <c r="C74" s="20">
        <v>3313.8</v>
      </c>
      <c r="D74" s="20">
        <v>5570</v>
      </c>
      <c r="E74" s="20">
        <v>5199</v>
      </c>
      <c r="F74" s="7">
        <f t="shared" si="7"/>
        <v>8151004.3200000003</v>
      </c>
      <c r="G74" s="7">
        <f t="shared" si="8"/>
        <v>17228446.199999999</v>
      </c>
      <c r="H74" s="20">
        <v>54</v>
      </c>
      <c r="I74" s="20">
        <v>1219500</v>
      </c>
      <c r="J74" s="20">
        <v>102.5</v>
      </c>
      <c r="K74" s="20">
        <v>1166000</v>
      </c>
      <c r="L74" s="20">
        <v>55000</v>
      </c>
      <c r="M74" s="20"/>
      <c r="N74" s="20"/>
      <c r="O74" s="20">
        <v>0</v>
      </c>
      <c r="P74" s="20"/>
      <c r="Q74" s="19">
        <f t="shared" si="9"/>
        <v>27819950.52</v>
      </c>
      <c r="R74" s="20">
        <v>609338</v>
      </c>
      <c r="S74" s="20">
        <v>14426216</v>
      </c>
      <c r="T74" s="20"/>
      <c r="U74" s="20">
        <v>1613000</v>
      </c>
      <c r="V74" s="20"/>
      <c r="W74" s="20">
        <v>214000</v>
      </c>
      <c r="X74" s="20">
        <v>6595120</v>
      </c>
      <c r="Y74" s="8">
        <f t="shared" si="10"/>
        <v>4362276.5199999996</v>
      </c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7">
        <f t="shared" si="11"/>
        <v>0</v>
      </c>
      <c r="AM74" s="36"/>
      <c r="AN74" s="36"/>
      <c r="AO74" s="36"/>
      <c r="AP74" s="7"/>
      <c r="AQ74" s="38">
        <f t="shared" si="12"/>
        <v>4362276.5199999996</v>
      </c>
      <c r="AR74" s="36">
        <v>4362300</v>
      </c>
      <c r="AS74" s="18">
        <f t="shared" si="13"/>
        <v>23.480000000447035</v>
      </c>
    </row>
    <row r="75" spans="1:45" x14ac:dyDescent="0.25">
      <c r="A75" s="40">
        <v>45363</v>
      </c>
      <c r="B75" s="20">
        <v>1686.98</v>
      </c>
      <c r="C75" s="20">
        <v>3126.57</v>
      </c>
      <c r="D75" s="20">
        <v>5570</v>
      </c>
      <c r="E75" s="20">
        <v>5199</v>
      </c>
      <c r="F75" s="7">
        <f t="shared" si="7"/>
        <v>9396478.5999999996</v>
      </c>
      <c r="G75" s="7">
        <f t="shared" si="8"/>
        <v>16255037.430000002</v>
      </c>
      <c r="H75" s="20">
        <v>78</v>
      </c>
      <c r="I75" s="20">
        <v>1592500</v>
      </c>
      <c r="J75" s="20">
        <v>58.5</v>
      </c>
      <c r="K75" s="20">
        <v>632000</v>
      </c>
      <c r="L75" s="20">
        <v>15000</v>
      </c>
      <c r="M75" s="20"/>
      <c r="N75" s="20"/>
      <c r="O75" s="20">
        <v>418029</v>
      </c>
      <c r="P75" s="20"/>
      <c r="Q75" s="19">
        <f t="shared" si="9"/>
        <v>28309045.030000001</v>
      </c>
      <c r="R75" s="20">
        <v>1623648</v>
      </c>
      <c r="S75" s="20">
        <v>9657792</v>
      </c>
      <c r="T75" s="20"/>
      <c r="U75" s="20">
        <v>0</v>
      </c>
      <c r="V75" s="20"/>
      <c r="W75" s="20">
        <v>368301</v>
      </c>
      <c r="X75" s="20">
        <v>8509866</v>
      </c>
      <c r="Y75" s="8">
        <f t="shared" si="10"/>
        <v>8149438.0300000012</v>
      </c>
      <c r="Z75" s="36"/>
      <c r="AA75" s="36"/>
      <c r="AB75" s="36"/>
      <c r="AC75" s="36"/>
      <c r="AD75" s="36"/>
      <c r="AE75" s="36"/>
      <c r="AF75" s="36">
        <v>3000</v>
      </c>
      <c r="AG75" s="36"/>
      <c r="AH75" s="36">
        <v>19000</v>
      </c>
      <c r="AI75" s="36"/>
      <c r="AJ75" s="36">
        <v>3000000</v>
      </c>
      <c r="AK75" s="36"/>
      <c r="AL75" s="37">
        <f t="shared" si="11"/>
        <v>3022000</v>
      </c>
      <c r="AM75" s="36"/>
      <c r="AN75" s="36"/>
      <c r="AO75" s="36"/>
      <c r="AP75" s="7"/>
      <c r="AQ75" s="38">
        <f t="shared" si="12"/>
        <v>5127438.0300000012</v>
      </c>
      <c r="AR75" s="36">
        <v>5127400</v>
      </c>
      <c r="AS75" s="18">
        <f t="shared" si="13"/>
        <v>-38.030000001192093</v>
      </c>
    </row>
    <row r="76" spans="1:45" x14ac:dyDescent="0.25">
      <c r="A76" s="40">
        <v>45364</v>
      </c>
      <c r="B76" s="20">
        <v>1432.2360000000001</v>
      </c>
      <c r="C76" s="20">
        <v>2579.2280000000001</v>
      </c>
      <c r="D76" s="20">
        <v>5570</v>
      </c>
      <c r="E76" s="20">
        <v>5199</v>
      </c>
      <c r="F76" s="7">
        <f t="shared" si="7"/>
        <v>7977554.5200000005</v>
      </c>
      <c r="G76" s="7">
        <f t="shared" si="8"/>
        <v>13409406.372</v>
      </c>
      <c r="H76" s="20">
        <v>86.5</v>
      </c>
      <c r="I76" s="20">
        <v>1814500</v>
      </c>
      <c r="J76" s="20">
        <v>42</v>
      </c>
      <c r="K76" s="20">
        <v>552000</v>
      </c>
      <c r="L76" s="20">
        <v>155000</v>
      </c>
      <c r="M76" s="20"/>
      <c r="N76" s="20"/>
      <c r="O76" s="20">
        <v>4090851</v>
      </c>
      <c r="P76" s="20"/>
      <c r="Q76" s="19">
        <f t="shared" si="9"/>
        <v>27999311.892000001</v>
      </c>
      <c r="R76" s="20">
        <v>1235900</v>
      </c>
      <c r="S76" s="20">
        <v>10881438</v>
      </c>
      <c r="T76" s="20"/>
      <c r="U76" s="20">
        <v>1031890</v>
      </c>
      <c r="V76" s="20"/>
      <c r="W76" s="20">
        <v>60000</v>
      </c>
      <c r="X76" s="20">
        <v>3995120</v>
      </c>
      <c r="Y76" s="8">
        <f t="shared" si="10"/>
        <v>10794963.892000001</v>
      </c>
      <c r="Z76" s="36"/>
      <c r="AA76" s="36"/>
      <c r="AB76" s="36"/>
      <c r="AC76" s="36"/>
      <c r="AD76" s="36"/>
      <c r="AE76" s="36"/>
      <c r="AF76" s="36"/>
      <c r="AG76" s="36"/>
      <c r="AH76" s="36">
        <v>20000</v>
      </c>
      <c r="AI76" s="36"/>
      <c r="AJ76" s="36">
        <v>2275000</v>
      </c>
      <c r="AK76" s="36"/>
      <c r="AL76" s="37">
        <f t="shared" si="11"/>
        <v>2295000</v>
      </c>
      <c r="AM76" s="36"/>
      <c r="AN76" s="36"/>
      <c r="AO76" s="36"/>
      <c r="AP76" s="7"/>
      <c r="AQ76" s="38">
        <f t="shared" si="12"/>
        <v>8499963.8920000009</v>
      </c>
      <c r="AR76" s="36">
        <v>8500000</v>
      </c>
      <c r="AS76" s="18">
        <f t="shared" si="13"/>
        <v>36.107999999076128</v>
      </c>
    </row>
    <row r="77" spans="1:45" x14ac:dyDescent="0.25">
      <c r="A77" s="40">
        <v>45365</v>
      </c>
      <c r="B77" s="20">
        <v>1463.539</v>
      </c>
      <c r="C77" s="20">
        <v>3513.9769999999999</v>
      </c>
      <c r="D77" s="20">
        <v>5570</v>
      </c>
      <c r="E77" s="20">
        <v>5199</v>
      </c>
      <c r="F77" s="7">
        <f t="shared" si="7"/>
        <v>8151912.2299999995</v>
      </c>
      <c r="G77" s="7">
        <f t="shared" si="8"/>
        <v>18269166.423</v>
      </c>
      <c r="H77" s="20">
        <v>38.5</v>
      </c>
      <c r="I77" s="20">
        <v>732000</v>
      </c>
      <c r="J77" s="20">
        <v>55.5</v>
      </c>
      <c r="K77" s="20">
        <v>524000</v>
      </c>
      <c r="L77" s="20">
        <v>43000</v>
      </c>
      <c r="M77" s="20"/>
      <c r="N77" s="20"/>
      <c r="O77" s="20">
        <v>1613400</v>
      </c>
      <c r="P77" s="20"/>
      <c r="Q77" s="19">
        <f t="shared" si="9"/>
        <v>29333478.653000001</v>
      </c>
      <c r="R77" s="20">
        <v>465287</v>
      </c>
      <c r="S77" s="20">
        <v>17031752</v>
      </c>
      <c r="T77" s="20"/>
      <c r="U77" s="20">
        <v>990000</v>
      </c>
      <c r="V77" s="20"/>
      <c r="W77" s="20">
        <v>84000</v>
      </c>
      <c r="X77" s="20">
        <v>2108060</v>
      </c>
      <c r="Y77" s="8">
        <f t="shared" si="10"/>
        <v>8654379.6530000009</v>
      </c>
      <c r="Z77" s="36">
        <v>1591992</v>
      </c>
      <c r="AA77" s="36"/>
      <c r="AB77" s="36"/>
      <c r="AC77" s="36"/>
      <c r="AD77" s="36"/>
      <c r="AE77" s="36"/>
      <c r="AF77" s="36">
        <v>3000</v>
      </c>
      <c r="AG77" s="36"/>
      <c r="AH77" s="36">
        <v>200000</v>
      </c>
      <c r="AI77" s="36"/>
      <c r="AJ77" s="36"/>
      <c r="AK77" s="36"/>
      <c r="AL77" s="37">
        <f t="shared" si="11"/>
        <v>1794992</v>
      </c>
      <c r="AM77" s="36"/>
      <c r="AN77" s="36"/>
      <c r="AO77" s="36"/>
      <c r="AP77" s="7"/>
      <c r="AQ77" s="38">
        <f t="shared" si="12"/>
        <v>6859387.6530000009</v>
      </c>
      <c r="AR77" s="36">
        <v>6879400</v>
      </c>
      <c r="AS77" s="18">
        <f t="shared" si="13"/>
        <v>20012.346999999136</v>
      </c>
    </row>
    <row r="78" spans="1:45" x14ac:dyDescent="0.25">
      <c r="A78" s="40">
        <v>45366</v>
      </c>
      <c r="B78" s="20">
        <v>1333.7360000000001</v>
      </c>
      <c r="C78" s="20">
        <v>3135.87</v>
      </c>
      <c r="D78" s="20">
        <v>5570</v>
      </c>
      <c r="E78" s="20">
        <v>5199</v>
      </c>
      <c r="F78" s="7">
        <f t="shared" si="7"/>
        <v>7428909.5200000005</v>
      </c>
      <c r="G78" s="7">
        <f t="shared" si="8"/>
        <v>16303388.129999999</v>
      </c>
      <c r="H78" s="20">
        <v>21.75</v>
      </c>
      <c r="I78" s="20">
        <v>433000</v>
      </c>
      <c r="J78" s="20">
        <v>18</v>
      </c>
      <c r="K78" s="20">
        <v>168000</v>
      </c>
      <c r="L78" s="20">
        <v>8000</v>
      </c>
      <c r="M78" s="20"/>
      <c r="N78" s="20"/>
      <c r="O78" s="20">
        <v>442000</v>
      </c>
      <c r="P78" s="20"/>
      <c r="Q78" s="19">
        <f t="shared" si="9"/>
        <v>24783297.649999999</v>
      </c>
      <c r="R78" s="20">
        <v>1341486</v>
      </c>
      <c r="S78" s="20">
        <v>11199969</v>
      </c>
      <c r="T78" s="20"/>
      <c r="U78" s="20">
        <v>2079000</v>
      </c>
      <c r="V78" s="20"/>
      <c r="W78" s="20">
        <v>0</v>
      </c>
      <c r="X78" s="20">
        <v>6443312</v>
      </c>
      <c r="Y78" s="8">
        <f t="shared" si="10"/>
        <v>3719530.6499999985</v>
      </c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7">
        <f t="shared" si="11"/>
        <v>0</v>
      </c>
      <c r="AM78" s="36"/>
      <c r="AN78" s="36"/>
      <c r="AO78" s="36"/>
      <c r="AP78" s="7"/>
      <c r="AQ78" s="38">
        <f t="shared" si="12"/>
        <v>3719530.6499999985</v>
      </c>
      <c r="AR78" s="36">
        <v>3718500</v>
      </c>
      <c r="AS78" s="18">
        <f t="shared" si="13"/>
        <v>-1030.6499999985099</v>
      </c>
    </row>
    <row r="79" spans="1:45" x14ac:dyDescent="0.25">
      <c r="A79" s="40">
        <v>45367</v>
      </c>
      <c r="B79" s="20">
        <v>1553.0730000000001</v>
      </c>
      <c r="C79" s="20">
        <v>2842.3220000000001</v>
      </c>
      <c r="D79" s="20">
        <v>5570</v>
      </c>
      <c r="E79" s="20">
        <v>5199</v>
      </c>
      <c r="F79" s="7">
        <f t="shared" si="7"/>
        <v>8650616.6100000013</v>
      </c>
      <c r="G79" s="7">
        <f t="shared" si="8"/>
        <v>14777232.078</v>
      </c>
      <c r="H79" s="20">
        <v>48.5</v>
      </c>
      <c r="I79" s="20">
        <v>1071500</v>
      </c>
      <c r="J79" s="20">
        <v>45</v>
      </c>
      <c r="K79" s="20">
        <v>614000</v>
      </c>
      <c r="L79" s="20">
        <v>23000</v>
      </c>
      <c r="M79" s="20"/>
      <c r="N79" s="20"/>
      <c r="O79" s="20">
        <v>2054660</v>
      </c>
      <c r="P79" s="20"/>
      <c r="Q79" s="19">
        <f t="shared" si="9"/>
        <v>27191008.688000001</v>
      </c>
      <c r="R79" s="20">
        <v>961047</v>
      </c>
      <c r="S79" s="20">
        <v>9533159</v>
      </c>
      <c r="T79" s="20"/>
      <c r="U79" s="20"/>
      <c r="V79" s="20"/>
      <c r="W79" s="20">
        <v>230700</v>
      </c>
      <c r="X79" s="20">
        <v>9097856</v>
      </c>
      <c r="Y79" s="8">
        <f t="shared" si="10"/>
        <v>7368246.688000001</v>
      </c>
      <c r="Z79" s="36"/>
      <c r="AA79" s="36"/>
      <c r="AB79" s="36"/>
      <c r="AC79" s="36"/>
      <c r="AD79" s="36"/>
      <c r="AE79" s="36"/>
      <c r="AF79" s="36"/>
      <c r="AG79" s="36">
        <v>115000</v>
      </c>
      <c r="AH79" s="36"/>
      <c r="AI79" s="36"/>
      <c r="AJ79" s="36">
        <v>374000</v>
      </c>
      <c r="AK79" s="36"/>
      <c r="AL79" s="37">
        <f t="shared" si="11"/>
        <v>489000</v>
      </c>
      <c r="AM79" s="36"/>
      <c r="AN79" s="36"/>
      <c r="AO79" s="36"/>
      <c r="AP79" s="7"/>
      <c r="AQ79" s="38">
        <f t="shared" si="12"/>
        <v>6879246.688000001</v>
      </c>
      <c r="AR79" s="36">
        <v>0</v>
      </c>
      <c r="AS79" s="18">
        <f t="shared" si="13"/>
        <v>-6879246.688000001</v>
      </c>
    </row>
    <row r="80" spans="1:45" x14ac:dyDescent="0.25">
      <c r="A80" s="40">
        <v>45368</v>
      </c>
      <c r="B80" s="20">
        <v>2146.7310000000002</v>
      </c>
      <c r="C80" s="20">
        <v>1970.42</v>
      </c>
      <c r="D80" s="20">
        <v>5570</v>
      </c>
      <c r="E80" s="20">
        <v>5199</v>
      </c>
      <c r="F80" s="7">
        <f t="shared" si="7"/>
        <v>11957291.670000002</v>
      </c>
      <c r="G80" s="7">
        <f t="shared" si="8"/>
        <v>10244213.58</v>
      </c>
      <c r="H80" s="20">
        <v>89.25</v>
      </c>
      <c r="I80" s="20">
        <v>1740000</v>
      </c>
      <c r="J80" s="20">
        <v>57.5</v>
      </c>
      <c r="K80" s="36">
        <v>613000</v>
      </c>
      <c r="L80" s="20">
        <v>31000</v>
      </c>
      <c r="M80" s="20"/>
      <c r="N80" s="20"/>
      <c r="O80" s="20">
        <v>2423660</v>
      </c>
      <c r="P80" s="20"/>
      <c r="Q80" s="19">
        <f t="shared" si="9"/>
        <v>27009165.25</v>
      </c>
      <c r="R80" s="20">
        <v>1418690</v>
      </c>
      <c r="S80" s="20">
        <v>5071071</v>
      </c>
      <c r="T80" s="20"/>
      <c r="U80" s="20">
        <v>1766400</v>
      </c>
      <c r="V80" s="20"/>
      <c r="W80" s="20">
        <v>520000</v>
      </c>
      <c r="X80" s="20">
        <v>8828701</v>
      </c>
      <c r="Y80" s="8">
        <f t="shared" si="10"/>
        <v>9404303.25</v>
      </c>
      <c r="Z80" s="36"/>
      <c r="AA80" s="36"/>
      <c r="AB80" s="36">
        <v>625400</v>
      </c>
      <c r="AC80" s="36"/>
      <c r="AD80" s="36"/>
      <c r="AE80" s="36"/>
      <c r="AF80" s="36">
        <v>6000</v>
      </c>
      <c r="AG80" s="36"/>
      <c r="AH80" s="36"/>
      <c r="AI80" s="36"/>
      <c r="AJ80" s="36"/>
      <c r="AK80" s="36"/>
      <c r="AL80" s="37">
        <f t="shared" si="11"/>
        <v>631400</v>
      </c>
      <c r="AM80" s="36"/>
      <c r="AN80" s="36"/>
      <c r="AO80" s="36"/>
      <c r="AP80" s="7"/>
      <c r="AQ80" s="38">
        <f t="shared" si="12"/>
        <v>8772903.25</v>
      </c>
      <c r="AR80" s="36"/>
      <c r="AS80" s="18">
        <f t="shared" si="13"/>
        <v>-8772903.25</v>
      </c>
    </row>
    <row r="81" spans="1:45" x14ac:dyDescent="0.25">
      <c r="A81" s="40">
        <v>45369</v>
      </c>
      <c r="B81" s="20">
        <v>1632.2</v>
      </c>
      <c r="C81" s="20">
        <v>1280.9839999999999</v>
      </c>
      <c r="D81" s="20">
        <v>5570</v>
      </c>
      <c r="E81" s="20">
        <v>5199</v>
      </c>
      <c r="F81" s="7">
        <f t="shared" si="7"/>
        <v>9091354</v>
      </c>
      <c r="G81" s="7">
        <f t="shared" si="8"/>
        <v>6659835.8159999996</v>
      </c>
      <c r="H81" s="20">
        <v>54</v>
      </c>
      <c r="I81" s="20">
        <v>1019000</v>
      </c>
      <c r="J81" s="20">
        <v>49</v>
      </c>
      <c r="K81" s="36">
        <v>659000</v>
      </c>
      <c r="L81" s="20">
        <v>46000</v>
      </c>
      <c r="M81" s="20">
        <v>750000</v>
      </c>
      <c r="N81" s="20"/>
      <c r="O81" s="20">
        <v>880700</v>
      </c>
      <c r="P81" s="20">
        <v>25000</v>
      </c>
      <c r="Q81" s="19">
        <f t="shared" si="9"/>
        <v>19130889.816</v>
      </c>
      <c r="R81" s="20">
        <v>759343</v>
      </c>
      <c r="S81" s="20">
        <v>4270855</v>
      </c>
      <c r="T81" s="20"/>
      <c r="U81" s="20">
        <v>670600</v>
      </c>
      <c r="V81" s="20"/>
      <c r="W81" s="20">
        <v>130000</v>
      </c>
      <c r="X81" s="20">
        <v>8085885</v>
      </c>
      <c r="Y81" s="8">
        <f t="shared" si="10"/>
        <v>5214206.8159999996</v>
      </c>
      <c r="Z81" s="36"/>
      <c r="AA81" s="36"/>
      <c r="AB81" s="36"/>
      <c r="AC81" s="36"/>
      <c r="AD81" s="36"/>
      <c r="AE81" s="36"/>
      <c r="AF81" s="36"/>
      <c r="AG81" s="36"/>
      <c r="AH81" s="36">
        <v>4000</v>
      </c>
      <c r="AI81" s="36"/>
      <c r="AJ81" s="36"/>
      <c r="AK81" s="36"/>
      <c r="AL81" s="37">
        <f t="shared" si="11"/>
        <v>4000</v>
      </c>
      <c r="AM81" s="36"/>
      <c r="AN81" s="36"/>
      <c r="AO81" s="36"/>
      <c r="AP81" s="7"/>
      <c r="AQ81" s="38">
        <f t="shared" si="12"/>
        <v>5210206.8159999996</v>
      </c>
      <c r="AR81" s="36">
        <v>20196000</v>
      </c>
      <c r="AS81" s="18">
        <f t="shared" si="13"/>
        <v>14985793.184</v>
      </c>
    </row>
    <row r="82" spans="1:45" x14ac:dyDescent="0.25">
      <c r="A82" s="40">
        <v>45370</v>
      </c>
      <c r="B82" s="20">
        <v>1589.0519999999999</v>
      </c>
      <c r="C82" s="20">
        <v>3783.172</v>
      </c>
      <c r="D82" s="20">
        <v>5570</v>
      </c>
      <c r="E82" s="20">
        <v>5199</v>
      </c>
      <c r="F82" s="7">
        <f t="shared" si="7"/>
        <v>8851019.6399999987</v>
      </c>
      <c r="G82" s="7">
        <f t="shared" si="8"/>
        <v>19668711.228</v>
      </c>
      <c r="H82" s="20">
        <v>26</v>
      </c>
      <c r="I82" s="20">
        <v>548500</v>
      </c>
      <c r="J82" s="20">
        <v>55</v>
      </c>
      <c r="K82" s="20">
        <v>523000</v>
      </c>
      <c r="L82" s="20">
        <v>0</v>
      </c>
      <c r="M82" s="20">
        <v>20000</v>
      </c>
      <c r="N82" s="20"/>
      <c r="O82" s="20">
        <v>3831280</v>
      </c>
      <c r="P82" s="20"/>
      <c r="Q82" s="19">
        <f t="shared" si="9"/>
        <v>33442510.868000001</v>
      </c>
      <c r="R82" s="20">
        <v>1639595</v>
      </c>
      <c r="S82" s="20">
        <v>18586276</v>
      </c>
      <c r="T82" s="20"/>
      <c r="U82" s="20">
        <v>1207000</v>
      </c>
      <c r="V82" s="20"/>
      <c r="W82" s="20">
        <v>50000</v>
      </c>
      <c r="X82" s="20">
        <v>4856637</v>
      </c>
      <c r="Y82" s="8">
        <f t="shared" si="10"/>
        <v>7103002.8680000007</v>
      </c>
      <c r="Z82" s="36"/>
      <c r="AA82" s="36"/>
      <c r="AB82" s="36"/>
      <c r="AC82" s="36"/>
      <c r="AD82" s="36"/>
      <c r="AE82" s="36"/>
      <c r="AF82" s="36"/>
      <c r="AG82" s="36"/>
      <c r="AH82" s="36">
        <v>23500</v>
      </c>
      <c r="AI82" s="36">
        <v>10000</v>
      </c>
      <c r="AJ82" s="36"/>
      <c r="AK82" s="36"/>
      <c r="AL82" s="37">
        <f t="shared" si="11"/>
        <v>33500</v>
      </c>
      <c r="AM82" s="36">
        <v>1000000</v>
      </c>
      <c r="AN82" s="36"/>
      <c r="AO82" s="36"/>
      <c r="AP82" s="7"/>
      <c r="AQ82" s="38">
        <f t="shared" si="12"/>
        <v>6069502.8680000007</v>
      </c>
      <c r="AR82" s="36">
        <v>6739500</v>
      </c>
      <c r="AS82" s="18">
        <f t="shared" si="13"/>
        <v>669997.13199999928</v>
      </c>
    </row>
    <row r="83" spans="1:45" x14ac:dyDescent="0.25">
      <c r="A83" s="40">
        <v>45371</v>
      </c>
      <c r="B83" s="20">
        <v>1692.1790000000001</v>
      </c>
      <c r="C83" s="20">
        <v>2595.5949999999998</v>
      </c>
      <c r="D83" s="20">
        <v>5570</v>
      </c>
      <c r="E83" s="20">
        <v>5199</v>
      </c>
      <c r="F83" s="7">
        <f t="shared" si="7"/>
        <v>9425437.0300000012</v>
      </c>
      <c r="G83" s="7">
        <f t="shared" si="8"/>
        <v>13494498.404999999</v>
      </c>
      <c r="H83" s="20">
        <v>38.75</v>
      </c>
      <c r="I83" s="20">
        <v>774000</v>
      </c>
      <c r="J83" s="20">
        <v>61.5</v>
      </c>
      <c r="K83" s="20">
        <v>643000</v>
      </c>
      <c r="L83" s="20">
        <v>15000</v>
      </c>
      <c r="M83" s="20">
        <v>0</v>
      </c>
      <c r="N83" s="20"/>
      <c r="O83" s="20">
        <v>0</v>
      </c>
      <c r="P83" s="20">
        <v>0</v>
      </c>
      <c r="Q83" s="19">
        <f t="shared" si="9"/>
        <v>24351935.435000002</v>
      </c>
      <c r="R83" s="20">
        <v>1317930</v>
      </c>
      <c r="S83" s="20">
        <v>6047487</v>
      </c>
      <c r="T83" s="20"/>
      <c r="U83" s="20">
        <v>615000</v>
      </c>
      <c r="V83" s="20"/>
      <c r="W83" s="20">
        <v>0</v>
      </c>
      <c r="X83" s="20">
        <v>11436219</v>
      </c>
      <c r="Y83" s="8">
        <f t="shared" si="10"/>
        <v>4935299.4350000024</v>
      </c>
      <c r="Z83" s="36"/>
      <c r="AA83" s="36"/>
      <c r="AB83" s="36"/>
      <c r="AC83" s="36"/>
      <c r="AD83" s="36"/>
      <c r="AE83" s="36"/>
      <c r="AF83" s="36">
        <v>23000</v>
      </c>
      <c r="AG83" s="36"/>
      <c r="AH83" s="36"/>
      <c r="AI83" s="36"/>
      <c r="AJ83" s="36">
        <v>200000</v>
      </c>
      <c r="AK83" s="36"/>
      <c r="AL83" s="37">
        <f t="shared" si="11"/>
        <v>223000</v>
      </c>
      <c r="AM83" s="36">
        <v>500000</v>
      </c>
      <c r="AN83" s="36"/>
      <c r="AO83" s="36"/>
      <c r="AP83" s="7"/>
      <c r="AQ83" s="38">
        <f t="shared" si="12"/>
        <v>4212299.4350000024</v>
      </c>
      <c r="AR83" s="36">
        <v>4212300</v>
      </c>
      <c r="AS83" s="18">
        <f t="shared" si="13"/>
        <v>0.56499999761581421</v>
      </c>
    </row>
    <row r="84" spans="1:45" x14ac:dyDescent="0.25">
      <c r="A84" s="40">
        <v>45372</v>
      </c>
      <c r="B84" s="20">
        <v>1928.664</v>
      </c>
      <c r="C84" s="20">
        <v>5228.7179999999998</v>
      </c>
      <c r="D84" s="20">
        <v>5570</v>
      </c>
      <c r="E84" s="20">
        <v>5199</v>
      </c>
      <c r="F84" s="7">
        <f t="shared" si="7"/>
        <v>10742658.48</v>
      </c>
      <c r="G84" s="7">
        <f t="shared" si="8"/>
        <v>27184104.881999999</v>
      </c>
      <c r="H84" s="20">
        <v>41.75</v>
      </c>
      <c r="I84" s="20">
        <v>866000</v>
      </c>
      <c r="J84" s="20">
        <v>30</v>
      </c>
      <c r="K84" s="20">
        <v>360000</v>
      </c>
      <c r="L84" s="20">
        <v>86000</v>
      </c>
      <c r="M84" s="20"/>
      <c r="N84" s="20"/>
      <c r="O84" s="20">
        <v>50000</v>
      </c>
      <c r="P84" s="20"/>
      <c r="Q84" s="19">
        <f t="shared" si="9"/>
        <v>39288763.362000003</v>
      </c>
      <c r="R84" s="20">
        <v>1270727</v>
      </c>
      <c r="S84" s="20">
        <v>23321605</v>
      </c>
      <c r="T84" s="20"/>
      <c r="U84" s="20">
        <v>426000</v>
      </c>
      <c r="V84" s="20"/>
      <c r="W84" s="20"/>
      <c r="X84" s="20">
        <v>11203568</v>
      </c>
      <c r="Y84" s="8">
        <f t="shared" si="10"/>
        <v>3066863.3620000035</v>
      </c>
      <c r="Z84" s="36"/>
      <c r="AA84" s="36"/>
      <c r="AB84" s="36"/>
      <c r="AC84" s="36"/>
      <c r="AD84" s="36"/>
      <c r="AE84" s="36"/>
      <c r="AF84" s="36">
        <v>8000</v>
      </c>
      <c r="AG84" s="36"/>
      <c r="AH84" s="36">
        <v>19000</v>
      </c>
      <c r="AI84" s="36"/>
      <c r="AJ84" s="36"/>
      <c r="AK84" s="36"/>
      <c r="AL84" s="37">
        <f t="shared" si="11"/>
        <v>27000</v>
      </c>
      <c r="AM84" s="36"/>
      <c r="AN84" s="36"/>
      <c r="AO84" s="36"/>
      <c r="AP84" s="7"/>
      <c r="AQ84" s="38">
        <f t="shared" si="12"/>
        <v>3039863.3620000035</v>
      </c>
      <c r="AR84" s="36">
        <v>3039800</v>
      </c>
      <c r="AS84" s="18">
        <f t="shared" si="13"/>
        <v>-63.362000003457069</v>
      </c>
    </row>
    <row r="85" spans="1:45" x14ac:dyDescent="0.25">
      <c r="A85" s="40">
        <v>45373</v>
      </c>
      <c r="B85" s="20">
        <v>2038.048</v>
      </c>
      <c r="C85" s="20">
        <v>2458.5770000000002</v>
      </c>
      <c r="D85" s="20">
        <v>5570</v>
      </c>
      <c r="E85" s="20">
        <v>5199</v>
      </c>
      <c r="F85" s="7">
        <f t="shared" si="7"/>
        <v>11351927.359999999</v>
      </c>
      <c r="G85" s="7">
        <f t="shared" si="8"/>
        <v>12782141.823000001</v>
      </c>
      <c r="H85" s="20">
        <v>44</v>
      </c>
      <c r="I85" s="20">
        <v>928500</v>
      </c>
      <c r="J85" s="20">
        <v>27.5</v>
      </c>
      <c r="K85" s="20">
        <v>341000</v>
      </c>
      <c r="L85" s="20">
        <v>0</v>
      </c>
      <c r="M85" s="20"/>
      <c r="N85" s="20"/>
      <c r="O85" s="20">
        <v>2533680</v>
      </c>
      <c r="P85" s="20"/>
      <c r="Q85" s="19">
        <f t="shared" si="9"/>
        <v>27937249.182999998</v>
      </c>
      <c r="R85" s="20">
        <v>1192116</v>
      </c>
      <c r="S85" s="20">
        <v>13563815</v>
      </c>
      <c r="T85" s="20"/>
      <c r="U85" s="20">
        <v>870800</v>
      </c>
      <c r="V85" s="20"/>
      <c r="W85" s="20">
        <v>0</v>
      </c>
      <c r="X85" s="20">
        <v>6339047</v>
      </c>
      <c r="Y85" s="8">
        <f t="shared" si="10"/>
        <v>5971471.1829999983</v>
      </c>
      <c r="Z85" s="36"/>
      <c r="AA85" s="36"/>
      <c r="AB85" s="36"/>
      <c r="AC85" s="36"/>
      <c r="AD85" s="36">
        <v>103980</v>
      </c>
      <c r="AE85" s="36"/>
      <c r="AF85" s="36">
        <v>3000</v>
      </c>
      <c r="AG85" s="36"/>
      <c r="AH85" s="36">
        <v>7000</v>
      </c>
      <c r="AI85" s="36"/>
      <c r="AJ85" s="36"/>
      <c r="AK85" s="36"/>
      <c r="AL85" s="37">
        <f t="shared" si="11"/>
        <v>113980</v>
      </c>
      <c r="AM85" s="36">
        <v>1117000</v>
      </c>
      <c r="AN85" s="36"/>
      <c r="AO85" s="36"/>
      <c r="AP85" s="7"/>
      <c r="AQ85" s="38">
        <f t="shared" si="12"/>
        <v>4740491.1829999983</v>
      </c>
      <c r="AR85" s="36">
        <v>4740400</v>
      </c>
      <c r="AS85" s="18">
        <f t="shared" si="13"/>
        <v>-91.18299999833107</v>
      </c>
    </row>
    <row r="86" spans="1:45" x14ac:dyDescent="0.25">
      <c r="A86" s="40">
        <v>45374</v>
      </c>
      <c r="B86" s="20">
        <v>1960.06</v>
      </c>
      <c r="C86" s="20">
        <v>3288.2420000000002</v>
      </c>
      <c r="D86" s="20">
        <v>5570</v>
      </c>
      <c r="E86" s="20">
        <v>5199</v>
      </c>
      <c r="F86" s="7">
        <f t="shared" si="7"/>
        <v>10917534.199999999</v>
      </c>
      <c r="G86" s="7">
        <f t="shared" si="8"/>
        <v>17095570.158</v>
      </c>
      <c r="H86" s="20">
        <v>69</v>
      </c>
      <c r="I86" s="20">
        <v>1386000</v>
      </c>
      <c r="J86" s="20">
        <v>51.5</v>
      </c>
      <c r="K86" s="20">
        <v>598000</v>
      </c>
      <c r="L86" s="20">
        <v>100000</v>
      </c>
      <c r="M86" s="20">
        <v>0</v>
      </c>
      <c r="N86" s="20"/>
      <c r="O86" s="20">
        <v>394940</v>
      </c>
      <c r="P86" s="20"/>
      <c r="Q86" s="19">
        <f t="shared" si="9"/>
        <v>30492044.357999999</v>
      </c>
      <c r="R86" s="20">
        <v>897873</v>
      </c>
      <c r="S86" s="20">
        <v>9204134</v>
      </c>
      <c r="T86" s="20"/>
      <c r="U86" s="20">
        <v>0</v>
      </c>
      <c r="V86" s="20"/>
      <c r="W86" s="20">
        <v>559189</v>
      </c>
      <c r="X86" s="20">
        <v>11806175</v>
      </c>
      <c r="Y86" s="8">
        <f t="shared" si="10"/>
        <v>8024673.3579999991</v>
      </c>
      <c r="Z86" s="36"/>
      <c r="AA86" s="36">
        <v>133920</v>
      </c>
      <c r="AB86" s="36"/>
      <c r="AC86" s="36"/>
      <c r="AD86" s="36"/>
      <c r="AE86" s="36"/>
      <c r="AF86" s="36">
        <v>3000</v>
      </c>
      <c r="AG86" s="36"/>
      <c r="AH86" s="36">
        <v>8000</v>
      </c>
      <c r="AI86" s="36"/>
      <c r="AJ86" s="36"/>
      <c r="AK86" s="36"/>
      <c r="AL86" s="37">
        <f t="shared" si="11"/>
        <v>144920</v>
      </c>
      <c r="AM86" s="36"/>
      <c r="AN86" s="36"/>
      <c r="AO86" s="36"/>
      <c r="AP86" s="7"/>
      <c r="AQ86" s="38">
        <f t="shared" si="12"/>
        <v>7879753.3579999991</v>
      </c>
      <c r="AR86" s="36">
        <v>7879500</v>
      </c>
      <c r="AS86" s="18">
        <f t="shared" si="13"/>
        <v>-253.35799999907613</v>
      </c>
    </row>
    <row r="87" spans="1:45" x14ac:dyDescent="0.25">
      <c r="A87" s="40">
        <v>45375</v>
      </c>
      <c r="B87" s="20">
        <v>2230.1170000000002</v>
      </c>
      <c r="C87" s="20">
        <v>1201.7919999999999</v>
      </c>
      <c r="D87" s="20">
        <v>5570</v>
      </c>
      <c r="E87" s="20">
        <v>5199</v>
      </c>
      <c r="F87" s="7">
        <f t="shared" si="7"/>
        <v>12421751.690000001</v>
      </c>
      <c r="G87" s="7">
        <f t="shared" si="8"/>
        <v>6248116.608</v>
      </c>
      <c r="H87" s="20">
        <v>27.5</v>
      </c>
      <c r="I87" s="20">
        <v>538500</v>
      </c>
      <c r="J87" s="20">
        <v>73</v>
      </c>
      <c r="K87" s="20">
        <v>824500</v>
      </c>
      <c r="L87" s="20">
        <v>8000</v>
      </c>
      <c r="M87" s="20">
        <v>100000</v>
      </c>
      <c r="N87" s="20"/>
      <c r="O87" s="20">
        <v>259950</v>
      </c>
      <c r="P87" s="20"/>
      <c r="Q87" s="19">
        <f t="shared" si="9"/>
        <v>20400818.298</v>
      </c>
      <c r="R87" s="20">
        <v>1234425</v>
      </c>
      <c r="S87" s="20">
        <v>4414250</v>
      </c>
      <c r="T87" s="20"/>
      <c r="U87" s="20"/>
      <c r="V87" s="20"/>
      <c r="W87" s="20">
        <v>425000</v>
      </c>
      <c r="X87" s="20">
        <v>5161360</v>
      </c>
      <c r="Y87" s="8">
        <f t="shared" si="10"/>
        <v>9165783.2980000004</v>
      </c>
      <c r="Z87" s="36"/>
      <c r="AA87" s="36"/>
      <c r="AB87" s="36"/>
      <c r="AC87" s="36"/>
      <c r="AD87" s="36"/>
      <c r="AE87" s="36"/>
      <c r="AF87" s="36">
        <v>3000</v>
      </c>
      <c r="AG87" s="36"/>
      <c r="AH87" s="36"/>
      <c r="AI87" s="36"/>
      <c r="AJ87" s="36"/>
      <c r="AK87" s="36"/>
      <c r="AL87" s="37">
        <f t="shared" si="11"/>
        <v>3000</v>
      </c>
      <c r="AM87" s="36"/>
      <c r="AN87" s="36"/>
      <c r="AO87" s="36"/>
      <c r="AP87" s="7"/>
      <c r="AQ87" s="38">
        <f t="shared" si="12"/>
        <v>9162783.2980000004</v>
      </c>
      <c r="AR87" s="36">
        <v>0</v>
      </c>
      <c r="AS87" s="18">
        <f t="shared" si="13"/>
        <v>-9162783.2980000004</v>
      </c>
    </row>
    <row r="88" spans="1:45" x14ac:dyDescent="0.25">
      <c r="A88" s="40">
        <v>45376</v>
      </c>
      <c r="B88" s="20">
        <v>1262.432</v>
      </c>
      <c r="C88" s="20">
        <v>1455.96</v>
      </c>
      <c r="D88" s="20">
        <v>5570</v>
      </c>
      <c r="E88" s="20">
        <v>5199</v>
      </c>
      <c r="F88" s="7">
        <f t="shared" si="7"/>
        <v>7031746.2400000002</v>
      </c>
      <c r="G88" s="7">
        <f t="shared" si="8"/>
        <v>7569536.04</v>
      </c>
      <c r="H88" s="20">
        <v>16.5</v>
      </c>
      <c r="I88" s="20">
        <v>327000</v>
      </c>
      <c r="J88" s="20">
        <v>30</v>
      </c>
      <c r="K88" s="20">
        <v>297000</v>
      </c>
      <c r="L88" s="20">
        <v>16000</v>
      </c>
      <c r="M88" s="20"/>
      <c r="N88" s="20"/>
      <c r="O88" s="20">
        <v>3188289</v>
      </c>
      <c r="P88" s="20">
        <v>60000</v>
      </c>
      <c r="Q88" s="19">
        <f t="shared" si="9"/>
        <v>18489571.280000001</v>
      </c>
      <c r="R88" s="20">
        <v>385880</v>
      </c>
      <c r="S88" s="20">
        <v>4476742</v>
      </c>
      <c r="T88" s="20"/>
      <c r="U88" s="20">
        <v>1735000</v>
      </c>
      <c r="V88" s="20"/>
      <c r="W88" s="20">
        <v>392800</v>
      </c>
      <c r="X88" s="20">
        <v>3597769</v>
      </c>
      <c r="Y88" s="8">
        <f t="shared" si="10"/>
        <v>7901380.2800000012</v>
      </c>
      <c r="Z88" s="36"/>
      <c r="AA88" s="36"/>
      <c r="AB88" s="36"/>
      <c r="AC88" s="36"/>
      <c r="AD88" s="36">
        <v>103980</v>
      </c>
      <c r="AE88" s="36"/>
      <c r="AF88" s="36"/>
      <c r="AG88" s="36"/>
      <c r="AH88" s="36"/>
      <c r="AI88" s="36"/>
      <c r="AJ88" s="36"/>
      <c r="AK88" s="36"/>
      <c r="AL88" s="37">
        <f t="shared" si="11"/>
        <v>103980</v>
      </c>
      <c r="AM88" s="36"/>
      <c r="AN88" s="36"/>
      <c r="AO88" s="36"/>
      <c r="AP88" s="7"/>
      <c r="AQ88" s="38">
        <f t="shared" si="12"/>
        <v>7797400.2800000012</v>
      </c>
      <c r="AR88" s="36">
        <v>16954100</v>
      </c>
      <c r="AS88" s="18">
        <f t="shared" si="13"/>
        <v>9156699.7199999988</v>
      </c>
    </row>
    <row r="89" spans="1:45" x14ac:dyDescent="0.25">
      <c r="A89" s="40">
        <v>45377</v>
      </c>
      <c r="B89" s="20">
        <v>1458.931</v>
      </c>
      <c r="C89" s="20">
        <v>2692.3409999999999</v>
      </c>
      <c r="D89" s="20">
        <v>5570</v>
      </c>
      <c r="E89" s="20">
        <v>5199</v>
      </c>
      <c r="F89" s="7">
        <f t="shared" si="7"/>
        <v>8126245.6699999999</v>
      </c>
      <c r="G89" s="7">
        <f t="shared" si="8"/>
        <v>13997480.858999999</v>
      </c>
      <c r="H89" s="20">
        <v>51</v>
      </c>
      <c r="I89" s="20">
        <v>1151500</v>
      </c>
      <c r="J89" s="20">
        <v>36</v>
      </c>
      <c r="K89" s="20">
        <v>433000</v>
      </c>
      <c r="L89" s="20">
        <v>15000</v>
      </c>
      <c r="M89" s="20"/>
      <c r="N89" s="20"/>
      <c r="O89" s="20">
        <v>1767660</v>
      </c>
      <c r="P89" s="20">
        <v>0</v>
      </c>
      <c r="Q89" s="19">
        <f t="shared" si="9"/>
        <v>25490886.528999999</v>
      </c>
      <c r="R89" s="20">
        <v>1336485</v>
      </c>
      <c r="S89" s="20">
        <v>11147353</v>
      </c>
      <c r="T89" s="20"/>
      <c r="U89" s="20">
        <v>998109</v>
      </c>
      <c r="V89" s="20"/>
      <c r="W89" s="20">
        <v>330344</v>
      </c>
      <c r="X89" s="20">
        <v>4764786</v>
      </c>
      <c r="Y89" s="8">
        <f t="shared" si="10"/>
        <v>6913809.5289999992</v>
      </c>
      <c r="Z89" s="36"/>
      <c r="AA89" s="36"/>
      <c r="AB89" s="36"/>
      <c r="AC89" s="36"/>
      <c r="AD89" s="36"/>
      <c r="AE89" s="36"/>
      <c r="AF89" s="36">
        <v>2000</v>
      </c>
      <c r="AG89" s="36"/>
      <c r="AH89" s="36">
        <v>15000</v>
      </c>
      <c r="AI89" s="36"/>
      <c r="AJ89" s="36"/>
      <c r="AK89" s="36"/>
      <c r="AL89" s="37">
        <f t="shared" si="11"/>
        <v>17000</v>
      </c>
      <c r="AM89" s="36"/>
      <c r="AN89" s="36"/>
      <c r="AO89" s="36"/>
      <c r="AP89" s="7"/>
      <c r="AQ89" s="38">
        <f t="shared" si="12"/>
        <v>6896809.5289999992</v>
      </c>
      <c r="AR89" s="36">
        <v>6896000</v>
      </c>
      <c r="AS89" s="18">
        <f t="shared" si="13"/>
        <v>-809.52899999916553</v>
      </c>
    </row>
    <row r="90" spans="1:45" x14ac:dyDescent="0.25">
      <c r="A90" s="40">
        <v>45378</v>
      </c>
      <c r="B90" s="20">
        <v>1703.6379999999999</v>
      </c>
      <c r="C90" s="20">
        <v>3691.221</v>
      </c>
      <c r="D90" s="20">
        <v>5570</v>
      </c>
      <c r="E90" s="20">
        <v>5199</v>
      </c>
      <c r="F90" s="7">
        <f t="shared" si="7"/>
        <v>9489263.6600000001</v>
      </c>
      <c r="G90" s="7">
        <f t="shared" si="8"/>
        <v>19190657.978999998</v>
      </c>
      <c r="H90" s="20">
        <v>28.25</v>
      </c>
      <c r="I90" s="20">
        <v>653500</v>
      </c>
      <c r="J90" s="20">
        <v>24</v>
      </c>
      <c r="K90" s="20">
        <v>241000</v>
      </c>
      <c r="L90" s="20">
        <v>8000</v>
      </c>
      <c r="M90" s="20"/>
      <c r="N90" s="20"/>
      <c r="O90" s="20">
        <v>623344</v>
      </c>
      <c r="P90" s="20"/>
      <c r="Q90" s="19">
        <f t="shared" si="9"/>
        <v>30205765.638999999</v>
      </c>
      <c r="R90" s="20">
        <v>300142</v>
      </c>
      <c r="S90" s="20">
        <v>15735174</v>
      </c>
      <c r="T90" s="20"/>
      <c r="U90" s="20">
        <v>777000</v>
      </c>
      <c r="V90" s="20"/>
      <c r="W90" s="20">
        <v>0</v>
      </c>
      <c r="X90" s="20">
        <v>8947256</v>
      </c>
      <c r="Y90" s="8">
        <f t="shared" si="10"/>
        <v>4446193.6389999986</v>
      </c>
      <c r="Z90" s="36"/>
      <c r="AA90" s="36"/>
      <c r="AB90" s="36"/>
      <c r="AC90" s="36"/>
      <c r="AD90" s="36"/>
      <c r="AE90" s="36"/>
      <c r="AF90" s="36">
        <v>3000</v>
      </c>
      <c r="AG90" s="36"/>
      <c r="AH90" s="36">
        <v>10000</v>
      </c>
      <c r="AI90" s="36">
        <v>5000</v>
      </c>
      <c r="AJ90" s="36">
        <v>20000</v>
      </c>
      <c r="AK90" s="36"/>
      <c r="AL90" s="37">
        <f t="shared" si="11"/>
        <v>38000</v>
      </c>
      <c r="AM90" s="36"/>
      <c r="AN90" s="36"/>
      <c r="AO90" s="36"/>
      <c r="AP90" s="7"/>
      <c r="AQ90" s="38">
        <f t="shared" si="12"/>
        <v>4408193.6389999986</v>
      </c>
      <c r="AR90" s="36">
        <v>4408200</v>
      </c>
      <c r="AS90" s="18">
        <f t="shared" si="13"/>
        <v>6.3610000014305115</v>
      </c>
    </row>
    <row r="91" spans="1:45" x14ac:dyDescent="0.25">
      <c r="A91" s="40">
        <v>45379</v>
      </c>
      <c r="B91" s="20">
        <v>1431.3920000000001</v>
      </c>
      <c r="C91" s="20">
        <v>3255.386</v>
      </c>
      <c r="D91" s="20">
        <v>5570</v>
      </c>
      <c r="E91" s="20">
        <v>5199</v>
      </c>
      <c r="F91" s="7">
        <f t="shared" si="7"/>
        <v>7972853.4400000004</v>
      </c>
      <c r="G91" s="7">
        <f t="shared" si="8"/>
        <v>16924751.813999999</v>
      </c>
      <c r="H91" s="20">
        <v>94.75</v>
      </c>
      <c r="I91" s="20">
        <v>1940500</v>
      </c>
      <c r="J91" s="20">
        <v>43.5</v>
      </c>
      <c r="K91" s="20">
        <v>608500</v>
      </c>
      <c r="L91" s="20">
        <v>8000</v>
      </c>
      <c r="M91" s="20"/>
      <c r="N91" s="20"/>
      <c r="O91" s="20">
        <v>2831840</v>
      </c>
      <c r="P91" s="20"/>
      <c r="Q91" s="19">
        <f t="shared" si="9"/>
        <v>30286445.254000001</v>
      </c>
      <c r="R91" s="20">
        <v>425919</v>
      </c>
      <c r="S91" s="20">
        <v>12335455</v>
      </c>
      <c r="T91" s="20"/>
      <c r="U91" s="20">
        <v>1483700</v>
      </c>
      <c r="V91" s="20"/>
      <c r="W91" s="20">
        <v>337888</v>
      </c>
      <c r="X91" s="20">
        <v>6832063</v>
      </c>
      <c r="Y91" s="8">
        <f t="shared" si="10"/>
        <v>8871420.2540000007</v>
      </c>
      <c r="Z91" s="36"/>
      <c r="AA91" s="36"/>
      <c r="AB91" s="36"/>
      <c r="AC91" s="36"/>
      <c r="AD91" s="36">
        <v>103980</v>
      </c>
      <c r="AE91" s="36"/>
      <c r="AF91" s="36">
        <v>3000</v>
      </c>
      <c r="AG91" s="36"/>
      <c r="AH91" s="36"/>
      <c r="AI91" s="36"/>
      <c r="AJ91" s="36">
        <v>13000</v>
      </c>
      <c r="AK91" s="36"/>
      <c r="AL91" s="37">
        <f t="shared" si="11"/>
        <v>119980</v>
      </c>
      <c r="AM91" s="36"/>
      <c r="AN91" s="36"/>
      <c r="AO91" s="36"/>
      <c r="AP91" s="7"/>
      <c r="AQ91" s="38">
        <f t="shared" si="12"/>
        <v>8751440.2540000007</v>
      </c>
      <c r="AR91" s="36">
        <v>8748700</v>
      </c>
      <c r="AS91" s="18">
        <f t="shared" si="13"/>
        <v>-2740.2540000006557</v>
      </c>
    </row>
    <row r="92" spans="1:45" x14ac:dyDescent="0.25">
      <c r="A92" s="40">
        <v>45380</v>
      </c>
      <c r="B92" s="20">
        <v>2214.6019999999999</v>
      </c>
      <c r="C92" s="20">
        <v>2048.16</v>
      </c>
      <c r="D92" s="20">
        <v>5570</v>
      </c>
      <c r="E92" s="20">
        <v>5199</v>
      </c>
      <c r="F92" s="7">
        <f t="shared" si="7"/>
        <v>12335333.139999999</v>
      </c>
      <c r="G92" s="7">
        <f t="shared" si="8"/>
        <v>10648383.84</v>
      </c>
      <c r="H92" s="20">
        <v>63.5</v>
      </c>
      <c r="I92" s="20">
        <v>1221000</v>
      </c>
      <c r="J92" s="20">
        <v>18</v>
      </c>
      <c r="K92" s="20">
        <v>265000</v>
      </c>
      <c r="L92" s="20">
        <v>93000</v>
      </c>
      <c r="M92" s="20">
        <v>519900</v>
      </c>
      <c r="N92" s="20"/>
      <c r="O92" s="20">
        <v>545848</v>
      </c>
      <c r="P92" s="20"/>
      <c r="Q92" s="19">
        <f t="shared" si="9"/>
        <v>25628464.979999997</v>
      </c>
      <c r="R92" s="20">
        <v>1042448</v>
      </c>
      <c r="S92" s="20">
        <v>11083062</v>
      </c>
      <c r="T92" s="20"/>
      <c r="U92" s="20">
        <v>0</v>
      </c>
      <c r="V92" s="20"/>
      <c r="W92" s="20">
        <v>83000</v>
      </c>
      <c r="X92" s="20">
        <v>6736970</v>
      </c>
      <c r="Y92" s="8">
        <f t="shared" si="10"/>
        <v>6682984.9799999967</v>
      </c>
      <c r="Z92" s="36"/>
      <c r="AA92" s="36"/>
      <c r="AB92" s="36"/>
      <c r="AC92" s="36"/>
      <c r="AD92" s="36"/>
      <c r="AE92" s="36"/>
      <c r="AF92" s="36">
        <v>103000</v>
      </c>
      <c r="AG92" s="36"/>
      <c r="AH92" s="36"/>
      <c r="AI92" s="36"/>
      <c r="AJ92" s="36">
        <v>20000</v>
      </c>
      <c r="AK92" s="36"/>
      <c r="AL92" s="37">
        <f t="shared" si="11"/>
        <v>123000</v>
      </c>
      <c r="AM92" s="36"/>
      <c r="AN92" s="36"/>
      <c r="AO92" s="36"/>
      <c r="AP92" s="7"/>
      <c r="AQ92" s="38">
        <f t="shared" si="12"/>
        <v>6559984.9799999967</v>
      </c>
      <c r="AR92" s="36">
        <v>6560000</v>
      </c>
      <c r="AS92" s="18">
        <f t="shared" si="13"/>
        <v>15.020000003278255</v>
      </c>
    </row>
    <row r="93" spans="1:45" x14ac:dyDescent="0.25">
      <c r="A93" s="40">
        <v>45381</v>
      </c>
      <c r="B93" s="20">
        <v>2013.0260000000001</v>
      </c>
      <c r="C93" s="20">
        <v>4049.2109999999998</v>
      </c>
      <c r="D93" s="20">
        <v>5570</v>
      </c>
      <c r="E93" s="20">
        <v>5199</v>
      </c>
      <c r="F93" s="7">
        <f t="shared" si="7"/>
        <v>11212554.82</v>
      </c>
      <c r="G93" s="7">
        <f t="shared" si="8"/>
        <v>21051847.989</v>
      </c>
      <c r="H93" s="20">
        <v>69</v>
      </c>
      <c r="I93" s="20">
        <v>1535500</v>
      </c>
      <c r="J93" s="20">
        <v>70.5</v>
      </c>
      <c r="K93" s="20">
        <v>1020000</v>
      </c>
      <c r="L93" s="20">
        <v>132000</v>
      </c>
      <c r="M93" s="20">
        <v>779850</v>
      </c>
      <c r="N93" s="20"/>
      <c r="O93" s="20">
        <v>248000</v>
      </c>
      <c r="P93" s="20"/>
      <c r="Q93" s="19">
        <f t="shared" si="9"/>
        <v>35979752.809</v>
      </c>
      <c r="R93" s="20">
        <v>1289156</v>
      </c>
      <c r="S93" s="20">
        <v>22692984</v>
      </c>
      <c r="T93" s="20"/>
      <c r="U93" s="20">
        <v>1205800</v>
      </c>
      <c r="V93" s="20"/>
      <c r="W93" s="20">
        <v>330000</v>
      </c>
      <c r="X93" s="20">
        <v>5437524</v>
      </c>
      <c r="Y93" s="8">
        <f t="shared" si="10"/>
        <v>5024288.8090000004</v>
      </c>
      <c r="Z93" s="36"/>
      <c r="AA93" s="36"/>
      <c r="AB93" s="36"/>
      <c r="AC93" s="36"/>
      <c r="AD93" s="36"/>
      <c r="AE93" s="36"/>
      <c r="AF93" s="36">
        <v>5000</v>
      </c>
      <c r="AG93" s="36"/>
      <c r="AH93" s="36">
        <v>24000</v>
      </c>
      <c r="AI93" s="36"/>
      <c r="AJ93" s="36"/>
      <c r="AK93" s="36"/>
      <c r="AL93" s="37">
        <f t="shared" si="11"/>
        <v>29000</v>
      </c>
      <c r="AM93" s="36"/>
      <c r="AN93" s="36"/>
      <c r="AO93" s="36"/>
      <c r="AP93" s="7"/>
      <c r="AQ93" s="38">
        <f t="shared" si="12"/>
        <v>4995288.8090000004</v>
      </c>
      <c r="AR93" s="36">
        <v>11815200</v>
      </c>
      <c r="AS93" s="18">
        <f t="shared" si="13"/>
        <v>6819911.1909999996</v>
      </c>
    </row>
    <row r="94" spans="1:45" x14ac:dyDescent="0.25">
      <c r="A94" s="40">
        <v>45382</v>
      </c>
      <c r="B94" s="20">
        <v>2230</v>
      </c>
      <c r="C94" s="20">
        <v>1355</v>
      </c>
      <c r="D94" s="20">
        <v>5570</v>
      </c>
      <c r="E94" s="20">
        <v>5199</v>
      </c>
      <c r="F94" s="7">
        <f t="shared" si="7"/>
        <v>12421100</v>
      </c>
      <c r="G94" s="7">
        <f t="shared" si="8"/>
        <v>7044645</v>
      </c>
      <c r="H94" s="20">
        <v>85.25</v>
      </c>
      <c r="I94" s="20">
        <v>2085500</v>
      </c>
      <c r="J94" s="20">
        <v>93</v>
      </c>
      <c r="K94" s="20">
        <v>753000</v>
      </c>
      <c r="L94" s="20">
        <v>179000</v>
      </c>
      <c r="M94" s="20"/>
      <c r="N94" s="20"/>
      <c r="O94" s="20">
        <v>567939</v>
      </c>
      <c r="P94" s="20"/>
      <c r="Q94" s="19">
        <f t="shared" si="9"/>
        <v>23051184</v>
      </c>
      <c r="R94" s="20">
        <v>747077</v>
      </c>
      <c r="S94" s="20">
        <v>4977741</v>
      </c>
      <c r="T94" s="20"/>
      <c r="U94" s="20">
        <v>0</v>
      </c>
      <c r="V94" s="20"/>
      <c r="W94" s="20">
        <v>290000</v>
      </c>
      <c r="X94" s="20">
        <v>4530669</v>
      </c>
      <c r="Y94" s="8">
        <f t="shared" si="10"/>
        <v>12505697</v>
      </c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7">
        <f t="shared" si="11"/>
        <v>0</v>
      </c>
      <c r="AM94" s="36"/>
      <c r="AN94" s="36"/>
      <c r="AO94" s="36"/>
      <c r="AP94" s="7"/>
      <c r="AQ94" s="38">
        <f t="shared" si="12"/>
        <v>12505697</v>
      </c>
      <c r="AR94" s="36">
        <v>12505600</v>
      </c>
      <c r="AS94" s="18">
        <f t="shared" si="13"/>
        <v>-97</v>
      </c>
    </row>
    <row r="95" spans="1:45" x14ac:dyDescent="0.25">
      <c r="A95" s="40">
        <v>45383</v>
      </c>
      <c r="B95" s="20">
        <v>1590</v>
      </c>
      <c r="C95" s="20">
        <v>979</v>
      </c>
      <c r="D95" s="20">
        <v>5570</v>
      </c>
      <c r="E95" s="20">
        <v>5199</v>
      </c>
      <c r="F95" s="7">
        <f t="shared" si="7"/>
        <v>8856300</v>
      </c>
      <c r="G95" s="7">
        <f t="shared" si="8"/>
        <v>5089821</v>
      </c>
      <c r="H95" s="20">
        <v>16</v>
      </c>
      <c r="I95" s="20">
        <v>344000</v>
      </c>
      <c r="J95" s="20">
        <v>30</v>
      </c>
      <c r="K95" s="20">
        <v>417000</v>
      </c>
      <c r="L95" s="20">
        <v>0</v>
      </c>
      <c r="M95" s="20"/>
      <c r="N95" s="20"/>
      <c r="O95" s="20">
        <v>0</v>
      </c>
      <c r="P95" s="20"/>
      <c r="Q95" s="19">
        <f t="shared" si="9"/>
        <v>14707121</v>
      </c>
      <c r="R95" s="20">
        <v>537254</v>
      </c>
      <c r="S95" s="20">
        <v>4246315</v>
      </c>
      <c r="T95" s="20"/>
      <c r="U95" s="20">
        <v>4111000</v>
      </c>
      <c r="V95" s="20"/>
      <c r="W95" s="20">
        <v>474000</v>
      </c>
      <c r="X95" s="20">
        <v>726724</v>
      </c>
      <c r="Y95" s="8">
        <f t="shared" si="10"/>
        <v>4611828</v>
      </c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7">
        <f t="shared" si="11"/>
        <v>0</v>
      </c>
      <c r="AM95" s="36"/>
      <c r="AN95" s="36"/>
      <c r="AO95" s="36" t="s">
        <v>124</v>
      </c>
      <c r="AP95" s="7"/>
      <c r="AQ95" s="38">
        <f t="shared" si="12"/>
        <v>4611828</v>
      </c>
      <c r="AR95" s="36">
        <v>17120300</v>
      </c>
      <c r="AS95" s="18">
        <f t="shared" si="13"/>
        <v>12508472</v>
      </c>
    </row>
    <row r="96" spans="1:45" x14ac:dyDescent="0.25">
      <c r="A96" s="40">
        <v>45384</v>
      </c>
      <c r="B96" s="20">
        <v>1662.0329999999999</v>
      </c>
      <c r="C96" s="20">
        <v>3987.2809999999999</v>
      </c>
      <c r="D96" s="20">
        <v>5570</v>
      </c>
      <c r="E96" s="20">
        <v>5199</v>
      </c>
      <c r="F96" s="7">
        <f t="shared" si="7"/>
        <v>9257523.8099999987</v>
      </c>
      <c r="G96" s="7">
        <f t="shared" si="8"/>
        <v>20729873.919</v>
      </c>
      <c r="H96" s="20">
        <v>65.5</v>
      </c>
      <c r="I96" s="20">
        <v>1488500</v>
      </c>
      <c r="J96" s="20">
        <v>76.5</v>
      </c>
      <c r="K96" s="20">
        <v>1050000</v>
      </c>
      <c r="L96" s="20"/>
      <c r="M96" s="20"/>
      <c r="N96" s="20"/>
      <c r="O96" s="20"/>
      <c r="P96" s="20"/>
      <c r="Q96" s="19">
        <f t="shared" si="9"/>
        <v>32525897.728999998</v>
      </c>
      <c r="R96" s="20">
        <v>715617</v>
      </c>
      <c r="S96" s="20">
        <v>16192201</v>
      </c>
      <c r="T96" s="20"/>
      <c r="U96" s="20">
        <v>2179000</v>
      </c>
      <c r="V96" s="20"/>
      <c r="W96" s="20">
        <v>740000</v>
      </c>
      <c r="X96" s="20">
        <v>3115815</v>
      </c>
      <c r="Y96" s="8">
        <f t="shared" si="10"/>
        <v>9583264.7289999984</v>
      </c>
      <c r="Z96" s="36"/>
      <c r="AA96" s="36"/>
      <c r="AB96" s="36">
        <v>625400</v>
      </c>
      <c r="AC96" s="36"/>
      <c r="AD96" s="36"/>
      <c r="AE96" s="36">
        <v>930000</v>
      </c>
      <c r="AF96" s="36"/>
      <c r="AG96" s="36">
        <v>3070000</v>
      </c>
      <c r="AH96" s="36"/>
      <c r="AI96" s="36"/>
      <c r="AJ96" s="36"/>
      <c r="AK96" s="36"/>
      <c r="AL96" s="37">
        <f t="shared" si="11"/>
        <v>4625400</v>
      </c>
      <c r="AM96" s="36"/>
      <c r="AN96" s="36"/>
      <c r="AO96" s="36"/>
      <c r="AP96" s="7"/>
      <c r="AQ96" s="38">
        <f t="shared" si="12"/>
        <v>4957864.7289999984</v>
      </c>
      <c r="AR96" s="36">
        <v>4941000</v>
      </c>
      <c r="AS96" s="18">
        <f t="shared" si="13"/>
        <v>-16864.72899999842</v>
      </c>
    </row>
    <row r="97" spans="1:45" x14ac:dyDescent="0.25">
      <c r="A97" s="40">
        <v>45385</v>
      </c>
      <c r="B97" s="20">
        <v>1918.992</v>
      </c>
      <c r="C97" s="20">
        <v>2768.6089999999999</v>
      </c>
      <c r="D97" s="20">
        <v>5570</v>
      </c>
      <c r="E97" s="20">
        <v>5199</v>
      </c>
      <c r="F97" s="7">
        <f t="shared" si="7"/>
        <v>10688785.439999999</v>
      </c>
      <c r="G97" s="7">
        <f t="shared" si="8"/>
        <v>14393998.191</v>
      </c>
      <c r="H97" s="20">
        <v>60.25</v>
      </c>
      <c r="I97" s="20">
        <v>1205500</v>
      </c>
      <c r="J97" s="20">
        <v>69.5</v>
      </c>
      <c r="K97" s="20">
        <v>839000</v>
      </c>
      <c r="L97" s="20">
        <v>78000</v>
      </c>
      <c r="M97" s="20"/>
      <c r="N97" s="20"/>
      <c r="O97" s="20"/>
      <c r="P97" s="20"/>
      <c r="Q97" s="19">
        <f t="shared" si="9"/>
        <v>27205283.630999997</v>
      </c>
      <c r="R97" s="20">
        <v>1176877</v>
      </c>
      <c r="S97" s="20">
        <v>11254666</v>
      </c>
      <c r="T97" s="20"/>
      <c r="U97" s="20">
        <v>1200000</v>
      </c>
      <c r="V97" s="20"/>
      <c r="W97" s="20">
        <v>339000</v>
      </c>
      <c r="X97" s="20">
        <v>8385186</v>
      </c>
      <c r="Y97" s="8">
        <f t="shared" si="10"/>
        <v>4849554.6309999973</v>
      </c>
      <c r="Z97" s="36">
        <v>45000</v>
      </c>
      <c r="AA97" s="36"/>
      <c r="AB97" s="36"/>
      <c r="AC97" s="36">
        <v>56500</v>
      </c>
      <c r="AD97" s="36"/>
      <c r="AE97" s="36"/>
      <c r="AF97" s="36">
        <v>5000</v>
      </c>
      <c r="AG97" s="36"/>
      <c r="AH97" s="36">
        <v>70000</v>
      </c>
      <c r="AI97" s="36">
        <v>20000</v>
      </c>
      <c r="AJ97" s="36">
        <v>700000</v>
      </c>
      <c r="AK97" s="36"/>
      <c r="AL97" s="37">
        <f t="shared" si="11"/>
        <v>896500</v>
      </c>
      <c r="AM97" s="36"/>
      <c r="AN97" s="36"/>
      <c r="AO97" s="36"/>
      <c r="AP97" s="7"/>
      <c r="AQ97" s="38">
        <f t="shared" si="12"/>
        <v>3953054.6309999973</v>
      </c>
      <c r="AR97" s="36">
        <v>7884200</v>
      </c>
      <c r="AS97" s="18">
        <f t="shared" si="13"/>
        <v>3931145.3690000027</v>
      </c>
    </row>
    <row r="98" spans="1:45" x14ac:dyDescent="0.25">
      <c r="A98" s="40">
        <v>45386</v>
      </c>
      <c r="B98" s="20">
        <v>1502.432</v>
      </c>
      <c r="C98" s="20">
        <v>2004.8440000000001</v>
      </c>
      <c r="D98" s="20">
        <v>5570</v>
      </c>
      <c r="E98" s="20">
        <v>5199</v>
      </c>
      <c r="F98" s="7">
        <f t="shared" si="7"/>
        <v>8368546.2400000002</v>
      </c>
      <c r="G98" s="7">
        <f t="shared" si="8"/>
        <v>10423183.956</v>
      </c>
      <c r="H98" s="20">
        <v>37.75</v>
      </c>
      <c r="I98" s="20">
        <v>830000</v>
      </c>
      <c r="J98" s="20">
        <v>39</v>
      </c>
      <c r="K98" s="20">
        <v>789000</v>
      </c>
      <c r="L98" s="20">
        <v>15000</v>
      </c>
      <c r="M98" s="20"/>
      <c r="N98" s="20"/>
      <c r="O98" s="20">
        <v>4187960</v>
      </c>
      <c r="P98" s="20">
        <v>0</v>
      </c>
      <c r="Q98" s="19">
        <f t="shared" si="9"/>
        <v>24613690.196000002</v>
      </c>
      <c r="R98" s="20">
        <v>1065250</v>
      </c>
      <c r="S98" s="20">
        <v>4181090</v>
      </c>
      <c r="T98" s="20"/>
      <c r="U98" s="20">
        <v>1585600</v>
      </c>
      <c r="V98" s="20"/>
      <c r="W98" s="20">
        <v>114500</v>
      </c>
      <c r="X98" s="20">
        <v>7479532</v>
      </c>
      <c r="Y98" s="8">
        <f t="shared" si="10"/>
        <v>10187718.196000002</v>
      </c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>
        <v>7600000</v>
      </c>
      <c r="AK98" s="36"/>
      <c r="AL98" s="37">
        <f t="shared" si="11"/>
        <v>7600000</v>
      </c>
      <c r="AM98" s="36"/>
      <c r="AN98" s="36" t="s">
        <v>124</v>
      </c>
      <c r="AO98" s="36"/>
      <c r="AP98" s="7"/>
      <c r="AQ98" s="38">
        <f t="shared" si="12"/>
        <v>2587718.1960000023</v>
      </c>
      <c r="AR98" s="36">
        <v>2587700</v>
      </c>
      <c r="AS98" s="18">
        <f t="shared" si="13"/>
        <v>-18.196000002324581</v>
      </c>
    </row>
    <row r="99" spans="1:45" x14ac:dyDescent="0.25">
      <c r="A99" s="40">
        <v>45387</v>
      </c>
      <c r="B99" s="20">
        <v>1249.6510000000001</v>
      </c>
      <c r="C99" s="20">
        <v>7115.2550000000001</v>
      </c>
      <c r="D99" s="20">
        <v>5570</v>
      </c>
      <c r="E99" s="20">
        <v>5199</v>
      </c>
      <c r="F99" s="7">
        <f t="shared" si="7"/>
        <v>6960556.0700000003</v>
      </c>
      <c r="G99" s="7">
        <f t="shared" si="8"/>
        <v>36992210.744999997</v>
      </c>
      <c r="H99" s="20">
        <v>35</v>
      </c>
      <c r="I99" s="20">
        <v>676500</v>
      </c>
      <c r="J99" s="20">
        <v>75</v>
      </c>
      <c r="K99" s="20">
        <v>1237000</v>
      </c>
      <c r="L99" s="20">
        <v>30000</v>
      </c>
      <c r="M99" s="20"/>
      <c r="N99" s="20"/>
      <c r="O99" s="20">
        <v>0</v>
      </c>
      <c r="P99" s="20"/>
      <c r="Q99" s="19">
        <f t="shared" si="9"/>
        <v>45896266.814999998</v>
      </c>
      <c r="R99" s="20">
        <v>703575</v>
      </c>
      <c r="S99" s="20">
        <v>33694458</v>
      </c>
      <c r="T99" s="20"/>
      <c r="U99" s="20">
        <v>550000</v>
      </c>
      <c r="V99" s="20"/>
      <c r="W99" s="20">
        <v>0</v>
      </c>
      <c r="X99" s="20">
        <v>5343590</v>
      </c>
      <c r="Y99" s="8">
        <f t="shared" si="10"/>
        <v>5604643.8149999976</v>
      </c>
      <c r="Z99" s="36"/>
      <c r="AA99" s="36"/>
      <c r="AB99" s="36"/>
      <c r="AC99" s="36"/>
      <c r="AD99" s="36"/>
      <c r="AE99" s="36"/>
      <c r="AF99" s="36"/>
      <c r="AG99" s="36"/>
      <c r="AH99" s="36">
        <v>30000</v>
      </c>
      <c r="AI99" s="36">
        <v>7000</v>
      </c>
      <c r="AJ99" s="36">
        <v>4400000</v>
      </c>
      <c r="AK99" s="36"/>
      <c r="AL99" s="37">
        <f t="shared" si="11"/>
        <v>4437000</v>
      </c>
      <c r="AM99" s="36"/>
      <c r="AN99" s="36"/>
      <c r="AO99" s="36"/>
      <c r="AP99" s="7"/>
      <c r="AQ99" s="38">
        <f t="shared" si="12"/>
        <v>1167643.8149999976</v>
      </c>
      <c r="AR99" s="36">
        <v>1167600</v>
      </c>
      <c r="AS99" s="18">
        <f t="shared" si="13"/>
        <v>-43.814999997615814</v>
      </c>
    </row>
    <row r="100" spans="1:45" x14ac:dyDescent="0.25">
      <c r="A100" s="40">
        <v>45388</v>
      </c>
      <c r="B100" s="20">
        <v>1404.808</v>
      </c>
      <c r="C100" s="20">
        <v>2978.165</v>
      </c>
      <c r="D100" s="20">
        <v>5570</v>
      </c>
      <c r="E100" s="20">
        <v>5199</v>
      </c>
      <c r="F100" s="7">
        <f t="shared" si="7"/>
        <v>7824780.5599999996</v>
      </c>
      <c r="G100" s="7">
        <f t="shared" si="8"/>
        <v>15483479.834999999</v>
      </c>
      <c r="H100" s="20">
        <v>55.25</v>
      </c>
      <c r="I100" s="20">
        <v>1176000</v>
      </c>
      <c r="J100" s="20">
        <v>45</v>
      </c>
      <c r="K100" s="20">
        <v>779000</v>
      </c>
      <c r="L100" s="20">
        <v>46000</v>
      </c>
      <c r="M100" s="20"/>
      <c r="N100" s="20"/>
      <c r="O100" s="20"/>
      <c r="P100" s="20"/>
      <c r="Q100" s="19">
        <f t="shared" si="9"/>
        <v>25309260.395</v>
      </c>
      <c r="R100" s="20">
        <v>807051</v>
      </c>
      <c r="S100" s="20">
        <v>14720717</v>
      </c>
      <c r="T100" s="20"/>
      <c r="U100" s="20">
        <v>893300</v>
      </c>
      <c r="V100" s="20"/>
      <c r="W100" s="20">
        <v>153000</v>
      </c>
      <c r="X100" s="20">
        <v>2174746</v>
      </c>
      <c r="Y100" s="8">
        <f t="shared" si="10"/>
        <v>6560446.3949999996</v>
      </c>
      <c r="Z100" s="36"/>
      <c r="AA100" s="36"/>
      <c r="AB100" s="36"/>
      <c r="AC100" s="36">
        <v>4000</v>
      </c>
      <c r="AD100" s="36"/>
      <c r="AE100" s="36"/>
      <c r="AF100" s="36">
        <v>23000</v>
      </c>
      <c r="AG100" s="36"/>
      <c r="AH100" s="36"/>
      <c r="AI100" s="36"/>
      <c r="AJ100" s="36">
        <v>1300000</v>
      </c>
      <c r="AK100" s="36"/>
      <c r="AL100" s="37">
        <f t="shared" si="11"/>
        <v>1327000</v>
      </c>
      <c r="AM100" s="36"/>
      <c r="AN100" s="36"/>
      <c r="AO100" s="36"/>
      <c r="AP100" s="7"/>
      <c r="AQ100" s="38">
        <f t="shared" si="12"/>
        <v>5233446.3949999996</v>
      </c>
      <c r="AR100" s="36">
        <v>5233400</v>
      </c>
      <c r="AS100" s="18">
        <f t="shared" si="13"/>
        <v>-46.394999999552965</v>
      </c>
    </row>
    <row r="101" spans="1:45" x14ac:dyDescent="0.25">
      <c r="A101" s="40">
        <v>45389</v>
      </c>
      <c r="B101" s="20">
        <v>1448.423</v>
      </c>
      <c r="C101" s="20">
        <v>1523.1659999999999</v>
      </c>
      <c r="D101" s="20">
        <v>5570</v>
      </c>
      <c r="E101" s="20">
        <v>5199</v>
      </c>
      <c r="F101" s="7">
        <f t="shared" si="7"/>
        <v>8067716.1100000003</v>
      </c>
      <c r="G101" s="7">
        <f t="shared" si="8"/>
        <v>7918940.034</v>
      </c>
      <c r="H101" s="20">
        <v>13.5</v>
      </c>
      <c r="I101" s="20">
        <v>286000</v>
      </c>
      <c r="J101" s="20">
        <v>60.5</v>
      </c>
      <c r="K101" s="20">
        <v>600000</v>
      </c>
      <c r="L101" s="20">
        <v>8000</v>
      </c>
      <c r="M101" s="20"/>
      <c r="N101" s="20"/>
      <c r="O101" s="20">
        <v>1000000</v>
      </c>
      <c r="P101" s="20"/>
      <c r="Q101" s="19">
        <f t="shared" si="9"/>
        <v>17880656.144000001</v>
      </c>
      <c r="R101" s="20">
        <v>1180660</v>
      </c>
      <c r="S101" s="20">
        <v>4210803</v>
      </c>
      <c r="T101" s="20"/>
      <c r="U101" s="20"/>
      <c r="V101" s="20"/>
      <c r="W101" s="20">
        <v>634000</v>
      </c>
      <c r="X101" s="20">
        <v>3188118</v>
      </c>
      <c r="Y101" s="8">
        <f t="shared" si="10"/>
        <v>8667075.1440000013</v>
      </c>
      <c r="Z101" s="36"/>
      <c r="AA101" s="36"/>
      <c r="AB101" s="36"/>
      <c r="AC101" s="36">
        <v>20000</v>
      </c>
      <c r="AD101" s="36"/>
      <c r="AE101" s="36"/>
      <c r="AF101" s="36"/>
      <c r="AG101" s="36"/>
      <c r="AH101" s="36"/>
      <c r="AI101" s="36"/>
      <c r="AJ101" s="36">
        <v>37000</v>
      </c>
      <c r="AK101" s="36"/>
      <c r="AL101" s="37">
        <f t="shared" si="11"/>
        <v>57000</v>
      </c>
      <c r="AM101" s="36"/>
      <c r="AN101" s="36"/>
      <c r="AO101" s="36"/>
      <c r="AP101" s="7"/>
      <c r="AQ101" s="38">
        <f t="shared" si="12"/>
        <v>8610075.1440000013</v>
      </c>
      <c r="AR101" s="36">
        <v>8614000</v>
      </c>
      <c r="AS101" s="18">
        <f t="shared" si="13"/>
        <v>3924.8559999987483</v>
      </c>
    </row>
    <row r="102" spans="1:45" x14ac:dyDescent="0.25">
      <c r="A102" s="40">
        <v>45390</v>
      </c>
      <c r="B102" s="20">
        <v>1426.5229999999999</v>
      </c>
      <c r="C102" s="20">
        <v>1483.1420000000001</v>
      </c>
      <c r="D102" s="20">
        <v>5570</v>
      </c>
      <c r="E102" s="20">
        <v>5199</v>
      </c>
      <c r="F102" s="7">
        <f t="shared" si="7"/>
        <v>7945733.1099999994</v>
      </c>
      <c r="G102" s="7">
        <f t="shared" si="8"/>
        <v>7710855.2580000004</v>
      </c>
      <c r="H102" s="20">
        <v>20.25</v>
      </c>
      <c r="I102" s="20">
        <v>441000</v>
      </c>
      <c r="J102" s="20">
        <v>51</v>
      </c>
      <c r="K102" s="20">
        <v>556000</v>
      </c>
      <c r="L102" s="20">
        <v>23000</v>
      </c>
      <c r="M102" s="20"/>
      <c r="N102" s="20"/>
      <c r="O102" s="20"/>
      <c r="P102" s="20"/>
      <c r="Q102" s="19">
        <f t="shared" si="9"/>
        <v>16676588.368000001</v>
      </c>
      <c r="R102" s="20">
        <v>1486252</v>
      </c>
      <c r="S102" s="20">
        <v>4896056</v>
      </c>
      <c r="T102" s="20"/>
      <c r="U102" s="20">
        <v>3827092</v>
      </c>
      <c r="V102" s="20"/>
      <c r="W102" s="20">
        <v>70000</v>
      </c>
      <c r="X102" s="20">
        <v>1981161</v>
      </c>
      <c r="Y102" s="8">
        <f t="shared" si="10"/>
        <v>4416027.3680000007</v>
      </c>
      <c r="Z102" s="36"/>
      <c r="AA102" s="36"/>
      <c r="AB102" s="36"/>
      <c r="AC102" s="36">
        <v>32000</v>
      </c>
      <c r="AD102" s="36"/>
      <c r="AE102" s="36"/>
      <c r="AF102" s="36"/>
      <c r="AG102" s="36"/>
      <c r="AH102" s="36"/>
      <c r="AI102" s="36"/>
      <c r="AJ102" s="36"/>
      <c r="AK102" s="36"/>
      <c r="AL102" s="37">
        <f t="shared" si="11"/>
        <v>32000</v>
      </c>
      <c r="AM102" s="36"/>
      <c r="AN102" s="36"/>
      <c r="AO102" s="36"/>
      <c r="AP102" s="7"/>
      <c r="AQ102" s="38">
        <f t="shared" si="12"/>
        <v>4384027.3680000007</v>
      </c>
      <c r="AR102" s="36">
        <v>4384100</v>
      </c>
      <c r="AS102" s="18">
        <f t="shared" si="13"/>
        <v>72.631999999284744</v>
      </c>
    </row>
    <row r="103" spans="1:45" x14ac:dyDescent="0.25">
      <c r="A103" s="40">
        <v>45391</v>
      </c>
      <c r="B103" s="20">
        <v>1411.9090000000001</v>
      </c>
      <c r="C103" s="20">
        <v>4467.152</v>
      </c>
      <c r="D103" s="20">
        <v>5570</v>
      </c>
      <c r="E103" s="20">
        <v>5199</v>
      </c>
      <c r="F103" s="7">
        <f t="shared" si="7"/>
        <v>7864333.1300000008</v>
      </c>
      <c r="G103" s="7">
        <f t="shared" si="8"/>
        <v>23224723.248</v>
      </c>
      <c r="H103" s="20">
        <v>60.25</v>
      </c>
      <c r="I103" s="20">
        <v>1217000</v>
      </c>
      <c r="J103" s="20">
        <v>70</v>
      </c>
      <c r="K103" s="20">
        <v>743000</v>
      </c>
      <c r="L103" s="20">
        <v>61000</v>
      </c>
      <c r="M103" s="20">
        <v>60000</v>
      </c>
      <c r="N103" s="20"/>
      <c r="O103" s="20">
        <v>977000</v>
      </c>
      <c r="P103" s="20"/>
      <c r="Q103" s="19">
        <f t="shared" si="9"/>
        <v>34147056.377999999</v>
      </c>
      <c r="R103" s="20">
        <v>1352090</v>
      </c>
      <c r="S103" s="20">
        <v>19468694</v>
      </c>
      <c r="T103" s="20"/>
      <c r="U103" s="20">
        <v>190000</v>
      </c>
      <c r="V103" s="20"/>
      <c r="W103" s="20">
        <v>150000</v>
      </c>
      <c r="X103" s="20">
        <v>7865507</v>
      </c>
      <c r="Y103" s="8">
        <f t="shared" si="10"/>
        <v>5120765.3779999986</v>
      </c>
      <c r="Z103" s="36"/>
      <c r="AA103" s="36"/>
      <c r="AB103" s="36"/>
      <c r="AC103" s="36">
        <v>14000</v>
      </c>
      <c r="AD103" s="36"/>
      <c r="AE103" s="36"/>
      <c r="AF103" s="36">
        <v>3000</v>
      </c>
      <c r="AG103" s="36"/>
      <c r="AH103" s="36">
        <v>6500</v>
      </c>
      <c r="AI103" s="36"/>
      <c r="AJ103" s="36">
        <v>3000000</v>
      </c>
      <c r="AK103" s="36"/>
      <c r="AL103" s="37">
        <f t="shared" si="11"/>
        <v>3023500</v>
      </c>
      <c r="AM103" s="36"/>
      <c r="AN103" s="36"/>
      <c r="AO103" s="36"/>
      <c r="AP103" s="7"/>
      <c r="AQ103" s="38">
        <f t="shared" si="12"/>
        <v>2097265.3779999986</v>
      </c>
      <c r="AR103" s="36">
        <v>2097300</v>
      </c>
      <c r="AS103" s="18">
        <f t="shared" si="13"/>
        <v>34.622000001370907</v>
      </c>
    </row>
    <row r="104" spans="1:45" x14ac:dyDescent="0.25">
      <c r="A104" s="40">
        <v>45392</v>
      </c>
      <c r="B104" s="20">
        <v>1658.6410000000001</v>
      </c>
      <c r="C104" s="20">
        <v>2577</v>
      </c>
      <c r="D104" s="20">
        <v>5570</v>
      </c>
      <c r="E104" s="20">
        <v>5199</v>
      </c>
      <c r="F104" s="7">
        <f t="shared" si="7"/>
        <v>9238630.370000001</v>
      </c>
      <c r="G104" s="7">
        <f t="shared" si="8"/>
        <v>13397823</v>
      </c>
      <c r="H104" s="20">
        <v>63.5</v>
      </c>
      <c r="I104" s="20">
        <v>1220000</v>
      </c>
      <c r="J104" s="20">
        <v>56</v>
      </c>
      <c r="K104" s="20">
        <v>415000</v>
      </c>
      <c r="L104" s="20">
        <v>16000</v>
      </c>
      <c r="M104" s="20"/>
      <c r="N104" s="20"/>
      <c r="O104" s="20">
        <v>931990</v>
      </c>
      <c r="P104" s="20"/>
      <c r="Q104" s="19">
        <f t="shared" si="9"/>
        <v>25219443.370000001</v>
      </c>
      <c r="R104" s="20">
        <v>697856</v>
      </c>
      <c r="S104" s="20">
        <v>13638554</v>
      </c>
      <c r="T104" s="20"/>
      <c r="U104" s="20"/>
      <c r="V104" s="20"/>
      <c r="W104" s="20">
        <v>100000</v>
      </c>
      <c r="X104" s="20">
        <v>4802586</v>
      </c>
      <c r="Y104" s="8">
        <f t="shared" si="10"/>
        <v>5980447.370000001</v>
      </c>
      <c r="Z104" s="36"/>
      <c r="AA104" s="36"/>
      <c r="AB104" s="36"/>
      <c r="AC104" s="36">
        <v>20000</v>
      </c>
      <c r="AD104" s="36"/>
      <c r="AE104" s="36"/>
      <c r="AF104" s="36"/>
      <c r="AG104" s="36"/>
      <c r="AH104" s="36"/>
      <c r="AI104" s="36"/>
      <c r="AJ104" s="36"/>
      <c r="AK104" s="36"/>
      <c r="AL104" s="37">
        <f t="shared" si="11"/>
        <v>20000</v>
      </c>
      <c r="AM104" s="36"/>
      <c r="AN104" s="36"/>
      <c r="AO104" s="36"/>
      <c r="AP104" s="7"/>
      <c r="AQ104" s="38">
        <f t="shared" si="12"/>
        <v>5960447.370000001</v>
      </c>
      <c r="AR104" s="36">
        <v>5964400</v>
      </c>
      <c r="AS104" s="18">
        <f t="shared" si="13"/>
        <v>3952.6299999989569</v>
      </c>
    </row>
    <row r="105" spans="1:45" x14ac:dyDescent="0.25">
      <c r="A105" s="40">
        <v>45393</v>
      </c>
      <c r="B105" s="20">
        <v>1487.8520000000001</v>
      </c>
      <c r="C105" s="20">
        <v>2046.348</v>
      </c>
      <c r="D105" s="20">
        <v>5570</v>
      </c>
      <c r="E105" s="20">
        <v>5199</v>
      </c>
      <c r="F105" s="7">
        <f t="shared" si="7"/>
        <v>8287335.6400000006</v>
      </c>
      <c r="G105" s="7">
        <f t="shared" si="8"/>
        <v>10638963.252</v>
      </c>
      <c r="H105" s="20">
        <v>66.75</v>
      </c>
      <c r="I105" s="20">
        <v>1378000</v>
      </c>
      <c r="J105" s="20">
        <v>18.5</v>
      </c>
      <c r="K105" s="20">
        <v>366500</v>
      </c>
      <c r="L105" s="20">
        <v>148000</v>
      </c>
      <c r="M105" s="20"/>
      <c r="N105" s="20"/>
      <c r="O105" s="20">
        <v>330000</v>
      </c>
      <c r="P105" s="20"/>
      <c r="Q105" s="19">
        <f t="shared" si="9"/>
        <v>21148798.892000001</v>
      </c>
      <c r="R105" s="20">
        <v>1071451</v>
      </c>
      <c r="S105" s="20">
        <v>5341477</v>
      </c>
      <c r="T105" s="20"/>
      <c r="U105" s="20">
        <v>2322990</v>
      </c>
      <c r="V105" s="20"/>
      <c r="W105" s="20">
        <v>639800</v>
      </c>
      <c r="X105" s="20">
        <v>6881814</v>
      </c>
      <c r="Y105" s="8">
        <f t="shared" si="10"/>
        <v>4891266.8920000009</v>
      </c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>
        <v>3491200</v>
      </c>
      <c r="AK105" s="36"/>
      <c r="AL105" s="37">
        <f t="shared" si="11"/>
        <v>3491200</v>
      </c>
      <c r="AM105" s="36"/>
      <c r="AN105" s="36"/>
      <c r="AO105" s="36"/>
      <c r="AP105" s="7"/>
      <c r="AQ105" s="38">
        <f t="shared" si="12"/>
        <v>1400066.8920000009</v>
      </c>
      <c r="AR105" s="36">
        <v>1400100</v>
      </c>
      <c r="AS105" s="18">
        <f t="shared" si="13"/>
        <v>33.107999999076128</v>
      </c>
    </row>
    <row r="106" spans="1:45" x14ac:dyDescent="0.25">
      <c r="A106" s="40">
        <v>45394</v>
      </c>
      <c r="B106" s="20">
        <v>1652</v>
      </c>
      <c r="C106" s="20">
        <v>2541.5140000000001</v>
      </c>
      <c r="D106" s="20">
        <v>5570</v>
      </c>
      <c r="E106" s="20">
        <v>5199</v>
      </c>
      <c r="F106" s="7">
        <f t="shared" si="7"/>
        <v>9201640</v>
      </c>
      <c r="G106" s="7">
        <f t="shared" si="8"/>
        <v>13213331.286</v>
      </c>
      <c r="H106" s="20">
        <v>123</v>
      </c>
      <c r="I106" s="20">
        <v>2382000</v>
      </c>
      <c r="J106" s="20">
        <v>27</v>
      </c>
      <c r="K106" s="20">
        <v>253000</v>
      </c>
      <c r="L106" s="20">
        <v>173000</v>
      </c>
      <c r="M106" s="20">
        <v>1000000</v>
      </c>
      <c r="N106" s="20"/>
      <c r="O106" s="20">
        <v>1116020</v>
      </c>
      <c r="P106" s="20"/>
      <c r="Q106" s="19">
        <f t="shared" si="9"/>
        <v>27338991.285999998</v>
      </c>
      <c r="R106" s="20">
        <v>1750956</v>
      </c>
      <c r="S106" s="20">
        <v>10583130</v>
      </c>
      <c r="T106" s="20"/>
      <c r="U106" s="20">
        <v>2269000</v>
      </c>
      <c r="V106" s="20"/>
      <c r="W106" s="20">
        <v>166000</v>
      </c>
      <c r="X106" s="20">
        <v>5070475</v>
      </c>
      <c r="Y106" s="8">
        <f t="shared" si="10"/>
        <v>7499430.2859999985</v>
      </c>
      <c r="Z106" s="36"/>
      <c r="AA106" s="36"/>
      <c r="AB106" s="36"/>
      <c r="AC106" s="36">
        <v>2000</v>
      </c>
      <c r="AD106" s="36"/>
      <c r="AE106" s="36"/>
      <c r="AF106" s="36">
        <v>12000</v>
      </c>
      <c r="AG106" s="36"/>
      <c r="AH106" s="36">
        <v>40000</v>
      </c>
      <c r="AI106" s="36"/>
      <c r="AJ106" s="36"/>
      <c r="AK106" s="36"/>
      <c r="AL106" s="37">
        <f t="shared" si="11"/>
        <v>54000</v>
      </c>
      <c r="AM106" s="36"/>
      <c r="AN106" s="36"/>
      <c r="AO106" s="36"/>
      <c r="AP106" s="7"/>
      <c r="AQ106" s="38">
        <f t="shared" si="12"/>
        <v>7445430.2859999985</v>
      </c>
      <c r="AR106" s="36">
        <v>7444000</v>
      </c>
      <c r="AS106" s="18">
        <f t="shared" si="13"/>
        <v>-1430.2859999984503</v>
      </c>
    </row>
    <row r="107" spans="1:45" x14ac:dyDescent="0.25">
      <c r="A107" s="40">
        <v>45395</v>
      </c>
      <c r="B107" s="20">
        <v>1481.9490000000001</v>
      </c>
      <c r="C107" s="20">
        <v>2024.366</v>
      </c>
      <c r="D107" s="20">
        <v>5570</v>
      </c>
      <c r="E107" s="20">
        <v>5199</v>
      </c>
      <c r="F107" s="7">
        <f t="shared" si="7"/>
        <v>8254455.9300000006</v>
      </c>
      <c r="G107" s="7">
        <f t="shared" si="8"/>
        <v>10524678.834000001</v>
      </c>
      <c r="H107" s="20">
        <v>32</v>
      </c>
      <c r="I107" s="20">
        <v>633500</v>
      </c>
      <c r="J107" s="20">
        <v>18</v>
      </c>
      <c r="K107" s="20">
        <v>248000</v>
      </c>
      <c r="L107" s="20">
        <v>89000</v>
      </c>
      <c r="M107" s="20"/>
      <c r="N107" s="20"/>
      <c r="O107" s="20">
        <v>787000</v>
      </c>
      <c r="P107" s="20"/>
      <c r="Q107" s="19">
        <f t="shared" si="9"/>
        <v>20536634.764000002</v>
      </c>
      <c r="R107" s="20">
        <v>1511400</v>
      </c>
      <c r="S107" s="20">
        <v>9980983</v>
      </c>
      <c r="T107" s="20"/>
      <c r="U107" s="20">
        <v>872960</v>
      </c>
      <c r="V107" s="20"/>
      <c r="W107" s="20">
        <v>306500</v>
      </c>
      <c r="X107" s="20">
        <v>4503603</v>
      </c>
      <c r="Y107" s="8">
        <f t="shared" si="10"/>
        <v>3361188.7640000023</v>
      </c>
      <c r="Z107" s="36"/>
      <c r="AA107" s="36"/>
      <c r="AB107" s="36"/>
      <c r="AC107" s="36"/>
      <c r="AD107" s="36"/>
      <c r="AE107" s="36"/>
      <c r="AF107" s="36">
        <v>4000</v>
      </c>
      <c r="AG107" s="36"/>
      <c r="AH107" s="36"/>
      <c r="AI107" s="36"/>
      <c r="AJ107" s="36"/>
      <c r="AK107" s="36"/>
      <c r="AL107" s="37">
        <f t="shared" si="11"/>
        <v>4000</v>
      </c>
      <c r="AM107" s="36"/>
      <c r="AN107" s="36"/>
      <c r="AO107" s="36"/>
      <c r="AP107" s="7"/>
      <c r="AQ107" s="38">
        <f t="shared" si="12"/>
        <v>3357188.7640000023</v>
      </c>
      <c r="AR107" s="36">
        <v>3357200</v>
      </c>
      <c r="AS107" s="18">
        <f t="shared" si="13"/>
        <v>11.235999997705221</v>
      </c>
    </row>
    <row r="108" spans="1:45" x14ac:dyDescent="0.25">
      <c r="A108" s="40">
        <v>45396</v>
      </c>
      <c r="B108" s="20">
        <v>867.87599999999998</v>
      </c>
      <c r="C108" s="20">
        <v>5004.4530000000004</v>
      </c>
      <c r="D108" s="20">
        <v>5570</v>
      </c>
      <c r="E108" s="20">
        <v>5199</v>
      </c>
      <c r="F108" s="7">
        <f t="shared" si="7"/>
        <v>4834069.32</v>
      </c>
      <c r="G108" s="7">
        <f t="shared" si="8"/>
        <v>26018151.147000004</v>
      </c>
      <c r="H108" s="20">
        <v>34</v>
      </c>
      <c r="I108" s="20">
        <v>657000</v>
      </c>
      <c r="J108" s="20">
        <v>24</v>
      </c>
      <c r="K108" s="20">
        <v>430000</v>
      </c>
      <c r="L108" s="20">
        <v>16000</v>
      </c>
      <c r="M108" s="20"/>
      <c r="N108" s="20"/>
      <c r="O108" s="20"/>
      <c r="P108" s="20"/>
      <c r="Q108" s="19">
        <f t="shared" si="9"/>
        <v>31955220.467000004</v>
      </c>
      <c r="R108" s="20">
        <v>1383509</v>
      </c>
      <c r="S108" s="20">
        <v>22414836</v>
      </c>
      <c r="T108" s="20"/>
      <c r="U108" s="20"/>
      <c r="V108" s="20"/>
      <c r="W108" s="20">
        <v>46000</v>
      </c>
      <c r="X108" s="20">
        <v>5626738</v>
      </c>
      <c r="Y108" s="8">
        <f t="shared" si="10"/>
        <v>2484137.4670000039</v>
      </c>
      <c r="Z108" s="36"/>
      <c r="AA108" s="36"/>
      <c r="AB108" s="36"/>
      <c r="AC108" s="36"/>
      <c r="AD108" s="36"/>
      <c r="AE108" s="36"/>
      <c r="AF108" s="36">
        <v>7000</v>
      </c>
      <c r="AG108" s="36"/>
      <c r="AH108" s="36"/>
      <c r="AI108" s="36"/>
      <c r="AJ108" s="36"/>
      <c r="AK108" s="36"/>
      <c r="AL108" s="37">
        <f t="shared" si="11"/>
        <v>7000</v>
      </c>
      <c r="AM108" s="36"/>
      <c r="AN108" s="36"/>
      <c r="AO108" s="36"/>
      <c r="AP108" s="7"/>
      <c r="AQ108" s="38">
        <f t="shared" si="12"/>
        <v>2477137.4670000039</v>
      </c>
      <c r="AR108" s="36">
        <v>0</v>
      </c>
      <c r="AS108" s="18">
        <f t="shared" si="13"/>
        <v>-2477137.4670000039</v>
      </c>
    </row>
    <row r="109" spans="1:45" x14ac:dyDescent="0.25">
      <c r="A109" s="40">
        <v>45397</v>
      </c>
      <c r="B109" s="20">
        <v>936.40899999999999</v>
      </c>
      <c r="C109" s="20">
        <v>2283.8020000000001</v>
      </c>
      <c r="D109" s="20">
        <v>5570</v>
      </c>
      <c r="E109" s="20">
        <v>5199</v>
      </c>
      <c r="F109" s="7">
        <f t="shared" si="7"/>
        <v>5215798.13</v>
      </c>
      <c r="G109" s="7">
        <f t="shared" si="8"/>
        <v>11873486.598000001</v>
      </c>
      <c r="H109" s="20">
        <v>10</v>
      </c>
      <c r="I109" s="20">
        <v>186500</v>
      </c>
      <c r="J109" s="20">
        <v>24</v>
      </c>
      <c r="K109" s="20">
        <v>224000</v>
      </c>
      <c r="L109" s="20">
        <v>50000</v>
      </c>
      <c r="M109" s="20"/>
      <c r="N109" s="20"/>
      <c r="O109" s="20">
        <v>0</v>
      </c>
      <c r="P109" s="20"/>
      <c r="Q109" s="19">
        <f t="shared" si="9"/>
        <v>17549784.728</v>
      </c>
      <c r="R109" s="20">
        <v>859787</v>
      </c>
      <c r="S109" s="20">
        <v>9359028</v>
      </c>
      <c r="T109" s="20"/>
      <c r="U109" s="20">
        <v>480774</v>
      </c>
      <c r="V109" s="20"/>
      <c r="W109" s="20">
        <v>213500</v>
      </c>
      <c r="X109" s="20">
        <v>2855840</v>
      </c>
      <c r="Y109" s="8">
        <f t="shared" si="10"/>
        <v>3780855.7280000001</v>
      </c>
      <c r="Z109" s="36"/>
      <c r="AA109" s="36"/>
      <c r="AB109" s="36"/>
      <c r="AC109" s="36"/>
      <c r="AD109" s="36">
        <v>103980</v>
      </c>
      <c r="AE109" s="36"/>
      <c r="AF109" s="36"/>
      <c r="AG109" s="36"/>
      <c r="AH109" s="36"/>
      <c r="AI109" s="36"/>
      <c r="AJ109" s="36"/>
      <c r="AK109" s="36"/>
      <c r="AL109" s="37">
        <f t="shared" si="11"/>
        <v>103980</v>
      </c>
      <c r="AM109" s="36"/>
      <c r="AN109" s="36"/>
      <c r="AO109" s="36"/>
      <c r="AP109" s="7"/>
      <c r="AQ109" s="38">
        <f t="shared" si="12"/>
        <v>3676875.7280000001</v>
      </c>
      <c r="AR109" s="36">
        <v>6154000</v>
      </c>
      <c r="AS109" s="18">
        <f t="shared" si="13"/>
        <v>2477124.2719999999</v>
      </c>
    </row>
    <row r="110" spans="1:45" x14ac:dyDescent="0.25">
      <c r="A110" s="40">
        <v>45398</v>
      </c>
      <c r="B110" s="20">
        <v>1731.7260000000001</v>
      </c>
      <c r="C110" s="20">
        <v>3314.9119999999998</v>
      </c>
      <c r="D110" s="20">
        <v>5570</v>
      </c>
      <c r="E110" s="20">
        <v>5199</v>
      </c>
      <c r="F110" s="7">
        <f t="shared" si="7"/>
        <v>9645713.8200000003</v>
      </c>
      <c r="G110" s="7">
        <f t="shared" si="8"/>
        <v>17234227.487999998</v>
      </c>
      <c r="H110" s="20">
        <v>32.25</v>
      </c>
      <c r="I110" s="20">
        <v>662000</v>
      </c>
      <c r="J110" s="20">
        <v>67.5</v>
      </c>
      <c r="K110" s="20">
        <v>779000</v>
      </c>
      <c r="L110" s="20">
        <v>16000</v>
      </c>
      <c r="M110" s="20"/>
      <c r="N110" s="20"/>
      <c r="O110" s="20">
        <v>3558600</v>
      </c>
      <c r="P110" s="20"/>
      <c r="Q110" s="19">
        <f t="shared" si="9"/>
        <v>31895541.307999998</v>
      </c>
      <c r="R110" s="20">
        <v>1827171</v>
      </c>
      <c r="S110" s="20">
        <v>9190830</v>
      </c>
      <c r="T110" s="20"/>
      <c r="U110" s="20">
        <v>962900</v>
      </c>
      <c r="V110" s="20"/>
      <c r="W110" s="20">
        <v>332536</v>
      </c>
      <c r="X110" s="20">
        <v>13891194</v>
      </c>
      <c r="Y110" s="8">
        <f t="shared" si="10"/>
        <v>5690910.3079999983</v>
      </c>
      <c r="Z110" s="36"/>
      <c r="AA110" s="36"/>
      <c r="AB110" s="36"/>
      <c r="AC110" s="36">
        <v>5000</v>
      </c>
      <c r="AD110" s="36"/>
      <c r="AE110" s="36"/>
      <c r="AF110" s="36">
        <v>61000</v>
      </c>
      <c r="AG110" s="36"/>
      <c r="AH110" s="36">
        <v>21000</v>
      </c>
      <c r="AI110" s="36"/>
      <c r="AJ110" s="36"/>
      <c r="AK110" s="36"/>
      <c r="AL110" s="37">
        <f t="shared" si="11"/>
        <v>87000</v>
      </c>
      <c r="AM110" s="36"/>
      <c r="AN110" s="36"/>
      <c r="AO110" s="36" t="s">
        <v>124</v>
      </c>
      <c r="AP110" s="7"/>
      <c r="AQ110" s="38">
        <f t="shared" si="12"/>
        <v>5603910.3079999983</v>
      </c>
      <c r="AR110" s="36">
        <v>5683300</v>
      </c>
      <c r="AS110" s="18">
        <f t="shared" si="13"/>
        <v>79389.692000001669</v>
      </c>
    </row>
    <row r="111" spans="1:45" x14ac:dyDescent="0.25">
      <c r="A111" s="40">
        <v>45399</v>
      </c>
      <c r="B111" s="20">
        <v>1383.989</v>
      </c>
      <c r="C111" s="20">
        <v>3000.6010000000001</v>
      </c>
      <c r="D111" s="20">
        <v>5670</v>
      </c>
      <c r="E111" s="20">
        <v>5199</v>
      </c>
      <c r="F111" s="7">
        <f t="shared" si="7"/>
        <v>7847217.6299999999</v>
      </c>
      <c r="G111" s="7">
        <f t="shared" si="8"/>
        <v>15600124.599000001</v>
      </c>
      <c r="H111" s="20">
        <v>72</v>
      </c>
      <c r="I111" s="20">
        <v>1424000</v>
      </c>
      <c r="J111" s="20">
        <v>58</v>
      </c>
      <c r="K111" s="20">
        <v>534000</v>
      </c>
      <c r="L111" s="20">
        <v>0</v>
      </c>
      <c r="M111" s="20"/>
      <c r="N111" s="20"/>
      <c r="O111" s="20">
        <v>2320500</v>
      </c>
      <c r="P111" s="20"/>
      <c r="Q111" s="19">
        <f t="shared" si="9"/>
        <v>27725842.229000002</v>
      </c>
      <c r="R111" s="20">
        <v>730866</v>
      </c>
      <c r="S111" s="20">
        <v>10482647</v>
      </c>
      <c r="T111" s="20"/>
      <c r="U111" s="20">
        <v>382000</v>
      </c>
      <c r="V111" s="20"/>
      <c r="W111" s="20">
        <v>347500</v>
      </c>
      <c r="X111" s="20">
        <v>10782928</v>
      </c>
      <c r="Y111" s="8">
        <f t="shared" si="10"/>
        <v>4999901.2290000021</v>
      </c>
      <c r="Z111" s="36"/>
      <c r="AA111" s="36"/>
      <c r="AB111" s="36"/>
      <c r="AC111" s="36"/>
      <c r="AD111" s="36"/>
      <c r="AE111" s="36"/>
      <c r="AF111" s="36">
        <v>3000</v>
      </c>
      <c r="AG111" s="36"/>
      <c r="AH111" s="36"/>
      <c r="AI111" s="36"/>
      <c r="AJ111" s="36"/>
      <c r="AK111" s="36"/>
      <c r="AL111" s="37">
        <f t="shared" si="11"/>
        <v>3000</v>
      </c>
      <c r="AM111" s="36"/>
      <c r="AN111" s="36"/>
      <c r="AO111" s="36"/>
      <c r="AP111" s="7"/>
      <c r="AQ111" s="38">
        <f t="shared" si="12"/>
        <v>4996901.2290000021</v>
      </c>
      <c r="AR111" s="36">
        <v>4997400</v>
      </c>
      <c r="AS111" s="18">
        <f t="shared" si="13"/>
        <v>498.77099999785423</v>
      </c>
    </row>
    <row r="112" spans="1:45" x14ac:dyDescent="0.25">
      <c r="A112" s="40">
        <v>45400</v>
      </c>
      <c r="B112" s="20">
        <v>1619.546</v>
      </c>
      <c r="C112" s="20">
        <v>2215.895</v>
      </c>
      <c r="D112" s="20">
        <v>5670</v>
      </c>
      <c r="E112" s="20">
        <v>5199</v>
      </c>
      <c r="F112" s="7">
        <f t="shared" si="7"/>
        <v>9182825.8200000003</v>
      </c>
      <c r="G112" s="7">
        <f t="shared" si="8"/>
        <v>11520438.105</v>
      </c>
      <c r="H112" s="20">
        <v>80</v>
      </c>
      <c r="I112" s="20">
        <v>1688500</v>
      </c>
      <c r="J112" s="20">
        <v>49</v>
      </c>
      <c r="K112" s="20">
        <v>531000</v>
      </c>
      <c r="L112" s="20">
        <v>15000</v>
      </c>
      <c r="M112" s="20">
        <v>200000</v>
      </c>
      <c r="N112" s="20"/>
      <c r="O112" s="20">
        <v>4341050</v>
      </c>
      <c r="P112" s="20"/>
      <c r="Q112" s="19">
        <f t="shared" si="9"/>
        <v>27478813.925000001</v>
      </c>
      <c r="R112" s="20">
        <v>1620722</v>
      </c>
      <c r="S112" s="20">
        <v>9459040</v>
      </c>
      <c r="T112" s="20"/>
      <c r="U112" s="20">
        <v>1397000</v>
      </c>
      <c r="V112" s="20"/>
      <c r="W112" s="20">
        <v>99000</v>
      </c>
      <c r="X112" s="20">
        <v>5369905</v>
      </c>
      <c r="Y112" s="8">
        <f t="shared" si="10"/>
        <v>9533146.9250000007</v>
      </c>
      <c r="Z112" s="36"/>
      <c r="AA112" s="36"/>
      <c r="AB112" s="36"/>
      <c r="AC112" s="36"/>
      <c r="AD112" s="36"/>
      <c r="AE112" s="36"/>
      <c r="AF112" s="36">
        <v>5000</v>
      </c>
      <c r="AG112" s="36"/>
      <c r="AH112" s="36"/>
      <c r="AI112" s="36"/>
      <c r="AJ112" s="36">
        <v>140000</v>
      </c>
      <c r="AK112" s="36"/>
      <c r="AL112" s="37">
        <f t="shared" si="11"/>
        <v>145000</v>
      </c>
      <c r="AM112" s="36"/>
      <c r="AN112" s="36"/>
      <c r="AO112" s="36"/>
      <c r="AP112" s="7"/>
      <c r="AQ112" s="38">
        <f t="shared" si="12"/>
        <v>9388146.9250000007</v>
      </c>
      <c r="AR112" s="36">
        <v>9388100</v>
      </c>
      <c r="AS112" s="18">
        <f t="shared" si="13"/>
        <v>-46.925000000745058</v>
      </c>
    </row>
    <row r="113" spans="1:45" x14ac:dyDescent="0.25">
      <c r="A113" s="40">
        <v>45401</v>
      </c>
      <c r="B113" s="20">
        <v>1784.18</v>
      </c>
      <c r="C113" s="20">
        <v>2960.6460000000002</v>
      </c>
      <c r="D113" s="20">
        <v>5670</v>
      </c>
      <c r="E113" s="20">
        <v>5199</v>
      </c>
      <c r="F113" s="7">
        <f t="shared" si="7"/>
        <v>10116300.6</v>
      </c>
      <c r="G113" s="7">
        <f t="shared" si="8"/>
        <v>15392398.554000001</v>
      </c>
      <c r="H113" s="20">
        <v>43.5</v>
      </c>
      <c r="I113" s="20">
        <v>931500</v>
      </c>
      <c r="J113" s="20">
        <v>103.5</v>
      </c>
      <c r="K113" s="20">
        <v>1035000</v>
      </c>
      <c r="L113" s="20">
        <v>15000</v>
      </c>
      <c r="M113" s="20"/>
      <c r="N113" s="20"/>
      <c r="O113" s="20">
        <v>459500</v>
      </c>
      <c r="P113" s="20"/>
      <c r="Q113" s="19">
        <f t="shared" si="9"/>
        <v>27949699.153999999</v>
      </c>
      <c r="R113" s="20">
        <v>822365</v>
      </c>
      <c r="S113" s="20">
        <v>17779443</v>
      </c>
      <c r="T113" s="20"/>
      <c r="U113" s="20">
        <v>671633</v>
      </c>
      <c r="V113" s="20"/>
      <c r="W113" s="20">
        <v>505538</v>
      </c>
      <c r="X113" s="20">
        <v>5256298</v>
      </c>
      <c r="Y113" s="8">
        <f t="shared" si="10"/>
        <v>2914422.1539999992</v>
      </c>
      <c r="Z113" s="36"/>
      <c r="AA113" s="36"/>
      <c r="AB113" s="36"/>
      <c r="AC113" s="36"/>
      <c r="AD113" s="36"/>
      <c r="AE113" s="36"/>
      <c r="AF113" s="36">
        <v>33000</v>
      </c>
      <c r="AG113" s="36"/>
      <c r="AH113" s="36"/>
      <c r="AI113" s="36"/>
      <c r="AJ113" s="36">
        <v>425700</v>
      </c>
      <c r="AK113" s="36"/>
      <c r="AL113" s="37">
        <f t="shared" si="11"/>
        <v>458700</v>
      </c>
      <c r="AM113" s="36"/>
      <c r="AN113" s="36"/>
      <c r="AO113" s="36"/>
      <c r="AP113" s="7"/>
      <c r="AQ113" s="38">
        <f t="shared" si="12"/>
        <v>2455722.1539999992</v>
      </c>
      <c r="AR113" s="36">
        <v>2455800</v>
      </c>
      <c r="AS113" s="18">
        <f>AR113-AQ113</f>
        <v>77.846000000834465</v>
      </c>
    </row>
    <row r="114" spans="1:45" x14ac:dyDescent="0.25">
      <c r="A114" s="40">
        <v>45402</v>
      </c>
      <c r="B114" s="20">
        <v>1853.385</v>
      </c>
      <c r="C114" s="20">
        <v>2943.701</v>
      </c>
      <c r="D114" s="20">
        <v>5670</v>
      </c>
      <c r="E114" s="20">
        <v>5199</v>
      </c>
      <c r="F114" s="7">
        <f t="shared" si="7"/>
        <v>10508692.949999999</v>
      </c>
      <c r="G114" s="7">
        <f t="shared" si="8"/>
        <v>15304301.499</v>
      </c>
      <c r="H114" s="20">
        <v>94.25</v>
      </c>
      <c r="I114" s="20">
        <v>1876500</v>
      </c>
      <c r="J114" s="20">
        <v>58.5</v>
      </c>
      <c r="K114" s="20">
        <v>710500</v>
      </c>
      <c r="L114" s="20">
        <v>23000</v>
      </c>
      <c r="M114" s="20"/>
      <c r="N114" s="20"/>
      <c r="O114" s="20">
        <v>1208830</v>
      </c>
      <c r="P114" s="20"/>
      <c r="Q114" s="19">
        <f t="shared" si="9"/>
        <v>29631824.449000001</v>
      </c>
      <c r="R114" s="20">
        <v>812498</v>
      </c>
      <c r="S114" s="20">
        <v>14372354</v>
      </c>
      <c r="T114" s="20"/>
      <c r="U114" s="20">
        <v>2013890</v>
      </c>
      <c r="V114" s="20"/>
      <c r="W114" s="20">
        <v>187000</v>
      </c>
      <c r="X114" s="20">
        <v>6397130</v>
      </c>
      <c r="Y114" s="8">
        <f t="shared" si="10"/>
        <v>5848952.449000001</v>
      </c>
      <c r="Z114" s="36"/>
      <c r="AA114" s="36"/>
      <c r="AB114" s="36"/>
      <c r="AC114" s="36"/>
      <c r="AD114" s="36"/>
      <c r="AE114" s="36"/>
      <c r="AF114" s="36">
        <v>3000</v>
      </c>
      <c r="AG114" s="36"/>
      <c r="AH114" s="36">
        <v>50000</v>
      </c>
      <c r="AI114" s="36"/>
      <c r="AJ114" s="36"/>
      <c r="AK114" s="36"/>
      <c r="AL114" s="37">
        <f t="shared" si="11"/>
        <v>53000</v>
      </c>
      <c r="AM114" s="36"/>
      <c r="AN114" s="36"/>
      <c r="AO114" s="36"/>
      <c r="AP114" s="7"/>
      <c r="AQ114" s="38">
        <f t="shared" si="12"/>
        <v>5795952.449000001</v>
      </c>
      <c r="AR114" s="36">
        <v>5795900</v>
      </c>
      <c r="AS114" s="18">
        <f t="shared" si="13"/>
        <v>-52.449000000953674</v>
      </c>
    </row>
    <row r="115" spans="1:45" x14ac:dyDescent="0.25">
      <c r="A115" s="40">
        <v>45403</v>
      </c>
      <c r="B115" s="20">
        <v>1184.171</v>
      </c>
      <c r="C115" s="20">
        <v>1420.9169999999999</v>
      </c>
      <c r="D115" s="20">
        <v>5670</v>
      </c>
      <c r="E115" s="20">
        <v>5199</v>
      </c>
      <c r="F115" s="7">
        <f t="shared" si="7"/>
        <v>6714249.5700000003</v>
      </c>
      <c r="G115" s="7">
        <f t="shared" si="8"/>
        <v>7387347.483</v>
      </c>
      <c r="H115" s="20">
        <v>57.5</v>
      </c>
      <c r="I115" s="20">
        <v>1255000</v>
      </c>
      <c r="J115" s="20">
        <v>36.5</v>
      </c>
      <c r="K115" s="20">
        <v>417000</v>
      </c>
      <c r="L115" s="20">
        <v>38000</v>
      </c>
      <c r="M115" s="20">
        <v>779850</v>
      </c>
      <c r="N115" s="20"/>
      <c r="O115" s="20">
        <v>1138538</v>
      </c>
      <c r="P115" s="20"/>
      <c r="Q115" s="19">
        <f t="shared" si="9"/>
        <v>17729985.052999999</v>
      </c>
      <c r="R115" s="20">
        <v>644384</v>
      </c>
      <c r="S115" s="20">
        <v>6901874</v>
      </c>
      <c r="T115" s="20"/>
      <c r="U115" s="20"/>
      <c r="V115" s="20"/>
      <c r="W115" s="20">
        <v>99500</v>
      </c>
      <c r="X115" s="20">
        <v>5416351</v>
      </c>
      <c r="Y115" s="8">
        <f t="shared" si="10"/>
        <v>4667876.0529999994</v>
      </c>
      <c r="Z115" s="36"/>
      <c r="AA115" s="36"/>
      <c r="AB115" s="36"/>
      <c r="AC115" s="36"/>
      <c r="AD115" s="36"/>
      <c r="AE115" s="36"/>
      <c r="AF115" s="36">
        <v>3000</v>
      </c>
      <c r="AG115" s="36"/>
      <c r="AH115" s="36"/>
      <c r="AI115" s="36"/>
      <c r="AJ115" s="36"/>
      <c r="AK115" s="36"/>
      <c r="AL115" s="37">
        <f t="shared" si="11"/>
        <v>3000</v>
      </c>
      <c r="AM115" s="36"/>
      <c r="AN115" s="36"/>
      <c r="AO115" s="36"/>
      <c r="AP115" s="7"/>
      <c r="AQ115" s="38">
        <f t="shared" si="12"/>
        <v>4664876.0529999994</v>
      </c>
      <c r="AR115" s="36">
        <v>0</v>
      </c>
      <c r="AS115" s="18">
        <f t="shared" si="13"/>
        <v>-4664876.0529999994</v>
      </c>
    </row>
    <row r="116" spans="1:45" x14ac:dyDescent="0.25">
      <c r="A116" s="40">
        <v>45404</v>
      </c>
      <c r="B116" s="20">
        <v>1121.452</v>
      </c>
      <c r="C116" s="20">
        <v>1440.722</v>
      </c>
      <c r="D116" s="20">
        <v>5670</v>
      </c>
      <c r="E116" s="20">
        <v>5199</v>
      </c>
      <c r="F116" s="7">
        <f t="shared" si="7"/>
        <v>6358632.8399999999</v>
      </c>
      <c r="G116" s="7">
        <f t="shared" si="8"/>
        <v>7490313.6780000003</v>
      </c>
      <c r="H116" s="20">
        <v>31.5</v>
      </c>
      <c r="I116" s="20">
        <v>703500</v>
      </c>
      <c r="J116" s="20">
        <v>24</v>
      </c>
      <c r="K116" s="20">
        <v>224000</v>
      </c>
      <c r="L116" s="20">
        <v>15000</v>
      </c>
      <c r="M116" s="20"/>
      <c r="N116" s="20"/>
      <c r="O116" s="20">
        <v>113400</v>
      </c>
      <c r="P116" s="20"/>
      <c r="Q116" s="19">
        <f t="shared" si="9"/>
        <v>14904846.517999999</v>
      </c>
      <c r="R116" s="20">
        <v>1101324</v>
      </c>
      <c r="S116" s="20">
        <v>6105990</v>
      </c>
      <c r="T116" s="20" t="s">
        <v>125</v>
      </c>
      <c r="U116" s="20">
        <v>1781989</v>
      </c>
      <c r="V116" s="20"/>
      <c r="W116" s="20">
        <v>0</v>
      </c>
      <c r="X116" s="20">
        <v>2884035</v>
      </c>
      <c r="Y116" s="8">
        <f t="shared" si="10"/>
        <v>3031508.5179999992</v>
      </c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7">
        <f t="shared" si="11"/>
        <v>0</v>
      </c>
      <c r="AM116" s="36"/>
      <c r="AN116" s="36"/>
      <c r="AO116" s="36"/>
      <c r="AP116" s="7"/>
      <c r="AQ116" s="38">
        <f t="shared" si="12"/>
        <v>3031508.5179999992</v>
      </c>
      <c r="AR116" s="36">
        <v>7696500</v>
      </c>
      <c r="AS116" s="18">
        <f t="shared" si="13"/>
        <v>4664991.4820000008</v>
      </c>
    </row>
    <row r="117" spans="1:45" x14ac:dyDescent="0.25">
      <c r="A117" s="40">
        <v>45405</v>
      </c>
      <c r="B117" s="20">
        <v>1450.1610000000001</v>
      </c>
      <c r="C117" s="20">
        <v>2672.797</v>
      </c>
      <c r="D117" s="20">
        <v>5670</v>
      </c>
      <c r="E117" s="20">
        <v>5199</v>
      </c>
      <c r="F117" s="7">
        <f t="shared" si="7"/>
        <v>8222412.8700000001</v>
      </c>
      <c r="G117" s="7">
        <f t="shared" si="8"/>
        <v>13895871.603</v>
      </c>
      <c r="H117" s="20">
        <v>38</v>
      </c>
      <c r="I117" s="20">
        <v>839000</v>
      </c>
      <c r="J117" s="20">
        <v>66.5</v>
      </c>
      <c r="K117" s="20">
        <v>777000</v>
      </c>
      <c r="L117" s="20">
        <v>75000</v>
      </c>
      <c r="M117" s="20"/>
      <c r="N117" s="20"/>
      <c r="O117" s="20">
        <v>1343400</v>
      </c>
      <c r="P117" s="20"/>
      <c r="Q117" s="19">
        <f t="shared" si="9"/>
        <v>25152684.473000001</v>
      </c>
      <c r="R117" s="20">
        <v>1480070</v>
      </c>
      <c r="S117" s="20">
        <v>7462730</v>
      </c>
      <c r="T117" s="20">
        <v>2994446</v>
      </c>
      <c r="U117" s="20">
        <v>461000</v>
      </c>
      <c r="V117" s="20"/>
      <c r="W117" s="20">
        <v>58000</v>
      </c>
      <c r="X117" s="20">
        <v>5527294</v>
      </c>
      <c r="Y117" s="8">
        <f t="shared" si="10"/>
        <v>7169144.4730000012</v>
      </c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7">
        <f t="shared" si="11"/>
        <v>0</v>
      </c>
      <c r="AM117" s="36"/>
      <c r="AN117" s="36"/>
      <c r="AO117" s="36"/>
      <c r="AP117" s="7"/>
      <c r="AQ117" s="38">
        <f t="shared" si="12"/>
        <v>7169144.4730000012</v>
      </c>
      <c r="AR117" s="36">
        <v>7585100</v>
      </c>
      <c r="AS117" s="18">
        <f t="shared" si="13"/>
        <v>415955.52699999884</v>
      </c>
    </row>
    <row r="118" spans="1:45" x14ac:dyDescent="0.25">
      <c r="A118" s="40">
        <v>45406</v>
      </c>
      <c r="B118" s="20">
        <v>1454.069</v>
      </c>
      <c r="C118" s="20">
        <v>2255.998</v>
      </c>
      <c r="D118" s="20">
        <v>5670</v>
      </c>
      <c r="E118" s="20">
        <v>5119</v>
      </c>
      <c r="F118" s="7">
        <f t="shared" si="7"/>
        <v>8244571.2299999995</v>
      </c>
      <c r="G118" s="7">
        <f t="shared" si="8"/>
        <v>11548453.762</v>
      </c>
      <c r="H118" s="20">
        <v>48.75</v>
      </c>
      <c r="I118" s="20">
        <v>975000</v>
      </c>
      <c r="J118" s="20">
        <v>33.5</v>
      </c>
      <c r="K118" s="20">
        <v>389000</v>
      </c>
      <c r="L118" s="20">
        <v>31000</v>
      </c>
      <c r="M118" s="20"/>
      <c r="N118" s="20"/>
      <c r="O118" s="20"/>
      <c r="P118" s="20"/>
      <c r="Q118" s="19">
        <f t="shared" si="9"/>
        <v>21188024.991999999</v>
      </c>
      <c r="R118" s="20">
        <v>1440701</v>
      </c>
      <c r="S118" s="20">
        <v>9330421</v>
      </c>
      <c r="T118" s="20"/>
      <c r="U118" s="20">
        <v>405000</v>
      </c>
      <c r="V118" s="20"/>
      <c r="W118" s="20">
        <v>392540</v>
      </c>
      <c r="X118" s="20">
        <v>8186778</v>
      </c>
      <c r="Y118" s="8">
        <f t="shared" si="10"/>
        <v>1432584.9919999987</v>
      </c>
      <c r="Z118" s="36"/>
      <c r="AA118" s="36"/>
      <c r="AB118" s="36"/>
      <c r="AC118" s="36"/>
      <c r="AD118" s="36"/>
      <c r="AE118" s="36"/>
      <c r="AF118" s="36">
        <v>3000</v>
      </c>
      <c r="AG118" s="36"/>
      <c r="AH118" s="36"/>
      <c r="AI118" s="36"/>
      <c r="AJ118" s="36"/>
      <c r="AK118" s="36"/>
      <c r="AL118" s="37">
        <f t="shared" si="11"/>
        <v>3000</v>
      </c>
      <c r="AM118" s="36"/>
      <c r="AN118" s="36"/>
      <c r="AO118" s="36"/>
      <c r="AP118" s="7"/>
      <c r="AQ118" s="38">
        <f t="shared" si="12"/>
        <v>1429584.9919999987</v>
      </c>
      <c r="AR118" s="36">
        <v>1194100</v>
      </c>
      <c r="AS118" s="18">
        <v>-415956</v>
      </c>
    </row>
    <row r="119" spans="1:45" x14ac:dyDescent="0.25">
      <c r="A119" s="40">
        <v>45407</v>
      </c>
      <c r="B119" s="20">
        <v>1357</v>
      </c>
      <c r="C119" s="20">
        <v>3283.335</v>
      </c>
      <c r="D119" s="20">
        <v>5670</v>
      </c>
      <c r="E119" s="20">
        <v>5119</v>
      </c>
      <c r="F119" s="7">
        <f t="shared" si="7"/>
        <v>7694190</v>
      </c>
      <c r="G119" s="7">
        <f t="shared" si="8"/>
        <v>16807391.864999998</v>
      </c>
      <c r="H119" s="20">
        <v>45.25</v>
      </c>
      <c r="I119" s="20">
        <v>941500</v>
      </c>
      <c r="J119" s="20">
        <v>24.5</v>
      </c>
      <c r="K119" s="20">
        <v>444500</v>
      </c>
      <c r="L119" s="20">
        <v>8000</v>
      </c>
      <c r="M119" s="20"/>
      <c r="N119" s="20"/>
      <c r="O119" s="20">
        <v>450500</v>
      </c>
      <c r="P119" s="20"/>
      <c r="Q119" s="19">
        <f t="shared" si="9"/>
        <v>26346081.864999998</v>
      </c>
      <c r="R119" s="20">
        <v>789661</v>
      </c>
      <c r="S119" s="20">
        <v>11599124</v>
      </c>
      <c r="T119" s="20"/>
      <c r="U119" s="20">
        <v>509000</v>
      </c>
      <c r="V119" s="20"/>
      <c r="W119" s="20">
        <v>20000</v>
      </c>
      <c r="X119" s="20">
        <v>11263402</v>
      </c>
      <c r="Y119" s="8">
        <f t="shared" si="10"/>
        <v>2164894.8649999984</v>
      </c>
      <c r="Z119" s="36"/>
      <c r="AA119" s="36"/>
      <c r="AB119" s="36"/>
      <c r="AC119" s="36"/>
      <c r="AD119" s="36"/>
      <c r="AE119" s="36"/>
      <c r="AF119" s="36">
        <v>13000</v>
      </c>
      <c r="AG119" s="36"/>
      <c r="AH119" s="36">
        <v>21000</v>
      </c>
      <c r="AI119" s="36">
        <v>10000</v>
      </c>
      <c r="AJ119" s="36"/>
      <c r="AK119" s="36"/>
      <c r="AL119" s="37">
        <f t="shared" si="11"/>
        <v>44000</v>
      </c>
      <c r="AM119" s="36"/>
      <c r="AN119" s="36"/>
      <c r="AO119" s="36"/>
      <c r="AP119" s="7"/>
      <c r="AQ119" s="38">
        <f t="shared" si="12"/>
        <v>2120894.8649999984</v>
      </c>
      <c r="AR119" s="36">
        <v>2121000</v>
      </c>
      <c r="AS119" s="18">
        <f t="shared" si="13"/>
        <v>105.13500000163913</v>
      </c>
    </row>
    <row r="120" spans="1:45" x14ac:dyDescent="0.25">
      <c r="A120" s="40">
        <v>45408</v>
      </c>
      <c r="B120" s="20">
        <v>1756.53</v>
      </c>
      <c r="C120" s="20">
        <v>3954</v>
      </c>
      <c r="D120" s="20">
        <v>5670</v>
      </c>
      <c r="E120" s="20">
        <v>5119</v>
      </c>
      <c r="F120" s="7">
        <f t="shared" si="7"/>
        <v>9959525.0999999996</v>
      </c>
      <c r="G120" s="7">
        <f t="shared" si="8"/>
        <v>20240526</v>
      </c>
      <c r="H120" s="20">
        <v>69</v>
      </c>
      <c r="I120" s="20">
        <v>1321500</v>
      </c>
      <c r="J120" s="20">
        <v>52</v>
      </c>
      <c r="K120" s="20">
        <v>558000</v>
      </c>
      <c r="L120" s="20">
        <v>65000</v>
      </c>
      <c r="M120" s="20"/>
      <c r="N120" s="20"/>
      <c r="O120" s="20">
        <v>151190</v>
      </c>
      <c r="P120" s="20"/>
      <c r="Q120" s="19">
        <f t="shared" si="9"/>
        <v>32295741.100000001</v>
      </c>
      <c r="R120" s="20">
        <v>1468790</v>
      </c>
      <c r="S120" s="20">
        <v>18591139</v>
      </c>
      <c r="T120" s="20"/>
      <c r="U120" s="20">
        <v>1903016</v>
      </c>
      <c r="V120" s="20"/>
      <c r="W120" s="20">
        <v>470000</v>
      </c>
      <c r="X120" s="20">
        <v>7685491</v>
      </c>
      <c r="Y120" s="8">
        <f t="shared" si="10"/>
        <v>2177305.1000000015</v>
      </c>
      <c r="Z120" s="36"/>
      <c r="AA120" s="36"/>
      <c r="AB120" s="36"/>
      <c r="AC120" s="36"/>
      <c r="AD120" s="36">
        <v>56700</v>
      </c>
      <c r="AE120" s="36"/>
      <c r="AF120" s="36">
        <v>3000</v>
      </c>
      <c r="AG120" s="36">
        <v>500000</v>
      </c>
      <c r="AH120" s="36">
        <v>20000</v>
      </c>
      <c r="AI120" s="36"/>
      <c r="AJ120" s="36"/>
      <c r="AK120" s="36"/>
      <c r="AL120" s="37">
        <f t="shared" si="11"/>
        <v>579700</v>
      </c>
      <c r="AM120" s="36"/>
      <c r="AN120" s="36"/>
      <c r="AO120" s="36"/>
      <c r="AP120" s="7"/>
      <c r="AQ120" s="38">
        <f t="shared" si="12"/>
        <v>1597605.1000000015</v>
      </c>
      <c r="AR120" s="36">
        <v>1595100</v>
      </c>
      <c r="AS120" s="18">
        <f t="shared" si="13"/>
        <v>-2505.1000000014901</v>
      </c>
    </row>
    <row r="121" spans="1:45" x14ac:dyDescent="0.25">
      <c r="A121" s="40">
        <v>45409</v>
      </c>
      <c r="B121" s="20">
        <v>1733.7539999999999</v>
      </c>
      <c r="C121" s="20">
        <v>3225.5509999999999</v>
      </c>
      <c r="D121" s="20">
        <v>5670</v>
      </c>
      <c r="E121" s="20">
        <v>5119</v>
      </c>
      <c r="F121" s="7">
        <f t="shared" si="7"/>
        <v>9830385.1799999997</v>
      </c>
      <c r="G121" s="7">
        <f t="shared" si="8"/>
        <v>16511595.569</v>
      </c>
      <c r="H121" s="20">
        <v>31</v>
      </c>
      <c r="I121" s="20">
        <v>610500</v>
      </c>
      <c r="J121" s="20">
        <v>6</v>
      </c>
      <c r="K121" s="20">
        <v>56000</v>
      </c>
      <c r="L121" s="20">
        <v>15000</v>
      </c>
      <c r="M121" s="20"/>
      <c r="N121" s="20"/>
      <c r="O121" s="20">
        <v>495000</v>
      </c>
      <c r="P121" s="20"/>
      <c r="Q121" s="19">
        <f t="shared" si="9"/>
        <v>27518480.748999998</v>
      </c>
      <c r="R121" s="20">
        <v>1220360</v>
      </c>
      <c r="S121" s="20">
        <v>17933333</v>
      </c>
      <c r="T121" s="20"/>
      <c r="U121" s="20"/>
      <c r="V121" s="20"/>
      <c r="W121" s="20">
        <v>413000</v>
      </c>
      <c r="X121" s="20">
        <v>5348626</v>
      </c>
      <c r="Y121" s="8">
        <f t="shared" si="10"/>
        <v>2603161.748999998</v>
      </c>
      <c r="Z121" s="36"/>
      <c r="AA121" s="36">
        <v>152000</v>
      </c>
      <c r="AB121" s="36"/>
      <c r="AC121" s="36"/>
      <c r="AD121" s="36"/>
      <c r="AE121" s="36"/>
      <c r="AF121" s="36">
        <v>50000</v>
      </c>
      <c r="AG121" s="36"/>
      <c r="AH121" s="36">
        <v>25000</v>
      </c>
      <c r="AI121" s="36"/>
      <c r="AJ121" s="36">
        <v>250000</v>
      </c>
      <c r="AK121" s="36"/>
      <c r="AL121" s="37">
        <f t="shared" si="11"/>
        <v>477000</v>
      </c>
      <c r="AM121" s="36"/>
      <c r="AN121" s="36"/>
      <c r="AO121" s="36"/>
      <c r="AP121" s="7"/>
      <c r="AQ121" s="38">
        <f t="shared" si="12"/>
        <v>2126161.748999998</v>
      </c>
      <c r="AR121" s="36"/>
      <c r="AS121" s="18">
        <f t="shared" si="13"/>
        <v>-2126161.748999998</v>
      </c>
    </row>
    <row r="122" spans="1:45" x14ac:dyDescent="0.25">
      <c r="A122" s="40">
        <v>45410</v>
      </c>
      <c r="B122" s="20">
        <v>1038.1289999999999</v>
      </c>
      <c r="C122" s="20">
        <v>0</v>
      </c>
      <c r="D122" s="20">
        <v>5670</v>
      </c>
      <c r="E122" s="20">
        <v>5119</v>
      </c>
      <c r="F122" s="7">
        <f t="shared" si="7"/>
        <v>5886191.4299999997</v>
      </c>
      <c r="G122" s="7">
        <f t="shared" si="8"/>
        <v>0</v>
      </c>
      <c r="H122" s="20">
        <v>48.25</v>
      </c>
      <c r="I122" s="20">
        <v>819500</v>
      </c>
      <c r="J122" s="20">
        <v>30</v>
      </c>
      <c r="K122" s="20">
        <v>440000</v>
      </c>
      <c r="L122" s="20">
        <v>15000</v>
      </c>
      <c r="M122" s="20"/>
      <c r="N122" s="20"/>
      <c r="O122" s="20">
        <v>359000</v>
      </c>
      <c r="P122" s="20"/>
      <c r="Q122" s="19">
        <f t="shared" si="9"/>
        <v>7519691.4299999997</v>
      </c>
      <c r="R122" s="20">
        <v>413681</v>
      </c>
      <c r="S122" s="20">
        <v>0</v>
      </c>
      <c r="T122" s="20"/>
      <c r="U122" s="20"/>
      <c r="V122" s="20"/>
      <c r="W122" s="20">
        <v>157500</v>
      </c>
      <c r="X122" s="20">
        <v>2734275</v>
      </c>
      <c r="Y122" s="8">
        <f t="shared" si="10"/>
        <v>4214235.43</v>
      </c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7">
        <f t="shared" si="11"/>
        <v>0</v>
      </c>
      <c r="AM122" s="36"/>
      <c r="AN122" s="36"/>
      <c r="AO122" s="36"/>
      <c r="AP122" s="7"/>
      <c r="AQ122" s="38">
        <f t="shared" si="12"/>
        <v>4214235.43</v>
      </c>
      <c r="AR122" s="36"/>
      <c r="AS122" s="18">
        <f t="shared" si="13"/>
        <v>-4214235.43</v>
      </c>
    </row>
    <row r="123" spans="1:45" x14ac:dyDescent="0.25">
      <c r="A123" s="40">
        <v>45411</v>
      </c>
      <c r="B123" s="20">
        <v>1333.4649999999999</v>
      </c>
      <c r="C123" s="20">
        <v>4692.6499999999996</v>
      </c>
      <c r="D123" s="20">
        <v>5670</v>
      </c>
      <c r="E123" s="20">
        <v>5119</v>
      </c>
      <c r="F123" s="7">
        <f t="shared" si="7"/>
        <v>7560746.5499999998</v>
      </c>
      <c r="G123" s="7">
        <f t="shared" si="8"/>
        <v>24021675.349999998</v>
      </c>
      <c r="H123" s="20">
        <v>40.5</v>
      </c>
      <c r="I123" s="20">
        <v>794500</v>
      </c>
      <c r="J123" s="20">
        <v>73</v>
      </c>
      <c r="K123" s="20">
        <v>720000</v>
      </c>
      <c r="L123" s="20">
        <v>83000</v>
      </c>
      <c r="M123" s="20"/>
      <c r="N123" s="20"/>
      <c r="O123" s="20">
        <v>0</v>
      </c>
      <c r="P123" s="20"/>
      <c r="Q123" s="19">
        <f t="shared" si="9"/>
        <v>33179921.899999999</v>
      </c>
      <c r="R123" s="20">
        <v>567800</v>
      </c>
      <c r="S123" s="20">
        <v>21082502</v>
      </c>
      <c r="T123" s="20"/>
      <c r="U123" s="20">
        <v>2344000</v>
      </c>
      <c r="V123" s="20"/>
      <c r="W123" s="20">
        <v>548000</v>
      </c>
      <c r="X123" s="20">
        <v>6014280</v>
      </c>
      <c r="Y123" s="8">
        <f t="shared" si="10"/>
        <v>2623339.8999999985</v>
      </c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7">
        <f t="shared" si="11"/>
        <v>0</v>
      </c>
      <c r="AM123" s="36"/>
      <c r="AN123" s="36"/>
      <c r="AO123" s="36"/>
      <c r="AP123" s="7"/>
      <c r="AQ123" s="38">
        <f t="shared" si="12"/>
        <v>2623339.8999999985</v>
      </c>
      <c r="AR123" s="36">
        <v>8963700</v>
      </c>
      <c r="AS123" s="18">
        <f t="shared" si="13"/>
        <v>6340360.1000000015</v>
      </c>
    </row>
    <row r="124" spans="1:45" x14ac:dyDescent="0.25">
      <c r="A124" s="40">
        <v>45412</v>
      </c>
      <c r="B124" s="20">
        <v>1318.1189999999999</v>
      </c>
      <c r="C124" s="20">
        <v>6562.15</v>
      </c>
      <c r="D124" s="20">
        <v>5670</v>
      </c>
      <c r="E124" s="20">
        <v>5119</v>
      </c>
      <c r="F124" s="7">
        <f t="shared" si="7"/>
        <v>7473734.7299999995</v>
      </c>
      <c r="G124" s="7">
        <f t="shared" si="8"/>
        <v>33591645.850000001</v>
      </c>
      <c r="H124" s="20">
        <v>95.25</v>
      </c>
      <c r="I124" s="20">
        <v>1919000</v>
      </c>
      <c r="J124" s="20">
        <v>49</v>
      </c>
      <c r="K124" s="20">
        <v>450000</v>
      </c>
      <c r="L124" s="20">
        <v>38000</v>
      </c>
      <c r="M124" s="20"/>
      <c r="N124" s="20"/>
      <c r="O124" s="20">
        <v>1018500</v>
      </c>
      <c r="P124" s="20"/>
      <c r="Q124" s="19">
        <f t="shared" si="9"/>
        <v>44490880.579999998</v>
      </c>
      <c r="R124" s="20">
        <v>400940</v>
      </c>
      <c r="S124" s="20">
        <v>30947061</v>
      </c>
      <c r="T124" s="20"/>
      <c r="U124" s="20">
        <v>753346</v>
      </c>
      <c r="V124" s="20"/>
      <c r="W124" s="20">
        <v>293000</v>
      </c>
      <c r="X124" s="20">
        <v>6624766</v>
      </c>
      <c r="Y124" s="8">
        <f t="shared" si="10"/>
        <v>5471767.5799999982</v>
      </c>
      <c r="Z124" s="36"/>
      <c r="AA124" s="36">
        <v>225000</v>
      </c>
      <c r="AB124" s="36"/>
      <c r="AC124" s="36">
        <v>25000</v>
      </c>
      <c r="AD124" s="36"/>
      <c r="AE124" s="36"/>
      <c r="AF124" s="36"/>
      <c r="AG124" s="36"/>
      <c r="AH124" s="36"/>
      <c r="AI124" s="36"/>
      <c r="AJ124" s="36"/>
      <c r="AK124" s="36"/>
      <c r="AL124" s="37">
        <f t="shared" si="11"/>
        <v>250000</v>
      </c>
      <c r="AM124" s="36"/>
      <c r="AN124" s="36"/>
      <c r="AO124" s="36"/>
      <c r="AP124" s="7"/>
      <c r="AQ124" s="38">
        <f t="shared" si="12"/>
        <v>5221767.5799999982</v>
      </c>
      <c r="AR124" s="36">
        <v>5221800</v>
      </c>
      <c r="AS124" s="18">
        <f t="shared" si="13"/>
        <v>32.420000001788139</v>
      </c>
    </row>
    <row r="125" spans="1:45" x14ac:dyDescent="0.25">
      <c r="A125" s="40">
        <v>45413</v>
      </c>
      <c r="B125" s="20">
        <v>1815.943</v>
      </c>
      <c r="C125" s="20">
        <v>3508.49</v>
      </c>
      <c r="D125" s="20">
        <v>5670</v>
      </c>
      <c r="E125" s="20">
        <v>5119</v>
      </c>
      <c r="F125" s="7">
        <f t="shared" si="7"/>
        <v>10296396.810000001</v>
      </c>
      <c r="G125" s="7">
        <f t="shared" si="8"/>
        <v>17959960.309999999</v>
      </c>
      <c r="H125" s="20">
        <v>50.5</v>
      </c>
      <c r="I125" s="20">
        <v>1061500</v>
      </c>
      <c r="J125" s="20">
        <v>76.5</v>
      </c>
      <c r="K125" s="20">
        <v>703000</v>
      </c>
      <c r="L125" s="20">
        <v>31000</v>
      </c>
      <c r="M125" s="20"/>
      <c r="N125" s="20"/>
      <c r="O125" s="20">
        <v>1500000</v>
      </c>
      <c r="P125" s="20"/>
      <c r="Q125" s="19">
        <f t="shared" si="9"/>
        <v>31551857.119999997</v>
      </c>
      <c r="R125" s="20">
        <v>1054384</v>
      </c>
      <c r="S125" s="20">
        <v>16892786</v>
      </c>
      <c r="T125" s="20"/>
      <c r="U125" s="20">
        <v>510000</v>
      </c>
      <c r="V125" s="20"/>
      <c r="W125" s="20">
        <v>0</v>
      </c>
      <c r="X125" s="20">
        <v>7021351</v>
      </c>
      <c r="Y125" s="8">
        <f t="shared" si="10"/>
        <v>6073336.1199999973</v>
      </c>
      <c r="Z125" s="36"/>
      <c r="AA125" s="36"/>
      <c r="AB125" s="36"/>
      <c r="AC125" s="36">
        <v>70000</v>
      </c>
      <c r="AD125" s="36"/>
      <c r="AE125" s="36">
        <v>1200000</v>
      </c>
      <c r="AF125" s="36">
        <v>6000</v>
      </c>
      <c r="AG125" s="36">
        <v>1000000</v>
      </c>
      <c r="AH125" s="36"/>
      <c r="AI125" s="36"/>
      <c r="AJ125" s="36"/>
      <c r="AK125" s="36"/>
      <c r="AL125" s="37">
        <f t="shared" si="11"/>
        <v>2276000</v>
      </c>
      <c r="AM125" s="36"/>
      <c r="AN125" s="36"/>
      <c r="AO125" s="36"/>
      <c r="AP125" s="7"/>
      <c r="AQ125" s="38">
        <f t="shared" si="12"/>
        <v>3797336.1199999973</v>
      </c>
      <c r="AR125" s="36">
        <v>3802600</v>
      </c>
      <c r="AS125" s="18">
        <f t="shared" si="13"/>
        <v>5263.8800000026822</v>
      </c>
    </row>
    <row r="126" spans="1:45" x14ac:dyDescent="0.25">
      <c r="A126" s="40">
        <v>45414</v>
      </c>
      <c r="B126" s="20">
        <v>1617.444</v>
      </c>
      <c r="C126" s="20">
        <v>5537.4570000000003</v>
      </c>
      <c r="D126" s="20">
        <v>5670</v>
      </c>
      <c r="E126" s="20">
        <v>5119</v>
      </c>
      <c r="F126" s="7">
        <f t="shared" si="7"/>
        <v>9170907.4800000004</v>
      </c>
      <c r="G126" s="7">
        <f t="shared" si="8"/>
        <v>28346242.383000001</v>
      </c>
      <c r="H126" s="20">
        <v>33.25</v>
      </c>
      <c r="I126" s="20">
        <v>643000</v>
      </c>
      <c r="J126" s="20">
        <v>52.5</v>
      </c>
      <c r="K126" s="20">
        <v>479000</v>
      </c>
      <c r="L126" s="20">
        <v>8000</v>
      </c>
      <c r="M126" s="20"/>
      <c r="N126" s="20"/>
      <c r="O126" s="20">
        <v>446570</v>
      </c>
      <c r="P126" s="20"/>
      <c r="Q126" s="19">
        <f t="shared" si="9"/>
        <v>39093719.863000005</v>
      </c>
      <c r="R126" s="20">
        <v>1849219</v>
      </c>
      <c r="S126" s="20">
        <v>26630659</v>
      </c>
      <c r="T126" s="20"/>
      <c r="U126" s="20">
        <v>0</v>
      </c>
      <c r="V126" s="20"/>
      <c r="W126" s="20">
        <v>429000</v>
      </c>
      <c r="X126" s="20">
        <v>3393700</v>
      </c>
      <c r="Y126" s="8">
        <f t="shared" si="10"/>
        <v>6791141.8630000055</v>
      </c>
      <c r="Z126" s="36">
        <v>1760000</v>
      </c>
      <c r="AA126" s="36"/>
      <c r="AB126" s="36">
        <v>625400</v>
      </c>
      <c r="AC126" s="36"/>
      <c r="AD126" s="36"/>
      <c r="AE126" s="36"/>
      <c r="AF126" s="36">
        <v>3000</v>
      </c>
      <c r="AG126" s="36">
        <v>2070000</v>
      </c>
      <c r="AH126" s="36"/>
      <c r="AI126" s="36"/>
      <c r="AJ126" s="36">
        <v>33000</v>
      </c>
      <c r="AK126" s="36"/>
      <c r="AL126" s="37">
        <f t="shared" si="11"/>
        <v>4491400</v>
      </c>
      <c r="AM126" s="36"/>
      <c r="AN126" s="36"/>
      <c r="AO126" s="36"/>
      <c r="AP126" s="7"/>
      <c r="AQ126" s="38">
        <f t="shared" si="12"/>
        <v>2299741.8630000055</v>
      </c>
      <c r="AR126" s="36">
        <v>2301700</v>
      </c>
      <c r="AS126" s="18">
        <f t="shared" si="13"/>
        <v>1958.1369999945164</v>
      </c>
    </row>
    <row r="127" spans="1:45" x14ac:dyDescent="0.25">
      <c r="A127" s="40">
        <v>45415</v>
      </c>
      <c r="B127" s="20">
        <v>1496.4770000000001</v>
      </c>
      <c r="C127" s="20">
        <v>2714.5160000000001</v>
      </c>
      <c r="D127" s="20">
        <v>5670</v>
      </c>
      <c r="E127" s="20">
        <v>5119</v>
      </c>
      <c r="F127" s="7">
        <f t="shared" si="7"/>
        <v>8485024.5899999999</v>
      </c>
      <c r="G127" s="7">
        <f t="shared" si="8"/>
        <v>13895607.404000001</v>
      </c>
      <c r="H127" s="20">
        <v>54.75</v>
      </c>
      <c r="I127" s="20">
        <v>1167500</v>
      </c>
      <c r="J127" s="20">
        <v>36.5</v>
      </c>
      <c r="K127" s="20">
        <v>745000</v>
      </c>
      <c r="L127" s="20">
        <v>253000</v>
      </c>
      <c r="M127" s="20"/>
      <c r="N127" s="20"/>
      <c r="O127" s="20">
        <v>457000</v>
      </c>
      <c r="P127" s="20"/>
      <c r="Q127" s="19">
        <f t="shared" si="9"/>
        <v>25003131.994000003</v>
      </c>
      <c r="R127" s="20">
        <v>985543</v>
      </c>
      <c r="S127" s="20">
        <v>15186180</v>
      </c>
      <c r="T127" s="20"/>
      <c r="U127" s="20">
        <v>0</v>
      </c>
      <c r="V127" s="20"/>
      <c r="W127" s="20">
        <v>300000</v>
      </c>
      <c r="X127" s="20">
        <v>4001799</v>
      </c>
      <c r="Y127" s="8">
        <f t="shared" si="10"/>
        <v>4529609.9940000027</v>
      </c>
      <c r="Z127" s="36"/>
      <c r="AA127" s="36"/>
      <c r="AB127" s="36"/>
      <c r="AC127" s="36"/>
      <c r="AD127" s="36"/>
      <c r="AE127" s="36"/>
      <c r="AF127" s="36">
        <v>3000</v>
      </c>
      <c r="AG127" s="36"/>
      <c r="AH127" s="36"/>
      <c r="AI127" s="36"/>
      <c r="AJ127" s="36">
        <v>2010000</v>
      </c>
      <c r="AK127" s="36"/>
      <c r="AL127" s="37">
        <f t="shared" si="11"/>
        <v>2013000</v>
      </c>
      <c r="AM127" s="36"/>
      <c r="AN127" s="36"/>
      <c r="AO127" s="36"/>
      <c r="AP127" s="7"/>
      <c r="AQ127" s="38">
        <f t="shared" si="12"/>
        <v>2516609.9940000027</v>
      </c>
      <c r="AR127" s="36">
        <v>2516600</v>
      </c>
      <c r="AS127" s="18">
        <f t="shared" si="13"/>
        <v>-9.9940000027418137</v>
      </c>
    </row>
    <row r="128" spans="1:45" x14ac:dyDescent="0.25">
      <c r="A128" s="40">
        <v>45416</v>
      </c>
      <c r="B128" s="20">
        <v>1723.9</v>
      </c>
      <c r="C128" s="20">
        <v>3292.1860000000001</v>
      </c>
      <c r="D128" s="20">
        <v>5670</v>
      </c>
      <c r="E128" s="20">
        <v>5119</v>
      </c>
      <c r="F128" s="7">
        <f t="shared" si="7"/>
        <v>9774513</v>
      </c>
      <c r="G128" s="7">
        <f t="shared" si="8"/>
        <v>16852700.134</v>
      </c>
      <c r="H128" s="20">
        <v>28</v>
      </c>
      <c r="I128" s="20">
        <v>585700</v>
      </c>
      <c r="J128" s="20">
        <v>54.5</v>
      </c>
      <c r="K128" s="20">
        <v>391000</v>
      </c>
      <c r="L128" s="20">
        <v>0</v>
      </c>
      <c r="M128" s="20"/>
      <c r="N128" s="20"/>
      <c r="O128" s="20">
        <v>282000</v>
      </c>
      <c r="P128" s="20"/>
      <c r="Q128" s="19">
        <f t="shared" si="9"/>
        <v>27885913.134</v>
      </c>
      <c r="R128" s="20">
        <v>1052517</v>
      </c>
      <c r="S128" s="20">
        <v>19240015</v>
      </c>
      <c r="T128" s="20"/>
      <c r="U128" s="20"/>
      <c r="V128" s="20"/>
      <c r="W128" s="20">
        <v>100000</v>
      </c>
      <c r="X128" s="20">
        <v>2876474</v>
      </c>
      <c r="Y128" s="8">
        <f t="shared" si="10"/>
        <v>4616907.1339999996</v>
      </c>
      <c r="Z128" s="36"/>
      <c r="AA128" s="36"/>
      <c r="AB128" s="36"/>
      <c r="AC128" s="36">
        <v>12000</v>
      </c>
      <c r="AD128" s="36"/>
      <c r="AE128" s="36"/>
      <c r="AF128" s="36">
        <v>3000</v>
      </c>
      <c r="AG128" s="36"/>
      <c r="AH128" s="36">
        <v>39500</v>
      </c>
      <c r="AI128" s="36"/>
      <c r="AJ128" s="36">
        <v>2192380</v>
      </c>
      <c r="AK128" s="36"/>
      <c r="AL128" s="37">
        <f t="shared" si="11"/>
        <v>2246880</v>
      </c>
      <c r="AM128" s="36"/>
      <c r="AN128" s="36"/>
      <c r="AO128" s="36"/>
      <c r="AP128" s="7"/>
      <c r="AQ128" s="38">
        <f t="shared" si="12"/>
        <v>2370027.1339999996</v>
      </c>
      <c r="AR128" s="36">
        <v>2371800</v>
      </c>
      <c r="AS128" s="18">
        <f t="shared" si="13"/>
        <v>1772.8660000003874</v>
      </c>
    </row>
    <row r="129" spans="1:45" x14ac:dyDescent="0.25">
      <c r="A129" s="40">
        <v>45417</v>
      </c>
      <c r="B129" s="20">
        <v>1588</v>
      </c>
      <c r="C129" s="20">
        <v>1340.02</v>
      </c>
      <c r="D129" s="20">
        <v>5670</v>
      </c>
      <c r="E129" s="20">
        <v>5119</v>
      </c>
      <c r="F129" s="7">
        <f t="shared" si="7"/>
        <v>9003960</v>
      </c>
      <c r="G129" s="7">
        <f t="shared" si="8"/>
        <v>6859562.3799999999</v>
      </c>
      <c r="H129" s="20">
        <v>38</v>
      </c>
      <c r="I129" s="20">
        <v>752500</v>
      </c>
      <c r="J129" s="20">
        <v>65.5</v>
      </c>
      <c r="K129" s="20">
        <v>469000</v>
      </c>
      <c r="L129" s="20">
        <v>8000</v>
      </c>
      <c r="M129" s="20"/>
      <c r="N129" s="20"/>
      <c r="O129" s="20">
        <v>100000</v>
      </c>
      <c r="P129" s="20"/>
      <c r="Q129" s="19">
        <f t="shared" si="9"/>
        <v>17193022.379999999</v>
      </c>
      <c r="R129" s="20">
        <v>387440</v>
      </c>
      <c r="S129" s="20">
        <v>5561869</v>
      </c>
      <c r="T129" s="20"/>
      <c r="U129" s="20"/>
      <c r="V129" s="20"/>
      <c r="W129" s="20">
        <v>198000</v>
      </c>
      <c r="X129" s="20">
        <v>7025325</v>
      </c>
      <c r="Y129" s="8">
        <f t="shared" si="10"/>
        <v>4020388.379999999</v>
      </c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>
        <v>620000</v>
      </c>
      <c r="AK129" s="36"/>
      <c r="AL129" s="37">
        <f t="shared" si="11"/>
        <v>620000</v>
      </c>
      <c r="AM129" s="36"/>
      <c r="AN129" s="36"/>
      <c r="AO129" s="36"/>
      <c r="AP129" s="7"/>
      <c r="AQ129" s="38">
        <f t="shared" si="12"/>
        <v>3400388.379999999</v>
      </c>
      <c r="AR129" s="36"/>
      <c r="AS129" s="18">
        <f t="shared" si="13"/>
        <v>-3400388.379999999</v>
      </c>
    </row>
    <row r="130" spans="1:45" x14ac:dyDescent="0.25">
      <c r="A130" s="40">
        <v>45418</v>
      </c>
      <c r="B130" s="20">
        <v>1255.25</v>
      </c>
      <c r="C130" s="20">
        <v>1873.03</v>
      </c>
      <c r="D130" s="20">
        <v>5670</v>
      </c>
      <c r="E130" s="20">
        <v>5119</v>
      </c>
      <c r="F130" s="7">
        <f t="shared" si="7"/>
        <v>7117267.5</v>
      </c>
      <c r="G130" s="7">
        <f t="shared" si="8"/>
        <v>9588040.5700000003</v>
      </c>
      <c r="H130" s="20">
        <v>22.25</v>
      </c>
      <c r="I130" s="20">
        <v>480000</v>
      </c>
      <c r="J130" s="20">
        <v>58</v>
      </c>
      <c r="K130" s="20">
        <v>595000</v>
      </c>
      <c r="L130" s="20">
        <v>15000</v>
      </c>
      <c r="M130" s="20"/>
      <c r="N130" s="20"/>
      <c r="O130" s="20">
        <v>512000</v>
      </c>
      <c r="P130" s="20"/>
      <c r="Q130" s="19">
        <f t="shared" si="9"/>
        <v>18307308.07</v>
      </c>
      <c r="R130" s="20">
        <v>768608</v>
      </c>
      <c r="S130" s="20">
        <v>3012035</v>
      </c>
      <c r="T130" s="20"/>
      <c r="U130" s="20"/>
      <c r="V130" s="20"/>
      <c r="W130" s="20">
        <v>250000</v>
      </c>
      <c r="X130" s="20">
        <v>10439487</v>
      </c>
      <c r="Y130" s="8">
        <f t="shared" si="10"/>
        <v>3837178.0700000003</v>
      </c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7">
        <f t="shared" si="11"/>
        <v>0</v>
      </c>
      <c r="AM130" s="36"/>
      <c r="AN130" s="36"/>
      <c r="AO130" s="36"/>
      <c r="AP130" s="7"/>
      <c r="AQ130" s="38">
        <f t="shared" si="12"/>
        <v>3837178.0700000003</v>
      </c>
      <c r="AR130" s="36">
        <v>7238700</v>
      </c>
      <c r="AS130" s="18">
        <f t="shared" si="13"/>
        <v>3401521.9299999997</v>
      </c>
    </row>
    <row r="131" spans="1:45" x14ac:dyDescent="0.25">
      <c r="A131" s="40">
        <v>45419</v>
      </c>
      <c r="B131" s="20">
        <v>1433.242</v>
      </c>
      <c r="C131" s="20">
        <v>3964.38</v>
      </c>
      <c r="D131" s="20">
        <v>5670</v>
      </c>
      <c r="E131" s="20">
        <v>5119</v>
      </c>
      <c r="F131" s="7">
        <f t="shared" si="7"/>
        <v>8126482.1399999997</v>
      </c>
      <c r="G131" s="7">
        <f t="shared" si="8"/>
        <v>20293661.219999999</v>
      </c>
      <c r="H131" s="20">
        <v>33</v>
      </c>
      <c r="I131" s="20">
        <v>614000</v>
      </c>
      <c r="J131" s="20">
        <v>63.5</v>
      </c>
      <c r="K131" s="20">
        <v>891000</v>
      </c>
      <c r="L131" s="20">
        <v>24000</v>
      </c>
      <c r="M131" s="20"/>
      <c r="N131" s="20"/>
      <c r="O131" s="20">
        <v>1801500</v>
      </c>
      <c r="P131" s="20"/>
      <c r="Q131" s="19">
        <f t="shared" si="9"/>
        <v>31750643.359999999</v>
      </c>
      <c r="R131" s="20">
        <v>1298525</v>
      </c>
      <c r="S131" s="20">
        <v>11849666</v>
      </c>
      <c r="T131" s="20"/>
      <c r="U131" s="20"/>
      <c r="V131" s="20"/>
      <c r="W131" s="20">
        <v>248000</v>
      </c>
      <c r="X131" s="20">
        <v>13203780</v>
      </c>
      <c r="Y131" s="8">
        <f t="shared" si="10"/>
        <v>5150672.3599999994</v>
      </c>
      <c r="Z131" s="36"/>
      <c r="AA131" s="36"/>
      <c r="AB131" s="36"/>
      <c r="AC131" s="36">
        <v>64000</v>
      </c>
      <c r="AD131" s="36"/>
      <c r="AE131" s="36"/>
      <c r="AF131" s="36">
        <v>6000</v>
      </c>
      <c r="AG131" s="36"/>
      <c r="AH131" s="36"/>
      <c r="AI131" s="36"/>
      <c r="AJ131" s="36">
        <v>35000</v>
      </c>
      <c r="AK131" s="36"/>
      <c r="AL131" s="37">
        <f t="shared" si="11"/>
        <v>105000</v>
      </c>
      <c r="AM131" s="36"/>
      <c r="AN131" s="36"/>
      <c r="AO131" s="36"/>
      <c r="AP131" s="7"/>
      <c r="AQ131" s="38">
        <f t="shared" si="12"/>
        <v>5045672.3599999994</v>
      </c>
      <c r="AR131" s="36">
        <v>5045700</v>
      </c>
      <c r="AS131" s="18">
        <f t="shared" si="13"/>
        <v>27.640000000596046</v>
      </c>
    </row>
    <row r="132" spans="1:45" x14ac:dyDescent="0.25">
      <c r="A132" s="40">
        <v>45420</v>
      </c>
      <c r="B132" s="20">
        <v>1465.76</v>
      </c>
      <c r="C132" s="20">
        <v>2897.7249999999999</v>
      </c>
      <c r="D132" s="20">
        <v>5670</v>
      </c>
      <c r="E132" s="20">
        <v>5119</v>
      </c>
      <c r="F132" s="7">
        <f t="shared" ref="F132:F195" si="14">B132*D132</f>
        <v>8310859.2000000002</v>
      </c>
      <c r="G132" s="7">
        <f t="shared" ref="G132:G195" si="15">C132*E132</f>
        <v>14833454.275</v>
      </c>
      <c r="H132" s="20">
        <v>37.5</v>
      </c>
      <c r="I132" s="20">
        <v>673000</v>
      </c>
      <c r="J132" s="20">
        <v>42</v>
      </c>
      <c r="K132" s="20">
        <v>497000</v>
      </c>
      <c r="L132" s="20">
        <v>30000</v>
      </c>
      <c r="M132" s="20"/>
      <c r="N132" s="20"/>
      <c r="O132" s="20">
        <v>950000</v>
      </c>
      <c r="P132" s="20"/>
      <c r="Q132" s="19">
        <f t="shared" ref="Q132:Q195" si="16">SUM(F132:G132)+I132+K132+SUM(L132:P132)</f>
        <v>25294313.475000001</v>
      </c>
      <c r="R132" s="20">
        <v>868320</v>
      </c>
      <c r="S132" s="20">
        <v>11824317</v>
      </c>
      <c r="T132" s="20"/>
      <c r="U132" s="20"/>
      <c r="V132" s="20"/>
      <c r="W132" s="20">
        <v>394000</v>
      </c>
      <c r="X132" s="20">
        <v>9314952</v>
      </c>
      <c r="Y132" s="8">
        <f t="shared" ref="Y132:Y195" si="17">Q132-SUM(R132:X132)</f>
        <v>2892724.4750000015</v>
      </c>
      <c r="Z132" s="36"/>
      <c r="AA132" s="36"/>
      <c r="AB132" s="36"/>
      <c r="AC132" s="36"/>
      <c r="AD132" s="36"/>
      <c r="AE132" s="36"/>
      <c r="AF132" s="36">
        <v>53000</v>
      </c>
      <c r="AG132" s="36"/>
      <c r="AH132" s="36"/>
      <c r="AI132" s="36"/>
      <c r="AJ132" s="36"/>
      <c r="AK132" s="36"/>
      <c r="AL132" s="37">
        <f t="shared" ref="AL132:AL195" si="18">SUM(Z132:AK132)</f>
        <v>53000</v>
      </c>
      <c r="AM132" s="36"/>
      <c r="AN132" s="36"/>
      <c r="AO132" s="36"/>
      <c r="AP132" s="7"/>
      <c r="AQ132" s="38">
        <f t="shared" ref="AQ132:AQ195" si="19">Q132-SUM(R132:X132)-AL132-SUM(AM132:AO132)</f>
        <v>2839724.4750000015</v>
      </c>
      <c r="AR132" s="36">
        <v>0</v>
      </c>
      <c r="AS132" s="18">
        <f t="shared" ref="AS132:AS195" si="20">AR132-AQ132</f>
        <v>-2839724.4750000015</v>
      </c>
    </row>
    <row r="133" spans="1:45" x14ac:dyDescent="0.25">
      <c r="A133" s="40">
        <v>45421</v>
      </c>
      <c r="B133" s="20">
        <v>1822.662</v>
      </c>
      <c r="C133" s="20">
        <v>4980.8440000000001</v>
      </c>
      <c r="D133" s="20">
        <v>5670</v>
      </c>
      <c r="E133" s="20">
        <v>5119</v>
      </c>
      <c r="F133" s="7">
        <f t="shared" si="14"/>
        <v>10334493.540000001</v>
      </c>
      <c r="G133" s="7">
        <f t="shared" si="15"/>
        <v>25496940.436000001</v>
      </c>
      <c r="H133" s="20">
        <v>68.75</v>
      </c>
      <c r="I133" s="20">
        <v>1393500</v>
      </c>
      <c r="J133" s="20">
        <v>33.5</v>
      </c>
      <c r="K133" s="20">
        <v>355000</v>
      </c>
      <c r="L133" s="20">
        <v>38000</v>
      </c>
      <c r="M133" s="20"/>
      <c r="N133" s="20"/>
      <c r="O133" s="20">
        <v>894000</v>
      </c>
      <c r="P133" s="20"/>
      <c r="Q133" s="19">
        <f t="shared" si="16"/>
        <v>38511933.976000004</v>
      </c>
      <c r="R133" s="20">
        <v>1904948</v>
      </c>
      <c r="S133" s="20">
        <v>22266749</v>
      </c>
      <c r="T133" s="20"/>
      <c r="U133" s="20"/>
      <c r="V133" s="20"/>
      <c r="W133" s="20">
        <v>0</v>
      </c>
      <c r="X133" s="20">
        <v>9133906</v>
      </c>
      <c r="Y133" s="8">
        <f t="shared" si="17"/>
        <v>5206330.9760000035</v>
      </c>
      <c r="Z133" s="36"/>
      <c r="AA133" s="36"/>
      <c r="AB133" s="36"/>
      <c r="AC133" s="36"/>
      <c r="AD133" s="36"/>
      <c r="AE133" s="36"/>
      <c r="AF133" s="36">
        <v>0</v>
      </c>
      <c r="AG133" s="36"/>
      <c r="AH133" s="36">
        <v>20000</v>
      </c>
      <c r="AI133" s="36">
        <v>20000</v>
      </c>
      <c r="AJ133" s="36">
        <v>4050000</v>
      </c>
      <c r="AK133" s="36"/>
      <c r="AL133" s="37">
        <f t="shared" si="18"/>
        <v>4090000</v>
      </c>
      <c r="AM133" s="36"/>
      <c r="AN133" s="36"/>
      <c r="AO133" s="36"/>
      <c r="AP133" s="7"/>
      <c r="AQ133" s="38">
        <f t="shared" si="19"/>
        <v>1116330.9760000035</v>
      </c>
      <c r="AR133" s="36">
        <v>3956000</v>
      </c>
      <c r="AS133" s="18">
        <f t="shared" si="20"/>
        <v>2839669.0239999965</v>
      </c>
    </row>
    <row r="134" spans="1:45" x14ac:dyDescent="0.25">
      <c r="A134" s="40">
        <v>45422</v>
      </c>
      <c r="B134" s="20">
        <v>1591.8779999999999</v>
      </c>
      <c r="C134" s="20">
        <v>3867.665</v>
      </c>
      <c r="D134" s="20">
        <v>5670</v>
      </c>
      <c r="E134" s="20">
        <v>5119</v>
      </c>
      <c r="F134" s="7">
        <f t="shared" si="14"/>
        <v>9025948.2599999998</v>
      </c>
      <c r="G134" s="7">
        <f t="shared" si="15"/>
        <v>19798577.135000002</v>
      </c>
      <c r="H134" s="20">
        <v>118.75</v>
      </c>
      <c r="I134" s="20">
        <v>2264500</v>
      </c>
      <c r="J134" s="20">
        <v>71.5</v>
      </c>
      <c r="K134" s="20">
        <v>560000</v>
      </c>
      <c r="L134" s="20">
        <v>24000</v>
      </c>
      <c r="M134" s="20">
        <v>767850</v>
      </c>
      <c r="N134" s="20"/>
      <c r="O134" s="20">
        <v>2615536</v>
      </c>
      <c r="P134" s="20"/>
      <c r="Q134" s="19">
        <f t="shared" si="16"/>
        <v>35056411.395000003</v>
      </c>
      <c r="R134" s="20">
        <v>1037465</v>
      </c>
      <c r="S134" s="20">
        <v>14991487</v>
      </c>
      <c r="T134" s="20"/>
      <c r="U134" s="20"/>
      <c r="V134" s="20"/>
      <c r="W134" s="20">
        <v>735500</v>
      </c>
      <c r="X134" s="20">
        <v>11898560</v>
      </c>
      <c r="Y134" s="8">
        <f t="shared" si="17"/>
        <v>6393399.3950000033</v>
      </c>
      <c r="Z134" s="36"/>
      <c r="AA134" s="36"/>
      <c r="AB134" s="36"/>
      <c r="AC134" s="36"/>
      <c r="AD134" s="36"/>
      <c r="AE134" s="36"/>
      <c r="AF134" s="36">
        <v>8000</v>
      </c>
      <c r="AG134" s="36"/>
      <c r="AH134" s="36"/>
      <c r="AI134" s="36"/>
      <c r="AJ134" s="36">
        <v>3000000</v>
      </c>
      <c r="AK134" s="36"/>
      <c r="AL134" s="37">
        <f t="shared" si="18"/>
        <v>3008000</v>
      </c>
      <c r="AM134" s="36"/>
      <c r="AN134" s="36"/>
      <c r="AO134" s="36"/>
      <c r="AP134" s="7"/>
      <c r="AQ134" s="38">
        <f t="shared" si="19"/>
        <v>3385399.3950000033</v>
      </c>
      <c r="AR134" s="36">
        <v>3385400</v>
      </c>
      <c r="AS134" s="18">
        <f t="shared" si="20"/>
        <v>0.60499999672174454</v>
      </c>
    </row>
    <row r="135" spans="1:45" x14ac:dyDescent="0.25">
      <c r="A135" s="40">
        <v>45423</v>
      </c>
      <c r="B135" s="20">
        <v>1582.4970000000001</v>
      </c>
      <c r="C135" s="20">
        <v>4878.9319999999998</v>
      </c>
      <c r="D135" s="20">
        <v>5670</v>
      </c>
      <c r="E135" s="20">
        <v>5119</v>
      </c>
      <c r="F135" s="7">
        <f t="shared" si="14"/>
        <v>8972757.9900000002</v>
      </c>
      <c r="G135" s="7">
        <f t="shared" si="15"/>
        <v>24975252.908</v>
      </c>
      <c r="H135" s="20">
        <v>59.75</v>
      </c>
      <c r="I135" s="20">
        <v>1190000</v>
      </c>
      <c r="J135" s="20">
        <v>99</v>
      </c>
      <c r="K135" s="20">
        <v>1161500</v>
      </c>
      <c r="L135" s="20">
        <v>16000</v>
      </c>
      <c r="M135" s="20"/>
      <c r="N135" s="20"/>
      <c r="O135" s="20">
        <v>281000</v>
      </c>
      <c r="P135" s="20"/>
      <c r="Q135" s="19">
        <f t="shared" si="16"/>
        <v>36596510.898000002</v>
      </c>
      <c r="R135" s="20">
        <v>1048598</v>
      </c>
      <c r="S135" s="20">
        <v>23276649</v>
      </c>
      <c r="T135" s="20"/>
      <c r="U135" s="20"/>
      <c r="V135" s="20"/>
      <c r="W135" s="20">
        <v>674000</v>
      </c>
      <c r="X135" s="20">
        <v>8225580</v>
      </c>
      <c r="Y135" s="8">
        <f t="shared" si="17"/>
        <v>3371683.8980000019</v>
      </c>
      <c r="Z135" s="36"/>
      <c r="AA135" s="36"/>
      <c r="AB135" s="36"/>
      <c r="AC135" s="36"/>
      <c r="AD135" s="36">
        <v>102380</v>
      </c>
      <c r="AE135" s="36"/>
      <c r="AF135" s="36"/>
      <c r="AG135" s="36"/>
      <c r="AH135" s="36"/>
      <c r="AI135" s="36"/>
      <c r="AJ135" s="36"/>
      <c r="AK135" s="36"/>
      <c r="AL135" s="37">
        <f t="shared" si="18"/>
        <v>102380</v>
      </c>
      <c r="AM135" s="36"/>
      <c r="AN135" s="36"/>
      <c r="AO135" s="36"/>
      <c r="AP135" s="7"/>
      <c r="AQ135" s="38">
        <f t="shared" si="19"/>
        <v>3269303.8980000019</v>
      </c>
      <c r="AR135" s="36">
        <v>3269300</v>
      </c>
      <c r="AS135" s="18">
        <f t="shared" si="20"/>
        <v>-3.8980000019073486</v>
      </c>
    </row>
    <row r="136" spans="1:45" x14ac:dyDescent="0.25">
      <c r="A136" s="40">
        <v>45424</v>
      </c>
      <c r="B136" s="20">
        <v>2151.634</v>
      </c>
      <c r="C136" s="20">
        <v>2661.6329999999998</v>
      </c>
      <c r="D136" s="20">
        <v>5670</v>
      </c>
      <c r="E136" s="20">
        <v>5119</v>
      </c>
      <c r="F136" s="7">
        <f t="shared" si="14"/>
        <v>12199764.779999999</v>
      </c>
      <c r="G136" s="7">
        <f t="shared" si="15"/>
        <v>13624899.327</v>
      </c>
      <c r="H136" s="20">
        <v>48.25</v>
      </c>
      <c r="I136" s="20">
        <v>909500</v>
      </c>
      <c r="J136" s="20">
        <v>39</v>
      </c>
      <c r="K136" s="20">
        <v>409000</v>
      </c>
      <c r="L136" s="20">
        <v>16000</v>
      </c>
      <c r="M136" s="20">
        <v>120000</v>
      </c>
      <c r="N136" s="20"/>
      <c r="O136" s="20">
        <v>1214780</v>
      </c>
      <c r="P136" s="20"/>
      <c r="Q136" s="19">
        <f t="shared" si="16"/>
        <v>28493944.107000001</v>
      </c>
      <c r="R136" s="20">
        <v>1763086</v>
      </c>
      <c r="S136" s="20">
        <v>10157004</v>
      </c>
      <c r="T136" s="20"/>
      <c r="U136" s="20"/>
      <c r="V136" s="20"/>
      <c r="W136" s="20">
        <v>392491</v>
      </c>
      <c r="X136" s="20">
        <v>7039360</v>
      </c>
      <c r="Y136" s="8">
        <f t="shared" si="17"/>
        <v>9142003.1070000008</v>
      </c>
      <c r="Z136" s="36"/>
      <c r="AA136" s="36"/>
      <c r="AB136" s="36"/>
      <c r="AC136" s="36"/>
      <c r="AD136" s="36"/>
      <c r="AE136" s="36"/>
      <c r="AF136" s="36">
        <v>4000</v>
      </c>
      <c r="AG136" s="36"/>
      <c r="AH136" s="36">
        <v>51000</v>
      </c>
      <c r="AI136" s="36"/>
      <c r="AJ136" s="36">
        <v>5000000</v>
      </c>
      <c r="AK136" s="36"/>
      <c r="AL136" s="37">
        <f t="shared" si="18"/>
        <v>5055000</v>
      </c>
      <c r="AM136" s="36"/>
      <c r="AN136" s="36"/>
      <c r="AO136" s="36"/>
      <c r="AP136" s="7"/>
      <c r="AQ136" s="38">
        <f t="shared" si="19"/>
        <v>4087003.1070000008</v>
      </c>
      <c r="AR136" s="36">
        <v>0</v>
      </c>
      <c r="AS136" s="18">
        <f t="shared" si="20"/>
        <v>-4087003.1070000008</v>
      </c>
    </row>
    <row r="137" spans="1:45" x14ac:dyDescent="0.25">
      <c r="A137" s="40">
        <v>45425</v>
      </c>
      <c r="B137" s="20">
        <v>1424</v>
      </c>
      <c r="C137" s="20">
        <v>3171.4349999999999</v>
      </c>
      <c r="D137" s="20">
        <v>5670</v>
      </c>
      <c r="E137" s="20">
        <v>5119</v>
      </c>
      <c r="F137" s="7">
        <f t="shared" si="14"/>
        <v>8074080</v>
      </c>
      <c r="G137" s="7">
        <f t="shared" si="15"/>
        <v>16234575.765000001</v>
      </c>
      <c r="H137" s="20">
        <v>14</v>
      </c>
      <c r="I137" s="20">
        <v>295000</v>
      </c>
      <c r="J137" s="20">
        <v>54.5</v>
      </c>
      <c r="K137" s="20">
        <v>539000</v>
      </c>
      <c r="L137" s="20">
        <v>25000</v>
      </c>
      <c r="M137" s="20">
        <v>0</v>
      </c>
      <c r="N137" s="20"/>
      <c r="O137" s="20">
        <v>1740460</v>
      </c>
      <c r="P137" s="20"/>
      <c r="Q137" s="19">
        <f t="shared" si="16"/>
        <v>26908115.765000001</v>
      </c>
      <c r="R137" s="20">
        <v>1375323</v>
      </c>
      <c r="S137" s="20">
        <v>13170712</v>
      </c>
      <c r="T137" s="20"/>
      <c r="U137" s="20"/>
      <c r="V137" s="20"/>
      <c r="W137" s="20">
        <v>351027</v>
      </c>
      <c r="X137" s="20">
        <v>4616840</v>
      </c>
      <c r="Y137" s="8">
        <f t="shared" si="17"/>
        <v>7394213.7650000006</v>
      </c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>
        <v>30000</v>
      </c>
      <c r="AK137" s="36"/>
      <c r="AL137" s="37">
        <f t="shared" si="18"/>
        <v>30000</v>
      </c>
      <c r="AM137" s="36"/>
      <c r="AN137" s="36"/>
      <c r="AO137" s="36"/>
      <c r="AP137" s="7"/>
      <c r="AQ137" s="38">
        <f t="shared" si="19"/>
        <v>7364213.7650000006</v>
      </c>
      <c r="AR137" s="36">
        <v>11451200</v>
      </c>
      <c r="AS137" s="18">
        <f t="shared" si="20"/>
        <v>4086986.2349999994</v>
      </c>
    </row>
    <row r="138" spans="1:45" x14ac:dyDescent="0.25">
      <c r="A138" s="40">
        <v>45426</v>
      </c>
      <c r="B138" s="20">
        <v>1606.6389999999999</v>
      </c>
      <c r="C138" s="20">
        <v>3727.5479999999998</v>
      </c>
      <c r="D138" s="20">
        <v>5670</v>
      </c>
      <c r="E138" s="20">
        <v>5119</v>
      </c>
      <c r="F138" s="7">
        <f t="shared" si="14"/>
        <v>9109643.129999999</v>
      </c>
      <c r="G138" s="7">
        <f t="shared" si="15"/>
        <v>19081318.211999997</v>
      </c>
      <c r="H138" s="20">
        <v>29</v>
      </c>
      <c r="I138" s="20">
        <v>672000</v>
      </c>
      <c r="J138" s="20">
        <v>52</v>
      </c>
      <c r="K138" s="20">
        <v>450000</v>
      </c>
      <c r="L138" s="20">
        <v>31000</v>
      </c>
      <c r="M138" s="20"/>
      <c r="N138" s="20"/>
      <c r="O138" s="20">
        <v>2852900</v>
      </c>
      <c r="P138" s="20"/>
      <c r="Q138" s="19">
        <f t="shared" si="16"/>
        <v>32196861.341999996</v>
      </c>
      <c r="R138" s="20">
        <v>842501</v>
      </c>
      <c r="S138" s="20">
        <v>15900282</v>
      </c>
      <c r="T138" s="20"/>
      <c r="U138" s="20"/>
      <c r="V138" s="20"/>
      <c r="W138" s="20">
        <v>148500</v>
      </c>
      <c r="X138" s="20">
        <v>6005886</v>
      </c>
      <c r="Y138" s="8">
        <f t="shared" si="17"/>
        <v>9299692.3419999965</v>
      </c>
      <c r="Z138" s="36"/>
      <c r="AA138" s="36"/>
      <c r="AB138" s="36"/>
      <c r="AC138" s="36"/>
      <c r="AD138" s="36"/>
      <c r="AE138" s="36"/>
      <c r="AF138" s="36">
        <v>6000</v>
      </c>
      <c r="AG138" s="36"/>
      <c r="AH138" s="36"/>
      <c r="AI138" s="36">
        <v>10000</v>
      </c>
      <c r="AJ138" s="36"/>
      <c r="AK138" s="36"/>
      <c r="AL138" s="37">
        <f t="shared" si="18"/>
        <v>16000</v>
      </c>
      <c r="AM138" s="36"/>
      <c r="AN138" s="36"/>
      <c r="AO138" s="36"/>
      <c r="AP138" s="7"/>
      <c r="AQ138" s="38">
        <f t="shared" si="19"/>
        <v>9283692.3419999965</v>
      </c>
      <c r="AR138" s="36">
        <v>9283500</v>
      </c>
      <c r="AS138" s="18">
        <f t="shared" si="20"/>
        <v>-192.34199999645352</v>
      </c>
    </row>
    <row r="139" spans="1:45" x14ac:dyDescent="0.25">
      <c r="A139" s="40">
        <v>45427</v>
      </c>
      <c r="B139" s="20">
        <v>1516.58</v>
      </c>
      <c r="C139" s="20">
        <v>2653</v>
      </c>
      <c r="D139" s="20">
        <v>5670</v>
      </c>
      <c r="E139" s="20">
        <v>5119</v>
      </c>
      <c r="F139" s="7">
        <f t="shared" si="14"/>
        <v>8599008.5999999996</v>
      </c>
      <c r="G139" s="7">
        <f t="shared" si="15"/>
        <v>13580707</v>
      </c>
      <c r="H139" s="20">
        <v>82.5</v>
      </c>
      <c r="I139" s="20">
        <v>1649000</v>
      </c>
      <c r="J139" s="20">
        <v>30.5</v>
      </c>
      <c r="K139" s="20">
        <v>453000</v>
      </c>
      <c r="L139" s="20">
        <v>54000</v>
      </c>
      <c r="M139" s="20">
        <v>180000</v>
      </c>
      <c r="N139" s="20"/>
      <c r="O139" s="20">
        <v>2385018</v>
      </c>
      <c r="P139" s="20"/>
      <c r="Q139" s="19">
        <f t="shared" si="16"/>
        <v>26900733.600000001</v>
      </c>
      <c r="R139" s="20">
        <v>2678250</v>
      </c>
      <c r="S139" s="20">
        <v>9306360</v>
      </c>
      <c r="T139" s="20"/>
      <c r="U139" s="20">
        <v>589086</v>
      </c>
      <c r="V139" s="20"/>
      <c r="W139" s="20">
        <v>49500</v>
      </c>
      <c r="X139" s="20">
        <v>8861363</v>
      </c>
      <c r="Y139" s="8">
        <f t="shared" si="17"/>
        <v>5416174.6000000015</v>
      </c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>
        <v>140000</v>
      </c>
      <c r="AK139" s="36"/>
      <c r="AL139" s="37">
        <f t="shared" si="18"/>
        <v>140000</v>
      </c>
      <c r="AM139" s="36"/>
      <c r="AN139" s="36"/>
      <c r="AO139" s="36"/>
      <c r="AP139" s="7"/>
      <c r="AQ139" s="38">
        <f t="shared" si="19"/>
        <v>5276174.6000000015</v>
      </c>
      <c r="AR139" s="36">
        <v>5289200</v>
      </c>
      <c r="AS139" s="18">
        <f t="shared" si="20"/>
        <v>13025.39999999851</v>
      </c>
    </row>
    <row r="140" spans="1:45" x14ac:dyDescent="0.25">
      <c r="A140" s="40">
        <v>45428</v>
      </c>
      <c r="B140" s="20">
        <v>1490.8140000000001</v>
      </c>
      <c r="C140" s="20">
        <v>2548.9180000000001</v>
      </c>
      <c r="D140" s="20">
        <v>5670</v>
      </c>
      <c r="E140" s="20">
        <v>5119</v>
      </c>
      <c r="F140" s="7">
        <f t="shared" si="14"/>
        <v>8452915.3800000008</v>
      </c>
      <c r="G140" s="7">
        <f t="shared" si="15"/>
        <v>13047911.242000001</v>
      </c>
      <c r="H140" s="20">
        <v>18.25</v>
      </c>
      <c r="I140" s="20">
        <v>379500</v>
      </c>
      <c r="J140" s="20">
        <v>144.5</v>
      </c>
      <c r="K140" s="20">
        <v>1690000</v>
      </c>
      <c r="L140" s="20">
        <v>0</v>
      </c>
      <c r="M140" s="20">
        <v>0</v>
      </c>
      <c r="N140" s="20"/>
      <c r="O140" s="20">
        <v>49500</v>
      </c>
      <c r="P140" s="20"/>
      <c r="Q140" s="19">
        <f t="shared" si="16"/>
        <v>23619826.622000001</v>
      </c>
      <c r="R140" s="20">
        <v>1423345</v>
      </c>
      <c r="S140" s="20">
        <v>9708853</v>
      </c>
      <c r="T140" s="20"/>
      <c r="U140" s="20"/>
      <c r="V140" s="20"/>
      <c r="W140" s="20">
        <v>599332</v>
      </c>
      <c r="X140" s="20">
        <v>8494523</v>
      </c>
      <c r="Y140" s="8">
        <f t="shared" si="17"/>
        <v>3393773.6220000014</v>
      </c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>
        <v>5000</v>
      </c>
      <c r="AK140" s="36"/>
      <c r="AL140" s="37">
        <f t="shared" si="18"/>
        <v>5000</v>
      </c>
      <c r="AM140" s="36"/>
      <c r="AN140" s="36"/>
      <c r="AO140" s="36"/>
      <c r="AP140" s="7"/>
      <c r="AQ140" s="38">
        <f t="shared" si="19"/>
        <v>3388773.6220000014</v>
      </c>
      <c r="AR140" s="36">
        <v>3388800</v>
      </c>
      <c r="AS140" s="18">
        <f t="shared" si="20"/>
        <v>26.377999998629093</v>
      </c>
    </row>
    <row r="141" spans="1:45" x14ac:dyDescent="0.25">
      <c r="A141" s="40">
        <v>45429</v>
      </c>
      <c r="B141" s="20">
        <v>1365.8610000000001</v>
      </c>
      <c r="C141" s="20">
        <v>2973.788</v>
      </c>
      <c r="D141" s="20">
        <v>5670</v>
      </c>
      <c r="E141" s="20">
        <v>5119</v>
      </c>
      <c r="F141" s="7">
        <f t="shared" si="14"/>
        <v>7744431.870000001</v>
      </c>
      <c r="G141" s="7">
        <f t="shared" si="15"/>
        <v>15222820.772</v>
      </c>
      <c r="H141" s="20">
        <v>97</v>
      </c>
      <c r="I141" s="20">
        <v>732500</v>
      </c>
      <c r="J141" s="20">
        <v>45</v>
      </c>
      <c r="K141" s="20">
        <v>578000</v>
      </c>
      <c r="L141" s="20">
        <v>23000</v>
      </c>
      <c r="M141" s="20">
        <v>0</v>
      </c>
      <c r="N141" s="20"/>
      <c r="O141" s="20">
        <v>2646932</v>
      </c>
      <c r="P141" s="20"/>
      <c r="Q141" s="19">
        <f t="shared" si="16"/>
        <v>26947684.642000001</v>
      </c>
      <c r="R141" s="20">
        <v>1209124</v>
      </c>
      <c r="S141" s="36">
        <v>13632460</v>
      </c>
      <c r="T141" s="20"/>
      <c r="U141" s="20"/>
      <c r="V141" s="20"/>
      <c r="W141" s="20">
        <v>552000</v>
      </c>
      <c r="X141" s="20">
        <v>5469306</v>
      </c>
      <c r="Y141" s="8">
        <f t="shared" si="17"/>
        <v>6084794.6420000009</v>
      </c>
      <c r="Z141" s="36"/>
      <c r="AA141" s="36"/>
      <c r="AB141" s="36"/>
      <c r="AC141" s="36"/>
      <c r="AD141" s="36"/>
      <c r="AE141" s="36"/>
      <c r="AF141" s="36">
        <v>9000</v>
      </c>
      <c r="AG141" s="36"/>
      <c r="AH141" s="36"/>
      <c r="AI141" s="36"/>
      <c r="AJ141" s="36"/>
      <c r="AK141" s="36"/>
      <c r="AL141" s="37">
        <f t="shared" si="18"/>
        <v>9000</v>
      </c>
      <c r="AM141" s="36"/>
      <c r="AN141" s="36"/>
      <c r="AO141" s="36"/>
      <c r="AP141" s="7"/>
      <c r="AQ141" s="38">
        <f t="shared" si="19"/>
        <v>6075794.6420000009</v>
      </c>
      <c r="AR141" s="36">
        <v>6092800</v>
      </c>
      <c r="AS141" s="18">
        <f t="shared" si="20"/>
        <v>17005.357999999076</v>
      </c>
    </row>
    <row r="142" spans="1:45" x14ac:dyDescent="0.25">
      <c r="A142" s="40">
        <v>45430</v>
      </c>
      <c r="B142" s="20">
        <v>2281.0239999999999</v>
      </c>
      <c r="C142" s="20">
        <v>5644.0280000000002</v>
      </c>
      <c r="D142" s="20">
        <v>5670</v>
      </c>
      <c r="E142" s="20">
        <v>5119</v>
      </c>
      <c r="F142" s="7">
        <f t="shared" si="14"/>
        <v>12933406.08</v>
      </c>
      <c r="G142" s="7">
        <f t="shared" si="15"/>
        <v>28891779.332000002</v>
      </c>
      <c r="H142" s="20">
        <v>55</v>
      </c>
      <c r="I142" s="20">
        <v>1067500</v>
      </c>
      <c r="J142" s="20">
        <v>39</v>
      </c>
      <c r="K142" s="20">
        <v>472000</v>
      </c>
      <c r="L142" s="20">
        <v>65000</v>
      </c>
      <c r="M142" s="20"/>
      <c r="N142" s="20"/>
      <c r="O142" s="20">
        <v>1158500</v>
      </c>
      <c r="P142" s="20"/>
      <c r="Q142" s="19">
        <f t="shared" si="16"/>
        <v>44588185.412</v>
      </c>
      <c r="R142" s="20">
        <v>1930493</v>
      </c>
      <c r="S142" s="20">
        <v>21562629</v>
      </c>
      <c r="T142" s="20"/>
      <c r="U142" s="20"/>
      <c r="V142" s="20"/>
      <c r="W142" s="20">
        <v>316800</v>
      </c>
      <c r="X142" s="20">
        <v>14131388</v>
      </c>
      <c r="Y142" s="8">
        <f t="shared" si="17"/>
        <v>6646875.4120000005</v>
      </c>
      <c r="Z142" s="36"/>
      <c r="AA142" s="36"/>
      <c r="AB142" s="36"/>
      <c r="AC142" s="36"/>
      <c r="AD142" s="36">
        <v>102380</v>
      </c>
      <c r="AE142" s="36"/>
      <c r="AF142" s="36">
        <v>7000</v>
      </c>
      <c r="AG142" s="36"/>
      <c r="AH142" s="36"/>
      <c r="AI142" s="36"/>
      <c r="AJ142" s="36">
        <v>180000</v>
      </c>
      <c r="AK142" s="36"/>
      <c r="AL142" s="37">
        <f t="shared" si="18"/>
        <v>289380</v>
      </c>
      <c r="AM142" s="36"/>
      <c r="AN142" s="36"/>
      <c r="AO142" s="36"/>
      <c r="AP142" s="7"/>
      <c r="AQ142" s="38">
        <f t="shared" si="19"/>
        <v>6357495.4120000005</v>
      </c>
      <c r="AR142" s="36">
        <v>6367800</v>
      </c>
      <c r="AS142" s="18">
        <f t="shared" si="20"/>
        <v>10304.587999999523</v>
      </c>
    </row>
    <row r="143" spans="1:45" x14ac:dyDescent="0.25">
      <c r="A143" s="40">
        <v>45431</v>
      </c>
      <c r="B143" s="20">
        <v>1827.4690000000001</v>
      </c>
      <c r="C143" s="20">
        <v>1867.6890000000001</v>
      </c>
      <c r="D143" s="20">
        <v>5670</v>
      </c>
      <c r="E143" s="20">
        <v>5119</v>
      </c>
      <c r="F143" s="7">
        <f t="shared" si="14"/>
        <v>10361749.23</v>
      </c>
      <c r="G143" s="7">
        <f t="shared" si="15"/>
        <v>9560699.9910000004</v>
      </c>
      <c r="H143" s="20">
        <v>101</v>
      </c>
      <c r="I143" s="20">
        <v>2053500</v>
      </c>
      <c r="J143" s="20">
        <v>51</v>
      </c>
      <c r="K143" s="20">
        <v>644000</v>
      </c>
      <c r="L143" s="20">
        <v>46000</v>
      </c>
      <c r="M143" s="20"/>
      <c r="N143" s="20"/>
      <c r="O143" s="20">
        <v>200000</v>
      </c>
      <c r="P143" s="20"/>
      <c r="Q143" s="19">
        <f t="shared" si="16"/>
        <v>22865949.221000001</v>
      </c>
      <c r="R143" s="20">
        <v>1024071</v>
      </c>
      <c r="S143" s="20">
        <v>7040792</v>
      </c>
      <c r="T143" s="20"/>
      <c r="U143" s="20"/>
      <c r="V143" s="20"/>
      <c r="W143" s="20">
        <v>0</v>
      </c>
      <c r="X143" s="20">
        <v>8092855</v>
      </c>
      <c r="Y143" s="8">
        <f t="shared" si="17"/>
        <v>6708231.2210000008</v>
      </c>
      <c r="Z143" s="36"/>
      <c r="AA143" s="36"/>
      <c r="AB143" s="36"/>
      <c r="AC143" s="36"/>
      <c r="AD143" s="36"/>
      <c r="AE143" s="36"/>
      <c r="AF143" s="36">
        <v>3000</v>
      </c>
      <c r="AG143" s="36"/>
      <c r="AH143" s="36"/>
      <c r="AI143" s="36"/>
      <c r="AJ143" s="36"/>
      <c r="AK143" s="36"/>
      <c r="AL143" s="37">
        <f t="shared" si="18"/>
        <v>3000</v>
      </c>
      <c r="AM143" s="36">
        <v>250000</v>
      </c>
      <c r="AN143" s="36"/>
      <c r="AO143" s="36"/>
      <c r="AP143" s="7"/>
      <c r="AQ143" s="38">
        <f t="shared" si="19"/>
        <v>6455231.2210000008</v>
      </c>
      <c r="AR143" s="36">
        <v>3071000</v>
      </c>
      <c r="AS143" s="18">
        <f t="shared" si="20"/>
        <v>-3384231.2210000008</v>
      </c>
    </row>
    <row r="144" spans="1:45" x14ac:dyDescent="0.25">
      <c r="A144" s="40">
        <v>45432</v>
      </c>
      <c r="B144" s="20">
        <v>1377.625</v>
      </c>
      <c r="C144" s="20">
        <v>1421.5450000000001</v>
      </c>
      <c r="D144" s="20">
        <v>5670</v>
      </c>
      <c r="E144" s="20">
        <v>5119</v>
      </c>
      <c r="F144" s="7">
        <f t="shared" si="14"/>
        <v>7811133.75</v>
      </c>
      <c r="G144" s="7">
        <f t="shared" si="15"/>
        <v>7276888.8550000004</v>
      </c>
      <c r="H144" s="20">
        <v>61.5</v>
      </c>
      <c r="I144" s="20">
        <v>1306000</v>
      </c>
      <c r="J144" s="20">
        <v>90</v>
      </c>
      <c r="K144" s="20">
        <v>680000</v>
      </c>
      <c r="L144" s="20">
        <v>45000</v>
      </c>
      <c r="M144" s="20"/>
      <c r="N144" s="20"/>
      <c r="O144" s="20">
        <v>1255300</v>
      </c>
      <c r="P144" s="20"/>
      <c r="Q144" s="19">
        <f t="shared" si="16"/>
        <v>18374322.605</v>
      </c>
      <c r="R144" s="20">
        <v>1084444</v>
      </c>
      <c r="S144" s="20">
        <v>3307372</v>
      </c>
      <c r="T144" s="20"/>
      <c r="U144" s="20"/>
      <c r="V144" s="20"/>
      <c r="W144" s="20">
        <v>560360</v>
      </c>
      <c r="X144" s="20">
        <v>5041447</v>
      </c>
      <c r="Y144" s="8">
        <f t="shared" si="17"/>
        <v>8380699.6050000004</v>
      </c>
      <c r="Z144" s="36"/>
      <c r="AA144" s="36"/>
      <c r="AB144" s="36"/>
      <c r="AC144" s="36"/>
      <c r="AD144" s="36"/>
      <c r="AE144" s="36"/>
      <c r="AF144" s="36"/>
      <c r="AG144" s="36"/>
      <c r="AH144" s="36">
        <v>19000</v>
      </c>
      <c r="AI144" s="36"/>
      <c r="AJ144" s="36">
        <v>20000</v>
      </c>
      <c r="AK144" s="36"/>
      <c r="AL144" s="37">
        <f t="shared" si="18"/>
        <v>39000</v>
      </c>
      <c r="AM144" s="36"/>
      <c r="AN144" s="36"/>
      <c r="AO144" s="36"/>
      <c r="AP144" s="7"/>
      <c r="AQ144" s="38">
        <f t="shared" si="19"/>
        <v>8341699.6050000004</v>
      </c>
      <c r="AR144" s="36">
        <v>11725900</v>
      </c>
      <c r="AS144" s="18">
        <f t="shared" si="20"/>
        <v>3384200.3949999996</v>
      </c>
    </row>
    <row r="145" spans="1:45" x14ac:dyDescent="0.25">
      <c r="A145" s="40">
        <v>45433</v>
      </c>
      <c r="B145" s="20">
        <v>1519.7370000000001</v>
      </c>
      <c r="C145" s="20">
        <v>2817.9639999999999</v>
      </c>
      <c r="D145" s="20">
        <v>5670</v>
      </c>
      <c r="E145" s="20">
        <v>5119</v>
      </c>
      <c r="F145" s="7">
        <f t="shared" si="14"/>
        <v>8616908.790000001</v>
      </c>
      <c r="G145" s="7">
        <f t="shared" si="15"/>
        <v>14425157.716</v>
      </c>
      <c r="H145" s="20">
        <v>36.5</v>
      </c>
      <c r="I145" s="20">
        <v>857000</v>
      </c>
      <c r="J145" s="20">
        <v>64</v>
      </c>
      <c r="K145" s="20">
        <v>689000</v>
      </c>
      <c r="L145" s="20">
        <v>30000</v>
      </c>
      <c r="M145" s="20"/>
      <c r="N145" s="20"/>
      <c r="O145" s="20">
        <v>900000</v>
      </c>
      <c r="P145" s="20"/>
      <c r="Q145" s="19">
        <f t="shared" si="16"/>
        <v>25518066.506000001</v>
      </c>
      <c r="R145" s="20">
        <v>954617</v>
      </c>
      <c r="S145" s="20">
        <v>6929313</v>
      </c>
      <c r="T145" s="20"/>
      <c r="U145" s="20"/>
      <c r="V145" s="20"/>
      <c r="W145" s="20">
        <v>997055</v>
      </c>
      <c r="X145" s="20">
        <v>12291408</v>
      </c>
      <c r="Y145" s="8">
        <f t="shared" si="17"/>
        <v>4345673.506000001</v>
      </c>
      <c r="Z145" s="36"/>
      <c r="AA145" s="36"/>
      <c r="AB145" s="36"/>
      <c r="AC145" s="36">
        <v>52000</v>
      </c>
      <c r="AD145" s="36"/>
      <c r="AE145" s="36"/>
      <c r="AF145" s="36">
        <v>7000</v>
      </c>
      <c r="AG145" s="36"/>
      <c r="AH145" s="36"/>
      <c r="AI145" s="36"/>
      <c r="AJ145" s="36"/>
      <c r="AK145" s="36"/>
      <c r="AL145" s="37">
        <f t="shared" si="18"/>
        <v>59000</v>
      </c>
      <c r="AM145" s="36"/>
      <c r="AN145" s="36"/>
      <c r="AO145" s="36"/>
      <c r="AP145" s="7"/>
      <c r="AQ145" s="38">
        <f t="shared" si="19"/>
        <v>4286673.506000001</v>
      </c>
      <c r="AR145" s="36">
        <v>4286700</v>
      </c>
      <c r="AS145" s="18">
        <f t="shared" si="20"/>
        <v>26.493999999016523</v>
      </c>
    </row>
    <row r="146" spans="1:45" x14ac:dyDescent="0.25">
      <c r="A146" s="40">
        <v>45434</v>
      </c>
      <c r="B146" s="20">
        <v>1274.6679999999999</v>
      </c>
      <c r="C146" s="20">
        <v>2663.3470000000002</v>
      </c>
      <c r="D146" s="20">
        <v>5670</v>
      </c>
      <c r="E146" s="20">
        <v>5119</v>
      </c>
      <c r="F146" s="7">
        <f t="shared" si="14"/>
        <v>7227367.5599999996</v>
      </c>
      <c r="G146" s="7">
        <f t="shared" si="15"/>
        <v>13633673.293000001</v>
      </c>
      <c r="H146" s="20">
        <v>44</v>
      </c>
      <c r="I146" s="20">
        <v>806000</v>
      </c>
      <c r="J146" s="20">
        <v>52</v>
      </c>
      <c r="K146" s="20">
        <v>450000</v>
      </c>
      <c r="L146" s="20">
        <v>0</v>
      </c>
      <c r="M146" s="20"/>
      <c r="N146" s="20"/>
      <c r="O146" s="20">
        <v>2450041</v>
      </c>
      <c r="P146" s="20"/>
      <c r="Q146" s="19">
        <f t="shared" si="16"/>
        <v>24567081.853</v>
      </c>
      <c r="R146" s="20">
        <v>1261403</v>
      </c>
      <c r="S146" s="20">
        <v>6094392</v>
      </c>
      <c r="T146" s="20"/>
      <c r="U146" s="20"/>
      <c r="V146" s="20"/>
      <c r="W146" s="20">
        <v>510700</v>
      </c>
      <c r="X146" s="20">
        <v>9672540</v>
      </c>
      <c r="Y146" s="8">
        <f t="shared" si="17"/>
        <v>7028046.8530000001</v>
      </c>
      <c r="Z146" s="36"/>
      <c r="AA146" s="36"/>
      <c r="AB146" s="36"/>
      <c r="AC146" s="36">
        <v>4000</v>
      </c>
      <c r="AD146" s="36"/>
      <c r="AE146" s="36"/>
      <c r="AF146" s="36">
        <v>3000</v>
      </c>
      <c r="AG146" s="36">
        <v>500000</v>
      </c>
      <c r="AH146" s="36"/>
      <c r="AI146" s="36"/>
      <c r="AJ146" s="36"/>
      <c r="AK146" s="36"/>
      <c r="AL146" s="37">
        <f t="shared" si="18"/>
        <v>507000</v>
      </c>
      <c r="AM146" s="36">
        <v>70000</v>
      </c>
      <c r="AN146" s="36"/>
      <c r="AO146" s="36"/>
      <c r="AP146" s="7"/>
      <c r="AQ146" s="38">
        <f t="shared" si="19"/>
        <v>6451046.8530000001</v>
      </c>
      <c r="AR146" s="36">
        <v>6452300</v>
      </c>
      <c r="AS146" s="18">
        <f t="shared" si="20"/>
        <v>1253.1469999998808</v>
      </c>
    </row>
    <row r="147" spans="1:45" x14ac:dyDescent="0.25">
      <c r="A147" s="40">
        <v>45435</v>
      </c>
      <c r="B147" s="20">
        <v>1512.0630000000001</v>
      </c>
      <c r="C147" s="20">
        <v>2786.9349999999999</v>
      </c>
      <c r="D147" s="20">
        <v>5670</v>
      </c>
      <c r="E147" s="20">
        <v>5119</v>
      </c>
      <c r="F147" s="7">
        <f t="shared" si="14"/>
        <v>8573397.2100000009</v>
      </c>
      <c r="G147" s="7">
        <f t="shared" si="15"/>
        <v>14266320.265000001</v>
      </c>
      <c r="H147" s="20">
        <v>68.5</v>
      </c>
      <c r="I147" s="20">
        <v>781000</v>
      </c>
      <c r="J147" s="20">
        <v>30.5</v>
      </c>
      <c r="K147" s="20">
        <v>520500</v>
      </c>
      <c r="L147" s="20">
        <v>30000</v>
      </c>
      <c r="M147" s="20"/>
      <c r="N147" s="20"/>
      <c r="O147" s="20">
        <v>2266000</v>
      </c>
      <c r="P147" s="20"/>
      <c r="Q147" s="19">
        <f t="shared" si="16"/>
        <v>26437217.475000001</v>
      </c>
      <c r="R147" s="20">
        <v>976835</v>
      </c>
      <c r="S147" s="20">
        <v>5069413</v>
      </c>
      <c r="T147" s="20"/>
      <c r="U147" s="20"/>
      <c r="V147" s="20"/>
      <c r="W147" s="20">
        <v>561000</v>
      </c>
      <c r="X147" s="20">
        <v>10340654</v>
      </c>
      <c r="Y147" s="8">
        <f t="shared" si="17"/>
        <v>9489315.4750000015</v>
      </c>
      <c r="Z147" s="36"/>
      <c r="AA147" s="36"/>
      <c r="AB147" s="36"/>
      <c r="AC147" s="36"/>
      <c r="AD147" s="36"/>
      <c r="AE147" s="36"/>
      <c r="AF147" s="36">
        <v>3000</v>
      </c>
      <c r="AG147" s="36"/>
      <c r="AH147" s="36">
        <v>20000</v>
      </c>
      <c r="AI147" s="36"/>
      <c r="AJ147" s="36">
        <v>200000</v>
      </c>
      <c r="AK147" s="36"/>
      <c r="AL147" s="37">
        <f t="shared" si="18"/>
        <v>223000</v>
      </c>
      <c r="AM147" s="36">
        <v>939500</v>
      </c>
      <c r="AN147" s="36"/>
      <c r="AO147" s="36"/>
      <c r="AP147" s="7"/>
      <c r="AQ147" s="38">
        <f t="shared" si="19"/>
        <v>8326815.4750000015</v>
      </c>
      <c r="AR147" s="36">
        <v>8329000</v>
      </c>
      <c r="AS147" s="18">
        <f t="shared" si="20"/>
        <v>2184.5249999985099</v>
      </c>
    </row>
    <row r="148" spans="1:45" x14ac:dyDescent="0.25">
      <c r="A148" s="40">
        <v>45436</v>
      </c>
      <c r="B148" s="20">
        <v>1752.9580000000001</v>
      </c>
      <c r="C148" s="20">
        <v>2597.2570000000001</v>
      </c>
      <c r="D148" s="20">
        <v>5670</v>
      </c>
      <c r="E148" s="20">
        <v>5019</v>
      </c>
      <c r="F148" s="7">
        <f t="shared" si="14"/>
        <v>9939271.8600000013</v>
      </c>
      <c r="G148" s="7">
        <f t="shared" si="15"/>
        <v>13035632.882999999</v>
      </c>
      <c r="H148" s="20">
        <v>33.25</v>
      </c>
      <c r="I148" s="20">
        <v>666000</v>
      </c>
      <c r="J148" s="20">
        <v>103</v>
      </c>
      <c r="K148" s="20">
        <v>834000</v>
      </c>
      <c r="L148" s="20">
        <v>87000</v>
      </c>
      <c r="M148" s="20"/>
      <c r="N148" s="20"/>
      <c r="O148" s="20">
        <v>2540000</v>
      </c>
      <c r="P148" s="20"/>
      <c r="Q148" s="19">
        <f t="shared" si="16"/>
        <v>27101904.743000001</v>
      </c>
      <c r="R148" s="20">
        <v>1041400</v>
      </c>
      <c r="S148" s="20">
        <v>5216321</v>
      </c>
      <c r="T148" s="20"/>
      <c r="U148" s="20"/>
      <c r="V148" s="20"/>
      <c r="W148" s="20">
        <v>270000</v>
      </c>
      <c r="X148" s="20">
        <v>12883816</v>
      </c>
      <c r="Y148" s="8">
        <f t="shared" si="17"/>
        <v>7690367.7430000007</v>
      </c>
      <c r="Z148" s="36"/>
      <c r="AA148" s="36"/>
      <c r="AB148" s="36"/>
      <c r="AC148" s="36"/>
      <c r="AD148" s="36">
        <v>100380</v>
      </c>
      <c r="AE148" s="36"/>
      <c r="AF148" s="36">
        <v>6000</v>
      </c>
      <c r="AG148" s="36"/>
      <c r="AH148" s="36"/>
      <c r="AI148" s="36"/>
      <c r="AJ148" s="36"/>
      <c r="AK148" s="36"/>
      <c r="AL148" s="37">
        <f t="shared" si="18"/>
        <v>106380</v>
      </c>
      <c r="AM148" s="36"/>
      <c r="AN148" s="36"/>
      <c r="AO148" s="36"/>
      <c r="AP148" s="7"/>
      <c r="AQ148" s="38">
        <f t="shared" si="19"/>
        <v>7583987.7430000007</v>
      </c>
      <c r="AR148" s="36">
        <v>7584000</v>
      </c>
      <c r="AS148" s="18">
        <f t="shared" si="20"/>
        <v>12.256999999284744</v>
      </c>
    </row>
    <row r="149" spans="1:45" x14ac:dyDescent="0.25">
      <c r="A149" s="40">
        <v>45437</v>
      </c>
      <c r="B149" s="20">
        <v>1928.8589999999999</v>
      </c>
      <c r="C149" s="20">
        <v>3303.1129999999998</v>
      </c>
      <c r="D149" s="20">
        <v>5670</v>
      </c>
      <c r="E149" s="20">
        <v>5019</v>
      </c>
      <c r="F149" s="7">
        <f t="shared" si="14"/>
        <v>10936630.529999999</v>
      </c>
      <c r="G149" s="7">
        <f t="shared" si="15"/>
        <v>16578324.147</v>
      </c>
      <c r="H149" s="20">
        <v>42.25</v>
      </c>
      <c r="I149" s="20">
        <v>778500</v>
      </c>
      <c r="J149" s="20">
        <v>18</v>
      </c>
      <c r="K149" s="20">
        <v>225000</v>
      </c>
      <c r="L149" s="20">
        <v>8000</v>
      </c>
      <c r="M149" s="20">
        <v>415000</v>
      </c>
      <c r="N149" s="20"/>
      <c r="O149" s="20">
        <v>3099000</v>
      </c>
      <c r="P149" s="20"/>
      <c r="Q149" s="19">
        <f t="shared" si="16"/>
        <v>32040454.677000001</v>
      </c>
      <c r="R149" s="20">
        <v>734290</v>
      </c>
      <c r="S149" s="20">
        <v>10160200</v>
      </c>
      <c r="T149" s="20"/>
      <c r="U149" s="20"/>
      <c r="V149" s="20"/>
      <c r="W149" s="20">
        <v>0</v>
      </c>
      <c r="X149" s="20">
        <v>10528007</v>
      </c>
      <c r="Y149" s="8">
        <f t="shared" si="17"/>
        <v>10617957.677000001</v>
      </c>
      <c r="Z149" s="36"/>
      <c r="AA149" s="36"/>
      <c r="AB149" s="36"/>
      <c r="AC149" s="36"/>
      <c r="AD149" s="36"/>
      <c r="AE149" s="36"/>
      <c r="AF149" s="36">
        <v>3000</v>
      </c>
      <c r="AG149" s="36"/>
      <c r="AH149" s="36"/>
      <c r="AI149" s="36"/>
      <c r="AJ149" s="36">
        <v>2950000</v>
      </c>
      <c r="AK149" s="36"/>
      <c r="AL149" s="37">
        <f t="shared" si="18"/>
        <v>2953000</v>
      </c>
      <c r="AM149" s="36"/>
      <c r="AN149" s="36"/>
      <c r="AO149" s="36"/>
      <c r="AP149" s="7"/>
      <c r="AQ149" s="38">
        <f t="shared" si="19"/>
        <v>7664957.6770000011</v>
      </c>
      <c r="AR149" s="36">
        <v>7664000</v>
      </c>
      <c r="AS149" s="18">
        <f t="shared" si="20"/>
        <v>-957.67700000107288</v>
      </c>
    </row>
    <row r="150" spans="1:45" x14ac:dyDescent="0.25">
      <c r="A150" s="40">
        <v>45438</v>
      </c>
      <c r="B150" s="20">
        <v>1984.431</v>
      </c>
      <c r="C150" s="20">
        <v>3325.0819999999999</v>
      </c>
      <c r="D150" s="20">
        <v>5670</v>
      </c>
      <c r="E150" s="20">
        <v>5019</v>
      </c>
      <c r="F150" s="7">
        <f t="shared" si="14"/>
        <v>11251723.77</v>
      </c>
      <c r="G150" s="7">
        <f t="shared" si="15"/>
        <v>16688586.558</v>
      </c>
      <c r="H150" s="20">
        <v>58</v>
      </c>
      <c r="I150" s="20">
        <v>1235000</v>
      </c>
      <c r="J150" s="20">
        <v>45.5</v>
      </c>
      <c r="K150" s="20">
        <v>536000</v>
      </c>
      <c r="L150" s="20">
        <v>23000</v>
      </c>
      <c r="M150" s="20"/>
      <c r="N150" s="20"/>
      <c r="O150" s="20">
        <v>0</v>
      </c>
      <c r="P150" s="20"/>
      <c r="Q150" s="19">
        <f t="shared" si="16"/>
        <v>29734310.328000002</v>
      </c>
      <c r="R150" s="20">
        <v>1377515</v>
      </c>
      <c r="S150" s="20">
        <v>3664712</v>
      </c>
      <c r="T150" s="20"/>
      <c r="U150" s="20"/>
      <c r="V150" s="20"/>
      <c r="W150" s="20">
        <v>493400</v>
      </c>
      <c r="X150" s="20">
        <v>16384700</v>
      </c>
      <c r="Y150" s="8">
        <f t="shared" si="17"/>
        <v>7813983.3280000016</v>
      </c>
      <c r="Z150" s="36"/>
      <c r="AA150" s="36"/>
      <c r="AB150" s="36"/>
      <c r="AC150" s="36"/>
      <c r="AD150" s="36"/>
      <c r="AE150" s="36"/>
      <c r="AF150" s="36">
        <v>6000</v>
      </c>
      <c r="AG150" s="36">
        <v>1100000</v>
      </c>
      <c r="AH150" s="36">
        <v>20000</v>
      </c>
      <c r="AI150" s="36"/>
      <c r="AJ150" s="36"/>
      <c r="AK150" s="36"/>
      <c r="AL150" s="37">
        <f t="shared" si="18"/>
        <v>1126000</v>
      </c>
      <c r="AM150" s="36"/>
      <c r="AN150" s="36"/>
      <c r="AO150" s="36"/>
      <c r="AP150" s="7"/>
      <c r="AQ150" s="38">
        <f t="shared" si="19"/>
        <v>6687983.3280000016</v>
      </c>
      <c r="AR150" s="36">
        <v>0</v>
      </c>
      <c r="AS150" s="18">
        <f t="shared" si="20"/>
        <v>-6687983.3280000016</v>
      </c>
    </row>
    <row r="151" spans="1:45" x14ac:dyDescent="0.25">
      <c r="A151" s="40">
        <v>45439</v>
      </c>
      <c r="B151" s="20">
        <v>1773.2429999999999</v>
      </c>
      <c r="C151" s="20">
        <v>3826.03</v>
      </c>
      <c r="D151" s="20">
        <v>5670</v>
      </c>
      <c r="E151" s="20">
        <v>5019</v>
      </c>
      <c r="F151" s="7">
        <f t="shared" si="14"/>
        <v>10054287.810000001</v>
      </c>
      <c r="G151" s="7">
        <f t="shared" si="15"/>
        <v>19202844.57</v>
      </c>
      <c r="H151" s="20">
        <v>73.5</v>
      </c>
      <c r="I151" s="20">
        <v>1738500</v>
      </c>
      <c r="J151" s="20">
        <v>36</v>
      </c>
      <c r="K151" s="20">
        <v>232000</v>
      </c>
      <c r="L151" s="20">
        <v>24000</v>
      </c>
      <c r="M151" s="20"/>
      <c r="N151" s="20"/>
      <c r="O151" s="20">
        <v>1225400</v>
      </c>
      <c r="P151" s="20">
        <v>25000</v>
      </c>
      <c r="Q151" s="19">
        <f t="shared" si="16"/>
        <v>32502032.380000003</v>
      </c>
      <c r="R151" s="20">
        <v>1028083</v>
      </c>
      <c r="S151" s="20">
        <v>14319875</v>
      </c>
      <c r="T151" s="20"/>
      <c r="U151" s="20">
        <v>2000000</v>
      </c>
      <c r="V151" s="20"/>
      <c r="W151" s="20">
        <v>1197613</v>
      </c>
      <c r="X151" s="20">
        <v>5582333</v>
      </c>
      <c r="Y151" s="8">
        <f t="shared" si="17"/>
        <v>8374128.3800000027</v>
      </c>
      <c r="Z151" s="36"/>
      <c r="AA151" s="36"/>
      <c r="AB151" s="36"/>
      <c r="AC151" s="36"/>
      <c r="AD151" s="36"/>
      <c r="AE151" s="36"/>
      <c r="AF151" s="36">
        <v>0</v>
      </c>
      <c r="AG151" s="36">
        <v>0</v>
      </c>
      <c r="AH151" s="36">
        <v>0</v>
      </c>
      <c r="AI151" s="36"/>
      <c r="AJ151" s="36"/>
      <c r="AK151" s="36"/>
      <c r="AL151" s="37">
        <f t="shared" si="18"/>
        <v>0</v>
      </c>
      <c r="AM151" s="36"/>
      <c r="AN151" s="36"/>
      <c r="AO151" s="36"/>
      <c r="AP151" s="7"/>
      <c r="AQ151" s="38">
        <f t="shared" si="19"/>
        <v>8374128.3800000027</v>
      </c>
      <c r="AR151" s="36">
        <v>15062100</v>
      </c>
      <c r="AS151" s="18">
        <f t="shared" si="20"/>
        <v>6687971.6199999973</v>
      </c>
    </row>
    <row r="152" spans="1:45" x14ac:dyDescent="0.25">
      <c r="A152" s="40">
        <v>45440</v>
      </c>
      <c r="B152" s="20">
        <v>2388.1709999999998</v>
      </c>
      <c r="C152" s="20">
        <v>3534.5309999999999</v>
      </c>
      <c r="D152" s="20">
        <v>5670</v>
      </c>
      <c r="E152" s="20">
        <v>5019</v>
      </c>
      <c r="F152" s="7">
        <f t="shared" si="14"/>
        <v>13540929.569999998</v>
      </c>
      <c r="G152" s="7">
        <f t="shared" si="15"/>
        <v>17739811.089000002</v>
      </c>
      <c r="H152" s="20">
        <v>87.75</v>
      </c>
      <c r="I152" s="20">
        <v>1793500</v>
      </c>
      <c r="J152" s="20" t="s">
        <v>126</v>
      </c>
      <c r="K152" s="20">
        <v>812000</v>
      </c>
      <c r="L152" s="20">
        <v>56000</v>
      </c>
      <c r="M152" s="20">
        <v>110000</v>
      </c>
      <c r="N152" s="20"/>
      <c r="O152" s="20">
        <v>2578486</v>
      </c>
      <c r="P152" s="20"/>
      <c r="Q152" s="19">
        <f t="shared" si="16"/>
        <v>36630726.659000002</v>
      </c>
      <c r="R152" s="20">
        <v>2826761</v>
      </c>
      <c r="S152" s="20">
        <v>7539030</v>
      </c>
      <c r="T152" s="20"/>
      <c r="U152" s="20"/>
      <c r="V152" s="20"/>
      <c r="W152" s="20">
        <v>481980</v>
      </c>
      <c r="X152" s="20">
        <v>14624401</v>
      </c>
      <c r="Y152" s="8">
        <f t="shared" si="17"/>
        <v>11158554.659000002</v>
      </c>
      <c r="Z152" s="36"/>
      <c r="AA152" s="36"/>
      <c r="AB152" s="36"/>
      <c r="AC152" s="36"/>
      <c r="AD152" s="36"/>
      <c r="AE152" s="36"/>
      <c r="AF152" s="36">
        <v>3000</v>
      </c>
      <c r="AG152" s="36"/>
      <c r="AH152" s="36">
        <v>18000</v>
      </c>
      <c r="AI152" s="36"/>
      <c r="AJ152" s="36"/>
      <c r="AK152" s="36"/>
      <c r="AL152" s="37">
        <f t="shared" si="18"/>
        <v>21000</v>
      </c>
      <c r="AM152" s="36"/>
      <c r="AN152" s="36"/>
      <c r="AO152" s="36"/>
      <c r="AP152" s="7"/>
      <c r="AQ152" s="38">
        <f t="shared" si="19"/>
        <v>11137554.659000002</v>
      </c>
      <c r="AR152" s="36">
        <v>11134200</v>
      </c>
      <c r="AS152" s="18">
        <f t="shared" si="20"/>
        <v>-3354.6590000018477</v>
      </c>
    </row>
    <row r="153" spans="1:45" x14ac:dyDescent="0.25">
      <c r="A153" s="40">
        <v>45441</v>
      </c>
      <c r="B153" s="20">
        <v>1964.413</v>
      </c>
      <c r="C153" s="20">
        <v>4231.9880000000003</v>
      </c>
      <c r="D153" s="20">
        <v>5670</v>
      </c>
      <c r="E153" s="20">
        <v>5019</v>
      </c>
      <c r="F153" s="7">
        <f t="shared" si="14"/>
        <v>11138221.710000001</v>
      </c>
      <c r="G153" s="7">
        <f t="shared" si="15"/>
        <v>21240347.772</v>
      </c>
      <c r="H153" s="20">
        <v>55.25</v>
      </c>
      <c r="I153" s="20">
        <v>1263000</v>
      </c>
      <c r="J153" s="20">
        <v>73</v>
      </c>
      <c r="K153" s="20">
        <v>952000</v>
      </c>
      <c r="L153" s="20">
        <v>87000</v>
      </c>
      <c r="M153" s="20"/>
      <c r="N153" s="20"/>
      <c r="O153" s="20">
        <v>1935300</v>
      </c>
      <c r="P153" s="20"/>
      <c r="Q153" s="19">
        <f t="shared" si="16"/>
        <v>36615869.482000001</v>
      </c>
      <c r="R153" s="20">
        <v>578330</v>
      </c>
      <c r="S153" s="20">
        <v>9710513</v>
      </c>
      <c r="T153" s="20"/>
      <c r="U153" s="20"/>
      <c r="V153" s="20"/>
      <c r="W153" s="20">
        <v>589000</v>
      </c>
      <c r="X153" s="20">
        <v>17544492</v>
      </c>
      <c r="Y153" s="8">
        <f t="shared" si="17"/>
        <v>8193534.4820000008</v>
      </c>
      <c r="Z153" s="36"/>
      <c r="AA153" s="36"/>
      <c r="AB153" s="36"/>
      <c r="AC153" s="36"/>
      <c r="AD153" s="36"/>
      <c r="AE153" s="36"/>
      <c r="AF153" s="36">
        <v>3000</v>
      </c>
      <c r="AG153" s="36"/>
      <c r="AH153" s="36"/>
      <c r="AI153" s="36"/>
      <c r="AJ153" s="36"/>
      <c r="AK153" s="36"/>
      <c r="AL153" s="37">
        <f t="shared" si="18"/>
        <v>3000</v>
      </c>
      <c r="AM153" s="36"/>
      <c r="AN153" s="36"/>
      <c r="AO153" s="36"/>
      <c r="AP153" s="7"/>
      <c r="AQ153" s="38">
        <f t="shared" si="19"/>
        <v>8190534.4820000008</v>
      </c>
      <c r="AR153" s="36">
        <v>8190500</v>
      </c>
      <c r="AS153" s="18">
        <f t="shared" si="20"/>
        <v>-34.48200000077486</v>
      </c>
    </row>
    <row r="154" spans="1:45" x14ac:dyDescent="0.25">
      <c r="A154" s="40">
        <v>45442</v>
      </c>
      <c r="B154" s="20">
        <v>1484.674</v>
      </c>
      <c r="C154" s="20">
        <v>3197.511</v>
      </c>
      <c r="D154" s="20">
        <v>5670</v>
      </c>
      <c r="E154" s="20">
        <v>5019</v>
      </c>
      <c r="F154" s="7">
        <f t="shared" si="14"/>
        <v>8418101.5800000001</v>
      </c>
      <c r="G154" s="7">
        <f t="shared" si="15"/>
        <v>16048307.709000001</v>
      </c>
      <c r="H154" s="20">
        <v>29.25</v>
      </c>
      <c r="I154" s="20">
        <v>565000</v>
      </c>
      <c r="J154" s="20">
        <v>73.5</v>
      </c>
      <c r="K154" s="20">
        <v>885000</v>
      </c>
      <c r="L154" s="20">
        <v>32000</v>
      </c>
      <c r="M154" s="20">
        <v>0</v>
      </c>
      <c r="N154" s="20"/>
      <c r="O154" s="20">
        <v>2587570</v>
      </c>
      <c r="P154" s="20">
        <v>0</v>
      </c>
      <c r="Q154" s="19">
        <f t="shared" si="16"/>
        <v>28535979.289000001</v>
      </c>
      <c r="R154" s="20">
        <v>804787</v>
      </c>
      <c r="S154" s="20">
        <v>9813059</v>
      </c>
      <c r="T154" s="20"/>
      <c r="U154" s="20"/>
      <c r="V154" s="20"/>
      <c r="W154" s="20">
        <v>99000</v>
      </c>
      <c r="X154" s="20">
        <v>10120321</v>
      </c>
      <c r="Y154" s="8">
        <f t="shared" si="17"/>
        <v>7698812.2890000008</v>
      </c>
      <c r="Z154" s="36"/>
      <c r="AA154" s="36"/>
      <c r="AB154" s="36"/>
      <c r="AC154" s="36"/>
      <c r="AD154" s="36"/>
      <c r="AE154" s="36">
        <v>148000</v>
      </c>
      <c r="AF154" s="36">
        <v>5000</v>
      </c>
      <c r="AG154" s="36">
        <v>1970000</v>
      </c>
      <c r="AH154" s="36"/>
      <c r="AI154" s="36">
        <v>10000</v>
      </c>
      <c r="AJ154" s="36"/>
      <c r="AK154" s="36"/>
      <c r="AL154" s="37">
        <f t="shared" si="18"/>
        <v>2133000</v>
      </c>
      <c r="AM154" s="36"/>
      <c r="AN154" s="36"/>
      <c r="AO154" s="36"/>
      <c r="AP154" s="7"/>
      <c r="AQ154" s="38">
        <f t="shared" si="19"/>
        <v>5565812.2890000008</v>
      </c>
      <c r="AR154" s="36">
        <v>5565800</v>
      </c>
      <c r="AS154" s="18">
        <f t="shared" si="20"/>
        <v>-12.289000000804663</v>
      </c>
    </row>
    <row r="155" spans="1:45" x14ac:dyDescent="0.25">
      <c r="A155" s="40">
        <v>45443</v>
      </c>
      <c r="B155" s="20">
        <v>1734.4849999999999</v>
      </c>
      <c r="C155" s="20">
        <v>6224.07</v>
      </c>
      <c r="D155" s="20">
        <v>5670</v>
      </c>
      <c r="E155" s="20">
        <v>5019</v>
      </c>
      <c r="F155" s="7">
        <f t="shared" si="14"/>
        <v>9834529.9499999993</v>
      </c>
      <c r="G155" s="7">
        <f t="shared" si="15"/>
        <v>31238607.329999998</v>
      </c>
      <c r="H155" s="20">
        <v>45.5</v>
      </c>
      <c r="I155" s="20">
        <v>934000</v>
      </c>
      <c r="J155" s="20">
        <v>45.5</v>
      </c>
      <c r="K155" s="20">
        <v>250000</v>
      </c>
      <c r="L155" s="20">
        <v>16000</v>
      </c>
      <c r="M155" s="20"/>
      <c r="N155" s="20"/>
      <c r="O155" s="20">
        <v>3592000</v>
      </c>
      <c r="P155" s="20"/>
      <c r="Q155" s="19">
        <f t="shared" si="16"/>
        <v>45865137.280000001</v>
      </c>
      <c r="R155" s="20">
        <v>1413694</v>
      </c>
      <c r="S155" s="20">
        <v>18920441</v>
      </c>
      <c r="T155" s="20"/>
      <c r="U155" s="20"/>
      <c r="V155" s="20"/>
      <c r="W155" s="20">
        <v>0</v>
      </c>
      <c r="X155" s="20">
        <v>18179262</v>
      </c>
      <c r="Y155" s="8">
        <f t="shared" si="17"/>
        <v>7351740.2800000012</v>
      </c>
      <c r="Z155" s="36"/>
      <c r="AA155" s="36"/>
      <c r="AB155" s="36"/>
      <c r="AC155" s="36">
        <v>75300</v>
      </c>
      <c r="AD155" s="36"/>
      <c r="AE155" s="36">
        <v>952000</v>
      </c>
      <c r="AF155" s="36">
        <v>3000</v>
      </c>
      <c r="AG155" s="36"/>
      <c r="AH155" s="36"/>
      <c r="AI155" s="36"/>
      <c r="AJ155" s="36"/>
      <c r="AK155" s="36"/>
      <c r="AL155" s="37">
        <f t="shared" si="18"/>
        <v>1030300</v>
      </c>
      <c r="AM155" s="36"/>
      <c r="AN155" s="36"/>
      <c r="AO155" s="36"/>
      <c r="AP155" s="7"/>
      <c r="AQ155" s="38">
        <f t="shared" si="19"/>
        <v>6321440.2800000012</v>
      </c>
      <c r="AR155" s="36">
        <v>6326000</v>
      </c>
      <c r="AS155" s="18">
        <f t="shared" si="20"/>
        <v>4559.7199999988079</v>
      </c>
    </row>
    <row r="156" spans="1:45" x14ac:dyDescent="0.25">
      <c r="A156" s="40">
        <v>45444</v>
      </c>
      <c r="B156" s="20">
        <v>2076.3229999999999</v>
      </c>
      <c r="C156" s="20">
        <v>4403.201</v>
      </c>
      <c r="D156" s="20">
        <v>5670</v>
      </c>
      <c r="E156" s="20">
        <v>5019</v>
      </c>
      <c r="F156" s="7">
        <f t="shared" si="14"/>
        <v>11772751.41</v>
      </c>
      <c r="G156" s="7">
        <f t="shared" si="15"/>
        <v>22099665.818999998</v>
      </c>
      <c r="H156" s="20">
        <v>60.75</v>
      </c>
      <c r="I156" s="20">
        <v>1212500</v>
      </c>
      <c r="J156" s="20">
        <v>37</v>
      </c>
      <c r="K156" s="20">
        <v>391000</v>
      </c>
      <c r="L156" s="20">
        <v>75000</v>
      </c>
      <c r="M156" s="20"/>
      <c r="N156" s="20"/>
      <c r="O156" s="20">
        <v>339000</v>
      </c>
      <c r="P156" s="20"/>
      <c r="Q156" s="19">
        <f t="shared" si="16"/>
        <v>35889917.229000002</v>
      </c>
      <c r="R156" s="20">
        <v>1483243</v>
      </c>
      <c r="S156" s="20">
        <v>9387611</v>
      </c>
      <c r="T156" s="20"/>
      <c r="U156" s="20"/>
      <c r="V156" s="20"/>
      <c r="W156" s="20">
        <v>2093451</v>
      </c>
      <c r="X156" s="20">
        <v>16935784</v>
      </c>
      <c r="Y156" s="8">
        <f t="shared" si="17"/>
        <v>5989828.2290000021</v>
      </c>
      <c r="Z156" s="36"/>
      <c r="AA156" s="36">
        <v>123000</v>
      </c>
      <c r="AB156" s="36">
        <v>625400</v>
      </c>
      <c r="AC156" s="36"/>
      <c r="AD156" s="36"/>
      <c r="AE156" s="36"/>
      <c r="AF156" s="36"/>
      <c r="AG156" s="36"/>
      <c r="AH156" s="36"/>
      <c r="AI156" s="36"/>
      <c r="AJ156" s="36"/>
      <c r="AK156" s="36"/>
      <c r="AL156" s="37">
        <f t="shared" si="18"/>
        <v>748400</v>
      </c>
      <c r="AM156" s="36">
        <v>500000</v>
      </c>
      <c r="AN156" s="36"/>
      <c r="AO156" s="36"/>
      <c r="AP156" s="7"/>
      <c r="AQ156" s="38">
        <f t="shared" si="19"/>
        <v>4741428.2290000021</v>
      </c>
      <c r="AR156" s="36">
        <v>4741500</v>
      </c>
      <c r="AS156" s="18">
        <f t="shared" si="20"/>
        <v>71.770999997854233</v>
      </c>
    </row>
    <row r="157" spans="1:45" x14ac:dyDescent="0.25">
      <c r="A157" s="40">
        <v>45445</v>
      </c>
      <c r="B157" s="20">
        <v>2063.3620000000001</v>
      </c>
      <c r="C157" s="20">
        <v>2678.3690000000001</v>
      </c>
      <c r="D157" s="20">
        <v>5670</v>
      </c>
      <c r="E157" s="20">
        <v>5019</v>
      </c>
      <c r="F157" s="7">
        <f t="shared" si="14"/>
        <v>11699262.540000001</v>
      </c>
      <c r="G157" s="7">
        <f t="shared" si="15"/>
        <v>13442734.011</v>
      </c>
      <c r="H157" s="20">
        <v>100.25</v>
      </c>
      <c r="I157" s="20">
        <v>2031000</v>
      </c>
      <c r="J157" s="20">
        <v>147.5</v>
      </c>
      <c r="K157" s="20">
        <v>2211000</v>
      </c>
      <c r="L157" s="20">
        <v>101000</v>
      </c>
      <c r="M157" s="20"/>
      <c r="N157" s="20"/>
      <c r="O157" s="20">
        <v>3559751</v>
      </c>
      <c r="P157" s="20"/>
      <c r="Q157" s="19">
        <f t="shared" si="16"/>
        <v>33044747.550999999</v>
      </c>
      <c r="R157" s="20">
        <v>1787200</v>
      </c>
      <c r="S157" s="20">
        <v>8767928</v>
      </c>
      <c r="T157" s="20"/>
      <c r="U157" s="20"/>
      <c r="V157" s="20"/>
      <c r="W157" s="20"/>
      <c r="X157" s="20">
        <v>11520083</v>
      </c>
      <c r="Y157" s="8">
        <f t="shared" si="17"/>
        <v>10969536.550999999</v>
      </c>
      <c r="Z157" s="36"/>
      <c r="AA157" s="36"/>
      <c r="AB157" s="36"/>
      <c r="AC157" s="36">
        <v>44000</v>
      </c>
      <c r="AD157" s="36"/>
      <c r="AE157" s="36"/>
      <c r="AF157" s="36">
        <v>3000</v>
      </c>
      <c r="AG157" s="36"/>
      <c r="AH157" s="36"/>
      <c r="AI157" s="36"/>
      <c r="AJ157" s="36"/>
      <c r="AK157" s="36"/>
      <c r="AL157" s="37">
        <f t="shared" si="18"/>
        <v>47000</v>
      </c>
      <c r="AM157" s="36">
        <v>600000</v>
      </c>
      <c r="AN157" s="36"/>
      <c r="AO157" s="36"/>
      <c r="AP157" s="7"/>
      <c r="AQ157" s="38">
        <f t="shared" si="19"/>
        <v>10322536.550999999</v>
      </c>
      <c r="AR157" s="36">
        <v>0</v>
      </c>
      <c r="AS157" s="18">
        <f t="shared" si="20"/>
        <v>-10322536.550999999</v>
      </c>
    </row>
    <row r="158" spans="1:45" x14ac:dyDescent="0.25">
      <c r="A158" s="40">
        <v>45446</v>
      </c>
      <c r="B158" s="20">
        <v>1443.5719999999999</v>
      </c>
      <c r="C158" s="20">
        <v>2396.6329999999998</v>
      </c>
      <c r="D158" s="20">
        <v>5670</v>
      </c>
      <c r="E158" s="20">
        <v>5019</v>
      </c>
      <c r="F158" s="7">
        <f t="shared" si="14"/>
        <v>8185053.2399999993</v>
      </c>
      <c r="G158" s="7">
        <f t="shared" si="15"/>
        <v>12028701.026999999</v>
      </c>
      <c r="H158" s="20">
        <v>22.5</v>
      </c>
      <c r="I158" s="20">
        <v>518500</v>
      </c>
      <c r="J158" s="20">
        <v>52</v>
      </c>
      <c r="K158" s="20">
        <v>628500</v>
      </c>
      <c r="L158" s="20">
        <v>48000</v>
      </c>
      <c r="M158" s="20"/>
      <c r="N158" s="20"/>
      <c r="O158" s="20">
        <v>0</v>
      </c>
      <c r="P158" s="20"/>
      <c r="Q158" s="19">
        <f t="shared" si="16"/>
        <v>21408754.266999997</v>
      </c>
      <c r="R158" s="20">
        <v>1254286</v>
      </c>
      <c r="S158" s="20">
        <v>5382225</v>
      </c>
      <c r="T158" s="20"/>
      <c r="U158" s="20"/>
      <c r="V158" s="20"/>
      <c r="W158" s="20">
        <v>508320</v>
      </c>
      <c r="X158" s="20">
        <v>9217627</v>
      </c>
      <c r="Y158" s="8">
        <f t="shared" si="17"/>
        <v>5046296.2669999972</v>
      </c>
      <c r="Z158" s="36">
        <v>1597679</v>
      </c>
      <c r="AA158" s="36"/>
      <c r="AB158" s="36"/>
      <c r="AC158" s="36"/>
      <c r="AD158" s="36"/>
      <c r="AE158" s="36"/>
      <c r="AF158" s="36"/>
      <c r="AG158" s="36"/>
      <c r="AH158" s="36"/>
      <c r="AI158" s="36"/>
      <c r="AJ158" s="36">
        <v>8000</v>
      </c>
      <c r="AK158" s="36"/>
      <c r="AL158" s="37">
        <f t="shared" si="18"/>
        <v>1605679</v>
      </c>
      <c r="AM158" s="36"/>
      <c r="AN158" s="36"/>
      <c r="AO158" s="36"/>
      <c r="AP158" s="7"/>
      <c r="AQ158" s="38">
        <f t="shared" si="19"/>
        <v>3440617.2669999972</v>
      </c>
      <c r="AR158" s="36">
        <v>13763100</v>
      </c>
      <c r="AS158" s="18">
        <f t="shared" si="20"/>
        <v>10322482.733000003</v>
      </c>
    </row>
    <row r="159" spans="1:45" x14ac:dyDescent="0.25">
      <c r="A159" s="40">
        <v>45447</v>
      </c>
      <c r="B159" s="20">
        <v>1444.7940000000001</v>
      </c>
      <c r="C159" s="20">
        <v>4875.2</v>
      </c>
      <c r="D159" s="20">
        <v>5670</v>
      </c>
      <c r="E159" s="20">
        <v>5019</v>
      </c>
      <c r="F159" s="7">
        <f t="shared" si="14"/>
        <v>8191981.9800000004</v>
      </c>
      <c r="G159" s="7">
        <f t="shared" si="15"/>
        <v>24468628.800000001</v>
      </c>
      <c r="H159" s="20">
        <v>42.5</v>
      </c>
      <c r="I159" s="20">
        <v>885500</v>
      </c>
      <c r="J159" s="20">
        <v>30.5</v>
      </c>
      <c r="K159" s="20">
        <v>453000</v>
      </c>
      <c r="L159" s="20">
        <v>23000</v>
      </c>
      <c r="M159" s="20"/>
      <c r="N159" s="20"/>
      <c r="O159" s="20">
        <v>1890129</v>
      </c>
      <c r="P159" s="20"/>
      <c r="Q159" s="19">
        <f t="shared" si="16"/>
        <v>35912239.780000001</v>
      </c>
      <c r="R159" s="20">
        <v>593981</v>
      </c>
      <c r="S159" s="20">
        <v>17656135</v>
      </c>
      <c r="T159" s="20"/>
      <c r="U159" s="20"/>
      <c r="V159" s="20"/>
      <c r="W159" s="20">
        <v>0</v>
      </c>
      <c r="X159" s="20">
        <v>8981455</v>
      </c>
      <c r="Y159" s="8">
        <f t="shared" si="17"/>
        <v>8680668.7800000012</v>
      </c>
      <c r="Z159" s="36">
        <v>0</v>
      </c>
      <c r="AA159" s="36"/>
      <c r="AB159" s="36"/>
      <c r="AC159" s="36"/>
      <c r="AD159" s="36"/>
      <c r="AE159" s="36"/>
      <c r="AF159" s="36">
        <v>6000</v>
      </c>
      <c r="AG159" s="36"/>
      <c r="AH159" s="36">
        <v>9000</v>
      </c>
      <c r="AI159" s="36"/>
      <c r="AJ159" s="36"/>
      <c r="AK159" s="36"/>
      <c r="AL159" s="37">
        <f t="shared" si="18"/>
        <v>15000</v>
      </c>
      <c r="AM159" s="36">
        <v>735000</v>
      </c>
      <c r="AN159" s="36"/>
      <c r="AO159" s="36"/>
      <c r="AP159" s="7"/>
      <c r="AQ159" s="38">
        <f t="shared" si="19"/>
        <v>7930668.7800000012</v>
      </c>
      <c r="AR159" s="36">
        <v>7930700</v>
      </c>
      <c r="AS159" s="18">
        <f t="shared" si="20"/>
        <v>31.219999998807907</v>
      </c>
    </row>
    <row r="160" spans="1:45" x14ac:dyDescent="0.25">
      <c r="A160" s="40">
        <v>45448</v>
      </c>
      <c r="B160" s="20">
        <v>1796.23</v>
      </c>
      <c r="C160" s="20">
        <v>4893.5659999999998</v>
      </c>
      <c r="D160" s="20">
        <v>5670</v>
      </c>
      <c r="E160" s="20">
        <v>5019</v>
      </c>
      <c r="F160" s="7">
        <f t="shared" si="14"/>
        <v>10184624.1</v>
      </c>
      <c r="G160" s="7">
        <f t="shared" si="15"/>
        <v>24560807.754000001</v>
      </c>
      <c r="H160" s="20">
        <v>76.5</v>
      </c>
      <c r="I160" s="20">
        <v>1594000</v>
      </c>
      <c r="J160" s="20">
        <v>156.5</v>
      </c>
      <c r="K160" s="20">
        <v>1559000</v>
      </c>
      <c r="L160" s="20">
        <v>38000</v>
      </c>
      <c r="M160" s="20"/>
      <c r="N160" s="20">
        <v>2000000</v>
      </c>
      <c r="O160" s="20">
        <v>2524730</v>
      </c>
      <c r="P160" s="20"/>
      <c r="Q160" s="19">
        <f t="shared" si="16"/>
        <v>42461161.854000002</v>
      </c>
      <c r="R160" s="20">
        <v>2539717</v>
      </c>
      <c r="S160" s="20">
        <v>18805394</v>
      </c>
      <c r="T160" s="20"/>
      <c r="U160" s="20"/>
      <c r="V160" s="20"/>
      <c r="W160" s="20">
        <v>274500</v>
      </c>
      <c r="X160" s="20">
        <v>12241963</v>
      </c>
      <c r="Y160" s="8">
        <f t="shared" si="17"/>
        <v>8599587.8540000021</v>
      </c>
      <c r="Z160" s="36"/>
      <c r="AA160" s="36"/>
      <c r="AB160" s="36"/>
      <c r="AC160" s="36">
        <v>5000</v>
      </c>
      <c r="AD160" s="36"/>
      <c r="AE160" s="36"/>
      <c r="AF160" s="36"/>
      <c r="AG160" s="36"/>
      <c r="AH160" s="36"/>
      <c r="AI160" s="36"/>
      <c r="AJ160" s="36"/>
      <c r="AK160" s="36"/>
      <c r="AL160" s="37">
        <f t="shared" si="18"/>
        <v>5000</v>
      </c>
      <c r="AM160" s="36"/>
      <c r="AN160" s="36"/>
      <c r="AO160" s="36"/>
      <c r="AP160" s="7"/>
      <c r="AQ160" s="38">
        <f t="shared" si="19"/>
        <v>8594587.8540000021</v>
      </c>
      <c r="AR160" s="36">
        <v>8599200</v>
      </c>
      <c r="AS160" s="18">
        <f t="shared" si="20"/>
        <v>4612.1459999978542</v>
      </c>
    </row>
    <row r="161" spans="1:45" x14ac:dyDescent="0.25">
      <c r="A161" s="40">
        <v>45449</v>
      </c>
      <c r="B161" s="20">
        <v>0</v>
      </c>
      <c r="C161" s="20">
        <v>3666.6</v>
      </c>
      <c r="D161" s="20">
        <v>5670</v>
      </c>
      <c r="E161" s="20">
        <v>5019</v>
      </c>
      <c r="F161" s="7">
        <f t="shared" si="14"/>
        <v>0</v>
      </c>
      <c r="G161" s="7">
        <f t="shared" si="15"/>
        <v>18402665.399999999</v>
      </c>
      <c r="H161" s="20">
        <v>86</v>
      </c>
      <c r="I161" s="20">
        <v>1845000</v>
      </c>
      <c r="J161" s="20">
        <v>61.5</v>
      </c>
      <c r="K161" s="20">
        <v>926500</v>
      </c>
      <c r="L161" s="20">
        <v>73000</v>
      </c>
      <c r="M161" s="20"/>
      <c r="N161" s="20"/>
      <c r="O161" s="20">
        <v>0</v>
      </c>
      <c r="P161" s="20"/>
      <c r="Q161" s="19">
        <f t="shared" si="16"/>
        <v>21247165.399999999</v>
      </c>
      <c r="R161" s="20">
        <v>0</v>
      </c>
      <c r="S161" s="20">
        <v>7640358</v>
      </c>
      <c r="T161" s="20"/>
      <c r="U161" s="20"/>
      <c r="V161" s="20"/>
      <c r="W161" s="20">
        <v>0</v>
      </c>
      <c r="X161" s="20">
        <v>9947678</v>
      </c>
      <c r="Y161" s="8">
        <f t="shared" si="17"/>
        <v>3659129.3999999985</v>
      </c>
      <c r="Z161" s="36"/>
      <c r="AA161" s="36"/>
      <c r="AB161" s="36"/>
      <c r="AC161" s="36">
        <v>25000</v>
      </c>
      <c r="AD161" s="36"/>
      <c r="AE161" s="36"/>
      <c r="AF161" s="36">
        <v>5000</v>
      </c>
      <c r="AG161" s="36"/>
      <c r="AH161" s="36"/>
      <c r="AI161" s="36"/>
      <c r="AJ161" s="36"/>
      <c r="AK161" s="36"/>
      <c r="AL161" s="37">
        <f t="shared" si="18"/>
        <v>30000</v>
      </c>
      <c r="AM161" s="36"/>
      <c r="AN161" s="36"/>
      <c r="AO161" s="36"/>
      <c r="AP161" s="7"/>
      <c r="AQ161" s="38">
        <f t="shared" si="19"/>
        <v>3629129.3999999985</v>
      </c>
      <c r="AR161" s="36">
        <v>3629100</v>
      </c>
      <c r="AS161" s="18">
        <f t="shared" si="20"/>
        <v>-29.399999998509884</v>
      </c>
    </row>
    <row r="162" spans="1:45" x14ac:dyDescent="0.25">
      <c r="A162" s="40">
        <v>45450</v>
      </c>
      <c r="B162" s="20">
        <v>1906.848</v>
      </c>
      <c r="C162" s="20">
        <v>5466.7380000000003</v>
      </c>
      <c r="D162" s="20">
        <v>5670</v>
      </c>
      <c r="E162" s="20">
        <v>5019</v>
      </c>
      <c r="F162" s="7">
        <f t="shared" si="14"/>
        <v>10811828.16</v>
      </c>
      <c r="G162" s="7">
        <f t="shared" si="15"/>
        <v>27437558.022</v>
      </c>
      <c r="H162" s="20">
        <v>104.5</v>
      </c>
      <c r="I162" s="20">
        <v>2312500</v>
      </c>
      <c r="J162" s="20">
        <v>61.5</v>
      </c>
      <c r="K162" s="20">
        <v>791000</v>
      </c>
      <c r="L162" s="20">
        <v>23000</v>
      </c>
      <c r="M162" s="20"/>
      <c r="N162" s="20"/>
      <c r="O162" s="20">
        <v>1921270</v>
      </c>
      <c r="P162" s="20"/>
      <c r="Q162" s="19">
        <f t="shared" si="16"/>
        <v>43297156.181999996</v>
      </c>
      <c r="R162" s="20">
        <v>2184850</v>
      </c>
      <c r="S162" s="20">
        <v>18732744</v>
      </c>
      <c r="T162" s="20"/>
      <c r="U162" s="20"/>
      <c r="V162" s="20"/>
      <c r="W162" s="20">
        <v>0</v>
      </c>
      <c r="X162" s="20">
        <v>15050590</v>
      </c>
      <c r="Y162" s="8">
        <f t="shared" si="17"/>
        <v>7328972.1819999963</v>
      </c>
      <c r="Z162" s="36"/>
      <c r="AA162" s="36"/>
      <c r="AB162" s="36"/>
      <c r="AC162" s="36"/>
      <c r="AD162" s="36">
        <v>200760</v>
      </c>
      <c r="AE162" s="36"/>
      <c r="AF162" s="36">
        <v>6000</v>
      </c>
      <c r="AG162" s="36"/>
      <c r="AH162" s="36"/>
      <c r="AI162" s="36"/>
      <c r="AJ162" s="36">
        <v>1420000</v>
      </c>
      <c r="AK162" s="36"/>
      <c r="AL162" s="37">
        <f t="shared" si="18"/>
        <v>1626760</v>
      </c>
      <c r="AM162" s="36"/>
      <c r="AN162" s="36"/>
      <c r="AO162" s="36"/>
      <c r="AP162" s="7"/>
      <c r="AQ162" s="38">
        <f t="shared" si="19"/>
        <v>5702212.1819999963</v>
      </c>
      <c r="AR162" s="36">
        <v>5702200</v>
      </c>
      <c r="AS162" s="18">
        <f t="shared" si="20"/>
        <v>-12.181999996304512</v>
      </c>
    </row>
    <row r="163" spans="1:45" x14ac:dyDescent="0.25">
      <c r="A163" s="40">
        <v>45451</v>
      </c>
      <c r="B163" s="20">
        <v>2501.6289999999999</v>
      </c>
      <c r="C163" s="20">
        <v>3756.7469999999998</v>
      </c>
      <c r="D163" s="20">
        <v>5670</v>
      </c>
      <c r="E163" s="20">
        <v>5019</v>
      </c>
      <c r="F163" s="7">
        <f t="shared" si="14"/>
        <v>14184236.43</v>
      </c>
      <c r="G163" s="7">
        <f t="shared" si="15"/>
        <v>18855113.193</v>
      </c>
      <c r="H163" s="20">
        <v>60</v>
      </c>
      <c r="I163" s="20">
        <v>1256000</v>
      </c>
      <c r="J163" s="20">
        <v>15</v>
      </c>
      <c r="K163" s="20">
        <v>197000</v>
      </c>
      <c r="L163" s="20">
        <v>31000</v>
      </c>
      <c r="M163" s="20"/>
      <c r="N163" s="20"/>
      <c r="O163" s="20">
        <v>2324800</v>
      </c>
      <c r="P163" s="20"/>
      <c r="Q163" s="19">
        <f t="shared" si="16"/>
        <v>36848149.622999996</v>
      </c>
      <c r="R163" s="20">
        <v>2549300</v>
      </c>
      <c r="S163" s="20">
        <v>11145967</v>
      </c>
      <c r="T163" s="20"/>
      <c r="U163" s="20"/>
      <c r="V163" s="20"/>
      <c r="W163" s="20">
        <v>200000</v>
      </c>
      <c r="X163" s="20">
        <v>18261884</v>
      </c>
      <c r="Y163" s="8">
        <f t="shared" si="17"/>
        <v>4690998.6229999959</v>
      </c>
      <c r="Z163" s="36"/>
      <c r="AA163" s="36"/>
      <c r="AB163" s="36"/>
      <c r="AC163" s="36">
        <v>18600</v>
      </c>
      <c r="AD163" s="36"/>
      <c r="AE163" s="36"/>
      <c r="AF163" s="36">
        <v>6000</v>
      </c>
      <c r="AG163" s="36"/>
      <c r="AH163" s="36">
        <v>22000</v>
      </c>
      <c r="AI163" s="36"/>
      <c r="AJ163" s="36"/>
      <c r="AK163" s="36"/>
      <c r="AL163" s="37">
        <f t="shared" si="18"/>
        <v>46600</v>
      </c>
      <c r="AM163" s="36"/>
      <c r="AN163" s="36"/>
      <c r="AO163" s="36"/>
      <c r="AP163" s="7"/>
      <c r="AQ163" s="38">
        <f t="shared" si="19"/>
        <v>4644398.6229999959</v>
      </c>
      <c r="AR163" s="36">
        <v>4644400</v>
      </c>
      <c r="AS163" s="18">
        <f t="shared" si="20"/>
        <v>1.3770000040531158</v>
      </c>
    </row>
    <row r="164" spans="1:45" x14ac:dyDescent="0.25">
      <c r="A164" s="40">
        <v>45452</v>
      </c>
      <c r="B164" s="20">
        <v>1825.7329999999999</v>
      </c>
      <c r="C164" s="20">
        <v>3534.5610000000001</v>
      </c>
      <c r="D164" s="20">
        <v>5670</v>
      </c>
      <c r="E164" s="20">
        <v>5019</v>
      </c>
      <c r="F164" s="7">
        <f t="shared" si="14"/>
        <v>10351906.109999999</v>
      </c>
      <c r="G164" s="7">
        <f t="shared" si="15"/>
        <v>17739961.659000002</v>
      </c>
      <c r="H164" s="20">
        <v>40.25</v>
      </c>
      <c r="I164" s="20">
        <v>822000</v>
      </c>
      <c r="J164" s="20">
        <v>33.5</v>
      </c>
      <c r="K164" s="20">
        <v>497500</v>
      </c>
      <c r="L164" s="20">
        <v>46000</v>
      </c>
      <c r="M164" s="20"/>
      <c r="N164" s="20"/>
      <c r="O164" s="20">
        <v>475000</v>
      </c>
      <c r="P164" s="20"/>
      <c r="Q164" s="19">
        <f t="shared" si="16"/>
        <v>29932367.769000001</v>
      </c>
      <c r="R164" s="20">
        <v>1301480</v>
      </c>
      <c r="S164" s="20">
        <v>9965342</v>
      </c>
      <c r="T164" s="20"/>
      <c r="U164" s="20"/>
      <c r="V164" s="20"/>
      <c r="W164" s="20">
        <v>441700</v>
      </c>
      <c r="X164" s="20">
        <v>13743587</v>
      </c>
      <c r="Y164" s="8">
        <f t="shared" si="17"/>
        <v>4480258.7690000013</v>
      </c>
      <c r="Z164" s="36"/>
      <c r="AA164" s="36"/>
      <c r="AB164" s="36"/>
      <c r="AC164" s="36">
        <v>27000</v>
      </c>
      <c r="AD164" s="36"/>
      <c r="AE164" s="36"/>
      <c r="AF164" s="36">
        <v>3000</v>
      </c>
      <c r="AG164" s="36"/>
      <c r="AH164" s="36">
        <v>70000</v>
      </c>
      <c r="AI164" s="36"/>
      <c r="AJ164" s="36">
        <v>1000000</v>
      </c>
      <c r="AK164" s="36">
        <v>120000</v>
      </c>
      <c r="AL164" s="37">
        <f t="shared" si="18"/>
        <v>1220000</v>
      </c>
      <c r="AM164" s="36"/>
      <c r="AN164" s="36"/>
      <c r="AO164" s="36"/>
      <c r="AP164" s="7"/>
      <c r="AQ164" s="38">
        <f t="shared" si="19"/>
        <v>3260258.7690000013</v>
      </c>
      <c r="AR164" s="36">
        <v>0</v>
      </c>
      <c r="AS164" s="18">
        <f t="shared" si="20"/>
        <v>-3260258.7690000013</v>
      </c>
    </row>
    <row r="165" spans="1:45" x14ac:dyDescent="0.25">
      <c r="A165" s="40">
        <v>45453</v>
      </c>
      <c r="B165" s="20">
        <v>1395.0160000000001</v>
      </c>
      <c r="C165" s="20">
        <v>2569.0680000000002</v>
      </c>
      <c r="D165" s="20">
        <v>5670</v>
      </c>
      <c r="E165" s="20">
        <v>5019</v>
      </c>
      <c r="F165" s="7">
        <f t="shared" si="14"/>
        <v>7909740.7200000007</v>
      </c>
      <c r="G165" s="7">
        <f t="shared" si="15"/>
        <v>12894152.292000001</v>
      </c>
      <c r="H165" s="20">
        <v>44.25</v>
      </c>
      <c r="I165" s="20">
        <v>932000</v>
      </c>
      <c r="J165" s="20">
        <v>24</v>
      </c>
      <c r="K165" s="20">
        <v>212000</v>
      </c>
      <c r="L165" s="20">
        <v>211000</v>
      </c>
      <c r="M165" s="20"/>
      <c r="N165" s="20"/>
      <c r="O165" s="20">
        <v>1065200</v>
      </c>
      <c r="P165" s="20">
        <v>50000</v>
      </c>
      <c r="Q165" s="19">
        <f t="shared" si="16"/>
        <v>23274093.012000002</v>
      </c>
      <c r="R165" s="20">
        <v>864597</v>
      </c>
      <c r="S165" s="20">
        <v>6256263</v>
      </c>
      <c r="T165" s="20"/>
      <c r="U165" s="20"/>
      <c r="V165" s="20"/>
      <c r="W165" s="20"/>
      <c r="X165" s="20">
        <v>12349456</v>
      </c>
      <c r="Y165" s="8">
        <f t="shared" si="17"/>
        <v>3803777.012000002</v>
      </c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>
        <v>200000</v>
      </c>
      <c r="AK165" s="36"/>
      <c r="AL165" s="37">
        <f t="shared" si="18"/>
        <v>200000</v>
      </c>
      <c r="AM165" s="36"/>
      <c r="AN165" s="36"/>
      <c r="AO165" s="36"/>
      <c r="AP165" s="7"/>
      <c r="AQ165" s="38">
        <f t="shared" si="19"/>
        <v>3603777.012000002</v>
      </c>
      <c r="AR165" s="36">
        <v>6864100</v>
      </c>
      <c r="AS165" s="18">
        <f t="shared" si="20"/>
        <v>3260322.987999998</v>
      </c>
    </row>
    <row r="166" spans="1:45" x14ac:dyDescent="0.25">
      <c r="A166" s="40">
        <v>45454</v>
      </c>
      <c r="B166" s="20">
        <v>1677.36</v>
      </c>
      <c r="C166" s="20">
        <v>2487</v>
      </c>
      <c r="D166" s="20">
        <v>5670</v>
      </c>
      <c r="E166" s="20">
        <v>5019</v>
      </c>
      <c r="F166" s="7">
        <f t="shared" si="14"/>
        <v>9510631.1999999993</v>
      </c>
      <c r="G166" s="7">
        <f t="shared" si="15"/>
        <v>12482253</v>
      </c>
      <c r="H166" s="20">
        <v>93</v>
      </c>
      <c r="I166" s="20">
        <v>1818500</v>
      </c>
      <c r="J166" s="20">
        <v>27</v>
      </c>
      <c r="K166" s="20">
        <v>453000</v>
      </c>
      <c r="L166" s="20"/>
      <c r="M166" s="20"/>
      <c r="N166" s="20"/>
      <c r="O166" s="20">
        <v>441700</v>
      </c>
      <c r="P166" s="20"/>
      <c r="Q166" s="19">
        <f t="shared" si="16"/>
        <v>24706084.199999999</v>
      </c>
      <c r="R166" s="20">
        <v>636534</v>
      </c>
      <c r="S166" s="20">
        <v>7181404</v>
      </c>
      <c r="T166" s="20"/>
      <c r="U166" s="20"/>
      <c r="V166" s="20"/>
      <c r="W166" s="20">
        <v>158700</v>
      </c>
      <c r="X166" s="20">
        <v>10202635</v>
      </c>
      <c r="Y166" s="8">
        <f t="shared" si="17"/>
        <v>6526811.1999999993</v>
      </c>
      <c r="Z166" s="36"/>
      <c r="AA166" s="36"/>
      <c r="AB166" s="36"/>
      <c r="AC166" s="36">
        <v>8000</v>
      </c>
      <c r="AD166" s="36"/>
      <c r="AE166" s="36"/>
      <c r="AF166" s="36">
        <v>6000</v>
      </c>
      <c r="AG166" s="36"/>
      <c r="AH166" s="36"/>
      <c r="AI166" s="36">
        <v>30000</v>
      </c>
      <c r="AJ166" s="36">
        <v>1538350</v>
      </c>
      <c r="AK166" s="36"/>
      <c r="AL166" s="37">
        <f t="shared" si="18"/>
        <v>1582350</v>
      </c>
      <c r="AM166" s="36"/>
      <c r="AN166" s="36"/>
      <c r="AO166" s="36"/>
      <c r="AP166" s="7"/>
      <c r="AQ166" s="38">
        <f t="shared" si="19"/>
        <v>4944461.1999999993</v>
      </c>
      <c r="AR166" s="36">
        <v>4944500</v>
      </c>
      <c r="AS166" s="18">
        <f t="shared" si="20"/>
        <v>38.800000000745058</v>
      </c>
    </row>
    <row r="167" spans="1:45" x14ac:dyDescent="0.25">
      <c r="A167" s="40">
        <v>45455</v>
      </c>
      <c r="B167" s="20">
        <v>1801.126</v>
      </c>
      <c r="C167" s="20">
        <v>3808.1959999999999</v>
      </c>
      <c r="D167" s="20">
        <v>5670</v>
      </c>
      <c r="E167" s="20">
        <v>5019</v>
      </c>
      <c r="F167" s="7">
        <f t="shared" si="14"/>
        <v>10212384.42</v>
      </c>
      <c r="G167" s="7">
        <f t="shared" si="15"/>
        <v>19113335.723999999</v>
      </c>
      <c r="H167" s="20">
        <v>38</v>
      </c>
      <c r="I167" s="20">
        <v>747000</v>
      </c>
      <c r="J167" s="20">
        <v>48.5</v>
      </c>
      <c r="K167" s="20">
        <v>597000</v>
      </c>
      <c r="L167" s="20">
        <v>8000</v>
      </c>
      <c r="M167" s="20"/>
      <c r="N167" s="20"/>
      <c r="O167" s="20">
        <v>1395800</v>
      </c>
      <c r="P167" s="20"/>
      <c r="Q167" s="19">
        <f t="shared" si="16"/>
        <v>32073520.144000001</v>
      </c>
      <c r="R167" s="20">
        <v>975910</v>
      </c>
      <c r="S167" s="20">
        <v>11002237</v>
      </c>
      <c r="T167" s="20"/>
      <c r="U167" s="20"/>
      <c r="V167" s="20"/>
      <c r="W167" s="20">
        <v>100000</v>
      </c>
      <c r="X167" s="20">
        <v>12385580</v>
      </c>
      <c r="Y167" s="8">
        <f t="shared" si="17"/>
        <v>7609793.1440000013</v>
      </c>
      <c r="Z167" s="36"/>
      <c r="AA167" s="36"/>
      <c r="AB167" s="36"/>
      <c r="AC167" s="36"/>
      <c r="AD167" s="36"/>
      <c r="AE167" s="36"/>
      <c r="AF167" s="36">
        <v>3000</v>
      </c>
      <c r="AG167" s="36"/>
      <c r="AH167" s="36"/>
      <c r="AI167" s="36"/>
      <c r="AJ167" s="36">
        <v>3500000</v>
      </c>
      <c r="AK167" s="36"/>
      <c r="AL167" s="37">
        <f t="shared" si="18"/>
        <v>3503000</v>
      </c>
      <c r="AM167" s="36"/>
      <c r="AN167" s="36"/>
      <c r="AO167" s="36"/>
      <c r="AP167" s="7"/>
      <c r="AQ167" s="38">
        <f t="shared" si="19"/>
        <v>4106793.1440000013</v>
      </c>
      <c r="AR167" s="36">
        <v>4157600</v>
      </c>
      <c r="AS167" s="18">
        <f t="shared" si="20"/>
        <v>50806.855999998748</v>
      </c>
    </row>
    <row r="168" spans="1:45" x14ac:dyDescent="0.25">
      <c r="A168" s="40">
        <v>45456</v>
      </c>
      <c r="B168" s="20">
        <v>1643.566</v>
      </c>
      <c r="C168" s="20">
        <v>3594.223</v>
      </c>
      <c r="D168" s="20">
        <v>5670</v>
      </c>
      <c r="E168" s="20">
        <v>5019</v>
      </c>
      <c r="F168" s="7">
        <f t="shared" si="14"/>
        <v>9319019.2200000007</v>
      </c>
      <c r="G168" s="7">
        <f t="shared" si="15"/>
        <v>18039405.237</v>
      </c>
      <c r="H168" s="20">
        <v>30.75</v>
      </c>
      <c r="I168" s="20">
        <v>583500</v>
      </c>
      <c r="J168" s="20">
        <v>61</v>
      </c>
      <c r="K168" s="20">
        <v>753000</v>
      </c>
      <c r="L168" s="20">
        <v>69000</v>
      </c>
      <c r="M168" s="20">
        <v>350000</v>
      </c>
      <c r="N168" s="20">
        <v>2500000</v>
      </c>
      <c r="O168" s="20">
        <v>2664400</v>
      </c>
      <c r="P168" s="20"/>
      <c r="Q168" s="19">
        <f t="shared" si="16"/>
        <v>34278324.457000002</v>
      </c>
      <c r="R168" s="20">
        <v>1713717</v>
      </c>
      <c r="S168" s="20">
        <v>7725526</v>
      </c>
      <c r="T168" s="20"/>
      <c r="U168" s="20"/>
      <c r="V168" s="20"/>
      <c r="W168" s="20">
        <v>20000</v>
      </c>
      <c r="X168" s="20">
        <v>11868760</v>
      </c>
      <c r="Y168" s="8">
        <f t="shared" si="17"/>
        <v>12950321.457000002</v>
      </c>
      <c r="Z168" s="36"/>
      <c r="AA168" s="36"/>
      <c r="AB168" s="36"/>
      <c r="AC168" s="36"/>
      <c r="AD168" s="36"/>
      <c r="AE168" s="36"/>
      <c r="AF168" s="36">
        <v>4000</v>
      </c>
      <c r="AG168" s="36"/>
      <c r="AH168" s="36"/>
      <c r="AI168" s="36"/>
      <c r="AJ168" s="36">
        <v>3000000</v>
      </c>
      <c r="AK168" s="36"/>
      <c r="AL168" s="37">
        <f t="shared" si="18"/>
        <v>3004000</v>
      </c>
      <c r="AM168" s="36"/>
      <c r="AN168" s="36"/>
      <c r="AO168" s="36"/>
      <c r="AP168" s="7"/>
      <c r="AQ168" s="38">
        <f t="shared" si="19"/>
        <v>9946321.4570000023</v>
      </c>
      <c r="AR168" s="36">
        <v>9946300</v>
      </c>
      <c r="AS168" s="18">
        <f t="shared" si="20"/>
        <v>-21.457000002264977</v>
      </c>
    </row>
    <row r="169" spans="1:45" x14ac:dyDescent="0.25">
      <c r="A169" s="40">
        <v>45457</v>
      </c>
      <c r="B169" s="20">
        <v>1920.8789999999999</v>
      </c>
      <c r="C169" s="20">
        <v>7295.951</v>
      </c>
      <c r="D169" s="20">
        <v>5670</v>
      </c>
      <c r="E169" s="20">
        <v>5019</v>
      </c>
      <c r="F169" s="7">
        <f t="shared" si="14"/>
        <v>10891383.93</v>
      </c>
      <c r="G169" s="7">
        <f t="shared" si="15"/>
        <v>36618378.068999998</v>
      </c>
      <c r="H169" s="20">
        <v>123.5</v>
      </c>
      <c r="I169" s="20">
        <v>2639500</v>
      </c>
      <c r="J169" s="20">
        <v>78.5</v>
      </c>
      <c r="K169" s="20">
        <v>913000</v>
      </c>
      <c r="L169" s="20">
        <v>16000</v>
      </c>
      <c r="M169" s="20"/>
      <c r="N169" s="20"/>
      <c r="O169" s="20"/>
      <c r="P169" s="20"/>
      <c r="Q169" s="19">
        <f t="shared" si="16"/>
        <v>51078261.998999998</v>
      </c>
      <c r="R169" s="20">
        <v>1199483</v>
      </c>
      <c r="S169" s="20">
        <v>29699350</v>
      </c>
      <c r="T169" s="20"/>
      <c r="U169" s="20"/>
      <c r="V169" s="20"/>
      <c r="W169" s="20">
        <v>466767</v>
      </c>
      <c r="X169" s="20">
        <v>11522933</v>
      </c>
      <c r="Y169" s="8">
        <f t="shared" si="17"/>
        <v>8189728.998999998</v>
      </c>
      <c r="Z169" s="36"/>
      <c r="AA169" s="36"/>
      <c r="AB169" s="36"/>
      <c r="AC169" s="36">
        <v>9000</v>
      </c>
      <c r="AD169" s="36"/>
      <c r="AE169" s="36"/>
      <c r="AF169" s="36">
        <v>5000</v>
      </c>
      <c r="AG169" s="36"/>
      <c r="AH169" s="36"/>
      <c r="AI169" s="36">
        <v>20000</v>
      </c>
      <c r="AJ169" s="36">
        <v>2000000</v>
      </c>
      <c r="AK169" s="36"/>
      <c r="AL169" s="37">
        <f t="shared" si="18"/>
        <v>2034000</v>
      </c>
      <c r="AM169" s="36"/>
      <c r="AN169" s="36"/>
      <c r="AO169" s="36"/>
      <c r="AP169" s="7"/>
      <c r="AQ169" s="38">
        <f t="shared" si="19"/>
        <v>6155728.998999998</v>
      </c>
      <c r="AR169" s="36">
        <v>6155700</v>
      </c>
      <c r="AS169" s="18">
        <f t="shared" si="20"/>
        <v>-28.998999997973442</v>
      </c>
    </row>
    <row r="170" spans="1:45" x14ac:dyDescent="0.25">
      <c r="A170" s="40">
        <v>45458</v>
      </c>
      <c r="B170" s="20">
        <v>1996.453</v>
      </c>
      <c r="C170" s="20">
        <v>3435.5549999999998</v>
      </c>
      <c r="D170" s="20">
        <v>5670</v>
      </c>
      <c r="E170" s="20">
        <v>5019</v>
      </c>
      <c r="F170" s="7">
        <f t="shared" si="14"/>
        <v>11319888.51</v>
      </c>
      <c r="G170" s="7">
        <f t="shared" si="15"/>
        <v>17243050.544999998</v>
      </c>
      <c r="H170" s="20">
        <v>146.5</v>
      </c>
      <c r="I170" s="20">
        <v>3061000</v>
      </c>
      <c r="J170" s="20">
        <v>70</v>
      </c>
      <c r="K170" s="20">
        <v>684000</v>
      </c>
      <c r="L170" s="20">
        <v>85000</v>
      </c>
      <c r="M170" s="20">
        <v>0</v>
      </c>
      <c r="N170" s="20"/>
      <c r="O170" s="20"/>
      <c r="P170" s="20"/>
      <c r="Q170" s="19">
        <f t="shared" si="16"/>
        <v>32392939.055</v>
      </c>
      <c r="R170" s="20">
        <v>1735278</v>
      </c>
      <c r="S170" s="20">
        <v>5671988</v>
      </c>
      <c r="T170" s="20"/>
      <c r="U170" s="20"/>
      <c r="V170" s="20"/>
      <c r="W170" s="20">
        <v>1317200</v>
      </c>
      <c r="X170" s="20">
        <v>17649077</v>
      </c>
      <c r="Y170" s="8">
        <f t="shared" si="17"/>
        <v>6019396.0549999997</v>
      </c>
      <c r="Z170" s="36"/>
      <c r="AA170" s="36"/>
      <c r="AB170" s="36"/>
      <c r="AC170" s="36"/>
      <c r="AD170" s="36"/>
      <c r="AE170" s="36"/>
      <c r="AF170" s="36">
        <v>55000</v>
      </c>
      <c r="AG170" s="36"/>
      <c r="AH170" s="36"/>
      <c r="AI170" s="36"/>
      <c r="AJ170" s="36">
        <v>200000</v>
      </c>
      <c r="AK170" s="36"/>
      <c r="AL170" s="37">
        <f t="shared" si="18"/>
        <v>255000</v>
      </c>
      <c r="AM170" s="36"/>
      <c r="AN170" s="36"/>
      <c r="AO170" s="36"/>
      <c r="AP170" s="7"/>
      <c r="AQ170" s="38">
        <f t="shared" si="19"/>
        <v>5764396.0549999997</v>
      </c>
      <c r="AR170" s="36">
        <v>5764300</v>
      </c>
      <c r="AS170" s="18">
        <f t="shared" si="20"/>
        <v>-96.054999999701977</v>
      </c>
    </row>
    <row r="171" spans="1:45" x14ac:dyDescent="0.25">
      <c r="A171" s="40">
        <v>45459</v>
      </c>
      <c r="B171" s="20">
        <v>2150.48</v>
      </c>
      <c r="C171" s="20">
        <v>3720.134</v>
      </c>
      <c r="D171" s="20">
        <v>5670</v>
      </c>
      <c r="E171" s="20">
        <v>5019</v>
      </c>
      <c r="F171" s="7">
        <f t="shared" si="14"/>
        <v>12193221.6</v>
      </c>
      <c r="G171" s="7">
        <f t="shared" si="15"/>
        <v>18671352.546</v>
      </c>
      <c r="H171" s="20">
        <v>62.75</v>
      </c>
      <c r="I171" s="20">
        <v>1333000</v>
      </c>
      <c r="J171" s="20">
        <v>60.5</v>
      </c>
      <c r="K171" s="20">
        <v>655000</v>
      </c>
      <c r="L171" s="20">
        <v>30000</v>
      </c>
      <c r="M171" s="20"/>
      <c r="N171" s="20"/>
      <c r="O171" s="20">
        <v>2166139</v>
      </c>
      <c r="P171" s="20"/>
      <c r="Q171" s="19">
        <f t="shared" si="16"/>
        <v>35048713.145999998</v>
      </c>
      <c r="R171" s="20">
        <v>1297254</v>
      </c>
      <c r="S171" s="20">
        <v>5610691</v>
      </c>
      <c r="T171" s="20"/>
      <c r="U171" s="20"/>
      <c r="V171" s="20"/>
      <c r="W171" s="20">
        <v>402137</v>
      </c>
      <c r="X171" s="20">
        <v>16779378</v>
      </c>
      <c r="Y171" s="8">
        <f t="shared" si="17"/>
        <v>10959253.145999998</v>
      </c>
      <c r="Z171" s="36"/>
      <c r="AA171" s="36"/>
      <c r="AB171" s="36"/>
      <c r="AC171" s="36">
        <v>8000</v>
      </c>
      <c r="AD171" s="36"/>
      <c r="AE171" s="36"/>
      <c r="AF171" s="36"/>
      <c r="AG171" s="36"/>
      <c r="AH171" s="36"/>
      <c r="AI171" s="36"/>
      <c r="AJ171" s="36"/>
      <c r="AK171" s="36"/>
      <c r="AL171" s="37">
        <f t="shared" si="18"/>
        <v>8000</v>
      </c>
      <c r="AM171" s="36"/>
      <c r="AN171" s="36"/>
      <c r="AO171" s="36"/>
      <c r="AP171" s="7"/>
      <c r="AQ171" s="38">
        <f t="shared" si="19"/>
        <v>10951253.145999998</v>
      </c>
      <c r="AR171" s="36">
        <v>0</v>
      </c>
      <c r="AS171" s="18">
        <f t="shared" si="20"/>
        <v>-10951253.145999998</v>
      </c>
    </row>
    <row r="172" spans="1:45" x14ac:dyDescent="0.25">
      <c r="A172" s="40">
        <v>45460</v>
      </c>
      <c r="B172" s="20">
        <v>1771.8050000000001</v>
      </c>
      <c r="C172" s="20">
        <v>1737.1220000000001</v>
      </c>
      <c r="D172" s="20">
        <v>5670</v>
      </c>
      <c r="E172" s="20">
        <v>5019</v>
      </c>
      <c r="F172" s="7">
        <f t="shared" si="14"/>
        <v>10046134.35</v>
      </c>
      <c r="G172" s="7">
        <f t="shared" si="15"/>
        <v>8718615.318</v>
      </c>
      <c r="H172" s="20">
        <v>45.25</v>
      </c>
      <c r="I172" s="20">
        <v>915000</v>
      </c>
      <c r="J172" s="20">
        <v>51.5</v>
      </c>
      <c r="K172" s="20">
        <v>589000</v>
      </c>
      <c r="L172" s="20">
        <v>38000</v>
      </c>
      <c r="M172" s="20"/>
      <c r="N172" s="20"/>
      <c r="O172" s="20">
        <v>112000</v>
      </c>
      <c r="P172" s="20">
        <v>25000</v>
      </c>
      <c r="Q172" s="19">
        <f t="shared" si="16"/>
        <v>20443749.667999998</v>
      </c>
      <c r="R172" s="20">
        <v>1452896</v>
      </c>
      <c r="S172" s="20">
        <v>3238330</v>
      </c>
      <c r="T172" s="20"/>
      <c r="U172" s="20"/>
      <c r="V172" s="20"/>
      <c r="W172" s="20">
        <v>149500</v>
      </c>
      <c r="X172" s="20">
        <v>7246114</v>
      </c>
      <c r="Y172" s="8">
        <f t="shared" si="17"/>
        <v>8356909.6679999977</v>
      </c>
      <c r="Z172" s="36"/>
      <c r="AA172" s="36"/>
      <c r="AB172" s="36"/>
      <c r="AC172" s="36"/>
      <c r="AD172" s="36"/>
      <c r="AE172" s="36"/>
      <c r="AF172" s="36"/>
      <c r="AG172" s="36"/>
      <c r="AH172" s="36">
        <v>19000</v>
      </c>
      <c r="AI172" s="36"/>
      <c r="AJ172" s="36">
        <v>1500000</v>
      </c>
      <c r="AK172" s="36"/>
      <c r="AL172" s="37">
        <f t="shared" si="18"/>
        <v>1519000</v>
      </c>
      <c r="AM172" s="36"/>
      <c r="AN172" s="36"/>
      <c r="AO172" s="36"/>
      <c r="AP172" s="7"/>
      <c r="AQ172" s="38">
        <f t="shared" si="19"/>
        <v>6837909.6679999977</v>
      </c>
      <c r="AR172" s="36">
        <v>17789100</v>
      </c>
      <c r="AS172" s="18">
        <f t="shared" si="20"/>
        <v>10951190.332000002</v>
      </c>
    </row>
    <row r="173" spans="1:45" x14ac:dyDescent="0.25">
      <c r="A173" s="40">
        <v>45461</v>
      </c>
      <c r="B173" s="20">
        <v>2018.84</v>
      </c>
      <c r="C173" s="20">
        <v>3865.7339999999999</v>
      </c>
      <c r="D173" s="20">
        <v>5670</v>
      </c>
      <c r="E173" s="20">
        <v>5019</v>
      </c>
      <c r="F173" s="7">
        <f t="shared" si="14"/>
        <v>11446822.799999999</v>
      </c>
      <c r="G173" s="7">
        <f t="shared" si="15"/>
        <v>19402118.945999999</v>
      </c>
      <c r="H173" s="20">
        <v>70.75</v>
      </c>
      <c r="I173" s="20">
        <v>1498000</v>
      </c>
      <c r="J173" s="20">
        <v>96.5</v>
      </c>
      <c r="K173" s="20">
        <v>1387000</v>
      </c>
      <c r="L173" s="20">
        <v>46000</v>
      </c>
      <c r="M173" s="20"/>
      <c r="N173" s="20"/>
      <c r="O173" s="20">
        <v>3675612</v>
      </c>
      <c r="P173" s="20">
        <v>0</v>
      </c>
      <c r="Q173" s="19">
        <f t="shared" si="16"/>
        <v>37455553.745999999</v>
      </c>
      <c r="R173" s="20">
        <v>2030357</v>
      </c>
      <c r="S173" s="20">
        <v>10709671</v>
      </c>
      <c r="T173" s="20"/>
      <c r="U173" s="20"/>
      <c r="V173" s="20"/>
      <c r="W173" s="20">
        <v>170000</v>
      </c>
      <c r="X173" s="20">
        <v>13491665</v>
      </c>
      <c r="Y173" s="8">
        <f t="shared" si="17"/>
        <v>11053860.745999999</v>
      </c>
      <c r="Z173" s="36"/>
      <c r="AA173" s="36"/>
      <c r="AB173" s="36"/>
      <c r="AC173" s="36">
        <v>32000</v>
      </c>
      <c r="AD173" s="36"/>
      <c r="AE173" s="36"/>
      <c r="AF173" s="36">
        <v>23000</v>
      </c>
      <c r="AG173" s="36"/>
      <c r="AH173" s="36">
        <v>30000</v>
      </c>
      <c r="AI173" s="36"/>
      <c r="AJ173" s="36">
        <v>3196600</v>
      </c>
      <c r="AK173" s="36"/>
      <c r="AL173" s="37">
        <f t="shared" si="18"/>
        <v>3281600</v>
      </c>
      <c r="AM173" s="36"/>
      <c r="AN173" s="36"/>
      <c r="AO173" s="36"/>
      <c r="AP173" s="7"/>
      <c r="AQ173" s="38">
        <f t="shared" si="19"/>
        <v>7772260.7459999993</v>
      </c>
      <c r="AR173" s="36">
        <v>7772300</v>
      </c>
      <c r="AS173" s="18">
        <f t="shared" si="20"/>
        <v>39.254000000655651</v>
      </c>
    </row>
    <row r="174" spans="1:45" x14ac:dyDescent="0.25">
      <c r="A174" s="40">
        <v>45462</v>
      </c>
      <c r="B174" s="20">
        <v>1714.0429999999999</v>
      </c>
      <c r="C174" s="20">
        <v>3354.3820000000001</v>
      </c>
      <c r="D174" s="20">
        <v>5670</v>
      </c>
      <c r="E174" s="20">
        <v>5019</v>
      </c>
      <c r="F174" s="7">
        <f t="shared" si="14"/>
        <v>9718623.8099999987</v>
      </c>
      <c r="G174" s="7">
        <f t="shared" si="15"/>
        <v>16835643.258000001</v>
      </c>
      <c r="H174" s="20">
        <v>32</v>
      </c>
      <c r="I174" s="20">
        <v>669500</v>
      </c>
      <c r="J174" s="20">
        <v>46</v>
      </c>
      <c r="K174" s="20">
        <v>559000</v>
      </c>
      <c r="L174" s="20">
        <v>8000</v>
      </c>
      <c r="M174" s="20">
        <v>200000</v>
      </c>
      <c r="N174" s="20"/>
      <c r="O174" s="20">
        <v>837349</v>
      </c>
      <c r="P174" s="20"/>
      <c r="Q174" s="19">
        <f t="shared" si="16"/>
        <v>28828116.068</v>
      </c>
      <c r="R174" s="20">
        <v>1177853</v>
      </c>
      <c r="S174" s="20">
        <v>9118046</v>
      </c>
      <c r="T174" s="20"/>
      <c r="U174" s="20"/>
      <c r="V174" s="20"/>
      <c r="W174" s="20">
        <v>59500</v>
      </c>
      <c r="X174" s="20">
        <v>14509703</v>
      </c>
      <c r="Y174" s="8">
        <f t="shared" si="17"/>
        <v>3963014.068</v>
      </c>
      <c r="Z174" s="36"/>
      <c r="AA174" s="36"/>
      <c r="AB174" s="36"/>
      <c r="AC174" s="36"/>
      <c r="AD174" s="36"/>
      <c r="AE174" s="36"/>
      <c r="AF174" s="36">
        <v>3000</v>
      </c>
      <c r="AG174" s="36"/>
      <c r="AH174" s="36"/>
      <c r="AI174" s="36"/>
      <c r="AJ174" s="36"/>
      <c r="AK174" s="36"/>
      <c r="AL174" s="37">
        <f t="shared" si="18"/>
        <v>3000</v>
      </c>
      <c r="AM174" s="36"/>
      <c r="AN174" s="36"/>
      <c r="AO174" s="36"/>
      <c r="AP174" s="7"/>
      <c r="AQ174" s="38">
        <f t="shared" si="19"/>
        <v>3960014.068</v>
      </c>
      <c r="AR174" s="36">
        <v>3960000</v>
      </c>
      <c r="AS174" s="18">
        <f t="shared" si="20"/>
        <v>-14.067999999970198</v>
      </c>
    </row>
    <row r="175" spans="1:45" x14ac:dyDescent="0.25">
      <c r="A175" s="40">
        <v>45463</v>
      </c>
      <c r="B175" s="20">
        <v>1659.83</v>
      </c>
      <c r="C175" s="20">
        <v>6374.6450000000004</v>
      </c>
      <c r="D175" s="20">
        <v>5670</v>
      </c>
      <c r="E175" s="20">
        <v>5019</v>
      </c>
      <c r="F175" s="7">
        <f t="shared" si="14"/>
        <v>9411236.0999999996</v>
      </c>
      <c r="G175" s="7">
        <f t="shared" si="15"/>
        <v>31994343.255000003</v>
      </c>
      <c r="H175" s="20">
        <v>78.25</v>
      </c>
      <c r="I175" s="20">
        <v>1635500</v>
      </c>
      <c r="J175" s="20">
        <v>103</v>
      </c>
      <c r="K175" s="20">
        <v>853000</v>
      </c>
      <c r="L175" s="20">
        <v>53000</v>
      </c>
      <c r="M175" s="20"/>
      <c r="N175" s="20"/>
      <c r="O175" s="20">
        <v>2025756</v>
      </c>
      <c r="P175" s="20"/>
      <c r="Q175" s="19">
        <f t="shared" si="16"/>
        <v>45972835.355000004</v>
      </c>
      <c r="R175" s="20">
        <v>1681853</v>
      </c>
      <c r="S175" s="20">
        <v>24177500</v>
      </c>
      <c r="T175" s="20"/>
      <c r="U175" s="20"/>
      <c r="V175" s="20"/>
      <c r="W175" s="20">
        <v>248500</v>
      </c>
      <c r="X175" s="20">
        <v>12415643</v>
      </c>
      <c r="Y175" s="8">
        <f t="shared" si="17"/>
        <v>7449339.3550000042</v>
      </c>
      <c r="Z175" s="36"/>
      <c r="AA175" s="36"/>
      <c r="AB175" s="36"/>
      <c r="AC175" s="36"/>
      <c r="AD175" s="36"/>
      <c r="AE175" s="36"/>
      <c r="AF175" s="36">
        <v>3000</v>
      </c>
      <c r="AG175" s="36">
        <v>100000</v>
      </c>
      <c r="AH175" s="36"/>
      <c r="AI175" s="36"/>
      <c r="AJ175" s="36"/>
      <c r="AK175" s="36"/>
      <c r="AL175" s="37">
        <f t="shared" si="18"/>
        <v>103000</v>
      </c>
      <c r="AM175" s="36"/>
      <c r="AN175" s="36"/>
      <c r="AO175" s="36"/>
      <c r="AP175" s="7"/>
      <c r="AQ175" s="38">
        <f t="shared" si="19"/>
        <v>7346339.3550000042</v>
      </c>
      <c r="AR175" s="36">
        <v>7346300</v>
      </c>
      <c r="AS175" s="18">
        <f t="shared" si="20"/>
        <v>-39.355000004172325</v>
      </c>
    </row>
    <row r="176" spans="1:45" x14ac:dyDescent="0.25">
      <c r="A176" s="40">
        <v>45464</v>
      </c>
      <c r="B176" s="20">
        <v>1033.2940000000001</v>
      </c>
      <c r="C176" s="20">
        <v>3026.7060000000001</v>
      </c>
      <c r="D176" s="20">
        <v>5670</v>
      </c>
      <c r="E176" s="20">
        <v>5019</v>
      </c>
      <c r="F176" s="7">
        <f t="shared" si="14"/>
        <v>5858776.9800000004</v>
      </c>
      <c r="G176" s="7">
        <f t="shared" si="15"/>
        <v>15191037.414000001</v>
      </c>
      <c r="H176" s="20">
        <v>181</v>
      </c>
      <c r="I176" s="20">
        <v>888000</v>
      </c>
      <c r="J176" s="20">
        <v>36</v>
      </c>
      <c r="K176" s="20">
        <v>393000</v>
      </c>
      <c r="L176" s="20">
        <v>78000</v>
      </c>
      <c r="M176" s="20"/>
      <c r="N176" s="20"/>
      <c r="O176" s="20">
        <v>698500</v>
      </c>
      <c r="P176" s="20"/>
      <c r="Q176" s="19">
        <f t="shared" si="16"/>
        <v>23107314.394000001</v>
      </c>
      <c r="R176" s="20">
        <v>690494</v>
      </c>
      <c r="S176" s="20">
        <v>7387963</v>
      </c>
      <c r="T176" s="20"/>
      <c r="U176" s="20"/>
      <c r="V176" s="20"/>
      <c r="W176" s="20">
        <v>250000</v>
      </c>
      <c r="X176" s="20">
        <v>11134068</v>
      </c>
      <c r="Y176" s="8">
        <f t="shared" si="17"/>
        <v>3644789.3940000013</v>
      </c>
      <c r="Z176" s="36"/>
      <c r="AA176" s="36"/>
      <c r="AB176" s="36"/>
      <c r="AC176" s="36">
        <v>20000</v>
      </c>
      <c r="AD176" s="36"/>
      <c r="AE176" s="36"/>
      <c r="AF176" s="36">
        <v>100000</v>
      </c>
      <c r="AG176" s="36">
        <v>400000</v>
      </c>
      <c r="AH176" s="36"/>
      <c r="AI176" s="36">
        <v>20000</v>
      </c>
      <c r="AJ176" s="36"/>
      <c r="AK176" s="36"/>
      <c r="AL176" s="37">
        <f t="shared" si="18"/>
        <v>540000</v>
      </c>
      <c r="AM176" s="36"/>
      <c r="AN176" s="36"/>
      <c r="AO176" s="36"/>
      <c r="AP176" s="7"/>
      <c r="AQ176" s="38">
        <f t="shared" si="19"/>
        <v>3104789.3940000013</v>
      </c>
      <c r="AR176" s="36">
        <v>3104800</v>
      </c>
      <c r="AS176" s="18">
        <f t="shared" si="20"/>
        <v>10.605999998748302</v>
      </c>
    </row>
    <row r="177" spans="1:45" x14ac:dyDescent="0.25">
      <c r="A177" s="40">
        <v>45465</v>
      </c>
      <c r="B177" s="20">
        <v>2024.7260000000001</v>
      </c>
      <c r="C177" s="20">
        <v>3523.7130000000002</v>
      </c>
      <c r="D177" s="20">
        <v>5670</v>
      </c>
      <c r="E177" s="20">
        <v>5019</v>
      </c>
      <c r="F177" s="7">
        <f t="shared" si="14"/>
        <v>11480196.42</v>
      </c>
      <c r="G177" s="7">
        <f t="shared" si="15"/>
        <v>17685515.547000002</v>
      </c>
      <c r="H177" s="20">
        <v>52.25</v>
      </c>
      <c r="I177" s="20">
        <v>1044000</v>
      </c>
      <c r="J177" s="20">
        <v>85.5</v>
      </c>
      <c r="K177" s="20">
        <v>1058500</v>
      </c>
      <c r="L177" s="20">
        <v>123000</v>
      </c>
      <c r="M177" s="20"/>
      <c r="N177" s="20"/>
      <c r="O177" s="20">
        <v>1514225</v>
      </c>
      <c r="P177" s="20"/>
      <c r="Q177" s="19">
        <f t="shared" si="16"/>
        <v>32905436.967</v>
      </c>
      <c r="R177" s="20">
        <v>1375634</v>
      </c>
      <c r="S177" s="20">
        <v>8099497</v>
      </c>
      <c r="T177" s="20"/>
      <c r="U177" s="20"/>
      <c r="V177" s="20"/>
      <c r="W177" s="20"/>
      <c r="X177" s="20">
        <v>14715695</v>
      </c>
      <c r="Y177" s="8">
        <f t="shared" si="17"/>
        <v>8714610.9670000002</v>
      </c>
      <c r="Z177" s="36"/>
      <c r="AA177" s="36"/>
      <c r="AB177" s="36"/>
      <c r="AC177" s="36"/>
      <c r="AD177" s="36"/>
      <c r="AE177" s="36"/>
      <c r="AF177" s="36">
        <v>5000</v>
      </c>
      <c r="AG177" s="36"/>
      <c r="AH177" s="36"/>
      <c r="AI177" s="36"/>
      <c r="AJ177" s="36">
        <v>150000</v>
      </c>
      <c r="AK177" s="36"/>
      <c r="AL177" s="37">
        <f t="shared" si="18"/>
        <v>155000</v>
      </c>
      <c r="AM177" s="36"/>
      <c r="AN177" s="36"/>
      <c r="AO177" s="36"/>
      <c r="AP177" s="7"/>
      <c r="AQ177" s="38">
        <f t="shared" si="19"/>
        <v>8559610.9670000002</v>
      </c>
      <c r="AR177" s="36">
        <v>8549800</v>
      </c>
      <c r="AS177" s="18">
        <f t="shared" si="20"/>
        <v>-9810.9670000001788</v>
      </c>
    </row>
    <row r="178" spans="1:45" x14ac:dyDescent="0.25">
      <c r="A178" s="40">
        <v>45466</v>
      </c>
      <c r="B178" s="20">
        <v>1958.575</v>
      </c>
      <c r="C178" s="20">
        <v>3687.1</v>
      </c>
      <c r="D178" s="20">
        <v>5670</v>
      </c>
      <c r="E178" s="20">
        <v>5019</v>
      </c>
      <c r="F178" s="7">
        <f t="shared" si="14"/>
        <v>11105120.25</v>
      </c>
      <c r="G178" s="7">
        <f t="shared" si="15"/>
        <v>18505554.899999999</v>
      </c>
      <c r="H178" s="20">
        <v>46</v>
      </c>
      <c r="I178" s="20">
        <v>1025000</v>
      </c>
      <c r="J178" s="20">
        <v>58</v>
      </c>
      <c r="K178" s="20">
        <v>566000</v>
      </c>
      <c r="L178" s="20">
        <v>58000</v>
      </c>
      <c r="M178" s="20"/>
      <c r="N178" s="20"/>
      <c r="O178" s="20">
        <v>1260647</v>
      </c>
      <c r="P178" s="20"/>
      <c r="Q178" s="19">
        <f t="shared" si="16"/>
        <v>32520322.149999999</v>
      </c>
      <c r="R178" s="20">
        <v>800499</v>
      </c>
      <c r="S178" s="20">
        <v>8377883</v>
      </c>
      <c r="T178" s="20"/>
      <c r="U178" s="20"/>
      <c r="V178" s="20"/>
      <c r="W178" s="20">
        <v>731000</v>
      </c>
      <c r="X178" s="20">
        <v>17366587</v>
      </c>
      <c r="Y178" s="8">
        <f t="shared" si="17"/>
        <v>5244353.1499999985</v>
      </c>
      <c r="Z178" s="36"/>
      <c r="AA178" s="36">
        <v>9000</v>
      </c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7">
        <f t="shared" si="18"/>
        <v>9000</v>
      </c>
      <c r="AM178" s="36"/>
      <c r="AN178" s="36"/>
      <c r="AO178" s="36"/>
      <c r="AP178" s="7"/>
      <c r="AQ178" s="38">
        <f t="shared" si="19"/>
        <v>5235353.1499999985</v>
      </c>
      <c r="AR178" s="36">
        <v>0</v>
      </c>
      <c r="AS178" s="18">
        <f t="shared" si="20"/>
        <v>-5235353.1499999985</v>
      </c>
    </row>
    <row r="179" spans="1:45" x14ac:dyDescent="0.25">
      <c r="A179" s="40">
        <v>45467</v>
      </c>
      <c r="B179" s="20">
        <v>1716.373</v>
      </c>
      <c r="C179" s="20">
        <v>3229.3159999999998</v>
      </c>
      <c r="D179" s="20">
        <v>5670</v>
      </c>
      <c r="E179" s="20">
        <v>5019</v>
      </c>
      <c r="F179" s="7">
        <f t="shared" si="14"/>
        <v>9731834.9100000001</v>
      </c>
      <c r="G179" s="7">
        <f t="shared" si="15"/>
        <v>16207937.003999999</v>
      </c>
      <c r="H179" s="20">
        <v>20</v>
      </c>
      <c r="I179" s="20">
        <v>416000</v>
      </c>
      <c r="J179" s="20">
        <v>83.5</v>
      </c>
      <c r="K179" s="20">
        <v>811000</v>
      </c>
      <c r="L179" s="20">
        <v>8000</v>
      </c>
      <c r="M179" s="20"/>
      <c r="N179" s="20"/>
      <c r="O179" s="20">
        <v>0</v>
      </c>
      <c r="P179" s="20">
        <v>50000</v>
      </c>
      <c r="Q179" s="19">
        <f t="shared" si="16"/>
        <v>27224771.913999997</v>
      </c>
      <c r="R179" s="20">
        <v>1731149</v>
      </c>
      <c r="S179" s="20">
        <v>8816021</v>
      </c>
      <c r="T179" s="20"/>
      <c r="U179" s="20"/>
      <c r="V179" s="20"/>
      <c r="W179" s="20">
        <v>199000</v>
      </c>
      <c r="X179" s="20">
        <v>13473303</v>
      </c>
      <c r="Y179" s="8">
        <f t="shared" si="17"/>
        <v>3005298.9139999971</v>
      </c>
      <c r="Z179" s="36"/>
      <c r="AA179" s="36">
        <v>12000</v>
      </c>
      <c r="AB179" s="36"/>
      <c r="AC179" s="36"/>
      <c r="AD179" s="36"/>
      <c r="AE179" s="36"/>
      <c r="AF179" s="36"/>
      <c r="AG179" s="36">
        <v>400000</v>
      </c>
      <c r="AH179" s="36"/>
      <c r="AI179" s="36"/>
      <c r="AJ179" s="36"/>
      <c r="AK179" s="36"/>
      <c r="AL179" s="37">
        <f t="shared" si="18"/>
        <v>412000</v>
      </c>
      <c r="AM179" s="36"/>
      <c r="AN179" s="36"/>
      <c r="AO179" s="36"/>
      <c r="AP179" s="7"/>
      <c r="AQ179" s="38">
        <f t="shared" si="19"/>
        <v>2593298.9139999971</v>
      </c>
      <c r="AR179" s="36">
        <v>7828700</v>
      </c>
      <c r="AS179" s="18">
        <f t="shared" si="20"/>
        <v>5235401.0860000029</v>
      </c>
    </row>
    <row r="180" spans="1:45" x14ac:dyDescent="0.25">
      <c r="A180" s="40">
        <v>45468</v>
      </c>
      <c r="B180" s="20">
        <v>2013.152</v>
      </c>
      <c r="C180" s="20">
        <v>3088.18</v>
      </c>
      <c r="D180" s="20">
        <v>5670</v>
      </c>
      <c r="E180" s="20">
        <v>5019</v>
      </c>
      <c r="F180" s="7">
        <f t="shared" si="14"/>
        <v>11414571.84</v>
      </c>
      <c r="G180" s="7">
        <f t="shared" si="15"/>
        <v>15499575.42</v>
      </c>
      <c r="H180" s="20">
        <v>26.7</v>
      </c>
      <c r="I180" s="20">
        <v>538500</v>
      </c>
      <c r="J180" s="20">
        <v>57</v>
      </c>
      <c r="K180" s="20">
        <v>717000</v>
      </c>
      <c r="L180" s="20">
        <v>38000</v>
      </c>
      <c r="M180" s="20"/>
      <c r="N180" s="20"/>
      <c r="O180" s="20">
        <v>5532758</v>
      </c>
      <c r="P180" s="20">
        <v>25000</v>
      </c>
      <c r="Q180" s="19">
        <f t="shared" si="16"/>
        <v>33765405.259999998</v>
      </c>
      <c r="R180" s="20">
        <v>886998</v>
      </c>
      <c r="S180" s="20">
        <v>8749772</v>
      </c>
      <c r="T180" s="20"/>
      <c r="U180" s="20"/>
      <c r="V180" s="20"/>
      <c r="W180" s="20">
        <v>405000</v>
      </c>
      <c r="X180" s="20">
        <v>14949144</v>
      </c>
      <c r="Y180" s="8">
        <f t="shared" si="17"/>
        <v>8774491.2599999979</v>
      </c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7">
        <f t="shared" si="18"/>
        <v>0</v>
      </c>
      <c r="AM180" s="36"/>
      <c r="AN180" s="36"/>
      <c r="AO180" s="36"/>
      <c r="AP180" s="7"/>
      <c r="AQ180" s="38">
        <f t="shared" si="19"/>
        <v>8774491.2599999979</v>
      </c>
      <c r="AR180" s="36">
        <v>8774500</v>
      </c>
      <c r="AS180" s="18">
        <f t="shared" si="20"/>
        <v>8.7400000020861626</v>
      </c>
    </row>
    <row r="181" spans="1:45" x14ac:dyDescent="0.25">
      <c r="A181" s="40">
        <v>45469</v>
      </c>
      <c r="B181" s="20">
        <v>1534.951</v>
      </c>
      <c r="C181" s="20">
        <v>4653.2460000000001</v>
      </c>
      <c r="D181" s="20">
        <v>5670</v>
      </c>
      <c r="E181" s="20">
        <v>5019</v>
      </c>
      <c r="F181" s="7">
        <f t="shared" si="14"/>
        <v>8703172.1699999999</v>
      </c>
      <c r="G181" s="7">
        <f t="shared" si="15"/>
        <v>23354641.673999999</v>
      </c>
      <c r="H181" s="20">
        <v>103</v>
      </c>
      <c r="I181" s="20">
        <v>1908000</v>
      </c>
      <c r="J181" s="20">
        <v>70</v>
      </c>
      <c r="K181" s="20">
        <v>771000</v>
      </c>
      <c r="L181" s="20">
        <v>55000</v>
      </c>
      <c r="M181" s="20">
        <v>500000</v>
      </c>
      <c r="N181" s="20"/>
      <c r="O181" s="20">
        <v>1835000</v>
      </c>
      <c r="P181" s="20"/>
      <c r="Q181" s="19">
        <f t="shared" si="16"/>
        <v>37126813.843999997</v>
      </c>
      <c r="R181" s="20">
        <v>698551</v>
      </c>
      <c r="S181" s="20">
        <v>19485385</v>
      </c>
      <c r="T181" s="20"/>
      <c r="U181" s="20"/>
      <c r="V181" s="20"/>
      <c r="W181" s="20">
        <v>149700</v>
      </c>
      <c r="X181" s="20">
        <v>8380190</v>
      </c>
      <c r="Y181" s="8">
        <f t="shared" si="17"/>
        <v>8412987.8439999968</v>
      </c>
      <c r="Z181" s="36"/>
      <c r="AA181" s="36"/>
      <c r="AB181" s="36"/>
      <c r="AC181" s="36"/>
      <c r="AD181" s="36"/>
      <c r="AE181" s="36"/>
      <c r="AF181" s="36">
        <v>7000</v>
      </c>
      <c r="AG181" s="36"/>
      <c r="AH181" s="36">
        <v>67000</v>
      </c>
      <c r="AI181" s="36"/>
      <c r="AJ181" s="36"/>
      <c r="AK181" s="36"/>
      <c r="AL181" s="37">
        <f t="shared" si="18"/>
        <v>74000</v>
      </c>
      <c r="AM181" s="36"/>
      <c r="AN181" s="36"/>
      <c r="AO181" s="36"/>
      <c r="AP181" s="7"/>
      <c r="AQ181" s="38">
        <f t="shared" si="19"/>
        <v>8338987.8439999968</v>
      </c>
      <c r="AR181" s="36">
        <v>8339000</v>
      </c>
      <c r="AS181" s="18">
        <f t="shared" si="20"/>
        <v>12.156000003218651</v>
      </c>
    </row>
    <row r="182" spans="1:45" x14ac:dyDescent="0.25">
      <c r="A182" s="40">
        <v>45470</v>
      </c>
      <c r="B182" s="20">
        <v>1776.3530000000001</v>
      </c>
      <c r="C182" s="20">
        <v>3503.02</v>
      </c>
      <c r="D182" s="20">
        <v>5670</v>
      </c>
      <c r="E182" s="20">
        <v>5019</v>
      </c>
      <c r="F182" s="7">
        <f t="shared" si="14"/>
        <v>10071921.51</v>
      </c>
      <c r="G182" s="7">
        <f t="shared" si="15"/>
        <v>17581657.379999999</v>
      </c>
      <c r="H182" s="20">
        <v>117.75</v>
      </c>
      <c r="I182" s="20">
        <v>2749000</v>
      </c>
      <c r="J182" s="20">
        <v>27.5</v>
      </c>
      <c r="K182" s="20">
        <v>314000</v>
      </c>
      <c r="L182" s="20">
        <v>65000</v>
      </c>
      <c r="M182" s="20">
        <v>0</v>
      </c>
      <c r="N182" s="20"/>
      <c r="O182" s="20">
        <v>2147524</v>
      </c>
      <c r="P182" s="20"/>
      <c r="Q182" s="19">
        <f t="shared" si="16"/>
        <v>32929102.890000001</v>
      </c>
      <c r="R182" s="20">
        <v>1808273</v>
      </c>
      <c r="S182" s="20">
        <v>9549405</v>
      </c>
      <c r="T182" s="20"/>
      <c r="U182" s="20"/>
      <c r="V182" s="20"/>
      <c r="W182" s="20">
        <v>73000</v>
      </c>
      <c r="X182" s="20">
        <v>14290660</v>
      </c>
      <c r="Y182" s="8">
        <f t="shared" si="17"/>
        <v>7207764.8900000006</v>
      </c>
      <c r="Z182" s="36"/>
      <c r="AA182" s="36"/>
      <c r="AB182" s="36"/>
      <c r="AC182" s="36">
        <v>32000</v>
      </c>
      <c r="AD182" s="36"/>
      <c r="AE182" s="36"/>
      <c r="AF182" s="36">
        <v>6000</v>
      </c>
      <c r="AG182" s="36">
        <v>300000</v>
      </c>
      <c r="AH182" s="36"/>
      <c r="AI182" s="36"/>
      <c r="AJ182" s="36"/>
      <c r="AK182" s="36"/>
      <c r="AL182" s="37">
        <f t="shared" si="18"/>
        <v>338000</v>
      </c>
      <c r="AM182" s="36"/>
      <c r="AN182" s="36"/>
      <c r="AO182" s="36"/>
      <c r="AP182" s="7"/>
      <c r="AQ182" s="38">
        <f t="shared" si="19"/>
        <v>6869764.8900000006</v>
      </c>
      <c r="AR182" s="36">
        <v>6869800</v>
      </c>
      <c r="AS182" s="18">
        <f t="shared" si="20"/>
        <v>35.109999999403954</v>
      </c>
    </row>
    <row r="183" spans="1:45" x14ac:dyDescent="0.25">
      <c r="A183" s="40">
        <v>45471</v>
      </c>
      <c r="B183" s="20">
        <v>1914.9549999999999</v>
      </c>
      <c r="C183" s="20">
        <v>4094.5639999999999</v>
      </c>
      <c r="D183" s="20">
        <v>5670</v>
      </c>
      <c r="E183" s="20">
        <v>5019</v>
      </c>
      <c r="F183" s="7">
        <f t="shared" si="14"/>
        <v>10857794.85</v>
      </c>
      <c r="G183" s="7">
        <f t="shared" si="15"/>
        <v>20550616.715999998</v>
      </c>
      <c r="H183" s="20">
        <v>69.25</v>
      </c>
      <c r="I183" s="20">
        <v>1502000</v>
      </c>
      <c r="J183" s="20">
        <v>134.5</v>
      </c>
      <c r="K183" s="20">
        <v>1717500</v>
      </c>
      <c r="L183" s="20">
        <v>68000</v>
      </c>
      <c r="M183" s="20"/>
      <c r="N183" s="20"/>
      <c r="O183" s="20">
        <v>123000</v>
      </c>
      <c r="P183" s="20"/>
      <c r="Q183" s="19">
        <f t="shared" si="16"/>
        <v>34818911.566</v>
      </c>
      <c r="R183" s="20">
        <v>850990</v>
      </c>
      <c r="S183" s="20">
        <v>9682965</v>
      </c>
      <c r="T183" s="20">
        <v>2140000</v>
      </c>
      <c r="U183" s="20"/>
      <c r="V183" s="20"/>
      <c r="W183" s="20">
        <v>0</v>
      </c>
      <c r="X183" s="20">
        <v>14884308</v>
      </c>
      <c r="Y183" s="8">
        <f t="shared" si="17"/>
        <v>7260648.5659999996</v>
      </c>
      <c r="Z183" s="36">
        <v>1431600</v>
      </c>
      <c r="AA183" s="36"/>
      <c r="AB183" s="36"/>
      <c r="AC183" s="36">
        <v>66000</v>
      </c>
      <c r="AD183" s="36"/>
      <c r="AE183" s="36"/>
      <c r="AF183" s="36"/>
      <c r="AG183" s="36"/>
      <c r="AH183" s="36"/>
      <c r="AI183" s="36"/>
      <c r="AJ183" s="36">
        <v>65000</v>
      </c>
      <c r="AK183" s="36"/>
      <c r="AL183" s="37">
        <f t="shared" si="18"/>
        <v>1562600</v>
      </c>
      <c r="AM183" s="36"/>
      <c r="AN183" s="36"/>
      <c r="AO183" s="36"/>
      <c r="AP183" s="7"/>
      <c r="AQ183" s="38">
        <f t="shared" si="19"/>
        <v>5698048.5659999996</v>
      </c>
      <c r="AR183" s="36">
        <v>5698000</v>
      </c>
      <c r="AS183" s="18">
        <f t="shared" si="20"/>
        <v>-48.565999999642372</v>
      </c>
    </row>
    <row r="184" spans="1:45" x14ac:dyDescent="0.25">
      <c r="A184" s="40">
        <v>45472</v>
      </c>
      <c r="B184" s="20">
        <v>1723.4929999999999</v>
      </c>
      <c r="C184" s="20">
        <v>4661.4589999999998</v>
      </c>
      <c r="D184" s="20">
        <v>5670</v>
      </c>
      <c r="E184" s="20">
        <v>5019</v>
      </c>
      <c r="F184" s="7">
        <f t="shared" si="14"/>
        <v>9772205.3100000005</v>
      </c>
      <c r="G184" s="7">
        <f t="shared" si="15"/>
        <v>23395862.721000001</v>
      </c>
      <c r="H184" s="20">
        <v>55.5</v>
      </c>
      <c r="I184" s="20">
        <v>1112000</v>
      </c>
      <c r="J184" s="20">
        <v>97</v>
      </c>
      <c r="K184" s="20">
        <v>1304000</v>
      </c>
      <c r="L184" s="20">
        <v>24000</v>
      </c>
      <c r="M184" s="20"/>
      <c r="N184" s="20"/>
      <c r="O184" s="20">
        <v>800000</v>
      </c>
      <c r="P184" s="20"/>
      <c r="Q184" s="19">
        <f t="shared" si="16"/>
        <v>36408068.031000003</v>
      </c>
      <c r="R184" s="20">
        <v>840228</v>
      </c>
      <c r="S184" s="20">
        <v>17851562</v>
      </c>
      <c r="T184" s="20"/>
      <c r="U184" s="20"/>
      <c r="V184" s="20"/>
      <c r="W184" s="20">
        <v>30000</v>
      </c>
      <c r="X184" s="20">
        <v>13980326</v>
      </c>
      <c r="Y184" s="8">
        <f t="shared" si="17"/>
        <v>3705952.0310000032</v>
      </c>
      <c r="Z184" s="36"/>
      <c r="AA184" s="36">
        <v>62200</v>
      </c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7">
        <f t="shared" si="18"/>
        <v>62200</v>
      </c>
      <c r="AM184" s="36"/>
      <c r="AN184" s="36"/>
      <c r="AO184" s="36"/>
      <c r="AP184" s="7"/>
      <c r="AQ184" s="38">
        <f t="shared" si="19"/>
        <v>3643752.0310000032</v>
      </c>
      <c r="AR184" s="36">
        <v>3643800</v>
      </c>
      <c r="AS184" s="18">
        <f t="shared" si="20"/>
        <v>47.968999996781349</v>
      </c>
    </row>
    <row r="185" spans="1:45" x14ac:dyDescent="0.25">
      <c r="A185" s="40">
        <v>45473</v>
      </c>
      <c r="B185" s="20">
        <v>2173.203</v>
      </c>
      <c r="C185" s="20">
        <v>3109.136</v>
      </c>
      <c r="D185" s="20">
        <v>5670</v>
      </c>
      <c r="E185" s="20">
        <v>5019</v>
      </c>
      <c r="F185" s="7">
        <f t="shared" si="14"/>
        <v>12322061.01</v>
      </c>
      <c r="G185" s="7">
        <f t="shared" si="15"/>
        <v>15604753.584000001</v>
      </c>
      <c r="H185" s="20">
        <v>107.75</v>
      </c>
      <c r="I185" s="20">
        <v>2465000</v>
      </c>
      <c r="J185" s="20">
        <v>133.5</v>
      </c>
      <c r="K185" s="20">
        <v>1125500</v>
      </c>
      <c r="L185" s="20">
        <v>31000</v>
      </c>
      <c r="M185" s="20"/>
      <c r="N185" s="20"/>
      <c r="O185" s="20">
        <v>1929863</v>
      </c>
      <c r="P185" s="20"/>
      <c r="Q185" s="19">
        <f t="shared" si="16"/>
        <v>33478177.594000001</v>
      </c>
      <c r="R185" s="20">
        <v>1847234</v>
      </c>
      <c r="S185" s="20">
        <v>10476968</v>
      </c>
      <c r="T185" s="20"/>
      <c r="U185" s="20"/>
      <c r="V185" s="20"/>
      <c r="W185" s="20">
        <v>0</v>
      </c>
      <c r="X185" s="20">
        <v>8647882</v>
      </c>
      <c r="Y185" s="8">
        <f t="shared" si="17"/>
        <v>12506093.594000001</v>
      </c>
      <c r="Z185" s="36"/>
      <c r="AA185" s="36"/>
      <c r="AB185" s="36">
        <v>625400</v>
      </c>
      <c r="AC185" s="36"/>
      <c r="AD185" s="36"/>
      <c r="AE185" s="36">
        <v>1200000</v>
      </c>
      <c r="AF185" s="36"/>
      <c r="AG185" s="36">
        <v>1870000</v>
      </c>
      <c r="AH185" s="36"/>
      <c r="AI185" s="36"/>
      <c r="AJ185" s="36"/>
      <c r="AK185" s="36"/>
      <c r="AL185" s="37">
        <f t="shared" si="18"/>
        <v>3695400</v>
      </c>
      <c r="AM185" s="36"/>
      <c r="AN185" s="36"/>
      <c r="AO185" s="36"/>
      <c r="AP185" s="7"/>
      <c r="AQ185" s="38">
        <f t="shared" si="19"/>
        <v>8810693.5940000005</v>
      </c>
      <c r="AR185" s="36">
        <v>0</v>
      </c>
      <c r="AS185" s="18">
        <f t="shared" si="20"/>
        <v>-8810693.5940000005</v>
      </c>
    </row>
    <row r="186" spans="1:45" x14ac:dyDescent="0.25">
      <c r="A186" s="40">
        <v>45474</v>
      </c>
      <c r="B186" s="20">
        <v>1562.539</v>
      </c>
      <c r="C186" s="20">
        <v>1698.9169999999999</v>
      </c>
      <c r="D186" s="20">
        <v>5670</v>
      </c>
      <c r="E186" s="20">
        <v>5019</v>
      </c>
      <c r="F186" s="7">
        <f t="shared" si="14"/>
        <v>8859596.1300000008</v>
      </c>
      <c r="G186" s="7">
        <f t="shared" si="15"/>
        <v>8526864.4230000004</v>
      </c>
      <c r="H186" s="20">
        <v>48</v>
      </c>
      <c r="I186" s="20">
        <v>1046000</v>
      </c>
      <c r="J186" s="20">
        <v>64</v>
      </c>
      <c r="K186" s="20">
        <v>808000</v>
      </c>
      <c r="L186" s="20">
        <v>143000</v>
      </c>
      <c r="M186" s="20"/>
      <c r="N186" s="20"/>
      <c r="O186" s="20">
        <v>0</v>
      </c>
      <c r="P186" s="20"/>
      <c r="Q186" s="19">
        <f t="shared" si="16"/>
        <v>19383460.553000003</v>
      </c>
      <c r="R186" s="20">
        <v>795826</v>
      </c>
      <c r="S186" s="20">
        <v>4093678</v>
      </c>
      <c r="T186" s="20"/>
      <c r="U186" s="20"/>
      <c r="V186" s="20"/>
      <c r="W186" s="20">
        <v>339800</v>
      </c>
      <c r="X186" s="20">
        <v>7998211</v>
      </c>
      <c r="Y186" s="8">
        <f t="shared" si="17"/>
        <v>6155945.5530000031</v>
      </c>
      <c r="Z186" s="36"/>
      <c r="AA186" s="36"/>
      <c r="AB186" s="36"/>
      <c r="AC186" s="36"/>
      <c r="AD186" s="36">
        <v>100380</v>
      </c>
      <c r="AE186" s="36"/>
      <c r="AF186" s="36"/>
      <c r="AG186" s="36"/>
      <c r="AH186" s="36"/>
      <c r="AI186" s="36"/>
      <c r="AJ186" s="36"/>
      <c r="AK186" s="36"/>
      <c r="AL186" s="37">
        <f t="shared" si="18"/>
        <v>100380</v>
      </c>
      <c r="AM186" s="36"/>
      <c r="AN186" s="36"/>
      <c r="AO186" s="36"/>
      <c r="AP186" s="7"/>
      <c r="AQ186" s="38">
        <f t="shared" si="19"/>
        <v>6055565.5530000031</v>
      </c>
      <c r="AR186" s="36">
        <v>14866500</v>
      </c>
      <c r="AS186" s="18">
        <f t="shared" si="20"/>
        <v>8810934.4469999969</v>
      </c>
    </row>
    <row r="187" spans="1:45" x14ac:dyDescent="0.25">
      <c r="A187" s="40">
        <v>45475</v>
      </c>
      <c r="B187" s="20">
        <v>1679.1659999999999</v>
      </c>
      <c r="C187" s="20">
        <v>5866.2860000000001</v>
      </c>
      <c r="D187" s="20">
        <v>5670</v>
      </c>
      <c r="E187" s="20">
        <v>5019</v>
      </c>
      <c r="F187" s="7">
        <f t="shared" si="14"/>
        <v>9520871.2199999988</v>
      </c>
      <c r="G187" s="7">
        <f t="shared" si="15"/>
        <v>29442889.434</v>
      </c>
      <c r="H187" s="20">
        <v>61</v>
      </c>
      <c r="I187" s="20">
        <v>1248500</v>
      </c>
      <c r="J187" s="20">
        <v>24.5</v>
      </c>
      <c r="K187" s="20">
        <v>217000</v>
      </c>
      <c r="L187" s="20">
        <v>58000</v>
      </c>
      <c r="M187" s="20"/>
      <c r="N187" s="20"/>
      <c r="O187" s="20">
        <v>1834350</v>
      </c>
      <c r="P187" s="20"/>
      <c r="Q187" s="19">
        <f t="shared" si="16"/>
        <v>42321610.653999999</v>
      </c>
      <c r="R187" s="20">
        <v>1351642</v>
      </c>
      <c r="S187" s="20">
        <v>15453333</v>
      </c>
      <c r="T187" s="20"/>
      <c r="U187" s="20"/>
      <c r="V187" s="20"/>
      <c r="W187" s="20">
        <v>544000</v>
      </c>
      <c r="X187" s="20">
        <v>19837031</v>
      </c>
      <c r="Y187" s="8">
        <f t="shared" si="17"/>
        <v>5135604.6539999992</v>
      </c>
      <c r="Z187" s="36"/>
      <c r="AA187" s="36"/>
      <c r="AB187" s="36"/>
      <c r="AC187" s="36">
        <v>4000</v>
      </c>
      <c r="AD187" s="36"/>
      <c r="AE187" s="36"/>
      <c r="AF187" s="36">
        <v>7000</v>
      </c>
      <c r="AG187" s="36"/>
      <c r="AH187" s="36"/>
      <c r="AI187" s="36"/>
      <c r="AJ187" s="36"/>
      <c r="AK187" s="36"/>
      <c r="AL187" s="37">
        <f t="shared" si="18"/>
        <v>11000</v>
      </c>
      <c r="AM187" s="36"/>
      <c r="AN187" s="36"/>
      <c r="AO187" s="36"/>
      <c r="AP187" s="7"/>
      <c r="AQ187" s="38">
        <f t="shared" si="19"/>
        <v>5124604.6539999992</v>
      </c>
      <c r="AR187" s="36">
        <v>5124200</v>
      </c>
      <c r="AS187" s="18">
        <f t="shared" si="20"/>
        <v>-404.65399999916553</v>
      </c>
    </row>
    <row r="188" spans="1:45" x14ac:dyDescent="0.25">
      <c r="A188" s="40">
        <v>45476</v>
      </c>
      <c r="B188" s="20">
        <v>1667.383</v>
      </c>
      <c r="C188" s="20">
        <v>2905.518</v>
      </c>
      <c r="D188" s="20">
        <v>5670</v>
      </c>
      <c r="E188" s="20">
        <v>5019</v>
      </c>
      <c r="F188" s="7">
        <f t="shared" si="14"/>
        <v>9454061.6099999994</v>
      </c>
      <c r="G188" s="7">
        <f t="shared" si="15"/>
        <v>14582794.842</v>
      </c>
      <c r="H188" s="20">
        <v>32.25</v>
      </c>
      <c r="I188" s="20">
        <v>543872</v>
      </c>
      <c r="J188" s="20">
        <v>30.5</v>
      </c>
      <c r="K188" s="20">
        <v>327000</v>
      </c>
      <c r="L188" s="20">
        <v>24000</v>
      </c>
      <c r="M188" s="20"/>
      <c r="N188" s="20"/>
      <c r="O188" s="20">
        <v>913800</v>
      </c>
      <c r="P188" s="20"/>
      <c r="Q188" s="19">
        <f t="shared" si="16"/>
        <v>25845528.452</v>
      </c>
      <c r="R188" s="20">
        <v>493872</v>
      </c>
      <c r="S188" s="20">
        <v>9757207</v>
      </c>
      <c r="T188" s="20"/>
      <c r="U188" s="20"/>
      <c r="V188" s="20"/>
      <c r="W188" s="20">
        <v>50000</v>
      </c>
      <c r="X188" s="20">
        <v>10710466</v>
      </c>
      <c r="Y188" s="8">
        <f t="shared" si="17"/>
        <v>4833983.4519999996</v>
      </c>
      <c r="Z188" s="36"/>
      <c r="AA188" s="36"/>
      <c r="AB188" s="36"/>
      <c r="AC188" s="36">
        <v>20000</v>
      </c>
      <c r="AD188" s="36"/>
      <c r="AE188" s="36"/>
      <c r="AF188" s="36">
        <v>3000</v>
      </c>
      <c r="AG188" s="36"/>
      <c r="AH188" s="36">
        <v>89000</v>
      </c>
      <c r="AI188" s="36"/>
      <c r="AJ188" s="36"/>
      <c r="AK188" s="36"/>
      <c r="AL188" s="37">
        <f t="shared" si="18"/>
        <v>112000</v>
      </c>
      <c r="AM188" s="36"/>
      <c r="AN188" s="36"/>
      <c r="AO188" s="36"/>
      <c r="AP188" s="7"/>
      <c r="AQ188" s="38">
        <f t="shared" si="19"/>
        <v>4721983.4519999996</v>
      </c>
      <c r="AR188" s="36">
        <v>4720500</v>
      </c>
      <c r="AS188" s="18">
        <f t="shared" si="20"/>
        <v>-1483.4519999995828</v>
      </c>
    </row>
    <row r="189" spans="1:45" x14ac:dyDescent="0.25">
      <c r="A189" s="40">
        <v>45477</v>
      </c>
      <c r="B189" s="20">
        <v>1534.85</v>
      </c>
      <c r="C189" s="20">
        <v>3939.056</v>
      </c>
      <c r="D189" s="20">
        <v>5670</v>
      </c>
      <c r="E189" s="20">
        <v>5019</v>
      </c>
      <c r="F189" s="7">
        <f t="shared" si="14"/>
        <v>8702599.5</v>
      </c>
      <c r="G189" s="7">
        <f t="shared" si="15"/>
        <v>19770122.063999999</v>
      </c>
      <c r="H189" s="20">
        <v>81</v>
      </c>
      <c r="I189" s="20">
        <v>1316500</v>
      </c>
      <c r="J189" s="20">
        <v>48.5</v>
      </c>
      <c r="K189" s="20">
        <v>549000</v>
      </c>
      <c r="L189" s="20">
        <v>31000</v>
      </c>
      <c r="M189" s="20"/>
      <c r="N189" s="20"/>
      <c r="O189" s="20">
        <v>1200000</v>
      </c>
      <c r="P189" s="20"/>
      <c r="Q189" s="19">
        <f t="shared" si="16"/>
        <v>31569221.563999999</v>
      </c>
      <c r="R189" s="20">
        <v>1304650</v>
      </c>
      <c r="S189" s="20">
        <v>8912088</v>
      </c>
      <c r="T189" s="20"/>
      <c r="U189" s="20"/>
      <c r="V189" s="20"/>
      <c r="W189" s="20">
        <v>250000</v>
      </c>
      <c r="X189" s="20">
        <v>17480728</v>
      </c>
      <c r="Y189" s="8">
        <f t="shared" si="17"/>
        <v>3621755.5639999993</v>
      </c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7">
        <f t="shared" si="18"/>
        <v>0</v>
      </c>
      <c r="AM189" s="36"/>
      <c r="AN189" s="36"/>
      <c r="AO189" s="36"/>
      <c r="AP189" s="7"/>
      <c r="AQ189" s="38">
        <f t="shared" si="19"/>
        <v>3621755.5639999993</v>
      </c>
      <c r="AR189" s="36">
        <v>3621800</v>
      </c>
      <c r="AS189" s="18">
        <f t="shared" si="20"/>
        <v>44.436000000685453</v>
      </c>
    </row>
    <row r="190" spans="1:45" x14ac:dyDescent="0.25">
      <c r="A190" s="40">
        <v>45478</v>
      </c>
      <c r="B190" s="20">
        <v>2094.0140000000001</v>
      </c>
      <c r="C190" s="20">
        <v>4718.192</v>
      </c>
      <c r="D190" s="20">
        <v>5670</v>
      </c>
      <c r="E190" s="20">
        <v>5019</v>
      </c>
      <c r="F190" s="7">
        <f t="shared" si="14"/>
        <v>11873059.380000001</v>
      </c>
      <c r="G190" s="7">
        <f t="shared" si="15"/>
        <v>23680605.647999998</v>
      </c>
      <c r="H190" s="20">
        <v>50</v>
      </c>
      <c r="I190" s="20">
        <v>1012000</v>
      </c>
      <c r="J190" s="20">
        <v>61</v>
      </c>
      <c r="K190" s="20">
        <v>699000</v>
      </c>
      <c r="L190" s="20">
        <v>53000</v>
      </c>
      <c r="M190" s="20"/>
      <c r="N190" s="20"/>
      <c r="O190" s="20">
        <v>3657668</v>
      </c>
      <c r="P190" s="20"/>
      <c r="Q190" s="19">
        <f t="shared" si="16"/>
        <v>40975333.027999997</v>
      </c>
      <c r="R190" s="20">
        <v>2868663</v>
      </c>
      <c r="S190" s="20">
        <v>16331490</v>
      </c>
      <c r="T190" s="20"/>
      <c r="U190" s="20"/>
      <c r="V190" s="20"/>
      <c r="W190" s="20">
        <v>194535</v>
      </c>
      <c r="X190" s="20">
        <v>12682008</v>
      </c>
      <c r="Y190" s="8">
        <f t="shared" si="17"/>
        <v>8898637.0279999971</v>
      </c>
      <c r="Z190" s="36"/>
      <c r="AA190" s="36"/>
      <c r="AB190" s="36"/>
      <c r="AC190" s="36"/>
      <c r="AD190" s="36">
        <v>100380</v>
      </c>
      <c r="AE190" s="36"/>
      <c r="AF190" s="36">
        <v>3000</v>
      </c>
      <c r="AG190" s="36"/>
      <c r="AH190" s="36"/>
      <c r="AI190" s="36"/>
      <c r="AJ190" s="36"/>
      <c r="AK190" s="36"/>
      <c r="AL190" s="37">
        <f t="shared" si="18"/>
        <v>103380</v>
      </c>
      <c r="AM190" s="36"/>
      <c r="AN190" s="36"/>
      <c r="AO190" s="36"/>
      <c r="AP190" s="7"/>
      <c r="AQ190" s="38">
        <f t="shared" si="19"/>
        <v>8795257.0279999971</v>
      </c>
      <c r="AR190" s="36">
        <v>8795300</v>
      </c>
      <c r="AS190" s="18">
        <f t="shared" si="20"/>
        <v>42.972000002861023</v>
      </c>
    </row>
    <row r="191" spans="1:45" x14ac:dyDescent="0.25">
      <c r="A191" s="40">
        <v>45479</v>
      </c>
      <c r="B191" s="20">
        <v>2402.04</v>
      </c>
      <c r="C191" s="20">
        <v>4298.75</v>
      </c>
      <c r="D191" s="20">
        <v>5670</v>
      </c>
      <c r="E191" s="20">
        <v>5019</v>
      </c>
      <c r="F191" s="7">
        <f t="shared" si="14"/>
        <v>13619566.799999999</v>
      </c>
      <c r="G191" s="7">
        <f t="shared" si="15"/>
        <v>21575426.25</v>
      </c>
      <c r="H191" s="20">
        <v>60.75</v>
      </c>
      <c r="I191" s="20">
        <v>1215500</v>
      </c>
      <c r="J191" s="20">
        <v>48.5</v>
      </c>
      <c r="K191" s="20">
        <v>615000</v>
      </c>
      <c r="L191" s="20">
        <v>116000</v>
      </c>
      <c r="M191" s="20"/>
      <c r="N191" s="20"/>
      <c r="O191" s="20">
        <v>1515380</v>
      </c>
      <c r="P191" s="20">
        <v>25000</v>
      </c>
      <c r="Q191" s="19">
        <f t="shared" si="16"/>
        <v>38681873.049999997</v>
      </c>
      <c r="R191" s="20">
        <v>2563453</v>
      </c>
      <c r="S191" s="20">
        <v>13255500</v>
      </c>
      <c r="T191" s="20"/>
      <c r="U191" s="20"/>
      <c r="V191" s="20"/>
      <c r="W191" s="20">
        <v>362000</v>
      </c>
      <c r="X191" s="20">
        <v>15545146</v>
      </c>
      <c r="Y191" s="8">
        <f t="shared" si="17"/>
        <v>6955774.049999997</v>
      </c>
      <c r="Z191" s="36"/>
      <c r="AA191" s="36"/>
      <c r="AB191" s="36"/>
      <c r="AC191" s="36"/>
      <c r="AD191" s="36"/>
      <c r="AE191" s="36"/>
      <c r="AF191" s="36">
        <v>3000</v>
      </c>
      <c r="AG191" s="36"/>
      <c r="AH191" s="36"/>
      <c r="AI191" s="36"/>
      <c r="AJ191" s="36"/>
      <c r="AK191" s="36"/>
      <c r="AL191" s="37">
        <f t="shared" si="18"/>
        <v>3000</v>
      </c>
      <c r="AM191" s="36"/>
      <c r="AN191" s="36"/>
      <c r="AO191" s="36"/>
      <c r="AP191" s="7"/>
      <c r="AQ191" s="38">
        <f t="shared" si="19"/>
        <v>6952774.049999997</v>
      </c>
      <c r="AR191" s="36">
        <v>6952800</v>
      </c>
      <c r="AS191" s="18">
        <f t="shared" si="20"/>
        <v>25.950000002980232</v>
      </c>
    </row>
    <row r="192" spans="1:45" x14ac:dyDescent="0.25">
      <c r="A192" s="40">
        <v>45480</v>
      </c>
      <c r="B192" s="20">
        <v>1725.7260000000001</v>
      </c>
      <c r="C192" s="20">
        <v>2313.4769999999999</v>
      </c>
      <c r="D192" s="20">
        <v>5670</v>
      </c>
      <c r="E192" s="20">
        <v>5019</v>
      </c>
      <c r="F192" s="7">
        <f t="shared" si="14"/>
        <v>9784866.4199999999</v>
      </c>
      <c r="G192" s="7">
        <f t="shared" si="15"/>
        <v>11611341.062999999</v>
      </c>
      <c r="H192" s="20">
        <v>37.75</v>
      </c>
      <c r="I192" s="20">
        <v>730000</v>
      </c>
      <c r="J192" s="20">
        <v>61.5</v>
      </c>
      <c r="K192" s="20">
        <v>530000</v>
      </c>
      <c r="L192" s="20">
        <v>38000</v>
      </c>
      <c r="M192" s="20"/>
      <c r="N192" s="20"/>
      <c r="O192" s="20">
        <v>1190000</v>
      </c>
      <c r="P192" s="20"/>
      <c r="Q192" s="19">
        <f t="shared" si="16"/>
        <v>23884207.482999999</v>
      </c>
      <c r="R192" s="20">
        <v>680871</v>
      </c>
      <c r="S192" s="20">
        <v>3188295</v>
      </c>
      <c r="T192" s="20"/>
      <c r="U192" s="20"/>
      <c r="V192" s="20"/>
      <c r="W192" s="20">
        <v>249500</v>
      </c>
      <c r="X192" s="20">
        <v>10109923</v>
      </c>
      <c r="Y192" s="8">
        <f t="shared" si="17"/>
        <v>9655618.4829999991</v>
      </c>
      <c r="Z192" s="36"/>
      <c r="AA192" s="36"/>
      <c r="AB192" s="36"/>
      <c r="AC192" s="36"/>
      <c r="AD192" s="36"/>
      <c r="AE192" s="36"/>
      <c r="AF192" s="36">
        <v>3000</v>
      </c>
      <c r="AG192" s="36"/>
      <c r="AH192" s="36"/>
      <c r="AI192" s="36"/>
      <c r="AJ192" s="36"/>
      <c r="AK192" s="36"/>
      <c r="AL192" s="37">
        <f t="shared" si="18"/>
        <v>3000</v>
      </c>
      <c r="AM192" s="36"/>
      <c r="AN192" s="36"/>
      <c r="AO192" s="36"/>
      <c r="AP192" s="7"/>
      <c r="AQ192" s="38">
        <f t="shared" si="19"/>
        <v>9652618.4829999991</v>
      </c>
      <c r="AR192" s="36"/>
      <c r="AS192" s="18">
        <f t="shared" si="20"/>
        <v>-9652618.4829999991</v>
      </c>
    </row>
    <row r="193" spans="1:45" x14ac:dyDescent="0.25">
      <c r="A193" s="40">
        <v>45481</v>
      </c>
      <c r="B193" s="20">
        <v>1891.2439999999999</v>
      </c>
      <c r="C193" s="20">
        <v>3179.777</v>
      </c>
      <c r="D193" s="20">
        <v>5670</v>
      </c>
      <c r="E193" s="20">
        <v>5019</v>
      </c>
      <c r="F193" s="7">
        <f t="shared" si="14"/>
        <v>10723353.48</v>
      </c>
      <c r="G193" s="7">
        <f t="shared" si="15"/>
        <v>15959300.763</v>
      </c>
      <c r="H193" s="20">
        <v>43</v>
      </c>
      <c r="I193" s="20">
        <v>922500</v>
      </c>
      <c r="J193" s="20">
        <v>76</v>
      </c>
      <c r="K193" s="20">
        <v>788000</v>
      </c>
      <c r="L193" s="20">
        <v>31000</v>
      </c>
      <c r="M193" s="20"/>
      <c r="N193" s="20"/>
      <c r="O193" s="20">
        <v>0</v>
      </c>
      <c r="P193" s="20"/>
      <c r="Q193" s="19">
        <f t="shared" si="16"/>
        <v>28424154.243000001</v>
      </c>
      <c r="R193" s="20">
        <v>1090232</v>
      </c>
      <c r="S193" s="20">
        <v>10194715</v>
      </c>
      <c r="T193" s="20"/>
      <c r="U193" s="20"/>
      <c r="V193" s="20"/>
      <c r="W193" s="20">
        <v>361800</v>
      </c>
      <c r="X193" s="20">
        <v>10127365</v>
      </c>
      <c r="Y193" s="8">
        <f t="shared" si="17"/>
        <v>6650042.2430000007</v>
      </c>
      <c r="Z193" s="36"/>
      <c r="AA193" s="36"/>
      <c r="AB193" s="36"/>
      <c r="AC193" s="36"/>
      <c r="AD193" s="36"/>
      <c r="AE193" s="36"/>
      <c r="AF193" s="36"/>
      <c r="AG193" s="36"/>
      <c r="AH193" s="36">
        <v>30000</v>
      </c>
      <c r="AI193" s="36">
        <v>10000</v>
      </c>
      <c r="AJ193" s="36">
        <v>140000</v>
      </c>
      <c r="AK193" s="36"/>
      <c r="AL193" s="37">
        <f t="shared" si="18"/>
        <v>180000</v>
      </c>
      <c r="AM193" s="36"/>
      <c r="AN193" s="36"/>
      <c r="AO193" s="36"/>
      <c r="AP193" s="7"/>
      <c r="AQ193" s="38">
        <f t="shared" si="19"/>
        <v>6470042.2430000007</v>
      </c>
      <c r="AR193" s="36">
        <v>16120600</v>
      </c>
      <c r="AS193" s="18">
        <f t="shared" si="20"/>
        <v>9650557.7569999993</v>
      </c>
    </row>
    <row r="194" spans="1:45" x14ac:dyDescent="0.25">
      <c r="A194" s="40">
        <v>45482</v>
      </c>
      <c r="B194" s="20">
        <v>1991.4760000000001</v>
      </c>
      <c r="C194" s="20">
        <v>3712.8960000000002</v>
      </c>
      <c r="D194" s="20">
        <v>5670</v>
      </c>
      <c r="E194" s="20">
        <v>5019</v>
      </c>
      <c r="F194" s="7">
        <f t="shared" si="14"/>
        <v>11291668.92</v>
      </c>
      <c r="G194" s="7">
        <f t="shared" si="15"/>
        <v>18635025.024</v>
      </c>
      <c r="H194" s="20">
        <v>33.5</v>
      </c>
      <c r="I194" s="20">
        <v>666500</v>
      </c>
      <c r="J194" s="20">
        <v>48</v>
      </c>
      <c r="K194" s="20">
        <v>490000</v>
      </c>
      <c r="L194" s="20">
        <v>65000</v>
      </c>
      <c r="M194" s="20">
        <v>400000</v>
      </c>
      <c r="N194" s="20"/>
      <c r="O194" s="20">
        <v>3806748</v>
      </c>
      <c r="P194" s="20"/>
      <c r="Q194" s="19">
        <f t="shared" si="16"/>
        <v>35354941.943999998</v>
      </c>
      <c r="R194" s="20">
        <v>2424049</v>
      </c>
      <c r="S194" s="20">
        <v>7865008</v>
      </c>
      <c r="T194" s="20"/>
      <c r="U194" s="20"/>
      <c r="V194" s="20"/>
      <c r="W194" s="20">
        <v>127000</v>
      </c>
      <c r="X194" s="20">
        <v>13953602</v>
      </c>
      <c r="Y194" s="8">
        <f t="shared" si="17"/>
        <v>10985282.943999998</v>
      </c>
      <c r="Z194" s="36"/>
      <c r="AA194" s="36"/>
      <c r="AB194" s="36"/>
      <c r="AC194" s="36"/>
      <c r="AD194" s="36"/>
      <c r="AE194" s="36"/>
      <c r="AF194" s="36">
        <v>3000</v>
      </c>
      <c r="AG194" s="36"/>
      <c r="AH194" s="36"/>
      <c r="AI194" s="36"/>
      <c r="AJ194" s="36">
        <v>4000000</v>
      </c>
      <c r="AK194" s="36"/>
      <c r="AL194" s="37">
        <f t="shared" si="18"/>
        <v>4003000</v>
      </c>
      <c r="AM194" s="36"/>
      <c r="AN194" s="36"/>
      <c r="AO194" s="36"/>
      <c r="AP194" s="7"/>
      <c r="AQ194" s="38">
        <f t="shared" si="19"/>
        <v>6982282.9439999983</v>
      </c>
      <c r="AR194" s="36">
        <v>6982300</v>
      </c>
      <c r="AS194" s="18">
        <f t="shared" si="20"/>
        <v>17.056000001728535</v>
      </c>
    </row>
    <row r="195" spans="1:45" x14ac:dyDescent="0.25">
      <c r="A195" s="40">
        <v>45483</v>
      </c>
      <c r="B195" s="20">
        <v>1613.5429999999999</v>
      </c>
      <c r="C195" s="20">
        <v>3757.8330000000001</v>
      </c>
      <c r="D195" s="20">
        <v>5670</v>
      </c>
      <c r="E195" s="20">
        <v>5019</v>
      </c>
      <c r="F195" s="7">
        <f t="shared" si="14"/>
        <v>9148788.8099999987</v>
      </c>
      <c r="G195" s="7">
        <f t="shared" si="15"/>
        <v>18860563.827</v>
      </c>
      <c r="H195" s="20">
        <v>70.25</v>
      </c>
      <c r="I195" s="20">
        <v>1430000</v>
      </c>
      <c r="J195" s="20">
        <v>45.5</v>
      </c>
      <c r="K195" s="20">
        <v>464000</v>
      </c>
      <c r="L195" s="20">
        <v>85000</v>
      </c>
      <c r="M195" s="20"/>
      <c r="N195" s="20"/>
      <c r="O195" s="20">
        <v>1890130</v>
      </c>
      <c r="P195" s="20"/>
      <c r="Q195" s="19">
        <f t="shared" si="16"/>
        <v>31878482.636999998</v>
      </c>
      <c r="R195" s="20">
        <v>1707256</v>
      </c>
      <c r="S195" s="20">
        <v>9941339</v>
      </c>
      <c r="T195" s="20"/>
      <c r="U195" s="20"/>
      <c r="V195" s="20"/>
      <c r="W195" s="20">
        <v>68000</v>
      </c>
      <c r="X195" s="20">
        <v>12506111</v>
      </c>
      <c r="Y195" s="8">
        <f t="shared" si="17"/>
        <v>7655776.6369999982</v>
      </c>
      <c r="Z195" s="36"/>
      <c r="AA195" s="36"/>
      <c r="AB195" s="36"/>
      <c r="AC195" s="36"/>
      <c r="AD195" s="36"/>
      <c r="AE195" s="36"/>
      <c r="AF195" s="36">
        <v>3000</v>
      </c>
      <c r="AG195" s="36"/>
      <c r="AH195" s="36"/>
      <c r="AI195" s="36"/>
      <c r="AJ195" s="36"/>
      <c r="AK195" s="36"/>
      <c r="AL195" s="37">
        <f t="shared" si="18"/>
        <v>3000</v>
      </c>
      <c r="AM195" s="36"/>
      <c r="AN195" s="36"/>
      <c r="AO195" s="36"/>
      <c r="AP195" s="7"/>
      <c r="AQ195" s="38">
        <f t="shared" si="19"/>
        <v>7652776.6369999982</v>
      </c>
      <c r="AR195" s="36">
        <v>7653800</v>
      </c>
      <c r="AS195" s="18">
        <f t="shared" si="20"/>
        <v>1023.3630000017583</v>
      </c>
    </row>
    <row r="196" spans="1:45" x14ac:dyDescent="0.25">
      <c r="A196" s="40">
        <v>45484</v>
      </c>
      <c r="B196" s="20">
        <v>1953.4580000000001</v>
      </c>
      <c r="C196" s="20">
        <v>3221.5120000000002</v>
      </c>
      <c r="D196" s="20">
        <v>5670</v>
      </c>
      <c r="E196" s="20">
        <v>5019</v>
      </c>
      <c r="F196" s="7">
        <f t="shared" ref="F196:F259" si="21">B196*D196</f>
        <v>11076106.860000001</v>
      </c>
      <c r="G196" s="7">
        <f t="shared" ref="G196:G259" si="22">C196*E196</f>
        <v>16168768.728</v>
      </c>
      <c r="H196" s="20">
        <v>57</v>
      </c>
      <c r="I196" s="20">
        <v>1342500</v>
      </c>
      <c r="J196" s="20">
        <v>125.5</v>
      </c>
      <c r="K196" s="20">
        <v>1212000</v>
      </c>
      <c r="L196" s="20">
        <v>0</v>
      </c>
      <c r="M196" s="20"/>
      <c r="N196" s="20"/>
      <c r="O196" s="20">
        <v>2270834</v>
      </c>
      <c r="P196" s="20"/>
      <c r="Q196" s="19">
        <f t="shared" ref="Q196:Q259" si="23">SUM(F196:G196)+I196+K196+SUM(L196:P196)</f>
        <v>32070209.588</v>
      </c>
      <c r="R196" s="20">
        <v>1530587</v>
      </c>
      <c r="S196" s="20">
        <v>7107085</v>
      </c>
      <c r="T196" s="20"/>
      <c r="U196" s="20"/>
      <c r="V196" s="20"/>
      <c r="W196" s="20">
        <v>83655</v>
      </c>
      <c r="X196" s="20">
        <v>14905876</v>
      </c>
      <c r="Y196" s="8">
        <f t="shared" ref="Y196:Y259" si="24">Q196-SUM(R196:X196)</f>
        <v>8443006.5879999995</v>
      </c>
      <c r="Z196" s="36"/>
      <c r="AA196" s="36"/>
      <c r="AB196" s="36"/>
      <c r="AC196" s="36">
        <v>39000</v>
      </c>
      <c r="AD196" s="36"/>
      <c r="AE196" s="36"/>
      <c r="AF196" s="36">
        <v>3000</v>
      </c>
      <c r="AG196" s="36"/>
      <c r="AH196" s="36">
        <v>19000</v>
      </c>
      <c r="AI196" s="36"/>
      <c r="AJ196" s="36"/>
      <c r="AK196" s="36"/>
      <c r="AL196" s="37">
        <f t="shared" ref="AL196:AL259" si="25">SUM(Z196:AK196)</f>
        <v>61000</v>
      </c>
      <c r="AM196" s="36"/>
      <c r="AN196" s="36"/>
      <c r="AO196" s="36"/>
      <c r="AP196" s="7"/>
      <c r="AQ196" s="38">
        <f t="shared" ref="AQ196:AQ259" si="26">Q196-SUM(R196:X196)-AL196-SUM(AM196:AO196)</f>
        <v>8382006.5879999995</v>
      </c>
      <c r="AR196" s="36">
        <v>8381900</v>
      </c>
      <c r="AS196" s="18">
        <f t="shared" ref="AS196:AS259" si="27">AR196-AQ196</f>
        <v>-106.58799999952316</v>
      </c>
    </row>
    <row r="197" spans="1:45" x14ac:dyDescent="0.25">
      <c r="A197" s="40">
        <v>45485</v>
      </c>
      <c r="B197" s="20">
        <v>1781.0309999999999</v>
      </c>
      <c r="C197" s="20">
        <v>2676.85</v>
      </c>
      <c r="D197" s="20">
        <v>5670</v>
      </c>
      <c r="E197" s="20">
        <v>5019</v>
      </c>
      <c r="F197" s="7">
        <f t="shared" si="21"/>
        <v>10098445.77</v>
      </c>
      <c r="G197" s="7">
        <f t="shared" si="22"/>
        <v>13435110.15</v>
      </c>
      <c r="H197" s="20">
        <v>33.75</v>
      </c>
      <c r="I197" s="20">
        <v>696000</v>
      </c>
      <c r="J197" s="20">
        <v>66.5</v>
      </c>
      <c r="K197" s="20">
        <v>582000</v>
      </c>
      <c r="L197" s="20">
        <v>45000</v>
      </c>
      <c r="M197" s="20">
        <v>0</v>
      </c>
      <c r="N197" s="20"/>
      <c r="O197" s="20">
        <v>250000</v>
      </c>
      <c r="P197" s="20"/>
      <c r="Q197" s="19">
        <f t="shared" si="23"/>
        <v>25106555.920000002</v>
      </c>
      <c r="R197" s="20">
        <v>1332958</v>
      </c>
      <c r="S197" s="20">
        <v>8809186</v>
      </c>
      <c r="T197" s="20"/>
      <c r="U197" s="20"/>
      <c r="V197" s="20"/>
      <c r="W197" s="20">
        <v>219500</v>
      </c>
      <c r="X197" s="20">
        <v>6976155</v>
      </c>
      <c r="Y197" s="8">
        <f t="shared" si="24"/>
        <v>7768756.9200000018</v>
      </c>
      <c r="Z197" s="36"/>
      <c r="AA197" s="36"/>
      <c r="AB197" s="36"/>
      <c r="AC197" s="36"/>
      <c r="AD197" s="36"/>
      <c r="AE197" s="36"/>
      <c r="AF197" s="36">
        <v>3000</v>
      </c>
      <c r="AG197" s="36"/>
      <c r="AH197" s="36"/>
      <c r="AI197" s="36"/>
      <c r="AJ197" s="36"/>
      <c r="AK197" s="36"/>
      <c r="AL197" s="37">
        <f t="shared" si="25"/>
        <v>3000</v>
      </c>
      <c r="AM197" s="36"/>
      <c r="AN197" s="36"/>
      <c r="AO197" s="36"/>
      <c r="AP197" s="7"/>
      <c r="AQ197" s="38">
        <f t="shared" si="26"/>
        <v>7765756.9200000018</v>
      </c>
      <c r="AR197" s="36">
        <v>0</v>
      </c>
      <c r="AS197" s="18">
        <f t="shared" si="27"/>
        <v>-7765756.9200000018</v>
      </c>
    </row>
    <row r="198" spans="1:45" x14ac:dyDescent="0.25">
      <c r="A198" s="40">
        <v>45486</v>
      </c>
      <c r="B198" s="20">
        <v>2304.1289999999999</v>
      </c>
      <c r="C198" s="20">
        <v>5415.326</v>
      </c>
      <c r="D198" s="20">
        <v>5670</v>
      </c>
      <c r="E198" s="20">
        <v>5019</v>
      </c>
      <c r="F198" s="7">
        <f t="shared" si="21"/>
        <v>13064411.43</v>
      </c>
      <c r="G198" s="7">
        <f t="shared" si="22"/>
        <v>27179521.193999998</v>
      </c>
      <c r="H198" s="20">
        <v>51</v>
      </c>
      <c r="I198" s="20">
        <v>1021000</v>
      </c>
      <c r="J198" s="20">
        <v>57</v>
      </c>
      <c r="K198" s="20">
        <v>568000</v>
      </c>
      <c r="L198" s="20"/>
      <c r="M198" s="20"/>
      <c r="N198" s="20"/>
      <c r="O198" s="20">
        <v>2593105</v>
      </c>
      <c r="P198" s="20"/>
      <c r="Q198" s="19">
        <f t="shared" si="23"/>
        <v>44426037.623999998</v>
      </c>
      <c r="R198" s="20">
        <v>1564483</v>
      </c>
      <c r="S198" s="20">
        <v>22325858</v>
      </c>
      <c r="T198" s="20"/>
      <c r="U198" s="20"/>
      <c r="V198" s="20"/>
      <c r="W198" s="20">
        <v>623325</v>
      </c>
      <c r="X198" s="20">
        <v>13633580</v>
      </c>
      <c r="Y198" s="8">
        <f t="shared" si="24"/>
        <v>6278791.623999998</v>
      </c>
      <c r="Z198" s="36"/>
      <c r="AA198" s="36"/>
      <c r="AB198" s="36"/>
      <c r="AC198" s="36"/>
      <c r="AD198" s="36">
        <v>100380</v>
      </c>
      <c r="AE198" s="36"/>
      <c r="AF198" s="36"/>
      <c r="AG198" s="36"/>
      <c r="AH198" s="36">
        <v>6500</v>
      </c>
      <c r="AI198" s="36"/>
      <c r="AJ198" s="36">
        <v>2013000</v>
      </c>
      <c r="AK198" s="36"/>
      <c r="AL198" s="37">
        <f t="shared" si="25"/>
        <v>2119880</v>
      </c>
      <c r="AM198" s="36"/>
      <c r="AN198" s="36"/>
      <c r="AO198" s="36"/>
      <c r="AP198" s="7"/>
      <c r="AQ198" s="38">
        <f t="shared" si="26"/>
        <v>4158911.623999998</v>
      </c>
      <c r="AR198" s="36">
        <v>11924700</v>
      </c>
      <c r="AS198" s="18">
        <f t="shared" si="27"/>
        <v>7765788.376000002</v>
      </c>
    </row>
    <row r="199" spans="1:45" x14ac:dyDescent="0.25">
      <c r="A199" s="40">
        <v>45487</v>
      </c>
      <c r="B199" s="20">
        <v>2455.4650000000001</v>
      </c>
      <c r="C199" s="20">
        <v>5030.5630000000001</v>
      </c>
      <c r="D199" s="20">
        <v>5670</v>
      </c>
      <c r="E199" s="20">
        <v>5019</v>
      </c>
      <c r="F199" s="7">
        <f t="shared" si="21"/>
        <v>13922486.550000001</v>
      </c>
      <c r="G199" s="7">
        <f t="shared" si="22"/>
        <v>25248395.697000001</v>
      </c>
      <c r="H199" s="20">
        <v>58.75</v>
      </c>
      <c r="I199" s="20">
        <v>1167500</v>
      </c>
      <c r="J199" s="20">
        <v>55.5</v>
      </c>
      <c r="K199" s="20">
        <v>592500</v>
      </c>
      <c r="L199" s="20">
        <v>120000</v>
      </c>
      <c r="M199" s="20"/>
      <c r="N199" s="20"/>
      <c r="O199" s="20">
        <v>4102000</v>
      </c>
      <c r="P199" s="20"/>
      <c r="Q199" s="19">
        <f t="shared" si="23"/>
        <v>45152882.247000001</v>
      </c>
      <c r="R199" s="20">
        <v>1362702</v>
      </c>
      <c r="S199" s="20">
        <v>15354956</v>
      </c>
      <c r="T199" s="20"/>
      <c r="U199" s="20"/>
      <c r="V199" s="20"/>
      <c r="W199" s="20">
        <v>170100</v>
      </c>
      <c r="X199" s="20">
        <v>16200277</v>
      </c>
      <c r="Y199" s="8">
        <f t="shared" si="24"/>
        <v>12064847.247000001</v>
      </c>
      <c r="Z199" s="36"/>
      <c r="AA199" s="36"/>
      <c r="AB199" s="36"/>
      <c r="AC199" s="36"/>
      <c r="AD199" s="36"/>
      <c r="AE199" s="36"/>
      <c r="AF199" s="36">
        <v>2000</v>
      </c>
      <c r="AG199" s="36"/>
      <c r="AH199" s="36"/>
      <c r="AI199" s="36"/>
      <c r="AJ199" s="36">
        <v>3500000</v>
      </c>
      <c r="AK199" s="36"/>
      <c r="AL199" s="37">
        <f t="shared" si="25"/>
        <v>3502000</v>
      </c>
      <c r="AM199" s="36"/>
      <c r="AN199" s="36"/>
      <c r="AO199" s="36"/>
      <c r="AP199" s="7"/>
      <c r="AQ199" s="38">
        <f t="shared" si="26"/>
        <v>8562847.2470000014</v>
      </c>
      <c r="AR199" s="36">
        <v>8562800</v>
      </c>
      <c r="AS199" s="18">
        <f t="shared" si="27"/>
        <v>-47.247000001370907</v>
      </c>
    </row>
    <row r="200" spans="1:45" x14ac:dyDescent="0.25">
      <c r="A200" s="40">
        <v>45488</v>
      </c>
      <c r="B200" s="20">
        <v>1717.41</v>
      </c>
      <c r="C200" s="20">
        <v>3292.348</v>
      </c>
      <c r="D200" s="20">
        <v>5670</v>
      </c>
      <c r="E200" s="20">
        <v>5019</v>
      </c>
      <c r="F200" s="7">
        <f t="shared" si="21"/>
        <v>9737714.7000000011</v>
      </c>
      <c r="G200" s="7">
        <f t="shared" si="22"/>
        <v>16524294.612</v>
      </c>
      <c r="H200" s="20">
        <v>18</v>
      </c>
      <c r="I200" s="20">
        <v>318000</v>
      </c>
      <c r="J200" s="20">
        <v>39</v>
      </c>
      <c r="K200" s="20">
        <v>472000</v>
      </c>
      <c r="L200" s="20">
        <v>75000</v>
      </c>
      <c r="M200" s="20"/>
      <c r="N200" s="20"/>
      <c r="O200" s="20">
        <v>1214580</v>
      </c>
      <c r="P200" s="20"/>
      <c r="Q200" s="19">
        <f t="shared" si="23"/>
        <v>28341589.311999999</v>
      </c>
      <c r="R200" s="20">
        <v>3029193</v>
      </c>
      <c r="S200" s="20">
        <v>10456842</v>
      </c>
      <c r="T200" s="20"/>
      <c r="U200" s="20"/>
      <c r="V200" s="20"/>
      <c r="W200" s="20">
        <v>219000</v>
      </c>
      <c r="X200" s="20">
        <v>8279131</v>
      </c>
      <c r="Y200" s="8">
        <f t="shared" si="24"/>
        <v>6357423.311999999</v>
      </c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7">
        <f t="shared" si="25"/>
        <v>0</v>
      </c>
      <c r="AM200" s="36"/>
      <c r="AN200" s="36"/>
      <c r="AO200" s="36"/>
      <c r="AP200" s="7"/>
      <c r="AQ200" s="38">
        <f t="shared" si="26"/>
        <v>6357423.311999999</v>
      </c>
      <c r="AR200" s="36">
        <v>6357400</v>
      </c>
      <c r="AS200" s="18">
        <f t="shared" si="27"/>
        <v>-23.311999998986721</v>
      </c>
    </row>
    <row r="201" spans="1:45" x14ac:dyDescent="0.25">
      <c r="A201" s="40">
        <v>45489</v>
      </c>
      <c r="B201" s="20">
        <v>1922.7560000000001</v>
      </c>
      <c r="C201" s="20">
        <v>4401.6019999999999</v>
      </c>
      <c r="D201" s="20">
        <v>5670</v>
      </c>
      <c r="E201" s="20">
        <v>5019</v>
      </c>
      <c r="F201" s="7">
        <f t="shared" si="21"/>
        <v>10902026.52</v>
      </c>
      <c r="G201" s="7">
        <f t="shared" si="22"/>
        <v>22091640.438000001</v>
      </c>
      <c r="H201" s="20">
        <v>42</v>
      </c>
      <c r="I201" s="20">
        <v>913000</v>
      </c>
      <c r="J201" s="20">
        <v>58.75</v>
      </c>
      <c r="K201" s="20">
        <v>512500</v>
      </c>
      <c r="L201" s="20">
        <v>23000</v>
      </c>
      <c r="M201" s="20"/>
      <c r="N201" s="20"/>
      <c r="O201" s="20">
        <v>2595680</v>
      </c>
      <c r="P201" s="20"/>
      <c r="Q201" s="19">
        <f t="shared" si="23"/>
        <v>37037846.958000004</v>
      </c>
      <c r="R201" s="20">
        <v>1822383</v>
      </c>
      <c r="S201" s="20">
        <v>12766523</v>
      </c>
      <c r="T201" s="20"/>
      <c r="U201" s="20"/>
      <c r="V201" s="20"/>
      <c r="W201" s="20">
        <v>229000</v>
      </c>
      <c r="X201" s="20">
        <v>14449046</v>
      </c>
      <c r="Y201" s="8">
        <f t="shared" si="24"/>
        <v>7770894.9580000043</v>
      </c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>
        <v>1500000</v>
      </c>
      <c r="AK201" s="36"/>
      <c r="AL201" s="37">
        <f t="shared" si="25"/>
        <v>1500000</v>
      </c>
      <c r="AM201" s="36"/>
      <c r="AN201" s="36"/>
      <c r="AO201" s="36"/>
      <c r="AP201" s="7"/>
      <c r="AQ201" s="38">
        <f t="shared" si="26"/>
        <v>6270894.9580000043</v>
      </c>
      <c r="AR201" s="36">
        <v>6270900</v>
      </c>
      <c r="AS201" s="18">
        <f t="shared" si="27"/>
        <v>5.0419999957084656</v>
      </c>
    </row>
    <row r="202" spans="1:45" x14ac:dyDescent="0.25">
      <c r="A202" s="40">
        <v>45490</v>
      </c>
      <c r="B202" s="20">
        <v>1259.252</v>
      </c>
      <c r="C202" s="20">
        <v>2023.2149999999999</v>
      </c>
      <c r="D202" s="20">
        <v>5670</v>
      </c>
      <c r="E202" s="20">
        <v>5019</v>
      </c>
      <c r="F202" s="7">
        <f t="shared" si="21"/>
        <v>7139958.8399999999</v>
      </c>
      <c r="G202" s="7">
        <f t="shared" si="22"/>
        <v>10154516.084999999</v>
      </c>
      <c r="H202" s="20">
        <v>55.25</v>
      </c>
      <c r="I202" s="20">
        <v>1195000</v>
      </c>
      <c r="J202" s="20">
        <v>66</v>
      </c>
      <c r="K202" s="20">
        <v>835000</v>
      </c>
      <c r="L202" s="20">
        <v>55000</v>
      </c>
      <c r="M202" s="20"/>
      <c r="N202" s="20"/>
      <c r="O202" s="20">
        <v>829000</v>
      </c>
      <c r="P202" s="20"/>
      <c r="Q202" s="19">
        <f t="shared" si="23"/>
        <v>20208474.924999997</v>
      </c>
      <c r="R202" s="20">
        <v>1385561</v>
      </c>
      <c r="S202" s="20">
        <v>6475045</v>
      </c>
      <c r="T202" s="20"/>
      <c r="U202" s="20"/>
      <c r="V202" s="20"/>
      <c r="W202" s="20">
        <v>450000</v>
      </c>
      <c r="X202" s="20">
        <v>6844949</v>
      </c>
      <c r="Y202" s="8">
        <f t="shared" si="24"/>
        <v>5052919.924999997</v>
      </c>
      <c r="Z202" s="36"/>
      <c r="AA202" s="36"/>
      <c r="AB202" s="36"/>
      <c r="AC202" s="36">
        <v>40000</v>
      </c>
      <c r="AD202" s="36"/>
      <c r="AE202" s="36"/>
      <c r="AF202" s="36">
        <v>53000</v>
      </c>
      <c r="AG202" s="36"/>
      <c r="AH202" s="36">
        <v>10000</v>
      </c>
      <c r="AI202" s="36"/>
      <c r="AJ202" s="36">
        <v>360000</v>
      </c>
      <c r="AK202" s="36"/>
      <c r="AL202" s="37">
        <f t="shared" si="25"/>
        <v>463000</v>
      </c>
      <c r="AM202" s="36"/>
      <c r="AN202" s="36"/>
      <c r="AO202" s="36"/>
      <c r="AP202" s="7"/>
      <c r="AQ202" s="38">
        <f t="shared" si="26"/>
        <v>4589919.924999997</v>
      </c>
      <c r="AR202" s="36">
        <v>4589200</v>
      </c>
      <c r="AS202" s="18">
        <f t="shared" si="27"/>
        <v>-719.92499999701977</v>
      </c>
    </row>
    <row r="203" spans="1:45" x14ac:dyDescent="0.25">
      <c r="A203" s="40">
        <v>45491</v>
      </c>
      <c r="B203" s="20">
        <v>1389.146</v>
      </c>
      <c r="C203" s="20">
        <v>3312.7089999999998</v>
      </c>
      <c r="D203" s="20">
        <v>5670</v>
      </c>
      <c r="E203" s="20">
        <v>5019</v>
      </c>
      <c r="F203" s="7">
        <f t="shared" si="21"/>
        <v>7876457.8199999994</v>
      </c>
      <c r="G203" s="7">
        <f t="shared" si="22"/>
        <v>16626486.470999999</v>
      </c>
      <c r="H203" s="20">
        <v>30</v>
      </c>
      <c r="I203" s="20">
        <v>570000</v>
      </c>
      <c r="J203" s="20">
        <v>45</v>
      </c>
      <c r="K203" s="20">
        <v>669000</v>
      </c>
      <c r="L203" s="20">
        <v>23000</v>
      </c>
      <c r="M203" s="20"/>
      <c r="N203" s="20"/>
      <c r="O203" s="20">
        <v>5346500</v>
      </c>
      <c r="P203" s="20"/>
      <c r="Q203" s="19">
        <f t="shared" si="23"/>
        <v>31111444.290999997</v>
      </c>
      <c r="R203" s="20">
        <v>876050</v>
      </c>
      <c r="S203" s="20">
        <v>10011800</v>
      </c>
      <c r="T203" s="20"/>
      <c r="U203" s="20"/>
      <c r="V203" s="20"/>
      <c r="W203" s="20">
        <v>380000</v>
      </c>
      <c r="X203" s="20">
        <v>12503828</v>
      </c>
      <c r="Y203" s="8">
        <f t="shared" si="24"/>
        <v>7339766.2909999974</v>
      </c>
      <c r="Z203" s="36"/>
      <c r="AA203" s="36"/>
      <c r="AB203" s="36"/>
      <c r="AC203" s="36"/>
      <c r="AD203" s="36"/>
      <c r="AE203" s="36"/>
      <c r="AF203" s="36">
        <v>3000</v>
      </c>
      <c r="AG203" s="36"/>
      <c r="AH203" s="36">
        <v>17000</v>
      </c>
      <c r="AI203" s="36"/>
      <c r="AJ203" s="36">
        <v>109000</v>
      </c>
      <c r="AK203" s="36"/>
      <c r="AL203" s="37">
        <f t="shared" si="25"/>
        <v>129000</v>
      </c>
      <c r="AM203" s="36"/>
      <c r="AN203" s="36"/>
      <c r="AO203" s="36"/>
      <c r="AP203" s="7"/>
      <c r="AQ203" s="38">
        <f t="shared" si="26"/>
        <v>7210766.2909999974</v>
      </c>
      <c r="AR203" s="36">
        <v>7210800</v>
      </c>
      <c r="AS203" s="18">
        <f t="shared" si="27"/>
        <v>33.709000002592802</v>
      </c>
    </row>
    <row r="204" spans="1:45" x14ac:dyDescent="0.25">
      <c r="A204" s="40">
        <v>45492</v>
      </c>
      <c r="B204" s="20">
        <v>1866.229</v>
      </c>
      <c r="C204" s="20">
        <v>3487.433</v>
      </c>
      <c r="D204" s="20">
        <v>5670</v>
      </c>
      <c r="E204" s="20">
        <v>5019</v>
      </c>
      <c r="F204" s="7">
        <f t="shared" si="21"/>
        <v>10581518.43</v>
      </c>
      <c r="G204" s="7">
        <f t="shared" si="22"/>
        <v>17503426.227000002</v>
      </c>
      <c r="H204" s="20">
        <v>85.25</v>
      </c>
      <c r="I204" s="20">
        <v>1676500</v>
      </c>
      <c r="J204" s="20">
        <v>161</v>
      </c>
      <c r="K204" s="20">
        <v>1577500</v>
      </c>
      <c r="L204" s="20">
        <v>148000</v>
      </c>
      <c r="M204" s="20">
        <v>300000</v>
      </c>
      <c r="N204" s="20"/>
      <c r="O204" s="20">
        <v>780000</v>
      </c>
      <c r="P204" s="20"/>
      <c r="Q204" s="19">
        <f t="shared" si="23"/>
        <v>32566944.657000002</v>
      </c>
      <c r="R204" s="20">
        <v>1390801</v>
      </c>
      <c r="S204" s="20">
        <v>12253359</v>
      </c>
      <c r="T204" s="20"/>
      <c r="U204" s="20"/>
      <c r="V204" s="20"/>
      <c r="W204" s="20">
        <v>0</v>
      </c>
      <c r="X204" s="20">
        <v>10046595</v>
      </c>
      <c r="Y204" s="8">
        <f t="shared" si="24"/>
        <v>8876189.6570000015</v>
      </c>
      <c r="Z204" s="36"/>
      <c r="AA204" s="36"/>
      <c r="AB204" s="36"/>
      <c r="AC204" s="36">
        <v>11000</v>
      </c>
      <c r="AD204" s="36">
        <v>200760</v>
      </c>
      <c r="AE204" s="36"/>
      <c r="AF204" s="36">
        <v>6000</v>
      </c>
      <c r="AG204" s="36"/>
      <c r="AH204" s="36">
        <v>19000</v>
      </c>
      <c r="AI204" s="36"/>
      <c r="AJ204" s="36">
        <v>1440000</v>
      </c>
      <c r="AK204" s="36"/>
      <c r="AL204" s="37">
        <f t="shared" si="25"/>
        <v>1676760</v>
      </c>
      <c r="AM204" s="36">
        <v>1595000</v>
      </c>
      <c r="AN204" s="36"/>
      <c r="AO204" s="36"/>
      <c r="AP204" s="7"/>
      <c r="AQ204" s="38">
        <f t="shared" si="26"/>
        <v>5604429.6570000015</v>
      </c>
      <c r="AR204" s="36"/>
      <c r="AS204" s="18">
        <f t="shared" si="27"/>
        <v>-5604429.6570000015</v>
      </c>
    </row>
    <row r="205" spans="1:45" x14ac:dyDescent="0.25">
      <c r="A205" s="40">
        <v>45493</v>
      </c>
      <c r="B205" s="20">
        <v>2252.5970000000002</v>
      </c>
      <c r="C205" s="20">
        <v>1299.174</v>
      </c>
      <c r="D205" s="20">
        <v>5670</v>
      </c>
      <c r="E205" s="20">
        <v>5019</v>
      </c>
      <c r="F205" s="7">
        <f t="shared" si="21"/>
        <v>12772224.990000002</v>
      </c>
      <c r="G205" s="7">
        <f t="shared" si="22"/>
        <v>6520554.3059999999</v>
      </c>
      <c r="H205" s="20">
        <v>32.75</v>
      </c>
      <c r="I205" s="20">
        <v>623500</v>
      </c>
      <c r="J205" s="20">
        <v>31</v>
      </c>
      <c r="K205" s="20">
        <v>263000</v>
      </c>
      <c r="L205" s="20">
        <v>24000</v>
      </c>
      <c r="M205" s="20"/>
      <c r="N205" s="20"/>
      <c r="O205" s="20">
        <v>1692000</v>
      </c>
      <c r="P205" s="20"/>
      <c r="Q205" s="19">
        <f t="shared" si="23"/>
        <v>21895279.296000004</v>
      </c>
      <c r="R205" s="20">
        <v>3682023</v>
      </c>
      <c r="S205" s="20">
        <v>5401880</v>
      </c>
      <c r="T205" s="20"/>
      <c r="U205" s="20"/>
      <c r="V205" s="20"/>
      <c r="W205" s="20">
        <v>185500</v>
      </c>
      <c r="X205" s="20">
        <v>8343020</v>
      </c>
      <c r="Y205" s="8">
        <f t="shared" si="24"/>
        <v>4282856.2960000038</v>
      </c>
      <c r="Z205" s="36"/>
      <c r="AA205" s="36"/>
      <c r="AB205" s="36"/>
      <c r="AC205" s="36"/>
      <c r="AD205" s="36"/>
      <c r="AE205" s="36"/>
      <c r="AF205" s="36">
        <v>150000</v>
      </c>
      <c r="AG205" s="36"/>
      <c r="AH205" s="36"/>
      <c r="AI205" s="36"/>
      <c r="AJ205" s="36">
        <v>130000</v>
      </c>
      <c r="AK205" s="36"/>
      <c r="AL205" s="37">
        <f t="shared" si="25"/>
        <v>280000</v>
      </c>
      <c r="AM205" s="36"/>
      <c r="AN205" s="36"/>
      <c r="AO205" s="36"/>
      <c r="AP205" s="7"/>
      <c r="AQ205" s="38">
        <f t="shared" si="26"/>
        <v>4002856.2960000038</v>
      </c>
      <c r="AR205" s="36">
        <v>9607400</v>
      </c>
      <c r="AS205" s="18">
        <f t="shared" si="27"/>
        <v>5604543.7039999962</v>
      </c>
    </row>
    <row r="206" spans="1:45" x14ac:dyDescent="0.25">
      <c r="A206" s="40">
        <v>45494</v>
      </c>
      <c r="B206" s="20">
        <v>1890.4079999999999</v>
      </c>
      <c r="C206" s="20">
        <v>3303.4070000000002</v>
      </c>
      <c r="D206" s="20">
        <v>5670</v>
      </c>
      <c r="E206" s="20">
        <v>5019</v>
      </c>
      <c r="F206" s="7">
        <f t="shared" si="21"/>
        <v>10718613.359999999</v>
      </c>
      <c r="G206" s="7">
        <f t="shared" si="22"/>
        <v>16579799.733000001</v>
      </c>
      <c r="H206" s="20">
        <v>33</v>
      </c>
      <c r="I206" s="20">
        <v>628500</v>
      </c>
      <c r="J206" s="20">
        <v>82</v>
      </c>
      <c r="K206" s="20">
        <v>1014500</v>
      </c>
      <c r="L206" s="20">
        <v>69000</v>
      </c>
      <c r="M206" s="20"/>
      <c r="N206" s="20"/>
      <c r="O206" s="20">
        <v>7282397</v>
      </c>
      <c r="P206" s="20"/>
      <c r="Q206" s="19">
        <f t="shared" si="23"/>
        <v>36292810.093000002</v>
      </c>
      <c r="R206" s="20">
        <v>1117363</v>
      </c>
      <c r="S206" s="20">
        <v>7450354</v>
      </c>
      <c r="T206" s="20"/>
      <c r="U206" s="20"/>
      <c r="V206" s="20"/>
      <c r="W206" s="20">
        <v>222000</v>
      </c>
      <c r="X206" s="20">
        <v>16844428</v>
      </c>
      <c r="Y206" s="8">
        <f t="shared" si="24"/>
        <v>10658665.093000002</v>
      </c>
      <c r="Z206" s="36"/>
      <c r="AA206" s="36"/>
      <c r="AB206" s="36"/>
      <c r="AC206" s="36"/>
      <c r="AD206" s="36"/>
      <c r="AE206" s="36"/>
      <c r="AF206" s="36">
        <v>5000</v>
      </c>
      <c r="AG206" s="36"/>
      <c r="AH206" s="36">
        <v>21000</v>
      </c>
      <c r="AI206" s="36"/>
      <c r="AJ206" s="36"/>
      <c r="AK206" s="36"/>
      <c r="AL206" s="37">
        <f t="shared" si="25"/>
        <v>26000</v>
      </c>
      <c r="AM206" s="36"/>
      <c r="AN206" s="36"/>
      <c r="AO206" s="36"/>
      <c r="AP206" s="7"/>
      <c r="AQ206" s="38">
        <f t="shared" si="26"/>
        <v>10632665.093000002</v>
      </c>
      <c r="AR206" s="36">
        <v>0</v>
      </c>
      <c r="AS206" s="18">
        <f t="shared" si="27"/>
        <v>-10632665.093000002</v>
      </c>
    </row>
    <row r="207" spans="1:45" x14ac:dyDescent="0.25">
      <c r="A207" s="40">
        <v>45495</v>
      </c>
      <c r="B207" s="20">
        <v>1475.607</v>
      </c>
      <c r="C207" s="20">
        <v>2662.614</v>
      </c>
      <c r="D207" s="20">
        <v>5670</v>
      </c>
      <c r="E207" s="20">
        <v>5019</v>
      </c>
      <c r="F207" s="7">
        <f t="shared" si="21"/>
        <v>8366691.6899999995</v>
      </c>
      <c r="G207" s="7">
        <f t="shared" si="22"/>
        <v>13363659.665999999</v>
      </c>
      <c r="H207" s="20">
        <v>39.25</v>
      </c>
      <c r="I207" s="20">
        <v>846000</v>
      </c>
      <c r="J207" s="20">
        <v>6</v>
      </c>
      <c r="K207" s="20">
        <v>222000</v>
      </c>
      <c r="L207" s="20">
        <v>31000</v>
      </c>
      <c r="M207" s="20"/>
      <c r="N207" s="20"/>
      <c r="O207" s="20">
        <v>1337000</v>
      </c>
      <c r="P207" s="20"/>
      <c r="Q207" s="19">
        <f t="shared" si="23"/>
        <v>24166351.355999999</v>
      </c>
      <c r="R207" s="20">
        <v>1187050</v>
      </c>
      <c r="S207" s="20">
        <v>8353195</v>
      </c>
      <c r="T207" s="20"/>
      <c r="U207" s="20"/>
      <c r="V207" s="20"/>
      <c r="W207" s="20">
        <v>20000</v>
      </c>
      <c r="X207" s="20">
        <v>6708980</v>
      </c>
      <c r="Y207" s="8">
        <f t="shared" si="24"/>
        <v>7897126.3559999987</v>
      </c>
      <c r="Z207" s="36"/>
      <c r="AA207" s="36"/>
      <c r="AB207" s="36"/>
      <c r="AC207" s="36"/>
      <c r="AD207" s="36"/>
      <c r="AE207" s="36"/>
      <c r="AF207" s="36"/>
      <c r="AG207" s="36">
        <v>1000000</v>
      </c>
      <c r="AH207" s="36"/>
      <c r="AI207" s="36"/>
      <c r="AJ207" s="36"/>
      <c r="AK207" s="36"/>
      <c r="AL207" s="37">
        <f t="shared" si="25"/>
        <v>1000000</v>
      </c>
      <c r="AM207" s="36"/>
      <c r="AN207" s="36"/>
      <c r="AO207" s="36"/>
      <c r="AP207" s="7"/>
      <c r="AQ207" s="38">
        <f t="shared" si="26"/>
        <v>6897126.3559999987</v>
      </c>
      <c r="AR207" s="36">
        <v>17529700</v>
      </c>
      <c r="AS207" s="18">
        <f t="shared" si="27"/>
        <v>10632573.644000001</v>
      </c>
    </row>
    <row r="208" spans="1:45" x14ac:dyDescent="0.25">
      <c r="A208" s="40">
        <v>45496</v>
      </c>
      <c r="B208" s="20">
        <v>1732.2349999999999</v>
      </c>
      <c r="C208" s="20">
        <v>4417.9520000000002</v>
      </c>
      <c r="D208" s="20">
        <v>5670</v>
      </c>
      <c r="E208" s="20">
        <v>5019</v>
      </c>
      <c r="F208" s="7">
        <f t="shared" si="21"/>
        <v>9821772.4499999993</v>
      </c>
      <c r="G208" s="7">
        <f t="shared" si="22"/>
        <v>22173701.088</v>
      </c>
      <c r="H208" s="20">
        <v>56.75</v>
      </c>
      <c r="I208" s="20">
        <v>1127000</v>
      </c>
      <c r="J208" s="20">
        <v>30.5</v>
      </c>
      <c r="K208" s="20">
        <v>448000</v>
      </c>
      <c r="L208" s="20">
        <v>23000</v>
      </c>
      <c r="M208" s="20"/>
      <c r="N208" s="20"/>
      <c r="O208" s="20">
        <v>214830</v>
      </c>
      <c r="P208" s="20"/>
      <c r="Q208" s="19">
        <f t="shared" si="23"/>
        <v>33808303.538000003</v>
      </c>
      <c r="R208" s="20">
        <v>1617543</v>
      </c>
      <c r="S208" s="20">
        <v>11305280</v>
      </c>
      <c r="T208" s="20"/>
      <c r="U208" s="20"/>
      <c r="V208" s="20"/>
      <c r="W208" s="20">
        <v>318000</v>
      </c>
      <c r="X208" s="20">
        <v>13900060</v>
      </c>
      <c r="Y208" s="8">
        <f t="shared" si="24"/>
        <v>6667420.5380000025</v>
      </c>
      <c r="Z208" s="36"/>
      <c r="AA208" s="36"/>
      <c r="AB208" s="36"/>
      <c r="AC208" s="36">
        <v>51000</v>
      </c>
      <c r="AD208" s="36">
        <v>50190</v>
      </c>
      <c r="AE208" s="36"/>
      <c r="AF208" s="36">
        <v>6000</v>
      </c>
      <c r="AG208" s="36"/>
      <c r="AH208" s="36">
        <v>30000</v>
      </c>
      <c r="AI208" s="36"/>
      <c r="AJ208" s="36">
        <v>1000000</v>
      </c>
      <c r="AK208" s="36"/>
      <c r="AL208" s="37">
        <f t="shared" si="25"/>
        <v>1137190</v>
      </c>
      <c r="AM208" s="36"/>
      <c r="AN208" s="36">
        <v>370000</v>
      </c>
      <c r="AO208" s="36">
        <v>4500</v>
      </c>
      <c r="AP208" s="7"/>
      <c r="AQ208" s="38">
        <f t="shared" si="26"/>
        <v>5155730.5380000025</v>
      </c>
      <c r="AR208" s="36">
        <v>5155800</v>
      </c>
      <c r="AS208" s="18">
        <f t="shared" si="27"/>
        <v>69.461999997496605</v>
      </c>
    </row>
    <row r="209" spans="1:45" x14ac:dyDescent="0.25">
      <c r="A209" s="40">
        <v>45497</v>
      </c>
      <c r="B209" s="20">
        <v>1514.117</v>
      </c>
      <c r="C209" s="20">
        <v>3046.183</v>
      </c>
      <c r="D209" s="20">
        <v>5670</v>
      </c>
      <c r="E209" s="20">
        <v>5019</v>
      </c>
      <c r="F209" s="7">
        <f t="shared" si="21"/>
        <v>8585043.3900000006</v>
      </c>
      <c r="G209" s="7">
        <f t="shared" si="22"/>
        <v>15288792.477</v>
      </c>
      <c r="H209" s="20">
        <v>96.75</v>
      </c>
      <c r="I209" s="20">
        <v>2038500</v>
      </c>
      <c r="J209" s="20">
        <v>24</v>
      </c>
      <c r="K209" s="20">
        <v>307000</v>
      </c>
      <c r="L209" s="20">
        <v>71000</v>
      </c>
      <c r="M209" s="20"/>
      <c r="N209" s="20"/>
      <c r="O209" s="20">
        <v>7068470</v>
      </c>
      <c r="P209" s="20"/>
      <c r="Q209" s="19">
        <f t="shared" si="23"/>
        <v>33358805.866999999</v>
      </c>
      <c r="R209" s="20">
        <v>725495</v>
      </c>
      <c r="S209" s="20">
        <v>9760216</v>
      </c>
      <c r="T209" s="20"/>
      <c r="U209" s="20"/>
      <c r="V209" s="20"/>
      <c r="W209" s="20">
        <v>674532</v>
      </c>
      <c r="X209" s="20">
        <v>8603407</v>
      </c>
      <c r="Y209" s="8">
        <f t="shared" si="24"/>
        <v>13595155.866999999</v>
      </c>
      <c r="Z209" s="36"/>
      <c r="AA209" s="36">
        <v>104000</v>
      </c>
      <c r="AB209" s="36"/>
      <c r="AC209" s="36"/>
      <c r="AD209" s="36"/>
      <c r="AE209" s="36"/>
      <c r="AF209" s="36">
        <v>3000</v>
      </c>
      <c r="AG209" s="36"/>
      <c r="AH209" s="36"/>
      <c r="AI209" s="36">
        <v>6000</v>
      </c>
      <c r="AJ209" s="36"/>
      <c r="AK209" s="36"/>
      <c r="AL209" s="37">
        <f t="shared" si="25"/>
        <v>113000</v>
      </c>
      <c r="AM209" s="36"/>
      <c r="AN209" s="36"/>
      <c r="AO209" s="36"/>
      <c r="AP209" s="7"/>
      <c r="AQ209" s="38">
        <f t="shared" si="26"/>
        <v>13482155.866999999</v>
      </c>
      <c r="AR209" s="36">
        <v>13482200</v>
      </c>
      <c r="AS209" s="18">
        <f t="shared" si="27"/>
        <v>44.133000001311302</v>
      </c>
    </row>
    <row r="210" spans="1:45" x14ac:dyDescent="0.25">
      <c r="A210" s="40">
        <v>45498</v>
      </c>
      <c r="B210" s="20">
        <v>1771.6120000000001</v>
      </c>
      <c r="C210" s="20">
        <v>3365.2510000000002</v>
      </c>
      <c r="D210" s="20">
        <v>5670</v>
      </c>
      <c r="E210" s="20">
        <v>5019</v>
      </c>
      <c r="F210" s="7">
        <f t="shared" si="21"/>
        <v>10045040.040000001</v>
      </c>
      <c r="G210" s="7">
        <f t="shared" si="22"/>
        <v>16890194.769000001</v>
      </c>
      <c r="H210" s="20">
        <v>95.5</v>
      </c>
      <c r="I210" s="20">
        <v>2100000</v>
      </c>
      <c r="J210" s="20">
        <v>36.5</v>
      </c>
      <c r="K210" s="20">
        <v>409000</v>
      </c>
      <c r="L210" s="20">
        <v>38000</v>
      </c>
      <c r="M210" s="20"/>
      <c r="N210" s="20"/>
      <c r="O210" s="20">
        <v>2865300</v>
      </c>
      <c r="P210" s="20"/>
      <c r="Q210" s="19">
        <f t="shared" si="23"/>
        <v>32347534.809</v>
      </c>
      <c r="R210" s="20">
        <v>1217427</v>
      </c>
      <c r="S210" s="20">
        <v>6140927</v>
      </c>
      <c r="T210" s="20"/>
      <c r="U210" s="20"/>
      <c r="V210" s="20"/>
      <c r="W210" s="20">
        <v>1870121</v>
      </c>
      <c r="X210" s="20">
        <v>13546323</v>
      </c>
      <c r="Y210" s="8">
        <f t="shared" si="24"/>
        <v>9572736.8090000004</v>
      </c>
      <c r="Z210" s="36"/>
      <c r="AA210" s="36"/>
      <c r="AB210" s="36"/>
      <c r="AC210" s="36"/>
      <c r="AD210" s="36"/>
      <c r="AE210" s="36"/>
      <c r="AF210" s="36"/>
      <c r="AG210" s="36"/>
      <c r="AH210" s="36"/>
      <c r="AI210" s="36">
        <v>20000</v>
      </c>
      <c r="AJ210" s="36"/>
      <c r="AK210" s="36"/>
      <c r="AL210" s="37">
        <f t="shared" si="25"/>
        <v>20000</v>
      </c>
      <c r="AM210" s="36"/>
      <c r="AN210" s="36"/>
      <c r="AO210" s="36"/>
      <c r="AP210" s="7"/>
      <c r="AQ210" s="38">
        <f t="shared" si="26"/>
        <v>9552736.8090000004</v>
      </c>
      <c r="AR210" s="36">
        <v>9553700</v>
      </c>
      <c r="AS210" s="18">
        <f t="shared" si="27"/>
        <v>963.19099999964237</v>
      </c>
    </row>
    <row r="211" spans="1:45" x14ac:dyDescent="0.25">
      <c r="A211" s="40">
        <v>45499</v>
      </c>
      <c r="B211" s="20">
        <v>1841.04</v>
      </c>
      <c r="C211" s="20">
        <v>3501.1590000000001</v>
      </c>
      <c r="D211" s="20">
        <v>5550</v>
      </c>
      <c r="E211" s="20">
        <v>4899</v>
      </c>
      <c r="F211" s="7">
        <f t="shared" si="21"/>
        <v>10217772</v>
      </c>
      <c r="G211" s="7">
        <f t="shared" si="22"/>
        <v>17152177.941</v>
      </c>
      <c r="H211" s="20">
        <v>59</v>
      </c>
      <c r="I211" s="20">
        <v>1207000</v>
      </c>
      <c r="J211" s="20">
        <v>55</v>
      </c>
      <c r="K211" s="20">
        <v>567000</v>
      </c>
      <c r="L211" s="20">
        <v>45000</v>
      </c>
      <c r="M211" s="20"/>
      <c r="N211" s="20"/>
      <c r="O211" s="20">
        <v>2827194</v>
      </c>
      <c r="P211" s="20"/>
      <c r="Q211" s="19">
        <f t="shared" si="23"/>
        <v>32016143.941</v>
      </c>
      <c r="R211" s="20">
        <v>829675</v>
      </c>
      <c r="S211" s="20">
        <v>6549582</v>
      </c>
      <c r="T211" s="20"/>
      <c r="U211" s="20"/>
      <c r="V211" s="20"/>
      <c r="W211" s="20">
        <v>394950</v>
      </c>
      <c r="X211" s="20">
        <v>13912937</v>
      </c>
      <c r="Y211" s="8">
        <f t="shared" si="24"/>
        <v>10328999.941</v>
      </c>
      <c r="Z211" s="36"/>
      <c r="AA211" s="36"/>
      <c r="AB211" s="36"/>
      <c r="AC211" s="36">
        <v>46000</v>
      </c>
      <c r="AD211" s="36"/>
      <c r="AE211" s="36"/>
      <c r="AF211" s="36">
        <v>4000</v>
      </c>
      <c r="AG211" s="36"/>
      <c r="AH211" s="36"/>
      <c r="AI211" s="36"/>
      <c r="AJ211" s="36"/>
      <c r="AK211" s="36"/>
      <c r="AL211" s="37">
        <f t="shared" si="25"/>
        <v>50000</v>
      </c>
      <c r="AM211" s="36"/>
      <c r="AN211" s="36"/>
      <c r="AO211" s="36"/>
      <c r="AP211" s="7"/>
      <c r="AQ211" s="38">
        <f t="shared" si="26"/>
        <v>10278999.941</v>
      </c>
      <c r="AR211" s="36">
        <v>10277700</v>
      </c>
      <c r="AS211" s="18">
        <f t="shared" si="27"/>
        <v>-1299.9409999996424</v>
      </c>
    </row>
    <row r="212" spans="1:45" x14ac:dyDescent="0.25">
      <c r="A212" s="40">
        <v>45500</v>
      </c>
      <c r="B212" s="20">
        <v>2126.0990000000002</v>
      </c>
      <c r="C212" s="20">
        <v>5209.5150000000003</v>
      </c>
      <c r="D212" s="20">
        <v>5550</v>
      </c>
      <c r="E212" s="20">
        <v>4899</v>
      </c>
      <c r="F212" s="7">
        <f t="shared" si="21"/>
        <v>11799849.450000001</v>
      </c>
      <c r="G212" s="7">
        <f t="shared" si="22"/>
        <v>25521413.985000003</v>
      </c>
      <c r="H212" s="20">
        <v>88</v>
      </c>
      <c r="I212" s="20">
        <v>1783500</v>
      </c>
      <c r="J212" s="20">
        <v>27</v>
      </c>
      <c r="K212" s="20">
        <v>257000</v>
      </c>
      <c r="L212" s="20">
        <v>78000</v>
      </c>
      <c r="M212" s="20"/>
      <c r="N212" s="20"/>
      <c r="O212" s="20">
        <v>2017000</v>
      </c>
      <c r="P212" s="20"/>
      <c r="Q212" s="19">
        <f t="shared" si="23"/>
        <v>41456763.435000002</v>
      </c>
      <c r="R212" s="20">
        <v>929141</v>
      </c>
      <c r="S212" s="20">
        <v>15728624</v>
      </c>
      <c r="T212" s="20"/>
      <c r="U212" s="20"/>
      <c r="V212" s="20"/>
      <c r="W212" s="20">
        <v>274230</v>
      </c>
      <c r="X212" s="20">
        <v>18039771</v>
      </c>
      <c r="Y212" s="8">
        <f t="shared" si="24"/>
        <v>6484997.4350000024</v>
      </c>
      <c r="Z212" s="36"/>
      <c r="AA212" s="36"/>
      <c r="AB212" s="36"/>
      <c r="AC212" s="36">
        <v>42000</v>
      </c>
      <c r="AD212" s="36"/>
      <c r="AE212" s="36"/>
      <c r="AF212" s="36">
        <v>3000</v>
      </c>
      <c r="AG212" s="36"/>
      <c r="AH212" s="36"/>
      <c r="AI212" s="36"/>
      <c r="AJ212" s="36"/>
      <c r="AK212" s="36"/>
      <c r="AL212" s="37">
        <f t="shared" si="25"/>
        <v>45000</v>
      </c>
      <c r="AM212" s="36"/>
      <c r="AN212" s="36"/>
      <c r="AO212" s="36"/>
      <c r="AP212" s="7"/>
      <c r="AQ212" s="38">
        <f t="shared" si="26"/>
        <v>6439997.4350000024</v>
      </c>
      <c r="AR212" s="36">
        <v>6440000</v>
      </c>
      <c r="AS212" s="18">
        <f t="shared" si="27"/>
        <v>2.5649999976158142</v>
      </c>
    </row>
    <row r="213" spans="1:45" x14ac:dyDescent="0.25">
      <c r="A213" s="40">
        <v>45501</v>
      </c>
      <c r="B213" s="20">
        <v>2290.88</v>
      </c>
      <c r="C213" s="20">
        <v>3677.5439999999999</v>
      </c>
      <c r="D213" s="20">
        <v>5550</v>
      </c>
      <c r="E213" s="20">
        <v>4899</v>
      </c>
      <c r="F213" s="7">
        <f t="shared" si="21"/>
        <v>12714384</v>
      </c>
      <c r="G213" s="7">
        <f t="shared" si="22"/>
        <v>18016288.055999998</v>
      </c>
      <c r="H213" s="20">
        <v>106.25</v>
      </c>
      <c r="I213" s="20">
        <v>2304500</v>
      </c>
      <c r="J213" s="20">
        <v>57.5</v>
      </c>
      <c r="K213" s="20">
        <v>688000</v>
      </c>
      <c r="L213" s="20">
        <v>157000</v>
      </c>
      <c r="M213" s="20"/>
      <c r="N213" s="20">
        <v>2000000</v>
      </c>
      <c r="O213" s="20">
        <v>1379000</v>
      </c>
      <c r="P213" s="20"/>
      <c r="Q213" s="19">
        <f t="shared" si="23"/>
        <v>37259172.055999994</v>
      </c>
      <c r="R213" s="20">
        <v>584865</v>
      </c>
      <c r="S213" s="20">
        <v>9820676</v>
      </c>
      <c r="T213" s="20"/>
      <c r="U213" s="20"/>
      <c r="V213" s="20"/>
      <c r="W213" s="20">
        <v>520000</v>
      </c>
      <c r="X213" s="20">
        <v>17788653</v>
      </c>
      <c r="Y213" s="8">
        <f t="shared" si="24"/>
        <v>8544978.0559999943</v>
      </c>
      <c r="Z213" s="36"/>
      <c r="AA213" s="36"/>
      <c r="AB213" s="36"/>
      <c r="AC213" s="36"/>
      <c r="AD213" s="36"/>
      <c r="AE213" s="36"/>
      <c r="AF213" s="36">
        <v>7000</v>
      </c>
      <c r="AG213" s="36"/>
      <c r="AH213" s="36">
        <v>19000</v>
      </c>
      <c r="AI213" s="36"/>
      <c r="AJ213" s="36"/>
      <c r="AK213" s="36"/>
      <c r="AL213" s="37">
        <f t="shared" si="25"/>
        <v>26000</v>
      </c>
      <c r="AM213" s="36"/>
      <c r="AN213" s="36"/>
      <c r="AO213" s="36"/>
      <c r="AP213" s="7"/>
      <c r="AQ213" s="38">
        <f t="shared" si="26"/>
        <v>8518978.0559999943</v>
      </c>
      <c r="AR213" s="36">
        <v>0</v>
      </c>
      <c r="AS213" s="18">
        <f t="shared" si="27"/>
        <v>-8518978.0559999943</v>
      </c>
    </row>
    <row r="214" spans="1:45" x14ac:dyDescent="0.25">
      <c r="A214" s="40">
        <v>45502</v>
      </c>
      <c r="B214" s="20">
        <v>1662.66</v>
      </c>
      <c r="C214" s="20">
        <v>2500.0590000000002</v>
      </c>
      <c r="D214" s="20">
        <v>5550</v>
      </c>
      <c r="E214" s="20">
        <v>4899</v>
      </c>
      <c r="F214" s="7">
        <f t="shared" si="21"/>
        <v>9227763</v>
      </c>
      <c r="G214" s="7">
        <f t="shared" si="22"/>
        <v>12247789.041000001</v>
      </c>
      <c r="H214" s="20">
        <v>68.75</v>
      </c>
      <c r="I214" s="20">
        <v>1495500</v>
      </c>
      <c r="J214" s="20">
        <v>39</v>
      </c>
      <c r="K214" s="20">
        <v>714000</v>
      </c>
      <c r="L214" s="20">
        <v>163000</v>
      </c>
      <c r="M214" s="20"/>
      <c r="N214" s="20">
        <v>600000</v>
      </c>
      <c r="O214" s="20">
        <v>1329500</v>
      </c>
      <c r="P214" s="20"/>
      <c r="Q214" s="19">
        <f t="shared" si="23"/>
        <v>25777552.041000001</v>
      </c>
      <c r="R214" s="20">
        <v>720680</v>
      </c>
      <c r="S214" s="20">
        <v>5441977</v>
      </c>
      <c r="T214" s="20"/>
      <c r="U214" s="20"/>
      <c r="V214" s="20"/>
      <c r="W214" s="20">
        <v>600000</v>
      </c>
      <c r="X214" s="20">
        <v>11855170</v>
      </c>
      <c r="Y214" s="8">
        <f t="shared" si="24"/>
        <v>7159725.0410000011</v>
      </c>
      <c r="Z214" s="36"/>
      <c r="AA214" s="36"/>
      <c r="AB214" s="36"/>
      <c r="AC214" s="36">
        <v>13000</v>
      </c>
      <c r="AD214" s="36"/>
      <c r="AE214" s="36"/>
      <c r="AF214" s="36"/>
      <c r="AG214" s="36"/>
      <c r="AH214" s="36"/>
      <c r="AI214" s="36"/>
      <c r="AJ214" s="36"/>
      <c r="AK214" s="36"/>
      <c r="AL214" s="37">
        <f t="shared" si="25"/>
        <v>13000</v>
      </c>
      <c r="AM214" s="36">
        <v>812000</v>
      </c>
      <c r="AN214" s="36"/>
      <c r="AO214" s="36"/>
      <c r="AP214" s="7"/>
      <c r="AQ214" s="38">
        <f t="shared" si="26"/>
        <v>6334725.0410000011</v>
      </c>
      <c r="AR214" s="36">
        <v>14853800</v>
      </c>
      <c r="AS214" s="18">
        <f t="shared" si="27"/>
        <v>8519074.9589999989</v>
      </c>
    </row>
    <row r="215" spans="1:45" x14ac:dyDescent="0.25">
      <c r="A215" s="40">
        <v>45503</v>
      </c>
      <c r="B215" s="20">
        <v>1616.049</v>
      </c>
      <c r="C215" s="20">
        <v>3781.6120000000001</v>
      </c>
      <c r="D215" s="20">
        <v>5550</v>
      </c>
      <c r="E215" s="20">
        <v>4899</v>
      </c>
      <c r="F215" s="7">
        <f t="shared" si="21"/>
        <v>8969071.9499999993</v>
      </c>
      <c r="G215" s="7">
        <f t="shared" si="22"/>
        <v>18526117.188000001</v>
      </c>
      <c r="H215" s="20">
        <v>93</v>
      </c>
      <c r="I215" s="20">
        <v>2069000</v>
      </c>
      <c r="J215" s="20">
        <v>52</v>
      </c>
      <c r="K215" s="20">
        <v>555000</v>
      </c>
      <c r="L215" s="20">
        <v>228000</v>
      </c>
      <c r="M215" s="20"/>
      <c r="N215" s="20"/>
      <c r="O215" s="20">
        <v>2708680</v>
      </c>
      <c r="P215" s="20">
        <v>75000</v>
      </c>
      <c r="Q215" s="19">
        <f t="shared" si="23"/>
        <v>33130869.138</v>
      </c>
      <c r="R215" s="20">
        <v>1536858</v>
      </c>
      <c r="S215" s="20">
        <v>7211350</v>
      </c>
      <c r="T215" s="20"/>
      <c r="U215" s="20"/>
      <c r="V215" s="20"/>
      <c r="W215" s="20">
        <v>199000</v>
      </c>
      <c r="X215" s="20">
        <v>16685380</v>
      </c>
      <c r="Y215" s="8">
        <f t="shared" si="24"/>
        <v>7498281.1380000003</v>
      </c>
      <c r="Z215" s="36"/>
      <c r="AA215" s="36"/>
      <c r="AB215" s="36"/>
      <c r="AC215" s="36"/>
      <c r="AD215" s="36"/>
      <c r="AE215" s="36"/>
      <c r="AF215" s="36">
        <v>10000</v>
      </c>
      <c r="AG215" s="36"/>
      <c r="AH215" s="36"/>
      <c r="AI215" s="36"/>
      <c r="AJ215" s="36"/>
      <c r="AK215" s="36"/>
      <c r="AL215" s="37">
        <f t="shared" si="25"/>
        <v>10000</v>
      </c>
      <c r="AM215" s="36"/>
      <c r="AN215" s="36"/>
      <c r="AO215" s="36"/>
      <c r="AP215" s="7"/>
      <c r="AQ215" s="38">
        <f t="shared" si="26"/>
        <v>7488281.1380000003</v>
      </c>
      <c r="AR215" s="36">
        <v>7488800</v>
      </c>
      <c r="AS215" s="18">
        <f t="shared" si="27"/>
        <v>518.86199999973178</v>
      </c>
    </row>
    <row r="216" spans="1:45" x14ac:dyDescent="0.25">
      <c r="A216" s="40">
        <v>45504</v>
      </c>
      <c r="B216" s="20">
        <v>1347.9490000000001</v>
      </c>
      <c r="C216" s="20">
        <v>3736.212</v>
      </c>
      <c r="D216" s="20">
        <v>5550</v>
      </c>
      <c r="E216" s="20">
        <v>4899</v>
      </c>
      <c r="F216" s="7">
        <f t="shared" si="21"/>
        <v>7481116.9500000002</v>
      </c>
      <c r="G216" s="7">
        <f t="shared" si="22"/>
        <v>18303702.588</v>
      </c>
      <c r="H216" s="20">
        <v>70.5</v>
      </c>
      <c r="I216" s="20">
        <v>1469000</v>
      </c>
      <c r="J216" s="20">
        <v>73.5</v>
      </c>
      <c r="K216" s="20">
        <v>751500</v>
      </c>
      <c r="L216" s="20">
        <v>63000</v>
      </c>
      <c r="M216" s="20"/>
      <c r="N216" s="20"/>
      <c r="O216" s="20">
        <v>1937000</v>
      </c>
      <c r="P216" s="20"/>
      <c r="Q216" s="19">
        <f t="shared" si="23"/>
        <v>30005319.537999999</v>
      </c>
      <c r="R216" s="20">
        <v>1254158</v>
      </c>
      <c r="S216" s="20">
        <v>11932330</v>
      </c>
      <c r="T216" s="20"/>
      <c r="U216" s="20"/>
      <c r="V216" s="20"/>
      <c r="W216" s="20">
        <v>0</v>
      </c>
      <c r="X216" s="20">
        <v>10416328</v>
      </c>
      <c r="Y216" s="8">
        <f t="shared" si="24"/>
        <v>6402503.5379999988</v>
      </c>
      <c r="Z216" s="36">
        <v>1531268</v>
      </c>
      <c r="AA216" s="36"/>
      <c r="AB216" s="36"/>
      <c r="AC216" s="36"/>
      <c r="AD216" s="36">
        <v>195960</v>
      </c>
      <c r="AE216" s="36"/>
      <c r="AF216" s="36">
        <v>3000</v>
      </c>
      <c r="AG216" s="36"/>
      <c r="AH216" s="36"/>
      <c r="AI216" s="36"/>
      <c r="AJ216" s="36"/>
      <c r="AK216" s="36">
        <v>42000</v>
      </c>
      <c r="AL216" s="37">
        <f t="shared" si="25"/>
        <v>1772228</v>
      </c>
      <c r="AM216" s="36"/>
      <c r="AN216" s="36"/>
      <c r="AO216" s="36"/>
      <c r="AP216" s="7"/>
      <c r="AQ216" s="38">
        <f t="shared" si="26"/>
        <v>4630275.5379999988</v>
      </c>
      <c r="AR216" s="36">
        <v>4630300</v>
      </c>
      <c r="AS216" s="18">
        <f t="shared" si="27"/>
        <v>24.462000001221895</v>
      </c>
    </row>
    <row r="217" spans="1:45" x14ac:dyDescent="0.25">
      <c r="A217" s="40">
        <v>45505</v>
      </c>
      <c r="B217" s="20">
        <v>1432.5129999999999</v>
      </c>
      <c r="C217" s="20">
        <v>4173.2640000000001</v>
      </c>
      <c r="D217" s="20">
        <v>5550</v>
      </c>
      <c r="E217" s="20">
        <v>4899</v>
      </c>
      <c r="F217" s="7">
        <f t="shared" si="21"/>
        <v>7950447.1499999994</v>
      </c>
      <c r="G217" s="7">
        <f t="shared" si="22"/>
        <v>20444820.335999999</v>
      </c>
      <c r="H217" s="20">
        <v>34</v>
      </c>
      <c r="I217" s="20">
        <v>694500</v>
      </c>
      <c r="J217" s="20">
        <v>91</v>
      </c>
      <c r="K217" s="20">
        <v>1057000</v>
      </c>
      <c r="L217" s="20">
        <v>45000</v>
      </c>
      <c r="M217" s="20"/>
      <c r="N217" s="20"/>
      <c r="O217" s="20">
        <v>187000</v>
      </c>
      <c r="P217" s="20"/>
      <c r="Q217" s="19">
        <f t="shared" si="23"/>
        <v>30378767.485999998</v>
      </c>
      <c r="R217" s="20">
        <v>1004583</v>
      </c>
      <c r="S217" s="20">
        <v>11987476</v>
      </c>
      <c r="T217" s="20"/>
      <c r="U217" s="20"/>
      <c r="V217" s="20"/>
      <c r="W217" s="20">
        <v>184154</v>
      </c>
      <c r="X217" s="20">
        <v>10206944</v>
      </c>
      <c r="Y217" s="8">
        <f t="shared" si="24"/>
        <v>6995610.4859999977</v>
      </c>
      <c r="Z217" s="36"/>
      <c r="AA217" s="36"/>
      <c r="AB217" s="36">
        <v>625400</v>
      </c>
      <c r="AC217" s="36">
        <v>27000</v>
      </c>
      <c r="AD217" s="36"/>
      <c r="AE217" s="36">
        <v>1200000</v>
      </c>
      <c r="AF217" s="36">
        <v>5000</v>
      </c>
      <c r="AG217" s="36">
        <v>2070000</v>
      </c>
      <c r="AH217" s="36"/>
      <c r="AI217" s="36">
        <v>30000</v>
      </c>
      <c r="AJ217" s="36"/>
      <c r="AK217" s="36"/>
      <c r="AL217" s="37">
        <f t="shared" si="25"/>
        <v>3957400</v>
      </c>
      <c r="AM217" s="36"/>
      <c r="AN217" s="36"/>
      <c r="AO217" s="36"/>
      <c r="AP217" s="7"/>
      <c r="AQ217" s="38">
        <f t="shared" si="26"/>
        <v>3038210.4859999977</v>
      </c>
      <c r="AR217" s="36">
        <v>3038200</v>
      </c>
      <c r="AS217" s="18">
        <f t="shared" si="27"/>
        <v>-10.485999997705221</v>
      </c>
    </row>
    <row r="218" spans="1:45" x14ac:dyDescent="0.25">
      <c r="A218" s="40">
        <v>45506</v>
      </c>
      <c r="B218" s="20">
        <v>1502.278</v>
      </c>
      <c r="C218" s="20">
        <v>5234.4380000000001</v>
      </c>
      <c r="D218" s="20">
        <v>5550</v>
      </c>
      <c r="E218" s="20">
        <v>4899</v>
      </c>
      <c r="F218" s="7">
        <f t="shared" si="21"/>
        <v>8337642.9000000004</v>
      </c>
      <c r="G218" s="7">
        <f t="shared" si="22"/>
        <v>25643511.762000002</v>
      </c>
      <c r="H218" s="20">
        <v>29</v>
      </c>
      <c r="I218" s="20">
        <v>566000</v>
      </c>
      <c r="J218" s="20">
        <v>57.5</v>
      </c>
      <c r="K218" s="20">
        <v>693000</v>
      </c>
      <c r="L218" s="20">
        <v>85000</v>
      </c>
      <c r="M218" s="20"/>
      <c r="N218" s="20"/>
      <c r="O218" s="20">
        <v>2204154</v>
      </c>
      <c r="P218" s="20"/>
      <c r="Q218" s="19">
        <f t="shared" si="23"/>
        <v>37529308.662</v>
      </c>
      <c r="R218" s="20">
        <v>1872482</v>
      </c>
      <c r="S218" s="20">
        <v>19810555</v>
      </c>
      <c r="T218" s="20"/>
      <c r="U218" s="20"/>
      <c r="V218" s="20"/>
      <c r="W218" s="20">
        <v>30000</v>
      </c>
      <c r="X218" s="20">
        <v>11196509</v>
      </c>
      <c r="Y218" s="8">
        <f t="shared" si="24"/>
        <v>4619762.6620000005</v>
      </c>
      <c r="Z218" s="36"/>
      <c r="AA218" s="36"/>
      <c r="AB218" s="36"/>
      <c r="AC218" s="36">
        <v>8000</v>
      </c>
      <c r="AD218" s="36"/>
      <c r="AE218" s="36"/>
      <c r="AF218" s="36">
        <v>5000</v>
      </c>
      <c r="AG218" s="36"/>
      <c r="AH218" s="36"/>
      <c r="AI218" s="36"/>
      <c r="AJ218" s="36">
        <v>500000</v>
      </c>
      <c r="AK218" s="36"/>
      <c r="AL218" s="37">
        <f t="shared" si="25"/>
        <v>513000</v>
      </c>
      <c r="AM218" s="36"/>
      <c r="AN218" s="36"/>
      <c r="AO218" s="36"/>
      <c r="AP218" s="7"/>
      <c r="AQ218" s="38">
        <f t="shared" si="26"/>
        <v>4106762.6620000005</v>
      </c>
      <c r="AR218" s="36">
        <v>4059800</v>
      </c>
      <c r="AS218" s="18">
        <f t="shared" si="27"/>
        <v>-46962.662000000477</v>
      </c>
    </row>
    <row r="219" spans="1:45" x14ac:dyDescent="0.25">
      <c r="A219" s="40">
        <v>45507</v>
      </c>
      <c r="B219" s="20">
        <v>1593.211</v>
      </c>
      <c r="C219" s="20">
        <v>6049.4970000000003</v>
      </c>
      <c r="D219" s="20">
        <v>5550</v>
      </c>
      <c r="E219" s="20">
        <v>4899</v>
      </c>
      <c r="F219" s="7">
        <f t="shared" si="21"/>
        <v>8842321.0500000007</v>
      </c>
      <c r="G219" s="7">
        <f t="shared" si="22"/>
        <v>29636485.803000003</v>
      </c>
      <c r="H219" s="20">
        <v>30.25</v>
      </c>
      <c r="I219" s="20">
        <v>649500</v>
      </c>
      <c r="J219" s="20">
        <v>24.5</v>
      </c>
      <c r="K219" s="20">
        <v>274000</v>
      </c>
      <c r="L219" s="20">
        <v>60000</v>
      </c>
      <c r="M219" s="20"/>
      <c r="N219" s="20"/>
      <c r="O219" s="20">
        <v>2713501</v>
      </c>
      <c r="P219" s="20"/>
      <c r="Q219" s="19">
        <f t="shared" si="23"/>
        <v>42175807.853</v>
      </c>
      <c r="R219" s="20">
        <v>689250</v>
      </c>
      <c r="S219" s="20">
        <v>26915257</v>
      </c>
      <c r="T219" s="20"/>
      <c r="U219" s="20"/>
      <c r="V219" s="20"/>
      <c r="W219" s="20">
        <v>428500</v>
      </c>
      <c r="X219" s="20">
        <v>9586754</v>
      </c>
      <c r="Y219" s="8">
        <f t="shared" si="24"/>
        <v>4556046.8530000001</v>
      </c>
      <c r="Z219" s="36"/>
      <c r="AA219" s="36"/>
      <c r="AB219" s="36"/>
      <c r="AC219" s="36"/>
      <c r="AD219" s="36"/>
      <c r="AE219" s="36"/>
      <c r="AF219" s="36"/>
      <c r="AG219" s="36">
        <v>70000</v>
      </c>
      <c r="AH219" s="36"/>
      <c r="AI219" s="36">
        <v>10000</v>
      </c>
      <c r="AJ219" s="36">
        <v>20000</v>
      </c>
      <c r="AK219" s="36"/>
      <c r="AL219" s="37">
        <f t="shared" si="25"/>
        <v>100000</v>
      </c>
      <c r="AM219" s="36"/>
      <c r="AN219" s="36"/>
      <c r="AO219" s="36"/>
      <c r="AP219" s="7"/>
      <c r="AQ219" s="38">
        <f t="shared" si="26"/>
        <v>4456046.8530000001</v>
      </c>
      <c r="AR219" s="36">
        <v>4456000</v>
      </c>
      <c r="AS219" s="18">
        <f t="shared" si="27"/>
        <v>-46.853000000119209</v>
      </c>
    </row>
    <row r="220" spans="1:45" x14ac:dyDescent="0.25">
      <c r="A220" s="40">
        <v>45508</v>
      </c>
      <c r="B220" s="20">
        <v>2195.5740000000001</v>
      </c>
      <c r="C220" s="20">
        <v>5099.8770000000004</v>
      </c>
      <c r="D220" s="20">
        <v>5550</v>
      </c>
      <c r="E220" s="20">
        <v>4899</v>
      </c>
      <c r="F220" s="7">
        <f t="shared" si="21"/>
        <v>12185435.700000001</v>
      </c>
      <c r="G220" s="7">
        <f t="shared" si="22"/>
        <v>24984297.423</v>
      </c>
      <c r="H220" s="20">
        <v>49.25</v>
      </c>
      <c r="I220" s="20">
        <v>1014500</v>
      </c>
      <c r="J220" s="20">
        <v>18</v>
      </c>
      <c r="K220" s="20">
        <v>222000</v>
      </c>
      <c r="L220" s="20">
        <v>15000</v>
      </c>
      <c r="M220" s="20"/>
      <c r="N220" s="20"/>
      <c r="O220" s="20">
        <v>1721500</v>
      </c>
      <c r="P220" s="20"/>
      <c r="Q220" s="19">
        <f t="shared" si="23"/>
        <v>40142733.123000003</v>
      </c>
      <c r="R220" s="20">
        <v>929305</v>
      </c>
      <c r="S220" s="20">
        <v>12290657</v>
      </c>
      <c r="T220" s="20"/>
      <c r="U220" s="20"/>
      <c r="V220" s="20"/>
      <c r="W220" s="20">
        <v>554359</v>
      </c>
      <c r="X220" s="20">
        <v>22519115</v>
      </c>
      <c r="Y220" s="8">
        <f t="shared" si="24"/>
        <v>3849297.1230000034</v>
      </c>
      <c r="Z220" s="36"/>
      <c r="AA220" s="36"/>
      <c r="AB220" s="36"/>
      <c r="AC220" s="36"/>
      <c r="AD220" s="36"/>
      <c r="AE220" s="36"/>
      <c r="AF220" s="36">
        <v>3000</v>
      </c>
      <c r="AG220" s="36"/>
      <c r="AH220" s="36"/>
      <c r="AI220" s="36"/>
      <c r="AJ220" s="36">
        <v>200000</v>
      </c>
      <c r="AK220" s="36"/>
      <c r="AL220" s="37">
        <f t="shared" si="25"/>
        <v>203000</v>
      </c>
      <c r="AM220" s="36"/>
      <c r="AN220" s="36"/>
      <c r="AO220" s="36"/>
      <c r="AP220" s="7"/>
      <c r="AQ220" s="38">
        <f t="shared" si="26"/>
        <v>3646297.1230000034</v>
      </c>
      <c r="AR220" s="36">
        <v>0</v>
      </c>
      <c r="AS220" s="18">
        <f t="shared" si="27"/>
        <v>-3646297.1230000034</v>
      </c>
    </row>
    <row r="221" spans="1:45" x14ac:dyDescent="0.25">
      <c r="A221" s="40">
        <v>45509</v>
      </c>
      <c r="B221" s="20">
        <v>1548.92</v>
      </c>
      <c r="C221" s="20">
        <v>1999.7170000000001</v>
      </c>
      <c r="D221" s="20">
        <v>5550</v>
      </c>
      <c r="E221" s="20">
        <v>4899</v>
      </c>
      <c r="F221" s="7">
        <f t="shared" si="21"/>
        <v>8596506</v>
      </c>
      <c r="G221" s="7">
        <f t="shared" si="22"/>
        <v>9796613.5830000006</v>
      </c>
      <c r="H221" s="20">
        <v>15</v>
      </c>
      <c r="I221" s="20">
        <v>294500</v>
      </c>
      <c r="J221" s="20">
        <v>30</v>
      </c>
      <c r="K221" s="20">
        <v>454000</v>
      </c>
      <c r="L221" s="20">
        <v>8000</v>
      </c>
      <c r="M221" s="20"/>
      <c r="N221" s="20"/>
      <c r="O221" s="20">
        <v>1405679</v>
      </c>
      <c r="P221" s="20">
        <v>25000</v>
      </c>
      <c r="Q221" s="19">
        <f t="shared" si="23"/>
        <v>20580298.583000001</v>
      </c>
      <c r="R221" s="20">
        <v>760683</v>
      </c>
      <c r="S221" s="20">
        <v>4275964</v>
      </c>
      <c r="T221" s="20"/>
      <c r="U221" s="20"/>
      <c r="V221" s="20"/>
      <c r="W221" s="20">
        <v>100000</v>
      </c>
      <c r="X221" s="20">
        <v>9118510</v>
      </c>
      <c r="Y221" s="8">
        <f t="shared" si="24"/>
        <v>6325141.5830000006</v>
      </c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>
        <v>20000</v>
      </c>
      <c r="AL221" s="37">
        <f t="shared" si="25"/>
        <v>20000</v>
      </c>
      <c r="AM221" s="36"/>
      <c r="AN221" s="36"/>
      <c r="AO221" s="36"/>
      <c r="AP221" s="7"/>
      <c r="AQ221" s="38">
        <f t="shared" si="26"/>
        <v>6305141.5830000006</v>
      </c>
      <c r="AR221" s="36">
        <v>9957500</v>
      </c>
      <c r="AS221" s="18">
        <f t="shared" si="27"/>
        <v>3652358.4169999994</v>
      </c>
    </row>
    <row r="222" spans="1:45" x14ac:dyDescent="0.25">
      <c r="A222" s="40">
        <v>45510</v>
      </c>
      <c r="B222" s="20">
        <v>1816.165</v>
      </c>
      <c r="C222" s="20">
        <v>2066.04</v>
      </c>
      <c r="D222" s="20">
        <v>5550</v>
      </c>
      <c r="E222" s="20">
        <v>4899</v>
      </c>
      <c r="F222" s="7">
        <f t="shared" si="21"/>
        <v>10079715.75</v>
      </c>
      <c r="G222" s="7">
        <f t="shared" si="22"/>
        <v>10121529.959999999</v>
      </c>
      <c r="H222" s="20">
        <v>59.25</v>
      </c>
      <c r="I222" s="20">
        <v>1289500</v>
      </c>
      <c r="J222" s="20">
        <v>113</v>
      </c>
      <c r="K222" s="20">
        <v>1282000</v>
      </c>
      <c r="L222" s="20">
        <v>8000</v>
      </c>
      <c r="M222" s="20"/>
      <c r="N222" s="20"/>
      <c r="O222" s="20">
        <v>654359</v>
      </c>
      <c r="P222" s="20"/>
      <c r="Q222" s="19">
        <f t="shared" si="23"/>
        <v>23435104.710000001</v>
      </c>
      <c r="R222" s="20">
        <v>0</v>
      </c>
      <c r="S222" s="20">
        <v>3775228</v>
      </c>
      <c r="T222" s="20"/>
      <c r="U222" s="20"/>
      <c r="V222" s="20"/>
      <c r="W222" s="20">
        <v>1109751</v>
      </c>
      <c r="X222" s="20">
        <v>14250770</v>
      </c>
      <c r="Y222" s="8">
        <f t="shared" si="24"/>
        <v>4299355.7100000009</v>
      </c>
      <c r="Z222" s="36"/>
      <c r="AA222" s="36"/>
      <c r="AB222" s="36"/>
      <c r="AC222" s="36">
        <v>32000</v>
      </c>
      <c r="AD222" s="36"/>
      <c r="AE222" s="36"/>
      <c r="AF222" s="36">
        <v>98000</v>
      </c>
      <c r="AG222" s="36"/>
      <c r="AH222" s="36"/>
      <c r="AI222" s="36"/>
      <c r="AJ222" s="36"/>
      <c r="AK222" s="36"/>
      <c r="AL222" s="37">
        <f t="shared" si="25"/>
        <v>130000</v>
      </c>
      <c r="AM222" s="36"/>
      <c r="AN222" s="36"/>
      <c r="AO222" s="36"/>
      <c r="AP222" s="7"/>
      <c r="AQ222" s="38">
        <f t="shared" si="26"/>
        <v>4169355.7100000009</v>
      </c>
      <c r="AR222" s="36">
        <v>4169400</v>
      </c>
      <c r="AS222" s="18">
        <f t="shared" si="27"/>
        <v>44.28999999910593</v>
      </c>
    </row>
    <row r="223" spans="1:45" x14ac:dyDescent="0.25">
      <c r="A223" s="40">
        <v>45511</v>
      </c>
      <c r="B223" s="20">
        <v>1703.5440000000001</v>
      </c>
      <c r="C223" s="20">
        <v>2677.7840000000001</v>
      </c>
      <c r="D223" s="20">
        <v>5390</v>
      </c>
      <c r="E223" s="20">
        <v>4899</v>
      </c>
      <c r="F223" s="7">
        <f t="shared" si="21"/>
        <v>9182102.1600000001</v>
      </c>
      <c r="G223" s="7">
        <f t="shared" si="22"/>
        <v>13118463.816</v>
      </c>
      <c r="H223" s="20">
        <v>50.25</v>
      </c>
      <c r="I223" s="20">
        <v>953000</v>
      </c>
      <c r="J223" s="20">
        <v>72.5</v>
      </c>
      <c r="K223" s="20">
        <v>816500</v>
      </c>
      <c r="L223" s="20">
        <v>54000</v>
      </c>
      <c r="M223" s="20"/>
      <c r="N223" s="20"/>
      <c r="O223" s="20">
        <v>1109700</v>
      </c>
      <c r="P223" s="20"/>
      <c r="Q223" s="19">
        <f t="shared" si="23"/>
        <v>25233765.976</v>
      </c>
      <c r="R223" s="20">
        <v>425500</v>
      </c>
      <c r="S223" s="20">
        <v>7077216</v>
      </c>
      <c r="T223" s="20"/>
      <c r="U223" s="20"/>
      <c r="V223" s="20"/>
      <c r="W223" s="20">
        <v>648500</v>
      </c>
      <c r="X223" s="20">
        <v>9242488</v>
      </c>
      <c r="Y223" s="8">
        <f t="shared" si="24"/>
        <v>7840061.9759999998</v>
      </c>
      <c r="Z223" s="36"/>
      <c r="AA223" s="36"/>
      <c r="AB223" s="36"/>
      <c r="AC223" s="36">
        <v>6000</v>
      </c>
      <c r="AD223" s="36"/>
      <c r="AE223" s="36"/>
      <c r="AF223" s="36">
        <v>21000</v>
      </c>
      <c r="AG223" s="36"/>
      <c r="AH223" s="36">
        <v>3000</v>
      </c>
      <c r="AI223" s="36"/>
      <c r="AJ223" s="36">
        <v>3055000</v>
      </c>
      <c r="AK223" s="36"/>
      <c r="AL223" s="37">
        <f t="shared" si="25"/>
        <v>3085000</v>
      </c>
      <c r="AM223" s="36"/>
      <c r="AN223" s="36"/>
      <c r="AO223" s="36"/>
      <c r="AP223" s="7"/>
      <c r="AQ223" s="38">
        <f t="shared" si="26"/>
        <v>4755061.9759999998</v>
      </c>
      <c r="AR223" s="36">
        <v>4756100</v>
      </c>
      <c r="AS223" s="18">
        <f t="shared" si="27"/>
        <v>1038.0240000002086</v>
      </c>
    </row>
    <row r="224" spans="1:45" x14ac:dyDescent="0.25">
      <c r="A224" s="40">
        <v>45512</v>
      </c>
      <c r="B224" s="20">
        <v>1610.278</v>
      </c>
      <c r="C224" s="20">
        <v>3684.1640000000002</v>
      </c>
      <c r="D224" s="20">
        <v>5390</v>
      </c>
      <c r="E224" s="20">
        <v>4899</v>
      </c>
      <c r="F224" s="7">
        <f t="shared" si="21"/>
        <v>8679398.4199999999</v>
      </c>
      <c r="G224" s="7">
        <f t="shared" si="22"/>
        <v>18048719.436000001</v>
      </c>
      <c r="H224" s="20">
        <v>69.5</v>
      </c>
      <c r="I224" s="20">
        <v>1357000</v>
      </c>
      <c r="J224" s="20">
        <v>110</v>
      </c>
      <c r="K224" s="20">
        <v>1324000</v>
      </c>
      <c r="L224" s="20">
        <v>8000</v>
      </c>
      <c r="M224" s="20"/>
      <c r="N224" s="20"/>
      <c r="O224" s="20">
        <v>5312203</v>
      </c>
      <c r="P224" s="20"/>
      <c r="Q224" s="19">
        <f t="shared" si="23"/>
        <v>34729320.855999999</v>
      </c>
      <c r="R224" s="20">
        <v>923979</v>
      </c>
      <c r="S224" s="20">
        <v>10015995</v>
      </c>
      <c r="T224" s="20"/>
      <c r="U224" s="20"/>
      <c r="V224" s="20"/>
      <c r="W224" s="20">
        <v>467000</v>
      </c>
      <c r="X224" s="20">
        <v>13532511</v>
      </c>
      <c r="Y224" s="8">
        <f t="shared" si="24"/>
        <v>9789835.8559999987</v>
      </c>
      <c r="Z224" s="36"/>
      <c r="AA224" s="36"/>
      <c r="AB224" s="36"/>
      <c r="AC224" s="36"/>
      <c r="AD224" s="36"/>
      <c r="AE224" s="36"/>
      <c r="AF224" s="36">
        <v>3000</v>
      </c>
      <c r="AG224" s="36"/>
      <c r="AH224" s="36"/>
      <c r="AI224" s="36"/>
      <c r="AJ224" s="36">
        <v>2500000</v>
      </c>
      <c r="AK224" s="36"/>
      <c r="AL224" s="37">
        <f t="shared" si="25"/>
        <v>2503000</v>
      </c>
      <c r="AM224" s="36"/>
      <c r="AN224" s="36"/>
      <c r="AO224" s="36"/>
      <c r="AP224" s="7"/>
      <c r="AQ224" s="38">
        <f t="shared" si="26"/>
        <v>7286835.8559999987</v>
      </c>
      <c r="AR224" s="36">
        <v>7286700</v>
      </c>
      <c r="AS224" s="18">
        <f t="shared" si="27"/>
        <v>-135.8559999987483</v>
      </c>
    </row>
    <row r="225" spans="1:45" x14ac:dyDescent="0.25">
      <c r="A225" s="40">
        <v>45513</v>
      </c>
      <c r="B225" s="20">
        <v>1889.5150000000001</v>
      </c>
      <c r="C225" s="20">
        <v>4697.826</v>
      </c>
      <c r="D225" s="20">
        <v>5390</v>
      </c>
      <c r="E225" s="20">
        <v>4899</v>
      </c>
      <c r="F225" s="7">
        <f t="shared" si="21"/>
        <v>10184485.85</v>
      </c>
      <c r="G225" s="7">
        <f t="shared" si="22"/>
        <v>23014649.574000001</v>
      </c>
      <c r="H225" s="20">
        <v>49.5</v>
      </c>
      <c r="I225" s="20">
        <v>1044500</v>
      </c>
      <c r="J225" s="20">
        <v>42.5</v>
      </c>
      <c r="K225" s="20">
        <v>579000</v>
      </c>
      <c r="L225" s="20">
        <v>90000</v>
      </c>
      <c r="M225" s="20"/>
      <c r="N225" s="20"/>
      <c r="O225" s="20">
        <v>2600807</v>
      </c>
      <c r="P225" s="20"/>
      <c r="Q225" s="19">
        <f t="shared" si="23"/>
        <v>37513442.424000002</v>
      </c>
      <c r="R225" s="20">
        <v>917217</v>
      </c>
      <c r="S225" s="20">
        <v>11881099</v>
      </c>
      <c r="T225" s="20"/>
      <c r="U225" s="20"/>
      <c r="V225" s="20"/>
      <c r="W225" s="20">
        <v>364000</v>
      </c>
      <c r="X225" s="20">
        <v>18362301</v>
      </c>
      <c r="Y225" s="8">
        <f t="shared" si="24"/>
        <v>5988825.4240000024</v>
      </c>
      <c r="Z225" s="36"/>
      <c r="AA225" s="36"/>
      <c r="AB225" s="36"/>
      <c r="AC225" s="36"/>
      <c r="AD225" s="36"/>
      <c r="AE225" s="36"/>
      <c r="AF225" s="36">
        <v>3000</v>
      </c>
      <c r="AG225" s="36"/>
      <c r="AH225" s="36"/>
      <c r="AI225" s="36"/>
      <c r="AJ225" s="36">
        <v>500000</v>
      </c>
      <c r="AK225" s="36"/>
      <c r="AL225" s="37">
        <f t="shared" si="25"/>
        <v>503000</v>
      </c>
      <c r="AM225" s="36"/>
      <c r="AN225" s="36"/>
      <c r="AO225" s="36"/>
      <c r="AP225" s="7"/>
      <c r="AQ225" s="38">
        <f t="shared" si="26"/>
        <v>5485825.4240000024</v>
      </c>
      <c r="AR225" s="36">
        <v>5485800</v>
      </c>
      <c r="AS225" s="18">
        <f t="shared" si="27"/>
        <v>-25.42400000244379</v>
      </c>
    </row>
    <row r="226" spans="1:45" x14ac:dyDescent="0.25">
      <c r="A226" s="40">
        <v>45514</v>
      </c>
      <c r="B226" s="20">
        <v>2183.2399999999998</v>
      </c>
      <c r="C226" s="20">
        <v>4569.866</v>
      </c>
      <c r="D226" s="20">
        <v>5390</v>
      </c>
      <c r="E226" s="20">
        <v>4899</v>
      </c>
      <c r="F226" s="7">
        <f t="shared" si="21"/>
        <v>11767663.6</v>
      </c>
      <c r="G226" s="7">
        <f t="shared" si="22"/>
        <v>22387773.533999998</v>
      </c>
      <c r="H226" s="20">
        <v>82.25</v>
      </c>
      <c r="I226" s="20">
        <v>1747000</v>
      </c>
      <c r="J226" s="20">
        <v>57.2</v>
      </c>
      <c r="K226" s="20">
        <v>848000</v>
      </c>
      <c r="L226" s="20">
        <v>153000</v>
      </c>
      <c r="M226" s="20"/>
      <c r="N226" s="20"/>
      <c r="O226" s="20">
        <v>1930970</v>
      </c>
      <c r="P226" s="20"/>
      <c r="Q226" s="19">
        <f t="shared" si="23"/>
        <v>38834407.133999996</v>
      </c>
      <c r="R226" s="20">
        <v>1064980</v>
      </c>
      <c r="S226" s="20">
        <v>10012847</v>
      </c>
      <c r="T226" s="20"/>
      <c r="U226" s="20"/>
      <c r="V226" s="20"/>
      <c r="W226" s="20">
        <v>11000</v>
      </c>
      <c r="X226" s="20">
        <v>21141902</v>
      </c>
      <c r="Y226" s="8">
        <f t="shared" si="24"/>
        <v>6603678.1339999959</v>
      </c>
      <c r="Z226" s="36"/>
      <c r="AA226" s="36"/>
      <c r="AB226" s="36"/>
      <c r="AC226" s="36">
        <v>40000</v>
      </c>
      <c r="AD226" s="36">
        <v>97980</v>
      </c>
      <c r="AE226" s="36"/>
      <c r="AF226" s="36"/>
      <c r="AG226" s="36"/>
      <c r="AH226" s="36"/>
      <c r="AI226" s="36">
        <v>10000</v>
      </c>
      <c r="AJ226" s="36">
        <v>1200000</v>
      </c>
      <c r="AK226" s="36"/>
      <c r="AL226" s="37">
        <f t="shared" si="25"/>
        <v>1347980</v>
      </c>
      <c r="AM226" s="36"/>
      <c r="AN226" s="36"/>
      <c r="AO226" s="36"/>
      <c r="AP226" s="7"/>
      <c r="AQ226" s="38">
        <f t="shared" si="26"/>
        <v>5255698.1339999959</v>
      </c>
      <c r="AR226" s="36">
        <v>5257000</v>
      </c>
      <c r="AS226" s="18">
        <f t="shared" si="27"/>
        <v>1301.8660000041127</v>
      </c>
    </row>
    <row r="227" spans="1:45" x14ac:dyDescent="0.25">
      <c r="A227" s="40">
        <v>45515</v>
      </c>
      <c r="B227" s="20">
        <v>2459.41</v>
      </c>
      <c r="C227" s="20">
        <v>3359.8760000000002</v>
      </c>
      <c r="D227" s="20">
        <v>5390</v>
      </c>
      <c r="E227" s="20">
        <v>4899</v>
      </c>
      <c r="F227" s="7">
        <f t="shared" si="21"/>
        <v>13256219.899999999</v>
      </c>
      <c r="G227" s="7">
        <f t="shared" si="22"/>
        <v>16460032.524</v>
      </c>
      <c r="H227" s="20">
        <v>46.5</v>
      </c>
      <c r="I227" s="20">
        <v>955000</v>
      </c>
      <c r="J227" s="20">
        <v>76</v>
      </c>
      <c r="K227" s="20">
        <v>1478500</v>
      </c>
      <c r="L227" s="20">
        <v>46000</v>
      </c>
      <c r="M227" s="20"/>
      <c r="N227" s="20"/>
      <c r="O227" s="20">
        <v>1883200</v>
      </c>
      <c r="P227" s="20"/>
      <c r="Q227" s="19">
        <f t="shared" si="23"/>
        <v>34078952.423999995</v>
      </c>
      <c r="R227" s="20">
        <v>886978</v>
      </c>
      <c r="S227" s="20">
        <v>7447039</v>
      </c>
      <c r="T227" s="20"/>
      <c r="U227" s="20"/>
      <c r="V227" s="20"/>
      <c r="W227" s="20">
        <v>60000</v>
      </c>
      <c r="X227" s="20">
        <v>16612225</v>
      </c>
      <c r="Y227" s="8">
        <f t="shared" si="24"/>
        <v>9072710.423999995</v>
      </c>
      <c r="Z227" s="36"/>
      <c r="AA227" s="36"/>
      <c r="AB227" s="36"/>
      <c r="AC227" s="36"/>
      <c r="AD227" s="36"/>
      <c r="AE227" s="36"/>
      <c r="AF227" s="36">
        <v>3000</v>
      </c>
      <c r="AG227" s="36"/>
      <c r="AH227" s="36"/>
      <c r="AI227" s="36"/>
      <c r="AJ227" s="36">
        <v>2000000</v>
      </c>
      <c r="AK227" s="36"/>
      <c r="AL227" s="37">
        <f t="shared" si="25"/>
        <v>2003000</v>
      </c>
      <c r="AM227" s="36"/>
      <c r="AN227" s="36"/>
      <c r="AO227" s="36"/>
      <c r="AP227" s="7"/>
      <c r="AQ227" s="38">
        <f t="shared" si="26"/>
        <v>7069710.423999995</v>
      </c>
      <c r="AR227" s="36">
        <v>0</v>
      </c>
      <c r="AS227" s="18">
        <f t="shared" si="27"/>
        <v>-7069710.423999995</v>
      </c>
    </row>
    <row r="228" spans="1:45" x14ac:dyDescent="0.25">
      <c r="A228" s="40">
        <v>45516</v>
      </c>
      <c r="B228" s="20">
        <v>1633.0160000000001</v>
      </c>
      <c r="C228" s="20">
        <v>3071.087</v>
      </c>
      <c r="D228" s="20">
        <v>5390</v>
      </c>
      <c r="E228" s="20">
        <v>4899</v>
      </c>
      <c r="F228" s="7">
        <f t="shared" si="21"/>
        <v>8801956.2400000002</v>
      </c>
      <c r="G228" s="7">
        <f t="shared" si="22"/>
        <v>15045255.213</v>
      </c>
      <c r="H228" s="20">
        <v>69.5</v>
      </c>
      <c r="I228" s="20">
        <v>1525500</v>
      </c>
      <c r="J228" s="20">
        <v>57</v>
      </c>
      <c r="K228" s="20">
        <v>873000</v>
      </c>
      <c r="L228" s="20">
        <v>0</v>
      </c>
      <c r="M228" s="20"/>
      <c r="N228" s="20"/>
      <c r="O228" s="20">
        <v>1053285</v>
      </c>
      <c r="P228" s="20"/>
      <c r="Q228" s="19">
        <f t="shared" si="23"/>
        <v>27298996.453000002</v>
      </c>
      <c r="R228" s="20">
        <v>811317</v>
      </c>
      <c r="S228" s="20">
        <v>9788511</v>
      </c>
      <c r="T228" s="20"/>
      <c r="U228" s="20"/>
      <c r="V228" s="20"/>
      <c r="W228" s="20">
        <v>1094246</v>
      </c>
      <c r="X228" s="20">
        <v>8076678</v>
      </c>
      <c r="Y228" s="8">
        <f t="shared" si="24"/>
        <v>7528244.4530000016</v>
      </c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>
        <v>5000000</v>
      </c>
      <c r="AK228" s="36"/>
      <c r="AL228" s="37">
        <f t="shared" si="25"/>
        <v>5000000</v>
      </c>
      <c r="AM228" s="36"/>
      <c r="AN228" s="36"/>
      <c r="AO228" s="36"/>
      <c r="AP228" s="7"/>
      <c r="AQ228" s="38">
        <f t="shared" si="26"/>
        <v>2528244.4530000016</v>
      </c>
      <c r="AR228" s="36">
        <v>9600600</v>
      </c>
      <c r="AS228" s="18">
        <f t="shared" si="27"/>
        <v>7072355.5469999984</v>
      </c>
    </row>
    <row r="229" spans="1:45" x14ac:dyDescent="0.25">
      <c r="A229" s="40">
        <v>45517</v>
      </c>
      <c r="B229" s="20">
        <v>1890.624</v>
      </c>
      <c r="C229" s="20">
        <v>4445.527</v>
      </c>
      <c r="D229" s="20">
        <v>5390</v>
      </c>
      <c r="E229" s="20">
        <v>4899</v>
      </c>
      <c r="F229" s="7">
        <f t="shared" si="21"/>
        <v>10190463.359999999</v>
      </c>
      <c r="G229" s="7">
        <f t="shared" si="22"/>
        <v>21778636.773000002</v>
      </c>
      <c r="H229" s="20">
        <v>22.25</v>
      </c>
      <c r="I229" s="20">
        <v>503000</v>
      </c>
      <c r="J229" s="20">
        <v>45</v>
      </c>
      <c r="K229" s="20">
        <v>279000</v>
      </c>
      <c r="L229" s="20">
        <v>65000</v>
      </c>
      <c r="M229" s="20"/>
      <c r="N229" s="20"/>
      <c r="O229" s="20">
        <v>874246</v>
      </c>
      <c r="P229" s="20"/>
      <c r="Q229" s="19">
        <f t="shared" si="23"/>
        <v>33690346.133000001</v>
      </c>
      <c r="R229" s="20">
        <v>367555</v>
      </c>
      <c r="S229" s="20">
        <v>11993732</v>
      </c>
      <c r="T229" s="20"/>
      <c r="U229" s="20"/>
      <c r="V229" s="20"/>
      <c r="W229" s="20">
        <v>839497</v>
      </c>
      <c r="X229" s="20">
        <v>14269066</v>
      </c>
      <c r="Y229" s="8">
        <f t="shared" si="24"/>
        <v>6220496.1330000013</v>
      </c>
      <c r="Z229" s="36"/>
      <c r="AA229" s="36"/>
      <c r="AB229" s="36"/>
      <c r="AC229" s="36"/>
      <c r="AD229" s="36"/>
      <c r="AE229" s="36"/>
      <c r="AF229" s="36">
        <v>3000</v>
      </c>
      <c r="AG229" s="36"/>
      <c r="AH229" s="36">
        <v>31000</v>
      </c>
      <c r="AI229" s="36"/>
      <c r="AJ229" s="36"/>
      <c r="AK229" s="36"/>
      <c r="AL229" s="37">
        <f t="shared" si="25"/>
        <v>34000</v>
      </c>
      <c r="AM229" s="36"/>
      <c r="AN229" s="36"/>
      <c r="AO229" s="36"/>
      <c r="AP229" s="7"/>
      <c r="AQ229" s="38">
        <f t="shared" si="26"/>
        <v>6186496.1330000013</v>
      </c>
      <c r="AR229" s="36">
        <v>6186500</v>
      </c>
      <c r="AS229" s="18">
        <f t="shared" si="27"/>
        <v>3.8669999986886978</v>
      </c>
    </row>
    <row r="230" spans="1:45" x14ac:dyDescent="0.25">
      <c r="A230" s="40">
        <v>45518</v>
      </c>
      <c r="B230" s="20">
        <v>1967.856</v>
      </c>
      <c r="C230" s="20">
        <v>3807.402</v>
      </c>
      <c r="D230" s="20">
        <v>5390</v>
      </c>
      <c r="E230" s="20">
        <v>4899</v>
      </c>
      <c r="F230" s="7">
        <f t="shared" si="21"/>
        <v>10606743.84</v>
      </c>
      <c r="G230" s="7">
        <f t="shared" si="22"/>
        <v>18652462.398000002</v>
      </c>
      <c r="H230" s="20">
        <v>63.25</v>
      </c>
      <c r="I230" s="20">
        <v>1314500</v>
      </c>
      <c r="J230" s="20">
        <v>49</v>
      </c>
      <c r="K230" s="20">
        <v>760000</v>
      </c>
      <c r="L230" s="20">
        <v>15000</v>
      </c>
      <c r="M230" s="20"/>
      <c r="N230" s="20"/>
      <c r="O230" s="20">
        <v>1489400</v>
      </c>
      <c r="P230" s="20"/>
      <c r="Q230" s="19">
        <f t="shared" si="23"/>
        <v>32838106.238000002</v>
      </c>
      <c r="R230" s="20">
        <v>1008800</v>
      </c>
      <c r="S230" s="20">
        <v>8906060</v>
      </c>
      <c r="T230" s="20"/>
      <c r="U230" s="20"/>
      <c r="V230" s="20"/>
      <c r="W230" s="20">
        <v>100000</v>
      </c>
      <c r="X230" s="20">
        <v>10913415</v>
      </c>
      <c r="Y230" s="8">
        <f t="shared" si="24"/>
        <v>11909831.238000002</v>
      </c>
      <c r="Z230" s="36">
        <v>1428081</v>
      </c>
      <c r="AA230" s="36"/>
      <c r="AB230" s="36"/>
      <c r="AC230" s="36">
        <v>44500</v>
      </c>
      <c r="AD230" s="36"/>
      <c r="AE230" s="36"/>
      <c r="AF230" s="36">
        <v>4000</v>
      </c>
      <c r="AG230" s="36"/>
      <c r="AH230" s="36"/>
      <c r="AI230" s="36"/>
      <c r="AJ230" s="36">
        <v>2000000</v>
      </c>
      <c r="AK230" s="36"/>
      <c r="AL230" s="37">
        <f t="shared" si="25"/>
        <v>3476581</v>
      </c>
      <c r="AM230" s="36"/>
      <c r="AN230" s="36"/>
      <c r="AO230" s="36"/>
      <c r="AP230" s="7"/>
      <c r="AQ230" s="38">
        <f t="shared" si="26"/>
        <v>8433250.2380000018</v>
      </c>
      <c r="AR230" s="36">
        <v>8433200</v>
      </c>
      <c r="AS230" s="18">
        <f t="shared" si="27"/>
        <v>-50.238000001758337</v>
      </c>
    </row>
    <row r="231" spans="1:45" x14ac:dyDescent="0.25">
      <c r="A231" s="40">
        <v>45519</v>
      </c>
      <c r="B231" s="20">
        <v>2007.4829999999999</v>
      </c>
      <c r="C231" s="20">
        <v>4163.9269999999997</v>
      </c>
      <c r="D231" s="20">
        <v>5390</v>
      </c>
      <c r="E231" s="20">
        <v>4899</v>
      </c>
      <c r="F231" s="7">
        <f t="shared" si="21"/>
        <v>10820333.369999999</v>
      </c>
      <c r="G231" s="7">
        <f t="shared" si="22"/>
        <v>20399078.373</v>
      </c>
      <c r="H231" s="20">
        <v>78</v>
      </c>
      <c r="I231" s="20">
        <v>1753500</v>
      </c>
      <c r="J231" s="20">
        <v>106</v>
      </c>
      <c r="K231" s="20">
        <v>1390000</v>
      </c>
      <c r="L231" s="20">
        <v>45000</v>
      </c>
      <c r="M231" s="20"/>
      <c r="N231" s="20"/>
      <c r="O231" s="20">
        <v>100000</v>
      </c>
      <c r="P231" s="20">
        <v>25000</v>
      </c>
      <c r="Q231" s="19">
        <f t="shared" si="23"/>
        <v>34532911.743000001</v>
      </c>
      <c r="R231" s="20">
        <v>1206307</v>
      </c>
      <c r="S231" s="20">
        <v>11428568</v>
      </c>
      <c r="T231" s="20"/>
      <c r="U231" s="20"/>
      <c r="V231" s="20"/>
      <c r="W231" s="20">
        <v>100000</v>
      </c>
      <c r="X231" s="20">
        <v>13666247</v>
      </c>
      <c r="Y231" s="8">
        <f t="shared" si="24"/>
        <v>8131789.7430000007</v>
      </c>
      <c r="Z231" s="36"/>
      <c r="AA231" s="36"/>
      <c r="AB231" s="36"/>
      <c r="AC231" s="36">
        <v>40000</v>
      </c>
      <c r="AD231" s="36"/>
      <c r="AE231" s="36"/>
      <c r="AF231" s="36"/>
      <c r="AG231" s="36"/>
      <c r="AH231" s="36"/>
      <c r="AI231" s="36"/>
      <c r="AJ231" s="36">
        <v>420000</v>
      </c>
      <c r="AK231" s="36"/>
      <c r="AL231" s="37">
        <f t="shared" si="25"/>
        <v>460000</v>
      </c>
      <c r="AM231" s="36"/>
      <c r="AN231" s="36">
        <v>740000</v>
      </c>
      <c r="AO231" s="36"/>
      <c r="AP231" s="7"/>
      <c r="AQ231" s="38">
        <f t="shared" si="26"/>
        <v>6931789.7430000007</v>
      </c>
      <c r="AR231" s="36">
        <v>6931800</v>
      </c>
      <c r="AS231" s="18">
        <f t="shared" si="27"/>
        <v>10.256999999284744</v>
      </c>
    </row>
    <row r="232" spans="1:45" x14ac:dyDescent="0.25">
      <c r="A232" s="40">
        <v>45520</v>
      </c>
      <c r="B232" s="20">
        <v>1463.384</v>
      </c>
      <c r="C232" s="20">
        <v>3719.3220000000001</v>
      </c>
      <c r="D232" s="20">
        <v>5390</v>
      </c>
      <c r="E232" s="20">
        <v>4970</v>
      </c>
      <c r="F232" s="7">
        <f t="shared" si="21"/>
        <v>7887639.7599999998</v>
      </c>
      <c r="G232" s="7">
        <f t="shared" si="22"/>
        <v>18485030.34</v>
      </c>
      <c r="H232" s="20">
        <v>38.25</v>
      </c>
      <c r="I232" s="20">
        <v>785500</v>
      </c>
      <c r="J232" s="20">
        <v>42.5</v>
      </c>
      <c r="K232" s="20">
        <v>646000</v>
      </c>
      <c r="L232" s="20">
        <v>46000</v>
      </c>
      <c r="M232" s="20" t="s">
        <v>127</v>
      </c>
      <c r="N232" s="20"/>
      <c r="O232" s="20">
        <v>1039497</v>
      </c>
      <c r="P232" s="20"/>
      <c r="Q232" s="19">
        <f t="shared" si="23"/>
        <v>28889667.100000001</v>
      </c>
      <c r="R232" s="20">
        <v>1034912</v>
      </c>
      <c r="S232" s="20">
        <v>8572422</v>
      </c>
      <c r="T232" s="20"/>
      <c r="U232" s="20"/>
      <c r="V232" s="20"/>
      <c r="W232" s="20">
        <v>765557</v>
      </c>
      <c r="X232" s="20">
        <v>11382801</v>
      </c>
      <c r="Y232" s="8">
        <f t="shared" si="24"/>
        <v>7133975.1000000015</v>
      </c>
      <c r="Z232" s="36"/>
      <c r="AA232" s="36"/>
      <c r="AB232" s="36"/>
      <c r="AC232" s="36"/>
      <c r="AD232" s="36"/>
      <c r="AE232" s="36"/>
      <c r="AF232" s="36">
        <v>6000</v>
      </c>
      <c r="AG232" s="36"/>
      <c r="AH232" s="36"/>
      <c r="AI232" s="36"/>
      <c r="AJ232" s="36"/>
      <c r="AK232" s="36"/>
      <c r="AL232" s="37">
        <f t="shared" si="25"/>
        <v>6000</v>
      </c>
      <c r="AM232" s="36"/>
      <c r="AN232" s="36"/>
      <c r="AO232" s="36"/>
      <c r="AP232" s="7"/>
      <c r="AQ232" s="38">
        <f t="shared" si="26"/>
        <v>7127975.1000000015</v>
      </c>
      <c r="AR232" s="36">
        <v>6945200</v>
      </c>
      <c r="AS232" s="18">
        <f t="shared" si="27"/>
        <v>-182775.10000000149</v>
      </c>
    </row>
    <row r="233" spans="1:45" x14ac:dyDescent="0.25">
      <c r="A233" s="40">
        <v>45521</v>
      </c>
      <c r="B233" s="20">
        <v>2037.5640000000001</v>
      </c>
      <c r="C233" s="20">
        <v>3508.944</v>
      </c>
      <c r="D233" s="20">
        <v>5390</v>
      </c>
      <c r="E233" s="20">
        <v>4970</v>
      </c>
      <c r="F233" s="7">
        <f t="shared" si="21"/>
        <v>10982469.960000001</v>
      </c>
      <c r="G233" s="7">
        <f t="shared" si="22"/>
        <v>17439451.68</v>
      </c>
      <c r="H233" s="20">
        <v>0</v>
      </c>
      <c r="I233" s="20">
        <v>1336500</v>
      </c>
      <c r="J233" s="20">
        <v>0</v>
      </c>
      <c r="K233" s="20">
        <v>1007000</v>
      </c>
      <c r="L233" s="20">
        <v>46000</v>
      </c>
      <c r="M233" s="20"/>
      <c r="N233" s="20"/>
      <c r="O233" s="20">
        <v>1140557</v>
      </c>
      <c r="P233" s="20"/>
      <c r="Q233" s="19">
        <f t="shared" si="23"/>
        <v>31951978.640000001</v>
      </c>
      <c r="R233" s="20">
        <v>798630</v>
      </c>
      <c r="S233" s="20">
        <v>11287440</v>
      </c>
      <c r="T233" s="20"/>
      <c r="U233" s="20"/>
      <c r="V233" s="20"/>
      <c r="W233" s="20">
        <v>220000</v>
      </c>
      <c r="X233" s="20">
        <v>14211890</v>
      </c>
      <c r="Y233" s="8">
        <f t="shared" si="24"/>
        <v>5434018.6400000006</v>
      </c>
      <c r="Z233" s="36"/>
      <c r="AA233" s="36"/>
      <c r="AB233" s="36"/>
      <c r="AC233" s="36">
        <v>30000</v>
      </c>
      <c r="AD233" s="36"/>
      <c r="AE233" s="36"/>
      <c r="AF233" s="36">
        <v>72000</v>
      </c>
      <c r="AG233" s="36"/>
      <c r="AH233" s="36"/>
      <c r="AI233" s="36"/>
      <c r="AJ233" s="36"/>
      <c r="AK233" s="36"/>
      <c r="AL233" s="37">
        <f t="shared" si="25"/>
        <v>102000</v>
      </c>
      <c r="AM233" s="36"/>
      <c r="AN233" s="36"/>
      <c r="AO233" s="36"/>
      <c r="AP233" s="7"/>
      <c r="AQ233" s="38">
        <f t="shared" si="26"/>
        <v>5332018.6400000006</v>
      </c>
      <c r="AR233" s="36">
        <v>5332000</v>
      </c>
      <c r="AS233" s="18">
        <f t="shared" si="27"/>
        <v>-18.640000000596046</v>
      </c>
    </row>
    <row r="234" spans="1:45" x14ac:dyDescent="0.25">
      <c r="A234" s="40">
        <v>45522</v>
      </c>
      <c r="B234" s="20">
        <v>2035.2619999999999</v>
      </c>
      <c r="C234" s="20">
        <v>2345.7469999999998</v>
      </c>
      <c r="D234" s="20">
        <v>5390</v>
      </c>
      <c r="E234" s="20">
        <v>4970</v>
      </c>
      <c r="F234" s="7">
        <f t="shared" si="21"/>
        <v>10970062.18</v>
      </c>
      <c r="G234" s="7">
        <f t="shared" si="22"/>
        <v>11658362.59</v>
      </c>
      <c r="H234" s="20">
        <v>53</v>
      </c>
      <c r="I234" s="20">
        <v>1096000</v>
      </c>
      <c r="J234" s="20">
        <v>87.5</v>
      </c>
      <c r="K234" s="20">
        <v>1145000</v>
      </c>
      <c r="L234" s="20">
        <v>16000</v>
      </c>
      <c r="M234" s="20"/>
      <c r="N234" s="20"/>
      <c r="O234" s="20">
        <v>3086680</v>
      </c>
      <c r="P234" s="20"/>
      <c r="Q234" s="19">
        <f t="shared" si="23"/>
        <v>27972104.77</v>
      </c>
      <c r="R234" s="20">
        <v>546279</v>
      </c>
      <c r="S234" s="20">
        <v>5905678</v>
      </c>
      <c r="T234" s="20"/>
      <c r="U234" s="20"/>
      <c r="V234" s="20"/>
      <c r="W234" s="20">
        <v>369000</v>
      </c>
      <c r="X234" s="20">
        <v>9327243</v>
      </c>
      <c r="Y234" s="8">
        <f t="shared" si="24"/>
        <v>11823904.77</v>
      </c>
      <c r="Z234" s="36"/>
      <c r="AA234" s="36"/>
      <c r="AB234" s="36"/>
      <c r="AC234" s="36">
        <v>5000</v>
      </c>
      <c r="AD234" s="36">
        <v>99400</v>
      </c>
      <c r="AE234" s="36"/>
      <c r="AF234" s="36">
        <v>3000</v>
      </c>
      <c r="AG234" s="36"/>
      <c r="AH234" s="36"/>
      <c r="AI234" s="36"/>
      <c r="AJ234" s="36">
        <v>1830000</v>
      </c>
      <c r="AK234" s="36"/>
      <c r="AL234" s="37">
        <f t="shared" si="25"/>
        <v>1937400</v>
      </c>
      <c r="AM234" s="36"/>
      <c r="AN234" s="36"/>
      <c r="AO234" s="36"/>
      <c r="AP234" s="7"/>
      <c r="AQ234" s="38">
        <f t="shared" si="26"/>
        <v>9886504.7699999996</v>
      </c>
      <c r="AR234" s="36">
        <v>0</v>
      </c>
      <c r="AS234" s="18">
        <f t="shared" si="27"/>
        <v>-9886504.7699999996</v>
      </c>
    </row>
    <row r="235" spans="1:45" x14ac:dyDescent="0.25">
      <c r="A235" s="40">
        <v>45523</v>
      </c>
      <c r="B235" s="20">
        <v>1889.5360000000001</v>
      </c>
      <c r="C235" s="20">
        <v>1917.1510000000001</v>
      </c>
      <c r="D235" s="20">
        <v>5390</v>
      </c>
      <c r="E235" s="20">
        <v>4970</v>
      </c>
      <c r="F235" s="7">
        <f t="shared" si="21"/>
        <v>10184599.040000001</v>
      </c>
      <c r="G235" s="7">
        <f t="shared" si="22"/>
        <v>9528240.4700000007</v>
      </c>
      <c r="H235" s="20">
        <v>6.5</v>
      </c>
      <c r="I235" s="20">
        <v>125500</v>
      </c>
      <c r="J235" s="20">
        <v>45.5</v>
      </c>
      <c r="K235" s="20">
        <v>679000</v>
      </c>
      <c r="L235" s="20">
        <v>0</v>
      </c>
      <c r="M235" s="20"/>
      <c r="N235" s="20"/>
      <c r="O235" s="20">
        <v>1388280</v>
      </c>
      <c r="P235" s="20"/>
      <c r="Q235" s="19">
        <f t="shared" si="23"/>
        <v>21905619.510000002</v>
      </c>
      <c r="R235" s="20">
        <v>1231136</v>
      </c>
      <c r="S235" s="20">
        <v>4629345</v>
      </c>
      <c r="T235" s="20"/>
      <c r="U235" s="20"/>
      <c r="V235" s="20"/>
      <c r="W235" s="20">
        <v>50000</v>
      </c>
      <c r="X235" s="20">
        <v>6434136</v>
      </c>
      <c r="Y235" s="8">
        <f t="shared" si="24"/>
        <v>9561002.5100000016</v>
      </c>
      <c r="Z235" s="36"/>
      <c r="AA235" s="36"/>
      <c r="AB235" s="36"/>
      <c r="AC235" s="36"/>
      <c r="AD235" s="36"/>
      <c r="AE235" s="36"/>
      <c r="AF235" s="36"/>
      <c r="AG235" s="36"/>
      <c r="AH235" s="36">
        <v>16500</v>
      </c>
      <c r="AI235" s="36"/>
      <c r="AJ235" s="36"/>
      <c r="AK235" s="36"/>
      <c r="AL235" s="37">
        <f t="shared" si="25"/>
        <v>16500</v>
      </c>
      <c r="AM235" s="36"/>
      <c r="AN235" s="36"/>
      <c r="AO235" s="36"/>
      <c r="AP235" s="7"/>
      <c r="AQ235" s="38">
        <f t="shared" si="26"/>
        <v>9544502.5100000016</v>
      </c>
      <c r="AR235" s="36">
        <v>19431000</v>
      </c>
      <c r="AS235" s="18">
        <f t="shared" si="27"/>
        <v>9886497.4899999984</v>
      </c>
    </row>
    <row r="236" spans="1:45" x14ac:dyDescent="0.25">
      <c r="A236" s="40">
        <v>45524</v>
      </c>
      <c r="B236" s="20">
        <v>2061.9670000000001</v>
      </c>
      <c r="C236" s="20">
        <v>3263.1480000000001</v>
      </c>
      <c r="D236" s="20">
        <v>5390</v>
      </c>
      <c r="E236" s="20">
        <v>4970</v>
      </c>
      <c r="F236" s="7">
        <f t="shared" si="21"/>
        <v>11114002.130000001</v>
      </c>
      <c r="G236" s="7">
        <f t="shared" si="22"/>
        <v>16217845.560000001</v>
      </c>
      <c r="H236" s="20">
        <v>45</v>
      </c>
      <c r="I236" s="20">
        <v>880500</v>
      </c>
      <c r="J236" s="20">
        <v>171</v>
      </c>
      <c r="K236" s="20">
        <v>1930000</v>
      </c>
      <c r="L236" s="20">
        <v>53000</v>
      </c>
      <c r="M236" s="20"/>
      <c r="N236" s="20"/>
      <c r="O236" s="20">
        <v>4257600</v>
      </c>
      <c r="P236" s="20"/>
      <c r="Q236" s="19">
        <f t="shared" si="23"/>
        <v>34452947.689999998</v>
      </c>
      <c r="R236" s="20">
        <v>1146584</v>
      </c>
      <c r="S236" s="20">
        <v>7851404</v>
      </c>
      <c r="T236" s="20"/>
      <c r="U236" s="20"/>
      <c r="V236" s="20"/>
      <c r="W236" s="20">
        <v>183000</v>
      </c>
      <c r="X236" s="20">
        <v>8920948</v>
      </c>
      <c r="Y236" s="8">
        <f t="shared" si="24"/>
        <v>16351011.689999998</v>
      </c>
      <c r="Z236" s="36"/>
      <c r="AA236" s="36"/>
      <c r="AB236" s="36"/>
      <c r="AC236" s="36"/>
      <c r="AD236" s="36">
        <v>99400</v>
      </c>
      <c r="AE236" s="36">
        <v>0</v>
      </c>
      <c r="AF236" s="36">
        <v>0</v>
      </c>
      <c r="AG236" s="36"/>
      <c r="AH236" s="36"/>
      <c r="AI236" s="36"/>
      <c r="AJ236" s="36">
        <v>150000</v>
      </c>
      <c r="AK236" s="36">
        <v>487154</v>
      </c>
      <c r="AL236" s="37">
        <f t="shared" si="25"/>
        <v>736554</v>
      </c>
      <c r="AM236" s="36"/>
      <c r="AN236" s="36">
        <v>985000</v>
      </c>
      <c r="AO236" s="36"/>
      <c r="AP236" s="7"/>
      <c r="AQ236" s="38">
        <f t="shared" si="26"/>
        <v>14629457.689999998</v>
      </c>
      <c r="AR236" s="36">
        <v>14629500</v>
      </c>
      <c r="AS236" s="18">
        <f t="shared" si="27"/>
        <v>42.310000002384186</v>
      </c>
    </row>
    <row r="237" spans="1:45" x14ac:dyDescent="0.25">
      <c r="A237" s="40">
        <v>45525</v>
      </c>
      <c r="B237" s="20">
        <v>1764.82</v>
      </c>
      <c r="C237" s="20">
        <v>2780.81</v>
      </c>
      <c r="D237" s="20">
        <v>5390</v>
      </c>
      <c r="E237" s="20">
        <v>4970</v>
      </c>
      <c r="F237" s="7">
        <f t="shared" si="21"/>
        <v>9512379.7999999989</v>
      </c>
      <c r="G237" s="7">
        <f t="shared" si="22"/>
        <v>13820625.699999999</v>
      </c>
      <c r="H237" s="20">
        <v>42.25</v>
      </c>
      <c r="I237" s="20">
        <v>926000</v>
      </c>
      <c r="J237" s="20">
        <v>142.5</v>
      </c>
      <c r="K237" s="20">
        <v>1663000</v>
      </c>
      <c r="L237" s="20">
        <v>85000</v>
      </c>
      <c r="M237" s="20"/>
      <c r="N237" s="20"/>
      <c r="O237" s="20">
        <v>2033200</v>
      </c>
      <c r="P237" s="20"/>
      <c r="Q237" s="19">
        <f t="shared" si="23"/>
        <v>28040205.5</v>
      </c>
      <c r="R237" s="20">
        <v>957522</v>
      </c>
      <c r="S237" s="20">
        <v>9308840</v>
      </c>
      <c r="T237" s="20"/>
      <c r="U237" s="20"/>
      <c r="V237" s="20"/>
      <c r="W237" s="20">
        <v>391859</v>
      </c>
      <c r="X237" s="20">
        <v>9907264</v>
      </c>
      <c r="Y237" s="8">
        <f t="shared" si="24"/>
        <v>7474720.5</v>
      </c>
      <c r="Z237" s="36"/>
      <c r="AA237" s="36"/>
      <c r="AB237" s="36"/>
      <c r="AC237" s="36">
        <v>30000</v>
      </c>
      <c r="AD237" s="36"/>
      <c r="AE237" s="36">
        <v>36000</v>
      </c>
      <c r="AF237" s="36">
        <v>21000</v>
      </c>
      <c r="AG237" s="36"/>
      <c r="AH237" s="36">
        <v>22000</v>
      </c>
      <c r="AI237" s="36"/>
      <c r="AJ237" s="36"/>
      <c r="AK237" s="36"/>
      <c r="AL237" s="37">
        <f t="shared" si="25"/>
        <v>109000</v>
      </c>
      <c r="AM237" s="36"/>
      <c r="AN237" s="36"/>
      <c r="AO237" s="36"/>
      <c r="AP237" s="7"/>
      <c r="AQ237" s="38">
        <f t="shared" si="26"/>
        <v>7365720.5</v>
      </c>
      <c r="AR237" s="36">
        <v>7365800</v>
      </c>
      <c r="AS237" s="18">
        <f t="shared" si="27"/>
        <v>79.5</v>
      </c>
    </row>
    <row r="238" spans="1:45" x14ac:dyDescent="0.25">
      <c r="A238" s="40">
        <v>45526</v>
      </c>
      <c r="B238" s="20">
        <v>1718.2550000000001</v>
      </c>
      <c r="C238" s="20">
        <v>3843.884</v>
      </c>
      <c r="D238" s="20">
        <v>5290</v>
      </c>
      <c r="E238" s="20">
        <v>4970</v>
      </c>
      <c r="F238" s="7">
        <f t="shared" si="21"/>
        <v>9089568.9500000011</v>
      </c>
      <c r="G238" s="7">
        <f t="shared" si="22"/>
        <v>19104103.48</v>
      </c>
      <c r="H238" s="20">
        <v>145.5</v>
      </c>
      <c r="I238" s="20">
        <v>3036000</v>
      </c>
      <c r="J238" s="20">
        <v>111</v>
      </c>
      <c r="K238" s="20">
        <v>1396000</v>
      </c>
      <c r="L238" s="20">
        <v>1335000</v>
      </c>
      <c r="M238" s="20"/>
      <c r="N238" s="20"/>
      <c r="O238" s="20">
        <v>1754555</v>
      </c>
      <c r="P238" s="20"/>
      <c r="Q238" s="19">
        <f t="shared" si="23"/>
        <v>35715227.43</v>
      </c>
      <c r="R238" s="20">
        <v>569340</v>
      </c>
      <c r="S238" s="20">
        <v>10214442</v>
      </c>
      <c r="T238" s="20"/>
      <c r="U238" s="20"/>
      <c r="V238" s="20"/>
      <c r="W238" s="20">
        <v>50500</v>
      </c>
      <c r="X238" s="20">
        <v>14127651</v>
      </c>
      <c r="Y238" s="8">
        <f t="shared" si="24"/>
        <v>10753294.43</v>
      </c>
      <c r="Z238" s="36"/>
      <c r="AA238" s="36"/>
      <c r="AB238" s="36"/>
      <c r="AC238" s="36"/>
      <c r="AD238" s="36"/>
      <c r="AE238" s="36"/>
      <c r="AF238" s="36">
        <v>20000</v>
      </c>
      <c r="AG238" s="36"/>
      <c r="AH238" s="36">
        <v>10000</v>
      </c>
      <c r="AI238" s="36"/>
      <c r="AJ238" s="36"/>
      <c r="AK238" s="36"/>
      <c r="AL238" s="37">
        <f t="shared" si="25"/>
        <v>30000</v>
      </c>
      <c r="AM238" s="36">
        <v>1060000</v>
      </c>
      <c r="AN238" s="36"/>
      <c r="AO238" s="36"/>
      <c r="AP238" s="7"/>
      <c r="AQ238" s="38">
        <f t="shared" si="26"/>
        <v>9663294.4299999997</v>
      </c>
      <c r="AR238" s="36">
        <v>9663300</v>
      </c>
      <c r="AS238" s="18">
        <f t="shared" si="27"/>
        <v>5.5700000002980232</v>
      </c>
    </row>
    <row r="239" spans="1:45" x14ac:dyDescent="0.25">
      <c r="A239" s="40">
        <v>45527</v>
      </c>
      <c r="B239" s="20">
        <v>1940.1469999999999</v>
      </c>
      <c r="C239" s="20">
        <v>4804.3739999999998</v>
      </c>
      <c r="D239" s="20">
        <v>5290</v>
      </c>
      <c r="E239" s="20">
        <v>4970</v>
      </c>
      <c r="F239" s="7">
        <f t="shared" si="21"/>
        <v>10263377.629999999</v>
      </c>
      <c r="G239" s="7">
        <f t="shared" si="22"/>
        <v>23877738.779999997</v>
      </c>
      <c r="H239" s="20">
        <v>16.5</v>
      </c>
      <c r="I239" s="20">
        <v>364500</v>
      </c>
      <c r="J239" s="20">
        <v>78.5</v>
      </c>
      <c r="K239" s="20">
        <v>573000</v>
      </c>
      <c r="L239" s="20">
        <v>15000</v>
      </c>
      <c r="M239" s="20">
        <v>270000</v>
      </c>
      <c r="N239" s="20"/>
      <c r="O239" s="20">
        <v>1089000</v>
      </c>
      <c r="P239" s="20"/>
      <c r="Q239" s="19">
        <f t="shared" si="23"/>
        <v>36452616.409999996</v>
      </c>
      <c r="R239" s="20">
        <v>1177332</v>
      </c>
      <c r="S239" s="20">
        <v>13236266</v>
      </c>
      <c r="T239" s="20"/>
      <c r="U239" s="20"/>
      <c r="V239" s="20"/>
      <c r="W239" s="20">
        <v>250000</v>
      </c>
      <c r="X239" s="20">
        <v>17109346</v>
      </c>
      <c r="Y239" s="8">
        <f t="shared" si="24"/>
        <v>4679672.4099999964</v>
      </c>
      <c r="Z239" s="36"/>
      <c r="AA239" s="36"/>
      <c r="AB239" s="36"/>
      <c r="AC239" s="36"/>
      <c r="AD239" s="36"/>
      <c r="AE239" s="36"/>
      <c r="AF239" s="36">
        <v>18000</v>
      </c>
      <c r="AG239" s="36"/>
      <c r="AH239" s="36"/>
      <c r="AI239" s="36"/>
      <c r="AJ239" s="36">
        <v>1000000</v>
      </c>
      <c r="AK239" s="36"/>
      <c r="AL239" s="37">
        <f t="shared" si="25"/>
        <v>1018000</v>
      </c>
      <c r="AM239" s="36"/>
      <c r="AN239" s="36"/>
      <c r="AO239" s="36"/>
      <c r="AP239" s="7"/>
      <c r="AQ239" s="38">
        <f t="shared" si="26"/>
        <v>3661672.4099999964</v>
      </c>
      <c r="AR239" s="36">
        <v>3662500</v>
      </c>
      <c r="AS239" s="18">
        <f t="shared" si="27"/>
        <v>827.59000000357628</v>
      </c>
    </row>
    <row r="240" spans="1:45" x14ac:dyDescent="0.25">
      <c r="A240" s="40">
        <v>45528</v>
      </c>
      <c r="B240" s="20">
        <v>2331.6590000000001</v>
      </c>
      <c r="C240" s="20">
        <v>4210.1090000000004</v>
      </c>
      <c r="D240" s="20">
        <v>5290</v>
      </c>
      <c r="E240" s="20">
        <v>4970</v>
      </c>
      <c r="F240" s="7">
        <f t="shared" si="21"/>
        <v>12334476.110000001</v>
      </c>
      <c r="G240" s="7">
        <f t="shared" si="22"/>
        <v>20924241.73</v>
      </c>
      <c r="H240" s="20">
        <v>45</v>
      </c>
      <c r="I240" s="20">
        <v>832500</v>
      </c>
      <c r="J240" s="20">
        <v>76.5</v>
      </c>
      <c r="K240" s="20">
        <v>940000</v>
      </c>
      <c r="L240" s="20">
        <v>119000</v>
      </c>
      <c r="M240" s="20">
        <v>762000</v>
      </c>
      <c r="N240" s="20"/>
      <c r="O240" s="20">
        <v>1644500</v>
      </c>
      <c r="P240" s="20"/>
      <c r="Q240" s="19">
        <f t="shared" si="23"/>
        <v>37556717.840000004</v>
      </c>
      <c r="R240" s="20">
        <v>1092250</v>
      </c>
      <c r="S240" s="20">
        <v>7000851</v>
      </c>
      <c r="T240" s="20"/>
      <c r="U240" s="20"/>
      <c r="V240" s="20"/>
      <c r="W240" s="20">
        <v>480000</v>
      </c>
      <c r="X240" s="20">
        <v>22906250</v>
      </c>
      <c r="Y240" s="8">
        <f t="shared" si="24"/>
        <v>6077366.8400000036</v>
      </c>
      <c r="Z240" s="36"/>
      <c r="AA240" s="36"/>
      <c r="AB240" s="36"/>
      <c r="AC240" s="36"/>
      <c r="AD240" s="36"/>
      <c r="AE240" s="36"/>
      <c r="AF240" s="36">
        <v>3000</v>
      </c>
      <c r="AG240" s="36"/>
      <c r="AH240" s="36"/>
      <c r="AI240" s="36"/>
      <c r="AJ240" s="36"/>
      <c r="AK240" s="36"/>
      <c r="AL240" s="37">
        <f t="shared" si="25"/>
        <v>3000</v>
      </c>
      <c r="AM240" s="36"/>
      <c r="AN240" s="36"/>
      <c r="AO240" s="36"/>
      <c r="AP240" s="7"/>
      <c r="AQ240" s="38">
        <f t="shared" si="26"/>
        <v>6074366.8400000036</v>
      </c>
      <c r="AR240" s="36">
        <v>6075000</v>
      </c>
      <c r="AS240" s="18">
        <f t="shared" si="27"/>
        <v>633.15999999642372</v>
      </c>
    </row>
    <row r="241" spans="1:45" x14ac:dyDescent="0.25">
      <c r="A241" s="40">
        <v>45529</v>
      </c>
      <c r="B241" s="20">
        <v>1943.2349999999999</v>
      </c>
      <c r="C241" s="20">
        <v>3002.2089999999998</v>
      </c>
      <c r="D241" s="20">
        <v>5290</v>
      </c>
      <c r="E241" s="20">
        <v>4970</v>
      </c>
      <c r="F241" s="7">
        <f t="shared" si="21"/>
        <v>10279713.15</v>
      </c>
      <c r="G241" s="7">
        <f t="shared" si="22"/>
        <v>14920978.729999999</v>
      </c>
      <c r="H241" s="20">
        <v>37</v>
      </c>
      <c r="I241" s="20">
        <v>776500</v>
      </c>
      <c r="J241" s="20">
        <v>54.5</v>
      </c>
      <c r="K241" s="20">
        <v>759500</v>
      </c>
      <c r="L241" s="20">
        <v>38000</v>
      </c>
      <c r="M241" s="20"/>
      <c r="N241" s="20">
        <v>1500000</v>
      </c>
      <c r="O241" s="20">
        <v>0</v>
      </c>
      <c r="P241" s="20"/>
      <c r="Q241" s="19">
        <f t="shared" si="23"/>
        <v>28274691.879999999</v>
      </c>
      <c r="R241" s="20">
        <v>1775600</v>
      </c>
      <c r="S241" s="20">
        <v>8162722</v>
      </c>
      <c r="T241" s="20"/>
      <c r="U241" s="20"/>
      <c r="V241" s="20"/>
      <c r="W241" s="20">
        <v>267958</v>
      </c>
      <c r="X241" s="20">
        <v>11629515</v>
      </c>
      <c r="Y241" s="8">
        <f t="shared" si="24"/>
        <v>6438896.879999999</v>
      </c>
      <c r="Z241" s="36"/>
      <c r="AA241" s="36"/>
      <c r="AB241" s="36"/>
      <c r="AC241" s="36"/>
      <c r="AD241" s="36"/>
      <c r="AE241" s="36"/>
      <c r="AF241" s="36">
        <v>53000</v>
      </c>
      <c r="AG241" s="36"/>
      <c r="AH241" s="36"/>
      <c r="AI241" s="36"/>
      <c r="AJ241" s="36">
        <v>118300</v>
      </c>
      <c r="AK241" s="36"/>
      <c r="AL241" s="37">
        <f t="shared" si="25"/>
        <v>171300</v>
      </c>
      <c r="AM241" s="36"/>
      <c r="AN241" s="36"/>
      <c r="AO241" s="36"/>
      <c r="AP241" s="7"/>
      <c r="AQ241" s="38">
        <f t="shared" si="26"/>
        <v>6267596.879999999</v>
      </c>
      <c r="AR241" s="36">
        <v>0</v>
      </c>
      <c r="AS241" s="18">
        <f t="shared" si="27"/>
        <v>-6267596.879999999</v>
      </c>
    </row>
    <row r="242" spans="1:45" x14ac:dyDescent="0.25">
      <c r="A242" s="40">
        <v>45530</v>
      </c>
      <c r="B242" s="20">
        <v>1475.73</v>
      </c>
      <c r="C242" s="20">
        <v>2653.5</v>
      </c>
      <c r="D242" s="20">
        <v>5290</v>
      </c>
      <c r="E242" s="20">
        <v>4970</v>
      </c>
      <c r="F242" s="7">
        <f t="shared" si="21"/>
        <v>7806611.7000000002</v>
      </c>
      <c r="G242" s="7">
        <f t="shared" si="22"/>
        <v>13187895</v>
      </c>
      <c r="H242" s="20">
        <v>51.5</v>
      </c>
      <c r="I242" s="20">
        <v>1471000</v>
      </c>
      <c r="J242" s="20">
        <v>70.5</v>
      </c>
      <c r="K242" s="20">
        <v>635000</v>
      </c>
      <c r="L242" s="20">
        <v>62000</v>
      </c>
      <c r="M242" s="20">
        <v>0</v>
      </c>
      <c r="N242" s="20">
        <v>0</v>
      </c>
      <c r="O242" s="20">
        <v>200000</v>
      </c>
      <c r="P242" s="20">
        <v>75000</v>
      </c>
      <c r="Q242" s="19">
        <f t="shared" si="23"/>
        <v>23437506.699999999</v>
      </c>
      <c r="R242" s="20">
        <v>676194</v>
      </c>
      <c r="S242" s="20">
        <v>7916496</v>
      </c>
      <c r="T242" s="20"/>
      <c r="U242" s="20"/>
      <c r="V242" s="20"/>
      <c r="W242" s="20">
        <v>265000</v>
      </c>
      <c r="X242" s="20">
        <v>10465557</v>
      </c>
      <c r="Y242" s="8">
        <f t="shared" si="24"/>
        <v>4114259.6999999993</v>
      </c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7">
        <f t="shared" si="25"/>
        <v>0</v>
      </c>
      <c r="AM242" s="36"/>
      <c r="AN242" s="36"/>
      <c r="AO242" s="36"/>
      <c r="AP242" s="7"/>
      <c r="AQ242" s="38">
        <f t="shared" si="26"/>
        <v>4114259.6999999993</v>
      </c>
      <c r="AR242" s="36">
        <v>10381900</v>
      </c>
      <c r="AS242" s="18">
        <f t="shared" si="27"/>
        <v>6267640.3000000007</v>
      </c>
    </row>
    <row r="243" spans="1:45" x14ac:dyDescent="0.25">
      <c r="A243" s="40">
        <v>45531</v>
      </c>
      <c r="B243" s="20">
        <v>2066.6489999999999</v>
      </c>
      <c r="C243" s="20">
        <v>4668.8100000000004</v>
      </c>
      <c r="D243" s="20">
        <v>5290</v>
      </c>
      <c r="E243" s="20">
        <v>4970</v>
      </c>
      <c r="F243" s="7">
        <f t="shared" si="21"/>
        <v>10932573.209999999</v>
      </c>
      <c r="G243" s="7">
        <f t="shared" si="22"/>
        <v>23203985.700000003</v>
      </c>
      <c r="H243" s="20">
        <v>67.75</v>
      </c>
      <c r="I243" s="20">
        <v>1415000</v>
      </c>
      <c r="J243" s="20">
        <v>149</v>
      </c>
      <c r="K243" s="20">
        <v>2172000</v>
      </c>
      <c r="L243" s="20">
        <v>231000</v>
      </c>
      <c r="M243" s="20">
        <v>0</v>
      </c>
      <c r="N243" s="20">
        <v>0</v>
      </c>
      <c r="O243" s="20">
        <v>1012958</v>
      </c>
      <c r="P243" s="20">
        <v>0</v>
      </c>
      <c r="Q243" s="19">
        <f t="shared" si="23"/>
        <v>38967516.910000004</v>
      </c>
      <c r="R243" s="20">
        <v>602205</v>
      </c>
      <c r="S243" s="20">
        <v>11164848</v>
      </c>
      <c r="T243" s="20"/>
      <c r="U243" s="20"/>
      <c r="V243" s="20"/>
      <c r="W243" s="20">
        <v>436000</v>
      </c>
      <c r="X243" s="20">
        <v>19432871</v>
      </c>
      <c r="Y243" s="8">
        <f t="shared" si="24"/>
        <v>7331592.9100000039</v>
      </c>
      <c r="Z243" s="36"/>
      <c r="AA243" s="36"/>
      <c r="AB243" s="36"/>
      <c r="AC243" s="36"/>
      <c r="AD243" s="36"/>
      <c r="AE243" s="36"/>
      <c r="AF243" s="36">
        <v>3000</v>
      </c>
      <c r="AG243" s="36">
        <v>30000</v>
      </c>
      <c r="AH243" s="36"/>
      <c r="AI243" s="36"/>
      <c r="AJ243" s="36"/>
      <c r="AK243" s="36"/>
      <c r="AL243" s="37">
        <f t="shared" si="25"/>
        <v>33000</v>
      </c>
      <c r="AM243" s="36">
        <v>1515000</v>
      </c>
      <c r="AN243" s="36"/>
      <c r="AO243" s="36"/>
      <c r="AP243" s="7"/>
      <c r="AQ243" s="38">
        <f t="shared" si="26"/>
        <v>5783592.9100000039</v>
      </c>
      <c r="AR243" s="36">
        <v>5783600</v>
      </c>
      <c r="AS243" s="18">
        <f t="shared" si="27"/>
        <v>7.0899999961256981</v>
      </c>
    </row>
    <row r="244" spans="1:45" x14ac:dyDescent="0.25">
      <c r="A244" s="40">
        <v>45532</v>
      </c>
      <c r="B244" s="20">
        <v>2377.962</v>
      </c>
      <c r="C244" s="20">
        <v>5891.893</v>
      </c>
      <c r="D244" s="20">
        <v>5290</v>
      </c>
      <c r="E244" s="20">
        <v>4970</v>
      </c>
      <c r="F244" s="7">
        <f t="shared" si="21"/>
        <v>12579418.98</v>
      </c>
      <c r="G244" s="7">
        <f t="shared" si="22"/>
        <v>29282708.210000001</v>
      </c>
      <c r="H244" s="20">
        <v>28.25</v>
      </c>
      <c r="I244" s="20">
        <v>593500</v>
      </c>
      <c r="J244" s="20">
        <v>110.5</v>
      </c>
      <c r="K244" s="20">
        <v>1639000</v>
      </c>
      <c r="L244" s="20">
        <v>30000</v>
      </c>
      <c r="M244" s="20"/>
      <c r="N244" s="20"/>
      <c r="O244" s="20">
        <v>939000</v>
      </c>
      <c r="P244" s="20"/>
      <c r="Q244" s="19">
        <f t="shared" si="23"/>
        <v>45063627.189999998</v>
      </c>
      <c r="R244" s="20">
        <v>1791155</v>
      </c>
      <c r="S244" s="20">
        <v>20743002</v>
      </c>
      <c r="T244" s="20"/>
      <c r="U244" s="20"/>
      <c r="V244" s="20"/>
      <c r="W244" s="20">
        <v>450200</v>
      </c>
      <c r="X244" s="20">
        <v>11866992</v>
      </c>
      <c r="Y244" s="8">
        <f t="shared" si="24"/>
        <v>10212278.189999998</v>
      </c>
      <c r="Z244" s="36"/>
      <c r="AA244" s="36"/>
      <c r="AB244" s="36"/>
      <c r="AC244" s="36"/>
      <c r="AD244" s="36"/>
      <c r="AE244" s="36"/>
      <c r="AF244" s="36">
        <v>11000</v>
      </c>
      <c r="AG244" s="36"/>
      <c r="AH244" s="36">
        <v>19000</v>
      </c>
      <c r="AI244" s="36"/>
      <c r="AJ244" s="36"/>
      <c r="AK244" s="36"/>
      <c r="AL244" s="37">
        <f t="shared" si="25"/>
        <v>30000</v>
      </c>
      <c r="AM244" s="36">
        <v>1570000</v>
      </c>
      <c r="AN244" s="36"/>
      <c r="AO244" s="36"/>
      <c r="AP244" s="7"/>
      <c r="AQ244" s="38">
        <f t="shared" si="26"/>
        <v>8612278.1899999976</v>
      </c>
      <c r="AR244" s="36">
        <v>8612200</v>
      </c>
      <c r="AS244" s="18">
        <f t="shared" si="27"/>
        <v>-78.189999997615814</v>
      </c>
    </row>
    <row r="245" spans="1:45" x14ac:dyDescent="0.25">
      <c r="A245" s="40">
        <v>45533</v>
      </c>
      <c r="B245" s="20">
        <v>2595.797</v>
      </c>
      <c r="C245" s="20">
        <v>2616.2150000000001</v>
      </c>
      <c r="D245" s="20">
        <v>5390</v>
      </c>
      <c r="E245" s="20">
        <v>4970</v>
      </c>
      <c r="F245" s="7">
        <f t="shared" si="21"/>
        <v>13991345.83</v>
      </c>
      <c r="G245" s="7">
        <f t="shared" si="22"/>
        <v>13002588.550000001</v>
      </c>
      <c r="H245" s="20">
        <v>74.5</v>
      </c>
      <c r="I245" s="20">
        <v>1449500</v>
      </c>
      <c r="J245" s="20">
        <v>89</v>
      </c>
      <c r="K245" s="20">
        <v>887000</v>
      </c>
      <c r="L245" s="20">
        <v>55000</v>
      </c>
      <c r="M245" s="20"/>
      <c r="N245" s="20"/>
      <c r="O245" s="20">
        <v>1599200</v>
      </c>
      <c r="P245" s="20"/>
      <c r="Q245" s="19">
        <f t="shared" si="23"/>
        <v>30984634.380000003</v>
      </c>
      <c r="R245" s="20">
        <v>1279443</v>
      </c>
      <c r="S245" s="20">
        <v>5700903</v>
      </c>
      <c r="T245" s="20"/>
      <c r="U245" s="20"/>
      <c r="V245" s="20"/>
      <c r="W245" s="20">
        <v>197716</v>
      </c>
      <c r="X245" s="20">
        <v>13912708</v>
      </c>
      <c r="Y245" s="8">
        <f t="shared" si="24"/>
        <v>9893864.3800000027</v>
      </c>
      <c r="Z245" s="36"/>
      <c r="AA245" s="36"/>
      <c r="AB245" s="36"/>
      <c r="AC245" s="36"/>
      <c r="AD245" s="36"/>
      <c r="AE245" s="36"/>
      <c r="AF245" s="36">
        <v>6000</v>
      </c>
      <c r="AG245" s="36"/>
      <c r="AH245" s="36"/>
      <c r="AI245" s="36">
        <v>5000</v>
      </c>
      <c r="AJ245" s="36">
        <v>81600</v>
      </c>
      <c r="AK245" s="36">
        <v>30000</v>
      </c>
      <c r="AL245" s="37">
        <f t="shared" si="25"/>
        <v>122600</v>
      </c>
      <c r="AM245" s="36"/>
      <c r="AN245" s="36"/>
      <c r="AO245" s="36"/>
      <c r="AP245" s="7"/>
      <c r="AQ245" s="38">
        <f t="shared" si="26"/>
        <v>9771264.3800000027</v>
      </c>
      <c r="AR245" s="36">
        <v>9771200</v>
      </c>
      <c r="AS245" s="18">
        <f t="shared" si="27"/>
        <v>-64.380000002682209</v>
      </c>
    </row>
    <row r="246" spans="1:45" x14ac:dyDescent="0.25">
      <c r="A246" s="40">
        <v>45534</v>
      </c>
      <c r="B246" s="20">
        <v>2031.32</v>
      </c>
      <c r="C246" s="20">
        <v>4702.7870000000003</v>
      </c>
      <c r="D246" s="20">
        <v>5390</v>
      </c>
      <c r="E246" s="20">
        <v>4970</v>
      </c>
      <c r="F246" s="7">
        <f t="shared" si="21"/>
        <v>10948814.799999999</v>
      </c>
      <c r="G246" s="7">
        <f t="shared" si="22"/>
        <v>23372851.390000001</v>
      </c>
      <c r="H246" s="20">
        <v>52.75</v>
      </c>
      <c r="I246" s="20">
        <v>1069000</v>
      </c>
      <c r="J246" s="20">
        <v>73</v>
      </c>
      <c r="K246" s="20">
        <v>1096000</v>
      </c>
      <c r="L246" s="20">
        <v>23000</v>
      </c>
      <c r="M246" s="20"/>
      <c r="N246" s="20">
        <v>1100000</v>
      </c>
      <c r="O246" s="20">
        <v>100000</v>
      </c>
      <c r="P246" s="20"/>
      <c r="Q246" s="19">
        <f t="shared" si="23"/>
        <v>37709666.189999998</v>
      </c>
      <c r="R246" s="20">
        <v>1481659</v>
      </c>
      <c r="S246" s="20">
        <v>11391703</v>
      </c>
      <c r="T246" s="20"/>
      <c r="U246" s="20"/>
      <c r="V246" s="20"/>
      <c r="W246" s="20">
        <v>680676</v>
      </c>
      <c r="X246" s="20">
        <v>19158527</v>
      </c>
      <c r="Y246" s="8">
        <f t="shared" si="24"/>
        <v>4997101.1899999976</v>
      </c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7">
        <f t="shared" si="25"/>
        <v>0</v>
      </c>
      <c r="AM246" s="36"/>
      <c r="AN246" s="36"/>
      <c r="AO246" s="36"/>
      <c r="AP246" s="7"/>
      <c r="AQ246" s="38">
        <f t="shared" si="26"/>
        <v>4997101.1899999976</v>
      </c>
      <c r="AR246" s="36">
        <v>4997100</v>
      </c>
      <c r="AS246" s="18">
        <f t="shared" si="27"/>
        <v>-1.1899999976158142</v>
      </c>
    </row>
    <row r="247" spans="1:45" x14ac:dyDescent="0.25">
      <c r="A247" s="40">
        <v>45535</v>
      </c>
      <c r="B247" s="20">
        <v>2364.1689999999999</v>
      </c>
      <c r="C247" s="20">
        <v>4099.7830000000004</v>
      </c>
      <c r="D247" s="20">
        <v>5390</v>
      </c>
      <c r="E247" s="20">
        <v>4970</v>
      </c>
      <c r="F247" s="7">
        <f t="shared" si="21"/>
        <v>12742870.91</v>
      </c>
      <c r="G247" s="7">
        <f t="shared" si="22"/>
        <v>20375921.510000002</v>
      </c>
      <c r="H247" s="20">
        <v>56.25</v>
      </c>
      <c r="I247" s="20">
        <v>1318500</v>
      </c>
      <c r="J247" s="20">
        <v>68.5</v>
      </c>
      <c r="K247" s="20">
        <v>678000</v>
      </c>
      <c r="L247" s="20">
        <v>118000</v>
      </c>
      <c r="M247" s="20"/>
      <c r="N247" s="20"/>
      <c r="O247" s="20">
        <v>2184392</v>
      </c>
      <c r="P247" s="20"/>
      <c r="Q247" s="19">
        <f t="shared" si="23"/>
        <v>37417684.420000002</v>
      </c>
      <c r="R247" s="20">
        <v>508605</v>
      </c>
      <c r="S247" s="20">
        <v>12825581</v>
      </c>
      <c r="T247" s="20"/>
      <c r="U247" s="20"/>
      <c r="V247" s="20"/>
      <c r="W247" s="20">
        <v>239000</v>
      </c>
      <c r="X247" s="20">
        <v>18107393</v>
      </c>
      <c r="Y247" s="8">
        <f t="shared" si="24"/>
        <v>5737105.4200000018</v>
      </c>
      <c r="Z247" s="36"/>
      <c r="AA247" s="36"/>
      <c r="AB247" s="36">
        <v>625400</v>
      </c>
      <c r="AC247" s="36">
        <v>80000</v>
      </c>
      <c r="AD247" s="36"/>
      <c r="AE247" s="36"/>
      <c r="AF247" s="36">
        <v>6000</v>
      </c>
      <c r="AG247" s="36"/>
      <c r="AH247" s="36"/>
      <c r="AI247" s="36"/>
      <c r="AJ247" s="36"/>
      <c r="AK247" s="36"/>
      <c r="AL247" s="37">
        <f t="shared" si="25"/>
        <v>711400</v>
      </c>
      <c r="AM247" s="36"/>
      <c r="AN247" s="36"/>
      <c r="AO247" s="36"/>
      <c r="AP247" s="7"/>
      <c r="AQ247" s="38">
        <f t="shared" si="26"/>
        <v>5025705.4200000018</v>
      </c>
      <c r="AR247" s="36">
        <v>5025700</v>
      </c>
      <c r="AS247" s="18">
        <f t="shared" si="27"/>
        <v>-5.4200000017881393</v>
      </c>
    </row>
    <row r="248" spans="1:45" x14ac:dyDescent="0.25">
      <c r="A248" s="40">
        <v>45536</v>
      </c>
      <c r="B248" s="20">
        <v>2370.6419999999998</v>
      </c>
      <c r="C248" s="20">
        <v>3316.9650000000001</v>
      </c>
      <c r="D248" s="20">
        <v>5390</v>
      </c>
      <c r="E248" s="20">
        <v>4970</v>
      </c>
      <c r="F248" s="7">
        <f t="shared" si="21"/>
        <v>12777760.379999999</v>
      </c>
      <c r="G248" s="7">
        <f t="shared" si="22"/>
        <v>16485316.050000001</v>
      </c>
      <c r="H248" s="20">
        <v>56.25</v>
      </c>
      <c r="I248" s="20">
        <v>890500</v>
      </c>
      <c r="J248" s="20">
        <v>104.5</v>
      </c>
      <c r="K248" s="20">
        <v>1233500</v>
      </c>
      <c r="L248" s="20">
        <v>53000</v>
      </c>
      <c r="M248" s="20"/>
      <c r="N248" s="20"/>
      <c r="O248" s="20">
        <v>1575236</v>
      </c>
      <c r="P248" s="20">
        <v>25000</v>
      </c>
      <c r="Q248" s="19">
        <f t="shared" si="23"/>
        <v>33040312.43</v>
      </c>
      <c r="R248" s="20">
        <v>1122150</v>
      </c>
      <c r="S248" s="20">
        <v>10799123</v>
      </c>
      <c r="T248" s="20"/>
      <c r="U248" s="20"/>
      <c r="V248" s="20"/>
      <c r="W248" s="20">
        <v>403000</v>
      </c>
      <c r="X248" s="20">
        <v>9214447</v>
      </c>
      <c r="Y248" s="8">
        <f t="shared" si="24"/>
        <v>11501592.43</v>
      </c>
      <c r="Z248" s="36"/>
      <c r="AA248" s="36"/>
      <c r="AB248" s="36"/>
      <c r="AC248" s="36"/>
      <c r="AD248" s="36">
        <v>99400</v>
      </c>
      <c r="AE248" s="36">
        <v>1200000</v>
      </c>
      <c r="AF248" s="36">
        <v>3000</v>
      </c>
      <c r="AG248" s="36">
        <v>2070000</v>
      </c>
      <c r="AH248" s="36"/>
      <c r="AI248" s="36"/>
      <c r="AJ248" s="36"/>
      <c r="AK248" s="36"/>
      <c r="AL248" s="37">
        <f t="shared" si="25"/>
        <v>3372400</v>
      </c>
      <c r="AM248" s="36"/>
      <c r="AN248" s="36"/>
      <c r="AO248" s="36"/>
      <c r="AP248" s="7"/>
      <c r="AQ248" s="38">
        <f t="shared" si="26"/>
        <v>8129192.4299999997</v>
      </c>
      <c r="AR248" s="36">
        <v>0</v>
      </c>
      <c r="AS248" s="18">
        <f t="shared" si="27"/>
        <v>-8129192.4299999997</v>
      </c>
    </row>
    <row r="249" spans="1:45" x14ac:dyDescent="0.25">
      <c r="A249" s="40">
        <v>45537</v>
      </c>
      <c r="B249" s="20">
        <v>1374.0239999999999</v>
      </c>
      <c r="C249" s="20">
        <v>2504.38</v>
      </c>
      <c r="D249" s="20">
        <v>5390</v>
      </c>
      <c r="E249" s="20">
        <v>4970</v>
      </c>
      <c r="F249" s="7">
        <f t="shared" si="21"/>
        <v>7405989.3599999994</v>
      </c>
      <c r="G249" s="7">
        <f t="shared" si="22"/>
        <v>12446768.6</v>
      </c>
      <c r="H249" s="20">
        <v>141</v>
      </c>
      <c r="I249" s="20">
        <v>2362000</v>
      </c>
      <c r="J249" s="20">
        <v>70.5</v>
      </c>
      <c r="K249" s="20">
        <v>703000</v>
      </c>
      <c r="L249" s="20">
        <v>38000</v>
      </c>
      <c r="M249" s="20"/>
      <c r="N249" s="20"/>
      <c r="O249" s="20">
        <v>2048000</v>
      </c>
      <c r="P249" s="20">
        <v>0</v>
      </c>
      <c r="Q249" s="19">
        <f t="shared" si="23"/>
        <v>25003757.960000001</v>
      </c>
      <c r="R249" s="20">
        <v>740722</v>
      </c>
      <c r="S249" s="20">
        <v>6406268</v>
      </c>
      <c r="T249" s="20"/>
      <c r="U249" s="20"/>
      <c r="V249" s="20"/>
      <c r="W249" s="20">
        <v>656565</v>
      </c>
      <c r="X249" s="20">
        <v>3221596</v>
      </c>
      <c r="Y249" s="8">
        <f t="shared" si="24"/>
        <v>13978606.960000001</v>
      </c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7">
        <f t="shared" si="25"/>
        <v>0</v>
      </c>
      <c r="AM249" s="36"/>
      <c r="AN249" s="36"/>
      <c r="AO249" s="36"/>
      <c r="AP249" s="7"/>
      <c r="AQ249" s="38">
        <f t="shared" si="26"/>
        <v>13978606.960000001</v>
      </c>
      <c r="AR249" s="36">
        <v>22107800</v>
      </c>
      <c r="AS249" s="18">
        <f t="shared" si="27"/>
        <v>8129193.0399999991</v>
      </c>
    </row>
    <row r="250" spans="1:45" x14ac:dyDescent="0.25">
      <c r="A250" s="40">
        <v>45538</v>
      </c>
      <c r="B250" s="20">
        <v>1662.2049999999999</v>
      </c>
      <c r="C250" s="20">
        <v>3524.739</v>
      </c>
      <c r="D250" s="20">
        <v>5390</v>
      </c>
      <c r="E250" s="20">
        <v>4970</v>
      </c>
      <c r="F250" s="7">
        <f t="shared" si="21"/>
        <v>8959284.9499999993</v>
      </c>
      <c r="G250" s="7">
        <f t="shared" si="22"/>
        <v>17517952.830000002</v>
      </c>
      <c r="H250" s="20">
        <v>79.25</v>
      </c>
      <c r="I250" s="20">
        <v>1599500</v>
      </c>
      <c r="J250" s="20">
        <v>43.5</v>
      </c>
      <c r="K250" s="20">
        <v>371000</v>
      </c>
      <c r="L250" s="20">
        <v>77000</v>
      </c>
      <c r="M250" s="20"/>
      <c r="N250" s="20"/>
      <c r="O250" s="20">
        <v>1403565</v>
      </c>
      <c r="P250" s="20"/>
      <c r="Q250" s="19">
        <f t="shared" si="23"/>
        <v>29928302.780000001</v>
      </c>
      <c r="R250" s="20">
        <v>1476687</v>
      </c>
      <c r="S250" s="20">
        <v>10284257</v>
      </c>
      <c r="T250" s="20"/>
      <c r="U250" s="20"/>
      <c r="V250" s="20"/>
      <c r="W250" s="20">
        <v>588549</v>
      </c>
      <c r="X250" s="20">
        <v>12316800</v>
      </c>
      <c r="Y250" s="8">
        <f t="shared" si="24"/>
        <v>5262009.7800000012</v>
      </c>
      <c r="Z250" s="36"/>
      <c r="AA250" s="36"/>
      <c r="AB250" s="36"/>
      <c r="AC250" s="36">
        <v>10000</v>
      </c>
      <c r="AD250" s="36"/>
      <c r="AE250" s="36"/>
      <c r="AF250" s="36">
        <v>3000</v>
      </c>
      <c r="AG250" s="36"/>
      <c r="AH250" s="36"/>
      <c r="AI250" s="36"/>
      <c r="AJ250" s="36"/>
      <c r="AK250" s="36"/>
      <c r="AL250" s="37">
        <f t="shared" si="25"/>
        <v>13000</v>
      </c>
      <c r="AM250" s="36"/>
      <c r="AN250" s="36"/>
      <c r="AO250" s="36"/>
      <c r="AP250" s="7"/>
      <c r="AQ250" s="38">
        <f t="shared" si="26"/>
        <v>5249009.7800000012</v>
      </c>
      <c r="AR250" s="36">
        <v>5249400</v>
      </c>
      <c r="AS250" s="18">
        <f t="shared" si="27"/>
        <v>390.21999999880791</v>
      </c>
    </row>
    <row r="251" spans="1:45" x14ac:dyDescent="0.25">
      <c r="A251" s="40">
        <v>45539</v>
      </c>
      <c r="B251" s="20">
        <v>2115.1709999999998</v>
      </c>
      <c r="C251" s="20">
        <v>4700.5389999999998</v>
      </c>
      <c r="D251" s="20">
        <v>5390</v>
      </c>
      <c r="E251" s="20">
        <v>4970</v>
      </c>
      <c r="F251" s="7">
        <f t="shared" si="21"/>
        <v>11400771.689999999</v>
      </c>
      <c r="G251" s="7">
        <f t="shared" si="22"/>
        <v>23361678.829999998</v>
      </c>
      <c r="H251" s="20">
        <v>113.75</v>
      </c>
      <c r="I251" s="20">
        <v>2463000</v>
      </c>
      <c r="J251" s="20">
        <v>78</v>
      </c>
      <c r="K251" s="20">
        <v>658000</v>
      </c>
      <c r="L251" s="20">
        <v>247000</v>
      </c>
      <c r="M251" s="20"/>
      <c r="N251" s="20"/>
      <c r="O251" s="20">
        <v>3678049</v>
      </c>
      <c r="P251" s="20"/>
      <c r="Q251" s="19">
        <f t="shared" si="23"/>
        <v>41808499.519999996</v>
      </c>
      <c r="R251" s="20">
        <v>1646346</v>
      </c>
      <c r="S251" s="20">
        <v>11285120</v>
      </c>
      <c r="T251" s="20"/>
      <c r="U251" s="20"/>
      <c r="V251" s="20"/>
      <c r="W251" s="20">
        <v>0</v>
      </c>
      <c r="X251" s="20">
        <v>19436051</v>
      </c>
      <c r="Y251" s="8">
        <f t="shared" si="24"/>
        <v>9440982.5199999958</v>
      </c>
      <c r="Z251" s="36"/>
      <c r="AA251" s="36"/>
      <c r="AB251" s="36"/>
      <c r="AC251" s="36">
        <v>70000</v>
      </c>
      <c r="AD251" s="36"/>
      <c r="AE251" s="36"/>
      <c r="AF251" s="36"/>
      <c r="AG251" s="36"/>
      <c r="AH251" s="36"/>
      <c r="AI251" s="36"/>
      <c r="AJ251" s="36"/>
      <c r="AK251" s="36"/>
      <c r="AL251" s="37">
        <f t="shared" si="25"/>
        <v>70000</v>
      </c>
      <c r="AM251" s="36"/>
      <c r="AN251" s="36"/>
      <c r="AO251" s="36"/>
      <c r="AP251" s="7"/>
      <c r="AQ251" s="38">
        <f t="shared" si="26"/>
        <v>9370982.5199999958</v>
      </c>
      <c r="AR251" s="36">
        <v>9371000</v>
      </c>
      <c r="AS251" s="18">
        <f t="shared" si="27"/>
        <v>17.480000004172325</v>
      </c>
    </row>
    <row r="252" spans="1:45" x14ac:dyDescent="0.25">
      <c r="A252" s="40">
        <v>45540</v>
      </c>
      <c r="B252" s="20">
        <v>1825.6780000000001</v>
      </c>
      <c r="C252" s="20">
        <v>3477.1889999999999</v>
      </c>
      <c r="D252" s="20">
        <v>5390</v>
      </c>
      <c r="E252" s="20">
        <v>4970</v>
      </c>
      <c r="F252" s="7">
        <f t="shared" si="21"/>
        <v>9840404.4199999999</v>
      </c>
      <c r="G252" s="7">
        <f t="shared" si="22"/>
        <v>17281629.329999998</v>
      </c>
      <c r="H252" s="20">
        <v>31.5</v>
      </c>
      <c r="I252" s="20">
        <v>817000</v>
      </c>
      <c r="J252" s="20">
        <v>6</v>
      </c>
      <c r="K252" s="20">
        <v>53000</v>
      </c>
      <c r="L252" s="20">
        <v>38000</v>
      </c>
      <c r="M252" s="20"/>
      <c r="N252" s="20"/>
      <c r="O252" s="20">
        <v>3671100</v>
      </c>
      <c r="P252" s="20"/>
      <c r="Q252" s="19">
        <f t="shared" si="23"/>
        <v>31701133.75</v>
      </c>
      <c r="R252" s="20">
        <v>672086</v>
      </c>
      <c r="S252" s="20">
        <v>12298977</v>
      </c>
      <c r="T252" s="20"/>
      <c r="U252" s="20"/>
      <c r="V252" s="20"/>
      <c r="W252" s="20">
        <v>28500</v>
      </c>
      <c r="X252" s="20">
        <v>9805878</v>
      </c>
      <c r="Y252" s="8">
        <f t="shared" si="24"/>
        <v>8895692.75</v>
      </c>
      <c r="Z252" s="36"/>
      <c r="AA252" s="36"/>
      <c r="AB252" s="36"/>
      <c r="AC252" s="36">
        <v>23500</v>
      </c>
      <c r="AD252" s="36"/>
      <c r="AE252" s="36"/>
      <c r="AF252" s="36">
        <v>3000</v>
      </c>
      <c r="AG252" s="36"/>
      <c r="AH252" s="36">
        <v>25500</v>
      </c>
      <c r="AI252" s="36">
        <v>20000</v>
      </c>
      <c r="AJ252" s="36">
        <v>636000</v>
      </c>
      <c r="AK252" s="36"/>
      <c r="AL252" s="37">
        <f t="shared" si="25"/>
        <v>708000</v>
      </c>
      <c r="AM252" s="36"/>
      <c r="AN252" s="36"/>
      <c r="AO252" s="36"/>
      <c r="AP252" s="7"/>
      <c r="AQ252" s="38">
        <f t="shared" si="26"/>
        <v>8187692.75</v>
      </c>
      <c r="AR252" s="36">
        <v>8187700</v>
      </c>
      <c r="AS252" s="18">
        <f t="shared" si="27"/>
        <v>7.25</v>
      </c>
    </row>
    <row r="253" spans="1:45" x14ac:dyDescent="0.25">
      <c r="A253" s="40">
        <v>45541</v>
      </c>
      <c r="B253" s="20">
        <v>1798.5160000000001</v>
      </c>
      <c r="C253" s="20">
        <v>3870.3049999999998</v>
      </c>
      <c r="D253" s="20">
        <v>5390</v>
      </c>
      <c r="E253" s="20">
        <v>4970</v>
      </c>
      <c r="F253" s="7">
        <f t="shared" si="21"/>
        <v>9694001.2400000002</v>
      </c>
      <c r="G253" s="7">
        <f t="shared" si="22"/>
        <v>19235415.849999998</v>
      </c>
      <c r="H253" s="20">
        <v>30.25</v>
      </c>
      <c r="I253" s="20">
        <v>664500</v>
      </c>
      <c r="J253" s="20">
        <v>30.5</v>
      </c>
      <c r="K253" s="20">
        <v>448000</v>
      </c>
      <c r="L253" s="20">
        <v>38000</v>
      </c>
      <c r="M253" s="20">
        <v>350000</v>
      </c>
      <c r="N253" s="20"/>
      <c r="O253" s="20">
        <v>1364200</v>
      </c>
      <c r="P253" s="20"/>
      <c r="Q253" s="19">
        <f t="shared" si="23"/>
        <v>31794117.089999996</v>
      </c>
      <c r="R253" s="20">
        <v>1159571</v>
      </c>
      <c r="S253" s="20">
        <v>9256757</v>
      </c>
      <c r="T253" s="20"/>
      <c r="U253" s="20"/>
      <c r="V253" s="20"/>
      <c r="W253" s="20"/>
      <c r="X253" s="20">
        <v>15231188</v>
      </c>
      <c r="Y253" s="8">
        <f t="shared" si="24"/>
        <v>6146601.0899999961</v>
      </c>
      <c r="Z253" s="36"/>
      <c r="AA253" s="36"/>
      <c r="AB253" s="36"/>
      <c r="AC253" s="36"/>
      <c r="AD253" s="36">
        <v>99400</v>
      </c>
      <c r="AE253" s="36"/>
      <c r="AF253" s="36">
        <v>3000</v>
      </c>
      <c r="AG253" s="36"/>
      <c r="AH253" s="36">
        <v>8000</v>
      </c>
      <c r="AI253" s="36"/>
      <c r="AJ253" s="36">
        <v>990000</v>
      </c>
      <c r="AK253" s="36"/>
      <c r="AL253" s="37">
        <f t="shared" si="25"/>
        <v>1100400</v>
      </c>
      <c r="AM253" s="36"/>
      <c r="AN253" s="36"/>
      <c r="AO253" s="36"/>
      <c r="AP253" s="7"/>
      <c r="AQ253" s="38">
        <f t="shared" si="26"/>
        <v>5046201.0899999961</v>
      </c>
      <c r="AR253" s="36">
        <v>5046200</v>
      </c>
      <c r="AS253" s="18">
        <f t="shared" si="27"/>
        <v>-1.0899999961256981</v>
      </c>
    </row>
    <row r="254" spans="1:45" x14ac:dyDescent="0.25">
      <c r="A254" s="40">
        <v>45542</v>
      </c>
      <c r="B254" s="20">
        <v>2027.17</v>
      </c>
      <c r="C254" s="20">
        <v>3424.6759999999999</v>
      </c>
      <c r="D254" s="20">
        <v>5390</v>
      </c>
      <c r="E254" s="20">
        <v>4970</v>
      </c>
      <c r="F254" s="7">
        <f t="shared" si="21"/>
        <v>10926446.300000001</v>
      </c>
      <c r="G254" s="7">
        <f t="shared" si="22"/>
        <v>17020639.719999999</v>
      </c>
      <c r="H254" s="20">
        <v>96.5</v>
      </c>
      <c r="I254" s="20">
        <v>1997500</v>
      </c>
      <c r="J254" s="20">
        <v>45.5</v>
      </c>
      <c r="K254" s="20">
        <v>490000</v>
      </c>
      <c r="L254" s="20">
        <v>112000</v>
      </c>
      <c r="M254" s="20"/>
      <c r="N254" s="20"/>
      <c r="O254" s="20">
        <v>2045625</v>
      </c>
      <c r="P254" s="20"/>
      <c r="Q254" s="19">
        <f t="shared" si="23"/>
        <v>32592211.02</v>
      </c>
      <c r="R254" s="20">
        <v>1068583</v>
      </c>
      <c r="S254" s="20">
        <v>8919896</v>
      </c>
      <c r="T254" s="20"/>
      <c r="U254" s="20"/>
      <c r="V254" s="20"/>
      <c r="W254" s="20">
        <v>248000</v>
      </c>
      <c r="X254" s="20">
        <v>15220448</v>
      </c>
      <c r="Y254" s="8">
        <f t="shared" si="24"/>
        <v>7135284.0199999996</v>
      </c>
      <c r="Z254" s="36"/>
      <c r="AA254" s="36"/>
      <c r="AB254" s="36"/>
      <c r="AC254" s="36"/>
      <c r="AD254" s="36"/>
      <c r="AE254" s="36"/>
      <c r="AF254" s="36">
        <v>120000</v>
      </c>
      <c r="AG254" s="36"/>
      <c r="AH254" s="36"/>
      <c r="AI254" s="36"/>
      <c r="AJ254" s="36"/>
      <c r="AK254" s="36"/>
      <c r="AL254" s="37">
        <f t="shared" si="25"/>
        <v>120000</v>
      </c>
      <c r="AM254" s="36"/>
      <c r="AN254" s="36"/>
      <c r="AO254" s="36"/>
      <c r="AP254" s="7"/>
      <c r="AQ254" s="38">
        <f t="shared" si="26"/>
        <v>7015284.0199999996</v>
      </c>
      <c r="AR254" s="36">
        <v>7015300</v>
      </c>
      <c r="AS254" s="18">
        <f t="shared" si="27"/>
        <v>15.980000000447035</v>
      </c>
    </row>
    <row r="255" spans="1:45" x14ac:dyDescent="0.25">
      <c r="A255" s="40">
        <v>45543</v>
      </c>
      <c r="B255" s="20">
        <v>2391.3409999999999</v>
      </c>
      <c r="C255" s="20">
        <v>1742.279</v>
      </c>
      <c r="D255" s="20">
        <v>5390</v>
      </c>
      <c r="E255" s="20">
        <v>4970</v>
      </c>
      <c r="F255" s="7">
        <f t="shared" si="21"/>
        <v>12889327.99</v>
      </c>
      <c r="G255" s="7">
        <f t="shared" si="22"/>
        <v>8659126.6300000008</v>
      </c>
      <c r="H255" s="20">
        <v>50.5</v>
      </c>
      <c r="I255" s="20">
        <v>1039500</v>
      </c>
      <c r="J255" s="20">
        <v>48.5</v>
      </c>
      <c r="K255" s="20">
        <v>607000</v>
      </c>
      <c r="L255" s="20">
        <v>112000</v>
      </c>
      <c r="M255" s="20"/>
      <c r="N255" s="20"/>
      <c r="O255" s="20">
        <v>0</v>
      </c>
      <c r="P255" s="20"/>
      <c r="Q255" s="19">
        <f t="shared" si="23"/>
        <v>23306954.620000001</v>
      </c>
      <c r="R255" s="20">
        <v>1388377</v>
      </c>
      <c r="S255" s="20">
        <v>3364703</v>
      </c>
      <c r="T255" s="20"/>
      <c r="U255" s="20"/>
      <c r="V255" s="20"/>
      <c r="W255" s="20">
        <v>532000</v>
      </c>
      <c r="X255" s="20">
        <v>11492435</v>
      </c>
      <c r="Y255" s="8">
        <f t="shared" si="24"/>
        <v>6529439.620000001</v>
      </c>
      <c r="Z255" s="36"/>
      <c r="AA255" s="36"/>
      <c r="AB255" s="36"/>
      <c r="AC255" s="36"/>
      <c r="AD255" s="36"/>
      <c r="AE255" s="36"/>
      <c r="AF255" s="36">
        <v>3000</v>
      </c>
      <c r="AG255" s="36"/>
      <c r="AH255" s="36"/>
      <c r="AI255" s="36"/>
      <c r="AJ255" s="36">
        <v>1000000</v>
      </c>
      <c r="AK255" s="36"/>
      <c r="AL255" s="37">
        <f t="shared" si="25"/>
        <v>1003000</v>
      </c>
      <c r="AM255" s="36"/>
      <c r="AN255" s="36"/>
      <c r="AO255" s="36"/>
      <c r="AP255" s="7"/>
      <c r="AQ255" s="38">
        <f t="shared" si="26"/>
        <v>5526439.620000001</v>
      </c>
      <c r="AR255" s="36">
        <v>0</v>
      </c>
      <c r="AS255" s="18">
        <f t="shared" si="27"/>
        <v>-5526439.620000001</v>
      </c>
    </row>
    <row r="256" spans="1:45" x14ac:dyDescent="0.25">
      <c r="A256" s="40">
        <v>45544</v>
      </c>
      <c r="B256" s="20">
        <v>1442.367</v>
      </c>
      <c r="C256" s="20">
        <v>2725.2689999999998</v>
      </c>
      <c r="D256" s="20">
        <v>5390</v>
      </c>
      <c r="E256" s="20">
        <v>4970</v>
      </c>
      <c r="F256" s="7">
        <f t="shared" si="21"/>
        <v>7774358.1299999999</v>
      </c>
      <c r="G256" s="7">
        <f t="shared" si="22"/>
        <v>13544586.93</v>
      </c>
      <c r="H256" s="20">
        <v>53.25</v>
      </c>
      <c r="I256" s="20">
        <v>1220000</v>
      </c>
      <c r="J256" s="20">
        <v>64.5</v>
      </c>
      <c r="K256" s="20">
        <v>555000</v>
      </c>
      <c r="L256" s="20">
        <v>134000</v>
      </c>
      <c r="M256" s="20"/>
      <c r="N256" s="20"/>
      <c r="O256" s="20">
        <v>911700</v>
      </c>
      <c r="P256" s="20">
        <v>50000</v>
      </c>
      <c r="Q256" s="19">
        <f t="shared" si="23"/>
        <v>24189645.059999999</v>
      </c>
      <c r="R256" s="20">
        <v>703734</v>
      </c>
      <c r="S256" s="20">
        <v>3561313</v>
      </c>
      <c r="T256" s="20"/>
      <c r="U256" s="20"/>
      <c r="V256" s="20"/>
      <c r="W256" s="20">
        <v>238000</v>
      </c>
      <c r="X256" s="20">
        <v>10896399</v>
      </c>
      <c r="Y256" s="8">
        <f t="shared" si="24"/>
        <v>8790199.0599999987</v>
      </c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>
        <v>2900000</v>
      </c>
      <c r="AK256" s="36"/>
      <c r="AL256" s="37">
        <f t="shared" si="25"/>
        <v>2900000</v>
      </c>
      <c r="AM256" s="36"/>
      <c r="AN256" s="36"/>
      <c r="AO256" s="36"/>
      <c r="AP256" s="7"/>
      <c r="AQ256" s="38">
        <f t="shared" si="26"/>
        <v>5890199.0599999987</v>
      </c>
      <c r="AR256" s="36">
        <v>11390700</v>
      </c>
      <c r="AS256" s="18">
        <f t="shared" si="27"/>
        <v>5500500.9400000013</v>
      </c>
    </row>
    <row r="257" spans="1:45" x14ac:dyDescent="0.25">
      <c r="A257" s="40">
        <v>45545</v>
      </c>
      <c r="B257" s="20">
        <v>1689.17</v>
      </c>
      <c r="C257" s="20">
        <v>3369.5160000000001</v>
      </c>
      <c r="D257" s="20">
        <v>5390</v>
      </c>
      <c r="E257" s="20">
        <v>4970</v>
      </c>
      <c r="F257" s="7">
        <f t="shared" si="21"/>
        <v>9104626.3000000007</v>
      </c>
      <c r="G257" s="7">
        <f t="shared" si="22"/>
        <v>16746494.52</v>
      </c>
      <c r="H257" s="20">
        <v>62.75</v>
      </c>
      <c r="I257" s="20">
        <v>1394500</v>
      </c>
      <c r="J257" s="20">
        <v>45</v>
      </c>
      <c r="K257" s="20">
        <v>419000</v>
      </c>
      <c r="L257" s="20">
        <v>85000</v>
      </c>
      <c r="M257" s="20"/>
      <c r="N257" s="20">
        <v>1500000</v>
      </c>
      <c r="O257" s="20">
        <v>1046500</v>
      </c>
      <c r="P257" s="20"/>
      <c r="Q257" s="19">
        <f t="shared" si="23"/>
        <v>30296120.82</v>
      </c>
      <c r="R257" s="20">
        <v>1286580</v>
      </c>
      <c r="S257" s="20">
        <v>10009485</v>
      </c>
      <c r="T257" s="20"/>
      <c r="U257" s="20"/>
      <c r="V257" s="20"/>
      <c r="W257" s="20">
        <v>285000</v>
      </c>
      <c r="X257" s="20">
        <v>12238650</v>
      </c>
      <c r="Y257" s="8">
        <f t="shared" si="24"/>
        <v>6476405.8200000003</v>
      </c>
      <c r="Z257" s="36"/>
      <c r="AA257" s="36"/>
      <c r="AB257" s="36"/>
      <c r="AC257" s="36"/>
      <c r="AD257" s="36"/>
      <c r="AE257" s="36"/>
      <c r="AF257" s="36">
        <v>3000</v>
      </c>
      <c r="AG257" s="36"/>
      <c r="AH257" s="36"/>
      <c r="AI257" s="36"/>
      <c r="AJ257" s="36">
        <v>2000000</v>
      </c>
      <c r="AK257" s="36"/>
      <c r="AL257" s="37">
        <f t="shared" si="25"/>
        <v>2003000</v>
      </c>
      <c r="AM257" s="36"/>
      <c r="AN257" s="36"/>
      <c r="AO257" s="36"/>
      <c r="AP257" s="7"/>
      <c r="AQ257" s="38">
        <f t="shared" si="26"/>
        <v>4473405.82</v>
      </c>
      <c r="AR257" s="36">
        <v>4473800</v>
      </c>
      <c r="AS257" s="18">
        <f t="shared" si="27"/>
        <v>394.17999999970198</v>
      </c>
    </row>
    <row r="258" spans="1:45" x14ac:dyDescent="0.25">
      <c r="A258" s="40">
        <v>45546</v>
      </c>
      <c r="B258" s="20">
        <v>1740.3440000000001</v>
      </c>
      <c r="C258" s="20">
        <v>2859.6019999999999</v>
      </c>
      <c r="D258" s="20">
        <v>5390</v>
      </c>
      <c r="E258" s="20">
        <v>4970</v>
      </c>
      <c r="F258" s="7">
        <f t="shared" si="21"/>
        <v>9380454.1600000001</v>
      </c>
      <c r="G258" s="7">
        <f t="shared" si="22"/>
        <v>14212221.939999999</v>
      </c>
      <c r="H258" s="20">
        <v>37</v>
      </c>
      <c r="I258" s="20">
        <v>845500</v>
      </c>
      <c r="J258" s="20">
        <v>82</v>
      </c>
      <c r="K258" s="20">
        <v>1037000</v>
      </c>
      <c r="L258" s="20">
        <v>16000</v>
      </c>
      <c r="M258" s="20"/>
      <c r="N258" s="20"/>
      <c r="O258" s="20">
        <v>1226284</v>
      </c>
      <c r="P258" s="20"/>
      <c r="Q258" s="19">
        <f t="shared" si="23"/>
        <v>26717460.100000001</v>
      </c>
      <c r="R258" s="20">
        <v>1277934</v>
      </c>
      <c r="S258" s="20">
        <v>7495088</v>
      </c>
      <c r="T258" s="20"/>
      <c r="U258" s="20"/>
      <c r="V258" s="20"/>
      <c r="W258" s="20">
        <v>320200</v>
      </c>
      <c r="X258" s="20">
        <v>9398065</v>
      </c>
      <c r="Y258" s="8">
        <f t="shared" si="24"/>
        <v>8226173.1000000015</v>
      </c>
      <c r="Z258" s="36"/>
      <c r="AA258" s="36"/>
      <c r="AB258" s="36"/>
      <c r="AC258" s="36">
        <v>15000</v>
      </c>
      <c r="AD258" s="36"/>
      <c r="AE258" s="36"/>
      <c r="AF258" s="36">
        <v>56000</v>
      </c>
      <c r="AG258" s="36"/>
      <c r="AH258" s="36"/>
      <c r="AI258" s="36"/>
      <c r="AJ258" s="36">
        <v>3500000</v>
      </c>
      <c r="AK258" s="36"/>
      <c r="AL258" s="37">
        <f t="shared" si="25"/>
        <v>3571000</v>
      </c>
      <c r="AM258" s="36"/>
      <c r="AN258" s="36"/>
      <c r="AO258" s="36"/>
      <c r="AP258" s="7"/>
      <c r="AQ258" s="38">
        <f t="shared" si="26"/>
        <v>4655173.1000000015</v>
      </c>
      <c r="AR258" s="36">
        <v>4655200</v>
      </c>
      <c r="AS258" s="18">
        <f t="shared" si="27"/>
        <v>26.899999998509884</v>
      </c>
    </row>
    <row r="259" spans="1:45" x14ac:dyDescent="0.25">
      <c r="A259" s="40">
        <v>45547</v>
      </c>
      <c r="B259" s="20">
        <v>1667.498</v>
      </c>
      <c r="C259" s="20">
        <v>3676.3589999999999</v>
      </c>
      <c r="D259" s="20">
        <v>5390</v>
      </c>
      <c r="E259" s="20">
        <v>4970</v>
      </c>
      <c r="F259" s="7">
        <f t="shared" si="21"/>
        <v>8987814.2200000007</v>
      </c>
      <c r="G259" s="7">
        <f t="shared" si="22"/>
        <v>18271504.23</v>
      </c>
      <c r="H259" s="20">
        <v>74.5</v>
      </c>
      <c r="I259" s="20">
        <v>1689500</v>
      </c>
      <c r="J259" s="20">
        <v>97</v>
      </c>
      <c r="K259" s="20">
        <v>849000</v>
      </c>
      <c r="L259" s="20">
        <v>66000</v>
      </c>
      <c r="M259" s="20"/>
      <c r="N259" s="20"/>
      <c r="O259" s="20">
        <v>3524800</v>
      </c>
      <c r="P259" s="20" t="s">
        <v>129</v>
      </c>
      <c r="Q259" s="19">
        <f t="shared" si="23"/>
        <v>33388618.450000003</v>
      </c>
      <c r="R259" s="20">
        <v>1261101</v>
      </c>
      <c r="S259" s="20">
        <v>6623504</v>
      </c>
      <c r="T259" s="20"/>
      <c r="U259" s="20"/>
      <c r="V259" s="20"/>
      <c r="W259" s="20">
        <v>20000</v>
      </c>
      <c r="X259" s="20">
        <v>16762319</v>
      </c>
      <c r="Y259" s="8">
        <f t="shared" si="24"/>
        <v>8721694.450000003</v>
      </c>
      <c r="Z259" s="36"/>
      <c r="AA259" s="36"/>
      <c r="AB259" s="36"/>
      <c r="AC259" s="36">
        <v>15000</v>
      </c>
      <c r="AD259" s="36"/>
      <c r="AE259" s="36"/>
      <c r="AF259" s="36">
        <v>17000</v>
      </c>
      <c r="AG259" s="36"/>
      <c r="AH259" s="36">
        <v>37000</v>
      </c>
      <c r="AI259" s="36"/>
      <c r="AJ259" s="36">
        <v>1500000</v>
      </c>
      <c r="AK259" s="36"/>
      <c r="AL259" s="37">
        <f t="shared" si="25"/>
        <v>1569000</v>
      </c>
      <c r="AM259" s="36"/>
      <c r="AN259" s="36"/>
      <c r="AO259" s="36"/>
      <c r="AP259" s="7"/>
      <c r="AQ259" s="38">
        <f t="shared" si="26"/>
        <v>7152694.450000003</v>
      </c>
      <c r="AR259" s="36">
        <v>7152700</v>
      </c>
      <c r="AS259" s="18">
        <f t="shared" si="27"/>
        <v>5.5499999970197678</v>
      </c>
    </row>
    <row r="260" spans="1:45" x14ac:dyDescent="0.25">
      <c r="A260" s="40">
        <v>45548</v>
      </c>
      <c r="B260" s="20">
        <v>1661.5029999999999</v>
      </c>
      <c r="C260" s="20">
        <v>3537.0390000000002</v>
      </c>
      <c r="D260" s="20">
        <v>5390</v>
      </c>
      <c r="E260" s="20">
        <v>4970</v>
      </c>
      <c r="F260" s="7">
        <f t="shared" ref="F260:F323" si="28">B260*D260</f>
        <v>8955501.1699999999</v>
      </c>
      <c r="G260" s="7">
        <f t="shared" ref="G260:G323" si="29">C260*E260</f>
        <v>17579083.830000002</v>
      </c>
      <c r="H260" s="20">
        <v>33</v>
      </c>
      <c r="I260" s="20">
        <v>704000</v>
      </c>
      <c r="J260" s="20">
        <v>96</v>
      </c>
      <c r="K260" s="20">
        <v>1168000</v>
      </c>
      <c r="L260" s="20">
        <v>76000</v>
      </c>
      <c r="M260" s="20"/>
      <c r="N260" s="20"/>
      <c r="O260" s="20">
        <v>733000</v>
      </c>
      <c r="P260" s="20"/>
      <c r="Q260" s="19">
        <f t="shared" ref="Q260:Q323" si="30">SUM(F260:G260)+I260+K260+SUM(L260:P260)</f>
        <v>29215585</v>
      </c>
      <c r="R260" s="20">
        <v>1286969</v>
      </c>
      <c r="S260" s="20">
        <v>12051195</v>
      </c>
      <c r="T260" s="20"/>
      <c r="U260" s="20"/>
      <c r="V260" s="20"/>
      <c r="W260" s="20">
        <v>304500</v>
      </c>
      <c r="X260" s="20">
        <v>8514274</v>
      </c>
      <c r="Y260" s="8">
        <f t="shared" ref="Y260:Y323" si="31">Q260-SUM(R260:X260)</f>
        <v>7058647</v>
      </c>
      <c r="Z260" s="36">
        <v>1384800</v>
      </c>
      <c r="AA260" s="36"/>
      <c r="AB260" s="36"/>
      <c r="AC260" s="36">
        <v>48000</v>
      </c>
      <c r="AD260" s="36">
        <v>0</v>
      </c>
      <c r="AE260" s="36"/>
      <c r="AF260" s="36">
        <v>3000</v>
      </c>
      <c r="AG260" s="36"/>
      <c r="AH260" s="36">
        <v>6500</v>
      </c>
      <c r="AI260" s="36"/>
      <c r="AJ260" s="36">
        <v>0</v>
      </c>
      <c r="AK260" s="36"/>
      <c r="AL260" s="37">
        <f t="shared" ref="AL260:AL323" si="32">SUM(Z260:AK260)</f>
        <v>1442300</v>
      </c>
      <c r="AM260" s="36"/>
      <c r="AN260" s="36"/>
      <c r="AO260" s="36"/>
      <c r="AP260" s="7"/>
      <c r="AQ260" s="38">
        <f t="shared" ref="AQ260:AQ323" si="33">Q260-SUM(R260:X260)-AL260-SUM(AM260:AO260)</f>
        <v>5616347</v>
      </c>
      <c r="AR260" s="36">
        <v>5616300</v>
      </c>
      <c r="AS260" s="18">
        <f t="shared" ref="AS260:AS323" si="34">AR260-AQ260</f>
        <v>-47</v>
      </c>
    </row>
    <row r="261" spans="1:45" x14ac:dyDescent="0.25">
      <c r="A261" s="40">
        <v>45549</v>
      </c>
      <c r="B261" s="20">
        <v>2000.212</v>
      </c>
      <c r="C261" s="20">
        <v>3128.4430000000002</v>
      </c>
      <c r="D261" s="20">
        <v>5390</v>
      </c>
      <c r="E261" s="20">
        <v>4970</v>
      </c>
      <c r="F261" s="7">
        <f t="shared" si="28"/>
        <v>10781142.68</v>
      </c>
      <c r="G261" s="7">
        <f t="shared" si="29"/>
        <v>15548361.710000001</v>
      </c>
      <c r="H261" s="20">
        <v>94</v>
      </c>
      <c r="I261" s="20">
        <v>2184500</v>
      </c>
      <c r="J261" s="20">
        <v>75.5</v>
      </c>
      <c r="K261" s="20">
        <v>946500</v>
      </c>
      <c r="L261" s="20">
        <v>23000</v>
      </c>
      <c r="M261" s="20"/>
      <c r="N261" s="20"/>
      <c r="O261" s="20">
        <v>0</v>
      </c>
      <c r="P261" s="20"/>
      <c r="Q261" s="19">
        <f t="shared" si="30"/>
        <v>29483504.390000001</v>
      </c>
      <c r="R261" s="20">
        <v>1203890</v>
      </c>
      <c r="S261" s="20">
        <v>5567627</v>
      </c>
      <c r="T261" s="20"/>
      <c r="U261" s="20"/>
      <c r="V261" s="20"/>
      <c r="W261" s="36">
        <v>353000</v>
      </c>
      <c r="X261" s="36">
        <v>16517560</v>
      </c>
      <c r="Y261" s="8">
        <f t="shared" si="31"/>
        <v>5841427.3900000006</v>
      </c>
      <c r="Z261" s="36"/>
      <c r="AA261" s="36"/>
      <c r="AB261" s="36"/>
      <c r="AC261" s="36">
        <v>0</v>
      </c>
      <c r="AD261" s="36">
        <v>0</v>
      </c>
      <c r="AE261" s="36"/>
      <c r="AF261" s="36">
        <v>3000</v>
      </c>
      <c r="AG261" s="36"/>
      <c r="AH261" s="36">
        <v>0</v>
      </c>
      <c r="AI261" s="36"/>
      <c r="AJ261" s="36">
        <v>1000000</v>
      </c>
      <c r="AK261" s="36"/>
      <c r="AL261" s="37">
        <f t="shared" si="32"/>
        <v>1003000</v>
      </c>
      <c r="AM261" s="36"/>
      <c r="AN261" s="36"/>
      <c r="AO261" s="36"/>
      <c r="AP261" s="7"/>
      <c r="AQ261" s="38">
        <f t="shared" si="33"/>
        <v>4838427.3900000006</v>
      </c>
      <c r="AR261" s="36">
        <v>4738500</v>
      </c>
      <c r="AS261" s="18">
        <f t="shared" si="34"/>
        <v>-99927.390000000596</v>
      </c>
    </row>
    <row r="262" spans="1:45" x14ac:dyDescent="0.25">
      <c r="A262" s="40">
        <v>45550</v>
      </c>
      <c r="B262" s="20">
        <v>2384.4319999999998</v>
      </c>
      <c r="C262" s="20">
        <v>2176.6170000000002</v>
      </c>
      <c r="D262" s="20">
        <v>5390</v>
      </c>
      <c r="E262" s="20">
        <v>4970</v>
      </c>
      <c r="F262" s="7">
        <f t="shared" si="28"/>
        <v>12852088.479999999</v>
      </c>
      <c r="G262" s="7">
        <f t="shared" si="29"/>
        <v>10817786.49</v>
      </c>
      <c r="H262" s="20">
        <v>59.25</v>
      </c>
      <c r="I262" s="20">
        <v>1267000</v>
      </c>
      <c r="J262" s="20">
        <v>42</v>
      </c>
      <c r="K262" s="20">
        <v>374000</v>
      </c>
      <c r="L262" s="20">
        <v>8000</v>
      </c>
      <c r="M262" s="20"/>
      <c r="N262" s="20"/>
      <c r="O262" s="20">
        <v>2650291</v>
      </c>
      <c r="P262" s="20"/>
      <c r="Q262" s="19">
        <f t="shared" si="30"/>
        <v>27969165.969999999</v>
      </c>
      <c r="R262" s="20">
        <v>1382268</v>
      </c>
      <c r="S262" s="20">
        <v>2293708</v>
      </c>
      <c r="T262" s="20"/>
      <c r="U262" s="20"/>
      <c r="V262" s="20"/>
      <c r="W262" s="20">
        <v>838800</v>
      </c>
      <c r="X262" s="20">
        <v>13165690</v>
      </c>
      <c r="Y262" s="8">
        <f t="shared" si="31"/>
        <v>10288699.969999999</v>
      </c>
      <c r="Z262" s="36"/>
      <c r="AA262" s="36"/>
      <c r="AB262" s="36"/>
      <c r="AC262" s="36"/>
      <c r="AD262" s="36"/>
      <c r="AE262" s="36"/>
      <c r="AF262" s="36">
        <v>3000</v>
      </c>
      <c r="AG262" s="36"/>
      <c r="AH262" s="36"/>
      <c r="AI262" s="36"/>
      <c r="AJ262" s="36">
        <v>3510000</v>
      </c>
      <c r="AK262" s="36"/>
      <c r="AL262" s="37">
        <f t="shared" si="32"/>
        <v>3513000</v>
      </c>
      <c r="AM262" s="36"/>
      <c r="AN262" s="36"/>
      <c r="AO262" s="36"/>
      <c r="AP262" s="7"/>
      <c r="AQ262" s="38">
        <f t="shared" si="33"/>
        <v>6775699.9699999988</v>
      </c>
      <c r="AR262" s="36">
        <v>0</v>
      </c>
      <c r="AS262" s="18">
        <f t="shared" si="34"/>
        <v>-6775699.9699999988</v>
      </c>
    </row>
    <row r="263" spans="1:45" x14ac:dyDescent="0.25">
      <c r="A263" s="40">
        <v>45551</v>
      </c>
      <c r="B263" s="20">
        <v>2057.0990000000002</v>
      </c>
      <c r="C263" s="20">
        <v>2182.8760000000002</v>
      </c>
      <c r="D263" s="20">
        <v>5390</v>
      </c>
      <c r="E263" s="20">
        <v>4970</v>
      </c>
      <c r="F263" s="7">
        <f t="shared" si="28"/>
        <v>11087763.610000001</v>
      </c>
      <c r="G263" s="7">
        <f t="shared" si="29"/>
        <v>10848893.720000001</v>
      </c>
      <c r="H263" s="20">
        <v>24</v>
      </c>
      <c r="I263" s="20">
        <v>504000</v>
      </c>
      <c r="J263" s="20">
        <v>39</v>
      </c>
      <c r="K263" s="20">
        <v>378000</v>
      </c>
      <c r="L263" s="20">
        <v>8000</v>
      </c>
      <c r="M263" s="20"/>
      <c r="N263" s="20"/>
      <c r="O263" s="20">
        <v>0</v>
      </c>
      <c r="P263" s="20"/>
      <c r="Q263" s="19">
        <f t="shared" si="30"/>
        <v>22826657.330000002</v>
      </c>
      <c r="R263" s="20">
        <v>1222441</v>
      </c>
      <c r="S263" s="20">
        <v>4336777</v>
      </c>
      <c r="T263" s="20"/>
      <c r="U263" s="20"/>
      <c r="V263" s="20"/>
      <c r="W263" s="20">
        <v>300000</v>
      </c>
      <c r="X263" s="20">
        <v>8829840</v>
      </c>
      <c r="Y263" s="8">
        <f t="shared" si="31"/>
        <v>8137599.3300000019</v>
      </c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>
        <v>3000000</v>
      </c>
      <c r="AK263" s="36"/>
      <c r="AL263" s="37">
        <f t="shared" si="32"/>
        <v>3000000</v>
      </c>
      <c r="AM263" s="36"/>
      <c r="AN263" s="36"/>
      <c r="AO263" s="36"/>
      <c r="AP263" s="7"/>
      <c r="AQ263" s="38">
        <f t="shared" si="33"/>
        <v>5137599.3300000019</v>
      </c>
      <c r="AR263" s="36">
        <v>12013200</v>
      </c>
      <c r="AS263" s="18">
        <f t="shared" si="34"/>
        <v>6875600.6699999981</v>
      </c>
    </row>
    <row r="264" spans="1:45" x14ac:dyDescent="0.25">
      <c r="A264" s="40">
        <v>45552</v>
      </c>
      <c r="B264" s="20">
        <v>2211.4580000000001</v>
      </c>
      <c r="C264" s="20">
        <v>2687.7049999999999</v>
      </c>
      <c r="D264" s="20">
        <v>5260</v>
      </c>
      <c r="E264" s="20">
        <v>4970</v>
      </c>
      <c r="F264" s="7">
        <f t="shared" si="28"/>
        <v>11632269.08</v>
      </c>
      <c r="G264" s="7">
        <f t="shared" si="29"/>
        <v>13357893.85</v>
      </c>
      <c r="H264" s="20">
        <v>64.5</v>
      </c>
      <c r="I264" s="20">
        <v>1464500</v>
      </c>
      <c r="J264" s="20">
        <v>12.5</v>
      </c>
      <c r="K264" s="20">
        <v>105000</v>
      </c>
      <c r="L264" s="20">
        <v>8000</v>
      </c>
      <c r="M264" s="20"/>
      <c r="N264" s="20"/>
      <c r="O264" s="20">
        <v>1475500</v>
      </c>
      <c r="P264" s="20"/>
      <c r="Q264" s="19">
        <f t="shared" si="30"/>
        <v>28043162.93</v>
      </c>
      <c r="R264" s="20">
        <v>1548455</v>
      </c>
      <c r="S264" s="20">
        <v>7887809</v>
      </c>
      <c r="T264" s="20"/>
      <c r="U264" s="20"/>
      <c r="V264" s="20"/>
      <c r="W264" s="20">
        <v>424000</v>
      </c>
      <c r="X264" s="20">
        <v>10034311</v>
      </c>
      <c r="Y264" s="8">
        <f t="shared" si="31"/>
        <v>8148587.9299999997</v>
      </c>
      <c r="Z264" s="36"/>
      <c r="AA264" s="36"/>
      <c r="AB264" s="36"/>
      <c r="AC264" s="36">
        <v>45000</v>
      </c>
      <c r="AD264" s="36"/>
      <c r="AE264" s="36"/>
      <c r="AF264" s="36">
        <v>6000</v>
      </c>
      <c r="AG264" s="36"/>
      <c r="AH264" s="36"/>
      <c r="AI264" s="36"/>
      <c r="AJ264" s="36">
        <v>500000</v>
      </c>
      <c r="AK264" s="36"/>
      <c r="AL264" s="37">
        <f t="shared" si="32"/>
        <v>551000</v>
      </c>
      <c r="AM264" s="36"/>
      <c r="AN264" s="36">
        <v>985000</v>
      </c>
      <c r="AO264" s="36"/>
      <c r="AP264" s="7"/>
      <c r="AQ264" s="38">
        <f t="shared" si="33"/>
        <v>6612587.9299999997</v>
      </c>
      <c r="AR264" s="36">
        <v>6681500</v>
      </c>
      <c r="AS264" s="18">
        <f t="shared" si="34"/>
        <v>68912.070000000298</v>
      </c>
    </row>
    <row r="265" spans="1:45" x14ac:dyDescent="0.25">
      <c r="A265" s="40">
        <v>45553</v>
      </c>
      <c r="B265" s="20">
        <v>2391.0509999999999</v>
      </c>
      <c r="C265" s="20">
        <v>2532.6149999999998</v>
      </c>
      <c r="D265" s="20">
        <v>5260</v>
      </c>
      <c r="E265" s="20">
        <v>4970</v>
      </c>
      <c r="F265" s="7">
        <f t="shared" si="28"/>
        <v>12576928.26</v>
      </c>
      <c r="G265" s="7">
        <f t="shared" si="29"/>
        <v>12587096.549999999</v>
      </c>
      <c r="H265" s="20">
        <v>74.5</v>
      </c>
      <c r="I265" s="20">
        <v>1680500</v>
      </c>
      <c r="J265" s="20">
        <v>0</v>
      </c>
      <c r="K265" s="20">
        <v>0</v>
      </c>
      <c r="L265" s="20">
        <v>30000</v>
      </c>
      <c r="M265" s="20"/>
      <c r="N265" s="20"/>
      <c r="O265" s="20">
        <v>2091800</v>
      </c>
      <c r="P265" s="20"/>
      <c r="Q265" s="19">
        <f t="shared" si="30"/>
        <v>28966324.809999999</v>
      </c>
      <c r="R265" s="20">
        <v>2085855</v>
      </c>
      <c r="S265" s="20">
        <v>5973623</v>
      </c>
      <c r="T265" s="20"/>
      <c r="U265" s="20"/>
      <c r="V265" s="20"/>
      <c r="W265" s="20">
        <v>129000</v>
      </c>
      <c r="X265" s="20">
        <v>12241260</v>
      </c>
      <c r="Y265" s="8">
        <f t="shared" si="31"/>
        <v>8536586.8099999987</v>
      </c>
      <c r="Z265" s="36"/>
      <c r="AA265" s="36"/>
      <c r="AB265" s="36"/>
      <c r="AC265" s="36">
        <v>5000</v>
      </c>
      <c r="AD265" s="36"/>
      <c r="AE265" s="36"/>
      <c r="AF265" s="36">
        <v>153000</v>
      </c>
      <c r="AG265" s="36">
        <v>1000000</v>
      </c>
      <c r="AH265" s="36">
        <v>35000</v>
      </c>
      <c r="AI265" s="36"/>
      <c r="AJ265" s="36">
        <v>517000</v>
      </c>
      <c r="AK265" s="36"/>
      <c r="AL265" s="37">
        <f t="shared" si="32"/>
        <v>1710000</v>
      </c>
      <c r="AM265" s="36"/>
      <c r="AN265" s="36"/>
      <c r="AO265" s="36"/>
      <c r="AP265" s="7"/>
      <c r="AQ265" s="38">
        <f t="shared" si="33"/>
        <v>6826586.8099999987</v>
      </c>
      <c r="AR265" s="36">
        <v>6826600</v>
      </c>
      <c r="AS265" s="18">
        <f t="shared" si="34"/>
        <v>13.190000001341105</v>
      </c>
    </row>
    <row r="266" spans="1:45" x14ac:dyDescent="0.25">
      <c r="A266" s="40">
        <v>45554</v>
      </c>
      <c r="B266" s="20">
        <v>1751.0070000000001</v>
      </c>
      <c r="C266" s="20">
        <v>3554.6660000000002</v>
      </c>
      <c r="D266" s="20">
        <v>5260</v>
      </c>
      <c r="E266" s="20">
        <v>4970</v>
      </c>
      <c r="F266" s="7">
        <f t="shared" si="28"/>
        <v>9210296.8200000003</v>
      </c>
      <c r="G266" s="7">
        <f t="shared" si="29"/>
        <v>17666690.02</v>
      </c>
      <c r="H266" s="20">
        <v>33.75</v>
      </c>
      <c r="I266" s="20">
        <v>761500</v>
      </c>
      <c r="J266" s="20">
        <v>57</v>
      </c>
      <c r="K266" s="20">
        <v>706000</v>
      </c>
      <c r="L266" s="20">
        <v>15000</v>
      </c>
      <c r="M266" s="20"/>
      <c r="N266" s="20"/>
      <c r="O266" s="20">
        <v>60000</v>
      </c>
      <c r="P266" s="20">
        <v>25000</v>
      </c>
      <c r="Q266" s="19">
        <f t="shared" si="30"/>
        <v>28444486.84</v>
      </c>
      <c r="R266" s="20">
        <v>816415</v>
      </c>
      <c r="S266" s="20">
        <v>11704099</v>
      </c>
      <c r="T266" s="20"/>
      <c r="U266" s="20"/>
      <c r="V266" s="20"/>
      <c r="W266" s="20">
        <v>200000</v>
      </c>
      <c r="X266" s="20">
        <v>9754190</v>
      </c>
      <c r="Y266" s="8">
        <f t="shared" si="31"/>
        <v>5969782.8399999999</v>
      </c>
      <c r="Z266" s="36"/>
      <c r="AA266" s="36"/>
      <c r="AB266" s="36"/>
      <c r="AC266" s="36"/>
      <c r="AD266" s="36">
        <v>198800</v>
      </c>
      <c r="AE266" s="36"/>
      <c r="AF266" s="36">
        <v>3000</v>
      </c>
      <c r="AG266" s="36"/>
      <c r="AH266" s="36"/>
      <c r="AI266" s="36"/>
      <c r="AJ266" s="36">
        <v>86000</v>
      </c>
      <c r="AK266" s="36"/>
      <c r="AL266" s="37">
        <f t="shared" si="32"/>
        <v>287800</v>
      </c>
      <c r="AM266" s="36"/>
      <c r="AN266" s="36"/>
      <c r="AO266" s="36"/>
      <c r="AP266" s="7"/>
      <c r="AQ266" s="38">
        <f t="shared" si="33"/>
        <v>5681982.8399999999</v>
      </c>
      <c r="AR266" s="36">
        <v>5682000</v>
      </c>
      <c r="AS266" s="18">
        <f t="shared" si="34"/>
        <v>17.160000000149012</v>
      </c>
    </row>
    <row r="267" spans="1:45" x14ac:dyDescent="0.25">
      <c r="A267" s="40">
        <v>45555</v>
      </c>
      <c r="B267" s="20">
        <v>1944.1780000000001</v>
      </c>
      <c r="C267" s="20">
        <v>2422.06</v>
      </c>
      <c r="D267" s="20">
        <v>5260</v>
      </c>
      <c r="E267" s="20">
        <v>4970</v>
      </c>
      <c r="F267" s="7">
        <f t="shared" si="28"/>
        <v>10226376.280000001</v>
      </c>
      <c r="G267" s="7">
        <f t="shared" si="29"/>
        <v>12037638.199999999</v>
      </c>
      <c r="H267" s="20">
        <v>63.75</v>
      </c>
      <c r="I267" s="20">
        <v>1388000</v>
      </c>
      <c r="J267" s="20">
        <v>128</v>
      </c>
      <c r="K267" s="20">
        <v>1373500</v>
      </c>
      <c r="L267" s="20">
        <v>91000</v>
      </c>
      <c r="M267" s="20"/>
      <c r="N267" s="20"/>
      <c r="O267" s="20">
        <v>1693000</v>
      </c>
      <c r="P267" s="20"/>
      <c r="Q267" s="19">
        <f t="shared" si="30"/>
        <v>26809514.48</v>
      </c>
      <c r="R267" s="20">
        <v>2189549</v>
      </c>
      <c r="S267" s="20" t="s">
        <v>128</v>
      </c>
      <c r="T267" s="20"/>
      <c r="U267" s="20"/>
      <c r="V267" s="20"/>
      <c r="W267" s="20">
        <v>100000</v>
      </c>
      <c r="X267" s="20">
        <v>12491950</v>
      </c>
      <c r="Y267" s="8">
        <f t="shared" si="31"/>
        <v>12028015.48</v>
      </c>
      <c r="Z267" s="36"/>
      <c r="AA267" s="36"/>
      <c r="AB267" s="36"/>
      <c r="AC267" s="36"/>
      <c r="AD267" s="36"/>
      <c r="AE267" s="36"/>
      <c r="AF267" s="36">
        <v>23000</v>
      </c>
      <c r="AG267" s="36"/>
      <c r="AH267" s="36"/>
      <c r="AI267" s="36"/>
      <c r="AJ267" s="36">
        <v>45000</v>
      </c>
      <c r="AK267" s="36"/>
      <c r="AL267" s="37">
        <f t="shared" si="32"/>
        <v>68000</v>
      </c>
      <c r="AM267" s="36"/>
      <c r="AN267" s="36"/>
      <c r="AO267" s="36"/>
      <c r="AP267" s="7"/>
      <c r="AQ267" s="38">
        <f t="shared" si="33"/>
        <v>11960015.48</v>
      </c>
      <c r="AR267" s="36">
        <v>6727500</v>
      </c>
      <c r="AS267" s="18">
        <f t="shared" si="34"/>
        <v>-5232515.4800000004</v>
      </c>
    </row>
    <row r="268" spans="1:45" x14ac:dyDescent="0.25">
      <c r="A268" s="40">
        <v>45556</v>
      </c>
      <c r="B268" s="20">
        <v>2330.2220000000002</v>
      </c>
      <c r="C268" s="20">
        <v>2052.6</v>
      </c>
      <c r="D268" s="20">
        <v>5260</v>
      </c>
      <c r="E268" s="20">
        <v>4970</v>
      </c>
      <c r="F268" s="7">
        <f t="shared" si="28"/>
        <v>12256967.720000001</v>
      </c>
      <c r="G268" s="7">
        <f t="shared" si="29"/>
        <v>10201422</v>
      </c>
      <c r="H268" s="20">
        <v>48.75</v>
      </c>
      <c r="I268" s="20">
        <v>1097000</v>
      </c>
      <c r="J268" s="20">
        <v>61</v>
      </c>
      <c r="K268" s="20">
        <v>849500</v>
      </c>
      <c r="L268" s="20">
        <v>118000</v>
      </c>
      <c r="M268" s="20"/>
      <c r="N268" s="20"/>
      <c r="O268" s="20">
        <v>0</v>
      </c>
      <c r="P268" s="20"/>
      <c r="Q268" s="19">
        <f t="shared" si="30"/>
        <v>24522889.719999999</v>
      </c>
      <c r="R268" s="20">
        <v>1623341</v>
      </c>
      <c r="S268" s="20">
        <v>4752304</v>
      </c>
      <c r="T268" s="20"/>
      <c r="U268" s="20"/>
      <c r="V268" s="20"/>
      <c r="W268" s="20">
        <v>1196000</v>
      </c>
      <c r="X268" s="20">
        <v>9746852</v>
      </c>
      <c r="Y268" s="8">
        <f t="shared" si="31"/>
        <v>7204392.7199999988</v>
      </c>
      <c r="Z268" s="36"/>
      <c r="AA268" s="36"/>
      <c r="AB268" s="36"/>
      <c r="AC268" s="36"/>
      <c r="AD268" s="36"/>
      <c r="AE268" s="36"/>
      <c r="AF268" s="36">
        <v>3000</v>
      </c>
      <c r="AG268" s="36"/>
      <c r="AH268" s="36">
        <v>32000</v>
      </c>
      <c r="AI268" s="36"/>
      <c r="AJ268" s="36"/>
      <c r="AK268" s="36"/>
      <c r="AL268" s="37">
        <f t="shared" si="32"/>
        <v>35000</v>
      </c>
      <c r="AM268" s="36"/>
      <c r="AN268" s="36"/>
      <c r="AO268" s="36"/>
      <c r="AP268" s="7"/>
      <c r="AQ268" s="38">
        <f t="shared" si="33"/>
        <v>7169392.7199999988</v>
      </c>
      <c r="AR268" s="36">
        <v>7169400</v>
      </c>
      <c r="AS268" s="18">
        <f t="shared" si="34"/>
        <v>7.2800000011920929</v>
      </c>
    </row>
    <row r="269" spans="1:45" x14ac:dyDescent="0.25">
      <c r="A269" s="40">
        <v>45557</v>
      </c>
      <c r="B269" s="20">
        <v>1885.046</v>
      </c>
      <c r="C269" s="20">
        <v>2484.346</v>
      </c>
      <c r="D269" s="20">
        <v>5260</v>
      </c>
      <c r="E269" s="20">
        <v>4970</v>
      </c>
      <c r="F269" s="7">
        <f t="shared" si="28"/>
        <v>9915341.9600000009</v>
      </c>
      <c r="G269" s="7">
        <f t="shared" si="29"/>
        <v>12347199.619999999</v>
      </c>
      <c r="H269" s="20">
        <v>31.25</v>
      </c>
      <c r="I269" s="20">
        <v>642500</v>
      </c>
      <c r="J269" s="20">
        <v>45.5</v>
      </c>
      <c r="K269" s="20">
        <v>718000</v>
      </c>
      <c r="L269" s="20">
        <v>45000</v>
      </c>
      <c r="M269" s="20"/>
      <c r="N269" s="20"/>
      <c r="O269" s="20">
        <v>2434300</v>
      </c>
      <c r="P269" s="20"/>
      <c r="Q269" s="19">
        <f t="shared" si="30"/>
        <v>26102341.579999998</v>
      </c>
      <c r="R269" s="20">
        <v>761499</v>
      </c>
      <c r="S269" s="20">
        <v>5026408</v>
      </c>
      <c r="T269" s="20"/>
      <c r="U269" s="20"/>
      <c r="V269" s="20"/>
      <c r="W269" s="20">
        <v>481224</v>
      </c>
      <c r="X269" s="20">
        <v>11344993</v>
      </c>
      <c r="Y269" s="8">
        <f t="shared" si="31"/>
        <v>8488217.5799999982</v>
      </c>
      <c r="Z269" s="36"/>
      <c r="AA269" s="36"/>
      <c r="AB269" s="36"/>
      <c r="AC269" s="36">
        <v>45000</v>
      </c>
      <c r="AD269" s="36"/>
      <c r="AE269" s="36"/>
      <c r="AF269" s="36">
        <v>23000</v>
      </c>
      <c r="AG269" s="36"/>
      <c r="AH269" s="36"/>
      <c r="AI269" s="36"/>
      <c r="AJ269" s="36">
        <v>956000</v>
      </c>
      <c r="AK269" s="36"/>
      <c r="AL269" s="37">
        <f t="shared" si="32"/>
        <v>1024000</v>
      </c>
      <c r="AM269" s="36"/>
      <c r="AN269" s="36"/>
      <c r="AO269" s="36"/>
      <c r="AP269" s="7"/>
      <c r="AQ269" s="38">
        <f t="shared" si="33"/>
        <v>7464217.5799999982</v>
      </c>
      <c r="AR269" s="36">
        <v>0</v>
      </c>
      <c r="AS269" s="18">
        <f t="shared" si="34"/>
        <v>-7464217.5799999982</v>
      </c>
    </row>
    <row r="270" spans="1:45" x14ac:dyDescent="0.25">
      <c r="A270" s="40">
        <v>45558</v>
      </c>
      <c r="B270" s="20">
        <v>1873.673</v>
      </c>
      <c r="C270" s="20">
        <v>1278.076</v>
      </c>
      <c r="D270" s="20">
        <v>5260</v>
      </c>
      <c r="E270" s="20">
        <v>4970</v>
      </c>
      <c r="F270" s="7">
        <f t="shared" si="28"/>
        <v>9855519.9800000004</v>
      </c>
      <c r="G270" s="7">
        <f t="shared" si="29"/>
        <v>6352037.7199999997</v>
      </c>
      <c r="H270" s="20">
        <v>32.75</v>
      </c>
      <c r="I270" s="20">
        <v>735000</v>
      </c>
      <c r="J270" s="20">
        <v>46</v>
      </c>
      <c r="K270" s="20">
        <v>569500</v>
      </c>
      <c r="L270" s="20">
        <v>30000</v>
      </c>
      <c r="M270" s="20"/>
      <c r="N270" s="20"/>
      <c r="O270" s="20">
        <v>291569</v>
      </c>
      <c r="P270" s="20"/>
      <c r="Q270" s="19">
        <f t="shared" si="30"/>
        <v>17833626.699999999</v>
      </c>
      <c r="R270" s="20">
        <v>1221516</v>
      </c>
      <c r="S270" s="20">
        <v>2291728</v>
      </c>
      <c r="T270" s="20"/>
      <c r="U270" s="20"/>
      <c r="V270" s="20"/>
      <c r="W270" s="20">
        <v>290000</v>
      </c>
      <c r="X270" s="20">
        <v>8685159</v>
      </c>
      <c r="Y270" s="8">
        <f t="shared" si="31"/>
        <v>5345223.6999999993</v>
      </c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7">
        <f t="shared" si="32"/>
        <v>0</v>
      </c>
      <c r="AM270" s="36"/>
      <c r="AN270" s="36"/>
      <c r="AO270" s="36"/>
      <c r="AP270" s="7"/>
      <c r="AQ270" s="38">
        <f t="shared" si="33"/>
        <v>5345223.6999999993</v>
      </c>
      <c r="AR270" s="36">
        <v>12809500</v>
      </c>
      <c r="AS270" s="18">
        <f t="shared" si="34"/>
        <v>7464276.3000000007</v>
      </c>
    </row>
    <row r="271" spans="1:45" x14ac:dyDescent="0.25">
      <c r="A271" s="40">
        <v>45559</v>
      </c>
      <c r="B271" s="20">
        <v>2254.665</v>
      </c>
      <c r="C271" s="20">
        <v>2127.7109999999998</v>
      </c>
      <c r="D271" s="20">
        <v>5260</v>
      </c>
      <c r="E271" s="20">
        <v>4970</v>
      </c>
      <c r="F271" s="7">
        <f t="shared" si="28"/>
        <v>11859537.9</v>
      </c>
      <c r="G271" s="7">
        <f t="shared" si="29"/>
        <v>10574723.669999998</v>
      </c>
      <c r="H271" s="20">
        <v>49.25</v>
      </c>
      <c r="I271" s="20">
        <v>1109500</v>
      </c>
      <c r="J271" s="20">
        <v>45.5</v>
      </c>
      <c r="K271" s="20">
        <v>398000</v>
      </c>
      <c r="L271" s="20">
        <v>85000</v>
      </c>
      <c r="M271" s="20"/>
      <c r="N271" s="20"/>
      <c r="O271" s="20">
        <v>3711600</v>
      </c>
      <c r="P271" s="20">
        <v>25000</v>
      </c>
      <c r="Q271" s="19">
        <f t="shared" si="30"/>
        <v>27763361.57</v>
      </c>
      <c r="R271" s="20">
        <v>1395731</v>
      </c>
      <c r="S271" s="20">
        <v>6638991</v>
      </c>
      <c r="T271" s="20"/>
      <c r="U271" s="20"/>
      <c r="V271" s="20"/>
      <c r="W271" s="20">
        <v>477300</v>
      </c>
      <c r="X271" s="20">
        <v>3807450</v>
      </c>
      <c r="Y271" s="8">
        <f t="shared" si="31"/>
        <v>15443889.57</v>
      </c>
      <c r="Z271" s="36"/>
      <c r="AA271" s="36">
        <v>130400</v>
      </c>
      <c r="AB271" s="36"/>
      <c r="AC271" s="36"/>
      <c r="AD271" s="36"/>
      <c r="AE271" s="36"/>
      <c r="AF271" s="36"/>
      <c r="AG271" s="36"/>
      <c r="AH271" s="36"/>
      <c r="AI271" s="36"/>
      <c r="AJ271" s="36">
        <v>710000</v>
      </c>
      <c r="AK271" s="36"/>
      <c r="AL271" s="37">
        <f t="shared" si="32"/>
        <v>840400</v>
      </c>
      <c r="AM271" s="36"/>
      <c r="AN271" s="36"/>
      <c r="AO271" s="36"/>
      <c r="AP271" s="7"/>
      <c r="AQ271" s="38">
        <f t="shared" si="33"/>
        <v>14603489.57</v>
      </c>
      <c r="AR271" s="36">
        <v>14603500</v>
      </c>
      <c r="AS271" s="18">
        <f t="shared" si="34"/>
        <v>10.429999999701977</v>
      </c>
    </row>
    <row r="272" spans="1:45" x14ac:dyDescent="0.25">
      <c r="A272" s="40">
        <v>45560</v>
      </c>
      <c r="B272" s="20">
        <v>1669.14</v>
      </c>
      <c r="C272" s="20">
        <v>2049.1570000000002</v>
      </c>
      <c r="D272" s="20">
        <v>5260</v>
      </c>
      <c r="E272" s="20">
        <v>4970</v>
      </c>
      <c r="F272" s="7">
        <f t="shared" si="28"/>
        <v>8779676.4000000004</v>
      </c>
      <c r="G272" s="7">
        <f t="shared" si="29"/>
        <v>10184310.290000001</v>
      </c>
      <c r="H272" s="20">
        <v>44.75</v>
      </c>
      <c r="I272" s="20">
        <v>1059500</v>
      </c>
      <c r="J272" s="20">
        <v>36.5</v>
      </c>
      <c r="K272" s="20">
        <v>322000</v>
      </c>
      <c r="L272" s="20">
        <v>16000</v>
      </c>
      <c r="M272" s="20">
        <v>200000</v>
      </c>
      <c r="N272" s="20"/>
      <c r="O272" s="20">
        <v>1358542</v>
      </c>
      <c r="P272" s="20"/>
      <c r="Q272" s="19">
        <f t="shared" si="30"/>
        <v>21920028.690000001</v>
      </c>
      <c r="R272" s="20">
        <v>829724</v>
      </c>
      <c r="S272" s="20">
        <v>6756640</v>
      </c>
      <c r="T272" s="20"/>
      <c r="U272" s="20"/>
      <c r="V272" s="20"/>
      <c r="W272" s="20">
        <v>385500</v>
      </c>
      <c r="X272" s="20">
        <v>6998326</v>
      </c>
      <c r="Y272" s="8">
        <f t="shared" si="31"/>
        <v>6949838.6900000013</v>
      </c>
      <c r="Z272" s="36"/>
      <c r="AA272" s="36"/>
      <c r="AB272" s="36"/>
      <c r="AC272" s="36"/>
      <c r="AD272" s="36"/>
      <c r="AE272" s="36"/>
      <c r="AF272" s="36">
        <v>31000</v>
      </c>
      <c r="AG272" s="36"/>
      <c r="AH272" s="36">
        <v>15000</v>
      </c>
      <c r="AI272" s="36"/>
      <c r="AJ272" s="36"/>
      <c r="AK272" s="36"/>
      <c r="AL272" s="37">
        <f t="shared" si="32"/>
        <v>46000</v>
      </c>
      <c r="AM272" s="36"/>
      <c r="AN272" s="36"/>
      <c r="AO272" s="36"/>
      <c r="AP272" s="7"/>
      <c r="AQ272" s="38">
        <f t="shared" si="33"/>
        <v>6903838.6900000013</v>
      </c>
      <c r="AR272" s="36">
        <v>6903800</v>
      </c>
      <c r="AS272" s="18">
        <f t="shared" si="34"/>
        <v>-38.690000001341105</v>
      </c>
    </row>
    <row r="273" spans="1:45" x14ac:dyDescent="0.25">
      <c r="A273" s="40">
        <v>45561</v>
      </c>
      <c r="B273" s="20">
        <v>1904.7639999999999</v>
      </c>
      <c r="C273" s="20">
        <v>2456.8209999999999</v>
      </c>
      <c r="D273" s="20">
        <v>5260</v>
      </c>
      <c r="E273" s="20">
        <v>4970</v>
      </c>
      <c r="F273" s="7">
        <f t="shared" si="28"/>
        <v>10019058.639999999</v>
      </c>
      <c r="G273" s="7">
        <f t="shared" si="29"/>
        <v>12210400.369999999</v>
      </c>
      <c r="H273" s="20">
        <v>22.5</v>
      </c>
      <c r="I273" s="20">
        <v>462500</v>
      </c>
      <c r="J273" s="20">
        <v>61</v>
      </c>
      <c r="K273" s="20">
        <v>618000</v>
      </c>
      <c r="L273" s="20">
        <v>0</v>
      </c>
      <c r="M273" s="20"/>
      <c r="N273" s="20"/>
      <c r="O273" s="20">
        <v>1699600</v>
      </c>
      <c r="P273" s="20"/>
      <c r="Q273" s="19">
        <f t="shared" si="30"/>
        <v>25009559.009999998</v>
      </c>
      <c r="R273" s="20">
        <v>1291285</v>
      </c>
      <c r="S273" s="20">
        <v>7210099</v>
      </c>
      <c r="T273" s="20"/>
      <c r="U273" s="20"/>
      <c r="V273" s="20"/>
      <c r="W273" s="20">
        <v>166537</v>
      </c>
      <c r="X273" s="20">
        <v>7939883</v>
      </c>
      <c r="Y273" s="8">
        <f t="shared" si="31"/>
        <v>8401755.0099999979</v>
      </c>
      <c r="Z273" s="36"/>
      <c r="AA273" s="36"/>
      <c r="AB273" s="36"/>
      <c r="AC273" s="36"/>
      <c r="AD273" s="36"/>
      <c r="AE273" s="36"/>
      <c r="AF273" s="36">
        <v>3000</v>
      </c>
      <c r="AG273" s="36"/>
      <c r="AH273" s="36"/>
      <c r="AI273" s="36"/>
      <c r="AJ273" s="36"/>
      <c r="AK273" s="36"/>
      <c r="AL273" s="37">
        <f t="shared" si="32"/>
        <v>3000</v>
      </c>
      <c r="AM273" s="36"/>
      <c r="AN273" s="36"/>
      <c r="AO273" s="36"/>
      <c r="AP273" s="7"/>
      <c r="AQ273" s="38">
        <f t="shared" si="33"/>
        <v>8398755.0099999979</v>
      </c>
      <c r="AR273" s="36">
        <v>8398800</v>
      </c>
      <c r="AS273" s="18">
        <f t="shared" si="34"/>
        <v>44.990000002086163</v>
      </c>
    </row>
    <row r="274" spans="1:45" x14ac:dyDescent="0.25">
      <c r="A274" s="40">
        <v>45562</v>
      </c>
      <c r="B274" s="20">
        <v>1954.712</v>
      </c>
      <c r="C274" s="20">
        <v>6595.5519999999997</v>
      </c>
      <c r="D274" s="20">
        <v>5260</v>
      </c>
      <c r="E274" s="20">
        <v>4970</v>
      </c>
      <c r="F274" s="7">
        <f t="shared" si="28"/>
        <v>10281785.119999999</v>
      </c>
      <c r="G274" s="7">
        <f t="shared" si="29"/>
        <v>32779893.439999998</v>
      </c>
      <c r="H274" s="20">
        <v>81</v>
      </c>
      <c r="I274" s="20">
        <v>1779500</v>
      </c>
      <c r="J274" s="20">
        <v>33.5</v>
      </c>
      <c r="K274" s="20">
        <v>292000</v>
      </c>
      <c r="L274" s="20">
        <v>151000</v>
      </c>
      <c r="M274" s="20"/>
      <c r="N274" s="20"/>
      <c r="O274" s="20">
        <v>552037</v>
      </c>
      <c r="P274" s="20"/>
      <c r="Q274" s="19">
        <f t="shared" si="30"/>
        <v>45836215.559999995</v>
      </c>
      <c r="R274" s="20">
        <v>873031</v>
      </c>
      <c r="S274" s="20">
        <v>27669526</v>
      </c>
      <c r="T274" s="20"/>
      <c r="U274" s="20"/>
      <c r="V274" s="20"/>
      <c r="W274" s="20">
        <v>130000</v>
      </c>
      <c r="X274" s="20">
        <v>7557580</v>
      </c>
      <c r="Y274" s="8">
        <f t="shared" si="31"/>
        <v>9606078.5599999949</v>
      </c>
      <c r="Z274" s="36"/>
      <c r="AA274" s="36"/>
      <c r="AB274" s="36"/>
      <c r="AC274" s="36"/>
      <c r="AD274" s="36"/>
      <c r="AE274" s="36"/>
      <c r="AF274" s="36">
        <v>6000</v>
      </c>
      <c r="AG274" s="36"/>
      <c r="AH274" s="36"/>
      <c r="AI274" s="36"/>
      <c r="AJ274" s="36"/>
      <c r="AK274" s="36"/>
      <c r="AL274" s="37">
        <f t="shared" si="32"/>
        <v>6000</v>
      </c>
      <c r="AM274" s="36"/>
      <c r="AN274" s="36"/>
      <c r="AO274" s="36"/>
      <c r="AP274" s="7"/>
      <c r="AQ274" s="38">
        <f t="shared" si="33"/>
        <v>9600078.5599999949</v>
      </c>
      <c r="AR274" s="36">
        <v>9600100</v>
      </c>
      <c r="AS274" s="18">
        <f t="shared" si="34"/>
        <v>21.440000005066395</v>
      </c>
    </row>
    <row r="275" spans="1:45" x14ac:dyDescent="0.25">
      <c r="A275" s="40">
        <v>45563</v>
      </c>
      <c r="B275" s="20">
        <v>2549.6970000000001</v>
      </c>
      <c r="C275" s="20">
        <v>3068.7489999999998</v>
      </c>
      <c r="D275" s="20">
        <v>5260</v>
      </c>
      <c r="E275" s="20">
        <v>4970</v>
      </c>
      <c r="F275" s="7">
        <f t="shared" si="28"/>
        <v>13411406.220000001</v>
      </c>
      <c r="G275" s="7">
        <f t="shared" si="29"/>
        <v>15251682.529999999</v>
      </c>
      <c r="H275" s="20">
        <v>31.75</v>
      </c>
      <c r="I275" s="20">
        <v>701000</v>
      </c>
      <c r="J275" s="20">
        <v>64</v>
      </c>
      <c r="K275" s="20">
        <v>832000</v>
      </c>
      <c r="L275" s="20">
        <v>31000</v>
      </c>
      <c r="M275" s="20"/>
      <c r="N275" s="20"/>
      <c r="O275" s="20">
        <v>100000</v>
      </c>
      <c r="P275" s="20"/>
      <c r="Q275" s="19">
        <f t="shared" si="30"/>
        <v>30327088.75</v>
      </c>
      <c r="R275" s="20">
        <v>1452641</v>
      </c>
      <c r="S275" s="20">
        <v>10897952</v>
      </c>
      <c r="T275" s="20"/>
      <c r="U275" s="20"/>
      <c r="V275" s="20"/>
      <c r="W275" s="20">
        <v>200000</v>
      </c>
      <c r="X275" s="20">
        <v>10386283</v>
      </c>
      <c r="Y275" s="8">
        <f t="shared" si="31"/>
        <v>7390212.75</v>
      </c>
      <c r="Z275" s="36"/>
      <c r="AA275" s="36"/>
      <c r="AB275" s="36"/>
      <c r="AC275" s="36"/>
      <c r="AD275" s="36"/>
      <c r="AE275" s="36"/>
      <c r="AF275" s="36">
        <v>3000</v>
      </c>
      <c r="AG275" s="36"/>
      <c r="AH275" s="36">
        <v>29000</v>
      </c>
      <c r="AI275" s="36"/>
      <c r="AJ275" s="36"/>
      <c r="AK275" s="36"/>
      <c r="AL275" s="37">
        <f t="shared" si="32"/>
        <v>32000</v>
      </c>
      <c r="AM275" s="36"/>
      <c r="AN275" s="36"/>
      <c r="AO275" s="36"/>
      <c r="AP275" s="7"/>
      <c r="AQ275" s="38">
        <f t="shared" si="33"/>
        <v>7358212.75</v>
      </c>
      <c r="AR275" s="36">
        <v>7358200</v>
      </c>
      <c r="AS275" s="18">
        <f t="shared" si="34"/>
        <v>-12.75</v>
      </c>
    </row>
    <row r="276" spans="1:45" x14ac:dyDescent="0.25">
      <c r="A276" s="40">
        <v>45564</v>
      </c>
      <c r="B276" s="20">
        <v>2465.232</v>
      </c>
      <c r="C276" s="20">
        <v>2535.9</v>
      </c>
      <c r="D276" s="20">
        <v>5260</v>
      </c>
      <c r="E276" s="20">
        <v>4960</v>
      </c>
      <c r="F276" s="7">
        <f t="shared" si="28"/>
        <v>12967120.32</v>
      </c>
      <c r="G276" s="7">
        <f t="shared" si="29"/>
        <v>12578064</v>
      </c>
      <c r="H276" s="20">
        <v>35.5</v>
      </c>
      <c r="I276" s="20">
        <v>773500</v>
      </c>
      <c r="J276" s="20">
        <v>49</v>
      </c>
      <c r="K276" s="20">
        <v>514000</v>
      </c>
      <c r="L276" s="20">
        <v>16000</v>
      </c>
      <c r="M276" s="20"/>
      <c r="N276" s="20"/>
      <c r="O276" s="20">
        <v>0</v>
      </c>
      <c r="P276" s="20"/>
      <c r="Q276" s="19">
        <f t="shared" si="30"/>
        <v>26848684.32</v>
      </c>
      <c r="R276" s="20">
        <v>441368</v>
      </c>
      <c r="S276" s="20">
        <v>8274456</v>
      </c>
      <c r="T276" s="20"/>
      <c r="U276" s="20"/>
      <c r="V276" s="20"/>
      <c r="W276" s="20">
        <v>1438100</v>
      </c>
      <c r="X276" s="20">
        <v>2318717</v>
      </c>
      <c r="Y276" s="8">
        <f t="shared" si="31"/>
        <v>14376043.32</v>
      </c>
      <c r="Z276" s="36"/>
      <c r="AA276" s="36"/>
      <c r="AB276" s="36"/>
      <c r="AC276" s="36">
        <v>15000</v>
      </c>
      <c r="AD276" s="36">
        <v>99400</v>
      </c>
      <c r="AE276" s="36"/>
      <c r="AF276" s="36">
        <v>3000</v>
      </c>
      <c r="AG276" s="36">
        <v>2070000</v>
      </c>
      <c r="AH276" s="36">
        <v>50500</v>
      </c>
      <c r="AI276" s="36"/>
      <c r="AJ276" s="36">
        <v>20000</v>
      </c>
      <c r="AK276" s="36"/>
      <c r="AL276" s="37">
        <f t="shared" si="32"/>
        <v>2257900</v>
      </c>
      <c r="AM276" s="36"/>
      <c r="AN276" s="36"/>
      <c r="AO276" s="36"/>
      <c r="AP276" s="7"/>
      <c r="AQ276" s="38">
        <f t="shared" si="33"/>
        <v>12118143.32</v>
      </c>
      <c r="AR276" s="36">
        <v>12118200</v>
      </c>
      <c r="AS276" s="18">
        <f t="shared" si="34"/>
        <v>56.679999999701977</v>
      </c>
    </row>
    <row r="277" spans="1:45" x14ac:dyDescent="0.25">
      <c r="A277" s="40">
        <v>45565</v>
      </c>
      <c r="B277" s="20">
        <v>1620.489</v>
      </c>
      <c r="C277" s="20">
        <v>2634.605</v>
      </c>
      <c r="D277" s="20">
        <v>5260</v>
      </c>
      <c r="E277" s="20">
        <v>4970</v>
      </c>
      <c r="F277" s="7">
        <f t="shared" si="28"/>
        <v>8523772.1400000006</v>
      </c>
      <c r="G277" s="7">
        <f t="shared" si="29"/>
        <v>13093986.85</v>
      </c>
      <c r="H277" s="20">
        <v>17</v>
      </c>
      <c r="I277" s="20">
        <v>379500</v>
      </c>
      <c r="J277" s="20">
        <v>54</v>
      </c>
      <c r="K277" s="20">
        <v>631000</v>
      </c>
      <c r="L277" s="20">
        <v>8000</v>
      </c>
      <c r="M277" s="20"/>
      <c r="N277" s="20">
        <v>1500000</v>
      </c>
      <c r="O277" s="20">
        <v>1299300</v>
      </c>
      <c r="P277" s="20"/>
      <c r="Q277" s="19">
        <f t="shared" si="30"/>
        <v>25435558.990000002</v>
      </c>
      <c r="R277" s="20">
        <v>1648950</v>
      </c>
      <c r="S277" s="20">
        <v>8948410</v>
      </c>
      <c r="T277" s="20"/>
      <c r="U277" s="20"/>
      <c r="V277" s="20"/>
      <c r="W277" s="20">
        <v>500000</v>
      </c>
      <c r="X277" s="20">
        <v>3889642</v>
      </c>
      <c r="Y277" s="8">
        <f t="shared" si="31"/>
        <v>10448556.990000002</v>
      </c>
      <c r="Z277" s="36"/>
      <c r="AA277" s="36"/>
      <c r="AB277" s="36">
        <v>625400</v>
      </c>
      <c r="AC277" s="36">
        <v>120000</v>
      </c>
      <c r="AD277" s="36"/>
      <c r="AE277" s="36">
        <v>1200000</v>
      </c>
      <c r="AF277" s="36">
        <v>18000</v>
      </c>
      <c r="AG277" s="36"/>
      <c r="AH277" s="36"/>
      <c r="AI277" s="36"/>
      <c r="AJ277" s="36">
        <v>798000</v>
      </c>
      <c r="AK277" s="36"/>
      <c r="AL277" s="37">
        <f t="shared" si="32"/>
        <v>2761400</v>
      </c>
      <c r="AM277" s="36"/>
      <c r="AN277" s="36"/>
      <c r="AO277" s="36"/>
      <c r="AP277" s="7"/>
      <c r="AQ277" s="38">
        <f t="shared" si="33"/>
        <v>7687156.9900000021</v>
      </c>
      <c r="AR277" s="36">
        <v>7686200</v>
      </c>
      <c r="AS277" s="18">
        <f t="shared" si="34"/>
        <v>-956.99000000208616</v>
      </c>
    </row>
    <row r="278" spans="1:45" x14ac:dyDescent="0.25">
      <c r="A278" s="40">
        <v>45566</v>
      </c>
      <c r="B278" s="20">
        <v>1746.4369999999999</v>
      </c>
      <c r="C278" s="20">
        <v>3136.7429999999999</v>
      </c>
      <c r="D278" s="20">
        <v>5260</v>
      </c>
      <c r="E278" s="20">
        <v>4970</v>
      </c>
      <c r="F278" s="7">
        <f t="shared" si="28"/>
        <v>9186258.6199999992</v>
      </c>
      <c r="G278" s="7">
        <f t="shared" si="29"/>
        <v>15589612.709999999</v>
      </c>
      <c r="H278" s="20">
        <v>54.75</v>
      </c>
      <c r="I278" s="20">
        <v>1178000</v>
      </c>
      <c r="J278" s="20">
        <v>86</v>
      </c>
      <c r="K278" s="20">
        <v>657000</v>
      </c>
      <c r="L278" s="20">
        <v>73000</v>
      </c>
      <c r="M278" s="20"/>
      <c r="N278" s="20"/>
      <c r="O278" s="20">
        <v>2318100</v>
      </c>
      <c r="P278" s="20">
        <v>0</v>
      </c>
      <c r="Q278" s="19">
        <f t="shared" si="30"/>
        <v>29001971.329999998</v>
      </c>
      <c r="R278" s="20">
        <v>1094544</v>
      </c>
      <c r="S278" s="20">
        <v>10921328</v>
      </c>
      <c r="T278" s="20"/>
      <c r="U278" s="20"/>
      <c r="V278" s="20"/>
      <c r="W278" s="20">
        <v>400000</v>
      </c>
      <c r="X278" s="20">
        <v>2019890</v>
      </c>
      <c r="Y278" s="8">
        <f t="shared" si="31"/>
        <v>14566209.329999998</v>
      </c>
      <c r="Z278" s="36"/>
      <c r="AA278" s="36"/>
      <c r="AB278" s="36"/>
      <c r="AC278" s="36"/>
      <c r="AD278" s="36"/>
      <c r="AE278" s="36"/>
      <c r="AF278" s="36">
        <v>53000</v>
      </c>
      <c r="AG278" s="36"/>
      <c r="AH278" s="36"/>
      <c r="AI278" s="36">
        <v>30000</v>
      </c>
      <c r="AJ278" s="36"/>
      <c r="AK278" s="36"/>
      <c r="AL278" s="37">
        <f t="shared" si="32"/>
        <v>83000</v>
      </c>
      <c r="AM278" s="36"/>
      <c r="AN278" s="36"/>
      <c r="AO278" s="36"/>
      <c r="AP278" s="7"/>
      <c r="AQ278" s="38">
        <f t="shared" si="33"/>
        <v>14483209.329999998</v>
      </c>
      <c r="AR278" s="36">
        <v>14483200</v>
      </c>
      <c r="AS278" s="18">
        <f t="shared" si="34"/>
        <v>-9.3299999982118607</v>
      </c>
    </row>
    <row r="279" spans="1:45" x14ac:dyDescent="0.25">
      <c r="A279" s="40">
        <v>45567</v>
      </c>
      <c r="B279" s="20">
        <v>2301.777</v>
      </c>
      <c r="C279" s="20">
        <v>3823.9679999999998</v>
      </c>
      <c r="D279" s="20">
        <v>5260</v>
      </c>
      <c r="E279" s="20">
        <v>4970</v>
      </c>
      <c r="F279" s="7">
        <f t="shared" si="28"/>
        <v>12107347.02</v>
      </c>
      <c r="G279" s="7">
        <f t="shared" si="29"/>
        <v>19005120.960000001</v>
      </c>
      <c r="H279" s="20">
        <v>48</v>
      </c>
      <c r="I279" s="20">
        <v>1084500</v>
      </c>
      <c r="J279" s="20">
        <v>33</v>
      </c>
      <c r="K279" s="20">
        <v>534000</v>
      </c>
      <c r="L279" s="20">
        <v>25000</v>
      </c>
      <c r="M279" s="20"/>
      <c r="N279" s="20"/>
      <c r="O279" s="20">
        <v>1345230</v>
      </c>
      <c r="P279" s="20"/>
      <c r="Q279" s="19">
        <f t="shared" si="30"/>
        <v>34101197.980000004</v>
      </c>
      <c r="R279" s="20">
        <v>2163809</v>
      </c>
      <c r="S279" s="20">
        <v>13426216</v>
      </c>
      <c r="T279" s="20"/>
      <c r="U279" s="20"/>
      <c r="V279" s="20"/>
      <c r="W279" s="20">
        <v>270268</v>
      </c>
      <c r="X279" s="20">
        <v>13773043</v>
      </c>
      <c r="Y279" s="8">
        <f t="shared" si="31"/>
        <v>4467861.9800000042</v>
      </c>
      <c r="Z279" s="36"/>
      <c r="AA279" s="36"/>
      <c r="AB279" s="36"/>
      <c r="AC279" s="36"/>
      <c r="AD279" s="36"/>
      <c r="AE279" s="36"/>
      <c r="AF279" s="36">
        <v>8000</v>
      </c>
      <c r="AG279" s="36"/>
      <c r="AH279" s="36">
        <v>70000</v>
      </c>
      <c r="AI279" s="36"/>
      <c r="AJ279" s="36"/>
      <c r="AK279" s="36"/>
      <c r="AL279" s="37">
        <f t="shared" si="32"/>
        <v>78000</v>
      </c>
      <c r="AM279" s="36"/>
      <c r="AN279" s="36"/>
      <c r="AO279" s="36"/>
      <c r="AP279" s="7"/>
      <c r="AQ279" s="38">
        <f t="shared" si="33"/>
        <v>4389861.9800000042</v>
      </c>
      <c r="AR279" s="36">
        <v>4390000</v>
      </c>
      <c r="AS279" s="18">
        <f t="shared" si="34"/>
        <v>138.01999999582767</v>
      </c>
    </row>
    <row r="280" spans="1:45" x14ac:dyDescent="0.25">
      <c r="A280" s="40">
        <v>45568</v>
      </c>
      <c r="B280" s="20">
        <v>2222.0349999999999</v>
      </c>
      <c r="C280" s="20">
        <v>5634.86</v>
      </c>
      <c r="D280" s="20">
        <v>5260</v>
      </c>
      <c r="E280" s="20">
        <v>4970</v>
      </c>
      <c r="F280" s="7">
        <f t="shared" si="28"/>
        <v>11687904.1</v>
      </c>
      <c r="G280" s="7">
        <f t="shared" si="29"/>
        <v>28005254.199999999</v>
      </c>
      <c r="H280" s="20">
        <v>19.25</v>
      </c>
      <c r="I280" s="20">
        <v>461000</v>
      </c>
      <c r="J280" s="20">
        <v>55</v>
      </c>
      <c r="K280" s="20">
        <v>751000</v>
      </c>
      <c r="L280" s="20">
        <v>30000</v>
      </c>
      <c r="M280" s="20"/>
      <c r="N280" s="20"/>
      <c r="O280" s="20">
        <v>1066268</v>
      </c>
      <c r="P280" s="20"/>
      <c r="Q280" s="19">
        <f t="shared" si="30"/>
        <v>42001426.299999997</v>
      </c>
      <c r="R280" s="20">
        <v>1337739</v>
      </c>
      <c r="S280" s="20">
        <v>17845281</v>
      </c>
      <c r="T280" s="20"/>
      <c r="U280" s="20"/>
      <c r="V280" s="20"/>
      <c r="W280" s="20">
        <v>578000</v>
      </c>
      <c r="X280" s="20">
        <v>13705474</v>
      </c>
      <c r="Y280" s="8">
        <f t="shared" si="31"/>
        <v>8534932.299999997</v>
      </c>
      <c r="Z280" s="36"/>
      <c r="AA280" s="36"/>
      <c r="AB280" s="36"/>
      <c r="AC280" s="36"/>
      <c r="AD280" s="36"/>
      <c r="AE280" s="36"/>
      <c r="AF280" s="36">
        <v>3000</v>
      </c>
      <c r="AG280" s="36"/>
      <c r="AH280" s="36"/>
      <c r="AI280" s="36"/>
      <c r="AJ280" s="36">
        <v>2300000</v>
      </c>
      <c r="AK280" s="36">
        <v>50000</v>
      </c>
      <c r="AL280" s="37">
        <f t="shared" si="32"/>
        <v>2353000</v>
      </c>
      <c r="AM280" s="36"/>
      <c r="AN280" s="36"/>
      <c r="AO280" s="36"/>
      <c r="AP280" s="7"/>
      <c r="AQ280" s="38">
        <f t="shared" si="33"/>
        <v>6181932.299999997</v>
      </c>
      <c r="AR280" s="36">
        <v>6182000</v>
      </c>
      <c r="AS280" s="18">
        <f t="shared" si="34"/>
        <v>67.700000002980232</v>
      </c>
    </row>
    <row r="281" spans="1:45" x14ac:dyDescent="0.25">
      <c r="A281" s="40">
        <v>45569</v>
      </c>
      <c r="B281" s="20">
        <v>1747.1690000000001</v>
      </c>
      <c r="C281" s="20">
        <v>3798.7269999999999</v>
      </c>
      <c r="D281" s="20">
        <v>5260</v>
      </c>
      <c r="E281" s="20">
        <v>4970</v>
      </c>
      <c r="F281" s="7">
        <f t="shared" si="28"/>
        <v>9190108.9400000013</v>
      </c>
      <c r="G281" s="7">
        <f t="shared" si="29"/>
        <v>18879673.189999998</v>
      </c>
      <c r="H281" s="20">
        <v>58.25</v>
      </c>
      <c r="I281" s="20">
        <v>1285000</v>
      </c>
      <c r="J281" s="20">
        <v>45</v>
      </c>
      <c r="K281" s="20">
        <v>712000</v>
      </c>
      <c r="L281" s="20">
        <v>16000</v>
      </c>
      <c r="M281" s="20"/>
      <c r="N281" s="20"/>
      <c r="O281" s="20">
        <v>1203000</v>
      </c>
      <c r="P281" s="20"/>
      <c r="Q281" s="19">
        <f t="shared" si="30"/>
        <v>31285782.129999999</v>
      </c>
      <c r="R281" s="20">
        <v>578179</v>
      </c>
      <c r="S281" s="20">
        <v>12006750</v>
      </c>
      <c r="T281" s="20"/>
      <c r="U281" s="20"/>
      <c r="V281" s="20"/>
      <c r="W281" s="20">
        <v>390500</v>
      </c>
      <c r="X281" s="20">
        <v>8299358</v>
      </c>
      <c r="Y281" s="8">
        <f t="shared" si="31"/>
        <v>10010995.129999999</v>
      </c>
      <c r="Z281" s="36"/>
      <c r="AA281" s="36"/>
      <c r="AB281" s="36"/>
      <c r="AC281" s="36">
        <v>8000</v>
      </c>
      <c r="AD281" s="36"/>
      <c r="AE281" s="36"/>
      <c r="AF281" s="36">
        <v>0</v>
      </c>
      <c r="AG281" s="36"/>
      <c r="AH281" s="36">
        <v>58000</v>
      </c>
      <c r="AI281" s="36"/>
      <c r="AJ281" s="36">
        <v>2500000</v>
      </c>
      <c r="AK281" s="36"/>
      <c r="AL281" s="37">
        <f t="shared" si="32"/>
        <v>2566000</v>
      </c>
      <c r="AM281" s="36"/>
      <c r="AN281" s="36"/>
      <c r="AO281" s="36"/>
      <c r="AP281" s="7"/>
      <c r="AQ281" s="38">
        <f t="shared" si="33"/>
        <v>7444995.129999999</v>
      </c>
      <c r="AR281" s="36">
        <v>7444600</v>
      </c>
      <c r="AS281" s="18">
        <f t="shared" si="34"/>
        <v>-395.12999999895692</v>
      </c>
    </row>
    <row r="282" spans="1:45" x14ac:dyDescent="0.25">
      <c r="A282" s="40">
        <v>45570</v>
      </c>
      <c r="B282" s="20">
        <v>1951.5730000000001</v>
      </c>
      <c r="C282" s="20">
        <v>4225.2790000000005</v>
      </c>
      <c r="D282" s="20">
        <v>5260</v>
      </c>
      <c r="E282" s="20">
        <v>4970</v>
      </c>
      <c r="F282" s="7">
        <f t="shared" si="28"/>
        <v>10265273.98</v>
      </c>
      <c r="G282" s="7">
        <f t="shared" si="29"/>
        <v>20999636.630000003</v>
      </c>
      <c r="H282" s="20">
        <v>129</v>
      </c>
      <c r="I282" s="20">
        <v>1679000</v>
      </c>
      <c r="J282" s="20">
        <v>82.5</v>
      </c>
      <c r="K282" s="20">
        <v>804000</v>
      </c>
      <c r="L282" s="20">
        <v>45000</v>
      </c>
      <c r="M282" s="20"/>
      <c r="N282" s="20"/>
      <c r="O282" s="20">
        <v>1858500</v>
      </c>
      <c r="P282" s="20"/>
      <c r="Q282" s="19">
        <f t="shared" si="30"/>
        <v>35651410.609999999</v>
      </c>
      <c r="R282" s="20">
        <v>1678204</v>
      </c>
      <c r="S282" s="20">
        <v>12725816</v>
      </c>
      <c r="T282" s="20"/>
      <c r="U282" s="20"/>
      <c r="V282" s="20"/>
      <c r="W282" s="20">
        <v>100000</v>
      </c>
      <c r="X282" s="20">
        <v>14548973</v>
      </c>
      <c r="Y282" s="8">
        <f t="shared" si="31"/>
        <v>6598417.6099999994</v>
      </c>
      <c r="Z282" s="36"/>
      <c r="AA282" s="36"/>
      <c r="AB282" s="36"/>
      <c r="AC282" s="36">
        <v>3000</v>
      </c>
      <c r="AD282" s="36"/>
      <c r="AE282" s="36"/>
      <c r="AF282" s="36">
        <v>3000</v>
      </c>
      <c r="AG282" s="36"/>
      <c r="AH282" s="36"/>
      <c r="AI282" s="36"/>
      <c r="AJ282" s="36">
        <v>3000000</v>
      </c>
      <c r="AK282" s="36"/>
      <c r="AL282" s="37">
        <f t="shared" si="32"/>
        <v>3006000</v>
      </c>
      <c r="AM282" s="36"/>
      <c r="AN282" s="36"/>
      <c r="AO282" s="36"/>
      <c r="AP282" s="7"/>
      <c r="AQ282" s="38">
        <f t="shared" si="33"/>
        <v>3592417.6099999994</v>
      </c>
      <c r="AR282" s="36">
        <v>3592500</v>
      </c>
      <c r="AS282" s="18">
        <f t="shared" si="34"/>
        <v>82.390000000596046</v>
      </c>
    </row>
    <row r="283" spans="1:45" x14ac:dyDescent="0.25">
      <c r="A283" s="40">
        <v>45571</v>
      </c>
      <c r="B283" s="20">
        <v>1739.84</v>
      </c>
      <c r="C283" s="20">
        <v>1795.1420000000001</v>
      </c>
      <c r="D283" s="20">
        <v>5260</v>
      </c>
      <c r="E283" s="20">
        <v>4970</v>
      </c>
      <c r="F283" s="7">
        <f t="shared" si="28"/>
        <v>9151558.4000000004</v>
      </c>
      <c r="G283" s="7">
        <f t="shared" si="29"/>
        <v>8921855.7400000002</v>
      </c>
      <c r="H283" s="20">
        <v>72</v>
      </c>
      <c r="I283" s="20">
        <v>1675000</v>
      </c>
      <c r="J283" s="20">
        <v>57.5</v>
      </c>
      <c r="K283" s="20">
        <v>874000</v>
      </c>
      <c r="L283" s="20">
        <v>30000</v>
      </c>
      <c r="M283" s="20"/>
      <c r="N283" s="20"/>
      <c r="O283" s="20">
        <v>244000</v>
      </c>
      <c r="P283" s="20"/>
      <c r="Q283" s="19">
        <f t="shared" si="30"/>
        <v>20896414.140000001</v>
      </c>
      <c r="R283" s="20">
        <v>528965</v>
      </c>
      <c r="S283" s="20">
        <v>6430204</v>
      </c>
      <c r="T283" s="20"/>
      <c r="U283" s="20"/>
      <c r="V283" s="20"/>
      <c r="W283" s="20">
        <v>0</v>
      </c>
      <c r="X283" s="20">
        <v>4465837</v>
      </c>
      <c r="Y283" s="8">
        <f t="shared" si="31"/>
        <v>9471408.1400000006</v>
      </c>
      <c r="Z283" s="36"/>
      <c r="AA283" s="36"/>
      <c r="AB283" s="36"/>
      <c r="AC283" s="36"/>
      <c r="AD283" s="36"/>
      <c r="AE283" s="36"/>
      <c r="AF283" s="36"/>
      <c r="AG283" s="36"/>
      <c r="AH283" s="36">
        <v>30000</v>
      </c>
      <c r="AI283" s="36"/>
      <c r="AJ283" s="36">
        <v>4400000</v>
      </c>
      <c r="AK283" s="36"/>
      <c r="AL283" s="37">
        <f t="shared" si="32"/>
        <v>4430000</v>
      </c>
      <c r="AM283" s="36"/>
      <c r="AN283" s="36"/>
      <c r="AO283" s="36"/>
      <c r="AP283" s="7"/>
      <c r="AQ283" s="38">
        <f t="shared" si="33"/>
        <v>5041408.1400000006</v>
      </c>
      <c r="AR283" s="36">
        <v>5041500</v>
      </c>
      <c r="AS283" s="18">
        <f t="shared" si="34"/>
        <v>91.859999999403954</v>
      </c>
    </row>
    <row r="284" spans="1:45" x14ac:dyDescent="0.25">
      <c r="A284" s="40">
        <v>45572</v>
      </c>
      <c r="B284" s="20">
        <v>1440.53</v>
      </c>
      <c r="C284" s="20">
        <v>2369.86</v>
      </c>
      <c r="D284" s="20">
        <v>5260</v>
      </c>
      <c r="E284" s="20">
        <v>4970</v>
      </c>
      <c r="F284" s="7">
        <f t="shared" si="28"/>
        <v>7577187.7999999998</v>
      </c>
      <c r="G284" s="7">
        <f t="shared" si="29"/>
        <v>11778204.200000001</v>
      </c>
      <c r="H284" s="20">
        <v>40</v>
      </c>
      <c r="I284" s="20">
        <v>921500</v>
      </c>
      <c r="J284" s="20">
        <v>21</v>
      </c>
      <c r="K284" s="20">
        <v>187000</v>
      </c>
      <c r="L284" s="20">
        <v>63000</v>
      </c>
      <c r="M284" s="20"/>
      <c r="N284" s="20"/>
      <c r="O284" s="20">
        <v>1502700</v>
      </c>
      <c r="P284" s="20">
        <v>25000</v>
      </c>
      <c r="Q284" s="19">
        <f t="shared" si="30"/>
        <v>22054592</v>
      </c>
      <c r="R284" s="20">
        <v>1654400</v>
      </c>
      <c r="S284" s="20">
        <v>3581505</v>
      </c>
      <c r="T284" s="20"/>
      <c r="U284" s="20"/>
      <c r="V284" s="20"/>
      <c r="W284" s="20">
        <v>0</v>
      </c>
      <c r="X284" s="20">
        <v>7684189</v>
      </c>
      <c r="Y284" s="8">
        <f t="shared" si="31"/>
        <v>9134498</v>
      </c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>
        <v>2000000</v>
      </c>
      <c r="AK284" s="36"/>
      <c r="AL284" s="37">
        <f t="shared" si="32"/>
        <v>2000000</v>
      </c>
      <c r="AM284" s="36"/>
      <c r="AN284" s="36"/>
      <c r="AO284" s="36"/>
      <c r="AP284" s="7"/>
      <c r="AQ284" s="38">
        <f t="shared" si="33"/>
        <v>7134498</v>
      </c>
      <c r="AR284" s="36">
        <v>12176000</v>
      </c>
      <c r="AS284" s="18">
        <f t="shared" si="34"/>
        <v>5041502</v>
      </c>
    </row>
    <row r="285" spans="1:45" x14ac:dyDescent="0.25">
      <c r="A285" s="40">
        <v>45573</v>
      </c>
      <c r="B285" s="20">
        <v>1651.377</v>
      </c>
      <c r="C285" s="20">
        <v>1637.73</v>
      </c>
      <c r="D285" s="20">
        <v>5260</v>
      </c>
      <c r="E285" s="20">
        <v>4970</v>
      </c>
      <c r="F285" s="7">
        <f t="shared" si="28"/>
        <v>8686243.0199999996</v>
      </c>
      <c r="G285" s="7">
        <f t="shared" si="29"/>
        <v>8139518.0999999996</v>
      </c>
      <c r="H285" s="20">
        <v>77.25</v>
      </c>
      <c r="I285" s="20">
        <v>1623000</v>
      </c>
      <c r="J285" s="20">
        <v>42</v>
      </c>
      <c r="K285" s="20">
        <v>463000</v>
      </c>
      <c r="L285" s="20">
        <v>16000</v>
      </c>
      <c r="M285" s="20"/>
      <c r="N285" s="20"/>
      <c r="O285" s="20">
        <v>441000</v>
      </c>
      <c r="P285" s="20"/>
      <c r="Q285" s="19">
        <f t="shared" si="30"/>
        <v>19368761.119999997</v>
      </c>
      <c r="R285" s="20">
        <v>1586889</v>
      </c>
      <c r="S285" s="20">
        <v>4957587</v>
      </c>
      <c r="T285" s="20"/>
      <c r="U285" s="20"/>
      <c r="V285" s="20"/>
      <c r="W285" s="20">
        <v>125000</v>
      </c>
      <c r="X285" s="20">
        <v>2960715</v>
      </c>
      <c r="Y285" s="8">
        <f t="shared" si="31"/>
        <v>9738570.1199999973</v>
      </c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>
        <v>4345000</v>
      </c>
      <c r="AK285" s="36"/>
      <c r="AL285" s="37">
        <f t="shared" si="32"/>
        <v>4345000</v>
      </c>
      <c r="AM285" s="36"/>
      <c r="AN285" s="36"/>
      <c r="AO285" s="36"/>
      <c r="AP285" s="7"/>
      <c r="AQ285" s="38">
        <f t="shared" si="33"/>
        <v>5393570.1199999973</v>
      </c>
      <c r="AR285" s="36">
        <v>5393600</v>
      </c>
      <c r="AS285" s="18">
        <f t="shared" si="34"/>
        <v>29.880000002682209</v>
      </c>
    </row>
    <row r="286" spans="1:45" x14ac:dyDescent="0.25">
      <c r="A286" s="40">
        <v>45574</v>
      </c>
      <c r="B286" s="20">
        <v>2024.3679999999999</v>
      </c>
      <c r="C286" s="20">
        <v>5227.1509999999998</v>
      </c>
      <c r="D286" s="20">
        <v>5260</v>
      </c>
      <c r="E286" s="20">
        <v>4970</v>
      </c>
      <c r="F286" s="7">
        <f t="shared" si="28"/>
        <v>10648175.68</v>
      </c>
      <c r="G286" s="7">
        <f t="shared" si="29"/>
        <v>25978940.469999999</v>
      </c>
      <c r="H286" s="20">
        <v>52.5</v>
      </c>
      <c r="I286" s="20">
        <v>1165000</v>
      </c>
      <c r="J286" s="20">
        <v>57.5</v>
      </c>
      <c r="K286" s="20">
        <v>521000</v>
      </c>
      <c r="L286" s="20">
        <v>63000</v>
      </c>
      <c r="M286" s="20"/>
      <c r="N286" s="20"/>
      <c r="O286" s="20">
        <v>3117600</v>
      </c>
      <c r="P286" s="20">
        <v>0</v>
      </c>
      <c r="Q286" s="19">
        <f t="shared" si="30"/>
        <v>41493716.149999999</v>
      </c>
      <c r="R286" s="20">
        <v>1948351</v>
      </c>
      <c r="S286" s="20">
        <v>21791971</v>
      </c>
      <c r="T286" s="20"/>
      <c r="U286" s="20"/>
      <c r="V286" s="20"/>
      <c r="W286" s="20">
        <v>27379</v>
      </c>
      <c r="X286" s="20">
        <v>6485174</v>
      </c>
      <c r="Y286" s="8">
        <f t="shared" si="31"/>
        <v>11240841.149999999</v>
      </c>
      <c r="Z286" s="36"/>
      <c r="AA286" s="36"/>
      <c r="AB286" s="36"/>
      <c r="AC286" s="36"/>
      <c r="AD286" s="36"/>
      <c r="AE286" s="36"/>
      <c r="AF286" s="36">
        <v>53000</v>
      </c>
      <c r="AG286" s="36"/>
      <c r="AH286" s="36"/>
      <c r="AI286" s="36"/>
      <c r="AJ286" s="36">
        <v>0</v>
      </c>
      <c r="AK286" s="36"/>
      <c r="AL286" s="37">
        <f t="shared" si="32"/>
        <v>53000</v>
      </c>
      <c r="AM286" s="36"/>
      <c r="AN286" s="36"/>
      <c r="AO286" s="36"/>
      <c r="AP286" s="7"/>
      <c r="AQ286" s="38">
        <f t="shared" si="33"/>
        <v>11187841.149999999</v>
      </c>
      <c r="AR286" s="36">
        <v>0</v>
      </c>
      <c r="AS286" s="18">
        <f t="shared" si="34"/>
        <v>-11187841.149999999</v>
      </c>
    </row>
    <row r="287" spans="1:45" x14ac:dyDescent="0.25">
      <c r="A287" s="40">
        <v>45575</v>
      </c>
      <c r="B287" s="20">
        <v>1900.56</v>
      </c>
      <c r="C287" s="20">
        <v>2489.11</v>
      </c>
      <c r="D287" s="20">
        <v>5260</v>
      </c>
      <c r="E287" s="20">
        <v>4970</v>
      </c>
      <c r="F287" s="7">
        <f t="shared" si="28"/>
        <v>9996945.5999999996</v>
      </c>
      <c r="G287" s="7">
        <f t="shared" si="29"/>
        <v>12370876.700000001</v>
      </c>
      <c r="H287" s="20">
        <v>34.5</v>
      </c>
      <c r="I287" s="20">
        <v>821000</v>
      </c>
      <c r="J287" s="20">
        <v>88.5</v>
      </c>
      <c r="K287" s="20">
        <v>784000</v>
      </c>
      <c r="L287" s="20">
        <v>15000</v>
      </c>
      <c r="M287" s="20"/>
      <c r="N287" s="20"/>
      <c r="O287" s="20">
        <v>1350000</v>
      </c>
      <c r="P287" s="20"/>
      <c r="Q287" s="19">
        <f t="shared" si="30"/>
        <v>25337822.300000001</v>
      </c>
      <c r="R287" s="20">
        <v>1023568</v>
      </c>
      <c r="S287" s="20">
        <v>4375281</v>
      </c>
      <c r="T287" s="20"/>
      <c r="U287" s="20"/>
      <c r="V287" s="20"/>
      <c r="W287" s="20">
        <v>119800</v>
      </c>
      <c r="X287" s="20">
        <v>13537080</v>
      </c>
      <c r="Y287" s="8">
        <f t="shared" si="31"/>
        <v>6282093.3000000007</v>
      </c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>
        <v>535000</v>
      </c>
      <c r="AK287" s="36"/>
      <c r="AL287" s="37">
        <f t="shared" si="32"/>
        <v>535000</v>
      </c>
      <c r="AM287" s="36"/>
      <c r="AN287" s="36"/>
      <c r="AO287" s="36"/>
      <c r="AP287" s="7"/>
      <c r="AQ287" s="38">
        <f t="shared" si="33"/>
        <v>5747093.3000000007</v>
      </c>
      <c r="AR287" s="36">
        <v>16926600</v>
      </c>
      <c r="AS287" s="18">
        <f t="shared" si="34"/>
        <v>11179506.699999999</v>
      </c>
    </row>
    <row r="288" spans="1:45" x14ac:dyDescent="0.25">
      <c r="A288" s="40">
        <v>45576</v>
      </c>
      <c r="B288" s="20">
        <v>1786.548</v>
      </c>
      <c r="C288" s="20">
        <v>1881.59</v>
      </c>
      <c r="D288" s="20">
        <v>5260</v>
      </c>
      <c r="E288" s="20">
        <v>4970</v>
      </c>
      <c r="F288" s="7">
        <f t="shared" si="28"/>
        <v>9397242.4800000004</v>
      </c>
      <c r="G288" s="7">
        <f t="shared" si="29"/>
        <v>9351502.2999999989</v>
      </c>
      <c r="H288" s="20">
        <v>70.25</v>
      </c>
      <c r="I288" s="20">
        <v>1753500</v>
      </c>
      <c r="J288" s="20">
        <v>48</v>
      </c>
      <c r="K288" s="20">
        <v>533000</v>
      </c>
      <c r="L288" s="20">
        <v>16000</v>
      </c>
      <c r="M288" s="20"/>
      <c r="N288" s="20"/>
      <c r="O288" s="20">
        <v>0</v>
      </c>
      <c r="P288" s="20"/>
      <c r="Q288" s="19">
        <f t="shared" si="30"/>
        <v>21051244.780000001</v>
      </c>
      <c r="R288" s="20">
        <v>2062387</v>
      </c>
      <c r="S288" s="20">
        <v>5363552</v>
      </c>
      <c r="T288" s="20"/>
      <c r="U288" s="20"/>
      <c r="V288" s="20"/>
      <c r="W288" s="20">
        <v>200933</v>
      </c>
      <c r="X288" s="20">
        <v>7731067</v>
      </c>
      <c r="Y288" s="8">
        <f t="shared" si="31"/>
        <v>5693305.7800000012</v>
      </c>
      <c r="Z288" s="36"/>
      <c r="AA288" s="36"/>
      <c r="AB288" s="36"/>
      <c r="AC288" s="36"/>
      <c r="AD288" s="36"/>
      <c r="AE288" s="36"/>
      <c r="AF288" s="36">
        <v>26000</v>
      </c>
      <c r="AG288" s="36"/>
      <c r="AH288" s="36"/>
      <c r="AI288" s="36"/>
      <c r="AJ288" s="36"/>
      <c r="AK288" s="36"/>
      <c r="AL288" s="37">
        <f t="shared" si="32"/>
        <v>26000</v>
      </c>
      <c r="AM288" s="36"/>
      <c r="AN288" s="36"/>
      <c r="AO288" s="36"/>
      <c r="AP288" s="7"/>
      <c r="AQ288" s="38">
        <f t="shared" si="33"/>
        <v>5667305.7800000012</v>
      </c>
      <c r="AR288" s="36">
        <v>5667300</v>
      </c>
      <c r="AS288" s="18">
        <f t="shared" si="34"/>
        <v>-5.7800000011920929</v>
      </c>
    </row>
    <row r="289" spans="1:45" x14ac:dyDescent="0.25">
      <c r="A289" s="40">
        <v>45577</v>
      </c>
      <c r="B289" s="20">
        <v>2052.1149999999998</v>
      </c>
      <c r="C289" s="20">
        <v>2934.944</v>
      </c>
      <c r="D289" s="20">
        <v>5260</v>
      </c>
      <c r="E289" s="20">
        <v>4970</v>
      </c>
      <c r="F289" s="7">
        <f t="shared" si="28"/>
        <v>10794124.899999999</v>
      </c>
      <c r="G289" s="7">
        <f t="shared" si="29"/>
        <v>14586671.68</v>
      </c>
      <c r="H289" s="20">
        <v>55.25</v>
      </c>
      <c r="I289" s="20">
        <v>1187500</v>
      </c>
      <c r="J289" s="20">
        <v>45</v>
      </c>
      <c r="K289" s="20">
        <v>583000</v>
      </c>
      <c r="L289" s="20">
        <v>16000</v>
      </c>
      <c r="M289" s="20"/>
      <c r="N289" s="20"/>
      <c r="O289" s="20">
        <v>545733</v>
      </c>
      <c r="P289" s="20"/>
      <c r="Q289" s="19">
        <f t="shared" si="30"/>
        <v>27713029.579999998</v>
      </c>
      <c r="R289" s="20">
        <v>1356293</v>
      </c>
      <c r="S289" s="20">
        <v>6884660</v>
      </c>
      <c r="T289" s="20"/>
      <c r="U289" s="20"/>
      <c r="V289" s="20"/>
      <c r="W289" s="20">
        <v>490600</v>
      </c>
      <c r="X289" s="20">
        <v>11262110</v>
      </c>
      <c r="Y289" s="8">
        <f t="shared" si="31"/>
        <v>7719366.5799999982</v>
      </c>
      <c r="Z289" s="36"/>
      <c r="AA289" s="36"/>
      <c r="AB289" s="36"/>
      <c r="AC289" s="36"/>
      <c r="AD289" s="36"/>
      <c r="AE289" s="36"/>
      <c r="AF289" s="36">
        <v>3000</v>
      </c>
      <c r="AG289" s="36"/>
      <c r="AH289" s="36">
        <v>14500</v>
      </c>
      <c r="AI289" s="36"/>
      <c r="AJ289" s="36">
        <v>131500</v>
      </c>
      <c r="AK289" s="36"/>
      <c r="AL289" s="37">
        <f t="shared" si="32"/>
        <v>149000</v>
      </c>
      <c r="AM289" s="36"/>
      <c r="AN289" s="36"/>
      <c r="AO289" s="36"/>
      <c r="AP289" s="7"/>
      <c r="AQ289" s="38">
        <f t="shared" si="33"/>
        <v>7570366.5799999982</v>
      </c>
      <c r="AR289" s="36">
        <v>7570200</v>
      </c>
      <c r="AS289" s="18">
        <f t="shared" si="34"/>
        <v>-166.57999999821186</v>
      </c>
    </row>
    <row r="290" spans="1:45" x14ac:dyDescent="0.25">
      <c r="A290" s="40">
        <v>45578</v>
      </c>
      <c r="B290" s="20">
        <v>2176.9450000000002</v>
      </c>
      <c r="C290" s="20">
        <v>2702.5990000000002</v>
      </c>
      <c r="D290" s="20">
        <v>5260</v>
      </c>
      <c r="E290" s="20">
        <v>4970</v>
      </c>
      <c r="F290" s="7">
        <f t="shared" si="28"/>
        <v>11450730.700000001</v>
      </c>
      <c r="G290" s="7">
        <f t="shared" si="29"/>
        <v>13431917.030000001</v>
      </c>
      <c r="H290" s="20">
        <v>96.75</v>
      </c>
      <c r="I290" s="20">
        <v>2178000</v>
      </c>
      <c r="J290" s="20">
        <v>83</v>
      </c>
      <c r="K290" s="20">
        <v>1060000</v>
      </c>
      <c r="L290" s="20">
        <v>30000</v>
      </c>
      <c r="M290" s="20"/>
      <c r="N290" s="20"/>
      <c r="O290" s="20">
        <v>1963900</v>
      </c>
      <c r="P290" s="20"/>
      <c r="Q290" s="19">
        <f t="shared" si="30"/>
        <v>30114547.730000004</v>
      </c>
      <c r="R290" s="20">
        <v>1523607</v>
      </c>
      <c r="S290" s="20">
        <v>5617992</v>
      </c>
      <c r="T290" s="20"/>
      <c r="U290" s="20"/>
      <c r="V290" s="20"/>
      <c r="W290" s="20">
        <v>626085</v>
      </c>
      <c r="X290" s="20">
        <v>10601530</v>
      </c>
      <c r="Y290" s="8">
        <f t="shared" si="31"/>
        <v>11745333.730000004</v>
      </c>
      <c r="Z290" s="36"/>
      <c r="AA290" s="36"/>
      <c r="AB290" s="36"/>
      <c r="AC290" s="36">
        <v>47000</v>
      </c>
      <c r="AD290" s="36"/>
      <c r="AE290" s="36"/>
      <c r="AF290" s="36">
        <v>3000</v>
      </c>
      <c r="AG290" s="36"/>
      <c r="AH290" s="36">
        <v>19000</v>
      </c>
      <c r="AI290" s="36"/>
      <c r="AJ290" s="36"/>
      <c r="AK290" s="36"/>
      <c r="AL290" s="37">
        <f t="shared" si="32"/>
        <v>69000</v>
      </c>
      <c r="AM290" s="36"/>
      <c r="AN290" s="36"/>
      <c r="AO290" s="36"/>
      <c r="AP290" s="7"/>
      <c r="AQ290" s="38">
        <f t="shared" si="33"/>
        <v>11676333.730000004</v>
      </c>
      <c r="AR290" s="36">
        <v>0</v>
      </c>
      <c r="AS290" s="18">
        <f t="shared" si="34"/>
        <v>-11676333.730000004</v>
      </c>
    </row>
    <row r="291" spans="1:45" x14ac:dyDescent="0.25">
      <c r="A291" s="40">
        <v>45579</v>
      </c>
      <c r="B291" s="20">
        <v>1761.4480000000001</v>
      </c>
      <c r="C291" s="20">
        <v>1493.1189999999999</v>
      </c>
      <c r="D291" s="20">
        <v>5260</v>
      </c>
      <c r="E291" s="20">
        <v>4970</v>
      </c>
      <c r="F291" s="7">
        <f t="shared" si="28"/>
        <v>9265216.4800000004</v>
      </c>
      <c r="G291" s="7">
        <f t="shared" si="29"/>
        <v>7420801.4299999997</v>
      </c>
      <c r="H291" s="20">
        <v>30.75</v>
      </c>
      <c r="I291" s="20">
        <v>656500</v>
      </c>
      <c r="J291" s="20">
        <v>80.5</v>
      </c>
      <c r="K291" s="20">
        <v>712000</v>
      </c>
      <c r="L291" s="20">
        <v>8000</v>
      </c>
      <c r="M291" s="20"/>
      <c r="N291" s="20"/>
      <c r="O291" s="20"/>
      <c r="P291" s="20">
        <v>25000</v>
      </c>
      <c r="Q291" s="19">
        <f t="shared" si="30"/>
        <v>18087517.91</v>
      </c>
      <c r="R291" s="20">
        <v>918818</v>
      </c>
      <c r="S291" s="20">
        <v>4723377</v>
      </c>
      <c r="T291" s="20"/>
      <c r="U291" s="20"/>
      <c r="V291" s="20"/>
      <c r="W291" s="20">
        <v>458000</v>
      </c>
      <c r="X291" s="36">
        <v>5427500</v>
      </c>
      <c r="Y291" s="8">
        <f t="shared" si="31"/>
        <v>6559822.9100000001</v>
      </c>
      <c r="Z291" s="36"/>
      <c r="AA291" s="36"/>
      <c r="AB291" s="36"/>
      <c r="AC291" s="36"/>
      <c r="AD291" s="36"/>
      <c r="AE291" s="36"/>
      <c r="AF291" s="36">
        <v>7000</v>
      </c>
      <c r="AG291" s="36"/>
      <c r="AH291" s="36"/>
      <c r="AI291" s="36"/>
      <c r="AJ291" s="36"/>
      <c r="AK291" s="36"/>
      <c r="AL291" s="37">
        <f t="shared" si="32"/>
        <v>7000</v>
      </c>
      <c r="AM291" s="36"/>
      <c r="AN291" s="36"/>
      <c r="AO291" s="36"/>
      <c r="AP291" s="7"/>
      <c r="AQ291" s="38">
        <f t="shared" si="33"/>
        <v>6552822.9100000001</v>
      </c>
      <c r="AR291" s="36">
        <v>18229400</v>
      </c>
      <c r="AS291" s="18">
        <f t="shared" si="34"/>
        <v>11676577.09</v>
      </c>
    </row>
    <row r="292" spans="1:45" x14ac:dyDescent="0.25">
      <c r="A292" s="40">
        <v>45580</v>
      </c>
      <c r="B292" s="20">
        <v>2138.8539999999998</v>
      </c>
      <c r="C292" s="20">
        <v>5241.7510000000002</v>
      </c>
      <c r="D292" s="20">
        <v>5260</v>
      </c>
      <c r="E292" s="20">
        <v>4970</v>
      </c>
      <c r="F292" s="7">
        <f t="shared" si="28"/>
        <v>11250372.039999999</v>
      </c>
      <c r="G292" s="7">
        <f t="shared" si="29"/>
        <v>26051502.470000003</v>
      </c>
      <c r="H292" s="20">
        <v>37.25</v>
      </c>
      <c r="I292" s="20">
        <v>810000</v>
      </c>
      <c r="J292" s="20">
        <v>61</v>
      </c>
      <c r="K292" s="20">
        <v>775000</v>
      </c>
      <c r="L292" s="20">
        <v>63000</v>
      </c>
      <c r="M292" s="20"/>
      <c r="N292" s="20"/>
      <c r="O292" s="20">
        <v>2467525</v>
      </c>
      <c r="P292" s="20">
        <v>50000</v>
      </c>
      <c r="Q292" s="19">
        <f t="shared" si="30"/>
        <v>41467399.510000005</v>
      </c>
      <c r="R292" s="20">
        <v>1031556</v>
      </c>
      <c r="S292" s="20">
        <v>20129453</v>
      </c>
      <c r="T292" s="20"/>
      <c r="U292" s="20"/>
      <c r="V292" s="20"/>
      <c r="W292" s="20">
        <v>58500</v>
      </c>
      <c r="X292" s="20">
        <v>10565875</v>
      </c>
      <c r="Y292" s="8">
        <f t="shared" si="31"/>
        <v>9682015.5100000054</v>
      </c>
      <c r="Z292" s="36">
        <v>1862252</v>
      </c>
      <c r="AA292" s="36"/>
      <c r="AB292" s="36"/>
      <c r="AC292" s="36"/>
      <c r="AD292" s="36">
        <v>24850</v>
      </c>
      <c r="AE292" s="36"/>
      <c r="AF292" s="36">
        <v>6000</v>
      </c>
      <c r="AG292" s="36"/>
      <c r="AH292" s="36">
        <v>26300</v>
      </c>
      <c r="AI292" s="36"/>
      <c r="AJ292" s="36">
        <v>600000</v>
      </c>
      <c r="AK292" s="36"/>
      <c r="AL292" s="37">
        <f t="shared" si="32"/>
        <v>2519402</v>
      </c>
      <c r="AM292" s="36"/>
      <c r="AN292" s="36"/>
      <c r="AO292" s="36"/>
      <c r="AP292" s="7"/>
      <c r="AQ292" s="38">
        <f t="shared" si="33"/>
        <v>7162613.5100000054</v>
      </c>
      <c r="AR292" s="36">
        <v>7162600</v>
      </c>
      <c r="AS292" s="18">
        <f t="shared" si="34"/>
        <v>-13.510000005364418</v>
      </c>
    </row>
    <row r="293" spans="1:45" x14ac:dyDescent="0.25">
      <c r="A293" s="40">
        <v>45581</v>
      </c>
      <c r="B293" s="20">
        <v>2170.85</v>
      </c>
      <c r="C293" s="20">
        <v>2348.8200000000002</v>
      </c>
      <c r="D293" s="20">
        <v>5220</v>
      </c>
      <c r="E293" s="20">
        <v>4970</v>
      </c>
      <c r="F293" s="7">
        <f t="shared" si="28"/>
        <v>11331837</v>
      </c>
      <c r="G293" s="7">
        <f t="shared" si="29"/>
        <v>11673635.4</v>
      </c>
      <c r="H293" s="20">
        <v>70.25</v>
      </c>
      <c r="I293" s="20">
        <v>1418000</v>
      </c>
      <c r="J293" s="20">
        <v>99.5</v>
      </c>
      <c r="K293" s="20">
        <v>849000</v>
      </c>
      <c r="L293" s="20">
        <v>16000</v>
      </c>
      <c r="M293" s="20"/>
      <c r="N293" s="20"/>
      <c r="O293" s="20">
        <v>1182585</v>
      </c>
      <c r="P293" s="20">
        <v>0</v>
      </c>
      <c r="Q293" s="19">
        <f t="shared" si="30"/>
        <v>26471057.399999999</v>
      </c>
      <c r="R293" s="20">
        <v>1570211</v>
      </c>
      <c r="S293" s="20">
        <v>1953814</v>
      </c>
      <c r="T293" s="20"/>
      <c r="U293" s="20"/>
      <c r="V293" s="20"/>
      <c r="W293" s="20">
        <v>354861</v>
      </c>
      <c r="X293" s="20">
        <v>9825977</v>
      </c>
      <c r="Y293" s="8">
        <f t="shared" si="31"/>
        <v>12766194.399999999</v>
      </c>
      <c r="Z293" s="36"/>
      <c r="AA293" s="36"/>
      <c r="AB293" s="36"/>
      <c r="AC293" s="36"/>
      <c r="AD293" s="36"/>
      <c r="AE293" s="36">
        <v>45000</v>
      </c>
      <c r="AF293" s="36">
        <v>3000</v>
      </c>
      <c r="AG293" s="36"/>
      <c r="AH293" s="36"/>
      <c r="AI293" s="36"/>
      <c r="AJ293" s="36">
        <v>538000</v>
      </c>
      <c r="AK293" s="36"/>
      <c r="AL293" s="37">
        <f t="shared" si="32"/>
        <v>586000</v>
      </c>
      <c r="AM293" s="36"/>
      <c r="AN293" s="36"/>
      <c r="AO293" s="36"/>
      <c r="AP293" s="7"/>
      <c r="AQ293" s="38">
        <f t="shared" si="33"/>
        <v>12180194.399999999</v>
      </c>
      <c r="AR293" s="36">
        <v>12180200</v>
      </c>
      <c r="AS293" s="18">
        <f t="shared" si="34"/>
        <v>5.6000000014901161</v>
      </c>
    </row>
    <row r="294" spans="1:45" x14ac:dyDescent="0.25">
      <c r="A294" s="40">
        <v>45582</v>
      </c>
      <c r="B294" s="20">
        <v>2369.3719999999998</v>
      </c>
      <c r="C294" s="20">
        <v>2765.8989999999999</v>
      </c>
      <c r="D294" s="20">
        <v>5220</v>
      </c>
      <c r="E294" s="20">
        <v>4970</v>
      </c>
      <c r="F294" s="7">
        <f t="shared" si="28"/>
        <v>12368121.84</v>
      </c>
      <c r="G294" s="7">
        <f t="shared" si="29"/>
        <v>13746518.029999999</v>
      </c>
      <c r="H294" s="20">
        <v>151.5</v>
      </c>
      <c r="I294" s="20">
        <v>3503500</v>
      </c>
      <c r="J294" s="20">
        <v>72</v>
      </c>
      <c r="K294" s="20">
        <v>836000</v>
      </c>
      <c r="L294" s="20">
        <v>185000</v>
      </c>
      <c r="M294" s="20"/>
      <c r="N294" s="20"/>
      <c r="O294" s="20">
        <v>11136561</v>
      </c>
      <c r="P294" s="20">
        <v>0</v>
      </c>
      <c r="Q294" s="19">
        <f t="shared" si="30"/>
        <v>41775700.869999997</v>
      </c>
      <c r="R294" s="20">
        <v>1849722</v>
      </c>
      <c r="S294" s="20">
        <v>7701186</v>
      </c>
      <c r="T294" s="20"/>
      <c r="U294" s="20"/>
      <c r="V294" s="20"/>
      <c r="W294" s="20">
        <v>2936000</v>
      </c>
      <c r="X294" s="20">
        <v>12908522</v>
      </c>
      <c r="Y294" s="8">
        <f t="shared" si="31"/>
        <v>16380270.869999997</v>
      </c>
      <c r="Z294" s="36"/>
      <c r="AA294" s="36"/>
      <c r="AB294" s="36"/>
      <c r="AC294" s="36">
        <v>15000</v>
      </c>
      <c r="AD294" s="36"/>
      <c r="AE294" s="36"/>
      <c r="AF294" s="36">
        <v>6000</v>
      </c>
      <c r="AG294" s="36"/>
      <c r="AH294" s="36"/>
      <c r="AI294" s="36"/>
      <c r="AJ294" s="36"/>
      <c r="AK294" s="36"/>
      <c r="AL294" s="37">
        <f t="shared" si="32"/>
        <v>21000</v>
      </c>
      <c r="AM294" s="36"/>
      <c r="AN294" s="36"/>
      <c r="AO294" s="36"/>
      <c r="AP294" s="7"/>
      <c r="AQ294" s="38">
        <f t="shared" si="33"/>
        <v>16359270.869999997</v>
      </c>
      <c r="AR294" s="36">
        <v>16359300</v>
      </c>
      <c r="AS294" s="18">
        <f t="shared" si="34"/>
        <v>29.130000002682209</v>
      </c>
    </row>
    <row r="295" spans="1:45" x14ac:dyDescent="0.25">
      <c r="A295" s="40">
        <v>45583</v>
      </c>
      <c r="B295" s="20">
        <v>1835.297</v>
      </c>
      <c r="C295" s="20">
        <v>2023.106</v>
      </c>
      <c r="D295" s="20">
        <v>5220</v>
      </c>
      <c r="E295" s="20">
        <v>4970</v>
      </c>
      <c r="F295" s="7">
        <f t="shared" si="28"/>
        <v>9580250.3399999999</v>
      </c>
      <c r="G295" s="7">
        <f t="shared" si="29"/>
        <v>10054836.82</v>
      </c>
      <c r="H295" s="20">
        <v>25</v>
      </c>
      <c r="I295" s="20">
        <v>506500</v>
      </c>
      <c r="J295" s="20">
        <v>67.5</v>
      </c>
      <c r="K295" s="20">
        <v>600000</v>
      </c>
      <c r="L295" s="20">
        <v>8000</v>
      </c>
      <c r="M295" s="20"/>
      <c r="N295" s="20"/>
      <c r="O295" s="20">
        <v>2936000</v>
      </c>
      <c r="P295" s="20"/>
      <c r="Q295" s="19">
        <f t="shared" si="30"/>
        <v>23685587.16</v>
      </c>
      <c r="R295" s="20">
        <v>1470622</v>
      </c>
      <c r="S295" s="20">
        <v>3230703</v>
      </c>
      <c r="T295" s="20"/>
      <c r="U295" s="20"/>
      <c r="V295" s="20"/>
      <c r="W295" s="20">
        <v>350000</v>
      </c>
      <c r="X295" s="20">
        <v>7456195</v>
      </c>
      <c r="Y295" s="8">
        <f t="shared" si="31"/>
        <v>11178067.16</v>
      </c>
      <c r="Z295" s="36"/>
      <c r="AA295" s="36"/>
      <c r="AB295" s="36"/>
      <c r="AC295" s="36"/>
      <c r="AD295" s="36"/>
      <c r="AE295" s="36"/>
      <c r="AF295" s="36">
        <v>3000</v>
      </c>
      <c r="AG295" s="36"/>
      <c r="AH295" s="36"/>
      <c r="AI295" s="36">
        <v>20000</v>
      </c>
      <c r="AJ295" s="36">
        <v>50500</v>
      </c>
      <c r="AK295" s="36"/>
      <c r="AL295" s="37">
        <f t="shared" si="32"/>
        <v>73500</v>
      </c>
      <c r="AM295" s="36"/>
      <c r="AN295" s="36"/>
      <c r="AO295" s="36"/>
      <c r="AP295" s="7"/>
      <c r="AQ295" s="38">
        <f t="shared" si="33"/>
        <v>11104567.16</v>
      </c>
      <c r="AR295" s="36">
        <v>11107600</v>
      </c>
      <c r="AS295" s="18">
        <f t="shared" si="34"/>
        <v>3032.839999999851</v>
      </c>
    </row>
    <row r="296" spans="1:45" x14ac:dyDescent="0.25">
      <c r="A296" s="40">
        <v>45584</v>
      </c>
      <c r="B296" s="20">
        <v>2318.4270000000001</v>
      </c>
      <c r="C296" s="20">
        <v>2309.9</v>
      </c>
      <c r="D296" s="20">
        <v>5220</v>
      </c>
      <c r="E296" s="20">
        <v>4970</v>
      </c>
      <c r="F296" s="7">
        <f t="shared" si="28"/>
        <v>12102188.940000001</v>
      </c>
      <c r="G296" s="7">
        <f t="shared" si="29"/>
        <v>11480203</v>
      </c>
      <c r="H296" s="20">
        <v>68.5</v>
      </c>
      <c r="I296" s="20">
        <v>1516000</v>
      </c>
      <c r="J296" s="20">
        <v>39.5</v>
      </c>
      <c r="K296" s="20">
        <v>517000</v>
      </c>
      <c r="L296" s="20">
        <v>76000</v>
      </c>
      <c r="M296" s="20"/>
      <c r="N296" s="20"/>
      <c r="O296" s="20">
        <v>0</v>
      </c>
      <c r="P296" s="20"/>
      <c r="Q296" s="19">
        <f t="shared" si="30"/>
        <v>25691391.940000001</v>
      </c>
      <c r="R296" s="20">
        <v>782507</v>
      </c>
      <c r="S296" s="20">
        <v>7467883</v>
      </c>
      <c r="T296" s="20"/>
      <c r="U296" s="20"/>
      <c r="V296" s="20"/>
      <c r="W296" s="20">
        <v>1164962</v>
      </c>
      <c r="X296" s="20">
        <v>10751728</v>
      </c>
      <c r="Y296" s="8">
        <f t="shared" si="31"/>
        <v>5524311.9400000013</v>
      </c>
      <c r="Z296" s="36"/>
      <c r="AA296" s="36"/>
      <c r="AB296" s="36"/>
      <c r="AC296" s="36"/>
      <c r="AD296" s="36"/>
      <c r="AE296" s="36"/>
      <c r="AF296" s="36">
        <v>3000</v>
      </c>
      <c r="AG296" s="36"/>
      <c r="AH296" s="36"/>
      <c r="AI296" s="36"/>
      <c r="AJ296" s="36"/>
      <c r="AK296" s="36"/>
      <c r="AL296" s="37">
        <f t="shared" si="32"/>
        <v>3000</v>
      </c>
      <c r="AM296" s="36"/>
      <c r="AN296" s="36"/>
      <c r="AO296" s="36"/>
      <c r="AP296" s="7"/>
      <c r="AQ296" s="38">
        <f t="shared" si="33"/>
        <v>5521311.9400000013</v>
      </c>
      <c r="AR296" s="36">
        <v>5521300</v>
      </c>
      <c r="AS296" s="18">
        <f t="shared" si="34"/>
        <v>-11.940000001341105</v>
      </c>
    </row>
    <row r="297" spans="1:45" x14ac:dyDescent="0.25">
      <c r="A297" s="40">
        <v>45585</v>
      </c>
      <c r="B297" s="20">
        <v>2633.152</v>
      </c>
      <c r="C297" s="20">
        <v>2760.998</v>
      </c>
      <c r="D297" s="20">
        <v>5220</v>
      </c>
      <c r="E297" s="20">
        <v>4970</v>
      </c>
      <c r="F297" s="7">
        <f t="shared" si="28"/>
        <v>13745053.439999999</v>
      </c>
      <c r="G297" s="7">
        <f t="shared" si="29"/>
        <v>13722160.060000001</v>
      </c>
      <c r="H297" s="20">
        <v>37.5</v>
      </c>
      <c r="I297" s="20">
        <v>839500</v>
      </c>
      <c r="J297" s="20">
        <v>73.5</v>
      </c>
      <c r="K297" s="20">
        <v>725000</v>
      </c>
      <c r="L297" s="20">
        <v>0</v>
      </c>
      <c r="M297" s="20"/>
      <c r="N297" s="20"/>
      <c r="O297" s="20">
        <v>1610700</v>
      </c>
      <c r="P297" s="20"/>
      <c r="Q297" s="19">
        <f t="shared" si="30"/>
        <v>30642413.5</v>
      </c>
      <c r="R297" s="20">
        <v>1811473</v>
      </c>
      <c r="S297" s="20">
        <v>4675632</v>
      </c>
      <c r="T297" s="20"/>
      <c r="U297" s="20"/>
      <c r="V297" s="20"/>
      <c r="W297" s="20">
        <v>955604</v>
      </c>
      <c r="X297" s="20">
        <v>12279505</v>
      </c>
      <c r="Y297" s="8">
        <f t="shared" si="31"/>
        <v>10920199.5</v>
      </c>
      <c r="Z297" s="36"/>
      <c r="AA297" s="36"/>
      <c r="AB297" s="36"/>
      <c r="AC297" s="36"/>
      <c r="AD297" s="36">
        <v>99400</v>
      </c>
      <c r="AE297" s="36"/>
      <c r="AF297" s="36">
        <v>103000</v>
      </c>
      <c r="AG297" s="36"/>
      <c r="AH297" s="36"/>
      <c r="AI297" s="36"/>
      <c r="AJ297" s="36"/>
      <c r="AK297" s="36"/>
      <c r="AL297" s="37">
        <f t="shared" si="32"/>
        <v>202400</v>
      </c>
      <c r="AM297" s="36"/>
      <c r="AN297" s="36"/>
      <c r="AO297" s="36"/>
      <c r="AP297" s="7"/>
      <c r="AQ297" s="38">
        <f t="shared" si="33"/>
        <v>10717799.5</v>
      </c>
      <c r="AR297" s="36"/>
      <c r="AS297" s="18">
        <f t="shared" si="34"/>
        <v>-10717799.5</v>
      </c>
    </row>
    <row r="298" spans="1:45" x14ac:dyDescent="0.25">
      <c r="A298" s="40">
        <v>45586</v>
      </c>
      <c r="B298" s="20">
        <v>1832.578</v>
      </c>
      <c r="C298" s="20">
        <v>2073.4079999999999</v>
      </c>
      <c r="D298" s="20">
        <v>5220</v>
      </c>
      <c r="E298" s="20">
        <v>4970</v>
      </c>
      <c r="F298" s="7">
        <f t="shared" si="28"/>
        <v>9566057.1600000001</v>
      </c>
      <c r="G298" s="7">
        <f t="shared" si="29"/>
        <v>10304837.76</v>
      </c>
      <c r="H298" s="20">
        <v>34.75</v>
      </c>
      <c r="I298" s="20">
        <v>721500</v>
      </c>
      <c r="J298" s="20">
        <v>36</v>
      </c>
      <c r="K298" s="20">
        <v>393000</v>
      </c>
      <c r="L298" s="20">
        <v>53000</v>
      </c>
      <c r="M298" s="20">
        <v>700000</v>
      </c>
      <c r="N298" s="20"/>
      <c r="O298" s="20"/>
      <c r="P298" s="20"/>
      <c r="Q298" s="19">
        <f t="shared" si="30"/>
        <v>21738394.920000002</v>
      </c>
      <c r="R298" s="20">
        <v>1132680</v>
      </c>
      <c r="S298" s="20">
        <v>6887180</v>
      </c>
      <c r="T298" s="20"/>
      <c r="U298" s="20"/>
      <c r="V298" s="20"/>
      <c r="W298" s="20">
        <v>678736</v>
      </c>
      <c r="X298" s="20">
        <v>3428140</v>
      </c>
      <c r="Y298" s="8">
        <f t="shared" si="31"/>
        <v>9611658.9200000018</v>
      </c>
      <c r="Z298" s="36"/>
      <c r="AA298" s="36"/>
      <c r="AB298" s="36"/>
      <c r="AC298" s="36"/>
      <c r="AD298" s="36">
        <v>99400</v>
      </c>
      <c r="AE298" s="36"/>
      <c r="AF298" s="36"/>
      <c r="AG298" s="36"/>
      <c r="AH298" s="36">
        <v>22000</v>
      </c>
      <c r="AI298" s="36"/>
      <c r="AJ298" s="36"/>
      <c r="AK298" s="36"/>
      <c r="AL298" s="37">
        <f t="shared" si="32"/>
        <v>121400</v>
      </c>
      <c r="AM298" s="36"/>
      <c r="AN298" s="36"/>
      <c r="AO298" s="36"/>
      <c r="AP298" s="7"/>
      <c r="AQ298" s="38">
        <f t="shared" si="33"/>
        <v>9490258.9200000018</v>
      </c>
      <c r="AR298" s="36">
        <v>20206900</v>
      </c>
      <c r="AS298" s="18">
        <f t="shared" si="34"/>
        <v>10716641.079999998</v>
      </c>
    </row>
    <row r="299" spans="1:45" x14ac:dyDescent="0.25">
      <c r="A299" s="40">
        <v>45587</v>
      </c>
      <c r="B299" s="20">
        <v>2047.0029999999999</v>
      </c>
      <c r="C299" s="20">
        <v>3574.183</v>
      </c>
      <c r="D299" s="20">
        <v>5220</v>
      </c>
      <c r="E299" s="20">
        <v>4970</v>
      </c>
      <c r="F299" s="7">
        <f t="shared" si="28"/>
        <v>10685355.66</v>
      </c>
      <c r="G299" s="7">
        <f t="shared" si="29"/>
        <v>17763689.510000002</v>
      </c>
      <c r="H299" s="20">
        <v>49.5</v>
      </c>
      <c r="I299" s="20">
        <v>852500</v>
      </c>
      <c r="J299" s="20">
        <v>66.5</v>
      </c>
      <c r="K299" s="20">
        <v>585000</v>
      </c>
      <c r="L299" s="20">
        <v>54000</v>
      </c>
      <c r="M299" s="20"/>
      <c r="N299" s="20"/>
      <c r="O299" s="20">
        <v>820000</v>
      </c>
      <c r="P299" s="20"/>
      <c r="Q299" s="19">
        <f t="shared" si="30"/>
        <v>30760545.170000002</v>
      </c>
      <c r="R299" s="20">
        <v>1057037</v>
      </c>
      <c r="S299" s="20">
        <v>9622029</v>
      </c>
      <c r="T299" s="20"/>
      <c r="U299" s="20"/>
      <c r="V299" s="20"/>
      <c r="W299" s="20">
        <v>546200</v>
      </c>
      <c r="X299" s="20">
        <v>13512465</v>
      </c>
      <c r="Y299" s="8">
        <f t="shared" si="31"/>
        <v>6022814.1700000018</v>
      </c>
      <c r="Z299" s="36"/>
      <c r="AA299" s="36"/>
      <c r="AB299" s="36"/>
      <c r="AC299" s="36"/>
      <c r="AD299" s="36"/>
      <c r="AE299" s="36"/>
      <c r="AF299" s="36">
        <v>6000</v>
      </c>
      <c r="AG299" s="36"/>
      <c r="AH299" s="36"/>
      <c r="AI299" s="36"/>
      <c r="AJ299" s="36"/>
      <c r="AK299" s="36"/>
      <c r="AL299" s="37">
        <f t="shared" si="32"/>
        <v>6000</v>
      </c>
      <c r="AM299" s="36"/>
      <c r="AN299" s="36"/>
      <c r="AO299" s="36"/>
      <c r="AP299" s="7"/>
      <c r="AQ299" s="38">
        <f t="shared" si="33"/>
        <v>6016814.1700000018</v>
      </c>
      <c r="AR299" s="36">
        <v>6017600</v>
      </c>
      <c r="AS299" s="18">
        <f t="shared" si="34"/>
        <v>785.82999999821186</v>
      </c>
    </row>
    <row r="300" spans="1:45" x14ac:dyDescent="0.25">
      <c r="A300" s="40">
        <v>45588</v>
      </c>
      <c r="B300" s="20">
        <v>1811.1010000000001</v>
      </c>
      <c r="C300" s="20">
        <v>2803.4789999999998</v>
      </c>
      <c r="D300" s="20">
        <v>5220</v>
      </c>
      <c r="E300" s="20">
        <v>4970</v>
      </c>
      <c r="F300" s="7">
        <f t="shared" si="28"/>
        <v>9453947.2200000007</v>
      </c>
      <c r="G300" s="7">
        <f t="shared" si="29"/>
        <v>13933290.629999999</v>
      </c>
      <c r="H300" s="20">
        <v>43</v>
      </c>
      <c r="I300" s="20">
        <v>1031000</v>
      </c>
      <c r="J300" s="20">
        <v>30</v>
      </c>
      <c r="K300" s="20">
        <v>265000</v>
      </c>
      <c r="L300" s="20">
        <v>40000</v>
      </c>
      <c r="M300" s="20"/>
      <c r="N300" s="20"/>
      <c r="O300" s="20">
        <v>200000</v>
      </c>
      <c r="P300" s="20"/>
      <c r="Q300" s="19">
        <f t="shared" si="30"/>
        <v>24923237.850000001</v>
      </c>
      <c r="R300" s="20">
        <v>1120412</v>
      </c>
      <c r="S300" s="20">
        <v>7340568</v>
      </c>
      <c r="T300" s="20"/>
      <c r="U300" s="20"/>
      <c r="V300" s="20"/>
      <c r="W300" s="20">
        <v>12000</v>
      </c>
      <c r="X300" s="20">
        <v>11170144</v>
      </c>
      <c r="Y300" s="8">
        <f t="shared" si="31"/>
        <v>5280113.8500000015</v>
      </c>
      <c r="Z300" s="36"/>
      <c r="AA300" s="36"/>
      <c r="AB300" s="36"/>
      <c r="AC300" s="36">
        <v>10000</v>
      </c>
      <c r="AD300" s="36"/>
      <c r="AE300" s="36"/>
      <c r="AF300" s="36">
        <v>3000</v>
      </c>
      <c r="AG300" s="36"/>
      <c r="AH300" s="36"/>
      <c r="AI300" s="36"/>
      <c r="AJ300" s="36"/>
      <c r="AK300" s="36">
        <v>150000</v>
      </c>
      <c r="AL300" s="37">
        <f t="shared" si="32"/>
        <v>163000</v>
      </c>
      <c r="AM300" s="36"/>
      <c r="AN300" s="36"/>
      <c r="AO300" s="36"/>
      <c r="AP300" s="7"/>
      <c r="AQ300" s="38">
        <f t="shared" si="33"/>
        <v>5117113.8500000015</v>
      </c>
      <c r="AR300" s="36">
        <v>5117100</v>
      </c>
      <c r="AS300" s="18">
        <f t="shared" si="34"/>
        <v>-13.850000001490116</v>
      </c>
    </row>
    <row r="301" spans="1:45" x14ac:dyDescent="0.25">
      <c r="A301" s="40">
        <v>45589</v>
      </c>
      <c r="B301" s="20">
        <v>1907.5309999999999</v>
      </c>
      <c r="C301" s="20">
        <v>3999.373</v>
      </c>
      <c r="D301" s="20">
        <v>5220</v>
      </c>
      <c r="E301" s="20">
        <v>4970</v>
      </c>
      <c r="F301" s="7">
        <f t="shared" si="28"/>
        <v>9957311.8200000003</v>
      </c>
      <c r="G301" s="7">
        <f t="shared" si="29"/>
        <v>19876883.809999999</v>
      </c>
      <c r="H301" s="20">
        <v>16</v>
      </c>
      <c r="I301" s="20">
        <v>344000</v>
      </c>
      <c r="J301" s="20">
        <v>36.5</v>
      </c>
      <c r="K301" s="20">
        <v>564000</v>
      </c>
      <c r="L301" s="20">
        <v>8000</v>
      </c>
      <c r="M301" s="20"/>
      <c r="N301" s="20"/>
      <c r="O301" s="20">
        <v>5048302</v>
      </c>
      <c r="P301" s="20"/>
      <c r="Q301" s="19">
        <f t="shared" si="30"/>
        <v>35798497.629999995</v>
      </c>
      <c r="R301" s="20">
        <v>933513</v>
      </c>
      <c r="S301" s="20">
        <v>15636871</v>
      </c>
      <c r="T301" s="20"/>
      <c r="U301" s="20"/>
      <c r="V301" s="20"/>
      <c r="W301" s="20">
        <v>302265</v>
      </c>
      <c r="X301" s="20">
        <v>7710000</v>
      </c>
      <c r="Y301" s="8">
        <f t="shared" si="31"/>
        <v>11215848.629999995</v>
      </c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>
        <v>150000</v>
      </c>
      <c r="AK301" s="36"/>
      <c r="AL301" s="37">
        <f t="shared" si="32"/>
        <v>150000</v>
      </c>
      <c r="AM301" s="36"/>
      <c r="AN301" s="36"/>
      <c r="AO301" s="36"/>
      <c r="AP301" s="7"/>
      <c r="AQ301" s="38">
        <f t="shared" si="33"/>
        <v>11065848.629999995</v>
      </c>
      <c r="AR301" s="36">
        <v>11065800</v>
      </c>
      <c r="AS301" s="18">
        <f t="shared" si="34"/>
        <v>-48.629999995231628</v>
      </c>
    </row>
    <row r="302" spans="1:45" x14ac:dyDescent="0.25">
      <c r="A302" s="40">
        <v>45590</v>
      </c>
      <c r="B302" s="20">
        <v>2517.0100000000002</v>
      </c>
      <c r="C302" s="20">
        <v>6020.1570000000002</v>
      </c>
      <c r="D302" s="20">
        <v>5120</v>
      </c>
      <c r="E302" s="20">
        <v>4970</v>
      </c>
      <c r="F302" s="7">
        <f t="shared" si="28"/>
        <v>12887091.200000001</v>
      </c>
      <c r="G302" s="7">
        <f t="shared" si="29"/>
        <v>29920180.289999999</v>
      </c>
      <c r="H302" s="20">
        <v>70.25</v>
      </c>
      <c r="I302" s="20">
        <v>1778500</v>
      </c>
      <c r="J302" s="20">
        <v>36</v>
      </c>
      <c r="K302" s="20">
        <v>519000</v>
      </c>
      <c r="L302" s="20">
        <v>216000</v>
      </c>
      <c r="M302" s="20"/>
      <c r="N302" s="20"/>
      <c r="O302" s="20">
        <v>430000</v>
      </c>
      <c r="P302" s="20">
        <v>25000</v>
      </c>
      <c r="Q302" s="19">
        <f t="shared" si="30"/>
        <v>45775771.490000002</v>
      </c>
      <c r="R302" s="20">
        <v>1318095</v>
      </c>
      <c r="S302" s="20">
        <v>21828219</v>
      </c>
      <c r="T302" s="20"/>
      <c r="U302" s="20"/>
      <c r="V302" s="20"/>
      <c r="W302" s="20">
        <v>630149</v>
      </c>
      <c r="X302" s="20">
        <v>15117160</v>
      </c>
      <c r="Y302" s="8">
        <f t="shared" si="31"/>
        <v>6882148.4900000021</v>
      </c>
      <c r="Z302" s="36"/>
      <c r="AA302" s="36">
        <v>148700</v>
      </c>
      <c r="AB302" s="36"/>
      <c r="AC302" s="36"/>
      <c r="AD302" s="36"/>
      <c r="AE302" s="36"/>
      <c r="AF302" s="36">
        <v>4000</v>
      </c>
      <c r="AG302" s="36"/>
      <c r="AH302" s="36"/>
      <c r="AI302" s="36"/>
      <c r="AJ302" s="36"/>
      <c r="AK302" s="36"/>
      <c r="AL302" s="37">
        <f t="shared" si="32"/>
        <v>152700</v>
      </c>
      <c r="AM302" s="36">
        <v>732500</v>
      </c>
      <c r="AN302" s="36"/>
      <c r="AO302" s="36"/>
      <c r="AP302" s="7"/>
      <c r="AQ302" s="38">
        <f t="shared" si="33"/>
        <v>5996948.4900000021</v>
      </c>
      <c r="AR302" s="36">
        <v>5997000</v>
      </c>
      <c r="AS302" s="18">
        <f t="shared" si="34"/>
        <v>51.509999997913837</v>
      </c>
    </row>
    <row r="303" spans="1:45" x14ac:dyDescent="0.25">
      <c r="A303" s="40">
        <v>45591</v>
      </c>
      <c r="B303" s="20">
        <v>2850.92</v>
      </c>
      <c r="C303" s="20">
        <v>2665.6390000000001</v>
      </c>
      <c r="D303" s="20">
        <v>5120</v>
      </c>
      <c r="E303" s="20">
        <v>4970</v>
      </c>
      <c r="F303" s="7">
        <f t="shared" si="28"/>
        <v>14596710.4</v>
      </c>
      <c r="G303" s="7">
        <f t="shared" si="29"/>
        <v>13248225.83</v>
      </c>
      <c r="H303" s="20">
        <v>40.25</v>
      </c>
      <c r="I303" s="20">
        <v>839000</v>
      </c>
      <c r="J303" s="20">
        <v>39.5</v>
      </c>
      <c r="K303" s="20">
        <v>345000</v>
      </c>
      <c r="L303" s="20">
        <v>110000</v>
      </c>
      <c r="M303" s="20"/>
      <c r="N303" s="20"/>
      <c r="O303" s="20">
        <v>932414</v>
      </c>
      <c r="P303" s="20"/>
      <c r="Q303" s="19">
        <f t="shared" si="30"/>
        <v>30071350.23</v>
      </c>
      <c r="R303" s="20">
        <v>1241314</v>
      </c>
      <c r="S303" s="20">
        <v>9531504</v>
      </c>
      <c r="T303" s="20"/>
      <c r="U303" s="20"/>
      <c r="V303" s="20"/>
      <c r="W303" s="20">
        <v>0</v>
      </c>
      <c r="X303" s="20">
        <v>5157662</v>
      </c>
      <c r="Y303" s="8">
        <f t="shared" si="31"/>
        <v>14140870.23</v>
      </c>
      <c r="Z303" s="36"/>
      <c r="AA303" s="36"/>
      <c r="AB303" s="36"/>
      <c r="AC303" s="36">
        <v>34000</v>
      </c>
      <c r="AD303" s="36">
        <v>99400</v>
      </c>
      <c r="AE303" s="36"/>
      <c r="AF303" s="36"/>
      <c r="AG303" s="36"/>
      <c r="AH303" s="36"/>
      <c r="AI303" s="36"/>
      <c r="AJ303" s="36"/>
      <c r="AK303" s="36"/>
      <c r="AL303" s="37">
        <f t="shared" si="32"/>
        <v>133400</v>
      </c>
      <c r="AM303" s="36"/>
      <c r="AN303" s="36"/>
      <c r="AO303" s="36"/>
      <c r="AP303" s="7"/>
      <c r="AQ303" s="38">
        <f t="shared" si="33"/>
        <v>14007470.23</v>
      </c>
      <c r="AR303" s="36">
        <v>14007400</v>
      </c>
      <c r="AS303" s="18">
        <f t="shared" si="34"/>
        <v>-70.230000000447035</v>
      </c>
    </row>
    <row r="304" spans="1:45" x14ac:dyDescent="0.25">
      <c r="A304" s="40">
        <v>45592</v>
      </c>
      <c r="B304" s="20">
        <v>2439.06</v>
      </c>
      <c r="C304" s="20">
        <v>1988.54</v>
      </c>
      <c r="D304" s="20">
        <v>5120</v>
      </c>
      <c r="E304" s="20">
        <v>4970</v>
      </c>
      <c r="F304" s="7">
        <f t="shared" si="28"/>
        <v>12487987.199999999</v>
      </c>
      <c r="G304" s="7">
        <f t="shared" si="29"/>
        <v>9883043.8000000007</v>
      </c>
      <c r="H304" s="20">
        <v>15.25</v>
      </c>
      <c r="I304" s="20">
        <v>315000</v>
      </c>
      <c r="J304" s="20">
        <v>67.5</v>
      </c>
      <c r="K304" s="20">
        <v>580000</v>
      </c>
      <c r="L304" s="20">
        <v>8000</v>
      </c>
      <c r="M304" s="20"/>
      <c r="N304" s="20"/>
      <c r="O304" s="20">
        <v>0</v>
      </c>
      <c r="P304" s="20"/>
      <c r="Q304" s="19">
        <f t="shared" si="30"/>
        <v>23274031</v>
      </c>
      <c r="R304" s="20">
        <v>1486916</v>
      </c>
      <c r="S304" s="20">
        <v>7430167</v>
      </c>
      <c r="T304" s="20"/>
      <c r="U304" s="20"/>
      <c r="V304" s="20"/>
      <c r="W304" s="20">
        <v>0</v>
      </c>
      <c r="X304" s="20">
        <v>10897383</v>
      </c>
      <c r="Y304" s="8">
        <f t="shared" si="31"/>
        <v>3459565</v>
      </c>
      <c r="Z304" s="36"/>
      <c r="AA304" s="36"/>
      <c r="AB304" s="36"/>
      <c r="AC304" s="36"/>
      <c r="AD304" s="36">
        <v>99400</v>
      </c>
      <c r="AE304" s="36"/>
      <c r="AF304" s="36">
        <v>3000</v>
      </c>
      <c r="AG304" s="36"/>
      <c r="AH304" s="36"/>
      <c r="AI304" s="36"/>
      <c r="AJ304" s="36"/>
      <c r="AK304" s="36"/>
      <c r="AL304" s="37">
        <f t="shared" si="32"/>
        <v>102400</v>
      </c>
      <c r="AM304" s="36"/>
      <c r="AN304" s="36"/>
      <c r="AO304" s="36"/>
      <c r="AP304" s="7"/>
      <c r="AQ304" s="38">
        <f t="shared" si="33"/>
        <v>3357165</v>
      </c>
      <c r="AR304" s="36">
        <v>0</v>
      </c>
      <c r="AS304" s="18">
        <f t="shared" si="34"/>
        <v>-3357165</v>
      </c>
    </row>
    <row r="305" spans="1:45" x14ac:dyDescent="0.25">
      <c r="A305" s="40">
        <v>45593</v>
      </c>
      <c r="B305" s="20">
        <v>0</v>
      </c>
      <c r="C305" s="20">
        <v>3129.873</v>
      </c>
      <c r="D305" s="20">
        <v>5120</v>
      </c>
      <c r="E305" s="20">
        <v>4970</v>
      </c>
      <c r="F305" s="7">
        <f t="shared" si="28"/>
        <v>0</v>
      </c>
      <c r="G305" s="7">
        <f t="shared" si="29"/>
        <v>15555468.810000001</v>
      </c>
      <c r="H305" s="20">
        <v>51</v>
      </c>
      <c r="I305" s="20">
        <v>604000</v>
      </c>
      <c r="J305" s="20">
        <v>42</v>
      </c>
      <c r="K305" s="20">
        <v>488000</v>
      </c>
      <c r="L305" s="20">
        <v>73000</v>
      </c>
      <c r="M305" s="20"/>
      <c r="N305" s="20">
        <v>1200000</v>
      </c>
      <c r="O305" s="20">
        <v>3826000</v>
      </c>
      <c r="P305" s="20"/>
      <c r="Q305" s="19">
        <f t="shared" si="30"/>
        <v>21746468.810000002</v>
      </c>
      <c r="R305" s="20">
        <v>0</v>
      </c>
      <c r="S305" s="20">
        <v>12173934</v>
      </c>
      <c r="T305" s="20"/>
      <c r="U305" s="20"/>
      <c r="V305" s="20"/>
      <c r="W305" s="20"/>
      <c r="X305" s="20">
        <v>2832900</v>
      </c>
      <c r="Y305" s="8">
        <f t="shared" si="31"/>
        <v>6739634.8100000024</v>
      </c>
      <c r="Z305" s="36"/>
      <c r="AA305" s="36"/>
      <c r="AB305" s="36"/>
      <c r="AC305" s="36"/>
      <c r="AD305" s="36">
        <v>0</v>
      </c>
      <c r="AE305" s="36"/>
      <c r="AF305" s="36">
        <v>0</v>
      </c>
      <c r="AG305" s="36"/>
      <c r="AH305" s="36"/>
      <c r="AI305" s="36"/>
      <c r="AJ305" s="36"/>
      <c r="AK305" s="36"/>
      <c r="AL305" s="37">
        <f t="shared" si="32"/>
        <v>0</v>
      </c>
      <c r="AM305" s="36"/>
      <c r="AN305" s="36"/>
      <c r="AO305" s="36"/>
      <c r="AP305" s="7"/>
      <c r="AQ305" s="38">
        <f t="shared" si="33"/>
        <v>6739634.8100000024</v>
      </c>
      <c r="AR305" s="36">
        <v>10096700</v>
      </c>
      <c r="AS305" s="18">
        <f t="shared" si="34"/>
        <v>3357065.1899999976</v>
      </c>
    </row>
    <row r="306" spans="1:45" x14ac:dyDescent="0.25">
      <c r="A306" s="40">
        <v>45594</v>
      </c>
      <c r="B306" s="20">
        <v>1559.854</v>
      </c>
      <c r="C306" s="20">
        <v>2276.6</v>
      </c>
      <c r="D306" s="20">
        <v>5120</v>
      </c>
      <c r="E306" s="20">
        <v>4970</v>
      </c>
      <c r="F306" s="7">
        <f t="shared" si="28"/>
        <v>7986452.4800000004</v>
      </c>
      <c r="G306" s="7">
        <f t="shared" si="29"/>
        <v>11314702</v>
      </c>
      <c r="H306" s="20">
        <v>83</v>
      </c>
      <c r="I306" s="20">
        <v>1728000</v>
      </c>
      <c r="J306" s="20">
        <v>58</v>
      </c>
      <c r="K306" s="20">
        <v>583000</v>
      </c>
      <c r="L306" s="20">
        <v>164000</v>
      </c>
      <c r="M306" s="20"/>
      <c r="N306" s="20"/>
      <c r="O306" s="20">
        <v>113800</v>
      </c>
      <c r="P306" s="20"/>
      <c r="Q306" s="19">
        <f t="shared" si="30"/>
        <v>21889954.48</v>
      </c>
      <c r="R306" s="20">
        <v>1180249</v>
      </c>
      <c r="S306" s="20">
        <v>6774895</v>
      </c>
      <c r="T306" s="20"/>
      <c r="U306" s="20"/>
      <c r="V306" s="20"/>
      <c r="W306" s="20"/>
      <c r="X306" s="20">
        <v>9236300</v>
      </c>
      <c r="Y306" s="8">
        <f t="shared" si="31"/>
        <v>4698510.4800000004</v>
      </c>
      <c r="Z306" s="36"/>
      <c r="AA306" s="36"/>
      <c r="AB306" s="36"/>
      <c r="AC306" s="36"/>
      <c r="AD306" s="36">
        <v>198800</v>
      </c>
      <c r="AE306" s="36"/>
      <c r="AF306" s="36">
        <v>3000</v>
      </c>
      <c r="AG306" s="36"/>
      <c r="AH306" s="36">
        <v>19000</v>
      </c>
      <c r="AI306" s="36"/>
      <c r="AJ306" s="36"/>
      <c r="AK306" s="36"/>
      <c r="AL306" s="37">
        <f t="shared" si="32"/>
        <v>220800</v>
      </c>
      <c r="AM306" s="36"/>
      <c r="AN306" s="36"/>
      <c r="AO306" s="36"/>
      <c r="AP306" s="7"/>
      <c r="AQ306" s="38">
        <f t="shared" si="33"/>
        <v>4477710.4800000004</v>
      </c>
      <c r="AR306" s="36">
        <v>4477700</v>
      </c>
      <c r="AS306" s="18">
        <f t="shared" si="34"/>
        <v>-10.480000000447035</v>
      </c>
    </row>
    <row r="307" spans="1:45" x14ac:dyDescent="0.25">
      <c r="A307" s="40">
        <v>45595</v>
      </c>
      <c r="B307" s="20">
        <v>1699.22</v>
      </c>
      <c r="C307" s="20">
        <v>3692.38</v>
      </c>
      <c r="D307" s="20">
        <v>5120</v>
      </c>
      <c r="E307" s="20">
        <v>4970</v>
      </c>
      <c r="F307" s="7">
        <f t="shared" si="28"/>
        <v>8700006.4000000004</v>
      </c>
      <c r="G307" s="7">
        <f t="shared" si="29"/>
        <v>18351128.600000001</v>
      </c>
      <c r="H307" s="20">
        <v>24.5</v>
      </c>
      <c r="I307" s="20">
        <v>511000</v>
      </c>
      <c r="J307" s="20">
        <v>79</v>
      </c>
      <c r="K307" s="20">
        <v>813000</v>
      </c>
      <c r="L307" s="20">
        <v>35000</v>
      </c>
      <c r="M307" s="20"/>
      <c r="N307" s="20">
        <v>1200000</v>
      </c>
      <c r="O307" s="20">
        <v>100000</v>
      </c>
      <c r="P307" s="20"/>
      <c r="Q307" s="19">
        <f t="shared" si="30"/>
        <v>29710135</v>
      </c>
      <c r="R307" s="20">
        <v>727144</v>
      </c>
      <c r="S307" s="20">
        <v>13748352</v>
      </c>
      <c r="T307" s="20"/>
      <c r="U307" s="20"/>
      <c r="V307" s="20"/>
      <c r="W307" s="20"/>
      <c r="X307" s="20">
        <v>10309508</v>
      </c>
      <c r="Y307" s="8">
        <f t="shared" si="31"/>
        <v>4925131</v>
      </c>
      <c r="Z307" s="36"/>
      <c r="AA307" s="36"/>
      <c r="AB307" s="36"/>
      <c r="AC307" s="36"/>
      <c r="AD307" s="36"/>
      <c r="AE307" s="36"/>
      <c r="AF307" s="36">
        <v>33000</v>
      </c>
      <c r="AG307" s="36">
        <v>500000</v>
      </c>
      <c r="AH307" s="36"/>
      <c r="AI307" s="36"/>
      <c r="AJ307" s="36"/>
      <c r="AK307" s="36"/>
      <c r="AL307" s="37">
        <f t="shared" si="32"/>
        <v>533000</v>
      </c>
      <c r="AM307" s="36"/>
      <c r="AN307" s="36"/>
      <c r="AO307" s="36"/>
      <c r="AP307" s="7"/>
      <c r="AQ307" s="38">
        <f t="shared" si="33"/>
        <v>4392131</v>
      </c>
      <c r="AR307" s="36">
        <v>4392100</v>
      </c>
      <c r="AS307" s="18">
        <f t="shared" si="34"/>
        <v>-31</v>
      </c>
    </row>
    <row r="308" spans="1:45" x14ac:dyDescent="0.25">
      <c r="A308" s="40">
        <v>45596</v>
      </c>
      <c r="B308" s="20">
        <v>1945.1780000000001</v>
      </c>
      <c r="C308" s="20">
        <v>6653.2389999999996</v>
      </c>
      <c r="D308" s="20">
        <v>5120</v>
      </c>
      <c r="E308" s="20">
        <v>4970</v>
      </c>
      <c r="F308" s="7">
        <f t="shared" si="28"/>
        <v>9959311.3600000013</v>
      </c>
      <c r="G308" s="7">
        <f t="shared" si="29"/>
        <v>33066597.829999998</v>
      </c>
      <c r="H308" s="20">
        <v>56</v>
      </c>
      <c r="I308" s="20">
        <v>1254500</v>
      </c>
      <c r="J308" s="20">
        <v>89</v>
      </c>
      <c r="K308" s="20">
        <v>829000</v>
      </c>
      <c r="L308" s="20">
        <v>85000</v>
      </c>
      <c r="M308" s="20"/>
      <c r="N308" s="20"/>
      <c r="O308" s="20">
        <v>443525</v>
      </c>
      <c r="P308" s="20">
        <v>50000</v>
      </c>
      <c r="Q308" s="19">
        <f t="shared" si="30"/>
        <v>45687934.189999998</v>
      </c>
      <c r="R308" s="20">
        <v>988806</v>
      </c>
      <c r="S308" s="20">
        <v>27265347</v>
      </c>
      <c r="T308" s="20"/>
      <c r="U308" s="20"/>
      <c r="V308" s="20"/>
      <c r="W308" s="20"/>
      <c r="X308" s="20">
        <v>10776796</v>
      </c>
      <c r="Y308" s="8">
        <f t="shared" si="31"/>
        <v>6656985.1899999976</v>
      </c>
      <c r="Z308" s="36"/>
      <c r="AA308" s="36"/>
      <c r="AB308" s="36"/>
      <c r="AC308" s="36">
        <v>22500</v>
      </c>
      <c r="AD308" s="36"/>
      <c r="AE308" s="36"/>
      <c r="AF308" s="36">
        <v>3000</v>
      </c>
      <c r="AG308" s="36"/>
      <c r="AH308" s="36"/>
      <c r="AI308" s="36">
        <v>10000</v>
      </c>
      <c r="AJ308" s="36"/>
      <c r="AK308" s="36"/>
      <c r="AL308" s="37">
        <f t="shared" si="32"/>
        <v>35500</v>
      </c>
      <c r="AM308" s="36"/>
      <c r="AN308" s="36"/>
      <c r="AO308" s="36"/>
      <c r="AP308" s="7"/>
      <c r="AQ308" s="38">
        <f t="shared" si="33"/>
        <v>6621485.1899999976</v>
      </c>
      <c r="AR308" s="36">
        <v>6621500</v>
      </c>
      <c r="AS308" s="18">
        <f t="shared" si="34"/>
        <v>14.810000002384186</v>
      </c>
    </row>
    <row r="309" spans="1:45" x14ac:dyDescent="0.25">
      <c r="A309" s="40">
        <v>45597</v>
      </c>
      <c r="B309" s="20">
        <v>1848.068</v>
      </c>
      <c r="C309" s="20">
        <v>2742.5909999999999</v>
      </c>
      <c r="D309" s="20">
        <v>5120</v>
      </c>
      <c r="E309" s="20">
        <v>4870</v>
      </c>
      <c r="F309" s="7">
        <f t="shared" si="28"/>
        <v>9462108.1600000001</v>
      </c>
      <c r="G309" s="7">
        <f t="shared" si="29"/>
        <v>13356418.17</v>
      </c>
      <c r="H309" s="20">
        <v>33.25</v>
      </c>
      <c r="I309" s="20">
        <v>764000</v>
      </c>
      <c r="J309" s="20">
        <v>123</v>
      </c>
      <c r="K309" s="20">
        <v>1549000</v>
      </c>
      <c r="L309" s="20">
        <v>45000</v>
      </c>
      <c r="M309" s="20"/>
      <c r="N309" s="20"/>
      <c r="O309" s="20"/>
      <c r="P309" s="20">
        <v>50000</v>
      </c>
      <c r="Q309" s="19">
        <f t="shared" si="30"/>
        <v>25226526.329999998</v>
      </c>
      <c r="R309" s="20">
        <v>1016409</v>
      </c>
      <c r="S309" s="20">
        <v>10839429</v>
      </c>
      <c r="T309" s="20"/>
      <c r="U309" s="20"/>
      <c r="V309" s="20"/>
      <c r="W309" s="20">
        <v>91500</v>
      </c>
      <c r="X309" s="20">
        <v>5880477</v>
      </c>
      <c r="Y309" s="8">
        <f t="shared" si="31"/>
        <v>7398711.3299999982</v>
      </c>
      <c r="Z309" s="36"/>
      <c r="AA309" s="36"/>
      <c r="AB309" s="36"/>
      <c r="AC309" s="36"/>
      <c r="AD309" s="36"/>
      <c r="AE309" s="36">
        <v>1080000</v>
      </c>
      <c r="AF309" s="36">
        <v>6000</v>
      </c>
      <c r="AG309" s="36">
        <v>1970000</v>
      </c>
      <c r="AH309" s="36"/>
      <c r="AI309" s="36"/>
      <c r="AJ309" s="36">
        <v>625400</v>
      </c>
      <c r="AK309" s="36"/>
      <c r="AL309" s="37">
        <f t="shared" si="32"/>
        <v>3681400</v>
      </c>
      <c r="AM309" s="36"/>
      <c r="AN309" s="36"/>
      <c r="AO309" s="36"/>
      <c r="AP309" s="7"/>
      <c r="AQ309" s="38">
        <f t="shared" si="33"/>
        <v>3717311.3299999982</v>
      </c>
      <c r="AR309" s="36">
        <v>3717900</v>
      </c>
      <c r="AS309" s="18">
        <f t="shared" si="34"/>
        <v>588.67000000178814</v>
      </c>
    </row>
    <row r="310" spans="1:45" x14ac:dyDescent="0.25">
      <c r="A310" s="40">
        <v>45598</v>
      </c>
      <c r="B310" s="20">
        <v>2390.114</v>
      </c>
      <c r="C310" s="20">
        <v>3730.7539999999999</v>
      </c>
      <c r="D310" s="20">
        <v>5120</v>
      </c>
      <c r="E310" s="20">
        <v>4870</v>
      </c>
      <c r="F310" s="7">
        <f t="shared" si="28"/>
        <v>12237383.68</v>
      </c>
      <c r="G310" s="7">
        <f t="shared" si="29"/>
        <v>18168771.98</v>
      </c>
      <c r="H310" s="20">
        <v>36.5</v>
      </c>
      <c r="I310" s="20">
        <v>750000</v>
      </c>
      <c r="J310" s="20">
        <v>74.5</v>
      </c>
      <c r="K310" s="20">
        <v>677500</v>
      </c>
      <c r="L310" s="20">
        <v>24000</v>
      </c>
      <c r="M310" s="20"/>
      <c r="N310" s="20"/>
      <c r="O310" s="20">
        <v>131500</v>
      </c>
      <c r="P310" s="20"/>
      <c r="Q310" s="19">
        <f t="shared" si="30"/>
        <v>31989155.66</v>
      </c>
      <c r="R310" s="20">
        <v>1443934</v>
      </c>
      <c r="S310" s="20">
        <v>11657176</v>
      </c>
      <c r="T310" s="20"/>
      <c r="U310" s="20"/>
      <c r="V310" s="20"/>
      <c r="W310" s="20"/>
      <c r="X310" s="20">
        <v>9565071</v>
      </c>
      <c r="Y310" s="8">
        <f t="shared" si="31"/>
        <v>9322974.6600000001</v>
      </c>
      <c r="Z310" s="36"/>
      <c r="AA310" s="36"/>
      <c r="AB310" s="36"/>
      <c r="AC310" s="36"/>
      <c r="AD310" s="36">
        <v>97400</v>
      </c>
      <c r="AE310" s="36"/>
      <c r="AF310" s="36"/>
      <c r="AG310" s="36"/>
      <c r="AH310" s="36">
        <v>70000</v>
      </c>
      <c r="AI310" s="36"/>
      <c r="AJ310" s="36">
        <v>200000</v>
      </c>
      <c r="AK310" s="36"/>
      <c r="AL310" s="37">
        <f t="shared" si="32"/>
        <v>367400</v>
      </c>
      <c r="AM310" s="36"/>
      <c r="AN310" s="36"/>
      <c r="AO310" s="36"/>
      <c r="AP310" s="7"/>
      <c r="AQ310" s="38">
        <f t="shared" si="33"/>
        <v>8955574.6600000001</v>
      </c>
      <c r="AR310" s="36">
        <v>8955600</v>
      </c>
      <c r="AS310" s="18">
        <f t="shared" si="34"/>
        <v>25.339999999850988</v>
      </c>
    </row>
    <row r="311" spans="1:45" x14ac:dyDescent="0.25">
      <c r="A311" s="40">
        <v>45599</v>
      </c>
      <c r="B311" s="20">
        <v>2049.23</v>
      </c>
      <c r="C311" s="20">
        <v>4327.47</v>
      </c>
      <c r="D311" s="20">
        <v>5220</v>
      </c>
      <c r="E311" s="20">
        <v>4870</v>
      </c>
      <c r="F311" s="7">
        <f t="shared" si="28"/>
        <v>10696980.6</v>
      </c>
      <c r="G311" s="7">
        <f t="shared" si="29"/>
        <v>21074778.900000002</v>
      </c>
      <c r="H311" s="20">
        <v>65</v>
      </c>
      <c r="I311" s="20">
        <v>1514000</v>
      </c>
      <c r="J311" s="20">
        <v>30</v>
      </c>
      <c r="K311" s="20">
        <v>265000</v>
      </c>
      <c r="L311" s="20">
        <v>473000</v>
      </c>
      <c r="M311" s="20">
        <v>400000</v>
      </c>
      <c r="N311" s="20"/>
      <c r="O311" s="20"/>
      <c r="P311" s="20"/>
      <c r="Q311" s="19">
        <f t="shared" si="30"/>
        <v>34423759.5</v>
      </c>
      <c r="R311" s="20">
        <v>1717155</v>
      </c>
      <c r="S311" s="20">
        <v>17381544</v>
      </c>
      <c r="T311" s="20"/>
      <c r="U311" s="20"/>
      <c r="V311" s="20"/>
      <c r="W311" s="20">
        <v>260000</v>
      </c>
      <c r="X311" s="20">
        <v>9954143</v>
      </c>
      <c r="Y311" s="8">
        <f t="shared" si="31"/>
        <v>5110917.5</v>
      </c>
      <c r="Z311" s="36"/>
      <c r="AA311" s="36"/>
      <c r="AB311" s="36"/>
      <c r="AC311" s="36">
        <v>28000</v>
      </c>
      <c r="AD311" s="36"/>
      <c r="AE311" s="36"/>
      <c r="AF311" s="36">
        <v>3000</v>
      </c>
      <c r="AG311" s="36"/>
      <c r="AH311" s="36">
        <v>20500</v>
      </c>
      <c r="AI311" s="36"/>
      <c r="AJ311" s="36"/>
      <c r="AK311" s="36"/>
      <c r="AL311" s="37">
        <f t="shared" si="32"/>
        <v>51500</v>
      </c>
      <c r="AM311" s="36"/>
      <c r="AN311" s="36"/>
      <c r="AO311" s="36"/>
      <c r="AP311" s="7"/>
      <c r="AQ311" s="38">
        <f t="shared" si="33"/>
        <v>5059417.5</v>
      </c>
      <c r="AR311" s="36">
        <v>0</v>
      </c>
      <c r="AS311" s="18">
        <f t="shared" si="34"/>
        <v>-5059417.5</v>
      </c>
    </row>
    <row r="312" spans="1:45" x14ac:dyDescent="0.25">
      <c r="A312" s="40">
        <v>45600</v>
      </c>
      <c r="B312" s="20">
        <v>1506.4749999999999</v>
      </c>
      <c r="C312" s="20">
        <v>1916.9639999999999</v>
      </c>
      <c r="D312" s="20">
        <v>5220</v>
      </c>
      <c r="E312" s="20">
        <v>4870</v>
      </c>
      <c r="F312" s="7">
        <f t="shared" si="28"/>
        <v>7863799.4999999991</v>
      </c>
      <c r="G312" s="7">
        <f t="shared" si="29"/>
        <v>9335614.6799999997</v>
      </c>
      <c r="H312" s="20">
        <v>44.5</v>
      </c>
      <c r="I312" s="20">
        <v>1040500</v>
      </c>
      <c r="J312" s="20">
        <v>67.5</v>
      </c>
      <c r="K312" s="20">
        <v>580000</v>
      </c>
      <c r="L312" s="20">
        <v>43000</v>
      </c>
      <c r="M312" s="20"/>
      <c r="N312" s="20"/>
      <c r="O312" s="20">
        <v>200000</v>
      </c>
      <c r="P312" s="20"/>
      <c r="Q312" s="19">
        <f t="shared" si="30"/>
        <v>19062914.18</v>
      </c>
      <c r="R312" s="20">
        <v>393200</v>
      </c>
      <c r="S312" s="20">
        <v>4790129</v>
      </c>
      <c r="T312" s="20"/>
      <c r="U312" s="20"/>
      <c r="V312" s="20"/>
      <c r="W312" s="20">
        <v>400000</v>
      </c>
      <c r="X312" s="20">
        <v>9495300</v>
      </c>
      <c r="Y312" s="8">
        <f t="shared" si="31"/>
        <v>3984285.1799999997</v>
      </c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7">
        <f t="shared" si="32"/>
        <v>0</v>
      </c>
      <c r="AM312" s="36"/>
      <c r="AN312" s="36"/>
      <c r="AO312" s="36"/>
      <c r="AP312" s="7"/>
      <c r="AQ312" s="38">
        <f t="shared" si="33"/>
        <v>3984285.1799999997</v>
      </c>
      <c r="AR312" s="36">
        <v>9043700</v>
      </c>
      <c r="AS312" s="18">
        <f t="shared" si="34"/>
        <v>5059414.82</v>
      </c>
    </row>
    <row r="313" spans="1:45" x14ac:dyDescent="0.25">
      <c r="A313" s="40">
        <v>45601</v>
      </c>
      <c r="B313" s="20">
        <v>2118.2199999999998</v>
      </c>
      <c r="C313" s="20">
        <v>5672.91</v>
      </c>
      <c r="D313" s="20">
        <v>5220</v>
      </c>
      <c r="E313" s="20">
        <v>4870</v>
      </c>
      <c r="F313" s="7">
        <f t="shared" si="28"/>
        <v>11057108.399999999</v>
      </c>
      <c r="G313" s="7">
        <f t="shared" si="29"/>
        <v>27627071.699999999</v>
      </c>
      <c r="H313" s="20">
        <v>40.75</v>
      </c>
      <c r="I313" s="20">
        <v>920500</v>
      </c>
      <c r="J313" s="20">
        <v>75.5</v>
      </c>
      <c r="K313" s="20">
        <v>789000</v>
      </c>
      <c r="L313" s="20">
        <v>38000</v>
      </c>
      <c r="M313" s="20"/>
      <c r="N313" s="20"/>
      <c r="O313" s="20">
        <v>361000</v>
      </c>
      <c r="P313" s="20"/>
      <c r="Q313" s="19">
        <f t="shared" si="30"/>
        <v>40792680.099999994</v>
      </c>
      <c r="R313" s="20">
        <v>1009996</v>
      </c>
      <c r="S313" s="20">
        <v>23548421</v>
      </c>
      <c r="T313" s="20"/>
      <c r="U313" s="20"/>
      <c r="V313" s="20"/>
      <c r="W313" s="20"/>
      <c r="X313" s="20">
        <v>9482386</v>
      </c>
      <c r="Y313" s="8">
        <f t="shared" si="31"/>
        <v>6751877.099999994</v>
      </c>
      <c r="Z313" s="36"/>
      <c r="AA313" s="36"/>
      <c r="AB313" s="36"/>
      <c r="AC313" s="36"/>
      <c r="AD313" s="36">
        <v>97400</v>
      </c>
      <c r="AE313" s="36"/>
      <c r="AF313" s="36">
        <v>23000</v>
      </c>
      <c r="AG313" s="36"/>
      <c r="AH313" s="36"/>
      <c r="AI313" s="36"/>
      <c r="AJ313" s="36"/>
      <c r="AK313" s="36"/>
      <c r="AL313" s="37">
        <f t="shared" si="32"/>
        <v>120400</v>
      </c>
      <c r="AM313" s="36"/>
      <c r="AN313" s="36"/>
      <c r="AO313" s="36"/>
      <c r="AP313" s="7"/>
      <c r="AQ313" s="38">
        <f t="shared" si="33"/>
        <v>6631477.099999994</v>
      </c>
      <c r="AR313" s="36">
        <v>6631500</v>
      </c>
      <c r="AS313" s="18">
        <f t="shared" si="34"/>
        <v>22.900000005960464</v>
      </c>
    </row>
    <row r="314" spans="1:45" x14ac:dyDescent="0.25">
      <c r="A314" s="40">
        <v>45602</v>
      </c>
      <c r="B314" s="20">
        <v>2078.2370000000001</v>
      </c>
      <c r="C314" s="20">
        <v>2241.2939999999999</v>
      </c>
      <c r="D314" s="20">
        <v>5220</v>
      </c>
      <c r="E314" s="20">
        <v>4870</v>
      </c>
      <c r="F314" s="7">
        <f t="shared" si="28"/>
        <v>10848397.140000001</v>
      </c>
      <c r="G314" s="7">
        <f t="shared" si="29"/>
        <v>10915101.779999999</v>
      </c>
      <c r="H314" s="20">
        <v>116.75</v>
      </c>
      <c r="I314" s="20">
        <v>2712000</v>
      </c>
      <c r="J314" s="20">
        <v>76.5</v>
      </c>
      <c r="K314" s="20">
        <v>724000</v>
      </c>
      <c r="L314" s="20">
        <v>30000</v>
      </c>
      <c r="M314" s="20"/>
      <c r="N314" s="20"/>
      <c r="O314" s="20">
        <v>1599500</v>
      </c>
      <c r="P314" s="20"/>
      <c r="Q314" s="19">
        <f t="shared" si="30"/>
        <v>26828998.920000002</v>
      </c>
      <c r="R314" s="20">
        <v>974000</v>
      </c>
      <c r="S314" s="20">
        <v>2617795</v>
      </c>
      <c r="T314" s="20"/>
      <c r="U314" s="20"/>
      <c r="V314" s="20"/>
      <c r="W314" s="20"/>
      <c r="X314" s="20">
        <v>16010027</v>
      </c>
      <c r="Y314" s="8">
        <f t="shared" si="31"/>
        <v>7227176.9200000018</v>
      </c>
      <c r="Z314" s="36"/>
      <c r="AA314" s="36"/>
      <c r="AB314" s="36"/>
      <c r="AC314" s="36"/>
      <c r="AD314" s="36">
        <v>97400</v>
      </c>
      <c r="AE314" s="36"/>
      <c r="AF314" s="36">
        <v>2803000</v>
      </c>
      <c r="AG314" s="36"/>
      <c r="AH314" s="36"/>
      <c r="AI314" s="36"/>
      <c r="AJ314" s="36">
        <v>0</v>
      </c>
      <c r="AK314" s="36"/>
      <c r="AL314" s="37">
        <f t="shared" si="32"/>
        <v>2900400</v>
      </c>
      <c r="AM314" s="36"/>
      <c r="AN314" s="36"/>
      <c r="AO314" s="36"/>
      <c r="AP314" s="7"/>
      <c r="AQ314" s="38">
        <f t="shared" si="33"/>
        <v>4326776.9200000018</v>
      </c>
      <c r="AR314" s="36">
        <v>4326800</v>
      </c>
      <c r="AS314" s="18">
        <f t="shared" si="34"/>
        <v>23.079999998211861</v>
      </c>
    </row>
    <row r="315" spans="1:45" x14ac:dyDescent="0.25">
      <c r="A315" s="40">
        <v>45603</v>
      </c>
      <c r="B315" s="20">
        <v>1864.4690000000001</v>
      </c>
      <c r="C315" s="20">
        <v>6845.4620000000004</v>
      </c>
      <c r="D315" s="20">
        <v>5220</v>
      </c>
      <c r="E315" s="20">
        <v>4870</v>
      </c>
      <c r="F315" s="7">
        <f t="shared" si="28"/>
        <v>9732528.1799999997</v>
      </c>
      <c r="G315" s="7">
        <f t="shared" si="29"/>
        <v>33337399.940000001</v>
      </c>
      <c r="H315" s="20">
        <v>54.5</v>
      </c>
      <c r="I315" s="20">
        <v>1182000</v>
      </c>
      <c r="J315" s="20">
        <v>58</v>
      </c>
      <c r="K315" s="20">
        <v>632000</v>
      </c>
      <c r="L315" s="20">
        <v>116000</v>
      </c>
      <c r="M315" s="20"/>
      <c r="N315" s="20">
        <v>800000</v>
      </c>
      <c r="O315" s="20">
        <v>18000</v>
      </c>
      <c r="P315" s="20"/>
      <c r="Q315" s="19">
        <f t="shared" si="30"/>
        <v>45817928.120000005</v>
      </c>
      <c r="R315" s="20">
        <v>3046489</v>
      </c>
      <c r="S315" s="20">
        <v>26082790</v>
      </c>
      <c r="T315" s="20"/>
      <c r="U315" s="20"/>
      <c r="V315" s="20"/>
      <c r="W315" s="20"/>
      <c r="X315" s="20">
        <v>11669000</v>
      </c>
      <c r="Y315" s="8">
        <f t="shared" si="31"/>
        <v>5019649.1200000048</v>
      </c>
      <c r="Z315" s="36"/>
      <c r="AA315" s="36"/>
      <c r="AB315" s="36"/>
      <c r="AC315" s="36"/>
      <c r="AD315" s="36"/>
      <c r="AE315" s="36"/>
      <c r="AF315" s="36"/>
      <c r="AG315" s="36"/>
      <c r="AH315" s="36">
        <v>19000</v>
      </c>
      <c r="AI315" s="36"/>
      <c r="AJ315" s="36"/>
      <c r="AK315" s="36"/>
      <c r="AL315" s="37">
        <f t="shared" si="32"/>
        <v>19000</v>
      </c>
      <c r="AM315" s="36"/>
      <c r="AN315" s="36"/>
      <c r="AO315" s="36"/>
      <c r="AP315" s="7"/>
      <c r="AQ315" s="38">
        <f t="shared" si="33"/>
        <v>5000649.1200000048</v>
      </c>
      <c r="AR315" s="36">
        <v>5000700</v>
      </c>
      <c r="AS315" s="18">
        <f t="shared" si="34"/>
        <v>50.879999995231628</v>
      </c>
    </row>
    <row r="316" spans="1:45" x14ac:dyDescent="0.25">
      <c r="A316" s="40">
        <v>45604</v>
      </c>
      <c r="B316" s="20">
        <v>1742.5250000000001</v>
      </c>
      <c r="C316" s="20">
        <v>2339.5639999999999</v>
      </c>
      <c r="D316" s="20">
        <v>5220</v>
      </c>
      <c r="E316" s="20">
        <v>4870</v>
      </c>
      <c r="F316" s="7">
        <f t="shared" si="28"/>
        <v>9095980.5</v>
      </c>
      <c r="G316" s="7">
        <f t="shared" si="29"/>
        <v>11393676.68</v>
      </c>
      <c r="H316" s="20">
        <v>72.5</v>
      </c>
      <c r="I316" s="20">
        <v>1440500</v>
      </c>
      <c r="J316" s="20">
        <v>67</v>
      </c>
      <c r="K316" s="20">
        <v>581000</v>
      </c>
      <c r="L316" s="20">
        <v>54000</v>
      </c>
      <c r="M316" s="20"/>
      <c r="N316" s="20"/>
      <c r="O316" s="20">
        <v>1242300</v>
      </c>
      <c r="P316" s="20"/>
      <c r="Q316" s="19">
        <f t="shared" si="30"/>
        <v>23807457.18</v>
      </c>
      <c r="R316" s="20">
        <v>1407276</v>
      </c>
      <c r="S316" s="20">
        <v>6532258</v>
      </c>
      <c r="T316" s="20"/>
      <c r="U316" s="20"/>
      <c r="V316" s="20"/>
      <c r="W316" s="20"/>
      <c r="X316" s="20">
        <v>7463502</v>
      </c>
      <c r="Y316" s="8">
        <f t="shared" si="31"/>
        <v>8404421.1799999997</v>
      </c>
      <c r="Z316" s="36"/>
      <c r="AA316" s="36"/>
      <c r="AB316" s="36"/>
      <c r="AC316" s="36">
        <v>5000</v>
      </c>
      <c r="AD316" s="36">
        <v>34000</v>
      </c>
      <c r="AE316" s="36"/>
      <c r="AF316" s="36">
        <v>3503000</v>
      </c>
      <c r="AG316" s="36"/>
      <c r="AH316" s="36">
        <v>30000</v>
      </c>
      <c r="AI316" s="36"/>
      <c r="AJ316" s="36"/>
      <c r="AK316" s="36"/>
      <c r="AL316" s="37">
        <f t="shared" si="32"/>
        <v>3572000</v>
      </c>
      <c r="AM316" s="36"/>
      <c r="AN316" s="36"/>
      <c r="AO316" s="36"/>
      <c r="AP316" s="7"/>
      <c r="AQ316" s="38">
        <f t="shared" si="33"/>
        <v>4832421.18</v>
      </c>
      <c r="AR316" s="36">
        <v>4832400</v>
      </c>
      <c r="AS316" s="18">
        <f t="shared" si="34"/>
        <v>-21.179999999701977</v>
      </c>
    </row>
    <row r="317" spans="1:45" x14ac:dyDescent="0.25">
      <c r="A317" s="40">
        <v>45605</v>
      </c>
      <c r="B317" s="20">
        <v>2133.1410000000001</v>
      </c>
      <c r="C317" s="20">
        <v>3080.9349999999999</v>
      </c>
      <c r="D317" s="20">
        <v>5220</v>
      </c>
      <c r="E317" s="20">
        <v>4870</v>
      </c>
      <c r="F317" s="7">
        <f t="shared" si="28"/>
        <v>11134996.02</v>
      </c>
      <c r="G317" s="7">
        <f t="shared" si="29"/>
        <v>15004153.449999999</v>
      </c>
      <c r="H317" s="20">
        <v>91</v>
      </c>
      <c r="I317" s="20">
        <v>2187500</v>
      </c>
      <c r="J317" s="20">
        <v>76</v>
      </c>
      <c r="K317" s="20">
        <v>791000</v>
      </c>
      <c r="L317" s="20">
        <v>30000</v>
      </c>
      <c r="M317" s="20"/>
      <c r="N317" s="20"/>
      <c r="O317" s="20">
        <v>589400</v>
      </c>
      <c r="P317" s="20"/>
      <c r="Q317" s="19">
        <f t="shared" si="30"/>
        <v>29737049.469999999</v>
      </c>
      <c r="R317" s="20">
        <v>1362057</v>
      </c>
      <c r="S317" s="20">
        <v>7604577</v>
      </c>
      <c r="T317" s="20"/>
      <c r="U317" s="20"/>
      <c r="V317" s="20"/>
      <c r="W317" s="20">
        <v>100000</v>
      </c>
      <c r="X317" s="20">
        <v>12548041</v>
      </c>
      <c r="Y317" s="8">
        <f t="shared" si="31"/>
        <v>8122374.4699999988</v>
      </c>
      <c r="Z317" s="36"/>
      <c r="AA317" s="36"/>
      <c r="AB317" s="36"/>
      <c r="AC317" s="36"/>
      <c r="AD317" s="36">
        <v>97400</v>
      </c>
      <c r="AE317" s="36"/>
      <c r="AF317" s="36">
        <v>2500000</v>
      </c>
      <c r="AG317" s="36"/>
      <c r="AH317" s="36"/>
      <c r="AI317" s="36"/>
      <c r="AJ317" s="36"/>
      <c r="AK317" s="36"/>
      <c r="AL317" s="37">
        <f t="shared" si="32"/>
        <v>2597400</v>
      </c>
      <c r="AM317" s="36"/>
      <c r="AN317" s="36"/>
      <c r="AO317" s="36"/>
      <c r="AP317" s="7"/>
      <c r="AQ317" s="38">
        <f t="shared" si="33"/>
        <v>5524974.4699999988</v>
      </c>
      <c r="AR317" s="36">
        <v>5525000</v>
      </c>
      <c r="AS317" s="18">
        <f t="shared" si="34"/>
        <v>25.530000001192093</v>
      </c>
    </row>
    <row r="318" spans="1:45" x14ac:dyDescent="0.25">
      <c r="A318" s="40">
        <v>45606</v>
      </c>
      <c r="B318" s="20">
        <v>1901.83</v>
      </c>
      <c r="C318" s="20">
        <v>2498.08</v>
      </c>
      <c r="D318" s="20">
        <v>5220</v>
      </c>
      <c r="E318" s="20">
        <v>4870</v>
      </c>
      <c r="F318" s="7">
        <f t="shared" si="28"/>
        <v>9927552.5999999996</v>
      </c>
      <c r="G318" s="7">
        <f t="shared" si="29"/>
        <v>12165649.6</v>
      </c>
      <c r="H318" s="20">
        <v>59.25</v>
      </c>
      <c r="I318" s="20">
        <v>1348000</v>
      </c>
      <c r="J318" s="20">
        <v>67</v>
      </c>
      <c r="K318" s="20">
        <v>707000</v>
      </c>
      <c r="L318" s="20">
        <v>31000</v>
      </c>
      <c r="M318" s="20"/>
      <c r="N318" s="20"/>
      <c r="O318" s="20"/>
      <c r="P318" s="20"/>
      <c r="Q318" s="19">
        <f t="shared" si="30"/>
        <v>24179202.199999999</v>
      </c>
      <c r="R318" s="20">
        <v>877614</v>
      </c>
      <c r="S318" s="20">
        <v>5945415</v>
      </c>
      <c r="T318" s="20"/>
      <c r="U318" s="20"/>
      <c r="V318" s="20"/>
      <c r="W318" s="20">
        <v>0</v>
      </c>
      <c r="X318" s="20">
        <v>9623662</v>
      </c>
      <c r="Y318" s="8">
        <f t="shared" si="31"/>
        <v>7732511.1999999993</v>
      </c>
      <c r="Z318" s="36">
        <v>1638299</v>
      </c>
      <c r="AA318" s="36"/>
      <c r="AB318" s="36"/>
      <c r="AC318" s="36"/>
      <c r="AD318" s="36"/>
      <c r="AE318" s="36"/>
      <c r="AF318" s="36">
        <v>6000</v>
      </c>
      <c r="AG318" s="36"/>
      <c r="AH318" s="36"/>
      <c r="AI318" s="36"/>
      <c r="AJ318" s="36"/>
      <c r="AK318" s="36"/>
      <c r="AL318" s="37">
        <f t="shared" si="32"/>
        <v>1644299</v>
      </c>
      <c r="AM318" s="36"/>
      <c r="AN318" s="36"/>
      <c r="AO318" s="36"/>
      <c r="AP318" s="7"/>
      <c r="AQ318" s="38">
        <f t="shared" si="33"/>
        <v>6088212.1999999993</v>
      </c>
      <c r="AR318" s="36">
        <v>6088500</v>
      </c>
      <c r="AS318" s="18">
        <f t="shared" si="34"/>
        <v>287.80000000074506</v>
      </c>
    </row>
    <row r="319" spans="1:45" x14ac:dyDescent="0.25">
      <c r="A319" s="40">
        <v>45607</v>
      </c>
      <c r="B319" s="20">
        <v>1506.0329999999999</v>
      </c>
      <c r="C319" s="20">
        <v>2185.2150000000001</v>
      </c>
      <c r="D319" s="20">
        <v>5220</v>
      </c>
      <c r="E319" s="20">
        <v>4870</v>
      </c>
      <c r="F319" s="7">
        <f t="shared" si="28"/>
        <v>7861492.2599999998</v>
      </c>
      <c r="G319" s="7">
        <f t="shared" si="29"/>
        <v>10641997.050000001</v>
      </c>
      <c r="H319" s="20">
        <v>22.75</v>
      </c>
      <c r="I319" s="20">
        <v>649500</v>
      </c>
      <c r="J319" s="20">
        <v>104.5</v>
      </c>
      <c r="K319" s="20">
        <v>1101500</v>
      </c>
      <c r="L319" s="20">
        <v>15000</v>
      </c>
      <c r="M319" s="20"/>
      <c r="N319" s="20"/>
      <c r="O319" s="20">
        <v>1171400</v>
      </c>
      <c r="P319" s="20"/>
      <c r="Q319" s="19">
        <f t="shared" si="30"/>
        <v>21440889.310000002</v>
      </c>
      <c r="R319" s="20">
        <v>1985248</v>
      </c>
      <c r="S319" s="20">
        <v>5787700</v>
      </c>
      <c r="T319" s="20"/>
      <c r="U319" s="20"/>
      <c r="V319" s="20"/>
      <c r="W319" s="20">
        <v>104400</v>
      </c>
      <c r="X319" s="20">
        <v>8116780</v>
      </c>
      <c r="Y319" s="8">
        <f t="shared" si="31"/>
        <v>5446761.3100000024</v>
      </c>
      <c r="Z319" s="36"/>
      <c r="AA319" s="36"/>
      <c r="AB319" s="36"/>
      <c r="AC319" s="36"/>
      <c r="AD319" s="36"/>
      <c r="AE319" s="36"/>
      <c r="AF319" s="36">
        <v>2000000</v>
      </c>
      <c r="AG319" s="36"/>
      <c r="AH319" s="36">
        <v>20000</v>
      </c>
      <c r="AI319" s="36"/>
      <c r="AJ319" s="36"/>
      <c r="AK319" s="36"/>
      <c r="AL319" s="37">
        <f t="shared" si="32"/>
        <v>2020000</v>
      </c>
      <c r="AM319" s="36"/>
      <c r="AN319" s="36"/>
      <c r="AO319" s="36"/>
      <c r="AP319" s="7"/>
      <c r="AQ319" s="38">
        <f t="shared" si="33"/>
        <v>3426761.3100000024</v>
      </c>
      <c r="AR319" s="36">
        <v>9515300</v>
      </c>
      <c r="AS319" s="18">
        <f t="shared" si="34"/>
        <v>6088538.6899999976</v>
      </c>
    </row>
    <row r="320" spans="1:45" x14ac:dyDescent="0.25">
      <c r="A320" s="40">
        <v>45608</v>
      </c>
      <c r="B320" s="20">
        <v>1837.6279999999999</v>
      </c>
      <c r="C320" s="20">
        <v>2653.8150000000001</v>
      </c>
      <c r="D320" s="20">
        <v>5220</v>
      </c>
      <c r="E320" s="20">
        <v>4870</v>
      </c>
      <c r="F320" s="7">
        <f t="shared" si="28"/>
        <v>9592418.1600000001</v>
      </c>
      <c r="G320" s="7">
        <f t="shared" si="29"/>
        <v>12924079.050000001</v>
      </c>
      <c r="H320" s="20">
        <v>36.5</v>
      </c>
      <c r="I320" s="20">
        <v>849500</v>
      </c>
      <c r="J320" s="20">
        <v>109</v>
      </c>
      <c r="K320" s="20">
        <v>1144000</v>
      </c>
      <c r="L320" s="20">
        <v>80000</v>
      </c>
      <c r="M320" s="20">
        <v>0</v>
      </c>
      <c r="N320" s="20">
        <v>0</v>
      </c>
      <c r="O320" s="20">
        <v>0</v>
      </c>
      <c r="P320" s="20">
        <v>0</v>
      </c>
      <c r="Q320" s="19">
        <f t="shared" si="30"/>
        <v>24589997.210000001</v>
      </c>
      <c r="R320" s="20">
        <v>1190859</v>
      </c>
      <c r="S320" s="20">
        <v>7364276</v>
      </c>
      <c r="T320" s="20"/>
      <c r="U320" s="20"/>
      <c r="V320" s="20"/>
      <c r="W320" s="20">
        <v>429000</v>
      </c>
      <c r="X320" s="20">
        <v>9084848</v>
      </c>
      <c r="Y320" s="8">
        <f t="shared" si="31"/>
        <v>6521014.2100000009</v>
      </c>
      <c r="Z320" s="36"/>
      <c r="AA320" s="36"/>
      <c r="AB320" s="36"/>
      <c r="AC320" s="36">
        <v>15000</v>
      </c>
      <c r="AD320" s="36"/>
      <c r="AE320" s="36"/>
      <c r="AF320" s="36">
        <v>2325000</v>
      </c>
      <c r="AG320" s="36"/>
      <c r="AH320" s="36">
        <v>13000</v>
      </c>
      <c r="AI320" s="36"/>
      <c r="AJ320" s="36"/>
      <c r="AK320" s="36"/>
      <c r="AL320" s="37">
        <f t="shared" si="32"/>
        <v>2353000</v>
      </c>
      <c r="AM320" s="36"/>
      <c r="AN320" s="36"/>
      <c r="AO320" s="36"/>
      <c r="AP320" s="7"/>
      <c r="AQ320" s="38">
        <f t="shared" si="33"/>
        <v>4168014.2100000009</v>
      </c>
      <c r="AR320" s="36">
        <v>4168000</v>
      </c>
      <c r="AS320" s="18">
        <f t="shared" si="34"/>
        <v>-14.21000000089407</v>
      </c>
    </row>
    <row r="321" spans="1:45" x14ac:dyDescent="0.25">
      <c r="A321" s="40">
        <v>45609</v>
      </c>
      <c r="B321" s="20">
        <v>1693.155</v>
      </c>
      <c r="C321" s="20">
        <v>3198.2579999999998</v>
      </c>
      <c r="D321" s="20">
        <v>5120</v>
      </c>
      <c r="E321" s="20">
        <v>4870</v>
      </c>
      <c r="F321" s="7">
        <f t="shared" si="28"/>
        <v>8668953.5999999996</v>
      </c>
      <c r="G321" s="7">
        <f t="shared" si="29"/>
        <v>15575516.459999999</v>
      </c>
      <c r="H321" s="20">
        <v>46.25</v>
      </c>
      <c r="I321" s="20">
        <v>1045500</v>
      </c>
      <c r="J321" s="20">
        <v>49.5</v>
      </c>
      <c r="K321" s="20">
        <v>421000</v>
      </c>
      <c r="L321" s="20">
        <v>8000</v>
      </c>
      <c r="M321" s="20"/>
      <c r="N321" s="20"/>
      <c r="O321" s="20">
        <v>3033400</v>
      </c>
      <c r="P321" s="20"/>
      <c r="Q321" s="19">
        <f t="shared" si="30"/>
        <v>28752370.059999999</v>
      </c>
      <c r="R321" s="20">
        <v>635461</v>
      </c>
      <c r="S321" s="20">
        <v>9084494</v>
      </c>
      <c r="T321" s="20"/>
      <c r="U321" s="20"/>
      <c r="V321" s="20"/>
      <c r="W321" s="20">
        <v>105000</v>
      </c>
      <c r="X321" s="20">
        <v>9681427</v>
      </c>
      <c r="Y321" s="8">
        <f t="shared" si="31"/>
        <v>9245988.0599999987</v>
      </c>
      <c r="Z321" s="36"/>
      <c r="AA321" s="36"/>
      <c r="AB321" s="36"/>
      <c r="AC321" s="36"/>
      <c r="AD321" s="36"/>
      <c r="AE321" s="36"/>
      <c r="AF321" s="36">
        <v>2103000</v>
      </c>
      <c r="AG321" s="36"/>
      <c r="AH321" s="36"/>
      <c r="AI321" s="36"/>
      <c r="AJ321" s="36"/>
      <c r="AK321" s="36"/>
      <c r="AL321" s="37">
        <f t="shared" si="32"/>
        <v>2103000</v>
      </c>
      <c r="AM321" s="36"/>
      <c r="AN321" s="36"/>
      <c r="AO321" s="36"/>
      <c r="AP321" s="7"/>
      <c r="AQ321" s="38">
        <f t="shared" si="33"/>
        <v>7142988.0599999987</v>
      </c>
      <c r="AR321" s="36">
        <v>7143000</v>
      </c>
      <c r="AS321" s="18">
        <f t="shared" si="34"/>
        <v>11.940000001341105</v>
      </c>
    </row>
    <row r="322" spans="1:45" x14ac:dyDescent="0.25">
      <c r="A322" s="40">
        <v>45610</v>
      </c>
      <c r="B322" s="20">
        <v>1772.1079999999999</v>
      </c>
      <c r="C322" s="20">
        <v>3298.317</v>
      </c>
      <c r="D322" s="20">
        <v>5120</v>
      </c>
      <c r="E322" s="20">
        <v>4870</v>
      </c>
      <c r="F322" s="7">
        <f t="shared" si="28"/>
        <v>9073192.959999999</v>
      </c>
      <c r="G322" s="7">
        <f t="shared" si="29"/>
        <v>16062803.789999999</v>
      </c>
      <c r="H322" s="20">
        <v>46.5</v>
      </c>
      <c r="I322" s="20">
        <v>1010000</v>
      </c>
      <c r="J322" s="20">
        <v>36</v>
      </c>
      <c r="K322" s="20">
        <v>444000</v>
      </c>
      <c r="L322" s="20">
        <v>8000</v>
      </c>
      <c r="M322" s="20"/>
      <c r="N322" s="20"/>
      <c r="O322" s="20">
        <v>1693400</v>
      </c>
      <c r="P322" s="20"/>
      <c r="Q322" s="19">
        <f t="shared" si="30"/>
        <v>28291396.75</v>
      </c>
      <c r="R322" s="20">
        <v>1940864</v>
      </c>
      <c r="S322" s="20">
        <v>7973635</v>
      </c>
      <c r="T322" s="20"/>
      <c r="U322" s="20"/>
      <c r="V322" s="20"/>
      <c r="W322" s="20">
        <v>0</v>
      </c>
      <c r="X322" s="20">
        <v>9793757</v>
      </c>
      <c r="Y322" s="8">
        <f t="shared" si="31"/>
        <v>8583140.75</v>
      </c>
      <c r="Z322" s="36"/>
      <c r="AA322" s="36"/>
      <c r="AB322" s="36"/>
      <c r="AC322" s="36"/>
      <c r="AD322" s="36"/>
      <c r="AE322" s="36"/>
      <c r="AF322" s="36">
        <v>1303000</v>
      </c>
      <c r="AG322" s="36"/>
      <c r="AH322" s="36">
        <v>39000</v>
      </c>
      <c r="AI322" s="36"/>
      <c r="AJ322" s="36"/>
      <c r="AK322" s="36"/>
      <c r="AL322" s="37">
        <f t="shared" si="32"/>
        <v>1342000</v>
      </c>
      <c r="AM322" s="36"/>
      <c r="AN322" s="36"/>
      <c r="AO322" s="36"/>
      <c r="AP322" s="7"/>
      <c r="AQ322" s="38">
        <f t="shared" si="33"/>
        <v>7241140.75</v>
      </c>
      <c r="AR322" s="36">
        <v>7241200</v>
      </c>
      <c r="AS322" s="18">
        <f t="shared" si="34"/>
        <v>59.25</v>
      </c>
    </row>
    <row r="323" spans="1:45" x14ac:dyDescent="0.25">
      <c r="A323" s="40">
        <v>45611</v>
      </c>
      <c r="B323" s="20">
        <v>1762.011</v>
      </c>
      <c r="C323" s="20">
        <v>2740.6039999999998</v>
      </c>
      <c r="D323" s="20">
        <v>5120</v>
      </c>
      <c r="E323" s="20">
        <v>4870</v>
      </c>
      <c r="F323" s="7">
        <f t="shared" si="28"/>
        <v>9021496.3200000003</v>
      </c>
      <c r="G323" s="7">
        <f t="shared" si="29"/>
        <v>13346741.479999999</v>
      </c>
      <c r="H323" s="20">
        <v>37</v>
      </c>
      <c r="I323" s="20">
        <v>762500</v>
      </c>
      <c r="J323" s="20">
        <v>24</v>
      </c>
      <c r="K323" s="20">
        <v>212000</v>
      </c>
      <c r="L323" s="20">
        <v>65000</v>
      </c>
      <c r="M323" s="20">
        <v>70000</v>
      </c>
      <c r="N323" s="20">
        <v>800000</v>
      </c>
      <c r="O323" s="20">
        <v>397000</v>
      </c>
      <c r="P323" s="20">
        <v>50000</v>
      </c>
      <c r="Q323" s="19">
        <f t="shared" si="30"/>
        <v>24724737.799999997</v>
      </c>
      <c r="R323" s="20">
        <v>1701634</v>
      </c>
      <c r="S323" s="20">
        <v>9900841</v>
      </c>
      <c r="T323" s="20"/>
      <c r="U323" s="20"/>
      <c r="V323" s="20"/>
      <c r="W323" s="20"/>
      <c r="X323" s="20">
        <v>9254100</v>
      </c>
      <c r="Y323" s="8">
        <f t="shared" si="31"/>
        <v>3868162.799999997</v>
      </c>
      <c r="Z323" s="36"/>
      <c r="AA323" s="36"/>
      <c r="AB323" s="36"/>
      <c r="AC323" s="36"/>
      <c r="AD323" s="36"/>
      <c r="AE323" s="36"/>
      <c r="AF323" s="36">
        <v>15000</v>
      </c>
      <c r="AG323" s="36"/>
      <c r="AH323" s="36"/>
      <c r="AI323" s="36"/>
      <c r="AJ323" s="36">
        <v>643238</v>
      </c>
      <c r="AK323" s="36"/>
      <c r="AL323" s="37">
        <f t="shared" si="32"/>
        <v>658238</v>
      </c>
      <c r="AM323" s="36"/>
      <c r="AN323" s="36"/>
      <c r="AO323" s="36"/>
      <c r="AP323" s="7"/>
      <c r="AQ323" s="38">
        <f t="shared" si="33"/>
        <v>3209924.799999997</v>
      </c>
      <c r="AR323" s="36">
        <v>3209900</v>
      </c>
      <c r="AS323" s="18">
        <f t="shared" si="34"/>
        <v>-24.799999997019768</v>
      </c>
    </row>
    <row r="324" spans="1:45" x14ac:dyDescent="0.25">
      <c r="A324" s="40">
        <v>45612</v>
      </c>
      <c r="B324" s="20">
        <v>1872.5329999999999</v>
      </c>
      <c r="C324" s="20">
        <v>4491.768</v>
      </c>
      <c r="D324" s="20">
        <v>5120</v>
      </c>
      <c r="E324" s="20">
        <v>4870</v>
      </c>
      <c r="F324" s="7">
        <f t="shared" ref="F324:F387" si="35">B324*D324</f>
        <v>9587368.959999999</v>
      </c>
      <c r="G324" s="7">
        <f t="shared" ref="G324:G387" si="36">C324*E324</f>
        <v>21874910.16</v>
      </c>
      <c r="H324" s="20">
        <v>23.25</v>
      </c>
      <c r="I324" s="20">
        <v>510500</v>
      </c>
      <c r="J324" s="20">
        <v>27</v>
      </c>
      <c r="K324" s="20">
        <v>240000</v>
      </c>
      <c r="L324" s="20">
        <v>40000</v>
      </c>
      <c r="M324" s="20"/>
      <c r="N324" s="20"/>
      <c r="O324" s="20">
        <v>1281200</v>
      </c>
      <c r="P324" s="20"/>
      <c r="Q324" s="19">
        <f t="shared" ref="Q324:Q387" si="37">SUM(F324:G324)+I324+K324+SUM(L324:P324)</f>
        <v>33533979.119999997</v>
      </c>
      <c r="R324" s="20">
        <v>1535280</v>
      </c>
      <c r="S324" s="20">
        <v>15782634</v>
      </c>
      <c r="T324" s="20"/>
      <c r="U324" s="20"/>
      <c r="V324" s="20"/>
      <c r="W324" s="20">
        <v>50000</v>
      </c>
      <c r="X324" s="20">
        <v>10929393</v>
      </c>
      <c r="Y324" s="8">
        <f t="shared" ref="Y324:Y387" si="38">Q324-SUM(R324:X324)</f>
        <v>5236672.1199999973</v>
      </c>
      <c r="Z324" s="36"/>
      <c r="AA324" s="36"/>
      <c r="AB324" s="36"/>
      <c r="AC324" s="36">
        <v>20000</v>
      </c>
      <c r="AD324" s="36"/>
      <c r="AE324" s="36"/>
      <c r="AF324" s="36">
        <v>3000</v>
      </c>
      <c r="AG324" s="36"/>
      <c r="AH324" s="36"/>
      <c r="AI324" s="36"/>
      <c r="AJ324" s="36"/>
      <c r="AK324" s="36"/>
      <c r="AL324" s="37">
        <f t="shared" ref="AL324:AL387" si="39">SUM(Z324:AK324)</f>
        <v>23000</v>
      </c>
      <c r="AM324" s="36"/>
      <c r="AN324" s="36"/>
      <c r="AO324" s="36"/>
      <c r="AP324" s="7"/>
      <c r="AQ324" s="38">
        <f t="shared" ref="AQ324:AQ387" si="40">Q324-SUM(R324:X324)-AL324-SUM(AM324:AO324)</f>
        <v>5213672.1199999973</v>
      </c>
      <c r="AR324" s="36">
        <v>5213700</v>
      </c>
      <c r="AS324" s="18">
        <f t="shared" ref="AS324:AS387" si="41">AR324-AQ324</f>
        <v>27.880000002682209</v>
      </c>
    </row>
    <row r="325" spans="1:45" x14ac:dyDescent="0.25">
      <c r="A325" s="40">
        <v>45613</v>
      </c>
      <c r="B325" s="20">
        <v>2255.1170000000002</v>
      </c>
      <c r="C325" s="20">
        <v>1538.058</v>
      </c>
      <c r="D325" s="20">
        <v>5120</v>
      </c>
      <c r="E325" s="20">
        <v>4870</v>
      </c>
      <c r="F325" s="7">
        <f t="shared" si="35"/>
        <v>11546199.040000001</v>
      </c>
      <c r="G325" s="7">
        <f t="shared" si="36"/>
        <v>7490342.46</v>
      </c>
      <c r="H325" s="20">
        <v>43.75</v>
      </c>
      <c r="I325" s="20">
        <v>1001500</v>
      </c>
      <c r="J325" s="20">
        <v>18</v>
      </c>
      <c r="K325" s="20">
        <v>159000</v>
      </c>
      <c r="L325" s="20">
        <v>23000</v>
      </c>
      <c r="M325" s="20"/>
      <c r="N325" s="20"/>
      <c r="O325" s="20">
        <v>270000</v>
      </c>
      <c r="P325" s="20"/>
      <c r="Q325" s="19">
        <f t="shared" si="37"/>
        <v>20490041.5</v>
      </c>
      <c r="R325" s="20">
        <v>1775507</v>
      </c>
      <c r="S325" s="20">
        <v>5108879</v>
      </c>
      <c r="T325" s="20"/>
      <c r="U325" s="20"/>
      <c r="V325" s="20"/>
      <c r="W325" s="20">
        <v>0</v>
      </c>
      <c r="X325" s="20">
        <v>9511300</v>
      </c>
      <c r="Y325" s="8">
        <f t="shared" si="38"/>
        <v>4094355.5</v>
      </c>
      <c r="Z325" s="36"/>
      <c r="AA325" s="36"/>
      <c r="AB325" s="36"/>
      <c r="AC325" s="36">
        <v>20000</v>
      </c>
      <c r="AD325" s="36"/>
      <c r="AE325" s="36"/>
      <c r="AF325" s="36">
        <v>53000</v>
      </c>
      <c r="AG325" s="36"/>
      <c r="AH325" s="36">
        <v>10000</v>
      </c>
      <c r="AI325" s="36"/>
      <c r="AJ325" s="36"/>
      <c r="AK325" s="36"/>
      <c r="AL325" s="37">
        <f t="shared" si="39"/>
        <v>83000</v>
      </c>
      <c r="AM325" s="36"/>
      <c r="AN325" s="36"/>
      <c r="AO325" s="36"/>
      <c r="AP325" s="7"/>
      <c r="AQ325" s="38">
        <f t="shared" si="40"/>
        <v>4011355.5</v>
      </c>
      <c r="AR325" s="36">
        <v>0</v>
      </c>
      <c r="AS325" s="18">
        <f t="shared" si="41"/>
        <v>-4011355.5</v>
      </c>
    </row>
    <row r="326" spans="1:45" x14ac:dyDescent="0.25">
      <c r="A326" s="40">
        <v>45614</v>
      </c>
      <c r="B326" s="20">
        <v>1375.29</v>
      </c>
      <c r="C326" s="20">
        <v>1452.518</v>
      </c>
      <c r="D326" s="20">
        <v>5120</v>
      </c>
      <c r="E326" s="20">
        <v>4870</v>
      </c>
      <c r="F326" s="7">
        <f t="shared" si="35"/>
        <v>7041484.7999999998</v>
      </c>
      <c r="G326" s="7">
        <f t="shared" si="36"/>
        <v>7073762.6600000001</v>
      </c>
      <c r="H326" s="20">
        <v>42</v>
      </c>
      <c r="I326" s="20">
        <v>931500</v>
      </c>
      <c r="J326" s="20">
        <v>27</v>
      </c>
      <c r="K326" s="20">
        <v>492000</v>
      </c>
      <c r="L326" s="20">
        <v>15000</v>
      </c>
      <c r="M326" s="20"/>
      <c r="N326" s="20"/>
      <c r="O326" s="20">
        <v>3059800</v>
      </c>
      <c r="P326" s="20"/>
      <c r="Q326" s="19">
        <f t="shared" si="37"/>
        <v>18613547.460000001</v>
      </c>
      <c r="R326" s="20">
        <v>1665580</v>
      </c>
      <c r="S326" s="20">
        <v>3058414</v>
      </c>
      <c r="T326" s="20"/>
      <c r="U326" s="20"/>
      <c r="V326" s="20"/>
      <c r="W326" s="20">
        <v>118800</v>
      </c>
      <c r="X326" s="20">
        <v>6421700</v>
      </c>
      <c r="Y326" s="8">
        <f t="shared" si="38"/>
        <v>7349053.4600000009</v>
      </c>
      <c r="Z326" s="36"/>
      <c r="AA326" s="36"/>
      <c r="AB326" s="36"/>
      <c r="AC326" s="36"/>
      <c r="AD326" s="36"/>
      <c r="AE326" s="36"/>
      <c r="AF326" s="36">
        <v>0</v>
      </c>
      <c r="AG326" s="36"/>
      <c r="AH326" s="36"/>
      <c r="AI326" s="36"/>
      <c r="AJ326" s="36"/>
      <c r="AK326" s="36"/>
      <c r="AL326" s="37">
        <f t="shared" si="39"/>
        <v>0</v>
      </c>
      <c r="AM326" s="36">
        <v>511000</v>
      </c>
      <c r="AN326" s="36">
        <v>1140000</v>
      </c>
      <c r="AO326" s="36"/>
      <c r="AP326" s="7"/>
      <c r="AQ326" s="38">
        <f t="shared" si="40"/>
        <v>5698053.4600000009</v>
      </c>
      <c r="AR326" s="36">
        <v>9709500</v>
      </c>
      <c r="AS326" s="18">
        <f t="shared" si="41"/>
        <v>4011446.5399999991</v>
      </c>
    </row>
    <row r="327" spans="1:45" x14ac:dyDescent="0.25">
      <c r="A327" s="40">
        <v>45615</v>
      </c>
      <c r="B327" s="20">
        <v>1868.2159999999999</v>
      </c>
      <c r="C327" s="20">
        <v>1614.702</v>
      </c>
      <c r="D327" s="20">
        <v>5120</v>
      </c>
      <c r="E327" s="20">
        <v>4870</v>
      </c>
      <c r="F327" s="7">
        <f t="shared" si="35"/>
        <v>9565265.9199999999</v>
      </c>
      <c r="G327" s="7">
        <f t="shared" si="36"/>
        <v>7863598.7400000002</v>
      </c>
      <c r="H327" s="20">
        <v>32.5</v>
      </c>
      <c r="I327" s="20">
        <v>694000</v>
      </c>
      <c r="J327" s="20">
        <v>135</v>
      </c>
      <c r="K327" s="20">
        <v>1356000</v>
      </c>
      <c r="L327" s="20">
        <v>99000</v>
      </c>
      <c r="M327" s="20"/>
      <c r="N327" s="20"/>
      <c r="O327" s="20">
        <v>0</v>
      </c>
      <c r="P327" s="20"/>
      <c r="Q327" s="19">
        <f t="shared" si="37"/>
        <v>19577864.66</v>
      </c>
      <c r="R327" s="20">
        <v>2164146</v>
      </c>
      <c r="S327" s="20">
        <v>3511292</v>
      </c>
      <c r="T327" s="20"/>
      <c r="U327" s="20"/>
      <c r="V327" s="20"/>
      <c r="W327" s="20">
        <v>391500</v>
      </c>
      <c r="X327" s="20">
        <v>9847742</v>
      </c>
      <c r="Y327" s="8">
        <f t="shared" si="38"/>
        <v>3663184.66</v>
      </c>
      <c r="Z327" s="36"/>
      <c r="AA327" s="36"/>
      <c r="AB327" s="36"/>
      <c r="AC327" s="36"/>
      <c r="AD327" s="36"/>
      <c r="AE327" s="36"/>
      <c r="AF327" s="36">
        <v>7000</v>
      </c>
      <c r="AG327" s="36"/>
      <c r="AH327" s="36"/>
      <c r="AI327" s="36">
        <v>10000</v>
      </c>
      <c r="AJ327" s="36"/>
      <c r="AK327" s="36"/>
      <c r="AL327" s="37">
        <f t="shared" si="39"/>
        <v>17000</v>
      </c>
      <c r="AM327" s="36"/>
      <c r="AN327" s="36"/>
      <c r="AO327" s="36"/>
      <c r="AP327" s="7"/>
      <c r="AQ327" s="38">
        <f t="shared" si="40"/>
        <v>3646184.66</v>
      </c>
      <c r="AR327" s="36">
        <v>3646200</v>
      </c>
      <c r="AS327" s="18">
        <f t="shared" si="41"/>
        <v>15.339999999850988</v>
      </c>
    </row>
    <row r="328" spans="1:45" x14ac:dyDescent="0.25">
      <c r="A328" s="40">
        <v>45616</v>
      </c>
      <c r="B328" s="20">
        <v>1939.1569999999999</v>
      </c>
      <c r="C328" s="20">
        <v>2663.4780000000001</v>
      </c>
      <c r="D328" s="20">
        <v>5120</v>
      </c>
      <c r="E328" s="20">
        <v>4870</v>
      </c>
      <c r="F328" s="7">
        <f t="shared" si="35"/>
        <v>9928483.8399999999</v>
      </c>
      <c r="G328" s="7">
        <f t="shared" si="36"/>
        <v>12971137.859999999</v>
      </c>
      <c r="H328" s="20">
        <v>39.5</v>
      </c>
      <c r="I328" s="20">
        <v>832500</v>
      </c>
      <c r="J328" s="20">
        <v>108.5</v>
      </c>
      <c r="K328" s="20">
        <v>1108500</v>
      </c>
      <c r="L328" s="20">
        <v>45000</v>
      </c>
      <c r="M328" s="20"/>
      <c r="N328" s="20"/>
      <c r="O328" s="20">
        <v>200000</v>
      </c>
      <c r="P328" s="20">
        <v>25000</v>
      </c>
      <c r="Q328" s="19">
        <f t="shared" si="37"/>
        <v>25110621.699999999</v>
      </c>
      <c r="R328" s="20">
        <v>1533228</v>
      </c>
      <c r="S328" s="20">
        <v>6855392</v>
      </c>
      <c r="T328" s="20"/>
      <c r="U328" s="20"/>
      <c r="V328" s="20"/>
      <c r="W328" s="20">
        <v>0</v>
      </c>
      <c r="X328" s="20">
        <v>11076669</v>
      </c>
      <c r="Y328" s="8">
        <f t="shared" si="38"/>
        <v>5645332.6999999993</v>
      </c>
      <c r="Z328" s="36"/>
      <c r="AA328" s="36"/>
      <c r="AB328" s="36"/>
      <c r="AC328" s="36"/>
      <c r="AD328" s="36"/>
      <c r="AE328" s="36"/>
      <c r="AF328" s="36">
        <v>3000</v>
      </c>
      <c r="AG328" s="36">
        <v>1000000</v>
      </c>
      <c r="AH328" s="36">
        <v>3000</v>
      </c>
      <c r="AI328" s="36"/>
      <c r="AJ328" s="36"/>
      <c r="AK328" s="36"/>
      <c r="AL328" s="37">
        <f t="shared" si="39"/>
        <v>1006000</v>
      </c>
      <c r="AM328" s="36"/>
      <c r="AN328" s="36"/>
      <c r="AO328" s="36"/>
      <c r="AP328" s="7"/>
      <c r="AQ328" s="38">
        <f t="shared" si="40"/>
        <v>4639332.6999999993</v>
      </c>
      <c r="AR328" s="36">
        <v>4639400</v>
      </c>
      <c r="AS328" s="18">
        <f t="shared" si="41"/>
        <v>67.300000000745058</v>
      </c>
    </row>
    <row r="329" spans="1:45" x14ac:dyDescent="0.25">
      <c r="A329" s="40">
        <v>45617</v>
      </c>
      <c r="B329" s="20">
        <v>1563.135</v>
      </c>
      <c r="C329" s="20">
        <v>2513.058</v>
      </c>
      <c r="D329" s="20">
        <v>5120</v>
      </c>
      <c r="E329" s="20">
        <v>4870</v>
      </c>
      <c r="F329" s="7">
        <f t="shared" si="35"/>
        <v>8003251.2000000002</v>
      </c>
      <c r="G329" s="7">
        <f t="shared" si="36"/>
        <v>12238592.460000001</v>
      </c>
      <c r="H329" s="20">
        <v>24.5</v>
      </c>
      <c r="I329" s="20">
        <v>711000</v>
      </c>
      <c r="J329" s="20">
        <v>27</v>
      </c>
      <c r="K329" s="20">
        <v>335000</v>
      </c>
      <c r="L329" s="20">
        <v>30000</v>
      </c>
      <c r="M329" s="20"/>
      <c r="N329" s="20"/>
      <c r="O329" s="20">
        <v>510300</v>
      </c>
      <c r="P329" s="20"/>
      <c r="Q329" s="19">
        <f t="shared" si="37"/>
        <v>21828143.66</v>
      </c>
      <c r="R329" s="20">
        <v>1262799</v>
      </c>
      <c r="S329" s="20">
        <v>6639887</v>
      </c>
      <c r="T329" s="20"/>
      <c r="U329" s="20"/>
      <c r="V329" s="20"/>
      <c r="W329" s="20"/>
      <c r="X329" s="20">
        <v>10783361</v>
      </c>
      <c r="Y329" s="8">
        <f t="shared" si="38"/>
        <v>3142096.66</v>
      </c>
      <c r="Z329" s="36"/>
      <c r="AA329" s="36"/>
      <c r="AB329" s="36"/>
      <c r="AC329" s="36">
        <v>47000</v>
      </c>
      <c r="AD329" s="36"/>
      <c r="AE329" s="36"/>
      <c r="AF329" s="36">
        <v>3000</v>
      </c>
      <c r="AG329" s="36"/>
      <c r="AH329" s="36"/>
      <c r="AI329" s="36">
        <v>10000</v>
      </c>
      <c r="AJ329" s="36"/>
      <c r="AK329" s="36"/>
      <c r="AL329" s="37">
        <f t="shared" si="39"/>
        <v>60000</v>
      </c>
      <c r="AM329" s="36"/>
      <c r="AN329" s="36"/>
      <c r="AO329" s="36"/>
      <c r="AP329" s="7"/>
      <c r="AQ329" s="38">
        <f t="shared" si="40"/>
        <v>3082096.66</v>
      </c>
      <c r="AR329" s="36">
        <v>3082600</v>
      </c>
      <c r="AS329" s="18">
        <f t="shared" si="41"/>
        <v>503.33999999985099</v>
      </c>
    </row>
    <row r="330" spans="1:45" x14ac:dyDescent="0.25">
      <c r="A330" s="40">
        <v>45618</v>
      </c>
      <c r="B330" s="20">
        <v>1803.356</v>
      </c>
      <c r="C330" s="20">
        <v>2867.846</v>
      </c>
      <c r="D330" s="20">
        <v>5120</v>
      </c>
      <c r="E330" s="20">
        <v>4870</v>
      </c>
      <c r="F330" s="7">
        <f t="shared" si="35"/>
        <v>9233182.7200000007</v>
      </c>
      <c r="G330" s="7">
        <f t="shared" si="36"/>
        <v>13966410.02</v>
      </c>
      <c r="H330" s="20">
        <v>31.5</v>
      </c>
      <c r="I330" s="20">
        <v>730500</v>
      </c>
      <c r="J330" s="20">
        <v>54.5</v>
      </c>
      <c r="K330" s="20">
        <v>476000</v>
      </c>
      <c r="L330" s="20">
        <v>75000</v>
      </c>
      <c r="M330" s="20"/>
      <c r="N330" s="20"/>
      <c r="O330" s="20">
        <v>0</v>
      </c>
      <c r="P330" s="20"/>
      <c r="Q330" s="19">
        <f t="shared" si="37"/>
        <v>24481092.740000002</v>
      </c>
      <c r="R330" s="20">
        <v>1070029</v>
      </c>
      <c r="S330" s="20">
        <v>9286065</v>
      </c>
      <c r="T330" s="20"/>
      <c r="U330" s="20"/>
      <c r="V330" s="20"/>
      <c r="W330" s="20">
        <v>155000</v>
      </c>
      <c r="X330" s="20">
        <v>8958400</v>
      </c>
      <c r="Y330" s="8">
        <f t="shared" si="38"/>
        <v>5011598.7400000021</v>
      </c>
      <c r="Z330" s="36"/>
      <c r="AA330" s="36"/>
      <c r="AB330" s="36"/>
      <c r="AC330" s="36"/>
      <c r="AD330" s="36"/>
      <c r="AE330" s="36"/>
      <c r="AF330" s="36">
        <v>550000</v>
      </c>
      <c r="AG330" s="36"/>
      <c r="AH330" s="36">
        <v>25500</v>
      </c>
      <c r="AI330" s="36"/>
      <c r="AJ330" s="36"/>
      <c r="AK330" s="36"/>
      <c r="AL330" s="37">
        <f t="shared" si="39"/>
        <v>575500</v>
      </c>
      <c r="AM330" s="36"/>
      <c r="AN330" s="36"/>
      <c r="AO330" s="36"/>
      <c r="AP330" s="7"/>
      <c r="AQ330" s="38">
        <f t="shared" si="40"/>
        <v>4436098.7400000021</v>
      </c>
      <c r="AR330" s="36">
        <v>4436100</v>
      </c>
      <c r="AS330" s="18">
        <f t="shared" si="41"/>
        <v>1.2599999979138374</v>
      </c>
    </row>
    <row r="331" spans="1:45" x14ac:dyDescent="0.25">
      <c r="A331" s="40">
        <v>45619</v>
      </c>
      <c r="B331" s="20">
        <v>1720.1469999999999</v>
      </c>
      <c r="C331" s="20">
        <v>2319.42</v>
      </c>
      <c r="D331" s="20">
        <v>5120</v>
      </c>
      <c r="E331" s="20">
        <v>4870</v>
      </c>
      <c r="F331" s="7">
        <f t="shared" si="35"/>
        <v>8807152.6400000006</v>
      </c>
      <c r="G331" s="7">
        <f t="shared" si="36"/>
        <v>11295575.4</v>
      </c>
      <c r="H331" s="20">
        <v>30.75</v>
      </c>
      <c r="I331" s="20">
        <v>718000</v>
      </c>
      <c r="J331" s="20">
        <v>37</v>
      </c>
      <c r="K331" s="20">
        <v>318000</v>
      </c>
      <c r="L331" s="20">
        <v>130000</v>
      </c>
      <c r="M331" s="20"/>
      <c r="N331" s="20"/>
      <c r="O331" s="20">
        <v>1070000</v>
      </c>
      <c r="P331" s="20"/>
      <c r="Q331" s="19">
        <f t="shared" si="37"/>
        <v>22338728.039999999</v>
      </c>
      <c r="R331" s="20">
        <v>508500</v>
      </c>
      <c r="S331" s="20">
        <v>7792870</v>
      </c>
      <c r="T331" s="20"/>
      <c r="U331" s="20"/>
      <c r="V331" s="20"/>
      <c r="W331" s="20">
        <v>0</v>
      </c>
      <c r="X331" s="20">
        <v>4563193</v>
      </c>
      <c r="Y331" s="8">
        <f t="shared" si="38"/>
        <v>9474165.0399999991</v>
      </c>
      <c r="Z331" s="36"/>
      <c r="AA331" s="36"/>
      <c r="AB331" s="36"/>
      <c r="AC331" s="36"/>
      <c r="AD331" s="36"/>
      <c r="AE331" s="36"/>
      <c r="AF331" s="36">
        <v>39000</v>
      </c>
      <c r="AG331" s="36"/>
      <c r="AH331" s="36"/>
      <c r="AI331" s="36"/>
      <c r="AJ331" s="36"/>
      <c r="AK331" s="36"/>
      <c r="AL331" s="37">
        <f t="shared" si="39"/>
        <v>39000</v>
      </c>
      <c r="AM331" s="36"/>
      <c r="AN331" s="36"/>
      <c r="AO331" s="36"/>
      <c r="AP331" s="7"/>
      <c r="AQ331" s="38">
        <f t="shared" si="40"/>
        <v>9435165.0399999991</v>
      </c>
      <c r="AR331" s="36">
        <v>9433200</v>
      </c>
      <c r="AS331" s="18">
        <f t="shared" si="41"/>
        <v>-1965.0399999991059</v>
      </c>
    </row>
    <row r="332" spans="1:45" x14ac:dyDescent="0.25">
      <c r="A332" s="40">
        <v>45620</v>
      </c>
      <c r="B332" s="20">
        <v>1703.0519999999999</v>
      </c>
      <c r="C332" s="20">
        <v>2152.17</v>
      </c>
      <c r="D332" s="20">
        <v>5120</v>
      </c>
      <c r="E332" s="20">
        <v>4870</v>
      </c>
      <c r="F332" s="7">
        <f t="shared" si="35"/>
        <v>8719626.2400000002</v>
      </c>
      <c r="G332" s="7">
        <f t="shared" si="36"/>
        <v>10481067.9</v>
      </c>
      <c r="H332" s="20">
        <v>85</v>
      </c>
      <c r="I332" s="20">
        <v>1887000</v>
      </c>
      <c r="J332" s="20">
        <v>54</v>
      </c>
      <c r="K332" s="20">
        <v>575000</v>
      </c>
      <c r="L332" s="20">
        <v>444000</v>
      </c>
      <c r="M332" s="20"/>
      <c r="N332" s="20"/>
      <c r="O332" s="20">
        <v>300000</v>
      </c>
      <c r="P332" s="20">
        <v>0</v>
      </c>
      <c r="Q332" s="19">
        <f t="shared" si="37"/>
        <v>22406694.140000001</v>
      </c>
      <c r="R332" s="20">
        <v>928660</v>
      </c>
      <c r="S332" s="20">
        <v>5495765</v>
      </c>
      <c r="T332" s="20"/>
      <c r="U332" s="20"/>
      <c r="V332" s="20"/>
      <c r="W332" s="20">
        <v>308000</v>
      </c>
      <c r="X332" s="20">
        <v>10431130</v>
      </c>
      <c r="Y332" s="8">
        <f t="shared" si="38"/>
        <v>5243139.1400000006</v>
      </c>
      <c r="Z332" s="36"/>
      <c r="AA332" s="36"/>
      <c r="AB332" s="36"/>
      <c r="AC332" s="36"/>
      <c r="AD332" s="36"/>
      <c r="AE332" s="36"/>
      <c r="AF332" s="36">
        <v>6000</v>
      </c>
      <c r="AG332" s="36"/>
      <c r="AH332" s="36"/>
      <c r="AI332" s="36"/>
      <c r="AJ332" s="36"/>
      <c r="AK332" s="36"/>
      <c r="AL332" s="37">
        <f t="shared" si="39"/>
        <v>6000</v>
      </c>
      <c r="AM332" s="36"/>
      <c r="AN332" s="36"/>
      <c r="AO332" s="36"/>
      <c r="AP332" s="7"/>
      <c r="AQ332" s="38">
        <f t="shared" si="40"/>
        <v>5237139.1400000006</v>
      </c>
      <c r="AR332" s="36"/>
      <c r="AS332" s="18">
        <f t="shared" si="41"/>
        <v>-5237139.1400000006</v>
      </c>
    </row>
    <row r="333" spans="1:45" x14ac:dyDescent="0.25">
      <c r="A333" s="40">
        <v>45621</v>
      </c>
      <c r="B333" s="20">
        <v>1444.567</v>
      </c>
      <c r="C333" s="20">
        <v>929.96299999999997</v>
      </c>
      <c r="D333" s="20">
        <v>5120</v>
      </c>
      <c r="E333" s="20">
        <v>4870</v>
      </c>
      <c r="F333" s="7">
        <f t="shared" si="35"/>
        <v>7396183.04</v>
      </c>
      <c r="G333" s="7">
        <f t="shared" si="36"/>
        <v>4528919.8099999996</v>
      </c>
      <c r="H333" s="20">
        <v>52</v>
      </c>
      <c r="I333" s="20">
        <v>1168500</v>
      </c>
      <c r="J333" s="20">
        <v>33</v>
      </c>
      <c r="K333" s="20">
        <v>373000</v>
      </c>
      <c r="L333" s="20">
        <v>15000</v>
      </c>
      <c r="M333" s="20"/>
      <c r="N333" s="20"/>
      <c r="O333" s="20">
        <v>450000</v>
      </c>
      <c r="P333" s="20">
        <v>75000</v>
      </c>
      <c r="Q333" s="19">
        <f t="shared" si="37"/>
        <v>14006602.85</v>
      </c>
      <c r="R333" s="20">
        <v>944200</v>
      </c>
      <c r="S333" s="20">
        <v>3955770</v>
      </c>
      <c r="T333" s="20"/>
      <c r="U333" s="20"/>
      <c r="V333" s="20"/>
      <c r="W333" s="20">
        <v>0</v>
      </c>
      <c r="X333" s="20">
        <v>1645802</v>
      </c>
      <c r="Y333" s="8">
        <f t="shared" si="38"/>
        <v>7460830.8499999996</v>
      </c>
      <c r="Z333" s="36"/>
      <c r="AA333" s="36"/>
      <c r="AB333" s="36"/>
      <c r="AC333" s="36"/>
      <c r="AD333" s="36">
        <v>97400</v>
      </c>
      <c r="AE333" s="36"/>
      <c r="AF333" s="36">
        <v>150000</v>
      </c>
      <c r="AG333" s="36"/>
      <c r="AH333" s="36"/>
      <c r="AI333" s="36"/>
      <c r="AJ333" s="36"/>
      <c r="AK333" s="36"/>
      <c r="AL333" s="37">
        <f t="shared" si="39"/>
        <v>247400</v>
      </c>
      <c r="AM333" s="36">
        <v>440000</v>
      </c>
      <c r="AN333" s="36"/>
      <c r="AO333" s="36"/>
      <c r="AP333" s="7"/>
      <c r="AQ333" s="38">
        <f t="shared" si="40"/>
        <v>6773430.8499999996</v>
      </c>
      <c r="AR333" s="36">
        <v>12010700</v>
      </c>
      <c r="AS333" s="18">
        <f t="shared" si="41"/>
        <v>5237269.1500000004</v>
      </c>
    </row>
    <row r="334" spans="1:45" x14ac:dyDescent="0.25">
      <c r="A334" s="40">
        <v>45622</v>
      </c>
      <c r="B334" s="20">
        <v>2170.65</v>
      </c>
      <c r="C334" s="20">
        <v>3256.41</v>
      </c>
      <c r="D334" s="20">
        <v>5120</v>
      </c>
      <c r="E334" s="20">
        <v>4870</v>
      </c>
      <c r="F334" s="7">
        <f t="shared" si="35"/>
        <v>11113728</v>
      </c>
      <c r="G334" s="7">
        <f t="shared" si="36"/>
        <v>15858716.699999999</v>
      </c>
      <c r="H334" s="20">
        <v>39.25</v>
      </c>
      <c r="I334" s="20">
        <v>848500</v>
      </c>
      <c r="J334" s="20">
        <v>27.5</v>
      </c>
      <c r="K334" s="20">
        <v>369500</v>
      </c>
      <c r="L334" s="20">
        <v>30000</v>
      </c>
      <c r="M334" s="20">
        <v>300000</v>
      </c>
      <c r="N334" s="20"/>
      <c r="O334" s="20">
        <v>887000</v>
      </c>
      <c r="P334" s="20"/>
      <c r="Q334" s="19">
        <f t="shared" si="37"/>
        <v>29407444.699999999</v>
      </c>
      <c r="R334" s="20">
        <v>2521032</v>
      </c>
      <c r="S334" s="20">
        <v>10035800</v>
      </c>
      <c r="T334" s="20"/>
      <c r="U334" s="20"/>
      <c r="V334" s="20"/>
      <c r="W334" s="20">
        <v>470000</v>
      </c>
      <c r="X334" s="20">
        <v>6751316</v>
      </c>
      <c r="Y334" s="8">
        <f t="shared" si="38"/>
        <v>9629296.6999999993</v>
      </c>
      <c r="Z334" s="36"/>
      <c r="AA334" s="36">
        <v>179182</v>
      </c>
      <c r="AB334" s="36"/>
      <c r="AC334" s="36"/>
      <c r="AD334" s="36"/>
      <c r="AE334" s="36"/>
      <c r="AF334" s="36">
        <v>6000</v>
      </c>
      <c r="AG334" s="36"/>
      <c r="AH334" s="36"/>
      <c r="AI334" s="36"/>
      <c r="AJ334" s="36"/>
      <c r="AK334" s="36"/>
      <c r="AL334" s="37">
        <f t="shared" si="39"/>
        <v>185182</v>
      </c>
      <c r="AM334" s="36"/>
      <c r="AN334" s="36"/>
      <c r="AO334" s="36"/>
      <c r="AP334" s="7"/>
      <c r="AQ334" s="38">
        <f t="shared" si="40"/>
        <v>9444114.6999999993</v>
      </c>
      <c r="AR334" s="36">
        <v>9444200</v>
      </c>
      <c r="AS334" s="18">
        <f t="shared" si="41"/>
        <v>85.300000000745058</v>
      </c>
    </row>
    <row r="335" spans="1:45" x14ac:dyDescent="0.25">
      <c r="A335" s="40">
        <v>45623</v>
      </c>
      <c r="B335" s="20">
        <v>1687.51</v>
      </c>
      <c r="C335" s="20">
        <v>5493.0230000000001</v>
      </c>
      <c r="D335" s="20">
        <v>5120</v>
      </c>
      <c r="E335" s="20">
        <v>4870</v>
      </c>
      <c r="F335" s="7">
        <f t="shared" si="35"/>
        <v>8640051.1999999993</v>
      </c>
      <c r="G335" s="7">
        <f t="shared" si="36"/>
        <v>26751022.010000002</v>
      </c>
      <c r="H335" s="20">
        <v>13</v>
      </c>
      <c r="I335" s="20">
        <v>249000</v>
      </c>
      <c r="J335" s="20">
        <v>24</v>
      </c>
      <c r="K335" s="20">
        <v>275000</v>
      </c>
      <c r="L335" s="20">
        <v>15000</v>
      </c>
      <c r="M335" s="20"/>
      <c r="N335" s="20"/>
      <c r="O335" s="20">
        <v>1293500</v>
      </c>
      <c r="P335" s="20"/>
      <c r="Q335" s="19">
        <f t="shared" si="37"/>
        <v>37223573.210000001</v>
      </c>
      <c r="R335" s="20">
        <v>1482226</v>
      </c>
      <c r="S335" s="20">
        <v>22993992</v>
      </c>
      <c r="T335" s="20"/>
      <c r="U335" s="20"/>
      <c r="V335" s="20"/>
      <c r="W335" s="20">
        <v>0</v>
      </c>
      <c r="X335" s="20">
        <v>7575834</v>
      </c>
      <c r="Y335" s="8">
        <f t="shared" si="38"/>
        <v>5171521.2100000009</v>
      </c>
      <c r="Z335" s="36"/>
      <c r="AA335" s="36"/>
      <c r="AB335" s="36"/>
      <c r="AC335" s="36"/>
      <c r="AD335" s="36"/>
      <c r="AE335" s="36"/>
      <c r="AF335" s="36">
        <v>57000</v>
      </c>
      <c r="AG335" s="36"/>
      <c r="AH335" s="36"/>
      <c r="AI335" s="36"/>
      <c r="AJ335" s="36"/>
      <c r="AK335" s="36"/>
      <c r="AL335" s="37">
        <f t="shared" si="39"/>
        <v>57000</v>
      </c>
      <c r="AM335" s="36"/>
      <c r="AN335" s="36"/>
      <c r="AO335" s="36"/>
      <c r="AP335" s="7"/>
      <c r="AQ335" s="38">
        <f t="shared" si="40"/>
        <v>5114521.2100000009</v>
      </c>
      <c r="AR335" s="36">
        <v>5114500</v>
      </c>
      <c r="AS335" s="18">
        <f t="shared" si="41"/>
        <v>-21.21000000089407</v>
      </c>
    </row>
    <row r="336" spans="1:45" x14ac:dyDescent="0.25">
      <c r="A336" s="40">
        <v>45624</v>
      </c>
      <c r="B336" s="20">
        <v>1950.1990000000001</v>
      </c>
      <c r="C336" s="20">
        <v>4132.0429999999997</v>
      </c>
      <c r="D336" s="20">
        <v>5120</v>
      </c>
      <c r="E336" s="20">
        <v>4870</v>
      </c>
      <c r="F336" s="7">
        <f t="shared" si="35"/>
        <v>9985018.8800000008</v>
      </c>
      <c r="G336" s="7">
        <f t="shared" si="36"/>
        <v>20123049.41</v>
      </c>
      <c r="H336" s="20">
        <v>90</v>
      </c>
      <c r="I336" s="20">
        <v>1209000</v>
      </c>
      <c r="J336" s="20">
        <v>76.5</v>
      </c>
      <c r="K336" s="20">
        <v>771000</v>
      </c>
      <c r="L336" s="20">
        <v>141000</v>
      </c>
      <c r="M336" s="20"/>
      <c r="N336" s="20"/>
      <c r="O336" s="20">
        <v>580000</v>
      </c>
      <c r="P336" s="20"/>
      <c r="Q336" s="19">
        <f t="shared" si="37"/>
        <v>32809068.289999999</v>
      </c>
      <c r="R336" s="20">
        <v>271813</v>
      </c>
      <c r="S336" s="20">
        <v>15331118</v>
      </c>
      <c r="T336" s="20"/>
      <c r="U336" s="20"/>
      <c r="V336" s="20"/>
      <c r="W336" s="20">
        <v>100000</v>
      </c>
      <c r="X336" s="20">
        <v>7216444</v>
      </c>
      <c r="Y336" s="8">
        <f t="shared" si="38"/>
        <v>9889693.2899999991</v>
      </c>
      <c r="Z336" s="36"/>
      <c r="AA336" s="36"/>
      <c r="AB336" s="36"/>
      <c r="AC336" s="36">
        <v>15000</v>
      </c>
      <c r="AD336" s="36"/>
      <c r="AE336" s="36"/>
      <c r="AF336" s="36"/>
      <c r="AG336" s="36"/>
      <c r="AH336" s="36"/>
      <c r="AI336" s="36"/>
      <c r="AJ336" s="36"/>
      <c r="AK336" s="36"/>
      <c r="AL336" s="37">
        <f t="shared" si="39"/>
        <v>15000</v>
      </c>
      <c r="AM336" s="36"/>
      <c r="AN336" s="36"/>
      <c r="AO336" s="36"/>
      <c r="AP336" s="7"/>
      <c r="AQ336" s="38">
        <f t="shared" si="40"/>
        <v>9874693.2899999991</v>
      </c>
      <c r="AR336" s="36">
        <v>9874700</v>
      </c>
      <c r="AS336" s="18">
        <f t="shared" si="41"/>
        <v>6.7100000008940697</v>
      </c>
    </row>
    <row r="337" spans="1:45" x14ac:dyDescent="0.25">
      <c r="A337" s="40">
        <v>45625</v>
      </c>
      <c r="B337" s="20">
        <v>1923.3920000000001</v>
      </c>
      <c r="C337" s="20">
        <v>2324.143</v>
      </c>
      <c r="D337" s="20">
        <v>5120</v>
      </c>
      <c r="E337" s="20">
        <v>4870</v>
      </c>
      <c r="F337" s="7">
        <f t="shared" si="35"/>
        <v>9847767.040000001</v>
      </c>
      <c r="G337" s="7">
        <f t="shared" si="36"/>
        <v>11318576.41</v>
      </c>
      <c r="H337" s="20">
        <v>50</v>
      </c>
      <c r="I337" s="20">
        <v>1086500</v>
      </c>
      <c r="J337" s="20">
        <v>60.5</v>
      </c>
      <c r="K337" s="20">
        <v>546000</v>
      </c>
      <c r="L337" s="20">
        <v>38000</v>
      </c>
      <c r="M337" s="20"/>
      <c r="N337" s="20">
        <v>1200000</v>
      </c>
      <c r="O337" s="20">
        <v>393000</v>
      </c>
      <c r="P337" s="20"/>
      <c r="Q337" s="19">
        <f t="shared" si="37"/>
        <v>24429843.450000003</v>
      </c>
      <c r="R337" s="20">
        <v>731600</v>
      </c>
      <c r="S337" s="20">
        <v>8720346</v>
      </c>
      <c r="T337" s="20"/>
      <c r="U337" s="20"/>
      <c r="V337" s="20"/>
      <c r="W337" s="20">
        <v>0</v>
      </c>
      <c r="X337" s="20">
        <v>6744024</v>
      </c>
      <c r="Y337" s="8">
        <f t="shared" si="38"/>
        <v>8233873.450000003</v>
      </c>
      <c r="Z337" s="36"/>
      <c r="AA337" s="36"/>
      <c r="AB337" s="36"/>
      <c r="AC337" s="36"/>
      <c r="AD337" s="36"/>
      <c r="AE337" s="36"/>
      <c r="AF337" s="36">
        <v>5000</v>
      </c>
      <c r="AG337" s="36">
        <v>2070000</v>
      </c>
      <c r="AH337" s="36"/>
      <c r="AI337" s="36">
        <v>10000</v>
      </c>
      <c r="AJ337" s="36"/>
      <c r="AK337" s="36"/>
      <c r="AL337" s="37">
        <f t="shared" si="39"/>
        <v>2085000</v>
      </c>
      <c r="AM337" s="36"/>
      <c r="AN337" s="36"/>
      <c r="AO337" s="36"/>
      <c r="AP337" s="7"/>
      <c r="AQ337" s="38">
        <f t="shared" si="40"/>
        <v>6148873.450000003</v>
      </c>
      <c r="AR337" s="36">
        <v>6148900</v>
      </c>
      <c r="AS337" s="18">
        <f t="shared" si="41"/>
        <v>26.549999997019768</v>
      </c>
    </row>
    <row r="338" spans="1:45" x14ac:dyDescent="0.25">
      <c r="A338" s="40">
        <v>45626</v>
      </c>
      <c r="B338" s="20">
        <v>1766.6510000000001</v>
      </c>
      <c r="C338" s="20">
        <v>5325.3440000000001</v>
      </c>
      <c r="D338" s="20">
        <v>5120</v>
      </c>
      <c r="E338" s="20">
        <v>4870</v>
      </c>
      <c r="F338" s="7">
        <f t="shared" si="35"/>
        <v>9045253.120000001</v>
      </c>
      <c r="G338" s="7">
        <f t="shared" si="36"/>
        <v>25934425.280000001</v>
      </c>
      <c r="H338" s="20">
        <v>42.25</v>
      </c>
      <c r="I338" s="20">
        <v>926500</v>
      </c>
      <c r="J338" s="20">
        <v>66.5</v>
      </c>
      <c r="K338" s="20">
        <v>674000</v>
      </c>
      <c r="L338" s="20">
        <v>94000</v>
      </c>
      <c r="M338" s="20"/>
      <c r="N338" s="20"/>
      <c r="O338" s="20">
        <v>784000</v>
      </c>
      <c r="P338" s="20"/>
      <c r="Q338" s="19">
        <f t="shared" si="37"/>
        <v>37458178.400000006</v>
      </c>
      <c r="R338" s="20">
        <v>1497687</v>
      </c>
      <c r="S338" s="20">
        <v>21977263</v>
      </c>
      <c r="T338" s="20"/>
      <c r="U338" s="20"/>
      <c r="V338" s="20"/>
      <c r="W338" s="20">
        <v>14500</v>
      </c>
      <c r="X338" s="20">
        <v>8878380</v>
      </c>
      <c r="Y338" s="8">
        <f t="shared" si="38"/>
        <v>5090348.400000006</v>
      </c>
      <c r="Z338" s="36"/>
      <c r="AA338" s="36"/>
      <c r="AB338" s="36"/>
      <c r="AC338" s="36"/>
      <c r="AD338" s="36"/>
      <c r="AE338" s="36"/>
      <c r="AF338" s="36">
        <v>3000</v>
      </c>
      <c r="AG338" s="36"/>
      <c r="AH338" s="36"/>
      <c r="AI338" s="36"/>
      <c r="AJ338" s="36"/>
      <c r="AK338" s="36"/>
      <c r="AL338" s="37">
        <f t="shared" si="39"/>
        <v>3000</v>
      </c>
      <c r="AM338" s="36"/>
      <c r="AN338" s="36"/>
      <c r="AO338" s="36"/>
      <c r="AP338" s="7"/>
      <c r="AQ338" s="38">
        <f t="shared" si="40"/>
        <v>5087348.400000006</v>
      </c>
      <c r="AR338" s="36">
        <v>5087400</v>
      </c>
      <c r="AS338" s="18">
        <f t="shared" si="41"/>
        <v>51.599999994039536</v>
      </c>
    </row>
    <row r="339" spans="1:45" x14ac:dyDescent="0.25">
      <c r="A339" s="40">
        <v>45627</v>
      </c>
      <c r="B339" s="20">
        <v>1836.8979999999999</v>
      </c>
      <c r="C339" s="20">
        <v>2565.0250000000001</v>
      </c>
      <c r="D339" s="20">
        <v>5120</v>
      </c>
      <c r="E339" s="20">
        <v>4870</v>
      </c>
      <c r="F339" s="7">
        <f t="shared" si="35"/>
        <v>9404917.7599999998</v>
      </c>
      <c r="G339" s="7">
        <f t="shared" si="36"/>
        <v>12491671.75</v>
      </c>
      <c r="H339" s="20">
        <v>55.75</v>
      </c>
      <c r="I339" s="20">
        <v>1229500</v>
      </c>
      <c r="J339" s="20">
        <v>61.5</v>
      </c>
      <c r="K339" s="20">
        <v>716000</v>
      </c>
      <c r="L339" s="20">
        <v>96000</v>
      </c>
      <c r="M339" s="20"/>
      <c r="N339" s="20"/>
      <c r="O339" s="20">
        <v>1225400</v>
      </c>
      <c r="P339" s="20"/>
      <c r="Q339" s="19">
        <f t="shared" si="37"/>
        <v>25163489.509999998</v>
      </c>
      <c r="R339" s="20">
        <v>350669</v>
      </c>
      <c r="S339" s="20">
        <v>10708335</v>
      </c>
      <c r="T339" s="20"/>
      <c r="U339" s="20"/>
      <c r="V339" s="20"/>
      <c r="W339" s="20">
        <v>94000</v>
      </c>
      <c r="X339" s="20">
        <v>4285640</v>
      </c>
      <c r="Y339" s="8">
        <f t="shared" si="38"/>
        <v>9724845.5099999979</v>
      </c>
      <c r="Z339" s="36"/>
      <c r="AA339" s="36"/>
      <c r="AB339" s="36">
        <v>625400</v>
      </c>
      <c r="AC339" s="36"/>
      <c r="AD339" s="36"/>
      <c r="AE339" s="36">
        <v>1200000</v>
      </c>
      <c r="AF339" s="36">
        <v>3000</v>
      </c>
      <c r="AG339" s="36"/>
      <c r="AH339" s="36">
        <v>22000</v>
      </c>
      <c r="AI339" s="36"/>
      <c r="AJ339" s="36"/>
      <c r="AK339" s="36"/>
      <c r="AL339" s="37">
        <f t="shared" si="39"/>
        <v>1850400</v>
      </c>
      <c r="AM339" s="36"/>
      <c r="AN339" s="36"/>
      <c r="AO339" s="36"/>
      <c r="AP339" s="7"/>
      <c r="AQ339" s="38">
        <f t="shared" si="40"/>
        <v>7874445.5099999979</v>
      </c>
      <c r="AR339" s="36">
        <v>0</v>
      </c>
      <c r="AS339" s="18">
        <f t="shared" si="41"/>
        <v>-7874445.5099999979</v>
      </c>
    </row>
    <row r="340" spans="1:45" x14ac:dyDescent="0.25">
      <c r="A340" s="40">
        <v>45628</v>
      </c>
      <c r="B340" s="20">
        <v>1752.2170000000001</v>
      </c>
      <c r="C340" s="20">
        <v>3189.348</v>
      </c>
      <c r="D340" s="20">
        <v>5120</v>
      </c>
      <c r="E340" s="20">
        <v>4870</v>
      </c>
      <c r="F340" s="7">
        <f t="shared" si="35"/>
        <v>8971351.040000001</v>
      </c>
      <c r="G340" s="7">
        <f t="shared" si="36"/>
        <v>15532124.76</v>
      </c>
      <c r="H340" s="20">
        <v>23.5</v>
      </c>
      <c r="I340" s="20">
        <v>509500</v>
      </c>
      <c r="J340" s="20">
        <v>130</v>
      </c>
      <c r="K340" s="20">
        <v>1268000</v>
      </c>
      <c r="L340" s="20">
        <v>60000</v>
      </c>
      <c r="M340" s="20">
        <v>700000</v>
      </c>
      <c r="N340" s="20"/>
      <c r="O340" s="20">
        <v>1310000</v>
      </c>
      <c r="P340" s="20"/>
      <c r="Q340" s="19">
        <f t="shared" si="37"/>
        <v>28350975.800000001</v>
      </c>
      <c r="R340" s="20">
        <v>1163457</v>
      </c>
      <c r="S340" s="20">
        <v>13867934</v>
      </c>
      <c r="T340" s="20"/>
      <c r="U340" s="20"/>
      <c r="V340" s="20"/>
      <c r="W340" s="20">
        <v>0</v>
      </c>
      <c r="X340" s="20">
        <v>5003040</v>
      </c>
      <c r="Y340" s="8">
        <f t="shared" si="38"/>
        <v>8316544.8000000007</v>
      </c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7">
        <f t="shared" si="39"/>
        <v>0</v>
      </c>
      <c r="AM340" s="36"/>
      <c r="AN340" s="36"/>
      <c r="AO340" s="36"/>
      <c r="AP340" s="7"/>
      <c r="AQ340" s="38">
        <f t="shared" si="40"/>
        <v>8316544.8000000007</v>
      </c>
      <c r="AR340" s="36">
        <v>16191000</v>
      </c>
      <c r="AS340" s="18">
        <f t="shared" si="41"/>
        <v>7874455.1999999993</v>
      </c>
    </row>
    <row r="341" spans="1:45" x14ac:dyDescent="0.25">
      <c r="A341" s="40">
        <v>45629</v>
      </c>
      <c r="B341" s="20">
        <v>1549.203</v>
      </c>
      <c r="C341" s="20">
        <v>3989.5439999999999</v>
      </c>
      <c r="D341" s="20">
        <v>5120</v>
      </c>
      <c r="E341" s="20">
        <v>4870</v>
      </c>
      <c r="F341" s="7">
        <f t="shared" si="35"/>
        <v>7931919.3599999994</v>
      </c>
      <c r="G341" s="7">
        <f t="shared" si="36"/>
        <v>19429079.280000001</v>
      </c>
      <c r="H341" s="20">
        <v>58.5</v>
      </c>
      <c r="I341" s="20">
        <v>1363500</v>
      </c>
      <c r="J341" s="20">
        <v>93.5</v>
      </c>
      <c r="K341" s="20">
        <v>927500</v>
      </c>
      <c r="L341" s="20">
        <v>8000</v>
      </c>
      <c r="M341" s="20"/>
      <c r="N341" s="20"/>
      <c r="O341" s="20">
        <v>108500</v>
      </c>
      <c r="P341" s="20"/>
      <c r="Q341" s="19">
        <f t="shared" si="37"/>
        <v>29768498.640000001</v>
      </c>
      <c r="R341" s="20">
        <v>837730</v>
      </c>
      <c r="S341" s="20">
        <v>15640529</v>
      </c>
      <c r="T341" s="20"/>
      <c r="U341" s="20"/>
      <c r="V341" s="20"/>
      <c r="W341" s="20">
        <v>100000</v>
      </c>
      <c r="X341" s="20">
        <v>4629185</v>
      </c>
      <c r="Y341" s="8">
        <f t="shared" si="38"/>
        <v>8561054.6400000006</v>
      </c>
      <c r="Z341" s="36"/>
      <c r="AA341" s="36"/>
      <c r="AB341" s="36"/>
      <c r="AC341" s="36">
        <v>34000</v>
      </c>
      <c r="AD341" s="36"/>
      <c r="AE341" s="36"/>
      <c r="AF341" s="36">
        <v>60000</v>
      </c>
      <c r="AG341" s="36"/>
      <c r="AH341" s="36">
        <v>10000</v>
      </c>
      <c r="AI341" s="36"/>
      <c r="AJ341" s="36">
        <v>100000</v>
      </c>
      <c r="AK341" s="36"/>
      <c r="AL341" s="37">
        <f t="shared" si="39"/>
        <v>204000</v>
      </c>
      <c r="AM341" s="36"/>
      <c r="AN341" s="36"/>
      <c r="AO341" s="36"/>
      <c r="AP341" s="7"/>
      <c r="AQ341" s="38">
        <f t="shared" si="40"/>
        <v>8357054.6400000006</v>
      </c>
      <c r="AR341" s="36">
        <v>8357200</v>
      </c>
      <c r="AS341" s="18">
        <f t="shared" si="41"/>
        <v>145.35999999940395</v>
      </c>
    </row>
    <row r="342" spans="1:45" x14ac:dyDescent="0.25">
      <c r="A342" s="40">
        <v>45630</v>
      </c>
      <c r="B342" s="20">
        <v>2308.355</v>
      </c>
      <c r="C342" s="20">
        <v>3604.7249999999999</v>
      </c>
      <c r="D342" s="20">
        <v>5120</v>
      </c>
      <c r="E342" s="20">
        <v>4870</v>
      </c>
      <c r="F342" s="7">
        <f t="shared" si="35"/>
        <v>11818777.6</v>
      </c>
      <c r="G342" s="7">
        <f t="shared" si="36"/>
        <v>17555010.75</v>
      </c>
      <c r="H342" s="20">
        <v>49.25</v>
      </c>
      <c r="I342" s="20">
        <v>1080000</v>
      </c>
      <c r="J342" s="20">
        <v>67.5</v>
      </c>
      <c r="K342" s="20">
        <v>840000</v>
      </c>
      <c r="L342" s="20">
        <v>201000</v>
      </c>
      <c r="M342" s="20"/>
      <c r="N342" s="20"/>
      <c r="O342" s="20">
        <v>3108726</v>
      </c>
      <c r="P342" s="20"/>
      <c r="Q342" s="19">
        <f t="shared" si="37"/>
        <v>34603514.350000001</v>
      </c>
      <c r="R342" s="20">
        <v>1807517</v>
      </c>
      <c r="S342" s="20">
        <v>13098913</v>
      </c>
      <c r="T342" s="20"/>
      <c r="U342" s="20"/>
      <c r="V342" s="20"/>
      <c r="W342" s="20">
        <v>35000</v>
      </c>
      <c r="X342" s="20">
        <v>10393000</v>
      </c>
      <c r="Y342" s="8">
        <f t="shared" si="38"/>
        <v>9269084.3500000015</v>
      </c>
      <c r="Z342" s="36"/>
      <c r="AA342" s="36"/>
      <c r="AB342" s="36"/>
      <c r="AC342" s="36"/>
      <c r="AD342" s="36"/>
      <c r="AE342" s="36"/>
      <c r="AF342" s="36"/>
      <c r="AG342" s="36"/>
      <c r="AH342" s="36">
        <v>70000</v>
      </c>
      <c r="AI342" s="36"/>
      <c r="AJ342" s="36"/>
      <c r="AK342" s="36"/>
      <c r="AL342" s="37">
        <f t="shared" si="39"/>
        <v>70000</v>
      </c>
      <c r="AM342" s="36"/>
      <c r="AN342" s="36"/>
      <c r="AO342" s="36"/>
      <c r="AP342" s="7"/>
      <c r="AQ342" s="38">
        <f t="shared" si="40"/>
        <v>9199084.3500000015</v>
      </c>
      <c r="AR342" s="36">
        <v>9199100</v>
      </c>
      <c r="AS342" s="18">
        <f t="shared" si="41"/>
        <v>15.649999998509884</v>
      </c>
    </row>
    <row r="343" spans="1:45" x14ac:dyDescent="0.25">
      <c r="A343" s="40">
        <v>45631</v>
      </c>
      <c r="B343" s="20">
        <v>1932.1469999999999</v>
      </c>
      <c r="C343" s="20">
        <v>2536.4009999999998</v>
      </c>
      <c r="D343" s="20">
        <v>5120</v>
      </c>
      <c r="E343" s="20">
        <v>4870</v>
      </c>
      <c r="F343" s="7">
        <f t="shared" si="35"/>
        <v>9892592.6400000006</v>
      </c>
      <c r="G343" s="7">
        <f t="shared" si="36"/>
        <v>12352272.869999999</v>
      </c>
      <c r="H343" s="20">
        <v>38</v>
      </c>
      <c r="I343" s="20">
        <v>849500</v>
      </c>
      <c r="J343" s="20">
        <v>68.5</v>
      </c>
      <c r="K343" s="20">
        <v>722500</v>
      </c>
      <c r="L343" s="20">
        <v>8000</v>
      </c>
      <c r="M343" s="20"/>
      <c r="N343" s="20"/>
      <c r="O343" s="20">
        <v>1198370</v>
      </c>
      <c r="P343" s="20"/>
      <c r="Q343" s="19">
        <f t="shared" si="37"/>
        <v>25023235.509999998</v>
      </c>
      <c r="R343" s="20">
        <v>1333959</v>
      </c>
      <c r="S343" s="20">
        <v>6525321</v>
      </c>
      <c r="T343" s="20"/>
      <c r="U343" s="20"/>
      <c r="V343" s="20"/>
      <c r="W343" s="20">
        <v>0</v>
      </c>
      <c r="X343" s="20">
        <v>9145630</v>
      </c>
      <c r="Y343" s="8">
        <f t="shared" si="38"/>
        <v>8018325.5099999979</v>
      </c>
      <c r="Z343" s="36"/>
      <c r="AA343" s="36"/>
      <c r="AB343" s="36"/>
      <c r="AC343" s="36"/>
      <c r="AD343" s="36"/>
      <c r="AE343" s="36"/>
      <c r="AF343" s="36">
        <v>203000</v>
      </c>
      <c r="AG343" s="36"/>
      <c r="AH343" s="36"/>
      <c r="AI343" s="36"/>
      <c r="AJ343" s="36"/>
      <c r="AK343" s="36"/>
      <c r="AL343" s="37">
        <f t="shared" si="39"/>
        <v>203000</v>
      </c>
      <c r="AM343" s="36"/>
      <c r="AN343" s="36"/>
      <c r="AO343" s="36"/>
      <c r="AP343" s="7"/>
      <c r="AQ343" s="38">
        <f t="shared" si="40"/>
        <v>7815325.5099999979</v>
      </c>
      <c r="AR343" s="36">
        <v>7815300</v>
      </c>
      <c r="AS343" s="18">
        <f t="shared" si="41"/>
        <v>-25.509999997913837</v>
      </c>
    </row>
    <row r="344" spans="1:45" x14ac:dyDescent="0.25">
      <c r="A344" s="40">
        <v>45632</v>
      </c>
      <c r="B344" s="20">
        <v>1812.4649999999999</v>
      </c>
      <c r="C344" s="20">
        <v>3147.3</v>
      </c>
      <c r="D344" s="20">
        <v>5120</v>
      </c>
      <c r="E344" s="20">
        <v>4870</v>
      </c>
      <c r="F344" s="7">
        <f t="shared" si="35"/>
        <v>9279820.7999999989</v>
      </c>
      <c r="G344" s="7">
        <f t="shared" si="36"/>
        <v>15327351</v>
      </c>
      <c r="H344" s="20">
        <v>30</v>
      </c>
      <c r="I344" s="20">
        <v>621500</v>
      </c>
      <c r="J344" s="20">
        <v>33.5</v>
      </c>
      <c r="K344" s="20">
        <v>499500</v>
      </c>
      <c r="L344" s="20">
        <v>31000</v>
      </c>
      <c r="M344" s="20"/>
      <c r="N344" s="20"/>
      <c r="O344" s="20">
        <v>1244000</v>
      </c>
      <c r="P344" s="20"/>
      <c r="Q344" s="19">
        <f t="shared" si="37"/>
        <v>27003171.799999997</v>
      </c>
      <c r="R344" s="20">
        <v>709624</v>
      </c>
      <c r="S344" s="20">
        <v>7027346</v>
      </c>
      <c r="T344" s="20"/>
      <c r="U344" s="20"/>
      <c r="V344" s="20"/>
      <c r="W344" s="20">
        <v>195000</v>
      </c>
      <c r="X344" s="20">
        <v>10479700</v>
      </c>
      <c r="Y344" s="8">
        <f t="shared" si="38"/>
        <v>8591501.799999997</v>
      </c>
      <c r="Z344" s="36"/>
      <c r="AA344" s="36"/>
      <c r="AB344" s="36"/>
      <c r="AC344" s="36"/>
      <c r="AD344" s="36">
        <v>97400</v>
      </c>
      <c r="AE344" s="36"/>
      <c r="AF344" s="36">
        <v>303000</v>
      </c>
      <c r="AG344" s="36"/>
      <c r="AH344" s="36"/>
      <c r="AI344" s="36"/>
      <c r="AJ344" s="36"/>
      <c r="AK344" s="36"/>
      <c r="AL344" s="37">
        <f t="shared" si="39"/>
        <v>400400</v>
      </c>
      <c r="AM344" s="36"/>
      <c r="AN344" s="36"/>
      <c r="AO344" s="36"/>
      <c r="AP344" s="7"/>
      <c r="AQ344" s="38">
        <f t="shared" si="40"/>
        <v>8191101.799999997</v>
      </c>
      <c r="AR344" s="36">
        <v>8191100</v>
      </c>
      <c r="AS344" s="18">
        <f t="shared" si="41"/>
        <v>-1.7999999970197678</v>
      </c>
    </row>
    <row r="345" spans="1:45" x14ac:dyDescent="0.25">
      <c r="A345" s="40">
        <v>45633</v>
      </c>
      <c r="B345" s="20">
        <v>2387.1930000000002</v>
      </c>
      <c r="C345" s="20">
        <v>1697.742</v>
      </c>
      <c r="D345" s="20">
        <v>5120</v>
      </c>
      <c r="E345" s="20">
        <v>4870</v>
      </c>
      <c r="F345" s="7">
        <f t="shared" si="35"/>
        <v>12222428.16</v>
      </c>
      <c r="G345" s="7">
        <f t="shared" si="36"/>
        <v>8268003.54</v>
      </c>
      <c r="H345" s="20">
        <v>25</v>
      </c>
      <c r="I345" s="20">
        <v>594500</v>
      </c>
      <c r="J345" s="20">
        <v>88.5</v>
      </c>
      <c r="K345" s="20">
        <v>859000</v>
      </c>
      <c r="L345" s="20">
        <v>8000</v>
      </c>
      <c r="M345" s="20"/>
      <c r="N345" s="20"/>
      <c r="O345" s="20">
        <v>150000</v>
      </c>
      <c r="P345" s="20"/>
      <c r="Q345" s="19">
        <f t="shared" si="37"/>
        <v>22101931.699999999</v>
      </c>
      <c r="R345" s="20">
        <v>1134415</v>
      </c>
      <c r="S345" s="20">
        <v>6316546</v>
      </c>
      <c r="T345" s="20"/>
      <c r="U345" s="20"/>
      <c r="V345" s="20"/>
      <c r="W345" s="20">
        <v>0</v>
      </c>
      <c r="X345" s="20">
        <v>6998687</v>
      </c>
      <c r="Y345" s="8">
        <f t="shared" si="38"/>
        <v>7652283.6999999993</v>
      </c>
      <c r="Z345" s="36"/>
      <c r="AA345" s="36"/>
      <c r="AB345" s="36"/>
      <c r="AC345" s="36">
        <v>5000</v>
      </c>
      <c r="AD345" s="36"/>
      <c r="AE345" s="36"/>
      <c r="AF345" s="36">
        <v>2005000</v>
      </c>
      <c r="AG345" s="36"/>
      <c r="AH345" s="36"/>
      <c r="AI345" s="36"/>
      <c r="AJ345" s="36">
        <v>70000</v>
      </c>
      <c r="AK345" s="36"/>
      <c r="AL345" s="37">
        <f t="shared" si="39"/>
        <v>2080000</v>
      </c>
      <c r="AM345" s="36"/>
      <c r="AN345" s="36"/>
      <c r="AO345" s="36"/>
      <c r="AP345" s="7"/>
      <c r="AQ345" s="38">
        <f t="shared" si="40"/>
        <v>5572283.6999999993</v>
      </c>
      <c r="AR345" s="36">
        <v>5572300</v>
      </c>
      <c r="AS345" s="18">
        <f t="shared" si="41"/>
        <v>16.300000000745058</v>
      </c>
    </row>
    <row r="346" spans="1:45" x14ac:dyDescent="0.25">
      <c r="A346" s="40">
        <v>45634</v>
      </c>
      <c r="B346" s="20">
        <v>1931.9880000000001</v>
      </c>
      <c r="C346" s="20">
        <v>2422.0569999999998</v>
      </c>
      <c r="D346" s="20">
        <v>5090</v>
      </c>
      <c r="E346" s="20">
        <v>4800</v>
      </c>
      <c r="F346" s="7">
        <f t="shared" si="35"/>
        <v>9833818.9199999999</v>
      </c>
      <c r="G346" s="7">
        <f t="shared" si="36"/>
        <v>11625873.6</v>
      </c>
      <c r="H346" s="20">
        <v>61</v>
      </c>
      <c r="I346" s="20">
        <v>1312000</v>
      </c>
      <c r="J346" s="20">
        <v>36</v>
      </c>
      <c r="K346" s="20">
        <v>731000</v>
      </c>
      <c r="L346" s="20">
        <v>15000</v>
      </c>
      <c r="M346" s="20"/>
      <c r="N346" s="20"/>
      <c r="O346" s="20">
        <v>880960</v>
      </c>
      <c r="P346" s="20"/>
      <c r="Q346" s="19">
        <f t="shared" si="37"/>
        <v>24398652.52</v>
      </c>
      <c r="R346" s="20">
        <v>1687626</v>
      </c>
      <c r="S346" s="20">
        <v>7441616</v>
      </c>
      <c r="T346" s="20"/>
      <c r="U346" s="20"/>
      <c r="V346" s="20"/>
      <c r="W346" s="20"/>
      <c r="X346" s="20">
        <v>9323616</v>
      </c>
      <c r="Y346" s="8">
        <f t="shared" si="38"/>
        <v>5945794.5199999996</v>
      </c>
      <c r="Z346" s="36"/>
      <c r="AA346" s="36"/>
      <c r="AB346" s="36"/>
      <c r="AC346" s="36"/>
      <c r="AD346" s="36"/>
      <c r="AE346" s="36"/>
      <c r="AF346" s="36">
        <v>3000</v>
      </c>
      <c r="AG346" s="36"/>
      <c r="AH346" s="36">
        <v>25500</v>
      </c>
      <c r="AI346" s="36"/>
      <c r="AJ346" s="36"/>
      <c r="AK346" s="36"/>
      <c r="AL346" s="37">
        <f t="shared" si="39"/>
        <v>28500</v>
      </c>
      <c r="AM346" s="36"/>
      <c r="AN346" s="36"/>
      <c r="AO346" s="36"/>
      <c r="AP346" s="7"/>
      <c r="AQ346" s="38">
        <f t="shared" si="40"/>
        <v>5917294.5199999996</v>
      </c>
      <c r="AR346" s="36">
        <v>5917300</v>
      </c>
      <c r="AS346" s="18">
        <f t="shared" si="41"/>
        <v>5.4800000004470348</v>
      </c>
    </row>
    <row r="347" spans="1:45" x14ac:dyDescent="0.25">
      <c r="A347" s="40">
        <v>45635</v>
      </c>
      <c r="B347" s="20">
        <v>1679.55</v>
      </c>
      <c r="C347" s="20">
        <v>3523.806</v>
      </c>
      <c r="D347" s="20">
        <v>5090</v>
      </c>
      <c r="E347" s="20">
        <v>4800</v>
      </c>
      <c r="F347" s="7">
        <f t="shared" si="35"/>
        <v>8548909.5</v>
      </c>
      <c r="G347" s="7">
        <f t="shared" si="36"/>
        <v>16914268.800000001</v>
      </c>
      <c r="H347" s="20">
        <v>35</v>
      </c>
      <c r="I347" s="20">
        <v>751500</v>
      </c>
      <c r="J347" s="20">
        <v>125</v>
      </c>
      <c r="K347" s="20">
        <v>1255000</v>
      </c>
      <c r="L347" s="20">
        <v>80000</v>
      </c>
      <c r="M347" s="20"/>
      <c r="N347" s="20"/>
      <c r="O347" s="20">
        <v>0</v>
      </c>
      <c r="P347" s="20"/>
      <c r="Q347" s="19">
        <f t="shared" si="37"/>
        <v>27549678.300000001</v>
      </c>
      <c r="R347" s="20">
        <v>140900</v>
      </c>
      <c r="S347" s="20">
        <v>13576448</v>
      </c>
      <c r="T347" s="20"/>
      <c r="U347" s="20"/>
      <c r="V347" s="20"/>
      <c r="W347" s="20">
        <v>200000</v>
      </c>
      <c r="X347" s="20">
        <v>5554375</v>
      </c>
      <c r="Y347" s="8">
        <f t="shared" si="38"/>
        <v>8077955.3000000007</v>
      </c>
      <c r="Z347" s="36"/>
      <c r="AA347" s="36"/>
      <c r="AB347" s="36"/>
      <c r="AC347" s="36"/>
      <c r="AD347" s="36"/>
      <c r="AE347" s="36"/>
      <c r="AF347" s="36">
        <v>1242000</v>
      </c>
      <c r="AG347" s="36"/>
      <c r="AH347" s="36">
        <v>66000</v>
      </c>
      <c r="AI347" s="36"/>
      <c r="AJ347" s="36"/>
      <c r="AK347" s="36"/>
      <c r="AL347" s="37">
        <f t="shared" si="39"/>
        <v>1308000</v>
      </c>
      <c r="AM347" s="36"/>
      <c r="AN347" s="36"/>
      <c r="AO347" s="36"/>
      <c r="AP347" s="7"/>
      <c r="AQ347" s="38">
        <f t="shared" si="40"/>
        <v>6769955.3000000007</v>
      </c>
      <c r="AR347" s="36">
        <v>6770000</v>
      </c>
      <c r="AS347" s="18">
        <f t="shared" si="41"/>
        <v>44.699999999254942</v>
      </c>
    </row>
    <row r="348" spans="1:45" x14ac:dyDescent="0.25">
      <c r="A348" s="40">
        <v>45636</v>
      </c>
      <c r="B348" s="20">
        <v>2558.5059999999999</v>
      </c>
      <c r="C348" s="20">
        <v>3471.83</v>
      </c>
      <c r="D348" s="20">
        <v>5090</v>
      </c>
      <c r="E348" s="20">
        <v>4800</v>
      </c>
      <c r="F348" s="7">
        <f t="shared" si="35"/>
        <v>13022795.539999999</v>
      </c>
      <c r="G348" s="7">
        <f t="shared" si="36"/>
        <v>16664784</v>
      </c>
      <c r="H348" s="20">
        <v>69.5</v>
      </c>
      <c r="I348" s="20">
        <v>1688500</v>
      </c>
      <c r="J348" s="20">
        <v>60</v>
      </c>
      <c r="K348" s="20">
        <v>530000</v>
      </c>
      <c r="L348" s="20">
        <v>158000</v>
      </c>
      <c r="M348" s="20"/>
      <c r="N348" s="20"/>
      <c r="O348" s="20"/>
      <c r="P348" s="20">
        <v>25000</v>
      </c>
      <c r="Q348" s="19">
        <f t="shared" si="37"/>
        <v>32089079.539999999</v>
      </c>
      <c r="R348" s="20">
        <v>1900047</v>
      </c>
      <c r="S348" s="20">
        <v>10028818</v>
      </c>
      <c r="T348" s="20"/>
      <c r="U348" s="20"/>
      <c r="V348" s="20"/>
      <c r="W348" s="20">
        <v>90000</v>
      </c>
      <c r="X348" s="20">
        <v>9890581</v>
      </c>
      <c r="Y348" s="8">
        <f t="shared" si="38"/>
        <v>10179633.539999999</v>
      </c>
      <c r="Z348" s="36"/>
      <c r="AA348" s="36"/>
      <c r="AB348" s="36"/>
      <c r="AC348" s="36"/>
      <c r="AD348" s="36"/>
      <c r="AE348" s="36"/>
      <c r="AF348" s="36">
        <v>2053000</v>
      </c>
      <c r="AG348" s="36"/>
      <c r="AH348" s="36">
        <v>38000</v>
      </c>
      <c r="AI348" s="36"/>
      <c r="AJ348" s="36"/>
      <c r="AK348" s="36"/>
      <c r="AL348" s="37">
        <f t="shared" si="39"/>
        <v>2091000</v>
      </c>
      <c r="AM348" s="36"/>
      <c r="AN348" s="36"/>
      <c r="AO348" s="36"/>
      <c r="AP348" s="7"/>
      <c r="AQ348" s="38">
        <f t="shared" si="40"/>
        <v>8088633.5399999991</v>
      </c>
      <c r="AR348" s="36">
        <v>8088600</v>
      </c>
      <c r="AS348" s="18">
        <f t="shared" si="41"/>
        <v>-33.53999999910593</v>
      </c>
    </row>
    <row r="349" spans="1:45" x14ac:dyDescent="0.25">
      <c r="A349" s="40">
        <v>45637</v>
      </c>
      <c r="B349" s="20">
        <v>2001.106</v>
      </c>
      <c r="C349" s="20">
        <v>3449.2179999999998</v>
      </c>
      <c r="D349" s="20">
        <v>5090</v>
      </c>
      <c r="E349" s="20">
        <v>4800</v>
      </c>
      <c r="F349" s="7">
        <f t="shared" si="35"/>
        <v>10185629.539999999</v>
      </c>
      <c r="G349" s="7">
        <f t="shared" si="36"/>
        <v>16556246.399999999</v>
      </c>
      <c r="H349" s="20">
        <v>63.5</v>
      </c>
      <c r="I349" s="20">
        <v>1432000</v>
      </c>
      <c r="J349" s="20">
        <v>42</v>
      </c>
      <c r="K349" s="20">
        <v>463000</v>
      </c>
      <c r="L349" s="20">
        <v>23000</v>
      </c>
      <c r="M349" s="20"/>
      <c r="N349" s="20"/>
      <c r="O349" s="20">
        <v>1552300</v>
      </c>
      <c r="P349" s="20"/>
      <c r="Q349" s="19">
        <f t="shared" si="37"/>
        <v>30212175.939999998</v>
      </c>
      <c r="R349" s="20">
        <v>2119199</v>
      </c>
      <c r="S349" s="20">
        <v>10021642</v>
      </c>
      <c r="T349" s="20"/>
      <c r="U349" s="20"/>
      <c r="V349" s="20"/>
      <c r="W349" s="20">
        <v>230000</v>
      </c>
      <c r="X349" s="20">
        <v>10725544</v>
      </c>
      <c r="Y349" s="8">
        <f t="shared" si="38"/>
        <v>7115790.9399999976</v>
      </c>
      <c r="Z349" s="36"/>
      <c r="AA349" s="36"/>
      <c r="AB349" s="36"/>
      <c r="AC349" s="36"/>
      <c r="AD349" s="36"/>
      <c r="AE349" s="36"/>
      <c r="AF349" s="36">
        <v>1003000</v>
      </c>
      <c r="AG349" s="36"/>
      <c r="AH349" s="36"/>
      <c r="AI349" s="36"/>
      <c r="AJ349" s="36"/>
      <c r="AK349" s="36"/>
      <c r="AL349" s="37">
        <f t="shared" si="39"/>
        <v>1003000</v>
      </c>
      <c r="AM349" s="36"/>
      <c r="AN349" s="36"/>
      <c r="AO349" s="36"/>
      <c r="AP349" s="7"/>
      <c r="AQ349" s="38">
        <f t="shared" si="40"/>
        <v>6112790.9399999976</v>
      </c>
      <c r="AR349" s="36">
        <v>6113000</v>
      </c>
      <c r="AS349" s="18">
        <f t="shared" si="41"/>
        <v>209.06000000238419</v>
      </c>
    </row>
    <row r="350" spans="1:45" x14ac:dyDescent="0.25">
      <c r="A350" s="40">
        <v>45638</v>
      </c>
      <c r="B350" s="20">
        <v>1812.99</v>
      </c>
      <c r="C350" s="20">
        <v>1897.992</v>
      </c>
      <c r="D350" s="20">
        <v>5090</v>
      </c>
      <c r="E350" s="20">
        <v>4800</v>
      </c>
      <c r="F350" s="7">
        <f t="shared" si="35"/>
        <v>9228119.0999999996</v>
      </c>
      <c r="G350" s="7">
        <f t="shared" si="36"/>
        <v>9110361.5999999996</v>
      </c>
      <c r="H350" s="20">
        <v>21.25</v>
      </c>
      <c r="I350" s="20">
        <v>428000</v>
      </c>
      <c r="J350" s="20">
        <v>48</v>
      </c>
      <c r="K350" s="20">
        <v>652000</v>
      </c>
      <c r="L350" s="20">
        <v>23000</v>
      </c>
      <c r="M350" s="20"/>
      <c r="N350" s="20"/>
      <c r="O350" s="20"/>
      <c r="P350" s="20"/>
      <c r="Q350" s="19">
        <f t="shared" si="37"/>
        <v>19441480.699999999</v>
      </c>
      <c r="R350" s="20">
        <v>1117998</v>
      </c>
      <c r="S350" s="20">
        <v>6676383</v>
      </c>
      <c r="T350" s="20"/>
      <c r="U350" s="20"/>
      <c r="V350" s="20"/>
      <c r="W350" s="20">
        <v>149500</v>
      </c>
      <c r="X350" s="20">
        <v>5476429</v>
      </c>
      <c r="Y350" s="8">
        <f t="shared" si="38"/>
        <v>6021170.6999999993</v>
      </c>
      <c r="Z350" s="36"/>
      <c r="AA350" s="36"/>
      <c r="AB350" s="36"/>
      <c r="AC350" s="36"/>
      <c r="AD350" s="36"/>
      <c r="AE350" s="36"/>
      <c r="AF350" s="36">
        <v>1503000</v>
      </c>
      <c r="AG350" s="36"/>
      <c r="AH350" s="36"/>
      <c r="AI350" s="36"/>
      <c r="AJ350" s="36"/>
      <c r="AK350" s="36"/>
      <c r="AL350" s="37">
        <f t="shared" si="39"/>
        <v>1503000</v>
      </c>
      <c r="AM350" s="36"/>
      <c r="AN350" s="36"/>
      <c r="AO350" s="36"/>
      <c r="AP350" s="7"/>
      <c r="AQ350" s="38">
        <f t="shared" si="40"/>
        <v>4518170.6999999993</v>
      </c>
      <c r="AR350" s="36">
        <v>4518200</v>
      </c>
      <c r="AS350" s="18">
        <f t="shared" si="41"/>
        <v>29.300000000745058</v>
      </c>
    </row>
    <row r="351" spans="1:45" x14ac:dyDescent="0.25">
      <c r="A351" s="40">
        <v>45639</v>
      </c>
      <c r="B351" s="20">
        <v>2627.5169999999998</v>
      </c>
      <c r="C351" s="20">
        <v>2434.25</v>
      </c>
      <c r="D351" s="20">
        <v>5090</v>
      </c>
      <c r="E351" s="20">
        <v>4800</v>
      </c>
      <c r="F351" s="7">
        <f t="shared" si="35"/>
        <v>13374061.529999999</v>
      </c>
      <c r="G351" s="7">
        <f t="shared" si="36"/>
        <v>11684400</v>
      </c>
      <c r="H351" s="20">
        <v>30.25</v>
      </c>
      <c r="I351" s="20">
        <v>676500</v>
      </c>
      <c r="J351" s="20">
        <v>42</v>
      </c>
      <c r="K351" s="20">
        <v>560000</v>
      </c>
      <c r="L351" s="20">
        <v>16000</v>
      </c>
      <c r="M351" s="20"/>
      <c r="N351" s="20"/>
      <c r="O351" s="20">
        <v>100000</v>
      </c>
      <c r="P351" s="20"/>
      <c r="Q351" s="19">
        <f t="shared" si="37"/>
        <v>26410961.530000001</v>
      </c>
      <c r="R351" s="20">
        <v>956773</v>
      </c>
      <c r="S351" s="20">
        <v>7362450</v>
      </c>
      <c r="T351" s="20"/>
      <c r="U351" s="20"/>
      <c r="V351" s="20"/>
      <c r="W351" s="20">
        <v>331500</v>
      </c>
      <c r="X351" s="20">
        <v>7991919</v>
      </c>
      <c r="Y351" s="8">
        <f t="shared" si="38"/>
        <v>9768319.5300000012</v>
      </c>
      <c r="Z351" s="36">
        <v>1474800</v>
      </c>
      <c r="AA351" s="36"/>
      <c r="AB351" s="36"/>
      <c r="AC351" s="36"/>
      <c r="AD351" s="36"/>
      <c r="AE351" s="36">
        <v>60000</v>
      </c>
      <c r="AF351" s="36">
        <v>3763000</v>
      </c>
      <c r="AG351" s="36"/>
      <c r="AH351" s="36"/>
      <c r="AI351" s="36"/>
      <c r="AJ351" s="36">
        <v>200000</v>
      </c>
      <c r="AK351" s="36"/>
      <c r="AL351" s="37">
        <f t="shared" si="39"/>
        <v>5497800</v>
      </c>
      <c r="AM351" s="36"/>
      <c r="AN351" s="36"/>
      <c r="AO351" s="36"/>
      <c r="AP351" s="7"/>
      <c r="AQ351" s="38">
        <f t="shared" si="40"/>
        <v>4270519.5300000012</v>
      </c>
      <c r="AR351" s="36">
        <v>4270500</v>
      </c>
      <c r="AS351" s="18">
        <f t="shared" si="41"/>
        <v>-19.530000001192093</v>
      </c>
    </row>
    <row r="352" spans="1:45" x14ac:dyDescent="0.25">
      <c r="A352" s="40">
        <v>45640</v>
      </c>
      <c r="B352" s="20">
        <v>2868.8330000000001</v>
      </c>
      <c r="C352" s="20">
        <v>2825.9389999999999</v>
      </c>
      <c r="D352" s="20">
        <v>5090</v>
      </c>
      <c r="E352" s="20">
        <v>4800</v>
      </c>
      <c r="F352" s="7">
        <f t="shared" si="35"/>
        <v>14602359.970000001</v>
      </c>
      <c r="G352" s="7">
        <f t="shared" si="36"/>
        <v>13564507.199999999</v>
      </c>
      <c r="H352" s="20">
        <v>55</v>
      </c>
      <c r="I352" s="20">
        <v>1043000</v>
      </c>
      <c r="J352" s="20">
        <v>30</v>
      </c>
      <c r="K352" s="20">
        <v>476000</v>
      </c>
      <c r="L352" s="20">
        <v>196000</v>
      </c>
      <c r="M352" s="20"/>
      <c r="N352" s="20"/>
      <c r="O352" s="20">
        <v>2835910</v>
      </c>
      <c r="P352" s="20"/>
      <c r="Q352" s="19">
        <f t="shared" si="37"/>
        <v>32717777.170000002</v>
      </c>
      <c r="R352" s="20">
        <v>1444709</v>
      </c>
      <c r="S352" s="20">
        <v>8663346</v>
      </c>
      <c r="T352" s="20"/>
      <c r="U352" s="20"/>
      <c r="V352" s="20"/>
      <c r="W352" s="20">
        <v>278436</v>
      </c>
      <c r="X352" s="20">
        <v>15131553</v>
      </c>
      <c r="Y352" s="8">
        <f t="shared" si="38"/>
        <v>7199733.1700000018</v>
      </c>
      <c r="Z352" s="36"/>
      <c r="AA352" s="36"/>
      <c r="AB352" s="36"/>
      <c r="AC352" s="36"/>
      <c r="AD352" s="36"/>
      <c r="AE352" s="36"/>
      <c r="AF352" s="36">
        <v>8000</v>
      </c>
      <c r="AG352" s="36"/>
      <c r="AH352" s="36"/>
      <c r="AI352" s="36"/>
      <c r="AJ352" s="36"/>
      <c r="AK352" s="36"/>
      <c r="AL352" s="37">
        <f t="shared" si="39"/>
        <v>8000</v>
      </c>
      <c r="AM352" s="36">
        <v>720000</v>
      </c>
      <c r="AN352" s="36"/>
      <c r="AO352" s="36"/>
      <c r="AP352" s="7"/>
      <c r="AQ352" s="38">
        <f t="shared" si="40"/>
        <v>6471733.1700000018</v>
      </c>
      <c r="AR352" s="36">
        <v>6471800</v>
      </c>
      <c r="AS352" s="18">
        <f t="shared" si="41"/>
        <v>66.829999998211861</v>
      </c>
    </row>
    <row r="353" spans="1:45" x14ac:dyDescent="0.25">
      <c r="A353" s="40">
        <v>45641</v>
      </c>
      <c r="B353" s="20">
        <v>2239.8389999999999</v>
      </c>
      <c r="C353" s="20">
        <v>1301.71</v>
      </c>
      <c r="D353" s="20">
        <v>5090</v>
      </c>
      <c r="E353" s="20">
        <v>4800</v>
      </c>
      <c r="F353" s="7">
        <f t="shared" si="35"/>
        <v>11400780.51</v>
      </c>
      <c r="G353" s="7">
        <f t="shared" si="36"/>
        <v>6248208</v>
      </c>
      <c r="H353" s="20">
        <v>30</v>
      </c>
      <c r="I353" s="20">
        <v>635500</v>
      </c>
      <c r="J353" s="20">
        <v>59</v>
      </c>
      <c r="K353" s="20">
        <v>554000</v>
      </c>
      <c r="L353" s="20">
        <v>24000</v>
      </c>
      <c r="M353" s="20"/>
      <c r="N353" s="20"/>
      <c r="O353" s="20">
        <v>1630000</v>
      </c>
      <c r="P353" s="20"/>
      <c r="Q353" s="19">
        <f t="shared" si="37"/>
        <v>20492488.509999998</v>
      </c>
      <c r="R353" s="20">
        <v>784404</v>
      </c>
      <c r="S353" s="20">
        <v>3214091</v>
      </c>
      <c r="T353" s="20"/>
      <c r="U353" s="20"/>
      <c r="V353" s="20"/>
      <c r="W353" s="20">
        <v>220000</v>
      </c>
      <c r="X353" s="20">
        <v>7893660</v>
      </c>
      <c r="Y353" s="8">
        <f t="shared" si="38"/>
        <v>8380333.5099999979</v>
      </c>
      <c r="Z353" s="36"/>
      <c r="AA353" s="36"/>
      <c r="AB353" s="36"/>
      <c r="AC353" s="36"/>
      <c r="AD353" s="36"/>
      <c r="AE353" s="36"/>
      <c r="AF353" s="36">
        <v>2033000</v>
      </c>
      <c r="AG353" s="36"/>
      <c r="AH353" s="36">
        <v>33000</v>
      </c>
      <c r="AI353" s="36"/>
      <c r="AJ353" s="36"/>
      <c r="AK353" s="36"/>
      <c r="AL353" s="37">
        <f t="shared" si="39"/>
        <v>2066000</v>
      </c>
      <c r="AM353" s="36">
        <v>295000</v>
      </c>
      <c r="AN353" s="36"/>
      <c r="AO353" s="36"/>
      <c r="AP353" s="7"/>
      <c r="AQ353" s="38">
        <f t="shared" si="40"/>
        <v>6019333.5099999979</v>
      </c>
      <c r="AR353" s="36">
        <v>0</v>
      </c>
      <c r="AS353" s="18">
        <f t="shared" si="41"/>
        <v>-6019333.5099999979</v>
      </c>
    </row>
    <row r="354" spans="1:45" x14ac:dyDescent="0.25">
      <c r="A354" s="40">
        <v>45642</v>
      </c>
      <c r="B354" s="20">
        <v>1958.9659999999999</v>
      </c>
      <c r="C354" s="20">
        <v>1968.82</v>
      </c>
      <c r="D354" s="20">
        <v>5090</v>
      </c>
      <c r="E354" s="20">
        <v>4800</v>
      </c>
      <c r="F354" s="7">
        <f t="shared" si="35"/>
        <v>9971136.9399999995</v>
      </c>
      <c r="G354" s="7">
        <f t="shared" si="36"/>
        <v>9450336</v>
      </c>
      <c r="H354" s="20">
        <v>56.5</v>
      </c>
      <c r="I354" s="20">
        <v>1301500</v>
      </c>
      <c r="J354" s="20">
        <v>61</v>
      </c>
      <c r="K354" s="20">
        <v>528000</v>
      </c>
      <c r="L354" s="20">
        <v>46000</v>
      </c>
      <c r="M354" s="20"/>
      <c r="N354" s="20"/>
      <c r="O354" s="20">
        <v>490000</v>
      </c>
      <c r="P354" s="20">
        <v>25000</v>
      </c>
      <c r="Q354" s="19">
        <f t="shared" si="37"/>
        <v>21811972.939999998</v>
      </c>
      <c r="R354" s="20">
        <v>398182</v>
      </c>
      <c r="S354" s="20">
        <v>5971981</v>
      </c>
      <c r="T354" s="20"/>
      <c r="U354" s="20"/>
      <c r="V354" s="20"/>
      <c r="W354" s="20">
        <v>152000</v>
      </c>
      <c r="X354" s="20">
        <v>4302341</v>
      </c>
      <c r="Y354" s="8">
        <f t="shared" si="38"/>
        <v>10987468.939999998</v>
      </c>
      <c r="Z354" s="36"/>
      <c r="AA354" s="36"/>
      <c r="AB354" s="36"/>
      <c r="AC354" s="36">
        <v>28000</v>
      </c>
      <c r="AD354" s="36"/>
      <c r="AE354" s="36"/>
      <c r="AF354" s="36">
        <v>2630000</v>
      </c>
      <c r="AG354" s="36"/>
      <c r="AH354" s="36"/>
      <c r="AI354" s="36"/>
      <c r="AJ354" s="36"/>
      <c r="AK354" s="36"/>
      <c r="AL354" s="37">
        <f t="shared" si="39"/>
        <v>2658000</v>
      </c>
      <c r="AM354" s="36"/>
      <c r="AN354" s="36"/>
      <c r="AO354" s="36"/>
      <c r="AP354" s="7"/>
      <c r="AQ354" s="38">
        <f t="shared" si="40"/>
        <v>8329468.9399999976</v>
      </c>
      <c r="AR354" s="36">
        <v>14348800</v>
      </c>
      <c r="AS354" s="18">
        <f t="shared" si="41"/>
        <v>6019331.0600000024</v>
      </c>
    </row>
    <row r="355" spans="1:45" x14ac:dyDescent="0.25">
      <c r="A355" s="40">
        <v>45643</v>
      </c>
      <c r="B355" s="20">
        <v>1597.595</v>
      </c>
      <c r="C355" s="20">
        <v>4254.17</v>
      </c>
      <c r="D355" s="20">
        <v>5090</v>
      </c>
      <c r="E355" s="20">
        <v>4800</v>
      </c>
      <c r="F355" s="7">
        <f t="shared" si="35"/>
        <v>8131758.5499999998</v>
      </c>
      <c r="G355" s="7">
        <f t="shared" si="36"/>
        <v>20420016</v>
      </c>
      <c r="H355" s="20">
        <v>56</v>
      </c>
      <c r="I355" s="20">
        <v>1223500</v>
      </c>
      <c r="J355" s="20">
        <v>54</v>
      </c>
      <c r="K355" s="20">
        <v>661000</v>
      </c>
      <c r="L355" s="20">
        <v>128000</v>
      </c>
      <c r="M355" s="20">
        <v>10000</v>
      </c>
      <c r="N355" s="20"/>
      <c r="O355" s="20">
        <v>1418480</v>
      </c>
      <c r="P355" s="20"/>
      <c r="Q355" s="19">
        <f t="shared" si="37"/>
        <v>31992754.550000001</v>
      </c>
      <c r="R355" s="20">
        <v>1760256</v>
      </c>
      <c r="S355" s="20">
        <v>7650790</v>
      </c>
      <c r="T355" s="20"/>
      <c r="U355" s="20"/>
      <c r="V355" s="20"/>
      <c r="W355" s="20">
        <v>0</v>
      </c>
      <c r="X355" s="20">
        <v>17333203</v>
      </c>
      <c r="Y355" s="8">
        <f t="shared" si="38"/>
        <v>5248505.5500000007</v>
      </c>
      <c r="Z355" s="36"/>
      <c r="AA355" s="36"/>
      <c r="AB355" s="36"/>
      <c r="AC355" s="36"/>
      <c r="AD355" s="36"/>
      <c r="AE355" s="36"/>
      <c r="AF355" s="36">
        <v>56000</v>
      </c>
      <c r="AG355" s="36"/>
      <c r="AH355" s="36"/>
      <c r="AI355" s="36"/>
      <c r="AJ355" s="36"/>
      <c r="AK355" s="36"/>
      <c r="AL355" s="37">
        <f t="shared" si="39"/>
        <v>56000</v>
      </c>
      <c r="AM355" s="36"/>
      <c r="AN355" s="36"/>
      <c r="AO355" s="36"/>
      <c r="AP355" s="7"/>
      <c r="AQ355" s="38">
        <f t="shared" si="40"/>
        <v>5192505.5500000007</v>
      </c>
      <c r="AR355" s="36">
        <v>5190400</v>
      </c>
      <c r="AS355" s="18">
        <f t="shared" si="41"/>
        <v>-2105.5500000007451</v>
      </c>
    </row>
    <row r="356" spans="1:45" x14ac:dyDescent="0.25">
      <c r="A356" s="40">
        <v>45644</v>
      </c>
      <c r="B356" s="20">
        <v>1971.038</v>
      </c>
      <c r="C356" s="20">
        <v>4604.2690000000002</v>
      </c>
      <c r="D356" s="20">
        <v>5090</v>
      </c>
      <c r="E356" s="20">
        <v>4800</v>
      </c>
      <c r="F356" s="7">
        <f t="shared" si="35"/>
        <v>10032583.42</v>
      </c>
      <c r="G356" s="7">
        <f t="shared" si="36"/>
        <v>22100491.200000003</v>
      </c>
      <c r="H356" s="20">
        <v>43.75</v>
      </c>
      <c r="I356" s="20">
        <v>942000</v>
      </c>
      <c r="J356" s="20">
        <v>55</v>
      </c>
      <c r="K356" s="20">
        <v>570000</v>
      </c>
      <c r="L356" s="20">
        <v>31000</v>
      </c>
      <c r="M356" s="20"/>
      <c r="N356" s="20"/>
      <c r="O356" s="20">
        <v>754000</v>
      </c>
      <c r="P356" s="20"/>
      <c r="Q356" s="19">
        <f t="shared" si="37"/>
        <v>34430074.620000005</v>
      </c>
      <c r="R356" s="20">
        <v>1497246</v>
      </c>
      <c r="S356" s="20">
        <v>16750581</v>
      </c>
      <c r="T356" s="20"/>
      <c r="U356" s="20"/>
      <c r="V356" s="20"/>
      <c r="W356" s="20">
        <v>434500</v>
      </c>
      <c r="X356" s="20">
        <v>10771192</v>
      </c>
      <c r="Y356" s="8">
        <f t="shared" si="38"/>
        <v>4976555.6200000048</v>
      </c>
      <c r="Z356" s="36"/>
      <c r="AA356" s="36"/>
      <c r="AB356" s="36"/>
      <c r="AC356" s="36"/>
      <c r="AD356" s="36"/>
      <c r="AE356" s="36"/>
      <c r="AF356" s="36">
        <v>193000</v>
      </c>
      <c r="AG356" s="36"/>
      <c r="AH356" s="36"/>
      <c r="AI356" s="36"/>
      <c r="AJ356" s="36">
        <v>30000</v>
      </c>
      <c r="AK356" s="36"/>
      <c r="AL356" s="37">
        <f t="shared" si="39"/>
        <v>223000</v>
      </c>
      <c r="AM356" s="36"/>
      <c r="AN356" s="36"/>
      <c r="AO356" s="36"/>
      <c r="AP356" s="7"/>
      <c r="AQ356" s="38">
        <f t="shared" si="40"/>
        <v>4753555.6200000048</v>
      </c>
      <c r="AR356" s="36">
        <v>4753500</v>
      </c>
      <c r="AS356" s="18">
        <f t="shared" si="41"/>
        <v>-55.620000004768372</v>
      </c>
    </row>
    <row r="357" spans="1:45" x14ac:dyDescent="0.25">
      <c r="A357" s="40">
        <v>45645</v>
      </c>
      <c r="B357" s="20">
        <v>2075.9940000000001</v>
      </c>
      <c r="C357" s="20">
        <v>2451.59</v>
      </c>
      <c r="D357" s="20">
        <v>5090</v>
      </c>
      <c r="E357" s="20">
        <v>4800</v>
      </c>
      <c r="F357" s="7">
        <f t="shared" si="35"/>
        <v>10566809.460000001</v>
      </c>
      <c r="G357" s="7">
        <f t="shared" si="36"/>
        <v>11767632</v>
      </c>
      <c r="H357" s="20">
        <v>77</v>
      </c>
      <c r="I357" s="20">
        <v>1796000</v>
      </c>
      <c r="J357" s="20">
        <v>81.5</v>
      </c>
      <c r="K357" s="20">
        <v>825000</v>
      </c>
      <c r="L357" s="20">
        <v>308000</v>
      </c>
      <c r="M357" s="20"/>
      <c r="N357" s="20"/>
      <c r="O357" s="20">
        <v>795200</v>
      </c>
      <c r="P357" s="20"/>
      <c r="Q357" s="19">
        <f t="shared" si="37"/>
        <v>26058641.460000001</v>
      </c>
      <c r="R357" s="20">
        <v>1235868</v>
      </c>
      <c r="S357" s="20">
        <v>6412200</v>
      </c>
      <c r="T357" s="20"/>
      <c r="U357" s="20"/>
      <c r="V357" s="20"/>
      <c r="W357" s="20">
        <v>92000</v>
      </c>
      <c r="X357" s="20">
        <v>12160526</v>
      </c>
      <c r="Y357" s="8">
        <f t="shared" si="38"/>
        <v>6158047.4600000009</v>
      </c>
      <c r="Z357" s="36"/>
      <c r="AA357" s="36"/>
      <c r="AB357" s="36"/>
      <c r="AC357" s="36">
        <v>22000</v>
      </c>
      <c r="AD357" s="36"/>
      <c r="AE357" s="36"/>
      <c r="AF357" s="36">
        <v>16000</v>
      </c>
      <c r="AG357" s="36"/>
      <c r="AH357" s="36"/>
      <c r="AI357" s="36"/>
      <c r="AJ357" s="36">
        <v>210000</v>
      </c>
      <c r="AK357" s="36">
        <v>30000</v>
      </c>
      <c r="AL357" s="37">
        <f t="shared" si="39"/>
        <v>278000</v>
      </c>
      <c r="AM357" s="36"/>
      <c r="AN357" s="36"/>
      <c r="AO357" s="36"/>
      <c r="AP357" s="7"/>
      <c r="AQ357" s="38">
        <f t="shared" si="40"/>
        <v>5880047.4600000009</v>
      </c>
      <c r="AR357" s="36">
        <v>5880100</v>
      </c>
      <c r="AS357" s="18">
        <f t="shared" si="41"/>
        <v>52.53999999910593</v>
      </c>
    </row>
    <row r="358" spans="1:45" x14ac:dyDescent="0.25">
      <c r="A358" s="40">
        <v>45646</v>
      </c>
      <c r="B358" s="20">
        <v>2070.2469999999998</v>
      </c>
      <c r="C358" s="20">
        <v>2646.8690000000001</v>
      </c>
      <c r="D358" s="20">
        <v>5090</v>
      </c>
      <c r="E358" s="20">
        <v>4800</v>
      </c>
      <c r="F358" s="7">
        <f t="shared" si="35"/>
        <v>10537557.229999999</v>
      </c>
      <c r="G358" s="7">
        <f t="shared" si="36"/>
        <v>12704971.200000001</v>
      </c>
      <c r="H358" s="20">
        <v>126</v>
      </c>
      <c r="I358" s="20">
        <v>3043000</v>
      </c>
      <c r="J358" s="20">
        <v>110.5</v>
      </c>
      <c r="K358" s="20">
        <v>1184000</v>
      </c>
      <c r="L358" s="20">
        <v>72000</v>
      </c>
      <c r="M358" s="20"/>
      <c r="N358" s="20"/>
      <c r="O358" s="20">
        <v>1309000</v>
      </c>
      <c r="P358" s="20"/>
      <c r="Q358" s="19">
        <f t="shared" si="37"/>
        <v>28850528.43</v>
      </c>
      <c r="R358" s="20">
        <v>127051</v>
      </c>
      <c r="S358" s="20">
        <v>2880160</v>
      </c>
      <c r="T358" s="20"/>
      <c r="U358" s="20"/>
      <c r="V358" s="20"/>
      <c r="W358" s="20">
        <v>277000</v>
      </c>
      <c r="X358" s="20">
        <v>19413713</v>
      </c>
      <c r="Y358" s="8">
        <f t="shared" si="38"/>
        <v>6152604.4299999997</v>
      </c>
      <c r="Z358" s="36"/>
      <c r="AA358" s="36"/>
      <c r="AB358" s="36"/>
      <c r="AC358" s="36"/>
      <c r="AD358" s="36"/>
      <c r="AE358" s="36"/>
      <c r="AF358" s="36">
        <v>55000</v>
      </c>
      <c r="AG358" s="36"/>
      <c r="AH358" s="36">
        <v>9500</v>
      </c>
      <c r="AI358" s="36"/>
      <c r="AJ358" s="36"/>
      <c r="AK358" s="36"/>
      <c r="AL358" s="37">
        <f t="shared" si="39"/>
        <v>64500</v>
      </c>
      <c r="AM358" s="36"/>
      <c r="AN358" s="36"/>
      <c r="AO358" s="36"/>
      <c r="AP358" s="7"/>
      <c r="AQ358" s="38">
        <f t="shared" si="40"/>
        <v>6088104.4299999997</v>
      </c>
      <c r="AR358" s="36">
        <v>6088100</v>
      </c>
      <c r="AS358" s="18">
        <f t="shared" si="41"/>
        <v>-4.4299999997019768</v>
      </c>
    </row>
    <row r="359" spans="1:45" x14ac:dyDescent="0.25">
      <c r="A359" s="40">
        <v>45647</v>
      </c>
      <c r="B359" s="20">
        <v>2784.3330000000001</v>
      </c>
      <c r="C359" s="20">
        <v>2329.752</v>
      </c>
      <c r="D359" s="20">
        <v>5090</v>
      </c>
      <c r="E359" s="20">
        <v>4800</v>
      </c>
      <c r="F359" s="7">
        <f t="shared" si="35"/>
        <v>14172254.970000001</v>
      </c>
      <c r="G359" s="7">
        <f t="shared" si="36"/>
        <v>11182809.6</v>
      </c>
      <c r="H359" s="20">
        <v>49.5</v>
      </c>
      <c r="I359" s="20">
        <v>1141000</v>
      </c>
      <c r="J359" s="20">
        <v>79</v>
      </c>
      <c r="K359" s="20">
        <v>721000</v>
      </c>
      <c r="L359" s="20">
        <v>55000</v>
      </c>
      <c r="M359" s="20">
        <v>300000</v>
      </c>
      <c r="N359" s="20"/>
      <c r="O359" s="20">
        <v>510500</v>
      </c>
      <c r="P359" s="20">
        <v>50000</v>
      </c>
      <c r="Q359" s="19">
        <f t="shared" si="37"/>
        <v>28132564.57</v>
      </c>
      <c r="R359" s="20">
        <v>1305546</v>
      </c>
      <c r="S359" s="20">
        <v>3817618</v>
      </c>
      <c r="T359" s="20"/>
      <c r="U359" s="20"/>
      <c r="V359" s="20"/>
      <c r="W359" s="20">
        <v>337000</v>
      </c>
      <c r="X359" s="20">
        <v>16525871</v>
      </c>
      <c r="Y359" s="8">
        <f t="shared" si="38"/>
        <v>6146529.5700000003</v>
      </c>
      <c r="Z359" s="36"/>
      <c r="AA359" s="36">
        <v>161000</v>
      </c>
      <c r="AB359" s="36"/>
      <c r="AC359" s="36"/>
      <c r="AD359" s="36"/>
      <c r="AE359" s="36"/>
      <c r="AF359" s="36">
        <v>23000</v>
      </c>
      <c r="AG359" s="36"/>
      <c r="AH359" s="36">
        <v>0</v>
      </c>
      <c r="AI359" s="36"/>
      <c r="AJ359" s="36">
        <v>550000</v>
      </c>
      <c r="AK359" s="36"/>
      <c r="AL359" s="37">
        <f t="shared" si="39"/>
        <v>734000</v>
      </c>
      <c r="AM359" s="36">
        <v>649500</v>
      </c>
      <c r="AN359" s="36"/>
      <c r="AO359" s="36"/>
      <c r="AP359" s="7"/>
      <c r="AQ359" s="38">
        <f t="shared" si="40"/>
        <v>4763029.57</v>
      </c>
      <c r="AR359" s="36">
        <v>4763000</v>
      </c>
      <c r="AS359" s="18">
        <f t="shared" si="41"/>
        <v>-29.570000000298023</v>
      </c>
    </row>
    <row r="360" spans="1:45" x14ac:dyDescent="0.25">
      <c r="A360" s="40">
        <v>45648</v>
      </c>
      <c r="B360" s="20">
        <v>2812.56</v>
      </c>
      <c r="C360" s="20">
        <v>2707.0279999999998</v>
      </c>
      <c r="D360" s="20">
        <v>5090</v>
      </c>
      <c r="E360" s="20">
        <v>4800</v>
      </c>
      <c r="F360" s="7">
        <f t="shared" si="35"/>
        <v>14315930.4</v>
      </c>
      <c r="G360" s="7">
        <f t="shared" si="36"/>
        <v>12993734.399999999</v>
      </c>
      <c r="H360" s="20">
        <v>69.25</v>
      </c>
      <c r="I360" s="20">
        <v>1501000</v>
      </c>
      <c r="J360" s="20">
        <v>66.5</v>
      </c>
      <c r="K360" s="20">
        <v>691000</v>
      </c>
      <c r="L360" s="20">
        <v>74000</v>
      </c>
      <c r="M360" s="20"/>
      <c r="N360" s="20"/>
      <c r="O360" s="20">
        <v>318000</v>
      </c>
      <c r="P360" s="20"/>
      <c r="Q360" s="19">
        <f t="shared" si="37"/>
        <v>29893664.799999997</v>
      </c>
      <c r="R360" s="20">
        <v>850025</v>
      </c>
      <c r="S360" s="20">
        <v>5911673</v>
      </c>
      <c r="T360" s="20"/>
      <c r="U360" s="20"/>
      <c r="V360" s="20"/>
      <c r="W360" s="20">
        <v>299500</v>
      </c>
      <c r="X360" s="20">
        <v>17132867</v>
      </c>
      <c r="Y360" s="8">
        <f t="shared" si="38"/>
        <v>5699599.799999997</v>
      </c>
      <c r="Z360" s="36"/>
      <c r="AA360" s="36"/>
      <c r="AB360" s="36"/>
      <c r="AC360" s="36">
        <v>10000</v>
      </c>
      <c r="AD360" s="36">
        <v>96000</v>
      </c>
      <c r="AE360" s="36">
        <v>0</v>
      </c>
      <c r="AF360" s="36">
        <v>3000</v>
      </c>
      <c r="AG360" s="36"/>
      <c r="AH360" s="36">
        <v>29000</v>
      </c>
      <c r="AI360" s="36"/>
      <c r="AJ360" s="36"/>
      <c r="AK360" s="36"/>
      <c r="AL360" s="37">
        <f t="shared" si="39"/>
        <v>138000</v>
      </c>
      <c r="AM360" s="36"/>
      <c r="AN360" s="36"/>
      <c r="AO360" s="36"/>
      <c r="AP360" s="7"/>
      <c r="AQ360" s="38">
        <f t="shared" si="40"/>
        <v>5561599.799999997</v>
      </c>
      <c r="AR360" s="36">
        <v>0</v>
      </c>
      <c r="AS360" s="18">
        <f t="shared" si="41"/>
        <v>-5561599.799999997</v>
      </c>
    </row>
    <row r="361" spans="1:45" x14ac:dyDescent="0.25">
      <c r="A361" s="40">
        <v>45649</v>
      </c>
      <c r="B361" s="20">
        <v>2449.7399999999998</v>
      </c>
      <c r="C361" s="20">
        <v>3423.64</v>
      </c>
      <c r="D361" s="20">
        <v>5090</v>
      </c>
      <c r="E361" s="20">
        <v>4800</v>
      </c>
      <c r="F361" s="7">
        <f t="shared" si="35"/>
        <v>12469176.6</v>
      </c>
      <c r="G361" s="7">
        <f t="shared" si="36"/>
        <v>16433472</v>
      </c>
      <c r="H361" s="20">
        <v>31.25</v>
      </c>
      <c r="I361" s="20">
        <v>629000</v>
      </c>
      <c r="J361" s="20">
        <v>114</v>
      </c>
      <c r="K361" s="20">
        <v>1237500</v>
      </c>
      <c r="L361" s="20">
        <v>8000</v>
      </c>
      <c r="M361" s="20"/>
      <c r="N361" s="20"/>
      <c r="O361" s="20">
        <v>100000</v>
      </c>
      <c r="P361" s="20"/>
      <c r="Q361" s="19">
        <f t="shared" si="37"/>
        <v>30877148.600000001</v>
      </c>
      <c r="R361" s="20">
        <v>1217927</v>
      </c>
      <c r="S361" s="20">
        <v>12201626</v>
      </c>
      <c r="T361" s="20"/>
      <c r="U361" s="20"/>
      <c r="V361" s="20"/>
      <c r="W361" s="20">
        <v>349000</v>
      </c>
      <c r="X361" s="20">
        <v>9208469</v>
      </c>
      <c r="Y361" s="8">
        <f t="shared" si="38"/>
        <v>7900126.6000000015</v>
      </c>
      <c r="Z361" s="36"/>
      <c r="AA361" s="36"/>
      <c r="AB361" s="36"/>
      <c r="AC361" s="36"/>
      <c r="AD361" s="36"/>
      <c r="AE361" s="36"/>
      <c r="AF361" s="36">
        <v>1000000</v>
      </c>
      <c r="AG361" s="36"/>
      <c r="AH361" s="36"/>
      <c r="AI361" s="36">
        <v>10000</v>
      </c>
      <c r="AJ361" s="36">
        <v>235000</v>
      </c>
      <c r="AK361" s="36"/>
      <c r="AL361" s="37">
        <f t="shared" si="39"/>
        <v>1245000</v>
      </c>
      <c r="AM361" s="36"/>
      <c r="AN361" s="36"/>
      <c r="AO361" s="36"/>
      <c r="AP361" s="7"/>
      <c r="AQ361" s="38">
        <f t="shared" si="40"/>
        <v>6655126.6000000015</v>
      </c>
      <c r="AR361" s="36">
        <v>12216800</v>
      </c>
      <c r="AS361" s="18">
        <f t="shared" si="41"/>
        <v>5561673.3999999985</v>
      </c>
    </row>
    <row r="362" spans="1:45" x14ac:dyDescent="0.25">
      <c r="A362" s="40">
        <v>45650</v>
      </c>
      <c r="B362" s="20">
        <v>3603</v>
      </c>
      <c r="C362" s="20">
        <v>2040.866</v>
      </c>
      <c r="D362" s="20">
        <v>5090</v>
      </c>
      <c r="E362" s="20">
        <v>4800</v>
      </c>
      <c r="F362" s="7">
        <f t="shared" si="35"/>
        <v>18339270</v>
      </c>
      <c r="G362" s="7">
        <f t="shared" si="36"/>
        <v>9796156.8000000007</v>
      </c>
      <c r="H362" s="20">
        <v>89.97</v>
      </c>
      <c r="I362" s="20">
        <v>1903000</v>
      </c>
      <c r="J362" s="20">
        <v>131</v>
      </c>
      <c r="K362" s="20">
        <v>1781000</v>
      </c>
      <c r="L362" s="20">
        <v>78000</v>
      </c>
      <c r="M362" s="20"/>
      <c r="N362" s="20"/>
      <c r="O362" s="20">
        <v>454600</v>
      </c>
      <c r="P362" s="20"/>
      <c r="Q362" s="19">
        <f t="shared" si="37"/>
        <v>32352026.800000001</v>
      </c>
      <c r="R362" s="20">
        <v>1891770</v>
      </c>
      <c r="S362" s="20">
        <v>3382345</v>
      </c>
      <c r="T362" s="20"/>
      <c r="U362" s="20"/>
      <c r="V362" s="20"/>
      <c r="W362" s="20">
        <v>703000</v>
      </c>
      <c r="X362" s="20">
        <v>13559065</v>
      </c>
      <c r="Y362" s="8">
        <f t="shared" si="38"/>
        <v>12815846.800000001</v>
      </c>
      <c r="Z362" s="36"/>
      <c r="AA362" s="36"/>
      <c r="AB362" s="36"/>
      <c r="AC362" s="36">
        <v>34000</v>
      </c>
      <c r="AD362" s="36"/>
      <c r="AE362" s="36"/>
      <c r="AF362" s="36">
        <v>3000</v>
      </c>
      <c r="AG362" s="36">
        <v>3070000</v>
      </c>
      <c r="AH362" s="36"/>
      <c r="AI362" s="36"/>
      <c r="AJ362" s="36">
        <v>820000</v>
      </c>
      <c r="AK362" s="36"/>
      <c r="AL362" s="37">
        <f t="shared" si="39"/>
        <v>3927000</v>
      </c>
      <c r="AM362" s="36"/>
      <c r="AN362" s="36"/>
      <c r="AO362" s="36"/>
      <c r="AP362" s="7"/>
      <c r="AQ362" s="38">
        <f t="shared" si="40"/>
        <v>8888846.8000000007</v>
      </c>
      <c r="AR362" s="36">
        <v>8892500</v>
      </c>
      <c r="AS362" s="18">
        <f t="shared" si="41"/>
        <v>3653.1999999992549</v>
      </c>
    </row>
    <row r="363" spans="1:45" x14ac:dyDescent="0.25">
      <c r="A363" s="40">
        <v>45651</v>
      </c>
      <c r="B363" s="20">
        <v>5447.21</v>
      </c>
      <c r="C363" s="20">
        <v>3279.7660000000001</v>
      </c>
      <c r="D363" s="20">
        <v>4999</v>
      </c>
      <c r="E363" s="20">
        <v>4770</v>
      </c>
      <c r="F363" s="7">
        <f t="shared" si="35"/>
        <v>27230602.789999999</v>
      </c>
      <c r="G363" s="7">
        <f t="shared" si="36"/>
        <v>15644483.82</v>
      </c>
      <c r="H363" s="20">
        <v>72.75</v>
      </c>
      <c r="I363" s="20">
        <v>1529500</v>
      </c>
      <c r="J363" s="20">
        <v>240</v>
      </c>
      <c r="K363" s="20">
        <v>2354500</v>
      </c>
      <c r="L363" s="20">
        <v>138000</v>
      </c>
      <c r="M363" s="20"/>
      <c r="N363" s="20"/>
      <c r="O363" s="20">
        <v>54000</v>
      </c>
      <c r="P363" s="20"/>
      <c r="Q363" s="19">
        <f t="shared" si="37"/>
        <v>46951086.609999999</v>
      </c>
      <c r="R363" s="20">
        <v>816076</v>
      </c>
      <c r="S363" s="20">
        <v>7520979</v>
      </c>
      <c r="T363" s="20"/>
      <c r="U363" s="20"/>
      <c r="V363" s="20"/>
      <c r="W363" s="20">
        <v>686500</v>
      </c>
      <c r="X363" s="20">
        <v>17268017</v>
      </c>
      <c r="Y363" s="8">
        <f t="shared" si="38"/>
        <v>20659514.609999999</v>
      </c>
      <c r="Z363" s="36"/>
      <c r="AA363" s="36"/>
      <c r="AB363" s="36"/>
      <c r="AC363" s="36"/>
      <c r="AD363" s="36"/>
      <c r="AE363" s="36"/>
      <c r="AF363" s="36">
        <v>9000</v>
      </c>
      <c r="AG363" s="36"/>
      <c r="AH363" s="36">
        <v>100000</v>
      </c>
      <c r="AI363" s="36"/>
      <c r="AJ363" s="36"/>
      <c r="AK363" s="36"/>
      <c r="AL363" s="37">
        <f t="shared" si="39"/>
        <v>109000</v>
      </c>
      <c r="AM363" s="36"/>
      <c r="AN363" s="36"/>
      <c r="AO363" s="36"/>
      <c r="AP363" s="7"/>
      <c r="AQ363" s="38">
        <f t="shared" si="40"/>
        <v>20550514.609999999</v>
      </c>
      <c r="AR363" s="36">
        <v>0</v>
      </c>
      <c r="AS363" s="18">
        <f t="shared" si="41"/>
        <v>-20550514.609999999</v>
      </c>
    </row>
    <row r="364" spans="1:45" x14ac:dyDescent="0.25">
      <c r="A364" s="40">
        <v>45652</v>
      </c>
      <c r="B364" s="20">
        <v>1490.3989999999999</v>
      </c>
      <c r="C364" s="20">
        <v>773.47</v>
      </c>
      <c r="D364" s="20">
        <v>4999</v>
      </c>
      <c r="E364" s="20">
        <v>4770</v>
      </c>
      <c r="F364" s="7">
        <f t="shared" si="35"/>
        <v>7450504.6009999998</v>
      </c>
      <c r="G364" s="7">
        <f t="shared" si="36"/>
        <v>3689451.9</v>
      </c>
      <c r="H364" s="20">
        <v>8.5</v>
      </c>
      <c r="I364" s="20">
        <v>167000</v>
      </c>
      <c r="J364" s="20">
        <v>25</v>
      </c>
      <c r="K364" s="20">
        <v>210000</v>
      </c>
      <c r="L364" s="20">
        <v>0</v>
      </c>
      <c r="M364" s="20"/>
      <c r="N364" s="20"/>
      <c r="O364" s="20">
        <v>2241000</v>
      </c>
      <c r="P364" s="20"/>
      <c r="Q364" s="19">
        <f t="shared" si="37"/>
        <v>13757956.501</v>
      </c>
      <c r="R364" s="20">
        <v>208858</v>
      </c>
      <c r="S364" s="20">
        <v>2964605</v>
      </c>
      <c r="T364" s="20"/>
      <c r="U364" s="20"/>
      <c r="V364" s="20"/>
      <c r="W364" s="20">
        <v>623800</v>
      </c>
      <c r="X364" s="20">
        <v>2733000</v>
      </c>
      <c r="Y364" s="8">
        <f t="shared" si="38"/>
        <v>7227693.5010000002</v>
      </c>
      <c r="Z364" s="36"/>
      <c r="AA364" s="36"/>
      <c r="AB364" s="36"/>
      <c r="AC364" s="36"/>
      <c r="AD364" s="36">
        <v>95400</v>
      </c>
      <c r="AE364" s="36"/>
      <c r="AF364" s="36"/>
      <c r="AG364" s="36"/>
      <c r="AH364" s="36"/>
      <c r="AI364" s="36"/>
      <c r="AJ364" s="36"/>
      <c r="AK364" s="36"/>
      <c r="AL364" s="37">
        <f t="shared" si="39"/>
        <v>95400</v>
      </c>
      <c r="AM364" s="36"/>
      <c r="AN364" s="36"/>
      <c r="AO364" s="36"/>
      <c r="AP364" s="7"/>
      <c r="AQ364" s="38">
        <f t="shared" si="40"/>
        <v>7132293.5010000002</v>
      </c>
      <c r="AR364" s="36">
        <v>0</v>
      </c>
      <c r="AS364" s="18">
        <f t="shared" si="41"/>
        <v>-7132293.5010000002</v>
      </c>
    </row>
    <row r="365" spans="1:45" x14ac:dyDescent="0.25">
      <c r="A365" s="40">
        <v>45653</v>
      </c>
      <c r="B365" s="20">
        <v>2521.4960000000001</v>
      </c>
      <c r="C365" s="20">
        <v>3066.0770000000002</v>
      </c>
      <c r="D365" s="20">
        <v>4999</v>
      </c>
      <c r="E365" s="20">
        <v>4770</v>
      </c>
      <c r="F365" s="7">
        <f t="shared" si="35"/>
        <v>12604958.504000001</v>
      </c>
      <c r="G365" s="7">
        <f t="shared" si="36"/>
        <v>14625187.290000001</v>
      </c>
      <c r="H365" s="20">
        <v>6</v>
      </c>
      <c r="I365" s="20">
        <v>123000</v>
      </c>
      <c r="J365" s="20">
        <v>0</v>
      </c>
      <c r="K365" s="20">
        <v>58000</v>
      </c>
      <c r="L365" s="20">
        <v>8000</v>
      </c>
      <c r="M365" s="20"/>
      <c r="N365" s="20"/>
      <c r="O365" s="20">
        <v>320000</v>
      </c>
      <c r="P365" s="20"/>
      <c r="Q365" s="19">
        <f t="shared" si="37"/>
        <v>27739145.794</v>
      </c>
      <c r="R365" s="20">
        <v>1049824</v>
      </c>
      <c r="S365" s="20">
        <v>13893007</v>
      </c>
      <c r="T365" s="20"/>
      <c r="U365" s="20"/>
      <c r="V365" s="20"/>
      <c r="W365" s="20">
        <v>642500</v>
      </c>
      <c r="X365" s="20">
        <v>289437</v>
      </c>
      <c r="Y365" s="8">
        <f t="shared" si="38"/>
        <v>11864377.794</v>
      </c>
      <c r="Z365" s="36"/>
      <c r="AA365" s="36"/>
      <c r="AB365" s="36"/>
      <c r="AC365" s="36">
        <v>111000</v>
      </c>
      <c r="AD365" s="36"/>
      <c r="AE365" s="36">
        <v>1200000</v>
      </c>
      <c r="AF365" s="36">
        <v>8000</v>
      </c>
      <c r="AG365" s="36"/>
      <c r="AH365" s="36"/>
      <c r="AI365" s="36"/>
      <c r="AJ365" s="36"/>
      <c r="AK365" s="36"/>
      <c r="AL365" s="37">
        <f t="shared" si="39"/>
        <v>1319000</v>
      </c>
      <c r="AM365" s="36"/>
      <c r="AN365" s="36"/>
      <c r="AO365" s="36"/>
      <c r="AP365" s="7"/>
      <c r="AQ365" s="38">
        <f t="shared" si="40"/>
        <v>10545377.794</v>
      </c>
      <c r="AR365" s="36">
        <v>38202200</v>
      </c>
      <c r="AS365" s="18">
        <f t="shared" si="41"/>
        <v>27656822.206</v>
      </c>
    </row>
    <row r="366" spans="1:45" x14ac:dyDescent="0.25">
      <c r="A366" s="40">
        <v>45654</v>
      </c>
      <c r="B366" s="20">
        <v>3541.6080000000002</v>
      </c>
      <c r="C366" s="20">
        <v>1701.098</v>
      </c>
      <c r="D366" s="20">
        <v>4999</v>
      </c>
      <c r="E366" s="20">
        <v>4770</v>
      </c>
      <c r="F366" s="7">
        <f t="shared" si="35"/>
        <v>17704498.392000001</v>
      </c>
      <c r="G366" s="7">
        <f t="shared" si="36"/>
        <v>8114237.46</v>
      </c>
      <c r="H366" s="20">
        <v>36</v>
      </c>
      <c r="I366" s="20">
        <v>761000</v>
      </c>
      <c r="J366" s="20">
        <v>0</v>
      </c>
      <c r="K366" s="20">
        <v>56000</v>
      </c>
      <c r="L366" s="20">
        <v>31000</v>
      </c>
      <c r="M366" s="20"/>
      <c r="N366" s="20"/>
      <c r="O366" s="20">
        <v>1266300</v>
      </c>
      <c r="P366" s="20"/>
      <c r="Q366" s="19">
        <f t="shared" si="37"/>
        <v>27933035.852000002</v>
      </c>
      <c r="R366" s="20">
        <v>771328</v>
      </c>
      <c r="S366" s="20">
        <v>6395661</v>
      </c>
      <c r="T366" s="20"/>
      <c r="U366" s="20"/>
      <c r="V366" s="20"/>
      <c r="W366" s="20">
        <v>49500</v>
      </c>
      <c r="X366" s="20">
        <v>7018641</v>
      </c>
      <c r="Y366" s="8">
        <f t="shared" si="38"/>
        <v>13697905.852000002</v>
      </c>
      <c r="Z366" s="36"/>
      <c r="AA366" s="36"/>
      <c r="AB366" s="36"/>
      <c r="AC366" s="36">
        <v>21000</v>
      </c>
      <c r="AD366" s="36"/>
      <c r="AE366" s="36"/>
      <c r="AF366" s="36">
        <v>3000</v>
      </c>
      <c r="AG366" s="36"/>
      <c r="AH366" s="36">
        <v>20000</v>
      </c>
      <c r="AI366" s="36"/>
      <c r="AJ366" s="36"/>
      <c r="AK366" s="36"/>
      <c r="AL366" s="37">
        <f t="shared" si="39"/>
        <v>44000</v>
      </c>
      <c r="AM366" s="36"/>
      <c r="AN366" s="36"/>
      <c r="AO366" s="36"/>
      <c r="AP366" s="7"/>
      <c r="AQ366" s="38">
        <f t="shared" si="40"/>
        <v>13653905.852000002</v>
      </c>
      <c r="AR366" s="36">
        <v>13654000</v>
      </c>
      <c r="AS366" s="18">
        <f t="shared" si="41"/>
        <v>94.147999998182058</v>
      </c>
    </row>
    <row r="367" spans="1:45" x14ac:dyDescent="0.25">
      <c r="A367" s="40">
        <v>45655</v>
      </c>
      <c r="B367" s="20">
        <v>3393.6370000000002</v>
      </c>
      <c r="C367" s="20">
        <v>3453.7379999999998</v>
      </c>
      <c r="D367" s="20">
        <v>4999</v>
      </c>
      <c r="E367" s="20">
        <v>4770</v>
      </c>
      <c r="F367" s="7">
        <f t="shared" si="35"/>
        <v>16964791.363000002</v>
      </c>
      <c r="G367" s="7">
        <f t="shared" si="36"/>
        <v>16474330.26</v>
      </c>
      <c r="H367" s="20">
        <v>33.75</v>
      </c>
      <c r="I367" s="20">
        <v>767000</v>
      </c>
      <c r="J367" s="20">
        <v>3</v>
      </c>
      <c r="K367" s="20">
        <v>45000</v>
      </c>
      <c r="L367" s="20">
        <v>15000</v>
      </c>
      <c r="M367" s="20"/>
      <c r="N367" s="20"/>
      <c r="O367" s="20">
        <v>0</v>
      </c>
      <c r="P367" s="20"/>
      <c r="Q367" s="19">
        <f t="shared" si="37"/>
        <v>34266121.623000003</v>
      </c>
      <c r="R367" s="20">
        <v>1740978</v>
      </c>
      <c r="S367" s="20">
        <v>8436200</v>
      </c>
      <c r="T367" s="20"/>
      <c r="U367" s="20"/>
      <c r="V367" s="20"/>
      <c r="W367" s="20">
        <v>166000</v>
      </c>
      <c r="X367" s="20">
        <v>12509109</v>
      </c>
      <c r="Y367" s="8">
        <f t="shared" si="38"/>
        <v>11413834.623000003</v>
      </c>
      <c r="Z367" s="36"/>
      <c r="AA367" s="36"/>
      <c r="AB367" s="36"/>
      <c r="AC367" s="36"/>
      <c r="AD367" s="36"/>
      <c r="AE367" s="36"/>
      <c r="AF367" s="36">
        <v>73000</v>
      </c>
      <c r="AG367" s="36"/>
      <c r="AH367" s="36"/>
      <c r="AI367" s="36"/>
      <c r="AJ367" s="36"/>
      <c r="AK367" s="36"/>
      <c r="AL367" s="37">
        <f t="shared" si="39"/>
        <v>73000</v>
      </c>
      <c r="AM367" s="36"/>
      <c r="AN367" s="36"/>
      <c r="AO367" s="36"/>
      <c r="AP367" s="7"/>
      <c r="AQ367" s="38">
        <f t="shared" si="40"/>
        <v>11340834.623000003</v>
      </c>
      <c r="AR367" s="36">
        <v>0</v>
      </c>
      <c r="AS367" s="18">
        <f t="shared" si="41"/>
        <v>-11340834.623000003</v>
      </c>
    </row>
    <row r="368" spans="1:45" x14ac:dyDescent="0.25">
      <c r="A368" s="40">
        <v>45656</v>
      </c>
      <c r="B368" s="20">
        <v>2500.4650000000001</v>
      </c>
      <c r="C368" s="20">
        <v>2728.16</v>
      </c>
      <c r="D368" s="20">
        <v>5009</v>
      </c>
      <c r="E368" s="20">
        <v>4770</v>
      </c>
      <c r="F368" s="7">
        <f t="shared" si="35"/>
        <v>12524829.185000001</v>
      </c>
      <c r="G368" s="7">
        <f t="shared" si="36"/>
        <v>13013323.199999999</v>
      </c>
      <c r="H368" s="20">
        <v>50.5</v>
      </c>
      <c r="I368" s="20">
        <v>1154300</v>
      </c>
      <c r="J368" s="20">
        <v>56</v>
      </c>
      <c r="K368" s="20">
        <v>389000</v>
      </c>
      <c r="L368" s="20">
        <v>53000</v>
      </c>
      <c r="M368" s="20"/>
      <c r="N368" s="20"/>
      <c r="O368" s="20">
        <v>600000</v>
      </c>
      <c r="P368" s="20"/>
      <c r="Q368" s="19">
        <f t="shared" si="37"/>
        <v>27734452.384999998</v>
      </c>
      <c r="R368" s="20">
        <v>290128</v>
      </c>
      <c r="S368" s="20">
        <v>8983700</v>
      </c>
      <c r="T368" s="20"/>
      <c r="U368" s="20"/>
      <c r="V368" s="20"/>
      <c r="W368" s="20">
        <v>0</v>
      </c>
      <c r="X368" s="20">
        <v>9064500</v>
      </c>
      <c r="Y368" s="8">
        <f t="shared" si="38"/>
        <v>9396124.3849999979</v>
      </c>
      <c r="Z368" s="36"/>
      <c r="AA368" s="36"/>
      <c r="AB368" s="36"/>
      <c r="AC368" s="36"/>
      <c r="AD368" s="36">
        <v>95400</v>
      </c>
      <c r="AE368" s="36"/>
      <c r="AF368" s="36"/>
      <c r="AG368" s="36"/>
      <c r="AH368" s="36"/>
      <c r="AI368" s="36"/>
      <c r="AJ368" s="36">
        <v>32000</v>
      </c>
      <c r="AK368" s="36"/>
      <c r="AL368" s="37">
        <f t="shared" si="39"/>
        <v>127400</v>
      </c>
      <c r="AM368" s="36"/>
      <c r="AN368" s="36"/>
      <c r="AO368" s="36"/>
      <c r="AP368" s="7"/>
      <c r="AQ368" s="38">
        <f t="shared" si="40"/>
        <v>9268724.3849999979</v>
      </c>
      <c r="AR368" s="36">
        <v>20618000</v>
      </c>
      <c r="AS368" s="18">
        <f t="shared" si="41"/>
        <v>11349275.615000002</v>
      </c>
    </row>
    <row r="369" spans="1:45" x14ac:dyDescent="0.25">
      <c r="A369" s="40">
        <v>45657</v>
      </c>
      <c r="B369" s="20">
        <v>2572.29</v>
      </c>
      <c r="C369" s="20">
        <v>4527.5420000000004</v>
      </c>
      <c r="D369" s="20">
        <v>5009</v>
      </c>
      <c r="E369" s="20">
        <v>4770</v>
      </c>
      <c r="F369" s="7">
        <f t="shared" si="35"/>
        <v>12884600.609999999</v>
      </c>
      <c r="G369" s="7">
        <f t="shared" si="36"/>
        <v>21596375.340000004</v>
      </c>
      <c r="H369" s="20">
        <v>29</v>
      </c>
      <c r="I369" s="20">
        <v>579000</v>
      </c>
      <c r="J369" s="20">
        <v>88</v>
      </c>
      <c r="K369" s="20">
        <v>1327500</v>
      </c>
      <c r="L369" s="20">
        <v>53000</v>
      </c>
      <c r="M369" s="20"/>
      <c r="N369" s="20">
        <v>2500000</v>
      </c>
      <c r="O369" s="20">
        <v>731300</v>
      </c>
      <c r="P369" s="20"/>
      <c r="Q369" s="19">
        <f t="shared" si="37"/>
        <v>39671775.950000003</v>
      </c>
      <c r="R369" s="20">
        <v>1200045</v>
      </c>
      <c r="S369" s="20">
        <v>20202926</v>
      </c>
      <c r="T369" s="20"/>
      <c r="U369" s="20"/>
      <c r="V369" s="20"/>
      <c r="W369" s="20">
        <v>498400</v>
      </c>
      <c r="X369" s="20">
        <v>3067133</v>
      </c>
      <c r="Y369" s="8">
        <f t="shared" si="38"/>
        <v>14703271.950000003</v>
      </c>
      <c r="Z369" s="36"/>
      <c r="AA369" s="36"/>
      <c r="AB369" s="36"/>
      <c r="AC369" s="36"/>
      <c r="AD369" s="36"/>
      <c r="AE369" s="36"/>
      <c r="AF369" s="36">
        <v>6000</v>
      </c>
      <c r="AG369" s="36"/>
      <c r="AH369" s="36"/>
      <c r="AI369" s="36"/>
      <c r="AJ369" s="36"/>
      <c r="AK369" s="36"/>
      <c r="AL369" s="37">
        <f t="shared" si="39"/>
        <v>6000</v>
      </c>
      <c r="AM369" s="36"/>
      <c r="AN369" s="36"/>
      <c r="AO369" s="36"/>
      <c r="AP369" s="7"/>
      <c r="AQ369" s="38">
        <f t="shared" si="40"/>
        <v>14697271.950000003</v>
      </c>
      <c r="AR369" s="36">
        <v>14697300</v>
      </c>
      <c r="AS369" s="18">
        <f t="shared" si="41"/>
        <v>28.049999997019768</v>
      </c>
    </row>
    <row r="370" spans="1:45" x14ac:dyDescent="0.25">
      <c r="A370" s="40">
        <v>45658</v>
      </c>
      <c r="B370" s="20">
        <v>2914.34</v>
      </c>
      <c r="C370" s="20">
        <v>1493.4690000000001</v>
      </c>
      <c r="D370" s="20">
        <v>5009</v>
      </c>
      <c r="E370" s="20">
        <v>4770</v>
      </c>
      <c r="F370" s="7">
        <f t="shared" si="35"/>
        <v>14597929.060000001</v>
      </c>
      <c r="G370" s="7">
        <f t="shared" si="36"/>
        <v>7123847.1299999999</v>
      </c>
      <c r="H370" s="20">
        <v>38.5</v>
      </c>
      <c r="I370" s="20">
        <v>814000</v>
      </c>
      <c r="J370" s="20">
        <v>69.5</v>
      </c>
      <c r="K370" s="20">
        <v>999000</v>
      </c>
      <c r="L370" s="20">
        <v>16000</v>
      </c>
      <c r="M370" s="20"/>
      <c r="N370" s="20"/>
      <c r="O370" s="20">
        <v>2031900</v>
      </c>
      <c r="P370" s="20"/>
      <c r="Q370" s="19">
        <f t="shared" si="37"/>
        <v>25582676.190000001</v>
      </c>
      <c r="R370" s="20">
        <v>1183246</v>
      </c>
      <c r="S370" s="20">
        <v>4332536</v>
      </c>
      <c r="T370" s="20"/>
      <c r="U370" s="20"/>
      <c r="V370" s="20"/>
      <c r="W370" s="20">
        <v>0</v>
      </c>
      <c r="X370" s="20">
        <v>5730966</v>
      </c>
      <c r="Y370" s="8">
        <f t="shared" si="38"/>
        <v>14335928.190000001</v>
      </c>
      <c r="Z370" s="36"/>
      <c r="AA370" s="36"/>
      <c r="AB370" s="36"/>
      <c r="AC370" s="36"/>
      <c r="AD370" s="36"/>
      <c r="AE370" s="36"/>
      <c r="AF370" s="36">
        <v>6000</v>
      </c>
      <c r="AG370" s="36"/>
      <c r="AH370" s="36"/>
      <c r="AI370" s="36"/>
      <c r="AJ370" s="36"/>
      <c r="AK370" s="36"/>
      <c r="AL370" s="37">
        <f t="shared" si="39"/>
        <v>6000</v>
      </c>
      <c r="AM370" s="36"/>
      <c r="AN370" s="36"/>
      <c r="AO370" s="36"/>
      <c r="AP370" s="7"/>
      <c r="AQ370" s="38">
        <f t="shared" si="40"/>
        <v>14329928.190000001</v>
      </c>
      <c r="AR370" s="36">
        <v>5200000</v>
      </c>
      <c r="AS370" s="18">
        <f t="shared" si="41"/>
        <v>-9129928.1900000013</v>
      </c>
    </row>
    <row r="371" spans="1:45" x14ac:dyDescent="0.25">
      <c r="A371" s="40">
        <v>45659</v>
      </c>
      <c r="B371" s="20">
        <v>1640.548</v>
      </c>
      <c r="C371" s="20">
        <v>683.07899999999995</v>
      </c>
      <c r="D371" s="20">
        <v>5009</v>
      </c>
      <c r="E371" s="20">
        <v>4770</v>
      </c>
      <c r="F371" s="7">
        <f t="shared" si="35"/>
        <v>8217504.932</v>
      </c>
      <c r="G371" s="7">
        <f t="shared" si="36"/>
        <v>3258286.8299999996</v>
      </c>
      <c r="H371" s="20">
        <v>16.75</v>
      </c>
      <c r="I371" s="20">
        <v>338500</v>
      </c>
      <c r="J371" s="20">
        <v>49</v>
      </c>
      <c r="K371" s="20">
        <v>443000</v>
      </c>
      <c r="L371" s="20">
        <v>8000</v>
      </c>
      <c r="M371" s="20"/>
      <c r="N371" s="20"/>
      <c r="O371" s="20">
        <v>0</v>
      </c>
      <c r="P371" s="20"/>
      <c r="Q371" s="19">
        <f t="shared" si="37"/>
        <v>12265291.762</v>
      </c>
      <c r="R371" s="20">
        <v>1379651</v>
      </c>
      <c r="S371" s="20">
        <v>1224815</v>
      </c>
      <c r="T371" s="20"/>
      <c r="U371" s="20"/>
      <c r="V371" s="20"/>
      <c r="W371" s="20">
        <v>0</v>
      </c>
      <c r="X371" s="20">
        <v>287577</v>
      </c>
      <c r="Y371" s="8">
        <f t="shared" si="38"/>
        <v>9373248.7620000001</v>
      </c>
      <c r="Z371" s="36"/>
      <c r="AA371" s="36"/>
      <c r="AB371" s="36"/>
      <c r="AC371" s="36"/>
      <c r="AD371" s="36"/>
      <c r="AE371" s="36"/>
      <c r="AF371" s="36">
        <v>13000</v>
      </c>
      <c r="AG371" s="36"/>
      <c r="AH371" s="36"/>
      <c r="AI371" s="36"/>
      <c r="AJ371" s="36"/>
      <c r="AK371" s="36"/>
      <c r="AL371" s="37">
        <f t="shared" si="39"/>
        <v>13000</v>
      </c>
      <c r="AM371" s="36"/>
      <c r="AN371" s="36"/>
      <c r="AO371" s="36"/>
      <c r="AP371" s="7"/>
      <c r="AQ371" s="38">
        <f t="shared" si="40"/>
        <v>9360248.7620000001</v>
      </c>
      <c r="AR371" s="36">
        <v>18490700</v>
      </c>
      <c r="AS371" s="18">
        <f t="shared" si="41"/>
        <v>9130451.2379999999</v>
      </c>
    </row>
    <row r="372" spans="1:45" x14ac:dyDescent="0.25">
      <c r="A372" s="40">
        <v>45660</v>
      </c>
      <c r="B372" s="20">
        <v>1867.702</v>
      </c>
      <c r="C372" s="20">
        <v>2084.3939999999998</v>
      </c>
      <c r="D372" s="20">
        <v>5009</v>
      </c>
      <c r="E372" s="20">
        <v>4770</v>
      </c>
      <c r="F372" s="7">
        <f t="shared" si="35"/>
        <v>9355319.318</v>
      </c>
      <c r="G372" s="7">
        <f t="shared" si="36"/>
        <v>9942559.379999999</v>
      </c>
      <c r="H372" s="20">
        <v>67.75</v>
      </c>
      <c r="I372" s="20">
        <v>1600500</v>
      </c>
      <c r="J372" s="20">
        <v>146.5</v>
      </c>
      <c r="K372" s="20">
        <v>1263000</v>
      </c>
      <c r="L372" s="20">
        <v>46000</v>
      </c>
      <c r="M372" s="20"/>
      <c r="N372" s="20"/>
      <c r="O372" s="20">
        <v>470000</v>
      </c>
      <c r="P372" s="20"/>
      <c r="Q372" s="19">
        <f t="shared" si="37"/>
        <v>22677378.697999999</v>
      </c>
      <c r="R372" s="20">
        <v>1898183</v>
      </c>
      <c r="S372" s="20">
        <v>3935015</v>
      </c>
      <c r="T372" s="20"/>
      <c r="U372" s="20"/>
      <c r="V372" s="20"/>
      <c r="W372" s="20">
        <v>202000</v>
      </c>
      <c r="X372" s="20">
        <v>5236478</v>
      </c>
      <c r="Y372" s="8">
        <f t="shared" si="38"/>
        <v>11405702.697999999</v>
      </c>
      <c r="Z372" s="36"/>
      <c r="AA372" s="36"/>
      <c r="AB372" s="36">
        <v>625400</v>
      </c>
      <c r="AC372" s="36"/>
      <c r="AD372" s="36"/>
      <c r="AE372" s="36"/>
      <c r="AF372" s="36">
        <v>530000</v>
      </c>
      <c r="AG372" s="36"/>
      <c r="AH372" s="36">
        <v>30000</v>
      </c>
      <c r="AI372" s="36">
        <v>10000</v>
      </c>
      <c r="AJ372" s="36"/>
      <c r="AK372" s="36"/>
      <c r="AL372" s="37">
        <f t="shared" si="39"/>
        <v>1195400</v>
      </c>
      <c r="AM372" s="36"/>
      <c r="AN372" s="36"/>
      <c r="AO372" s="36"/>
      <c r="AP372" s="7"/>
      <c r="AQ372" s="38">
        <f t="shared" si="40"/>
        <v>10210302.697999999</v>
      </c>
      <c r="AR372" s="36">
        <v>10210400</v>
      </c>
      <c r="AS372" s="18">
        <f t="shared" si="41"/>
        <v>97.302000001072884</v>
      </c>
    </row>
    <row r="373" spans="1:45" x14ac:dyDescent="0.25">
      <c r="A373" s="40">
        <v>45661</v>
      </c>
      <c r="B373" s="20">
        <v>2209.8240000000001</v>
      </c>
      <c r="C373" s="20">
        <v>4051.7049999999999</v>
      </c>
      <c r="D373" s="20">
        <v>5029</v>
      </c>
      <c r="E373" s="20">
        <v>4770</v>
      </c>
      <c r="F373" s="7">
        <f t="shared" si="35"/>
        <v>11113204.896</v>
      </c>
      <c r="G373" s="7">
        <f t="shared" si="36"/>
        <v>19326632.850000001</v>
      </c>
      <c r="H373" s="20">
        <v>51</v>
      </c>
      <c r="I373" s="20">
        <v>1138500</v>
      </c>
      <c r="J373" s="20">
        <v>82.5</v>
      </c>
      <c r="K373" s="20">
        <v>956000</v>
      </c>
      <c r="L373" s="20">
        <v>16000</v>
      </c>
      <c r="M373" s="20"/>
      <c r="N373" s="20"/>
      <c r="O373" s="20">
        <v>360000</v>
      </c>
      <c r="P373" s="20"/>
      <c r="Q373" s="19">
        <f t="shared" si="37"/>
        <v>32910337.745999999</v>
      </c>
      <c r="R373" s="20">
        <v>261044</v>
      </c>
      <c r="S373" s="20">
        <v>13457930</v>
      </c>
      <c r="T373" s="20"/>
      <c r="U373" s="20"/>
      <c r="V373" s="20"/>
      <c r="W373" s="20">
        <v>464800</v>
      </c>
      <c r="X373" s="20">
        <v>8746229</v>
      </c>
      <c r="Y373" s="8">
        <f t="shared" si="38"/>
        <v>9980334.7459999993</v>
      </c>
      <c r="Z373" s="36"/>
      <c r="AA373" s="36"/>
      <c r="AB373" s="36"/>
      <c r="AC373" s="36"/>
      <c r="AD373" s="36">
        <v>95400</v>
      </c>
      <c r="AE373" s="36"/>
      <c r="AF373" s="36">
        <v>1000000</v>
      </c>
      <c r="AG373" s="36"/>
      <c r="AH373" s="36"/>
      <c r="AI373" s="36"/>
      <c r="AJ373" s="36"/>
      <c r="AK373" s="36"/>
      <c r="AL373" s="37">
        <f t="shared" si="39"/>
        <v>1095400</v>
      </c>
      <c r="AM373" s="36"/>
      <c r="AN373" s="36"/>
      <c r="AO373" s="36"/>
      <c r="AP373" s="7"/>
      <c r="AQ373" s="38">
        <f t="shared" si="40"/>
        <v>8884934.7459999993</v>
      </c>
      <c r="AR373" s="36">
        <v>8884000</v>
      </c>
      <c r="AS373" s="18">
        <f t="shared" si="41"/>
        <v>-934.74599999934435</v>
      </c>
    </row>
    <row r="374" spans="1:45" x14ac:dyDescent="0.25">
      <c r="A374" s="40">
        <v>45662</v>
      </c>
      <c r="B374" s="20">
        <v>2097.2620000000002</v>
      </c>
      <c r="C374" s="20">
        <v>1985.047</v>
      </c>
      <c r="D374" s="20">
        <v>5029</v>
      </c>
      <c r="E374" s="20">
        <v>4770</v>
      </c>
      <c r="F374" s="7">
        <f t="shared" si="35"/>
        <v>10547130.598000001</v>
      </c>
      <c r="G374" s="7">
        <f t="shared" si="36"/>
        <v>9468674.1899999995</v>
      </c>
      <c r="H374" s="20">
        <v>42.75</v>
      </c>
      <c r="I374" s="20">
        <v>1024500</v>
      </c>
      <c r="J374" s="20">
        <v>76</v>
      </c>
      <c r="K374" s="20">
        <v>926000</v>
      </c>
      <c r="L374" s="20">
        <v>103000</v>
      </c>
      <c r="M374" s="20"/>
      <c r="N374" s="20"/>
      <c r="O374" s="20">
        <v>0</v>
      </c>
      <c r="P374" s="20"/>
      <c r="Q374" s="19">
        <f t="shared" si="37"/>
        <v>22069304.788000003</v>
      </c>
      <c r="R374" s="20">
        <v>709443</v>
      </c>
      <c r="S374" s="20">
        <v>1479931</v>
      </c>
      <c r="T374" s="20"/>
      <c r="U374" s="20"/>
      <c r="V374" s="20"/>
      <c r="W374" s="20">
        <v>0</v>
      </c>
      <c r="X374" s="20">
        <v>10216460</v>
      </c>
      <c r="Y374" s="8">
        <f t="shared" si="38"/>
        <v>9663470.7880000025</v>
      </c>
      <c r="Z374" s="36"/>
      <c r="AA374" s="36"/>
      <c r="AB374" s="36"/>
      <c r="AC374" s="36"/>
      <c r="AD374" s="36"/>
      <c r="AE374" s="36"/>
      <c r="AF374" s="36">
        <v>9000</v>
      </c>
      <c r="AG374" s="36"/>
      <c r="AH374" s="36">
        <v>19000</v>
      </c>
      <c r="AI374" s="36"/>
      <c r="AJ374" s="36"/>
      <c r="AK374" s="36"/>
      <c r="AL374" s="37">
        <f t="shared" si="39"/>
        <v>28000</v>
      </c>
      <c r="AM374" s="36"/>
      <c r="AN374" s="36">
        <v>730000</v>
      </c>
      <c r="AO374" s="36"/>
      <c r="AP374" s="7"/>
      <c r="AQ374" s="38">
        <f t="shared" si="40"/>
        <v>8905470.7880000025</v>
      </c>
      <c r="AR374" s="36"/>
      <c r="AS374" s="18">
        <f t="shared" si="41"/>
        <v>-8905470.7880000025</v>
      </c>
    </row>
    <row r="375" spans="1:45" x14ac:dyDescent="0.25">
      <c r="A375" s="40">
        <v>45663</v>
      </c>
      <c r="B375" s="20">
        <v>1730.3610000000001</v>
      </c>
      <c r="C375" s="20">
        <v>1796.771</v>
      </c>
      <c r="D375" s="20">
        <v>5029</v>
      </c>
      <c r="E375" s="20">
        <v>4770</v>
      </c>
      <c r="F375" s="7">
        <f t="shared" si="35"/>
        <v>8701985.4690000005</v>
      </c>
      <c r="G375" s="7">
        <f t="shared" si="36"/>
        <v>8570597.6699999999</v>
      </c>
      <c r="H375" s="20">
        <v>41</v>
      </c>
      <c r="I375" s="20">
        <v>929500</v>
      </c>
      <c r="J375" s="20">
        <v>43</v>
      </c>
      <c r="K375" s="20">
        <v>369000</v>
      </c>
      <c r="L375" s="20">
        <v>23000</v>
      </c>
      <c r="M375" s="20">
        <v>100000</v>
      </c>
      <c r="N375" s="20"/>
      <c r="O375" s="20">
        <v>938523</v>
      </c>
      <c r="P375" s="20"/>
      <c r="Q375" s="19">
        <f t="shared" si="37"/>
        <v>19632606.138999999</v>
      </c>
      <c r="R375" s="20">
        <v>1203078</v>
      </c>
      <c r="S375" s="20">
        <v>1488796</v>
      </c>
      <c r="T375" s="20"/>
      <c r="U375" s="20"/>
      <c r="V375" s="20"/>
      <c r="W375" s="20">
        <v>316000</v>
      </c>
      <c r="X375" s="20">
        <v>6218000</v>
      </c>
      <c r="Y375" s="8">
        <f t="shared" si="38"/>
        <v>10406732.138999999</v>
      </c>
      <c r="Z375" s="36"/>
      <c r="AA375" s="36"/>
      <c r="AB375" s="36"/>
      <c r="AC375" s="36">
        <v>13000</v>
      </c>
      <c r="AD375" s="36"/>
      <c r="AE375" s="36"/>
      <c r="AF375" s="36">
        <v>1150000</v>
      </c>
      <c r="AG375" s="36"/>
      <c r="AH375" s="36"/>
      <c r="AI375" s="36"/>
      <c r="AJ375" s="36"/>
      <c r="AK375" s="36"/>
      <c r="AL375" s="37">
        <f t="shared" si="39"/>
        <v>1163000</v>
      </c>
      <c r="AM375" s="36"/>
      <c r="AN375" s="36"/>
      <c r="AO375" s="36"/>
      <c r="AP375" s="7"/>
      <c r="AQ375" s="38">
        <f t="shared" si="40"/>
        <v>9243732.1389999986</v>
      </c>
      <c r="AR375" s="36">
        <v>18164800</v>
      </c>
      <c r="AS375" s="18">
        <f t="shared" si="41"/>
        <v>8921067.8610000014</v>
      </c>
    </row>
    <row r="376" spans="1:45" x14ac:dyDescent="0.25">
      <c r="A376" s="40">
        <v>45664</v>
      </c>
      <c r="B376" s="20">
        <v>2086.3939999999998</v>
      </c>
      <c r="C376" s="20">
        <v>2426.2800000000002</v>
      </c>
      <c r="D376" s="20">
        <v>5029</v>
      </c>
      <c r="E376" s="20">
        <v>4770</v>
      </c>
      <c r="F376" s="7">
        <f t="shared" si="35"/>
        <v>10492475.425999999</v>
      </c>
      <c r="G376" s="7">
        <f t="shared" si="36"/>
        <v>11573355.600000001</v>
      </c>
      <c r="H376" s="20">
        <v>64.5</v>
      </c>
      <c r="I376" s="20">
        <v>1318500</v>
      </c>
      <c r="J376" s="20">
        <v>61</v>
      </c>
      <c r="K376" s="20">
        <v>620000</v>
      </c>
      <c r="L376" s="20">
        <v>120000</v>
      </c>
      <c r="M376" s="20"/>
      <c r="N376" s="20"/>
      <c r="O376" s="20">
        <v>3000000</v>
      </c>
      <c r="P376" s="20"/>
      <c r="Q376" s="19">
        <f t="shared" si="37"/>
        <v>27124331.026000001</v>
      </c>
      <c r="R376" s="20">
        <v>1004266</v>
      </c>
      <c r="S376" s="20">
        <v>3051962</v>
      </c>
      <c r="T376" s="20"/>
      <c r="U376" s="20"/>
      <c r="V376" s="20"/>
      <c r="W376" s="20"/>
      <c r="X376" s="20">
        <v>9101613</v>
      </c>
      <c r="Y376" s="8">
        <f t="shared" si="38"/>
        <v>13966490.026000001</v>
      </c>
      <c r="Z376" s="36"/>
      <c r="AA376" s="36"/>
      <c r="AB376" s="36"/>
      <c r="AC376" s="36">
        <v>4500</v>
      </c>
      <c r="AD376" s="36"/>
      <c r="AE376" s="36"/>
      <c r="AF376" s="36">
        <v>7806000</v>
      </c>
      <c r="AG376" s="36"/>
      <c r="AH376" s="36"/>
      <c r="AI376" s="36"/>
      <c r="AJ376" s="36"/>
      <c r="AK376" s="36"/>
      <c r="AL376" s="37">
        <f t="shared" si="39"/>
        <v>7810500</v>
      </c>
      <c r="AM376" s="36"/>
      <c r="AN376" s="36"/>
      <c r="AO376" s="36"/>
      <c r="AP376" s="7"/>
      <c r="AQ376" s="38">
        <f t="shared" si="40"/>
        <v>6155990.0260000005</v>
      </c>
      <c r="AR376" s="36">
        <v>6156000</v>
      </c>
      <c r="AS376" s="18">
        <f t="shared" si="41"/>
        <v>9.9739999994635582</v>
      </c>
    </row>
    <row r="377" spans="1:45" x14ac:dyDescent="0.25">
      <c r="A377" s="40">
        <v>45665</v>
      </c>
      <c r="B377" s="20">
        <v>1954.6479999999999</v>
      </c>
      <c r="C377" s="20">
        <v>3344.3049999999998</v>
      </c>
      <c r="D377" s="20">
        <v>5029</v>
      </c>
      <c r="E377" s="20">
        <v>4770</v>
      </c>
      <c r="F377" s="7">
        <f t="shared" si="35"/>
        <v>9829924.7919999994</v>
      </c>
      <c r="G377" s="7">
        <f t="shared" si="36"/>
        <v>15952334.85</v>
      </c>
      <c r="H377" s="20">
        <v>78</v>
      </c>
      <c r="I377" s="20">
        <v>1894500</v>
      </c>
      <c r="J377" s="20">
        <v>36</v>
      </c>
      <c r="K377" s="20">
        <v>410000</v>
      </c>
      <c r="L377" s="20">
        <v>176000</v>
      </c>
      <c r="M377" s="20"/>
      <c r="N377" s="20"/>
      <c r="O377" s="20">
        <v>682000</v>
      </c>
      <c r="P377" s="20"/>
      <c r="Q377" s="19">
        <f t="shared" si="37"/>
        <v>28944759.641999997</v>
      </c>
      <c r="R377" s="20">
        <v>571198</v>
      </c>
      <c r="S377" s="20">
        <v>5262400</v>
      </c>
      <c r="T377" s="20"/>
      <c r="U377" s="20"/>
      <c r="V377" s="20"/>
      <c r="W377" s="20"/>
      <c r="X377" s="20">
        <v>17177814</v>
      </c>
      <c r="Y377" s="8">
        <f t="shared" si="38"/>
        <v>5933347.6419999972</v>
      </c>
      <c r="Z377" s="36"/>
      <c r="AA377" s="36"/>
      <c r="AB377" s="36"/>
      <c r="AC377" s="36"/>
      <c r="AD377" s="36"/>
      <c r="AE377" s="36"/>
      <c r="AF377" s="36">
        <v>103000</v>
      </c>
      <c r="AG377" s="36"/>
      <c r="AH377" s="36">
        <v>70000</v>
      </c>
      <c r="AI377" s="36"/>
      <c r="AJ377" s="36"/>
      <c r="AK377" s="36"/>
      <c r="AL377" s="37">
        <f t="shared" si="39"/>
        <v>173000</v>
      </c>
      <c r="AM377" s="36"/>
      <c r="AN377" s="36"/>
      <c r="AO377" s="36"/>
      <c r="AP377" s="7"/>
      <c r="AQ377" s="38">
        <f t="shared" si="40"/>
        <v>5760347.6419999972</v>
      </c>
      <c r="AR377" s="36">
        <v>5760400</v>
      </c>
      <c r="AS377" s="18">
        <f t="shared" si="41"/>
        <v>52.358000002801418</v>
      </c>
    </row>
    <row r="378" spans="1:45" x14ac:dyDescent="0.25">
      <c r="A378" s="40">
        <v>45666</v>
      </c>
      <c r="B378" s="20">
        <v>1715.058</v>
      </c>
      <c r="C378" s="20">
        <v>1654.202</v>
      </c>
      <c r="D378" s="20">
        <v>5190</v>
      </c>
      <c r="E378" s="20">
        <v>4830</v>
      </c>
      <c r="F378" s="7">
        <f t="shared" si="35"/>
        <v>8901151.0199999996</v>
      </c>
      <c r="G378" s="7">
        <f t="shared" si="36"/>
        <v>7989795.6600000001</v>
      </c>
      <c r="H378" s="20">
        <v>22</v>
      </c>
      <c r="I378" s="20">
        <v>466500</v>
      </c>
      <c r="J378" s="20">
        <v>60.5</v>
      </c>
      <c r="K378" s="20">
        <v>805000</v>
      </c>
      <c r="L378" s="20">
        <v>24000</v>
      </c>
      <c r="M378" s="20"/>
      <c r="N378" s="20"/>
      <c r="O378" s="20"/>
      <c r="P378" s="20"/>
      <c r="Q378" s="19">
        <f t="shared" si="37"/>
        <v>18186446.68</v>
      </c>
      <c r="R378" s="20">
        <v>320806</v>
      </c>
      <c r="S378" s="20">
        <v>3146757</v>
      </c>
      <c r="T378" s="20"/>
      <c r="U378" s="20"/>
      <c r="V378" s="20"/>
      <c r="W378" s="20">
        <v>0</v>
      </c>
      <c r="X378" s="20">
        <v>6492048</v>
      </c>
      <c r="Y378" s="8">
        <f t="shared" si="38"/>
        <v>8226835.6799999997</v>
      </c>
      <c r="Z378" s="36"/>
      <c r="AA378" s="36"/>
      <c r="AB378" s="36"/>
      <c r="AC378" s="36"/>
      <c r="AD378" s="36">
        <v>96600</v>
      </c>
      <c r="AE378" s="36"/>
      <c r="AF378" s="36">
        <v>536000</v>
      </c>
      <c r="AG378" s="36"/>
      <c r="AH378" s="36"/>
      <c r="AI378" s="36"/>
      <c r="AJ378" s="36"/>
      <c r="AK378" s="36"/>
      <c r="AL378" s="37">
        <f t="shared" si="39"/>
        <v>632600</v>
      </c>
      <c r="AM378" s="36"/>
      <c r="AN378" s="36"/>
      <c r="AO378" s="36"/>
      <c r="AP378" s="7"/>
      <c r="AQ378" s="38">
        <f t="shared" si="40"/>
        <v>7594235.6799999997</v>
      </c>
      <c r="AR378" s="36">
        <v>7594200</v>
      </c>
      <c r="AS378" s="18">
        <f t="shared" si="41"/>
        <v>-35.679999999701977</v>
      </c>
    </row>
    <row r="379" spans="1:45" x14ac:dyDescent="0.25">
      <c r="A379" s="40">
        <v>45667</v>
      </c>
      <c r="B379" s="20">
        <v>1767.6079999999999</v>
      </c>
      <c r="C379" s="20">
        <v>1644.194</v>
      </c>
      <c r="D379" s="20">
        <v>5190</v>
      </c>
      <c r="E379" s="20">
        <v>4830</v>
      </c>
      <c r="F379" s="7">
        <f t="shared" si="35"/>
        <v>9173885.5199999996</v>
      </c>
      <c r="G379" s="7">
        <f t="shared" si="36"/>
        <v>7941457.0199999996</v>
      </c>
      <c r="H379" s="20">
        <v>37.5</v>
      </c>
      <c r="I379" s="20">
        <v>802500</v>
      </c>
      <c r="J379" s="20">
        <v>37</v>
      </c>
      <c r="K379" s="20">
        <v>434000</v>
      </c>
      <c r="L379" s="20">
        <v>108000</v>
      </c>
      <c r="M379" s="20"/>
      <c r="N379" s="20"/>
      <c r="O379" s="20"/>
      <c r="P379" s="20"/>
      <c r="Q379" s="19">
        <f t="shared" si="37"/>
        <v>18459842.539999999</v>
      </c>
      <c r="R379" s="20">
        <v>1151246</v>
      </c>
      <c r="S379" s="20">
        <v>2761749</v>
      </c>
      <c r="T379" s="20"/>
      <c r="U379" s="20"/>
      <c r="V379" s="20"/>
      <c r="W379" s="20">
        <v>0</v>
      </c>
      <c r="X379" s="20">
        <v>8426041</v>
      </c>
      <c r="Y379" s="8">
        <f t="shared" si="38"/>
        <v>6120806.5399999991</v>
      </c>
      <c r="Z379" s="36"/>
      <c r="AA379" s="36"/>
      <c r="AB379" s="36"/>
      <c r="AC379" s="36"/>
      <c r="AD379" s="36"/>
      <c r="AE379" s="36"/>
      <c r="AF379" s="36">
        <v>1503000</v>
      </c>
      <c r="AG379" s="36"/>
      <c r="AH379" s="36"/>
      <c r="AI379" s="36"/>
      <c r="AJ379" s="36"/>
      <c r="AK379" s="36"/>
      <c r="AL379" s="37">
        <f t="shared" si="39"/>
        <v>1503000</v>
      </c>
      <c r="AM379" s="36"/>
      <c r="AN379" s="36"/>
      <c r="AO379" s="36"/>
      <c r="AP379" s="7"/>
      <c r="AQ379" s="38">
        <f t="shared" si="40"/>
        <v>4617806.5399999991</v>
      </c>
      <c r="AR379" s="36">
        <v>4617800</v>
      </c>
      <c r="AS379" s="18">
        <f t="shared" si="41"/>
        <v>-6.5399999991059303</v>
      </c>
    </row>
    <row r="380" spans="1:45" x14ac:dyDescent="0.25">
      <c r="A380" s="40">
        <v>45668</v>
      </c>
      <c r="B380" s="20">
        <v>1955.99</v>
      </c>
      <c r="C380" s="20">
        <v>2365.2779999999998</v>
      </c>
      <c r="D380" s="20">
        <v>5190</v>
      </c>
      <c r="E380" s="20">
        <v>4830</v>
      </c>
      <c r="F380" s="7">
        <f t="shared" si="35"/>
        <v>10151588.1</v>
      </c>
      <c r="G380" s="7">
        <f t="shared" si="36"/>
        <v>11424292.739999998</v>
      </c>
      <c r="H380" s="20">
        <v>117.5</v>
      </c>
      <c r="I380" s="20">
        <v>2693000</v>
      </c>
      <c r="J380" s="20">
        <v>118</v>
      </c>
      <c r="K380" s="20">
        <v>1481000</v>
      </c>
      <c r="L380" s="20">
        <v>105000</v>
      </c>
      <c r="M380" s="20"/>
      <c r="N380" s="20"/>
      <c r="O380" s="20">
        <v>0</v>
      </c>
      <c r="P380" s="20"/>
      <c r="Q380" s="19">
        <f t="shared" si="37"/>
        <v>25854880.839999996</v>
      </c>
      <c r="R380" s="20">
        <v>948910</v>
      </c>
      <c r="S380" s="20">
        <v>3075050</v>
      </c>
      <c r="T380" s="20"/>
      <c r="U380" s="20"/>
      <c r="V380" s="20"/>
      <c r="W380" s="20"/>
      <c r="X380" s="20">
        <v>14826011</v>
      </c>
      <c r="Y380" s="8">
        <f t="shared" si="38"/>
        <v>7004909.8399999961</v>
      </c>
      <c r="Z380" s="36"/>
      <c r="AA380" s="36"/>
      <c r="AB380" s="36"/>
      <c r="AC380" s="36">
        <v>45000</v>
      </c>
      <c r="AD380" s="36"/>
      <c r="AE380" s="36"/>
      <c r="AF380" s="36">
        <v>1153000</v>
      </c>
      <c r="AG380" s="36"/>
      <c r="AH380" s="36"/>
      <c r="AI380" s="36"/>
      <c r="AJ380" s="36">
        <v>200000</v>
      </c>
      <c r="AK380" s="36"/>
      <c r="AL380" s="37">
        <f t="shared" si="39"/>
        <v>1398000</v>
      </c>
      <c r="AM380" s="36"/>
      <c r="AN380" s="36"/>
      <c r="AO380" s="36"/>
      <c r="AP380" s="7"/>
      <c r="AQ380" s="38">
        <f t="shared" si="40"/>
        <v>5606909.8399999961</v>
      </c>
      <c r="AR380" s="36">
        <v>5607000</v>
      </c>
      <c r="AS380" s="18">
        <f t="shared" si="41"/>
        <v>90.160000003874302</v>
      </c>
    </row>
    <row r="381" spans="1:45" x14ac:dyDescent="0.25">
      <c r="A381" s="40">
        <v>45669</v>
      </c>
      <c r="B381" s="20">
        <v>1616.2739999999999</v>
      </c>
      <c r="C381" s="20">
        <v>1271.414</v>
      </c>
      <c r="D381" s="20">
        <v>5200</v>
      </c>
      <c r="E381" s="20">
        <v>4830</v>
      </c>
      <c r="F381" s="7">
        <f t="shared" si="35"/>
        <v>8404624.7999999989</v>
      </c>
      <c r="G381" s="7">
        <f t="shared" si="36"/>
        <v>6140929.6200000001</v>
      </c>
      <c r="H381" s="20">
        <v>18</v>
      </c>
      <c r="I381" s="20">
        <v>365500</v>
      </c>
      <c r="J381" s="20">
        <v>18.5</v>
      </c>
      <c r="K381" s="20">
        <v>208000</v>
      </c>
      <c r="L381" s="20">
        <v>0</v>
      </c>
      <c r="M381" s="20"/>
      <c r="N381" s="20"/>
      <c r="O381" s="20">
        <v>283000</v>
      </c>
      <c r="P381" s="20"/>
      <c r="Q381" s="19">
        <f t="shared" si="37"/>
        <v>15402054.419999998</v>
      </c>
      <c r="R381" s="20">
        <v>328000</v>
      </c>
      <c r="S381" s="20">
        <v>3900090</v>
      </c>
      <c r="T381" s="20"/>
      <c r="U381" s="20"/>
      <c r="V381" s="20"/>
      <c r="W381" s="20">
        <v>84000</v>
      </c>
      <c r="X381" s="20">
        <v>4382617</v>
      </c>
      <c r="Y381" s="8">
        <f t="shared" si="38"/>
        <v>6707347.4199999981</v>
      </c>
      <c r="Z381" s="36"/>
      <c r="AA381" s="36"/>
      <c r="AB381" s="36"/>
      <c r="AC381" s="36">
        <v>32000</v>
      </c>
      <c r="AD381" s="36"/>
      <c r="AE381" s="36"/>
      <c r="AF381" s="36">
        <v>506000</v>
      </c>
      <c r="AG381" s="36"/>
      <c r="AH381" s="36">
        <v>28500</v>
      </c>
      <c r="AI381" s="36"/>
      <c r="AJ381" s="36"/>
      <c r="AK381" s="36"/>
      <c r="AL381" s="37">
        <f t="shared" si="39"/>
        <v>566500</v>
      </c>
      <c r="AM381" s="36"/>
      <c r="AN381" s="36"/>
      <c r="AO381" s="36"/>
      <c r="AP381" s="7"/>
      <c r="AQ381" s="38">
        <f t="shared" si="40"/>
        <v>6140847.4199999981</v>
      </c>
      <c r="AR381" s="36">
        <v>0</v>
      </c>
      <c r="AS381" s="18">
        <f t="shared" si="41"/>
        <v>-6140847.4199999981</v>
      </c>
    </row>
    <row r="382" spans="1:45" x14ac:dyDescent="0.25">
      <c r="A382" s="40">
        <v>45670</v>
      </c>
      <c r="B382" s="20">
        <v>1649.817</v>
      </c>
      <c r="C382" s="20">
        <v>1099.9970000000001</v>
      </c>
      <c r="D382" s="20">
        <v>5200</v>
      </c>
      <c r="E382" s="20">
        <v>4830</v>
      </c>
      <c r="F382" s="7">
        <f t="shared" si="35"/>
        <v>8579048.4000000004</v>
      </c>
      <c r="G382" s="7">
        <f t="shared" si="36"/>
        <v>5312985.5100000007</v>
      </c>
      <c r="H382" s="20">
        <v>24.75</v>
      </c>
      <c r="I382" s="20">
        <v>591000</v>
      </c>
      <c r="J382" s="20">
        <v>45.5</v>
      </c>
      <c r="K382" s="20">
        <v>490000</v>
      </c>
      <c r="L382" s="20">
        <v>15000</v>
      </c>
      <c r="M382" s="20"/>
      <c r="N382" s="20"/>
      <c r="O382" s="20">
        <v>0</v>
      </c>
      <c r="P382" s="20">
        <v>25000</v>
      </c>
      <c r="Q382" s="19">
        <f t="shared" si="37"/>
        <v>15013033.91</v>
      </c>
      <c r="R382" s="20">
        <v>614132</v>
      </c>
      <c r="S382" s="20">
        <v>2432315</v>
      </c>
      <c r="T382" s="20"/>
      <c r="U382" s="20"/>
      <c r="V382" s="20"/>
      <c r="W382" s="20">
        <v>0</v>
      </c>
      <c r="X382" s="20">
        <v>2882350</v>
      </c>
      <c r="Y382" s="8">
        <f t="shared" si="38"/>
        <v>9084236.9100000001</v>
      </c>
      <c r="Z382" s="36"/>
      <c r="AA382" s="36"/>
      <c r="AB382" s="36"/>
      <c r="AC382" s="36"/>
      <c r="AD382" s="36"/>
      <c r="AE382" s="36"/>
      <c r="AF382" s="36">
        <v>2885000</v>
      </c>
      <c r="AG382" s="36"/>
      <c r="AH382" s="36"/>
      <c r="AI382" s="36"/>
      <c r="AJ382" s="36"/>
      <c r="AK382" s="36"/>
      <c r="AL382" s="37">
        <f t="shared" si="39"/>
        <v>2885000</v>
      </c>
      <c r="AM382" s="36"/>
      <c r="AN382" s="36"/>
      <c r="AO382" s="36"/>
      <c r="AP382" s="7"/>
      <c r="AQ382" s="38">
        <f t="shared" si="40"/>
        <v>6199236.9100000001</v>
      </c>
      <c r="AR382" s="36">
        <v>12340100</v>
      </c>
      <c r="AS382" s="18">
        <f t="shared" si="41"/>
        <v>6140863.0899999999</v>
      </c>
    </row>
    <row r="383" spans="1:45" x14ac:dyDescent="0.25">
      <c r="A383" s="40">
        <v>45671</v>
      </c>
      <c r="B383" s="20">
        <v>1799.752</v>
      </c>
      <c r="C383" s="20">
        <v>3026.7510000000002</v>
      </c>
      <c r="D383" s="20">
        <v>5200</v>
      </c>
      <c r="E383" s="20">
        <v>4830</v>
      </c>
      <c r="F383" s="7">
        <f t="shared" si="35"/>
        <v>9358710.4000000004</v>
      </c>
      <c r="G383" s="7">
        <f t="shared" si="36"/>
        <v>14619207.33</v>
      </c>
      <c r="H383" s="20">
        <v>63.25</v>
      </c>
      <c r="I383" s="20">
        <v>1347500</v>
      </c>
      <c r="J383" s="20">
        <v>111.5</v>
      </c>
      <c r="K383" s="20">
        <v>1272000</v>
      </c>
      <c r="L383" s="20">
        <v>54000</v>
      </c>
      <c r="M383" s="20"/>
      <c r="N383" s="20">
        <v>1000000</v>
      </c>
      <c r="O383" s="20">
        <v>921000</v>
      </c>
      <c r="P383" s="20"/>
      <c r="Q383" s="19">
        <f t="shared" si="37"/>
        <v>28572417.73</v>
      </c>
      <c r="R383" s="20">
        <v>2101867</v>
      </c>
      <c r="S383" s="20">
        <v>5410104</v>
      </c>
      <c r="T383" s="20"/>
      <c r="U383" s="20"/>
      <c r="V383" s="20"/>
      <c r="W383" s="20"/>
      <c r="X383" s="20">
        <v>10984251</v>
      </c>
      <c r="Y383" s="8">
        <f t="shared" si="38"/>
        <v>10076195.73</v>
      </c>
      <c r="Z383" s="36"/>
      <c r="AA383" s="36"/>
      <c r="AB383" s="36"/>
      <c r="AC383" s="36"/>
      <c r="AD383" s="36"/>
      <c r="AE383" s="36"/>
      <c r="AF383" s="36">
        <v>515000</v>
      </c>
      <c r="AG383" s="36"/>
      <c r="AH383" s="36"/>
      <c r="AI383" s="36"/>
      <c r="AJ383" s="36"/>
      <c r="AK383" s="36"/>
      <c r="AL383" s="37">
        <f t="shared" si="39"/>
        <v>515000</v>
      </c>
      <c r="AM383" s="36"/>
      <c r="AN383" s="36"/>
      <c r="AO383" s="36"/>
      <c r="AP383" s="7"/>
      <c r="AQ383" s="38">
        <f t="shared" si="40"/>
        <v>9561195.7300000004</v>
      </c>
      <c r="AR383" s="36">
        <v>9561000</v>
      </c>
      <c r="AS383" s="18">
        <f t="shared" si="41"/>
        <v>-195.73000000044703</v>
      </c>
    </row>
    <row r="384" spans="1:45" x14ac:dyDescent="0.25">
      <c r="A384" s="40">
        <v>45672</v>
      </c>
      <c r="B384" s="20">
        <v>1329.9929999999999</v>
      </c>
      <c r="C384" s="20">
        <v>2075.3290000000002</v>
      </c>
      <c r="D384" s="20">
        <v>5200</v>
      </c>
      <c r="E384" s="20">
        <v>4830</v>
      </c>
      <c r="F384" s="7">
        <f t="shared" si="35"/>
        <v>6915963.5999999996</v>
      </c>
      <c r="G384" s="7">
        <f t="shared" si="36"/>
        <v>10023839.07</v>
      </c>
      <c r="H384" s="20">
        <v>49</v>
      </c>
      <c r="I384" s="20">
        <v>1061500</v>
      </c>
      <c r="J384" s="20">
        <v>72.5</v>
      </c>
      <c r="K384" s="20">
        <v>1466500</v>
      </c>
      <c r="L384" s="20">
        <v>128000</v>
      </c>
      <c r="M384" s="20"/>
      <c r="N384" s="20"/>
      <c r="O384" s="20">
        <v>2834000</v>
      </c>
      <c r="P384" s="20"/>
      <c r="Q384" s="19">
        <f t="shared" si="37"/>
        <v>22429802.670000002</v>
      </c>
      <c r="R384" s="20">
        <v>852823</v>
      </c>
      <c r="S384" s="20">
        <v>5096280</v>
      </c>
      <c r="T384" s="20"/>
      <c r="U384" s="20"/>
      <c r="V384" s="20"/>
      <c r="W384" s="20"/>
      <c r="X384" s="20">
        <v>7902642</v>
      </c>
      <c r="Y384" s="8">
        <f t="shared" si="38"/>
        <v>8578057.6700000018</v>
      </c>
      <c r="Z384" s="36"/>
      <c r="AA384" s="36"/>
      <c r="AB384" s="36"/>
      <c r="AC384" s="36"/>
      <c r="AD384" s="36"/>
      <c r="AE384" s="36"/>
      <c r="AF384" s="36">
        <v>3000</v>
      </c>
      <c r="AG384" s="36"/>
      <c r="AH384" s="36"/>
      <c r="AI384" s="36"/>
      <c r="AJ384" s="36">
        <v>810000</v>
      </c>
      <c r="AK384" s="36"/>
      <c r="AL384" s="37">
        <f t="shared" si="39"/>
        <v>813000</v>
      </c>
      <c r="AM384" s="36"/>
      <c r="AN384" s="36"/>
      <c r="AO384" s="36"/>
      <c r="AP384" s="7"/>
      <c r="AQ384" s="38">
        <f t="shared" si="40"/>
        <v>7765057.6700000018</v>
      </c>
      <c r="AR384" s="36">
        <v>7765100</v>
      </c>
      <c r="AS384" s="18">
        <f t="shared" si="41"/>
        <v>42.329999998211861</v>
      </c>
    </row>
    <row r="385" spans="1:45" x14ac:dyDescent="0.25">
      <c r="A385" s="40">
        <v>45673</v>
      </c>
      <c r="B385" s="20">
        <v>1203.462</v>
      </c>
      <c r="C385" s="20">
        <v>1194.1099999999999</v>
      </c>
      <c r="D385" s="20">
        <v>5200</v>
      </c>
      <c r="E385" s="20">
        <v>4830</v>
      </c>
      <c r="F385" s="7">
        <f t="shared" si="35"/>
        <v>6258002.4000000004</v>
      </c>
      <c r="G385" s="7">
        <f t="shared" si="36"/>
        <v>5767551.2999999998</v>
      </c>
      <c r="H385" s="20">
        <v>24</v>
      </c>
      <c r="I385" s="20">
        <v>509500</v>
      </c>
      <c r="J385" s="20">
        <v>65</v>
      </c>
      <c r="K385" s="20">
        <v>652000</v>
      </c>
      <c r="L385" s="20">
        <v>8000</v>
      </c>
      <c r="M385" s="20"/>
      <c r="N385" s="20"/>
      <c r="O385" s="20">
        <v>180000</v>
      </c>
      <c r="P385" s="20"/>
      <c r="Q385" s="19">
        <f t="shared" si="37"/>
        <v>13375053.699999999</v>
      </c>
      <c r="R385" s="20">
        <v>1960840</v>
      </c>
      <c r="S385" s="20">
        <v>2813317</v>
      </c>
      <c r="T385" s="20"/>
      <c r="U385" s="20"/>
      <c r="V385" s="20"/>
      <c r="W385" s="20"/>
      <c r="X385" s="20">
        <v>5011267</v>
      </c>
      <c r="Y385" s="8">
        <f t="shared" si="38"/>
        <v>3589629.6999999993</v>
      </c>
      <c r="Z385" s="36"/>
      <c r="AA385" s="36"/>
      <c r="AB385" s="36"/>
      <c r="AC385" s="36"/>
      <c r="AD385" s="36"/>
      <c r="AE385" s="36"/>
      <c r="AF385" s="36">
        <v>3000</v>
      </c>
      <c r="AG385" s="36"/>
      <c r="AH385" s="36"/>
      <c r="AI385" s="36"/>
      <c r="AJ385" s="36"/>
      <c r="AK385" s="36"/>
      <c r="AL385" s="37">
        <f t="shared" si="39"/>
        <v>3000</v>
      </c>
      <c r="AM385" s="36"/>
      <c r="AN385" s="36"/>
      <c r="AO385" s="36"/>
      <c r="AP385" s="7"/>
      <c r="AQ385" s="38">
        <f t="shared" si="40"/>
        <v>3586629.6999999993</v>
      </c>
      <c r="AR385" s="36">
        <v>3586700</v>
      </c>
      <c r="AS385" s="18">
        <f t="shared" si="41"/>
        <v>70.300000000745058</v>
      </c>
    </row>
    <row r="386" spans="1:45" x14ac:dyDescent="0.25">
      <c r="A386" s="40">
        <v>45674</v>
      </c>
      <c r="B386" s="20">
        <v>1179.6500000000001</v>
      </c>
      <c r="C386" s="20">
        <v>1220.0650000000001</v>
      </c>
      <c r="D386" s="20">
        <v>5200</v>
      </c>
      <c r="E386" s="20">
        <v>4830</v>
      </c>
      <c r="F386" s="7">
        <f t="shared" si="35"/>
        <v>6134180.0000000009</v>
      </c>
      <c r="G386" s="7">
        <f t="shared" si="36"/>
        <v>5892913.9500000002</v>
      </c>
      <c r="H386" s="20">
        <v>22.75</v>
      </c>
      <c r="I386" s="20">
        <v>576000</v>
      </c>
      <c r="J386" s="20">
        <v>52.5</v>
      </c>
      <c r="K386" s="20">
        <v>662000</v>
      </c>
      <c r="L386" s="20">
        <v>16000</v>
      </c>
      <c r="M386" s="20"/>
      <c r="N386" s="20"/>
      <c r="O386" s="20">
        <v>3164000</v>
      </c>
      <c r="P386" s="20"/>
      <c r="Q386" s="19">
        <f t="shared" si="37"/>
        <v>16445093.950000001</v>
      </c>
      <c r="R386" s="20">
        <v>507356</v>
      </c>
      <c r="S386" s="20">
        <v>3234063</v>
      </c>
      <c r="T386" s="20"/>
      <c r="U386" s="20"/>
      <c r="V386" s="20"/>
      <c r="W386" s="20"/>
      <c r="X386" s="20">
        <v>3835820</v>
      </c>
      <c r="Y386" s="8">
        <f t="shared" si="38"/>
        <v>8867854.9500000011</v>
      </c>
      <c r="Z386" s="36"/>
      <c r="AA386" s="36"/>
      <c r="AB386" s="36"/>
      <c r="AC386" s="36"/>
      <c r="AD386" s="36"/>
      <c r="AE386" s="36"/>
      <c r="AF386" s="36">
        <v>3000</v>
      </c>
      <c r="AG386" s="36"/>
      <c r="AH386" s="36"/>
      <c r="AI386" s="36"/>
      <c r="AJ386" s="36">
        <v>1800000</v>
      </c>
      <c r="AK386" s="36"/>
      <c r="AL386" s="37">
        <f t="shared" si="39"/>
        <v>1803000</v>
      </c>
      <c r="AM386" s="36"/>
      <c r="AN386" s="36"/>
      <c r="AO386" s="36"/>
      <c r="AP386" s="7"/>
      <c r="AQ386" s="38">
        <f t="shared" si="40"/>
        <v>7064854.9500000011</v>
      </c>
      <c r="AR386" s="36">
        <v>7064900</v>
      </c>
      <c r="AS386" s="18">
        <f t="shared" si="41"/>
        <v>45.049999998882413</v>
      </c>
    </row>
    <row r="387" spans="1:45" x14ac:dyDescent="0.25">
      <c r="A387" s="40">
        <v>45675</v>
      </c>
      <c r="B387" s="20">
        <v>1703.895</v>
      </c>
      <c r="C387" s="20">
        <v>2100.1080000000002</v>
      </c>
      <c r="D387" s="20">
        <v>5200</v>
      </c>
      <c r="E387" s="20">
        <v>4830</v>
      </c>
      <c r="F387" s="7">
        <f t="shared" si="35"/>
        <v>8860254</v>
      </c>
      <c r="G387" s="7">
        <f t="shared" si="36"/>
        <v>10143521.640000001</v>
      </c>
      <c r="H387" s="20">
        <v>139.25</v>
      </c>
      <c r="I387" s="20">
        <v>3157500</v>
      </c>
      <c r="J387" s="20">
        <v>127</v>
      </c>
      <c r="K387" s="20">
        <v>1080000</v>
      </c>
      <c r="L387" s="20">
        <v>95000</v>
      </c>
      <c r="M387" s="20"/>
      <c r="N387" s="20"/>
      <c r="O387" s="20">
        <v>0</v>
      </c>
      <c r="P387" s="20"/>
      <c r="Q387" s="19">
        <f t="shared" si="37"/>
        <v>23336275.640000001</v>
      </c>
      <c r="R387" s="20">
        <v>1758520</v>
      </c>
      <c r="S387" s="20">
        <v>2315700</v>
      </c>
      <c r="T387" s="20"/>
      <c r="U387" s="20"/>
      <c r="V387" s="20"/>
      <c r="W387" s="20"/>
      <c r="X387" s="20">
        <v>11860891</v>
      </c>
      <c r="Y387" s="8">
        <f t="shared" si="38"/>
        <v>7401164.6400000006</v>
      </c>
      <c r="Z387" s="36"/>
      <c r="AA387" s="36"/>
      <c r="AB387" s="36"/>
      <c r="AC387" s="36"/>
      <c r="AD387" s="36"/>
      <c r="AE387" s="36"/>
      <c r="AF387" s="36">
        <v>3000</v>
      </c>
      <c r="AG387" s="36"/>
      <c r="AH387" s="36"/>
      <c r="AI387" s="36"/>
      <c r="AJ387" s="36"/>
      <c r="AK387" s="36"/>
      <c r="AL387" s="37">
        <f t="shared" si="39"/>
        <v>3000</v>
      </c>
      <c r="AM387" s="36"/>
      <c r="AN387" s="36"/>
      <c r="AO387" s="36"/>
      <c r="AP387" s="7"/>
      <c r="AQ387" s="38">
        <f t="shared" si="40"/>
        <v>7398164.6400000006</v>
      </c>
      <c r="AR387" s="36">
        <v>7398200</v>
      </c>
      <c r="AS387" s="18">
        <f t="shared" si="41"/>
        <v>35.359999999403954</v>
      </c>
    </row>
    <row r="388" spans="1:45" x14ac:dyDescent="0.25">
      <c r="A388" s="40">
        <v>45676</v>
      </c>
      <c r="B388" s="20">
        <v>1499.2650000000001</v>
      </c>
      <c r="C388" s="20">
        <v>2041.5740000000001</v>
      </c>
      <c r="D388" s="20">
        <v>5200</v>
      </c>
      <c r="E388" s="20">
        <v>4830</v>
      </c>
      <c r="F388" s="7">
        <f t="shared" ref="F388:F451" si="42">B388*D388</f>
        <v>7796178.0000000009</v>
      </c>
      <c r="G388" s="7">
        <f t="shared" ref="G388:G451" si="43">C388*E388</f>
        <v>9860802.4199999999</v>
      </c>
      <c r="H388" s="20">
        <v>74.75</v>
      </c>
      <c r="I388" s="20">
        <v>1628500</v>
      </c>
      <c r="J388" s="20">
        <v>83</v>
      </c>
      <c r="K388" s="20">
        <v>794000</v>
      </c>
      <c r="L388" s="20">
        <v>78000</v>
      </c>
      <c r="M388" s="20"/>
      <c r="N388" s="20"/>
      <c r="O388" s="20"/>
      <c r="P388" s="20"/>
      <c r="Q388" s="19">
        <f t="shared" ref="Q388:Q451" si="44">SUM(F388:G388)+I388+K388+SUM(L388:P388)</f>
        <v>20157480.420000002</v>
      </c>
      <c r="R388" s="20">
        <v>1195474</v>
      </c>
      <c r="S388" s="20">
        <v>3312716</v>
      </c>
      <c r="T388" s="20"/>
      <c r="U388" s="20"/>
      <c r="V388" s="20"/>
      <c r="W388" s="20">
        <v>100000</v>
      </c>
      <c r="X388" s="20">
        <v>10319650</v>
      </c>
      <c r="Y388" s="8">
        <f t="shared" ref="Y388:Y451" si="45">Q388-SUM(R388:X388)</f>
        <v>5229640.4200000018</v>
      </c>
      <c r="Z388" s="36"/>
      <c r="AA388" s="36"/>
      <c r="AB388" s="36"/>
      <c r="AC388" s="36"/>
      <c r="AD388" s="36">
        <v>96600</v>
      </c>
      <c r="AE388" s="36"/>
      <c r="AF388" s="36">
        <v>13000</v>
      </c>
      <c r="AG388" s="36"/>
      <c r="AH388" s="36">
        <v>31000</v>
      </c>
      <c r="AI388" s="36"/>
      <c r="AJ388" s="36">
        <v>300000</v>
      </c>
      <c r="AK388" s="36"/>
      <c r="AL388" s="37">
        <f t="shared" ref="AL388:AL451" si="46">SUM(Z388:AK388)</f>
        <v>440600</v>
      </c>
      <c r="AM388" s="36"/>
      <c r="AN388" s="36"/>
      <c r="AO388" s="36"/>
      <c r="AP388" s="7"/>
      <c r="AQ388" s="38">
        <f t="shared" ref="AQ388:AQ451" si="47">Q388-SUM(R388:X388)-AL388-SUM(AM388:AO388)</f>
        <v>4789040.4200000018</v>
      </c>
      <c r="AR388" s="36">
        <v>0</v>
      </c>
      <c r="AS388" s="18">
        <f t="shared" ref="AS388:AS451" si="48">AR388-AQ388</f>
        <v>-4789040.4200000018</v>
      </c>
    </row>
    <row r="389" spans="1:45" x14ac:dyDescent="0.25">
      <c r="A389" s="40">
        <v>45677</v>
      </c>
      <c r="B389" s="20">
        <v>1239.2059999999999</v>
      </c>
      <c r="C389" s="20">
        <v>1127.0899999999999</v>
      </c>
      <c r="D389" s="20">
        <v>5200</v>
      </c>
      <c r="E389" s="20">
        <v>4830</v>
      </c>
      <c r="F389" s="7">
        <f t="shared" si="42"/>
        <v>6443871.1999999993</v>
      </c>
      <c r="G389" s="7">
        <f t="shared" si="43"/>
        <v>5443844.6999999993</v>
      </c>
      <c r="H389" s="20">
        <v>86</v>
      </c>
      <c r="I389" s="20">
        <v>1905500</v>
      </c>
      <c r="J389" s="20">
        <v>24</v>
      </c>
      <c r="K389" s="20">
        <v>212000</v>
      </c>
      <c r="L389" s="20">
        <v>31000</v>
      </c>
      <c r="M389" s="20"/>
      <c r="N389" s="20"/>
      <c r="O389" s="20">
        <v>0</v>
      </c>
      <c r="P389" s="20">
        <v>75000</v>
      </c>
      <c r="Q389" s="19">
        <f t="shared" si="44"/>
        <v>14111215.899999999</v>
      </c>
      <c r="R389" s="20">
        <v>869900</v>
      </c>
      <c r="S389" s="20">
        <v>1938939</v>
      </c>
      <c r="T389" s="20"/>
      <c r="U389" s="20"/>
      <c r="V389" s="20"/>
      <c r="W389" s="20">
        <v>0</v>
      </c>
      <c r="X389" s="20">
        <v>6298758</v>
      </c>
      <c r="Y389" s="8">
        <f t="shared" si="45"/>
        <v>5003618.8999999985</v>
      </c>
      <c r="Z389" s="36"/>
      <c r="AA389" s="36"/>
      <c r="AB389" s="36"/>
      <c r="AC389" s="36"/>
      <c r="AD389" s="36">
        <v>263200</v>
      </c>
      <c r="AE389" s="36"/>
      <c r="AF389" s="36">
        <v>0</v>
      </c>
      <c r="AG389" s="36"/>
      <c r="AH389" s="36"/>
      <c r="AI389" s="36"/>
      <c r="AJ389" s="36">
        <v>200000</v>
      </c>
      <c r="AK389" s="36"/>
      <c r="AL389" s="37">
        <f t="shared" si="46"/>
        <v>463200</v>
      </c>
      <c r="AM389" s="36"/>
      <c r="AN389" s="36"/>
      <c r="AO389" s="36"/>
      <c r="AP389" s="7"/>
      <c r="AQ389" s="38">
        <f t="shared" si="47"/>
        <v>4540418.8999999985</v>
      </c>
      <c r="AR389" s="36">
        <v>9329000</v>
      </c>
      <c r="AS389" s="18">
        <f t="shared" si="48"/>
        <v>4788581.1000000015</v>
      </c>
    </row>
    <row r="390" spans="1:45" x14ac:dyDescent="0.25">
      <c r="A390" s="40">
        <v>45678</v>
      </c>
      <c r="B390" s="20">
        <v>1675.184</v>
      </c>
      <c r="C390" s="20">
        <v>2973.13</v>
      </c>
      <c r="D390" s="20">
        <v>5200</v>
      </c>
      <c r="E390" s="20">
        <v>4830</v>
      </c>
      <c r="F390" s="7">
        <f t="shared" si="42"/>
        <v>8710956.8000000007</v>
      </c>
      <c r="G390" s="7">
        <f t="shared" si="43"/>
        <v>14360217.9</v>
      </c>
      <c r="H390" s="20">
        <v>66</v>
      </c>
      <c r="I390" s="20">
        <v>1484500</v>
      </c>
      <c r="J390" s="20">
        <v>48</v>
      </c>
      <c r="K390" s="20">
        <v>519000</v>
      </c>
      <c r="L390" s="20">
        <v>73000</v>
      </c>
      <c r="M390" s="20"/>
      <c r="N390" s="20">
        <v>500000</v>
      </c>
      <c r="O390" s="20">
        <v>271000</v>
      </c>
      <c r="P390" s="20"/>
      <c r="Q390" s="19">
        <f t="shared" si="44"/>
        <v>25918674.700000003</v>
      </c>
      <c r="R390" s="20">
        <v>1487947</v>
      </c>
      <c r="S390" s="20">
        <v>3485285</v>
      </c>
      <c r="T390" s="20"/>
      <c r="U390" s="20"/>
      <c r="V390" s="20"/>
      <c r="W390" s="20"/>
      <c r="X390" s="20">
        <v>16768753</v>
      </c>
      <c r="Y390" s="8">
        <f t="shared" si="45"/>
        <v>4176689.700000003</v>
      </c>
      <c r="Z390" s="36"/>
      <c r="AA390" s="36"/>
      <c r="AB390" s="36"/>
      <c r="AC390" s="36">
        <v>5000</v>
      </c>
      <c r="AD390" s="36">
        <v>96600</v>
      </c>
      <c r="AE390" s="36"/>
      <c r="AF390" s="36"/>
      <c r="AG390" s="36"/>
      <c r="AH390" s="36"/>
      <c r="AI390" s="36"/>
      <c r="AJ390" s="36"/>
      <c r="AK390" s="36"/>
      <c r="AL390" s="37">
        <f t="shared" si="46"/>
        <v>101600</v>
      </c>
      <c r="AM390" s="36"/>
      <c r="AN390" s="36"/>
      <c r="AO390" s="36"/>
      <c r="AP390" s="7"/>
      <c r="AQ390" s="38">
        <f t="shared" si="47"/>
        <v>4075089.700000003</v>
      </c>
      <c r="AR390" s="36">
        <v>4075100</v>
      </c>
      <c r="AS390" s="18">
        <f t="shared" si="48"/>
        <v>10.299999997019768</v>
      </c>
    </row>
    <row r="391" spans="1:45" x14ac:dyDescent="0.25">
      <c r="A391" s="40">
        <v>45679</v>
      </c>
      <c r="B391" s="20">
        <v>1753.134</v>
      </c>
      <c r="C391" s="20">
        <v>2551.826</v>
      </c>
      <c r="D391" s="20">
        <v>5200</v>
      </c>
      <c r="E391" s="20">
        <v>4830</v>
      </c>
      <c r="F391" s="7">
        <f t="shared" si="42"/>
        <v>9116296.8000000007</v>
      </c>
      <c r="G391" s="7">
        <f t="shared" si="43"/>
        <v>12325319.58</v>
      </c>
      <c r="H391" s="20">
        <v>48.5</v>
      </c>
      <c r="I391" s="20">
        <v>1069000</v>
      </c>
      <c r="J391" s="20">
        <v>33.5</v>
      </c>
      <c r="K391" s="20">
        <v>292000</v>
      </c>
      <c r="L391" s="20">
        <v>15000</v>
      </c>
      <c r="M391" s="20"/>
      <c r="N391" s="20"/>
      <c r="O391" s="20">
        <v>264000</v>
      </c>
      <c r="P391" s="20"/>
      <c r="Q391" s="19">
        <f t="shared" si="44"/>
        <v>23081616.380000003</v>
      </c>
      <c r="R391" s="20">
        <v>1236104</v>
      </c>
      <c r="S391" s="20">
        <v>5287519</v>
      </c>
      <c r="T391" s="20"/>
      <c r="U391" s="20"/>
      <c r="V391" s="20"/>
      <c r="W391" s="20">
        <v>50000</v>
      </c>
      <c r="X391" s="20">
        <v>11150150</v>
      </c>
      <c r="Y391" s="8">
        <f t="shared" si="45"/>
        <v>5357843.3800000027</v>
      </c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7">
        <f t="shared" si="46"/>
        <v>0</v>
      </c>
      <c r="AM391" s="36"/>
      <c r="AN391" s="36"/>
      <c r="AO391" s="36"/>
      <c r="AP391" s="7"/>
      <c r="AQ391" s="38">
        <f t="shared" si="47"/>
        <v>5357843.3800000027</v>
      </c>
      <c r="AR391" s="36">
        <v>5357600</v>
      </c>
      <c r="AS391" s="18">
        <f t="shared" si="48"/>
        <v>-243.38000000268221</v>
      </c>
    </row>
    <row r="392" spans="1:45" x14ac:dyDescent="0.25">
      <c r="A392" s="40">
        <v>45680</v>
      </c>
      <c r="B392" s="20">
        <v>1181.492</v>
      </c>
      <c r="C392" s="20">
        <v>1764.6969999999999</v>
      </c>
      <c r="D392" s="20">
        <v>5200</v>
      </c>
      <c r="E392" s="20">
        <v>4830</v>
      </c>
      <c r="F392" s="7">
        <f t="shared" si="42"/>
        <v>6143758.3999999994</v>
      </c>
      <c r="G392" s="7">
        <f t="shared" si="43"/>
        <v>8523486.5099999998</v>
      </c>
      <c r="H392" s="20">
        <v>18.5</v>
      </c>
      <c r="I392" s="20">
        <v>378000</v>
      </c>
      <c r="J392" s="20">
        <v>42.2</v>
      </c>
      <c r="K392" s="20">
        <v>370000</v>
      </c>
      <c r="L392" s="20">
        <v>31000</v>
      </c>
      <c r="M392" s="20"/>
      <c r="N392" s="20"/>
      <c r="O392" s="20">
        <v>100000</v>
      </c>
      <c r="P392" s="20"/>
      <c r="Q392" s="19">
        <f t="shared" si="44"/>
        <v>15546244.91</v>
      </c>
      <c r="R392" s="20">
        <v>739374</v>
      </c>
      <c r="S392" s="20">
        <v>2618158</v>
      </c>
      <c r="T392" s="20"/>
      <c r="U392" s="20"/>
      <c r="V392" s="20"/>
      <c r="W392" s="20">
        <v>230000</v>
      </c>
      <c r="X392" s="20">
        <v>6478622</v>
      </c>
      <c r="Y392" s="8">
        <f t="shared" si="45"/>
        <v>5480090.9100000001</v>
      </c>
      <c r="Z392" s="36"/>
      <c r="AA392" s="36">
        <v>209700</v>
      </c>
      <c r="AB392" s="36"/>
      <c r="AC392" s="36">
        <v>38000</v>
      </c>
      <c r="AD392" s="36"/>
      <c r="AE392" s="36"/>
      <c r="AF392" s="36">
        <v>9000</v>
      </c>
      <c r="AG392" s="36"/>
      <c r="AH392" s="36"/>
      <c r="AI392" s="36"/>
      <c r="AJ392" s="36"/>
      <c r="AK392" s="36"/>
      <c r="AL392" s="37">
        <f t="shared" si="46"/>
        <v>256700</v>
      </c>
      <c r="AM392" s="36"/>
      <c r="AN392" s="36"/>
      <c r="AO392" s="36"/>
      <c r="AP392" s="7"/>
      <c r="AQ392" s="38">
        <f t="shared" si="47"/>
        <v>5223390.91</v>
      </c>
      <c r="AR392" s="36">
        <v>5223600</v>
      </c>
      <c r="AS392" s="18">
        <f t="shared" si="48"/>
        <v>209.08999999985099</v>
      </c>
    </row>
    <row r="393" spans="1:45" x14ac:dyDescent="0.25">
      <c r="A393" s="40">
        <v>45681</v>
      </c>
      <c r="B393" s="20">
        <v>1510.7360000000001</v>
      </c>
      <c r="C393" s="20">
        <v>2015.1579999999999</v>
      </c>
      <c r="D393" s="20">
        <v>5200</v>
      </c>
      <c r="E393" s="20">
        <v>4830</v>
      </c>
      <c r="F393" s="7">
        <f t="shared" si="42"/>
        <v>7855827.2000000002</v>
      </c>
      <c r="G393" s="7">
        <f t="shared" si="43"/>
        <v>9733213.1399999987</v>
      </c>
      <c r="H393" s="20">
        <v>19.25</v>
      </c>
      <c r="I393" s="20">
        <v>416000</v>
      </c>
      <c r="J393" s="20">
        <v>30</v>
      </c>
      <c r="K393" s="20">
        <v>264000</v>
      </c>
      <c r="L393" s="20">
        <v>15000</v>
      </c>
      <c r="M393" s="20"/>
      <c r="N393" s="20"/>
      <c r="O393" s="20">
        <v>280000</v>
      </c>
      <c r="P393" s="20"/>
      <c r="Q393" s="19">
        <f t="shared" si="44"/>
        <v>18564040.34</v>
      </c>
      <c r="R393" s="20">
        <v>1451954</v>
      </c>
      <c r="S393" s="20">
        <v>3865147</v>
      </c>
      <c r="T393" s="20"/>
      <c r="U393" s="20"/>
      <c r="V393" s="20"/>
      <c r="W393" s="20">
        <v>0</v>
      </c>
      <c r="X393" s="20">
        <v>9106200</v>
      </c>
      <c r="Y393" s="8">
        <f t="shared" si="45"/>
        <v>4140739.34</v>
      </c>
      <c r="Z393" s="36"/>
      <c r="AA393" s="36"/>
      <c r="AB393" s="36"/>
      <c r="AC393" s="36"/>
      <c r="AD393" s="36"/>
      <c r="AE393" s="36"/>
      <c r="AF393" s="36">
        <v>506000</v>
      </c>
      <c r="AG393" s="36"/>
      <c r="AH393" s="36"/>
      <c r="AI393" s="36"/>
      <c r="AJ393" s="36">
        <v>53000</v>
      </c>
      <c r="AK393" s="36"/>
      <c r="AL393" s="37">
        <f t="shared" si="46"/>
        <v>559000</v>
      </c>
      <c r="AM393" s="36"/>
      <c r="AN393" s="36"/>
      <c r="AO393" s="36"/>
      <c r="AP393" s="7"/>
      <c r="AQ393" s="38">
        <f t="shared" si="47"/>
        <v>3581739.34</v>
      </c>
      <c r="AR393" s="36">
        <v>3581800</v>
      </c>
      <c r="AS393" s="18">
        <f t="shared" si="48"/>
        <v>60.660000000149012</v>
      </c>
    </row>
    <row r="394" spans="1:45" x14ac:dyDescent="0.25">
      <c r="A394" s="40">
        <v>45682</v>
      </c>
      <c r="B394" s="20">
        <v>1841.81</v>
      </c>
      <c r="C394" s="20">
        <v>1573.5029999999999</v>
      </c>
      <c r="D394" s="20">
        <v>5030</v>
      </c>
      <c r="E394" s="20">
        <v>4799</v>
      </c>
      <c r="F394" s="7">
        <f t="shared" si="42"/>
        <v>9264304.2999999989</v>
      </c>
      <c r="G394" s="7">
        <f t="shared" si="43"/>
        <v>7551240.8969999999</v>
      </c>
      <c r="H394" s="20">
        <v>69.5</v>
      </c>
      <c r="I394" s="20">
        <v>1579000</v>
      </c>
      <c r="J394" s="20">
        <v>42</v>
      </c>
      <c r="K394" s="20">
        <v>601000</v>
      </c>
      <c r="L394" s="20">
        <v>123000</v>
      </c>
      <c r="M394" s="20"/>
      <c r="N394" s="20"/>
      <c r="O394" s="20">
        <v>0</v>
      </c>
      <c r="P394" s="20"/>
      <c r="Q394" s="19">
        <f t="shared" si="44"/>
        <v>19118545.196999997</v>
      </c>
      <c r="R394" s="20">
        <v>874704</v>
      </c>
      <c r="S394" s="20">
        <v>5031889</v>
      </c>
      <c r="T394" s="20"/>
      <c r="U394" s="20"/>
      <c r="V394" s="20"/>
      <c r="W394" s="20"/>
      <c r="X394" s="20">
        <v>7841879</v>
      </c>
      <c r="Y394" s="8">
        <f t="shared" si="45"/>
        <v>5370073.1969999969</v>
      </c>
      <c r="Z394" s="36"/>
      <c r="AA394" s="36"/>
      <c r="AB394" s="36"/>
      <c r="AC394" s="36"/>
      <c r="AD394" s="36"/>
      <c r="AE394" s="36"/>
      <c r="AF394" s="36">
        <v>6000</v>
      </c>
      <c r="AG394" s="36"/>
      <c r="AH394" s="36"/>
      <c r="AI394" s="36"/>
      <c r="AJ394" s="36"/>
      <c r="AK394" s="36"/>
      <c r="AL394" s="37">
        <f t="shared" si="46"/>
        <v>6000</v>
      </c>
      <c r="AM394" s="36"/>
      <c r="AN394" s="36"/>
      <c r="AO394" s="36"/>
      <c r="AP394" s="7"/>
      <c r="AQ394" s="38">
        <f t="shared" si="47"/>
        <v>5364073.1969999969</v>
      </c>
      <c r="AR394" s="36">
        <v>5492600</v>
      </c>
      <c r="AS394" s="18">
        <f t="shared" si="48"/>
        <v>128526.8030000031</v>
      </c>
    </row>
    <row r="395" spans="1:45" x14ac:dyDescent="0.25">
      <c r="A395" s="40">
        <v>45683</v>
      </c>
      <c r="B395" s="20">
        <v>2215.4899999999998</v>
      </c>
      <c r="C395" s="20">
        <v>1738.2809999999999</v>
      </c>
      <c r="D395" s="20">
        <v>5030</v>
      </c>
      <c r="E395" s="20">
        <v>4799</v>
      </c>
      <c r="F395" s="7">
        <f t="shared" si="42"/>
        <v>11143914.699999999</v>
      </c>
      <c r="G395" s="7">
        <f t="shared" si="43"/>
        <v>8342010.5189999994</v>
      </c>
      <c r="H395" s="20">
        <v>65.25</v>
      </c>
      <c r="I395" s="20">
        <v>1442500</v>
      </c>
      <c r="J395" s="20">
        <v>101</v>
      </c>
      <c r="K395" s="20">
        <v>1398000</v>
      </c>
      <c r="L395" s="20">
        <v>39000</v>
      </c>
      <c r="M395" s="20"/>
      <c r="N395" s="20"/>
      <c r="O395" s="20"/>
      <c r="P395" s="20"/>
      <c r="Q395" s="19">
        <f t="shared" si="44"/>
        <v>22365425.218999997</v>
      </c>
      <c r="R395" s="20">
        <v>756738</v>
      </c>
      <c r="S395" s="20">
        <v>2117597</v>
      </c>
      <c r="T395" s="20"/>
      <c r="U395" s="20"/>
      <c r="V395" s="20"/>
      <c r="W395" s="20">
        <v>110000</v>
      </c>
      <c r="X395" s="20">
        <v>5653237</v>
      </c>
      <c r="Y395" s="8">
        <f t="shared" si="45"/>
        <v>13727853.218999997</v>
      </c>
      <c r="Z395" s="36"/>
      <c r="AA395" s="36"/>
      <c r="AB395" s="36"/>
      <c r="AC395" s="36"/>
      <c r="AD395" s="36"/>
      <c r="AE395" s="36"/>
      <c r="AF395" s="36">
        <v>3000</v>
      </c>
      <c r="AG395" s="36">
        <v>200000</v>
      </c>
      <c r="AH395" s="36">
        <v>25500</v>
      </c>
      <c r="AI395" s="36"/>
      <c r="AJ395" s="36">
        <v>2500000</v>
      </c>
      <c r="AK395" s="36"/>
      <c r="AL395" s="37">
        <f t="shared" si="46"/>
        <v>2728500</v>
      </c>
      <c r="AM395" s="36">
        <v>1484000</v>
      </c>
      <c r="AN395" s="36"/>
      <c r="AO395" s="36"/>
      <c r="AP395" s="7"/>
      <c r="AQ395" s="38">
        <f t="shared" si="47"/>
        <v>9515353.2189999968</v>
      </c>
      <c r="AR395" s="36">
        <v>0</v>
      </c>
      <c r="AS395" s="18">
        <f t="shared" si="48"/>
        <v>-9515353.2189999968</v>
      </c>
    </row>
    <row r="396" spans="1:45" x14ac:dyDescent="0.25">
      <c r="A396" s="40">
        <v>45684</v>
      </c>
      <c r="B396" s="20">
        <v>1807.6110000000001</v>
      </c>
      <c r="C396" s="20">
        <v>1413.126</v>
      </c>
      <c r="D396" s="20">
        <v>5030</v>
      </c>
      <c r="E396" s="20">
        <v>4799</v>
      </c>
      <c r="F396" s="7">
        <f t="shared" si="42"/>
        <v>9092283.3300000001</v>
      </c>
      <c r="G396" s="7">
        <f t="shared" si="43"/>
        <v>6781591.6739999996</v>
      </c>
      <c r="H396" s="20">
        <v>35.25</v>
      </c>
      <c r="I396" s="20">
        <v>770500</v>
      </c>
      <c r="J396" s="20">
        <v>42.5</v>
      </c>
      <c r="K396" s="20">
        <v>488000</v>
      </c>
      <c r="L396" s="20">
        <v>16000</v>
      </c>
      <c r="M396" s="20"/>
      <c r="N396" s="20"/>
      <c r="O396" s="20">
        <v>1529000</v>
      </c>
      <c r="P396" s="20"/>
      <c r="Q396" s="19">
        <f t="shared" si="44"/>
        <v>18677375.004000001</v>
      </c>
      <c r="R396" s="20">
        <v>619535</v>
      </c>
      <c r="S396" s="20">
        <v>3360176</v>
      </c>
      <c r="T396" s="20"/>
      <c r="U396" s="20"/>
      <c r="V396" s="20"/>
      <c r="W396" s="20"/>
      <c r="X396" s="20">
        <v>7972440</v>
      </c>
      <c r="Y396" s="8">
        <f t="shared" si="45"/>
        <v>6725224.0040000007</v>
      </c>
      <c r="Z396" s="36"/>
      <c r="AA396" s="36"/>
      <c r="AB396" s="36"/>
      <c r="AC396" s="36"/>
      <c r="AD396" s="36"/>
      <c r="AE396" s="36"/>
      <c r="AF396" s="36">
        <v>100000</v>
      </c>
      <c r="AG396" s="36"/>
      <c r="AH396" s="36"/>
      <c r="AI396" s="36"/>
      <c r="AJ396" s="36"/>
      <c r="AK396" s="36"/>
      <c r="AL396" s="37">
        <f t="shared" si="46"/>
        <v>100000</v>
      </c>
      <c r="AM396" s="36"/>
      <c r="AN396" s="36"/>
      <c r="AO396" s="36"/>
      <c r="AP396" s="7"/>
      <c r="AQ396" s="38">
        <f t="shared" si="47"/>
        <v>6625224.0040000007</v>
      </c>
      <c r="AR396" s="36">
        <v>16140600</v>
      </c>
      <c r="AS396" s="18">
        <f t="shared" si="48"/>
        <v>9515375.9959999993</v>
      </c>
    </row>
    <row r="397" spans="1:45" x14ac:dyDescent="0.25">
      <c r="A397" s="40">
        <v>45685</v>
      </c>
      <c r="B397" s="20">
        <v>2201.5169999999998</v>
      </c>
      <c r="C397" s="20">
        <v>2725.1590000000001</v>
      </c>
      <c r="D397" s="20">
        <v>5030</v>
      </c>
      <c r="E397" s="20">
        <v>4799</v>
      </c>
      <c r="F397" s="7">
        <f t="shared" si="42"/>
        <v>11073630.51</v>
      </c>
      <c r="G397" s="7">
        <f t="shared" si="43"/>
        <v>13078038.041000001</v>
      </c>
      <c r="H397" s="20">
        <v>58.25</v>
      </c>
      <c r="I397" s="20">
        <v>1322500</v>
      </c>
      <c r="J397" s="20">
        <v>103</v>
      </c>
      <c r="K397" s="20">
        <v>1293000</v>
      </c>
      <c r="L397" s="20">
        <v>23000</v>
      </c>
      <c r="M397" s="20"/>
      <c r="N397" s="20"/>
      <c r="O397" s="20">
        <v>590000</v>
      </c>
      <c r="P397" s="20"/>
      <c r="Q397" s="19">
        <f t="shared" si="44"/>
        <v>27380168.550999999</v>
      </c>
      <c r="R397" s="20">
        <v>494308</v>
      </c>
      <c r="S397" s="20">
        <v>5061964</v>
      </c>
      <c r="T397" s="20"/>
      <c r="U397" s="20"/>
      <c r="V397" s="20"/>
      <c r="W397" s="20">
        <v>0</v>
      </c>
      <c r="X397" s="20">
        <v>8665053</v>
      </c>
      <c r="Y397" s="8">
        <f t="shared" si="45"/>
        <v>13158843.550999999</v>
      </c>
      <c r="Z397" s="36"/>
      <c r="AA397" s="36"/>
      <c r="AB397" s="36"/>
      <c r="AC397" s="36">
        <v>6000</v>
      </c>
      <c r="AD397" s="36">
        <v>95980</v>
      </c>
      <c r="AE397" s="36"/>
      <c r="AF397" s="36">
        <v>16000</v>
      </c>
      <c r="AG397" s="36">
        <v>20000</v>
      </c>
      <c r="AH397" s="36"/>
      <c r="AI397" s="36"/>
      <c r="AJ397" s="36">
        <v>1500000</v>
      </c>
      <c r="AK397" s="36"/>
      <c r="AL397" s="37">
        <f t="shared" si="46"/>
        <v>1637980</v>
      </c>
      <c r="AM397" s="36"/>
      <c r="AN397" s="36"/>
      <c r="AO397" s="36"/>
      <c r="AP397" s="7"/>
      <c r="AQ397" s="38">
        <f t="shared" si="47"/>
        <v>11520863.550999999</v>
      </c>
      <c r="AR397" s="36">
        <v>11521000</v>
      </c>
      <c r="AS397" s="18">
        <f t="shared" si="48"/>
        <v>136.44900000095367</v>
      </c>
    </row>
    <row r="398" spans="1:45" x14ac:dyDescent="0.25">
      <c r="A398" s="40">
        <v>45686</v>
      </c>
      <c r="B398" s="20">
        <v>1788.4359999999999</v>
      </c>
      <c r="C398" s="20">
        <v>2166.596</v>
      </c>
      <c r="D398" s="20">
        <v>5030</v>
      </c>
      <c r="E398" s="20">
        <v>4799</v>
      </c>
      <c r="F398" s="7">
        <f t="shared" si="42"/>
        <v>8995833.0800000001</v>
      </c>
      <c r="G398" s="7">
        <f t="shared" si="43"/>
        <v>10397494.204</v>
      </c>
      <c r="H398" s="20">
        <v>63</v>
      </c>
      <c r="I398" s="20">
        <v>1453500</v>
      </c>
      <c r="J398" s="20">
        <v>92.5</v>
      </c>
      <c r="K398" s="20">
        <v>839000</v>
      </c>
      <c r="L398" s="20">
        <v>70000</v>
      </c>
      <c r="M398" s="20"/>
      <c r="N398" s="20"/>
      <c r="O398" s="20">
        <v>0</v>
      </c>
      <c r="P398" s="20"/>
      <c r="Q398" s="19">
        <f t="shared" si="44"/>
        <v>21755827.284000002</v>
      </c>
      <c r="R398" s="20">
        <v>210093</v>
      </c>
      <c r="S398" s="20">
        <v>2943044</v>
      </c>
      <c r="T398" s="20"/>
      <c r="U398" s="20"/>
      <c r="V398" s="20"/>
      <c r="W398" s="20">
        <v>100000</v>
      </c>
      <c r="X398" s="20">
        <v>10579021</v>
      </c>
      <c r="Y398" s="8">
        <f t="shared" si="45"/>
        <v>7923669.2840000018</v>
      </c>
      <c r="Z398" s="36"/>
      <c r="AA398" s="36"/>
      <c r="AB398" s="36"/>
      <c r="AC398" s="36">
        <v>34000</v>
      </c>
      <c r="AD398" s="36"/>
      <c r="AE398" s="36"/>
      <c r="AF398" s="36">
        <v>3000</v>
      </c>
      <c r="AG398" s="36"/>
      <c r="AH398" s="36"/>
      <c r="AI398" s="36"/>
      <c r="AJ398" s="36">
        <v>991160</v>
      </c>
      <c r="AK398" s="36"/>
      <c r="AL398" s="37">
        <f t="shared" si="46"/>
        <v>1028160</v>
      </c>
      <c r="AM398" s="36"/>
      <c r="AN398" s="36"/>
      <c r="AO398" s="36"/>
      <c r="AP398" s="7"/>
      <c r="AQ398" s="38">
        <f t="shared" si="47"/>
        <v>6895509.2840000018</v>
      </c>
      <c r="AR398" s="36">
        <v>6895500</v>
      </c>
      <c r="AS398" s="18">
        <f t="shared" si="48"/>
        <v>-9.284000001847744</v>
      </c>
    </row>
    <row r="399" spans="1:45" x14ac:dyDescent="0.25">
      <c r="A399" s="40">
        <v>45687</v>
      </c>
      <c r="B399" s="20">
        <v>2220.5149999999999</v>
      </c>
      <c r="C399" s="20">
        <v>1570.511</v>
      </c>
      <c r="D399" s="20">
        <v>5030</v>
      </c>
      <c r="E399" s="20">
        <v>4799</v>
      </c>
      <c r="F399" s="7">
        <f t="shared" si="42"/>
        <v>11169190.449999999</v>
      </c>
      <c r="G399" s="7">
        <f t="shared" si="43"/>
        <v>7536882.2889999999</v>
      </c>
      <c r="H399" s="20">
        <v>28.75</v>
      </c>
      <c r="I399" s="20">
        <v>702500</v>
      </c>
      <c r="J399" s="20">
        <v>75.5</v>
      </c>
      <c r="K399" s="20">
        <v>801000</v>
      </c>
      <c r="L399" s="20">
        <v>15000</v>
      </c>
      <c r="M399" s="20"/>
      <c r="N399" s="20"/>
      <c r="O399" s="20"/>
      <c r="P399" s="20"/>
      <c r="Q399" s="19">
        <f t="shared" si="44"/>
        <v>20224572.739</v>
      </c>
      <c r="R399" s="20">
        <v>995777</v>
      </c>
      <c r="S399" s="20">
        <v>2969893</v>
      </c>
      <c r="T399" s="20"/>
      <c r="U399" s="20"/>
      <c r="V399" s="20"/>
      <c r="W399" s="20"/>
      <c r="X399" s="20">
        <v>9749294</v>
      </c>
      <c r="Y399" s="8">
        <f t="shared" si="45"/>
        <v>6509608.7390000001</v>
      </c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7">
        <f t="shared" si="46"/>
        <v>0</v>
      </c>
      <c r="AM399" s="36"/>
      <c r="AN399" s="36"/>
      <c r="AO399" s="36"/>
      <c r="AP399" s="7"/>
      <c r="AQ399" s="38">
        <f t="shared" si="47"/>
        <v>6509608.7390000001</v>
      </c>
      <c r="AR399" s="36">
        <v>6509600</v>
      </c>
      <c r="AS399" s="18">
        <f t="shared" si="48"/>
        <v>-8.7390000000596046</v>
      </c>
    </row>
    <row r="400" spans="1:45" x14ac:dyDescent="0.25">
      <c r="A400" s="40">
        <v>45688</v>
      </c>
      <c r="B400" s="20">
        <v>1818.5940000000001</v>
      </c>
      <c r="C400" s="20">
        <v>1475.47</v>
      </c>
      <c r="D400" s="20">
        <v>5030</v>
      </c>
      <c r="E400" s="20">
        <v>4799</v>
      </c>
      <c r="F400" s="7">
        <f t="shared" si="42"/>
        <v>9147527.8200000003</v>
      </c>
      <c r="G400" s="7">
        <f t="shared" si="43"/>
        <v>7080780.5300000003</v>
      </c>
      <c r="H400" s="20">
        <v>11.75</v>
      </c>
      <c r="I400" s="20">
        <v>257500</v>
      </c>
      <c r="J400" s="20">
        <v>97.5</v>
      </c>
      <c r="K400" s="20">
        <v>1098000</v>
      </c>
      <c r="L400" s="20">
        <v>0</v>
      </c>
      <c r="M400" s="20"/>
      <c r="N400" s="20"/>
      <c r="O400" s="20">
        <v>0</v>
      </c>
      <c r="P400" s="20"/>
      <c r="Q400" s="19">
        <f t="shared" si="44"/>
        <v>17583808.350000001</v>
      </c>
      <c r="R400" s="20">
        <v>832182</v>
      </c>
      <c r="S400" s="20">
        <v>2550095</v>
      </c>
      <c r="T400" s="20"/>
      <c r="U400" s="20"/>
      <c r="V400" s="20"/>
      <c r="W400" s="20"/>
      <c r="X400" s="20">
        <v>6441271</v>
      </c>
      <c r="Y400" s="8">
        <f t="shared" si="45"/>
        <v>7760260.3500000015</v>
      </c>
      <c r="Z400" s="36">
        <v>1574869</v>
      </c>
      <c r="AA400" s="36"/>
      <c r="AB400" s="36"/>
      <c r="AC400" s="36">
        <v>80000</v>
      </c>
      <c r="AD400" s="36"/>
      <c r="AE400" s="36"/>
      <c r="AF400" s="36">
        <v>15000</v>
      </c>
      <c r="AG400" s="36"/>
      <c r="AH400" s="36"/>
      <c r="AI400" s="36"/>
      <c r="AJ400" s="36"/>
      <c r="AK400" s="36"/>
      <c r="AL400" s="37">
        <f t="shared" si="46"/>
        <v>1669869</v>
      </c>
      <c r="AM400" s="36"/>
      <c r="AN400" s="36"/>
      <c r="AO400" s="36"/>
      <c r="AP400" s="7"/>
      <c r="AQ400" s="38">
        <f t="shared" si="47"/>
        <v>6090391.3500000015</v>
      </c>
      <c r="AR400" s="36">
        <v>6100000</v>
      </c>
      <c r="AS400" s="18">
        <f t="shared" si="48"/>
        <v>9608.6499999985099</v>
      </c>
    </row>
    <row r="401" spans="1:45" x14ac:dyDescent="0.25">
      <c r="A401" s="40">
        <v>45689</v>
      </c>
      <c r="B401" s="20">
        <v>2083.058</v>
      </c>
      <c r="C401" s="20">
        <v>1806.653</v>
      </c>
      <c r="D401" s="20">
        <v>5030</v>
      </c>
      <c r="E401" s="20">
        <v>4799</v>
      </c>
      <c r="F401" s="7">
        <f t="shared" si="42"/>
        <v>10477781.74</v>
      </c>
      <c r="G401" s="7">
        <f t="shared" si="43"/>
        <v>8670127.7469999995</v>
      </c>
      <c r="H401" s="20">
        <v>67.75</v>
      </c>
      <c r="I401" s="20">
        <v>1527000</v>
      </c>
      <c r="J401" s="20">
        <v>73</v>
      </c>
      <c r="K401" s="20">
        <v>729000</v>
      </c>
      <c r="L401" s="20">
        <v>8000</v>
      </c>
      <c r="M401" s="20">
        <v>150000</v>
      </c>
      <c r="N401" s="20"/>
      <c r="O401" s="20">
        <v>1129000</v>
      </c>
      <c r="P401" s="20"/>
      <c r="Q401" s="19">
        <f t="shared" si="44"/>
        <v>22690909.487</v>
      </c>
      <c r="R401" s="20">
        <v>1909167</v>
      </c>
      <c r="S401" s="20">
        <v>3500747</v>
      </c>
      <c r="T401" s="20"/>
      <c r="U401" s="20"/>
      <c r="V401" s="20"/>
      <c r="W401" s="20">
        <v>50000</v>
      </c>
      <c r="X401" s="20">
        <v>5547123</v>
      </c>
      <c r="Y401" s="8">
        <f t="shared" si="45"/>
        <v>11683872.487</v>
      </c>
      <c r="Z401" s="36"/>
      <c r="AA401" s="36"/>
      <c r="AB401" s="36">
        <v>625400</v>
      </c>
      <c r="AC401" s="36"/>
      <c r="AD401" s="36"/>
      <c r="AE401" s="36">
        <v>1200000</v>
      </c>
      <c r="AF401" s="36">
        <v>3000</v>
      </c>
      <c r="AG401" s="36">
        <v>2370000</v>
      </c>
      <c r="AH401" s="36">
        <v>70000</v>
      </c>
      <c r="AI401" s="36">
        <v>10000</v>
      </c>
      <c r="AJ401" s="36"/>
      <c r="AK401" s="36"/>
      <c r="AL401" s="37">
        <f t="shared" si="46"/>
        <v>4278400</v>
      </c>
      <c r="AM401" s="36"/>
      <c r="AN401" s="36"/>
      <c r="AO401" s="36"/>
      <c r="AP401" s="7"/>
      <c r="AQ401" s="38">
        <f t="shared" si="47"/>
        <v>7405472.4869999997</v>
      </c>
      <c r="AR401" s="36">
        <v>7405500</v>
      </c>
      <c r="AS401" s="18">
        <f t="shared" si="48"/>
        <v>27.513000000268221</v>
      </c>
    </row>
    <row r="402" spans="1:45" x14ac:dyDescent="0.25">
      <c r="A402" s="40">
        <v>45690</v>
      </c>
      <c r="B402" s="20">
        <v>3002.261</v>
      </c>
      <c r="C402" s="20">
        <v>1839.1890000000001</v>
      </c>
      <c r="D402" s="20">
        <v>5030</v>
      </c>
      <c r="E402" s="20">
        <v>4799</v>
      </c>
      <c r="F402" s="7">
        <f t="shared" si="42"/>
        <v>15101372.83</v>
      </c>
      <c r="G402" s="7">
        <f t="shared" si="43"/>
        <v>8826268.0109999999</v>
      </c>
      <c r="H402" s="20">
        <v>46</v>
      </c>
      <c r="I402" s="20">
        <v>945000</v>
      </c>
      <c r="J402" s="20">
        <v>97</v>
      </c>
      <c r="K402" s="20">
        <v>1168000</v>
      </c>
      <c r="L402" s="20">
        <v>38000</v>
      </c>
      <c r="M402" s="20"/>
      <c r="N402" s="20"/>
      <c r="O402" s="20">
        <v>2135000</v>
      </c>
      <c r="P402" s="20"/>
      <c r="Q402" s="19">
        <f t="shared" si="44"/>
        <v>28213640.840999998</v>
      </c>
      <c r="R402" s="20">
        <v>1891936</v>
      </c>
      <c r="S402" s="20">
        <v>3574674</v>
      </c>
      <c r="T402" s="20"/>
      <c r="U402" s="20"/>
      <c r="V402" s="20"/>
      <c r="W402" s="20">
        <v>70000</v>
      </c>
      <c r="X402" s="20">
        <v>15580164</v>
      </c>
      <c r="Y402" s="8">
        <f t="shared" si="45"/>
        <v>7096866.8409999982</v>
      </c>
      <c r="Z402" s="36"/>
      <c r="AA402" s="36"/>
      <c r="AB402" s="36"/>
      <c r="AC402" s="36"/>
      <c r="AD402" s="36"/>
      <c r="AE402" s="36"/>
      <c r="AF402" s="36">
        <v>3000</v>
      </c>
      <c r="AG402" s="36"/>
      <c r="AH402" s="36"/>
      <c r="AI402" s="36">
        <v>10000</v>
      </c>
      <c r="AJ402" s="36"/>
      <c r="AK402" s="36"/>
      <c r="AL402" s="37">
        <f t="shared" si="46"/>
        <v>13000</v>
      </c>
      <c r="AM402" s="36"/>
      <c r="AN402" s="36"/>
      <c r="AO402" s="36"/>
      <c r="AP402" s="7"/>
      <c r="AQ402" s="38">
        <f t="shared" si="47"/>
        <v>7083866.8409999982</v>
      </c>
      <c r="AR402" s="36">
        <v>7086800</v>
      </c>
      <c r="AS402" s="18">
        <f t="shared" si="48"/>
        <v>2933.1590000018477</v>
      </c>
    </row>
    <row r="403" spans="1:45" x14ac:dyDescent="0.25">
      <c r="A403" s="40">
        <v>45691</v>
      </c>
      <c r="B403" s="20">
        <v>2121.4090000000001</v>
      </c>
      <c r="C403" s="20">
        <v>1497.527</v>
      </c>
      <c r="D403" s="20">
        <v>5030</v>
      </c>
      <c r="E403" s="20">
        <v>4799</v>
      </c>
      <c r="F403" s="7">
        <f t="shared" si="42"/>
        <v>10670687.270000001</v>
      </c>
      <c r="G403" s="7">
        <f t="shared" si="43"/>
        <v>7186632.0729999999</v>
      </c>
      <c r="H403" s="20">
        <v>22.25</v>
      </c>
      <c r="I403" s="20">
        <v>510500</v>
      </c>
      <c r="J403" s="20">
        <v>112</v>
      </c>
      <c r="K403" s="20">
        <v>1187000</v>
      </c>
      <c r="L403" s="20">
        <v>8000</v>
      </c>
      <c r="M403" s="20"/>
      <c r="N403" s="20"/>
      <c r="O403" s="20">
        <v>350000</v>
      </c>
      <c r="P403" s="20">
        <v>25000</v>
      </c>
      <c r="Q403" s="19">
        <f t="shared" si="44"/>
        <v>19937819.343000002</v>
      </c>
      <c r="R403" s="20">
        <v>201200</v>
      </c>
      <c r="S403" s="20">
        <v>1707574</v>
      </c>
      <c r="T403" s="20"/>
      <c r="U403" s="20"/>
      <c r="V403" s="20"/>
      <c r="W403" s="20">
        <v>209700</v>
      </c>
      <c r="X403" s="20">
        <v>11286030</v>
      </c>
      <c r="Y403" s="8">
        <f t="shared" si="45"/>
        <v>6533315.3430000022</v>
      </c>
      <c r="Z403" s="36"/>
      <c r="AA403" s="36"/>
      <c r="AB403" s="36"/>
      <c r="AC403" s="36"/>
      <c r="AD403" s="36"/>
      <c r="AE403" s="36"/>
      <c r="AF403" s="36">
        <v>1070000</v>
      </c>
      <c r="AG403" s="36"/>
      <c r="AH403" s="36"/>
      <c r="AI403" s="36"/>
      <c r="AJ403" s="36"/>
      <c r="AK403" s="36"/>
      <c r="AL403" s="37">
        <f t="shared" si="46"/>
        <v>1070000</v>
      </c>
      <c r="AM403" s="36"/>
      <c r="AN403" s="36"/>
      <c r="AO403" s="36"/>
      <c r="AP403" s="7"/>
      <c r="AQ403" s="38">
        <f t="shared" si="47"/>
        <v>5463315.3430000022</v>
      </c>
      <c r="AR403" s="36">
        <v>12553100</v>
      </c>
      <c r="AS403" s="18">
        <f t="shared" si="48"/>
        <v>7089784.6569999978</v>
      </c>
    </row>
    <row r="404" spans="1:45" x14ac:dyDescent="0.25">
      <c r="A404" s="40">
        <v>45692</v>
      </c>
      <c r="B404" s="20">
        <v>2046.8789999999999</v>
      </c>
      <c r="C404" s="20">
        <v>2420.8200000000002</v>
      </c>
      <c r="D404" s="20">
        <v>5030</v>
      </c>
      <c r="E404" s="20">
        <v>4799</v>
      </c>
      <c r="F404" s="7">
        <f t="shared" si="42"/>
        <v>10295801.369999999</v>
      </c>
      <c r="G404" s="7">
        <f t="shared" si="43"/>
        <v>11617515.180000002</v>
      </c>
      <c r="H404" s="20">
        <v>42.258000000000003</v>
      </c>
      <c r="I404" s="20">
        <v>913000</v>
      </c>
      <c r="J404" s="20">
        <v>120.5</v>
      </c>
      <c r="K404" s="20">
        <v>1163000</v>
      </c>
      <c r="L404" s="20">
        <v>53000</v>
      </c>
      <c r="M404" s="20"/>
      <c r="N404" s="20"/>
      <c r="O404" s="20">
        <v>1875000</v>
      </c>
      <c r="P404" s="20"/>
      <c r="Q404" s="19">
        <f t="shared" si="44"/>
        <v>25917316.550000001</v>
      </c>
      <c r="R404" s="20">
        <v>1024613</v>
      </c>
      <c r="S404" s="20">
        <v>2643747</v>
      </c>
      <c r="T404" s="20"/>
      <c r="U404" s="20"/>
      <c r="V404" s="20"/>
      <c r="W404" s="20">
        <v>100000</v>
      </c>
      <c r="X404" s="20">
        <v>12518865</v>
      </c>
      <c r="Y404" s="8">
        <f t="shared" si="45"/>
        <v>9630091.5500000007</v>
      </c>
      <c r="Z404" s="36"/>
      <c r="AA404" s="36"/>
      <c r="AB404" s="36"/>
      <c r="AC404" s="36">
        <v>18000</v>
      </c>
      <c r="AD404" s="36"/>
      <c r="AE404" s="36"/>
      <c r="AF404" s="36">
        <v>6000</v>
      </c>
      <c r="AG404" s="36"/>
      <c r="AH404" s="36">
        <v>30000</v>
      </c>
      <c r="AI404" s="36"/>
      <c r="AJ404" s="36">
        <v>50000</v>
      </c>
      <c r="AK404" s="36"/>
      <c r="AL404" s="37">
        <f t="shared" si="46"/>
        <v>104000</v>
      </c>
      <c r="AM404" s="36"/>
      <c r="AN404" s="36"/>
      <c r="AO404" s="36"/>
      <c r="AP404" s="7"/>
      <c r="AQ404" s="38">
        <f t="shared" si="47"/>
        <v>9526091.5500000007</v>
      </c>
      <c r="AR404" s="36">
        <v>9526100</v>
      </c>
      <c r="AS404" s="18">
        <f t="shared" si="48"/>
        <v>8.4499999992549419</v>
      </c>
    </row>
    <row r="405" spans="1:45" x14ac:dyDescent="0.25">
      <c r="A405" s="40">
        <v>45693</v>
      </c>
      <c r="B405" s="20">
        <v>2233.4290000000001</v>
      </c>
      <c r="C405" s="20">
        <v>2559.703</v>
      </c>
      <c r="D405" s="20">
        <v>5030</v>
      </c>
      <c r="E405" s="20">
        <v>4799</v>
      </c>
      <c r="F405" s="7">
        <f t="shared" si="42"/>
        <v>11234147.870000001</v>
      </c>
      <c r="G405" s="7">
        <f t="shared" si="43"/>
        <v>12284014.697000001</v>
      </c>
      <c r="H405" s="20">
        <v>53</v>
      </c>
      <c r="I405" s="20">
        <v>1129500</v>
      </c>
      <c r="J405" s="20">
        <v>122</v>
      </c>
      <c r="K405" s="20">
        <v>1010000</v>
      </c>
      <c r="L405" s="20">
        <v>78000</v>
      </c>
      <c r="M405" s="20"/>
      <c r="N405" s="20">
        <v>1650000</v>
      </c>
      <c r="O405" s="20">
        <v>410000</v>
      </c>
      <c r="P405" s="20"/>
      <c r="Q405" s="19">
        <f t="shared" si="44"/>
        <v>27795662.567000002</v>
      </c>
      <c r="R405" s="20">
        <v>1384896</v>
      </c>
      <c r="S405" s="20">
        <v>4607008</v>
      </c>
      <c r="T405" s="20"/>
      <c r="U405" s="20"/>
      <c r="V405" s="20"/>
      <c r="W405" s="20">
        <v>38300</v>
      </c>
      <c r="X405" s="20">
        <v>8940352</v>
      </c>
      <c r="Y405" s="8">
        <f t="shared" si="45"/>
        <v>12825106.567000002</v>
      </c>
      <c r="Z405" s="36"/>
      <c r="AA405" s="36"/>
      <c r="AB405" s="36"/>
      <c r="AC405" s="36"/>
      <c r="AD405" s="36"/>
      <c r="AE405" s="36"/>
      <c r="AF405" s="36">
        <v>3003000</v>
      </c>
      <c r="AG405" s="36"/>
      <c r="AH405" s="36"/>
      <c r="AI405" s="36"/>
      <c r="AJ405" s="36"/>
      <c r="AK405" s="36"/>
      <c r="AL405" s="37">
        <f t="shared" si="46"/>
        <v>3003000</v>
      </c>
      <c r="AM405" s="36"/>
      <c r="AN405" s="36"/>
      <c r="AO405" s="36"/>
      <c r="AP405" s="7"/>
      <c r="AQ405" s="38">
        <f t="shared" si="47"/>
        <v>9822106.5670000017</v>
      </c>
      <c r="AR405" s="36">
        <v>9823100</v>
      </c>
      <c r="AS405" s="18">
        <f t="shared" si="48"/>
        <v>993.43299999833107</v>
      </c>
    </row>
    <row r="406" spans="1:45" x14ac:dyDescent="0.25">
      <c r="A406" s="40">
        <v>45694</v>
      </c>
      <c r="B406" s="20">
        <v>1744</v>
      </c>
      <c r="C406" s="20">
        <v>2463.9940000000001</v>
      </c>
      <c r="D406" s="20">
        <v>5030</v>
      </c>
      <c r="E406" s="20">
        <v>4799</v>
      </c>
      <c r="F406" s="7">
        <f t="shared" si="42"/>
        <v>8772320</v>
      </c>
      <c r="G406" s="7">
        <f t="shared" si="43"/>
        <v>11824707.206</v>
      </c>
      <c r="H406" s="20">
        <v>67</v>
      </c>
      <c r="I406" s="20">
        <v>1444000</v>
      </c>
      <c r="J406" s="20">
        <v>85</v>
      </c>
      <c r="K406" s="20">
        <v>901000</v>
      </c>
      <c r="L406" s="20">
        <v>61000</v>
      </c>
      <c r="M406" s="20"/>
      <c r="N406" s="20"/>
      <c r="O406" s="20">
        <v>300000</v>
      </c>
      <c r="P406" s="20">
        <v>75000</v>
      </c>
      <c r="Q406" s="19">
        <f t="shared" si="44"/>
        <v>23378027.206</v>
      </c>
      <c r="R406" s="20">
        <v>535577</v>
      </c>
      <c r="S406" s="20">
        <v>6352541</v>
      </c>
      <c r="T406" s="20"/>
      <c r="U406" s="20"/>
      <c r="V406" s="20"/>
      <c r="W406" s="20">
        <v>650000</v>
      </c>
      <c r="X406" s="20">
        <v>3186913</v>
      </c>
      <c r="Y406" s="8">
        <f t="shared" si="45"/>
        <v>12652996.206</v>
      </c>
      <c r="Z406" s="36"/>
      <c r="AA406" s="36"/>
      <c r="AB406" s="36"/>
      <c r="AC406" s="36"/>
      <c r="AD406" s="36">
        <v>95980</v>
      </c>
      <c r="AE406" s="36"/>
      <c r="AF406" s="36">
        <v>3553000</v>
      </c>
      <c r="AG406" s="36"/>
      <c r="AH406" s="36"/>
      <c r="AI406" s="36">
        <v>10000</v>
      </c>
      <c r="AJ406" s="36"/>
      <c r="AK406" s="36"/>
      <c r="AL406" s="37">
        <f t="shared" si="46"/>
        <v>3658980</v>
      </c>
      <c r="AM406" s="36"/>
      <c r="AN406" s="36"/>
      <c r="AO406" s="36"/>
      <c r="AP406" s="7"/>
      <c r="AQ406" s="38">
        <f t="shared" si="47"/>
        <v>8994016.2060000002</v>
      </c>
      <c r="AR406" s="36">
        <v>8995800</v>
      </c>
      <c r="AS406" s="18">
        <f t="shared" si="48"/>
        <v>1783.7939999997616</v>
      </c>
    </row>
    <row r="407" spans="1:45" x14ac:dyDescent="0.25">
      <c r="A407" s="40">
        <v>45695</v>
      </c>
      <c r="B407" s="20">
        <v>1986.873</v>
      </c>
      <c r="C407" s="20">
        <v>1681.9549999999999</v>
      </c>
      <c r="D407" s="20">
        <v>5030</v>
      </c>
      <c r="E407" s="20">
        <v>4799</v>
      </c>
      <c r="F407" s="7">
        <f t="shared" si="42"/>
        <v>9993971.1899999995</v>
      </c>
      <c r="G407" s="7">
        <f t="shared" si="43"/>
        <v>8071702.0449999999</v>
      </c>
      <c r="H407" s="20">
        <v>103.75</v>
      </c>
      <c r="I407" s="20">
        <v>2307000</v>
      </c>
      <c r="J407" s="20">
        <v>45</v>
      </c>
      <c r="K407" s="20">
        <v>489000</v>
      </c>
      <c r="L407" s="20">
        <v>243000</v>
      </c>
      <c r="M407" s="20"/>
      <c r="N407" s="20"/>
      <c r="O407" s="20">
        <v>415000</v>
      </c>
      <c r="P407" s="20"/>
      <c r="Q407" s="19">
        <f t="shared" si="44"/>
        <v>21519673.234999999</v>
      </c>
      <c r="R407" s="20">
        <v>799607</v>
      </c>
      <c r="S407" s="20">
        <v>2727490</v>
      </c>
      <c r="T407" s="20"/>
      <c r="U407" s="20"/>
      <c r="V407" s="20"/>
      <c r="W407" s="20">
        <v>219800</v>
      </c>
      <c r="X407" s="20">
        <v>8274270</v>
      </c>
      <c r="Y407" s="8">
        <f t="shared" si="45"/>
        <v>9498506.2349999994</v>
      </c>
      <c r="Z407" s="36"/>
      <c r="AA407" s="36"/>
      <c r="AB407" s="36"/>
      <c r="AC407" s="36">
        <v>34000</v>
      </c>
      <c r="AD407" s="36"/>
      <c r="AE407" s="36"/>
      <c r="AF407" s="36">
        <v>4303000</v>
      </c>
      <c r="AG407" s="36"/>
      <c r="AH407" s="36"/>
      <c r="AI407" s="36"/>
      <c r="AJ407" s="36">
        <v>10000</v>
      </c>
      <c r="AK407" s="36"/>
      <c r="AL407" s="37">
        <f t="shared" si="46"/>
        <v>4347000</v>
      </c>
      <c r="AM407" s="36"/>
      <c r="AN407" s="36"/>
      <c r="AO407" s="36"/>
      <c r="AP407" s="7"/>
      <c r="AQ407" s="38">
        <f t="shared" si="47"/>
        <v>5151506.2349999994</v>
      </c>
      <c r="AR407" s="36">
        <v>5151500</v>
      </c>
      <c r="AS407" s="18">
        <f t="shared" si="48"/>
        <v>-6.2349999994039536</v>
      </c>
    </row>
    <row r="408" spans="1:45" x14ac:dyDescent="0.25">
      <c r="A408" s="40">
        <v>45696</v>
      </c>
      <c r="B408" s="20">
        <v>1669.079</v>
      </c>
      <c r="C408" s="20">
        <v>2118.8969999999999</v>
      </c>
      <c r="D408" s="20">
        <v>5030</v>
      </c>
      <c r="E408" s="20">
        <v>4799</v>
      </c>
      <c r="F408" s="7">
        <f t="shared" si="42"/>
        <v>8395467.3699999992</v>
      </c>
      <c r="G408" s="7">
        <f t="shared" si="43"/>
        <v>10168586.703</v>
      </c>
      <c r="H408" s="20">
        <v>55.5</v>
      </c>
      <c r="I408" s="20">
        <v>1186500</v>
      </c>
      <c r="J408" s="20">
        <v>90.5</v>
      </c>
      <c r="K408" s="20">
        <v>1326000</v>
      </c>
      <c r="L408" s="20">
        <v>23000</v>
      </c>
      <c r="M408" s="20"/>
      <c r="N408" s="20"/>
      <c r="O408" s="20">
        <v>1308800</v>
      </c>
      <c r="P408" s="20"/>
      <c r="Q408" s="19">
        <f t="shared" si="44"/>
        <v>22408354.072999999</v>
      </c>
      <c r="R408" s="20">
        <v>771535</v>
      </c>
      <c r="S408" s="20">
        <v>3871656</v>
      </c>
      <c r="T408" s="20"/>
      <c r="U408" s="20"/>
      <c r="V408" s="20"/>
      <c r="W408" s="20">
        <v>589800</v>
      </c>
      <c r="X408" s="20">
        <v>9508555</v>
      </c>
      <c r="Y408" s="8">
        <f t="shared" si="45"/>
        <v>7666808.0729999989</v>
      </c>
      <c r="Z408" s="36"/>
      <c r="AA408" s="36"/>
      <c r="AB408" s="36"/>
      <c r="AC408" s="36"/>
      <c r="AD408" s="36">
        <v>95980</v>
      </c>
      <c r="AE408" s="36"/>
      <c r="AF408" s="36">
        <v>2203000</v>
      </c>
      <c r="AG408" s="36"/>
      <c r="AH408" s="36"/>
      <c r="AI408" s="36"/>
      <c r="AJ408" s="36"/>
      <c r="AK408" s="36"/>
      <c r="AL408" s="37">
        <f t="shared" si="46"/>
        <v>2298980</v>
      </c>
      <c r="AM408" s="36"/>
      <c r="AN408" s="36"/>
      <c r="AO408" s="36"/>
      <c r="AP408" s="7"/>
      <c r="AQ408" s="38">
        <f t="shared" si="47"/>
        <v>5367828.0729999989</v>
      </c>
      <c r="AR408" s="36">
        <v>5367800</v>
      </c>
      <c r="AS408" s="18">
        <f t="shared" si="48"/>
        <v>-28.072999998927116</v>
      </c>
    </row>
    <row r="409" spans="1:45" x14ac:dyDescent="0.25">
      <c r="A409" s="40">
        <v>45697</v>
      </c>
      <c r="B409" s="20">
        <v>1816.3109999999999</v>
      </c>
      <c r="C409" s="20">
        <v>1051.502</v>
      </c>
      <c r="D409" s="20">
        <v>5030</v>
      </c>
      <c r="E409" s="20">
        <v>4799</v>
      </c>
      <c r="F409" s="7">
        <f t="shared" si="42"/>
        <v>9136044.3300000001</v>
      </c>
      <c r="G409" s="7">
        <f t="shared" si="43"/>
        <v>5046158.0980000002</v>
      </c>
      <c r="H409" s="20">
        <v>23.75</v>
      </c>
      <c r="I409" s="20">
        <v>535500</v>
      </c>
      <c r="J409" s="20">
        <v>112.5</v>
      </c>
      <c r="K409" s="20">
        <v>941000</v>
      </c>
      <c r="L409" s="20">
        <v>23000</v>
      </c>
      <c r="M409" s="20"/>
      <c r="N409" s="20"/>
      <c r="O409" s="20">
        <v>1370300</v>
      </c>
      <c r="P409" s="20"/>
      <c r="Q409" s="19">
        <f t="shared" si="44"/>
        <v>17052002.427999999</v>
      </c>
      <c r="R409" s="20">
        <v>200000</v>
      </c>
      <c r="S409" s="20">
        <v>2645056</v>
      </c>
      <c r="T409" s="20"/>
      <c r="U409" s="20"/>
      <c r="V409" s="20"/>
      <c r="W409" s="20">
        <v>561000</v>
      </c>
      <c r="X409" s="20">
        <v>4100786</v>
      </c>
      <c r="Y409" s="8">
        <f t="shared" si="45"/>
        <v>9545160.4279999994</v>
      </c>
      <c r="Z409" s="36"/>
      <c r="AA409" s="36"/>
      <c r="AB409" s="36"/>
      <c r="AC409" s="36"/>
      <c r="AD409" s="36"/>
      <c r="AE409" s="36"/>
      <c r="AF409" s="36">
        <v>4210000</v>
      </c>
      <c r="AG409" s="36"/>
      <c r="AH409" s="36">
        <v>20000</v>
      </c>
      <c r="AI409" s="36"/>
      <c r="AJ409" s="36"/>
      <c r="AK409" s="36"/>
      <c r="AL409" s="37">
        <f t="shared" si="46"/>
        <v>4230000</v>
      </c>
      <c r="AM409" s="36"/>
      <c r="AN409" s="36"/>
      <c r="AO409" s="36"/>
      <c r="AP409" s="7"/>
      <c r="AQ409" s="38">
        <f t="shared" si="47"/>
        <v>5315160.4279999994</v>
      </c>
      <c r="AR409" s="36">
        <v>0</v>
      </c>
      <c r="AS409" s="18">
        <f t="shared" si="48"/>
        <v>-5315160.4279999994</v>
      </c>
    </row>
    <row r="410" spans="1:45" x14ac:dyDescent="0.25">
      <c r="A410" s="40">
        <v>45698</v>
      </c>
      <c r="B410" s="20">
        <v>1194.6679999999999</v>
      </c>
      <c r="C410" s="20">
        <v>949.24400000000003</v>
      </c>
      <c r="D410" s="20">
        <v>5030</v>
      </c>
      <c r="E410" s="20">
        <v>4799</v>
      </c>
      <c r="F410" s="7">
        <f t="shared" si="42"/>
        <v>6009180.0399999991</v>
      </c>
      <c r="G410" s="7">
        <f t="shared" si="43"/>
        <v>4555421.9560000002</v>
      </c>
      <c r="H410" s="20">
        <v>48</v>
      </c>
      <c r="I410" s="20">
        <v>1129500</v>
      </c>
      <c r="J410" s="20">
        <v>81.5</v>
      </c>
      <c r="K410" s="20">
        <v>762000</v>
      </c>
      <c r="L410" s="20">
        <v>150000</v>
      </c>
      <c r="M410" s="20"/>
      <c r="N410" s="20"/>
      <c r="O410" s="20">
        <v>100000</v>
      </c>
      <c r="P410" s="20">
        <v>25000</v>
      </c>
      <c r="Q410" s="19">
        <f t="shared" si="44"/>
        <v>12731101.995999999</v>
      </c>
      <c r="R410" s="20">
        <v>206049</v>
      </c>
      <c r="S410" s="20">
        <v>1187865</v>
      </c>
      <c r="T410" s="20"/>
      <c r="U410" s="20"/>
      <c r="V410" s="20"/>
      <c r="W410" s="20">
        <v>0</v>
      </c>
      <c r="X410" s="20">
        <v>5626660</v>
      </c>
      <c r="Y410" s="8">
        <f t="shared" si="45"/>
        <v>5710527.9959999993</v>
      </c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7">
        <f t="shared" si="46"/>
        <v>0</v>
      </c>
      <c r="AM410" s="36"/>
      <c r="AN410" s="36"/>
      <c r="AO410" s="36"/>
      <c r="AP410" s="7"/>
      <c r="AQ410" s="38">
        <f t="shared" si="47"/>
        <v>5710527.9959999993</v>
      </c>
      <c r="AR410" s="36">
        <v>11028000</v>
      </c>
      <c r="AS410" s="18">
        <f t="shared" si="48"/>
        <v>5317472.0040000007</v>
      </c>
    </row>
    <row r="411" spans="1:45" x14ac:dyDescent="0.25">
      <c r="A411" s="40">
        <v>45699</v>
      </c>
      <c r="B411" s="20">
        <v>0</v>
      </c>
      <c r="C411" s="20">
        <v>2161.4279999999999</v>
      </c>
      <c r="D411" s="20">
        <v>5030</v>
      </c>
      <c r="E411" s="20">
        <v>4799</v>
      </c>
      <c r="F411" s="7">
        <f t="shared" si="42"/>
        <v>0</v>
      </c>
      <c r="G411" s="7">
        <f t="shared" si="43"/>
        <v>10372692.971999999</v>
      </c>
      <c r="H411" s="20">
        <v>77.5</v>
      </c>
      <c r="I411" s="20">
        <v>1703000</v>
      </c>
      <c r="J411" s="20">
        <v>78</v>
      </c>
      <c r="K411" s="20">
        <v>1014000</v>
      </c>
      <c r="L411" s="20">
        <v>8000</v>
      </c>
      <c r="M411" s="20"/>
      <c r="N411" s="20"/>
      <c r="O411" s="20">
        <v>0</v>
      </c>
      <c r="P411" s="20"/>
      <c r="Q411" s="19">
        <f t="shared" si="44"/>
        <v>13097692.971999999</v>
      </c>
      <c r="R411" s="20">
        <v>0</v>
      </c>
      <c r="S411" s="20">
        <v>1986756</v>
      </c>
      <c r="T411" s="20"/>
      <c r="U411" s="20"/>
      <c r="V411" s="20"/>
      <c r="W411" s="20">
        <v>0</v>
      </c>
      <c r="X411" s="20">
        <v>4709722</v>
      </c>
      <c r="Y411" s="8">
        <f t="shared" si="45"/>
        <v>6401214.9719999991</v>
      </c>
      <c r="Z411" s="36"/>
      <c r="AA411" s="36"/>
      <c r="AB411" s="36"/>
      <c r="AC411" s="36">
        <v>5000</v>
      </c>
      <c r="AD411" s="36">
        <v>0</v>
      </c>
      <c r="AE411" s="36"/>
      <c r="AF411" s="36">
        <v>3000</v>
      </c>
      <c r="AG411" s="36"/>
      <c r="AH411" s="36">
        <v>30000</v>
      </c>
      <c r="AI411" s="36">
        <v>20000</v>
      </c>
      <c r="AJ411" s="36"/>
      <c r="AK411" s="36"/>
      <c r="AL411" s="37">
        <f t="shared" si="46"/>
        <v>58000</v>
      </c>
      <c r="AM411" s="36"/>
      <c r="AN411" s="36"/>
      <c r="AO411" s="36"/>
      <c r="AP411" s="7"/>
      <c r="AQ411" s="38">
        <f t="shared" si="47"/>
        <v>6343214.9719999991</v>
      </c>
      <c r="AR411" s="36">
        <v>6343000</v>
      </c>
      <c r="AS411" s="18">
        <f t="shared" si="48"/>
        <v>-214.97199999913573</v>
      </c>
    </row>
    <row r="412" spans="1:45" x14ac:dyDescent="0.25">
      <c r="A412" s="40">
        <v>45700</v>
      </c>
      <c r="B412" s="20">
        <v>2357.5509999999999</v>
      </c>
      <c r="C412" s="20">
        <v>2319.7629999999999</v>
      </c>
      <c r="D412" s="20">
        <v>5030</v>
      </c>
      <c r="E412" s="20">
        <v>4799</v>
      </c>
      <c r="F412" s="7">
        <f t="shared" si="42"/>
        <v>11858481.529999999</v>
      </c>
      <c r="G412" s="7">
        <f t="shared" si="43"/>
        <v>11132542.637</v>
      </c>
      <c r="H412" s="20">
        <v>58.25</v>
      </c>
      <c r="I412" s="20">
        <v>1289000</v>
      </c>
      <c r="J412" s="20">
        <v>117</v>
      </c>
      <c r="K412" s="20">
        <v>1397000</v>
      </c>
      <c r="L412" s="20">
        <v>0</v>
      </c>
      <c r="M412" s="20"/>
      <c r="N412" s="20"/>
      <c r="O412" s="20">
        <v>1843800</v>
      </c>
      <c r="P412" s="20"/>
      <c r="Q412" s="19">
        <f t="shared" si="44"/>
        <v>27520824.166999999</v>
      </c>
      <c r="R412" s="20">
        <v>484083</v>
      </c>
      <c r="S412" s="20">
        <v>4311389</v>
      </c>
      <c r="T412" s="20"/>
      <c r="U412" s="20"/>
      <c r="V412" s="20"/>
      <c r="W412" s="20">
        <v>30000</v>
      </c>
      <c r="X412" s="20">
        <v>15383050</v>
      </c>
      <c r="Y412" s="8">
        <f t="shared" si="45"/>
        <v>7312302.1669999994</v>
      </c>
      <c r="Z412" s="36"/>
      <c r="AA412" s="36"/>
      <c r="AB412" s="36"/>
      <c r="AC412" s="36">
        <v>10000</v>
      </c>
      <c r="AD412" s="36">
        <v>95980</v>
      </c>
      <c r="AE412" s="36"/>
      <c r="AF412" s="36">
        <v>50000</v>
      </c>
      <c r="AG412" s="36"/>
      <c r="AH412" s="36"/>
      <c r="AI412" s="36"/>
      <c r="AJ412" s="36"/>
      <c r="AK412" s="36"/>
      <c r="AL412" s="37">
        <f t="shared" si="46"/>
        <v>155980</v>
      </c>
      <c r="AM412" s="36"/>
      <c r="AN412" s="36"/>
      <c r="AO412" s="36"/>
      <c r="AP412" s="7"/>
      <c r="AQ412" s="38">
        <f t="shared" si="47"/>
        <v>7156322.1669999994</v>
      </c>
      <c r="AR412" s="36">
        <v>7156300</v>
      </c>
      <c r="AS412" s="18">
        <f t="shared" si="48"/>
        <v>-22.166999999433756</v>
      </c>
    </row>
    <row r="413" spans="1:45" x14ac:dyDescent="0.25">
      <c r="A413" s="40">
        <v>45701</v>
      </c>
      <c r="B413" s="20">
        <v>1836.4159999999999</v>
      </c>
      <c r="C413" s="20">
        <v>2288.8870000000002</v>
      </c>
      <c r="D413" s="20">
        <v>5030</v>
      </c>
      <c r="E413" s="20">
        <v>4799</v>
      </c>
      <c r="F413" s="7">
        <f t="shared" si="42"/>
        <v>9237172.4800000004</v>
      </c>
      <c r="G413" s="7">
        <f t="shared" si="43"/>
        <v>10984368.713000001</v>
      </c>
      <c r="H413" s="20">
        <v>95.5</v>
      </c>
      <c r="I413" s="20">
        <v>2275500</v>
      </c>
      <c r="J413" s="20">
        <v>87.5</v>
      </c>
      <c r="K413" s="20">
        <v>1045000</v>
      </c>
      <c r="L413" s="20">
        <v>135000</v>
      </c>
      <c r="M413" s="20"/>
      <c r="N413" s="20"/>
      <c r="O413" s="20">
        <v>100000</v>
      </c>
      <c r="P413" s="20"/>
      <c r="Q413" s="19">
        <f t="shared" si="44"/>
        <v>23777041.193000004</v>
      </c>
      <c r="R413" s="20">
        <v>711452</v>
      </c>
      <c r="S413" s="20">
        <v>6089075</v>
      </c>
      <c r="T413" s="20"/>
      <c r="U413" s="20"/>
      <c r="V413" s="20"/>
      <c r="W413" s="20">
        <v>250000</v>
      </c>
      <c r="X413" s="20">
        <v>9781513</v>
      </c>
      <c r="Y413" s="8">
        <f t="shared" si="45"/>
        <v>6945001.1930000037</v>
      </c>
      <c r="Z413" s="36"/>
      <c r="AA413" s="36"/>
      <c r="AB413" s="36"/>
      <c r="AC413" s="36"/>
      <c r="AD413" s="36"/>
      <c r="AE413" s="36"/>
      <c r="AF413" s="36">
        <v>7000</v>
      </c>
      <c r="AG413" s="36"/>
      <c r="AH413" s="36"/>
      <c r="AI413" s="36"/>
      <c r="AJ413" s="36"/>
      <c r="AK413" s="36"/>
      <c r="AL413" s="37">
        <f t="shared" si="46"/>
        <v>7000</v>
      </c>
      <c r="AM413" s="36"/>
      <c r="AN413" s="36"/>
      <c r="AO413" s="36"/>
      <c r="AP413" s="7"/>
      <c r="AQ413" s="38">
        <f t="shared" si="47"/>
        <v>6938001.1930000037</v>
      </c>
      <c r="AR413" s="36">
        <v>6938000</v>
      </c>
      <c r="AS413" s="18">
        <f t="shared" si="48"/>
        <v>-1.193000003695488</v>
      </c>
    </row>
    <row r="414" spans="1:45" x14ac:dyDescent="0.25">
      <c r="A414" s="40">
        <v>45702</v>
      </c>
      <c r="B414" s="20">
        <v>1819.797</v>
      </c>
      <c r="C414" s="20">
        <v>1567.9939999999999</v>
      </c>
      <c r="D414" s="20">
        <v>5030</v>
      </c>
      <c r="E414" s="20">
        <v>4799</v>
      </c>
      <c r="F414" s="7">
        <f t="shared" si="42"/>
        <v>9153578.9100000001</v>
      </c>
      <c r="G414" s="7">
        <f t="shared" si="43"/>
        <v>7524803.2059999993</v>
      </c>
      <c r="H414" s="20">
        <v>75</v>
      </c>
      <c r="I414" s="20">
        <v>1850000</v>
      </c>
      <c r="J414" s="20">
        <v>57</v>
      </c>
      <c r="K414" s="20">
        <v>735000</v>
      </c>
      <c r="L414" s="20">
        <v>90000</v>
      </c>
      <c r="M414" s="20"/>
      <c r="N414" s="20"/>
      <c r="O414" s="20">
        <v>3718500</v>
      </c>
      <c r="P414" s="20"/>
      <c r="Q414" s="19">
        <f t="shared" si="44"/>
        <v>23071882.116</v>
      </c>
      <c r="R414" s="20">
        <v>837203</v>
      </c>
      <c r="S414" s="20">
        <v>1930955</v>
      </c>
      <c r="T414" s="20"/>
      <c r="U414" s="20"/>
      <c r="V414" s="20"/>
      <c r="W414" s="20">
        <v>190000</v>
      </c>
      <c r="X414" s="20">
        <v>10395670</v>
      </c>
      <c r="Y414" s="8">
        <f t="shared" si="45"/>
        <v>9718054.1160000004</v>
      </c>
      <c r="Z414" s="36"/>
      <c r="AA414" s="36"/>
      <c r="AB414" s="36"/>
      <c r="AC414" s="36"/>
      <c r="AD414" s="36"/>
      <c r="AE414" s="36"/>
      <c r="AF414" s="36">
        <v>3000</v>
      </c>
      <c r="AG414" s="36"/>
      <c r="AH414" s="36"/>
      <c r="AI414" s="36"/>
      <c r="AJ414" s="36"/>
      <c r="AK414" s="36"/>
      <c r="AL414" s="37">
        <f t="shared" si="46"/>
        <v>3000</v>
      </c>
      <c r="AM414" s="36"/>
      <c r="AN414" s="36"/>
      <c r="AO414" s="36"/>
      <c r="AP414" s="7"/>
      <c r="AQ414" s="38">
        <f t="shared" si="47"/>
        <v>9715054.1160000004</v>
      </c>
      <c r="AR414" s="36">
        <v>9715000</v>
      </c>
      <c r="AS414" s="18">
        <f t="shared" si="48"/>
        <v>-54.11600000038743</v>
      </c>
    </row>
    <row r="415" spans="1:45" x14ac:dyDescent="0.25">
      <c r="A415" s="40">
        <v>45703</v>
      </c>
      <c r="B415" s="20">
        <v>1880.8219999999999</v>
      </c>
      <c r="C415" s="20">
        <v>1633.0319999999999</v>
      </c>
      <c r="D415" s="20">
        <v>5030</v>
      </c>
      <c r="E415" s="20">
        <v>4799</v>
      </c>
      <c r="F415" s="7">
        <f t="shared" si="42"/>
        <v>9460534.6600000001</v>
      </c>
      <c r="G415" s="7">
        <f t="shared" si="43"/>
        <v>7836920.568</v>
      </c>
      <c r="H415" s="20">
        <v>88</v>
      </c>
      <c r="I415" s="20">
        <v>1952000</v>
      </c>
      <c r="J415" s="20">
        <v>91</v>
      </c>
      <c r="K415" s="20">
        <v>1069000</v>
      </c>
      <c r="L415" s="20">
        <v>200000</v>
      </c>
      <c r="M415" s="20"/>
      <c r="N415" s="20"/>
      <c r="O415" s="20">
        <v>1611910</v>
      </c>
      <c r="P415" s="20"/>
      <c r="Q415" s="19">
        <f t="shared" si="44"/>
        <v>22130365.228</v>
      </c>
      <c r="R415" s="20">
        <v>809036</v>
      </c>
      <c r="S415" s="20">
        <v>3596556</v>
      </c>
      <c r="T415" s="20"/>
      <c r="U415" s="20"/>
      <c r="V415" s="20"/>
      <c r="W415" s="20">
        <v>145000</v>
      </c>
      <c r="X415" s="20">
        <v>4934734</v>
      </c>
      <c r="Y415" s="8">
        <f t="shared" si="45"/>
        <v>12645039.228</v>
      </c>
      <c r="Z415" s="36"/>
      <c r="AA415" s="36"/>
      <c r="AB415" s="36"/>
      <c r="AC415" s="36"/>
      <c r="AD415" s="36"/>
      <c r="AE415" s="36"/>
      <c r="AF415" s="36">
        <v>3000</v>
      </c>
      <c r="AG415" s="36"/>
      <c r="AH415" s="36"/>
      <c r="AI415" s="36"/>
      <c r="AJ415" s="36">
        <v>1802928</v>
      </c>
      <c r="AK415" s="36"/>
      <c r="AL415" s="37">
        <f t="shared" si="46"/>
        <v>1805928</v>
      </c>
      <c r="AM415" s="36"/>
      <c r="AN415" s="36"/>
      <c r="AO415" s="36"/>
      <c r="AP415" s="7"/>
      <c r="AQ415" s="38">
        <f t="shared" si="47"/>
        <v>10839111.228</v>
      </c>
      <c r="AR415" s="36">
        <v>10841700</v>
      </c>
      <c r="AS415" s="18">
        <f t="shared" si="48"/>
        <v>2588.7719999998808</v>
      </c>
    </row>
    <row r="416" spans="1:45" x14ac:dyDescent="0.25">
      <c r="A416" s="40">
        <v>45704</v>
      </c>
      <c r="B416" s="20">
        <v>1869.93</v>
      </c>
      <c r="C416" s="20">
        <v>2183.77</v>
      </c>
      <c r="D416" s="20">
        <v>5030</v>
      </c>
      <c r="E416" s="20">
        <v>4799</v>
      </c>
      <c r="F416" s="7">
        <f t="shared" si="42"/>
        <v>9405747.9000000004</v>
      </c>
      <c r="G416" s="7">
        <f t="shared" si="43"/>
        <v>10479912.23</v>
      </c>
      <c r="H416" s="20">
        <v>49.25</v>
      </c>
      <c r="I416" s="20">
        <v>1091000</v>
      </c>
      <c r="J416" s="20">
        <v>115</v>
      </c>
      <c r="K416" s="20">
        <v>1465000</v>
      </c>
      <c r="L416" s="20">
        <v>39000</v>
      </c>
      <c r="M416" s="20"/>
      <c r="N416" s="20"/>
      <c r="O416" s="20">
        <v>608000</v>
      </c>
      <c r="P416" s="20"/>
      <c r="Q416" s="19">
        <f t="shared" si="44"/>
        <v>23088660.130000003</v>
      </c>
      <c r="R416" s="20">
        <v>935235</v>
      </c>
      <c r="S416" s="20">
        <v>3009600</v>
      </c>
      <c r="T416" s="20"/>
      <c r="U416" s="20"/>
      <c r="V416" s="20"/>
      <c r="W416" s="20">
        <v>0</v>
      </c>
      <c r="X416" s="20">
        <v>8761400</v>
      </c>
      <c r="Y416" s="8">
        <f t="shared" si="45"/>
        <v>10382425.130000003</v>
      </c>
      <c r="Z416" s="36"/>
      <c r="AA416" s="36"/>
      <c r="AB416" s="36"/>
      <c r="AC416" s="36"/>
      <c r="AD416" s="36"/>
      <c r="AE416" s="36"/>
      <c r="AF416" s="36">
        <v>3000</v>
      </c>
      <c r="AG416" s="36"/>
      <c r="AH416" s="36"/>
      <c r="AI416" s="36">
        <v>10000</v>
      </c>
      <c r="AJ416" s="36"/>
      <c r="AK416" s="36"/>
      <c r="AL416" s="37">
        <f t="shared" si="46"/>
        <v>13000</v>
      </c>
      <c r="AM416" s="36"/>
      <c r="AN416" s="36"/>
      <c r="AO416" s="36"/>
      <c r="AP416" s="7"/>
      <c r="AQ416" s="38">
        <f t="shared" si="47"/>
        <v>10369425.130000003</v>
      </c>
      <c r="AR416" s="36">
        <v>0</v>
      </c>
      <c r="AS416" s="18">
        <f t="shared" si="48"/>
        <v>-10369425.130000003</v>
      </c>
    </row>
    <row r="417" spans="1:45" x14ac:dyDescent="0.25">
      <c r="A417" s="40">
        <v>45705</v>
      </c>
      <c r="B417" s="20">
        <v>1679.0550000000001</v>
      </c>
      <c r="C417" s="20">
        <v>1069.317</v>
      </c>
      <c r="D417" s="20">
        <v>5030</v>
      </c>
      <c r="E417" s="20">
        <v>4799</v>
      </c>
      <c r="F417" s="7">
        <f t="shared" si="42"/>
        <v>8445646.6500000004</v>
      </c>
      <c r="G417" s="7">
        <f t="shared" si="43"/>
        <v>5131652.2829999998</v>
      </c>
      <c r="H417" s="20">
        <v>30.8</v>
      </c>
      <c r="I417" s="20">
        <v>681000</v>
      </c>
      <c r="J417" s="20">
        <v>55</v>
      </c>
      <c r="K417" s="20">
        <v>583000</v>
      </c>
      <c r="L417" s="20">
        <v>85000</v>
      </c>
      <c r="M417" s="20"/>
      <c r="N417" s="20"/>
      <c r="O417" s="20">
        <v>350000</v>
      </c>
      <c r="P417" s="20"/>
      <c r="Q417" s="19">
        <f t="shared" si="44"/>
        <v>15276298.933</v>
      </c>
      <c r="R417" s="20">
        <v>1556709</v>
      </c>
      <c r="S417" s="20">
        <v>3375421</v>
      </c>
      <c r="T417" s="20">
        <v>1300000</v>
      </c>
      <c r="U417" s="20"/>
      <c r="V417" s="20"/>
      <c r="W417" s="20">
        <v>0</v>
      </c>
      <c r="X417" s="20">
        <v>2945790</v>
      </c>
      <c r="Y417" s="8">
        <f t="shared" si="45"/>
        <v>6098378.9330000002</v>
      </c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>
        <v>100000</v>
      </c>
      <c r="AK417" s="36"/>
      <c r="AL417" s="37">
        <f t="shared" si="46"/>
        <v>100000</v>
      </c>
      <c r="AM417" s="36"/>
      <c r="AN417" s="36"/>
      <c r="AO417" s="36"/>
      <c r="AP417" s="7"/>
      <c r="AQ417" s="38">
        <f t="shared" si="47"/>
        <v>5998378.9330000002</v>
      </c>
      <c r="AR417" s="36">
        <v>16367200</v>
      </c>
      <c r="AS417" s="18">
        <f t="shared" si="48"/>
        <v>10368821.067</v>
      </c>
    </row>
    <row r="418" spans="1:45" x14ac:dyDescent="0.25">
      <c r="A418" s="40">
        <v>45706</v>
      </c>
      <c r="B418" s="20">
        <v>2148.08</v>
      </c>
      <c r="C418" s="20">
        <v>2056.46</v>
      </c>
      <c r="D418" s="20">
        <v>5030</v>
      </c>
      <c r="E418" s="20">
        <v>4799</v>
      </c>
      <c r="F418" s="7">
        <f t="shared" si="42"/>
        <v>10804842.4</v>
      </c>
      <c r="G418" s="7">
        <f t="shared" si="43"/>
        <v>9868951.540000001</v>
      </c>
      <c r="H418" s="20">
        <v>34.75</v>
      </c>
      <c r="I418" s="20">
        <v>713500</v>
      </c>
      <c r="J418" s="20">
        <v>97.5</v>
      </c>
      <c r="K418" s="20">
        <v>1115000</v>
      </c>
      <c r="L418" s="20">
        <v>15000</v>
      </c>
      <c r="M418" s="20"/>
      <c r="N418" s="20"/>
      <c r="O418" s="20">
        <v>1001270</v>
      </c>
      <c r="P418" s="20"/>
      <c r="Q418" s="19">
        <f t="shared" si="44"/>
        <v>23518563.940000001</v>
      </c>
      <c r="R418" s="20">
        <v>1056403</v>
      </c>
      <c r="S418" s="20">
        <v>4570491</v>
      </c>
      <c r="T418" s="20"/>
      <c r="U418" s="20"/>
      <c r="V418" s="20"/>
      <c r="W418" s="20">
        <v>150000</v>
      </c>
      <c r="X418" s="20">
        <v>9218806</v>
      </c>
      <c r="Y418" s="8">
        <f t="shared" si="45"/>
        <v>8522863.9400000013</v>
      </c>
      <c r="Z418" s="36"/>
      <c r="AA418" s="36"/>
      <c r="AB418" s="36"/>
      <c r="AC418" s="36"/>
      <c r="AD418" s="36"/>
      <c r="AE418" s="36"/>
      <c r="AF418" s="36">
        <v>6000</v>
      </c>
      <c r="AG418" s="36"/>
      <c r="AH418" s="36"/>
      <c r="AI418" s="36"/>
      <c r="AJ418" s="36">
        <v>25000</v>
      </c>
      <c r="AK418" s="36"/>
      <c r="AL418" s="37">
        <f t="shared" si="46"/>
        <v>31000</v>
      </c>
      <c r="AM418" s="36"/>
      <c r="AN418" s="36"/>
      <c r="AO418" s="36"/>
      <c r="AP418" s="7"/>
      <c r="AQ418" s="38">
        <f t="shared" si="47"/>
        <v>8491863.9400000013</v>
      </c>
      <c r="AR418" s="36">
        <v>8492000</v>
      </c>
      <c r="AS418" s="18">
        <f t="shared" si="48"/>
        <v>136.0599999986589</v>
      </c>
    </row>
    <row r="419" spans="1:45" x14ac:dyDescent="0.25">
      <c r="A419" s="40">
        <v>45707</v>
      </c>
      <c r="B419" s="20">
        <v>1984.144</v>
      </c>
      <c r="C419" s="20">
        <v>1775.088</v>
      </c>
      <c r="D419" s="20">
        <v>5030</v>
      </c>
      <c r="E419" s="20">
        <v>4799</v>
      </c>
      <c r="F419" s="7">
        <f t="shared" si="42"/>
        <v>9980244.3200000003</v>
      </c>
      <c r="G419" s="7">
        <f t="shared" si="43"/>
        <v>8518647.311999999</v>
      </c>
      <c r="H419" s="20">
        <v>70.75</v>
      </c>
      <c r="I419" s="20">
        <v>1548500</v>
      </c>
      <c r="J419" s="20">
        <v>122</v>
      </c>
      <c r="K419" s="20">
        <v>1335000</v>
      </c>
      <c r="L419" s="20">
        <v>53000</v>
      </c>
      <c r="M419" s="20"/>
      <c r="N419" s="20"/>
      <c r="O419" s="20">
        <v>476000</v>
      </c>
      <c r="P419" s="20"/>
      <c r="Q419" s="19">
        <f t="shared" si="44"/>
        <v>21911391.631999999</v>
      </c>
      <c r="R419" s="20">
        <v>717749</v>
      </c>
      <c r="S419" s="20">
        <v>4440561</v>
      </c>
      <c r="T419" s="20"/>
      <c r="U419" s="20"/>
      <c r="V419" s="20"/>
      <c r="W419" s="20">
        <v>50000</v>
      </c>
      <c r="X419" s="20">
        <v>8765867</v>
      </c>
      <c r="Y419" s="8">
        <f t="shared" si="45"/>
        <v>7937214.6319999993</v>
      </c>
      <c r="Z419" s="36"/>
      <c r="AA419" s="36"/>
      <c r="AB419" s="36"/>
      <c r="AC419" s="36">
        <v>84000</v>
      </c>
      <c r="AD419" s="36">
        <v>95980</v>
      </c>
      <c r="AE419" s="36"/>
      <c r="AF419" s="36">
        <v>3000</v>
      </c>
      <c r="AG419" s="36"/>
      <c r="AH419" s="36"/>
      <c r="AI419" s="36"/>
      <c r="AJ419" s="36"/>
      <c r="AK419" s="36"/>
      <c r="AL419" s="37">
        <f t="shared" si="46"/>
        <v>182980</v>
      </c>
      <c r="AM419" s="36"/>
      <c r="AN419" s="36"/>
      <c r="AO419" s="36"/>
      <c r="AP419" s="7"/>
      <c r="AQ419" s="38">
        <f t="shared" si="47"/>
        <v>7754234.6319999993</v>
      </c>
      <c r="AR419" s="36">
        <v>7754300</v>
      </c>
      <c r="AS419" s="18">
        <f t="shared" si="48"/>
        <v>65.368000000715256</v>
      </c>
    </row>
    <row r="420" spans="1:45" x14ac:dyDescent="0.25">
      <c r="A420" s="40">
        <v>45708</v>
      </c>
      <c r="B420" s="20">
        <v>1911.425</v>
      </c>
      <c r="C420" s="20">
        <v>1396.3610000000001</v>
      </c>
      <c r="D420" s="20">
        <v>5030</v>
      </c>
      <c r="E420" s="20">
        <v>4799</v>
      </c>
      <c r="F420" s="7">
        <f t="shared" si="42"/>
        <v>9614467.75</v>
      </c>
      <c r="G420" s="7">
        <f t="shared" si="43"/>
        <v>6701136.4390000002</v>
      </c>
      <c r="H420" s="20">
        <v>58</v>
      </c>
      <c r="I420" s="20">
        <v>1207000</v>
      </c>
      <c r="J420" s="20">
        <v>56</v>
      </c>
      <c r="K420" s="20">
        <v>645000</v>
      </c>
      <c r="L420" s="20">
        <v>69000</v>
      </c>
      <c r="M420" s="20"/>
      <c r="N420" s="20"/>
      <c r="O420" s="20">
        <v>90000</v>
      </c>
      <c r="P420" s="20"/>
      <c r="Q420" s="19">
        <f t="shared" si="44"/>
        <v>18326604.188999999</v>
      </c>
      <c r="R420" s="20">
        <v>1042450</v>
      </c>
      <c r="S420" s="20">
        <v>5464949</v>
      </c>
      <c r="T420" s="20"/>
      <c r="U420" s="20"/>
      <c r="V420" s="20"/>
      <c r="W420" s="20">
        <v>118800</v>
      </c>
      <c r="X420" s="20">
        <v>4515702</v>
      </c>
      <c r="Y420" s="8">
        <f t="shared" si="45"/>
        <v>7184703.1889999993</v>
      </c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7">
        <f t="shared" si="46"/>
        <v>0</v>
      </c>
      <c r="AM420" s="36"/>
      <c r="AN420" s="36"/>
      <c r="AO420" s="36"/>
      <c r="AP420" s="7"/>
      <c r="AQ420" s="38">
        <f t="shared" si="47"/>
        <v>7184703.1889999993</v>
      </c>
      <c r="AR420" s="36">
        <v>7184700</v>
      </c>
      <c r="AS420" s="18">
        <f t="shared" si="48"/>
        <v>-3.1889999993145466</v>
      </c>
    </row>
    <row r="421" spans="1:45" x14ac:dyDescent="0.25">
      <c r="A421" s="40">
        <v>45709</v>
      </c>
      <c r="B421" s="20">
        <v>1572.77</v>
      </c>
      <c r="C421" s="20">
        <v>1338.8009999999999</v>
      </c>
      <c r="D421" s="20">
        <v>5030</v>
      </c>
      <c r="E421" s="20">
        <v>4799</v>
      </c>
      <c r="F421" s="7">
        <f t="shared" si="42"/>
        <v>7911033.0999999996</v>
      </c>
      <c r="G421" s="7">
        <f t="shared" si="43"/>
        <v>6424905.9989999998</v>
      </c>
      <c r="H421" s="20">
        <v>45</v>
      </c>
      <c r="I421" s="20">
        <v>1056000</v>
      </c>
      <c r="J421" s="20">
        <v>60.5</v>
      </c>
      <c r="K421" s="20">
        <v>621000</v>
      </c>
      <c r="L421" s="20">
        <v>89000</v>
      </c>
      <c r="M421" s="20">
        <v>400000</v>
      </c>
      <c r="N421" s="20"/>
      <c r="O421" s="20">
        <v>245000</v>
      </c>
      <c r="P421" s="20"/>
      <c r="Q421" s="19">
        <f t="shared" si="44"/>
        <v>16746939.098999999</v>
      </c>
      <c r="R421" s="20">
        <v>1331797</v>
      </c>
      <c r="S421" s="20">
        <v>3910786</v>
      </c>
      <c r="T421" s="20"/>
      <c r="U421" s="20"/>
      <c r="V421" s="20"/>
      <c r="W421" s="20">
        <v>203000</v>
      </c>
      <c r="X421" s="20">
        <v>5897743</v>
      </c>
      <c r="Y421" s="8">
        <f t="shared" si="45"/>
        <v>5403613.0989999995</v>
      </c>
      <c r="Z421" s="36"/>
      <c r="AA421" s="36"/>
      <c r="AB421" s="36"/>
      <c r="AC421" s="36"/>
      <c r="AD421" s="36"/>
      <c r="AE421" s="36"/>
      <c r="AF421" s="36">
        <v>5000</v>
      </c>
      <c r="AG421" s="36"/>
      <c r="AH421" s="36">
        <v>10000</v>
      </c>
      <c r="AI421" s="36"/>
      <c r="AJ421" s="36"/>
      <c r="AK421" s="36"/>
      <c r="AL421" s="37">
        <f t="shared" si="46"/>
        <v>15000</v>
      </c>
      <c r="AM421" s="36"/>
      <c r="AN421" s="36"/>
      <c r="AO421" s="36"/>
      <c r="AP421" s="7"/>
      <c r="AQ421" s="38">
        <f t="shared" si="47"/>
        <v>5388613.0989999995</v>
      </c>
      <c r="AR421" s="36">
        <v>5388600</v>
      </c>
      <c r="AS421" s="18">
        <f t="shared" si="48"/>
        <v>-13.098999999463558</v>
      </c>
    </row>
    <row r="422" spans="1:45" x14ac:dyDescent="0.25">
      <c r="A422" s="40">
        <v>45710</v>
      </c>
      <c r="B422" s="20">
        <v>1957.3440000000001</v>
      </c>
      <c r="C422" s="20">
        <v>1550.8150000000001</v>
      </c>
      <c r="D422" s="20">
        <v>5030</v>
      </c>
      <c r="E422" s="20">
        <v>4799</v>
      </c>
      <c r="F422" s="7">
        <f t="shared" si="42"/>
        <v>9845440.3200000003</v>
      </c>
      <c r="G422" s="7">
        <f t="shared" si="43"/>
        <v>7442361.1850000005</v>
      </c>
      <c r="H422" s="20">
        <v>57.5</v>
      </c>
      <c r="I422" s="20">
        <v>1253500</v>
      </c>
      <c r="J422" s="20">
        <v>51</v>
      </c>
      <c r="K422" s="20">
        <v>649000</v>
      </c>
      <c r="L422" s="20">
        <v>98000</v>
      </c>
      <c r="M422" s="20"/>
      <c r="N422" s="20"/>
      <c r="O422" s="20">
        <v>3695800</v>
      </c>
      <c r="P422" s="20"/>
      <c r="Q422" s="19">
        <f t="shared" si="44"/>
        <v>22984101.505000003</v>
      </c>
      <c r="R422" s="20">
        <v>1657010</v>
      </c>
      <c r="S422" s="20">
        <v>3633240</v>
      </c>
      <c r="T422" s="20"/>
      <c r="U422" s="20"/>
      <c r="V422" s="20"/>
      <c r="W422" s="20">
        <v>171000</v>
      </c>
      <c r="X422" s="20">
        <v>10141895</v>
      </c>
      <c r="Y422" s="8">
        <f t="shared" si="45"/>
        <v>7380956.5050000027</v>
      </c>
      <c r="Z422" s="36"/>
      <c r="AA422" s="36"/>
      <c r="AB422" s="36"/>
      <c r="AC422" s="36"/>
      <c r="AD422" s="36"/>
      <c r="AE422" s="36"/>
      <c r="AF422" s="36"/>
      <c r="AG422" s="36"/>
      <c r="AH422" s="36">
        <v>19000</v>
      </c>
      <c r="AI422" s="36"/>
      <c r="AJ422" s="36"/>
      <c r="AK422" s="36"/>
      <c r="AL422" s="37">
        <f t="shared" si="46"/>
        <v>19000</v>
      </c>
      <c r="AM422" s="36"/>
      <c r="AN422" s="36"/>
      <c r="AO422" s="36"/>
      <c r="AP422" s="7"/>
      <c r="AQ422" s="38">
        <f t="shared" si="47"/>
        <v>7361956.5050000027</v>
      </c>
      <c r="AR422" s="36">
        <v>7362000</v>
      </c>
      <c r="AS422" s="18">
        <f t="shared" si="48"/>
        <v>43.494999997317791</v>
      </c>
    </row>
    <row r="423" spans="1:45" x14ac:dyDescent="0.25">
      <c r="A423" s="40">
        <v>45711</v>
      </c>
      <c r="B423" s="20">
        <v>1768.5519999999999</v>
      </c>
      <c r="C423" s="20">
        <v>1729.0260000000001</v>
      </c>
      <c r="D423" s="20">
        <v>5030</v>
      </c>
      <c r="E423" s="20">
        <v>4799</v>
      </c>
      <c r="F423" s="7">
        <f t="shared" si="42"/>
        <v>8895816.5599999987</v>
      </c>
      <c r="G423" s="7">
        <f t="shared" si="43"/>
        <v>8297595.7740000002</v>
      </c>
      <c r="H423" s="20">
        <v>34</v>
      </c>
      <c r="I423" s="20">
        <v>719500</v>
      </c>
      <c r="J423" s="20">
        <v>48.5</v>
      </c>
      <c r="K423" s="20">
        <v>423000</v>
      </c>
      <c r="L423" s="20">
        <v>96000</v>
      </c>
      <c r="M423" s="20"/>
      <c r="N423" s="20"/>
      <c r="O423" s="20">
        <v>1151000</v>
      </c>
      <c r="P423" s="20"/>
      <c r="Q423" s="19">
        <f t="shared" si="44"/>
        <v>19582912.333999999</v>
      </c>
      <c r="R423" s="20">
        <v>1472334</v>
      </c>
      <c r="S423" s="20">
        <v>4637091</v>
      </c>
      <c r="T423" s="20"/>
      <c r="U423" s="20"/>
      <c r="V423" s="20"/>
      <c r="W423" s="20">
        <v>321000</v>
      </c>
      <c r="X423" s="20">
        <v>6419455</v>
      </c>
      <c r="Y423" s="8">
        <f t="shared" si="45"/>
        <v>6733032.3339999989</v>
      </c>
      <c r="Z423" s="36"/>
      <c r="AA423" s="36"/>
      <c r="AB423" s="36"/>
      <c r="AC423" s="36"/>
      <c r="AD423" s="36"/>
      <c r="AE423" s="36"/>
      <c r="AF423" s="36">
        <v>5000</v>
      </c>
      <c r="AG423" s="36"/>
      <c r="AH423" s="36"/>
      <c r="AI423" s="36"/>
      <c r="AJ423" s="36">
        <v>300000</v>
      </c>
      <c r="AK423" s="36"/>
      <c r="AL423" s="37">
        <f t="shared" si="46"/>
        <v>305000</v>
      </c>
      <c r="AM423" s="36">
        <v>902500</v>
      </c>
      <c r="AN423" s="36"/>
      <c r="AO423" s="36"/>
      <c r="AP423" s="7"/>
      <c r="AQ423" s="38">
        <f t="shared" si="47"/>
        <v>5525532.3339999989</v>
      </c>
      <c r="AR423" s="36">
        <v>5525600</v>
      </c>
      <c r="AS423" s="18">
        <f t="shared" si="48"/>
        <v>67.666000001132488</v>
      </c>
    </row>
    <row r="424" spans="1:45" x14ac:dyDescent="0.25">
      <c r="A424" s="40">
        <v>45712</v>
      </c>
      <c r="B424" s="20">
        <v>1310.0719999999999</v>
      </c>
      <c r="C424" s="20">
        <v>1252.114</v>
      </c>
      <c r="D424" s="20">
        <v>5030</v>
      </c>
      <c r="E424" s="20">
        <v>4799</v>
      </c>
      <c r="F424" s="7">
        <f t="shared" si="42"/>
        <v>6589662.1599999992</v>
      </c>
      <c r="G424" s="7">
        <f t="shared" si="43"/>
        <v>6008895.0860000001</v>
      </c>
      <c r="H424" s="20">
        <v>66</v>
      </c>
      <c r="I424" s="20">
        <v>1457000</v>
      </c>
      <c r="J424" s="20">
        <v>36</v>
      </c>
      <c r="K424" s="20">
        <v>410000</v>
      </c>
      <c r="L424" s="20">
        <v>30000</v>
      </c>
      <c r="M424" s="20"/>
      <c r="N424" s="20">
        <v>1000000</v>
      </c>
      <c r="O424" s="20">
        <v>0</v>
      </c>
      <c r="P424" s="20"/>
      <c r="Q424" s="19">
        <f t="shared" si="44"/>
        <v>15495557.245999999</v>
      </c>
      <c r="R424" s="20">
        <v>655933</v>
      </c>
      <c r="S424" s="20">
        <v>3621949</v>
      </c>
      <c r="T424" s="20"/>
      <c r="U424" s="20"/>
      <c r="V424" s="20"/>
      <c r="W424" s="20">
        <v>534092</v>
      </c>
      <c r="X424" s="20">
        <v>4125478</v>
      </c>
      <c r="Y424" s="8">
        <f t="shared" si="45"/>
        <v>6558105.2459999993</v>
      </c>
      <c r="Z424" s="36"/>
      <c r="AA424" s="36"/>
      <c r="AB424" s="36"/>
      <c r="AC424" s="36"/>
      <c r="AD424" s="36">
        <v>95980</v>
      </c>
      <c r="AE424" s="36"/>
      <c r="AF424" s="36"/>
      <c r="AG424" s="36"/>
      <c r="AH424" s="36"/>
      <c r="AI424" s="36"/>
      <c r="AJ424" s="36"/>
      <c r="AK424" s="36"/>
      <c r="AL424" s="37">
        <f t="shared" si="46"/>
        <v>95980</v>
      </c>
      <c r="AM424" s="36"/>
      <c r="AN424" s="36"/>
      <c r="AO424" s="36"/>
      <c r="AP424" s="7"/>
      <c r="AQ424" s="38">
        <f t="shared" si="47"/>
        <v>6462125.2459999993</v>
      </c>
      <c r="AR424" s="36">
        <v>6462300</v>
      </c>
      <c r="AS424" s="18">
        <f t="shared" si="48"/>
        <v>174.75400000065565</v>
      </c>
    </row>
    <row r="425" spans="1:45" x14ac:dyDescent="0.25">
      <c r="A425" s="40">
        <v>45713</v>
      </c>
      <c r="B425" s="20">
        <v>1973.175</v>
      </c>
      <c r="C425" s="20">
        <v>2451.2260000000001</v>
      </c>
      <c r="D425" s="20">
        <v>5030</v>
      </c>
      <c r="E425" s="20">
        <v>4799</v>
      </c>
      <c r="F425" s="7">
        <f t="shared" si="42"/>
        <v>9925070.25</v>
      </c>
      <c r="G425" s="7">
        <f t="shared" si="43"/>
        <v>11763433.574000001</v>
      </c>
      <c r="H425" s="20">
        <v>80.5</v>
      </c>
      <c r="I425" s="20">
        <v>1778000</v>
      </c>
      <c r="J425" s="20">
        <v>110</v>
      </c>
      <c r="K425" s="20">
        <v>1410000</v>
      </c>
      <c r="L425" s="20">
        <v>38000</v>
      </c>
      <c r="M425" s="20"/>
      <c r="N425" s="20"/>
      <c r="O425" s="20">
        <v>1912092</v>
      </c>
      <c r="P425" s="20"/>
      <c r="Q425" s="19">
        <f t="shared" si="44"/>
        <v>26826595.824000001</v>
      </c>
      <c r="R425" s="20">
        <v>553494</v>
      </c>
      <c r="S425" s="20">
        <v>5948913</v>
      </c>
      <c r="T425" s="20"/>
      <c r="U425" s="20"/>
      <c r="V425" s="20"/>
      <c r="W425" s="20">
        <v>0</v>
      </c>
      <c r="X425" s="20">
        <v>4689138</v>
      </c>
      <c r="Y425" s="8">
        <f t="shared" si="45"/>
        <v>15635050.824000001</v>
      </c>
      <c r="Z425" s="36"/>
      <c r="AA425" s="36"/>
      <c r="AB425" s="36">
        <v>93900</v>
      </c>
      <c r="AC425" s="36"/>
      <c r="AD425" s="36"/>
      <c r="AE425" s="36"/>
      <c r="AF425" s="36">
        <v>3000</v>
      </c>
      <c r="AG425" s="36"/>
      <c r="AH425" s="36"/>
      <c r="AI425" s="36"/>
      <c r="AJ425" s="36"/>
      <c r="AK425" s="36"/>
      <c r="AL425" s="37">
        <f t="shared" si="46"/>
        <v>96900</v>
      </c>
      <c r="AM425" s="36"/>
      <c r="AN425" s="36"/>
      <c r="AO425" s="36"/>
      <c r="AP425" s="7"/>
      <c r="AQ425" s="38">
        <f t="shared" si="47"/>
        <v>15538150.824000001</v>
      </c>
      <c r="AR425" s="36">
        <v>15538300</v>
      </c>
      <c r="AS425" s="18">
        <f t="shared" si="48"/>
        <v>149.17599999904633</v>
      </c>
    </row>
    <row r="426" spans="1:45" x14ac:dyDescent="0.25">
      <c r="A426" s="40">
        <v>45714</v>
      </c>
      <c r="B426" s="20">
        <v>913.71400000000006</v>
      </c>
      <c r="C426" s="20">
        <v>2375.7310000000002</v>
      </c>
      <c r="D426" s="20">
        <v>5030</v>
      </c>
      <c r="E426" s="20">
        <v>4799</v>
      </c>
      <c r="F426" s="7">
        <f t="shared" si="42"/>
        <v>4595981.42</v>
      </c>
      <c r="G426" s="7">
        <f t="shared" si="43"/>
        <v>11401133.069000002</v>
      </c>
      <c r="H426" s="20">
        <v>66</v>
      </c>
      <c r="I426" s="20">
        <v>1508000</v>
      </c>
      <c r="J426" s="20">
        <v>87.5</v>
      </c>
      <c r="K426" s="20">
        <v>1091000</v>
      </c>
      <c r="L426" s="20">
        <v>63000</v>
      </c>
      <c r="M426" s="20"/>
      <c r="N426" s="20"/>
      <c r="O426" s="20">
        <v>2286000</v>
      </c>
      <c r="P426" s="20"/>
      <c r="Q426" s="19">
        <f t="shared" si="44"/>
        <v>20945114.489</v>
      </c>
      <c r="R426" s="20">
        <v>679775</v>
      </c>
      <c r="S426" s="20">
        <v>5259338</v>
      </c>
      <c r="T426" s="20"/>
      <c r="U426" s="20"/>
      <c r="V426" s="20"/>
      <c r="W426" s="20">
        <v>130000</v>
      </c>
      <c r="X426" s="20">
        <v>6840609</v>
      </c>
      <c r="Y426" s="8">
        <f t="shared" si="45"/>
        <v>8035392.4890000001</v>
      </c>
      <c r="Z426" s="36">
        <v>1253500</v>
      </c>
      <c r="AA426" s="36"/>
      <c r="AB426" s="36"/>
      <c r="AC426" s="36"/>
      <c r="AD426" s="36">
        <v>95980</v>
      </c>
      <c r="AE426" s="36">
        <v>112000</v>
      </c>
      <c r="AF426" s="36">
        <v>3000</v>
      </c>
      <c r="AG426" s="36"/>
      <c r="AH426" s="36"/>
      <c r="AI426" s="36"/>
      <c r="AJ426" s="36"/>
      <c r="AK426" s="36"/>
      <c r="AL426" s="37">
        <f t="shared" si="46"/>
        <v>1464480</v>
      </c>
      <c r="AM426" s="36">
        <v>0</v>
      </c>
      <c r="AN426" s="36"/>
      <c r="AO426" s="36"/>
      <c r="AP426" s="7"/>
      <c r="AQ426" s="38">
        <f t="shared" si="47"/>
        <v>6570912.4890000001</v>
      </c>
      <c r="AR426" s="36">
        <v>6571000</v>
      </c>
      <c r="AS426" s="18">
        <f t="shared" si="48"/>
        <v>87.510999999940395</v>
      </c>
    </row>
    <row r="427" spans="1:45" x14ac:dyDescent="0.25">
      <c r="A427" s="40">
        <v>45715</v>
      </c>
      <c r="B427" s="20">
        <v>455.34</v>
      </c>
      <c r="C427" s="20">
        <v>2261.8389999999999</v>
      </c>
      <c r="D427" s="20">
        <v>5030</v>
      </c>
      <c r="E427" s="20">
        <v>4799</v>
      </c>
      <c r="F427" s="7">
        <f t="shared" si="42"/>
        <v>2290360.1999999997</v>
      </c>
      <c r="G427" s="7">
        <f t="shared" si="43"/>
        <v>10854565.361</v>
      </c>
      <c r="H427" s="20">
        <v>23.75</v>
      </c>
      <c r="I427" s="20">
        <v>508500</v>
      </c>
      <c r="J427" s="20">
        <v>173.5</v>
      </c>
      <c r="K427" s="20">
        <v>1823000</v>
      </c>
      <c r="L427" s="20">
        <v>23000</v>
      </c>
      <c r="M427" s="20"/>
      <c r="N427" s="20"/>
      <c r="O427" s="20">
        <v>95000</v>
      </c>
      <c r="P427" s="20"/>
      <c r="Q427" s="19">
        <f t="shared" si="44"/>
        <v>15594425.560999999</v>
      </c>
      <c r="R427" s="20">
        <v>446171</v>
      </c>
      <c r="S427" s="20">
        <v>3762558</v>
      </c>
      <c r="T427" s="20"/>
      <c r="U427" s="20"/>
      <c r="V427" s="20"/>
      <c r="W427" s="20">
        <v>349230</v>
      </c>
      <c r="X427" s="20">
        <v>5138036</v>
      </c>
      <c r="Y427" s="8">
        <f t="shared" si="45"/>
        <v>5898430.5609999988</v>
      </c>
      <c r="Z427" s="36"/>
      <c r="AA427" s="36"/>
      <c r="AB427" s="36">
        <v>0</v>
      </c>
      <c r="AC427" s="36"/>
      <c r="AD427" s="36"/>
      <c r="AE427" s="36"/>
      <c r="AF427" s="36">
        <v>3000</v>
      </c>
      <c r="AG427" s="36"/>
      <c r="AH427" s="36"/>
      <c r="AI427" s="36"/>
      <c r="AJ427" s="36"/>
      <c r="AK427" s="36"/>
      <c r="AL427" s="37">
        <f t="shared" si="46"/>
        <v>3000</v>
      </c>
      <c r="AM427" s="36">
        <v>210000</v>
      </c>
      <c r="AN427" s="36"/>
      <c r="AO427" s="36"/>
      <c r="AP427" s="7"/>
      <c r="AQ427" s="38">
        <f t="shared" si="47"/>
        <v>5685430.5609999988</v>
      </c>
      <c r="AR427" s="36">
        <v>5685500</v>
      </c>
      <c r="AS427" s="18">
        <f t="shared" si="48"/>
        <v>69.439000001177192</v>
      </c>
    </row>
    <row r="428" spans="1:45" x14ac:dyDescent="0.25">
      <c r="A428" s="40">
        <v>45716</v>
      </c>
      <c r="B428" s="20">
        <v>2261.8000000000002</v>
      </c>
      <c r="C428" s="20">
        <v>1431.731</v>
      </c>
      <c r="D428" s="20">
        <v>5030</v>
      </c>
      <c r="E428" s="20">
        <v>4799</v>
      </c>
      <c r="F428" s="7">
        <f t="shared" si="42"/>
        <v>11376854</v>
      </c>
      <c r="G428" s="7">
        <f t="shared" si="43"/>
        <v>6870877.0690000001</v>
      </c>
      <c r="H428" s="20">
        <v>89.5</v>
      </c>
      <c r="I428" s="20">
        <v>2093500</v>
      </c>
      <c r="J428" s="20">
        <v>126.5</v>
      </c>
      <c r="K428" s="20">
        <v>1759000</v>
      </c>
      <c r="L428" s="20">
        <v>23000</v>
      </c>
      <c r="M428" s="20"/>
      <c r="N428" s="20">
        <v>350000</v>
      </c>
      <c r="O428" s="20">
        <v>780000</v>
      </c>
      <c r="P428" s="20"/>
      <c r="Q428" s="19">
        <f t="shared" si="44"/>
        <v>23253231.068999998</v>
      </c>
      <c r="R428" s="20">
        <v>859192</v>
      </c>
      <c r="S428" s="20">
        <v>2682617</v>
      </c>
      <c r="T428" s="20"/>
      <c r="U428" s="20"/>
      <c r="V428" s="20"/>
      <c r="W428" s="20">
        <v>209000</v>
      </c>
      <c r="X428" s="20">
        <v>4421182</v>
      </c>
      <c r="Y428" s="8">
        <f t="shared" si="45"/>
        <v>15081240.068999998</v>
      </c>
      <c r="Z428" s="36"/>
      <c r="AA428" s="36"/>
      <c r="AB428" s="36">
        <v>661000</v>
      </c>
      <c r="AC428" s="36"/>
      <c r="AD428" s="36"/>
      <c r="AE428" s="36"/>
      <c r="AF428" s="36">
        <v>3000</v>
      </c>
      <c r="AG428" s="36">
        <v>3100000</v>
      </c>
      <c r="AH428" s="36">
        <v>0</v>
      </c>
      <c r="AI428" s="36"/>
      <c r="AJ428" s="36">
        <v>43000</v>
      </c>
      <c r="AK428" s="36"/>
      <c r="AL428" s="37">
        <f t="shared" si="46"/>
        <v>3807000</v>
      </c>
      <c r="AM428" s="36"/>
      <c r="AN428" s="36"/>
      <c r="AO428" s="36"/>
      <c r="AP428" s="7"/>
      <c r="AQ428" s="38">
        <f t="shared" si="47"/>
        <v>11274240.068999998</v>
      </c>
      <c r="AR428" s="36"/>
      <c r="AS428" s="18">
        <f t="shared" si="48"/>
        <v>-11274240.068999998</v>
      </c>
    </row>
    <row r="429" spans="1:45" x14ac:dyDescent="0.25">
      <c r="A429" s="40">
        <v>45717</v>
      </c>
      <c r="B429" s="20">
        <v>1805.0119999999999</v>
      </c>
      <c r="C429" s="20">
        <v>3023.2640000000001</v>
      </c>
      <c r="D429" s="20">
        <v>5030</v>
      </c>
      <c r="E429" s="20">
        <v>4799</v>
      </c>
      <c r="F429" s="7">
        <f t="shared" si="42"/>
        <v>9079210.3599999994</v>
      </c>
      <c r="G429" s="7">
        <f t="shared" si="43"/>
        <v>14508643.936000001</v>
      </c>
      <c r="H429" s="20">
        <v>38.5</v>
      </c>
      <c r="I429" s="20">
        <v>811000</v>
      </c>
      <c r="J429" s="20">
        <v>108.5</v>
      </c>
      <c r="K429" s="20">
        <v>1433000</v>
      </c>
      <c r="L429" s="20">
        <v>75000</v>
      </c>
      <c r="M429" s="20"/>
      <c r="N429" s="20"/>
      <c r="O429" s="20">
        <v>1955572</v>
      </c>
      <c r="P429" s="20"/>
      <c r="Q429" s="19">
        <f t="shared" si="44"/>
        <v>27862426.296</v>
      </c>
      <c r="R429" s="20">
        <v>636091</v>
      </c>
      <c r="S429" s="20">
        <v>10765210</v>
      </c>
      <c r="T429" s="20"/>
      <c r="U429" s="20"/>
      <c r="V429" s="20"/>
      <c r="W429" s="20">
        <v>0</v>
      </c>
      <c r="X429" s="20">
        <v>6675980</v>
      </c>
      <c r="Y429" s="8">
        <f t="shared" si="45"/>
        <v>9785145.2960000001</v>
      </c>
      <c r="Z429" s="36"/>
      <c r="AA429" s="36"/>
      <c r="AB429" s="36">
        <v>0</v>
      </c>
      <c r="AC429" s="36"/>
      <c r="AD429" s="36"/>
      <c r="AE429" s="36">
        <v>1008000</v>
      </c>
      <c r="AF429" s="36">
        <v>61000</v>
      </c>
      <c r="AG429" s="36">
        <v>0</v>
      </c>
      <c r="AH429" s="36">
        <v>70000</v>
      </c>
      <c r="AI429" s="36"/>
      <c r="AJ429" s="36"/>
      <c r="AK429" s="36"/>
      <c r="AL429" s="37">
        <f t="shared" si="46"/>
        <v>1139000</v>
      </c>
      <c r="AM429" s="36"/>
      <c r="AN429" s="36"/>
      <c r="AO429" s="36"/>
      <c r="AP429" s="7"/>
      <c r="AQ429" s="38">
        <f t="shared" si="47"/>
        <v>8646145.2960000001</v>
      </c>
      <c r="AR429" s="36">
        <v>8646200</v>
      </c>
      <c r="AS429" s="18">
        <f t="shared" si="48"/>
        <v>54.703999999910593</v>
      </c>
    </row>
    <row r="430" spans="1:45" x14ac:dyDescent="0.25">
      <c r="A430" s="40">
        <v>45718</v>
      </c>
      <c r="B430" s="20">
        <v>2134.1219999999998</v>
      </c>
      <c r="C430" s="20">
        <v>1439.925</v>
      </c>
      <c r="D430" s="20">
        <v>5030</v>
      </c>
      <c r="E430" s="20">
        <v>4799</v>
      </c>
      <c r="F430" s="7">
        <f t="shared" si="42"/>
        <v>10734633.659999998</v>
      </c>
      <c r="G430" s="7">
        <f t="shared" si="43"/>
        <v>6910200.0750000002</v>
      </c>
      <c r="H430" s="20">
        <v>26.25</v>
      </c>
      <c r="I430" s="20">
        <v>539000</v>
      </c>
      <c r="J430" s="20">
        <v>42.5</v>
      </c>
      <c r="K430" s="20">
        <v>416000</v>
      </c>
      <c r="L430" s="20">
        <v>23000</v>
      </c>
      <c r="M430" s="20"/>
      <c r="N430" s="20"/>
      <c r="O430" s="20"/>
      <c r="P430" s="20"/>
      <c r="Q430" s="19">
        <f t="shared" si="44"/>
        <v>18622833.734999999</v>
      </c>
      <c r="R430" s="20">
        <v>1024741</v>
      </c>
      <c r="S430" s="20">
        <v>1717434</v>
      </c>
      <c r="T430" s="20"/>
      <c r="U430" s="20"/>
      <c r="V430" s="20"/>
      <c r="W430" s="20">
        <v>448000</v>
      </c>
      <c r="X430" s="20">
        <v>3265900</v>
      </c>
      <c r="Y430" s="8">
        <f t="shared" si="45"/>
        <v>12166758.734999999</v>
      </c>
      <c r="Z430" s="36"/>
      <c r="AA430" s="36"/>
      <c r="AB430" s="36"/>
      <c r="AC430" s="36">
        <v>45000</v>
      </c>
      <c r="AD430" s="36"/>
      <c r="AE430" s="36"/>
      <c r="AF430" s="36">
        <v>3000</v>
      </c>
      <c r="AG430" s="36"/>
      <c r="AH430" s="36"/>
      <c r="AI430" s="36">
        <v>20000</v>
      </c>
      <c r="AJ430" s="36"/>
      <c r="AK430" s="36"/>
      <c r="AL430" s="37">
        <f t="shared" si="46"/>
        <v>68000</v>
      </c>
      <c r="AM430" s="36"/>
      <c r="AN430" s="36"/>
      <c r="AO430" s="36"/>
      <c r="AP430" s="7"/>
      <c r="AQ430" s="38">
        <f t="shared" si="47"/>
        <v>12098758.734999999</v>
      </c>
      <c r="AR430" s="36"/>
      <c r="AS430" s="18">
        <f t="shared" si="48"/>
        <v>-12098758.734999999</v>
      </c>
    </row>
    <row r="431" spans="1:45" x14ac:dyDescent="0.25">
      <c r="A431" s="40">
        <v>45719</v>
      </c>
      <c r="B431" s="20">
        <v>1629.6089999999999</v>
      </c>
      <c r="C431" s="20">
        <v>1441.779</v>
      </c>
      <c r="D431" s="20">
        <v>5030</v>
      </c>
      <c r="E431" s="20">
        <v>4799</v>
      </c>
      <c r="F431" s="7">
        <f t="shared" si="42"/>
        <v>8196933.2699999996</v>
      </c>
      <c r="G431" s="7">
        <f t="shared" si="43"/>
        <v>6919097.4210000001</v>
      </c>
      <c r="H431" s="20">
        <v>24.75</v>
      </c>
      <c r="I431" s="20">
        <v>561000</v>
      </c>
      <c r="J431" s="20">
        <v>57</v>
      </c>
      <c r="K431" s="20">
        <v>505000</v>
      </c>
      <c r="L431" s="20">
        <v>15000</v>
      </c>
      <c r="M431" s="20"/>
      <c r="N431" s="20"/>
      <c r="O431" s="20"/>
      <c r="P431" s="20">
        <v>50000</v>
      </c>
      <c r="Q431" s="19">
        <f t="shared" si="44"/>
        <v>16247030.691</v>
      </c>
      <c r="R431" s="20">
        <v>704593</v>
      </c>
      <c r="S431" s="20">
        <v>4635536</v>
      </c>
      <c r="T431" s="20"/>
      <c r="U431" s="20"/>
      <c r="V431" s="20"/>
      <c r="W431" s="20">
        <v>773000</v>
      </c>
      <c r="X431" s="20">
        <v>2765950</v>
      </c>
      <c r="Y431" s="8">
        <f t="shared" si="45"/>
        <v>7367951.6909999996</v>
      </c>
      <c r="Z431" s="36"/>
      <c r="AA431" s="36"/>
      <c r="AB431" s="36"/>
      <c r="AC431" s="36">
        <v>19000</v>
      </c>
      <c r="AD431" s="36"/>
      <c r="AE431" s="36"/>
      <c r="AF431" s="36">
        <v>20000</v>
      </c>
      <c r="AG431" s="36"/>
      <c r="AH431" s="36"/>
      <c r="AI431" s="36"/>
      <c r="AJ431" s="36"/>
      <c r="AK431" s="36"/>
      <c r="AL431" s="37">
        <f t="shared" si="46"/>
        <v>39000</v>
      </c>
      <c r="AM431" s="36"/>
      <c r="AN431" s="36"/>
      <c r="AO431" s="36"/>
      <c r="AP431" s="7"/>
      <c r="AQ431" s="38">
        <f t="shared" si="47"/>
        <v>7328951.6909999996</v>
      </c>
      <c r="AR431" s="36">
        <v>19427800</v>
      </c>
      <c r="AS431" s="18">
        <f t="shared" si="48"/>
        <v>12098848.309</v>
      </c>
    </row>
    <row r="432" spans="1:45" x14ac:dyDescent="0.25">
      <c r="A432" s="40">
        <v>45720</v>
      </c>
      <c r="B432" s="20">
        <v>2075.8200000000002</v>
      </c>
      <c r="C432" s="20">
        <v>2215.6999999999998</v>
      </c>
      <c r="D432" s="20">
        <v>5030</v>
      </c>
      <c r="E432" s="20">
        <v>4799</v>
      </c>
      <c r="F432" s="7">
        <f t="shared" si="42"/>
        <v>10441374.600000001</v>
      </c>
      <c r="G432" s="7">
        <f t="shared" si="43"/>
        <v>10633144.299999999</v>
      </c>
      <c r="H432" s="20">
        <v>58.75</v>
      </c>
      <c r="I432" s="20">
        <v>1346000</v>
      </c>
      <c r="J432" s="20">
        <v>162.5</v>
      </c>
      <c r="K432" s="20">
        <v>1939000</v>
      </c>
      <c r="L432" s="20">
        <v>31000</v>
      </c>
      <c r="M432" s="20"/>
      <c r="N432" s="20">
        <v>1850000</v>
      </c>
      <c r="O432" s="20">
        <v>542700</v>
      </c>
      <c r="P432" s="20"/>
      <c r="Q432" s="19">
        <f t="shared" si="44"/>
        <v>26783218.899999999</v>
      </c>
      <c r="R432" s="20">
        <v>1624003</v>
      </c>
      <c r="S432" s="20">
        <v>7342078</v>
      </c>
      <c r="T432" s="20"/>
      <c r="U432" s="20"/>
      <c r="V432" s="20"/>
      <c r="W432" s="20">
        <v>283042</v>
      </c>
      <c r="X432" s="20">
        <v>9514701</v>
      </c>
      <c r="Y432" s="8">
        <f t="shared" si="45"/>
        <v>8019394.8999999985</v>
      </c>
      <c r="Z432" s="36"/>
      <c r="AA432" s="36"/>
      <c r="AB432" s="36"/>
      <c r="AC432" s="36"/>
      <c r="AD432" s="36"/>
      <c r="AE432" s="36"/>
      <c r="AF432" s="36">
        <v>1923000</v>
      </c>
      <c r="AG432" s="36"/>
      <c r="AH432" s="36">
        <v>16000</v>
      </c>
      <c r="AI432" s="36"/>
      <c r="AJ432" s="36"/>
      <c r="AK432" s="36"/>
      <c r="AL432" s="37">
        <f t="shared" si="46"/>
        <v>1939000</v>
      </c>
      <c r="AM432" s="36"/>
      <c r="AN432" s="36">
        <v>0</v>
      </c>
      <c r="AO432" s="36"/>
      <c r="AP432" s="7"/>
      <c r="AQ432" s="38">
        <f t="shared" si="47"/>
        <v>6080394.8999999985</v>
      </c>
      <c r="AR432" s="36">
        <v>6080400</v>
      </c>
      <c r="AS432" s="18">
        <f t="shared" si="48"/>
        <v>5.1000000014901161</v>
      </c>
    </row>
    <row r="433" spans="1:45" x14ac:dyDescent="0.25">
      <c r="A433" s="40">
        <v>45721</v>
      </c>
      <c r="B433" s="20">
        <v>2057.0970000000002</v>
      </c>
      <c r="C433" s="20">
        <v>2697.5889999999999</v>
      </c>
      <c r="D433" s="20">
        <v>5030</v>
      </c>
      <c r="E433" s="20">
        <v>4799</v>
      </c>
      <c r="F433" s="7">
        <f t="shared" si="42"/>
        <v>10347197.91</v>
      </c>
      <c r="G433" s="7">
        <f t="shared" si="43"/>
        <v>12945729.611</v>
      </c>
      <c r="H433" s="20">
        <v>35</v>
      </c>
      <c r="I433" s="20">
        <v>712500</v>
      </c>
      <c r="J433" s="20">
        <v>180</v>
      </c>
      <c r="K433" s="20">
        <v>1935000</v>
      </c>
      <c r="L433" s="20">
        <v>38000</v>
      </c>
      <c r="M433" s="20"/>
      <c r="N433" s="20"/>
      <c r="O433" s="20">
        <v>1695000</v>
      </c>
      <c r="P433" s="20"/>
      <c r="Q433" s="19">
        <f t="shared" si="44"/>
        <v>27673427.520999998</v>
      </c>
      <c r="R433" s="20">
        <v>449328</v>
      </c>
      <c r="S433" s="20">
        <v>6252573</v>
      </c>
      <c r="T433" s="20"/>
      <c r="U433" s="20"/>
      <c r="V433" s="20"/>
      <c r="W433" s="20">
        <v>0</v>
      </c>
      <c r="X433" s="20">
        <v>9569142</v>
      </c>
      <c r="Y433" s="8">
        <f t="shared" si="45"/>
        <v>11402384.520999998</v>
      </c>
      <c r="Z433" s="36"/>
      <c r="AA433" s="36"/>
      <c r="AB433" s="36"/>
      <c r="AC433" s="36"/>
      <c r="AD433" s="36"/>
      <c r="AE433" s="36"/>
      <c r="AF433" s="36">
        <v>4000000</v>
      </c>
      <c r="AG433" s="36"/>
      <c r="AH433" s="36"/>
      <c r="AI433" s="36"/>
      <c r="AJ433" s="36"/>
      <c r="AK433" s="36"/>
      <c r="AL433" s="37">
        <f t="shared" si="46"/>
        <v>4000000</v>
      </c>
      <c r="AM433" s="36"/>
      <c r="AN433" s="36">
        <v>185000</v>
      </c>
      <c r="AO433" s="36"/>
      <c r="AP433" s="7"/>
      <c r="AQ433" s="38">
        <f t="shared" si="47"/>
        <v>7217384.5209999979</v>
      </c>
      <c r="AR433" s="36">
        <v>7217400</v>
      </c>
      <c r="AS433" s="18">
        <f t="shared" si="48"/>
        <v>15.479000002145767</v>
      </c>
    </row>
    <row r="434" spans="1:45" x14ac:dyDescent="0.25">
      <c r="A434" s="40">
        <v>45722</v>
      </c>
      <c r="B434" s="20">
        <v>1276.287</v>
      </c>
      <c r="C434" s="20">
        <v>1604.309</v>
      </c>
      <c r="D434" s="20">
        <v>5030</v>
      </c>
      <c r="E434" s="20">
        <v>4799</v>
      </c>
      <c r="F434" s="7">
        <f t="shared" si="42"/>
        <v>6419723.6100000003</v>
      </c>
      <c r="G434" s="7">
        <f t="shared" si="43"/>
        <v>7699078.8909999998</v>
      </c>
      <c r="H434" s="20">
        <v>58</v>
      </c>
      <c r="I434" s="20">
        <v>1294000</v>
      </c>
      <c r="J434" s="20">
        <v>116.5</v>
      </c>
      <c r="K434" s="20">
        <v>1274000</v>
      </c>
      <c r="L434" s="20">
        <v>135000</v>
      </c>
      <c r="M434" s="20">
        <v>200000</v>
      </c>
      <c r="N434" s="20"/>
      <c r="O434" s="20">
        <v>0</v>
      </c>
      <c r="P434" s="20"/>
      <c r="Q434" s="19">
        <f t="shared" si="44"/>
        <v>17021802.501000002</v>
      </c>
      <c r="R434" s="20">
        <v>739418</v>
      </c>
      <c r="S434" s="20">
        <v>3545333</v>
      </c>
      <c r="T434" s="20"/>
      <c r="U434" s="20"/>
      <c r="V434" s="20"/>
      <c r="W434" s="20"/>
      <c r="X434" s="20">
        <v>2593802</v>
      </c>
      <c r="Y434" s="8">
        <f t="shared" si="45"/>
        <v>10143249.501000002</v>
      </c>
      <c r="Z434" s="36"/>
      <c r="AA434" s="36"/>
      <c r="AB434" s="36"/>
      <c r="AC434" s="36">
        <v>24000</v>
      </c>
      <c r="AD434" s="36">
        <v>95980</v>
      </c>
      <c r="AE434" s="36"/>
      <c r="AF434" s="36">
        <v>3000</v>
      </c>
      <c r="AG434" s="36"/>
      <c r="AH434" s="36">
        <v>30000</v>
      </c>
      <c r="AI434" s="36"/>
      <c r="AJ434" s="36"/>
      <c r="AK434" s="36"/>
      <c r="AL434" s="37">
        <f t="shared" si="46"/>
        <v>152980</v>
      </c>
      <c r="AM434" s="36"/>
      <c r="AN434" s="36"/>
      <c r="AO434" s="36"/>
      <c r="AP434" s="7"/>
      <c r="AQ434" s="38">
        <f t="shared" si="47"/>
        <v>9990269.501000002</v>
      </c>
      <c r="AR434" s="36">
        <v>9990300</v>
      </c>
      <c r="AS434" s="18">
        <f t="shared" si="48"/>
        <v>30.498999997973442</v>
      </c>
    </row>
    <row r="435" spans="1:45" x14ac:dyDescent="0.25">
      <c r="A435" s="40">
        <v>45723</v>
      </c>
      <c r="B435" s="20">
        <v>1762.2249999999999</v>
      </c>
      <c r="C435" s="20">
        <v>2772.9720000000002</v>
      </c>
      <c r="D435" s="20">
        <v>5030</v>
      </c>
      <c r="E435" s="20">
        <v>4799</v>
      </c>
      <c r="F435" s="7">
        <f t="shared" si="42"/>
        <v>8863991.75</v>
      </c>
      <c r="G435" s="7">
        <f t="shared" si="43"/>
        <v>13307492.628</v>
      </c>
      <c r="H435" s="20">
        <v>62.5</v>
      </c>
      <c r="I435" s="20">
        <v>1375500</v>
      </c>
      <c r="J435" s="20">
        <v>120.5</v>
      </c>
      <c r="K435" s="20">
        <v>773000</v>
      </c>
      <c r="L435" s="20">
        <v>54000</v>
      </c>
      <c r="M435" s="20"/>
      <c r="N435" s="20"/>
      <c r="O435" s="20">
        <v>810000</v>
      </c>
      <c r="P435" s="20"/>
      <c r="Q435" s="19">
        <f t="shared" si="44"/>
        <v>25183984.377999999</v>
      </c>
      <c r="R435" s="20">
        <v>994808</v>
      </c>
      <c r="S435" s="20">
        <v>6970097</v>
      </c>
      <c r="T435" s="20"/>
      <c r="U435" s="20"/>
      <c r="V435" s="20"/>
      <c r="W435" s="20">
        <v>0</v>
      </c>
      <c r="X435" s="20">
        <v>5966353</v>
      </c>
      <c r="Y435" s="8">
        <f t="shared" si="45"/>
        <v>11252726.377999999</v>
      </c>
      <c r="Z435" s="36"/>
      <c r="AA435" s="36"/>
      <c r="AB435" s="36"/>
      <c r="AC435" s="36"/>
      <c r="AD435" s="36">
        <v>95980</v>
      </c>
      <c r="AE435" s="36"/>
      <c r="AF435" s="36">
        <v>10000</v>
      </c>
      <c r="AG435" s="36"/>
      <c r="AH435" s="36"/>
      <c r="AI435" s="36"/>
      <c r="AJ435" s="36"/>
      <c r="AK435" s="36"/>
      <c r="AL435" s="37">
        <f t="shared" si="46"/>
        <v>105980</v>
      </c>
      <c r="AM435" s="36"/>
      <c r="AN435" s="36"/>
      <c r="AO435" s="36"/>
      <c r="AP435" s="7"/>
      <c r="AQ435" s="38">
        <f t="shared" si="47"/>
        <v>11146746.377999999</v>
      </c>
      <c r="AR435" s="36">
        <v>11146700</v>
      </c>
      <c r="AS435" s="18">
        <f t="shared" si="48"/>
        <v>-46.377999998629093</v>
      </c>
    </row>
    <row r="436" spans="1:45" x14ac:dyDescent="0.25">
      <c r="A436" s="40">
        <v>45724</v>
      </c>
      <c r="B436" s="20">
        <v>2251.0230000000001</v>
      </c>
      <c r="C436" s="20">
        <v>1526.155</v>
      </c>
      <c r="D436" s="20">
        <v>5030</v>
      </c>
      <c r="E436" s="20">
        <v>4799</v>
      </c>
      <c r="F436" s="7">
        <f t="shared" si="42"/>
        <v>11322645.690000001</v>
      </c>
      <c r="G436" s="7">
        <f t="shared" si="43"/>
        <v>7324017.8449999997</v>
      </c>
      <c r="H436" s="20">
        <v>16</v>
      </c>
      <c r="I436" s="20">
        <v>316000</v>
      </c>
      <c r="J436" s="20">
        <v>51.5</v>
      </c>
      <c r="K436" s="20">
        <v>635000</v>
      </c>
      <c r="L436" s="20">
        <v>16000</v>
      </c>
      <c r="M436" s="20"/>
      <c r="N436" s="20">
        <v>0</v>
      </c>
      <c r="O436" s="20">
        <v>0</v>
      </c>
      <c r="P436" s="20"/>
      <c r="Q436" s="19">
        <f t="shared" si="44"/>
        <v>19613663.535</v>
      </c>
      <c r="R436" s="20">
        <v>1754317</v>
      </c>
      <c r="S436" s="20">
        <v>4174928</v>
      </c>
      <c r="T436" s="20"/>
      <c r="U436" s="20"/>
      <c r="V436" s="20"/>
      <c r="W436" s="20">
        <v>614665</v>
      </c>
      <c r="X436" s="20">
        <v>3521795</v>
      </c>
      <c r="Y436" s="8">
        <f t="shared" si="45"/>
        <v>9547958.5350000001</v>
      </c>
      <c r="Z436" s="36"/>
      <c r="AA436" s="36">
        <v>4000</v>
      </c>
      <c r="AB436" s="36"/>
      <c r="AC436" s="36"/>
      <c r="AD436" s="36"/>
      <c r="AE436" s="36"/>
      <c r="AF436" s="36">
        <v>2000000</v>
      </c>
      <c r="AG436" s="36">
        <v>8000</v>
      </c>
      <c r="AH436" s="36"/>
      <c r="AI436" s="36"/>
      <c r="AJ436" s="36">
        <v>300000</v>
      </c>
      <c r="AK436" s="36"/>
      <c r="AL436" s="37">
        <f t="shared" si="46"/>
        <v>2312000</v>
      </c>
      <c r="AM436" s="36"/>
      <c r="AN436" s="36"/>
      <c r="AO436" s="36"/>
      <c r="AP436" s="7"/>
      <c r="AQ436" s="38">
        <f t="shared" si="47"/>
        <v>7235958.5350000001</v>
      </c>
      <c r="AR436" s="36">
        <v>0</v>
      </c>
      <c r="AS436" s="18">
        <f t="shared" si="48"/>
        <v>-7235958.5350000001</v>
      </c>
    </row>
    <row r="437" spans="1:45" x14ac:dyDescent="0.25">
      <c r="A437" s="40">
        <v>45725</v>
      </c>
      <c r="B437" s="20">
        <v>1918.5450000000001</v>
      </c>
      <c r="C437" s="20">
        <v>1625.192</v>
      </c>
      <c r="D437" s="20">
        <v>5030</v>
      </c>
      <c r="E437" s="20">
        <v>4799</v>
      </c>
      <c r="F437" s="7">
        <f t="shared" si="42"/>
        <v>9650281.3499999996</v>
      </c>
      <c r="G437" s="7">
        <f t="shared" si="43"/>
        <v>7799296.4079999998</v>
      </c>
      <c r="H437" s="20">
        <v>62.5</v>
      </c>
      <c r="I437" s="20">
        <v>1460000</v>
      </c>
      <c r="J437" s="20">
        <v>91</v>
      </c>
      <c r="K437" s="20">
        <v>1072000</v>
      </c>
      <c r="L437" s="20">
        <v>63000</v>
      </c>
      <c r="M437" s="20"/>
      <c r="N437" s="20"/>
      <c r="O437" s="20">
        <v>820665</v>
      </c>
      <c r="P437" s="20"/>
      <c r="Q437" s="19">
        <f t="shared" si="44"/>
        <v>20865242.758000001</v>
      </c>
      <c r="R437" s="20">
        <v>2201716</v>
      </c>
      <c r="S437" s="20">
        <v>3139152</v>
      </c>
      <c r="T437" s="20"/>
      <c r="U437" s="20"/>
      <c r="V437" s="20"/>
      <c r="W437" s="20">
        <v>0</v>
      </c>
      <c r="X437" s="20">
        <v>10105248</v>
      </c>
      <c r="Y437" s="8">
        <f t="shared" si="45"/>
        <v>5419126.7580000013</v>
      </c>
      <c r="Z437" s="36"/>
      <c r="AA437" s="36"/>
      <c r="AB437" s="36"/>
      <c r="AC437" s="36"/>
      <c r="AD437" s="36"/>
      <c r="AE437" s="36"/>
      <c r="AF437" s="36">
        <v>203000</v>
      </c>
      <c r="AG437" s="36"/>
      <c r="AH437" s="36"/>
      <c r="AI437" s="36"/>
      <c r="AJ437" s="36">
        <v>4000</v>
      </c>
      <c r="AK437" s="36"/>
      <c r="AL437" s="37">
        <f t="shared" si="46"/>
        <v>207000</v>
      </c>
      <c r="AM437" s="36"/>
      <c r="AN437" s="36"/>
      <c r="AO437" s="36"/>
      <c r="AP437" s="7"/>
      <c r="AQ437" s="38">
        <f t="shared" si="47"/>
        <v>5212126.7580000013</v>
      </c>
      <c r="AR437" s="36">
        <v>0</v>
      </c>
      <c r="AS437" s="18">
        <f t="shared" si="48"/>
        <v>-5212126.7580000013</v>
      </c>
    </row>
    <row r="438" spans="1:45" x14ac:dyDescent="0.25">
      <c r="A438" s="40">
        <v>45726</v>
      </c>
      <c r="B438" s="20">
        <v>1671.981</v>
      </c>
      <c r="C438" s="20">
        <v>1366.222</v>
      </c>
      <c r="D438" s="20">
        <v>5030</v>
      </c>
      <c r="E438" s="20">
        <v>4799</v>
      </c>
      <c r="F438" s="7">
        <f t="shared" si="42"/>
        <v>8410064.4299999997</v>
      </c>
      <c r="G438" s="7">
        <f t="shared" si="43"/>
        <v>6556499.3779999996</v>
      </c>
      <c r="H438" s="20">
        <v>62.5</v>
      </c>
      <c r="I438" s="20">
        <v>1459500</v>
      </c>
      <c r="J438" s="20">
        <v>45.5</v>
      </c>
      <c r="K438" s="20">
        <v>398000</v>
      </c>
      <c r="L438" s="20">
        <v>40000</v>
      </c>
      <c r="M438" s="20"/>
      <c r="N438" s="20"/>
      <c r="O438" s="20">
        <v>70000</v>
      </c>
      <c r="P438" s="20"/>
      <c r="Q438" s="19">
        <f t="shared" si="44"/>
        <v>16934063.807999998</v>
      </c>
      <c r="R438" s="20">
        <v>756638</v>
      </c>
      <c r="S438" s="20">
        <v>3073225</v>
      </c>
      <c r="T438" s="20"/>
      <c r="U438" s="20"/>
      <c r="V438" s="20"/>
      <c r="W438" s="20">
        <v>546281</v>
      </c>
      <c r="X438" s="20">
        <v>5388555</v>
      </c>
      <c r="Y438" s="8">
        <f t="shared" si="45"/>
        <v>7169364.8079999983</v>
      </c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>
        <v>500000</v>
      </c>
      <c r="AK438" s="36"/>
      <c r="AL438" s="37">
        <f t="shared" si="46"/>
        <v>500000</v>
      </c>
      <c r="AM438" s="36"/>
      <c r="AN438" s="36"/>
      <c r="AO438" s="36"/>
      <c r="AP438" s="7"/>
      <c r="AQ438" s="38">
        <f t="shared" si="47"/>
        <v>6669364.8079999983</v>
      </c>
      <c r="AR438" s="36">
        <v>19118400</v>
      </c>
      <c r="AS438" s="18">
        <f t="shared" si="48"/>
        <v>12449035.192000002</v>
      </c>
    </row>
    <row r="439" spans="1:45" x14ac:dyDescent="0.25">
      <c r="A439" s="40">
        <v>45727</v>
      </c>
      <c r="B439" s="20">
        <v>1870.23</v>
      </c>
      <c r="C439" s="20">
        <v>2458.1770000000001</v>
      </c>
      <c r="D439" s="20">
        <v>5030</v>
      </c>
      <c r="E439" s="20">
        <v>4799</v>
      </c>
      <c r="F439" s="7">
        <f t="shared" si="42"/>
        <v>9407256.9000000004</v>
      </c>
      <c r="G439" s="7">
        <f t="shared" si="43"/>
        <v>11796791.423</v>
      </c>
      <c r="H439" s="20">
        <v>102.5</v>
      </c>
      <c r="I439" s="20">
        <v>2028500</v>
      </c>
      <c r="J439" s="20">
        <v>97</v>
      </c>
      <c r="K439" s="20">
        <v>1217000</v>
      </c>
      <c r="L439" s="20">
        <v>32000</v>
      </c>
      <c r="M439" s="20"/>
      <c r="N439" s="20"/>
      <c r="O439" s="20">
        <v>1900000</v>
      </c>
      <c r="P439" s="20"/>
      <c r="Q439" s="19">
        <f t="shared" si="44"/>
        <v>26381548.322999999</v>
      </c>
      <c r="R439" s="20">
        <v>1688086</v>
      </c>
      <c r="S439" s="20">
        <v>3735512</v>
      </c>
      <c r="T439" s="20"/>
      <c r="U439" s="20"/>
      <c r="V439" s="20"/>
      <c r="W439" s="20">
        <v>319000</v>
      </c>
      <c r="X439" s="20">
        <v>10878649</v>
      </c>
      <c r="Y439" s="8">
        <f t="shared" si="45"/>
        <v>9760301.3229999989</v>
      </c>
      <c r="Z439" s="36">
        <v>1112700</v>
      </c>
      <c r="AA439" s="36"/>
      <c r="AB439" s="36"/>
      <c r="AC439" s="36"/>
      <c r="AD439" s="36">
        <v>191960</v>
      </c>
      <c r="AE439" s="36"/>
      <c r="AF439" s="36">
        <v>2057000</v>
      </c>
      <c r="AG439" s="36"/>
      <c r="AH439" s="36">
        <v>22000</v>
      </c>
      <c r="AI439" s="36"/>
      <c r="AJ439" s="36"/>
      <c r="AK439" s="36"/>
      <c r="AL439" s="37">
        <f t="shared" si="46"/>
        <v>3383660</v>
      </c>
      <c r="AM439" s="36"/>
      <c r="AN439" s="36"/>
      <c r="AO439" s="36"/>
      <c r="AP439" s="7"/>
      <c r="AQ439" s="38">
        <f t="shared" si="47"/>
        <v>6376641.3229999989</v>
      </c>
      <c r="AR439" s="36">
        <v>6376600</v>
      </c>
      <c r="AS439" s="18">
        <f t="shared" si="48"/>
        <v>-41.322999998927116</v>
      </c>
    </row>
    <row r="440" spans="1:45" x14ac:dyDescent="0.25">
      <c r="A440" s="40">
        <v>45728</v>
      </c>
      <c r="B440" s="20">
        <v>1812.26</v>
      </c>
      <c r="C440" s="20">
        <v>2334.395</v>
      </c>
      <c r="D440" s="20">
        <v>5030</v>
      </c>
      <c r="E440" s="20">
        <v>4799</v>
      </c>
      <c r="F440" s="7">
        <f t="shared" si="42"/>
        <v>9115667.8000000007</v>
      </c>
      <c r="G440" s="7">
        <f t="shared" si="43"/>
        <v>11202761.605</v>
      </c>
      <c r="H440" s="20">
        <v>52</v>
      </c>
      <c r="I440" s="20">
        <v>1194500</v>
      </c>
      <c r="J440" s="20">
        <v>69</v>
      </c>
      <c r="K440" s="20">
        <v>795000</v>
      </c>
      <c r="L440" s="20">
        <v>110000</v>
      </c>
      <c r="M440" s="20"/>
      <c r="N440" s="20"/>
      <c r="O440" s="20">
        <v>3290281</v>
      </c>
      <c r="P440" s="20"/>
      <c r="Q440" s="19">
        <f t="shared" si="44"/>
        <v>25708210.405000001</v>
      </c>
      <c r="R440" s="20">
        <v>841403</v>
      </c>
      <c r="S440" s="20">
        <v>3489879</v>
      </c>
      <c r="T440" s="20"/>
      <c r="U440" s="20"/>
      <c r="V440" s="20"/>
      <c r="W440" s="20">
        <v>340000</v>
      </c>
      <c r="X440" s="20">
        <v>11805710</v>
      </c>
      <c r="Y440" s="8">
        <f t="shared" si="45"/>
        <v>9231218.4050000012</v>
      </c>
      <c r="Z440" s="36"/>
      <c r="AA440" s="36"/>
      <c r="AB440" s="36"/>
      <c r="AC440" s="36"/>
      <c r="AD440" s="36">
        <v>95980</v>
      </c>
      <c r="AE440" s="36"/>
      <c r="AF440" s="36">
        <v>1788000</v>
      </c>
      <c r="AG440" s="36"/>
      <c r="AH440" s="36"/>
      <c r="AI440" s="36"/>
      <c r="AJ440" s="36"/>
      <c r="AK440" s="36"/>
      <c r="AL440" s="37">
        <f t="shared" si="46"/>
        <v>1883980</v>
      </c>
      <c r="AM440" s="36"/>
      <c r="AN440" s="36"/>
      <c r="AO440" s="36"/>
      <c r="AP440" s="7"/>
      <c r="AQ440" s="38">
        <f t="shared" si="47"/>
        <v>7347238.4050000012</v>
      </c>
      <c r="AR440" s="36">
        <v>7347300</v>
      </c>
      <c r="AS440" s="18">
        <f t="shared" si="48"/>
        <v>61.594999998807907</v>
      </c>
    </row>
    <row r="441" spans="1:45" x14ac:dyDescent="0.25">
      <c r="A441" s="40">
        <v>45729</v>
      </c>
      <c r="B441" s="20">
        <v>1936.4860000000001</v>
      </c>
      <c r="C441" s="20">
        <v>1398.83</v>
      </c>
      <c r="D441" s="20">
        <v>5030</v>
      </c>
      <c r="E441" s="20">
        <v>4799</v>
      </c>
      <c r="F441" s="7">
        <f t="shared" si="42"/>
        <v>9740524.5800000001</v>
      </c>
      <c r="G441" s="7">
        <f t="shared" si="43"/>
        <v>6712985.1699999999</v>
      </c>
      <c r="H441" s="20">
        <v>48.25</v>
      </c>
      <c r="I441" s="20">
        <v>1229000</v>
      </c>
      <c r="J441" s="20">
        <v>102</v>
      </c>
      <c r="K441" s="20">
        <v>1318000</v>
      </c>
      <c r="L441" s="20">
        <v>87000</v>
      </c>
      <c r="M441" s="20"/>
      <c r="N441" s="20">
        <v>300000</v>
      </c>
      <c r="O441" s="20">
        <v>340000</v>
      </c>
      <c r="P441" s="20"/>
      <c r="Q441" s="19">
        <f t="shared" si="44"/>
        <v>19727509.75</v>
      </c>
      <c r="R441" s="20">
        <v>2109001</v>
      </c>
      <c r="S441" s="20">
        <v>2984895</v>
      </c>
      <c r="T441" s="20"/>
      <c r="U441" s="20"/>
      <c r="V441" s="20"/>
      <c r="W441" s="20">
        <v>110000</v>
      </c>
      <c r="X441" s="20">
        <v>7788465</v>
      </c>
      <c r="Y441" s="8">
        <f t="shared" si="45"/>
        <v>6735148.75</v>
      </c>
      <c r="Z441" s="36"/>
      <c r="AA441" s="36"/>
      <c r="AB441" s="36"/>
      <c r="AC441" s="36"/>
      <c r="AD441" s="36">
        <v>191960</v>
      </c>
      <c r="AE441" s="36"/>
      <c r="AF441" s="36">
        <v>3000</v>
      </c>
      <c r="AG441" s="36"/>
      <c r="AH441" s="36"/>
      <c r="AI441" s="36"/>
      <c r="AJ441" s="36">
        <v>200000</v>
      </c>
      <c r="AK441" s="36"/>
      <c r="AL441" s="37">
        <f t="shared" si="46"/>
        <v>394960</v>
      </c>
      <c r="AM441" s="36"/>
      <c r="AN441" s="36"/>
      <c r="AO441" s="36"/>
      <c r="AP441" s="7"/>
      <c r="AQ441" s="38">
        <f t="shared" si="47"/>
        <v>6340188.75</v>
      </c>
      <c r="AR441" s="36">
        <v>6340200</v>
      </c>
      <c r="AS441" s="18">
        <f t="shared" si="48"/>
        <v>11.25</v>
      </c>
    </row>
    <row r="442" spans="1:45" x14ac:dyDescent="0.25">
      <c r="A442" s="40">
        <v>45730</v>
      </c>
      <c r="B442" s="20">
        <v>1595</v>
      </c>
      <c r="C442" s="20">
        <v>2023.09</v>
      </c>
      <c r="D442" s="20">
        <v>5030</v>
      </c>
      <c r="E442" s="20">
        <v>4799</v>
      </c>
      <c r="F442" s="7">
        <f t="shared" si="42"/>
        <v>8022850</v>
      </c>
      <c r="G442" s="7">
        <f t="shared" si="43"/>
        <v>9708808.9100000001</v>
      </c>
      <c r="H442" s="20">
        <v>67</v>
      </c>
      <c r="I442" s="20">
        <v>1492500</v>
      </c>
      <c r="J442" s="20">
        <v>79</v>
      </c>
      <c r="K442" s="20">
        <v>963000</v>
      </c>
      <c r="L442" s="20">
        <v>23000</v>
      </c>
      <c r="M442" s="20"/>
      <c r="N442" s="20"/>
      <c r="O442" s="20">
        <v>0</v>
      </c>
      <c r="P442" s="20"/>
      <c r="Q442" s="19">
        <f t="shared" si="44"/>
        <v>20210158.91</v>
      </c>
      <c r="R442" s="20">
        <v>1287445</v>
      </c>
      <c r="S442" s="20">
        <v>2163632</v>
      </c>
      <c r="T442" s="36"/>
      <c r="U442" s="36"/>
      <c r="V442" s="36"/>
      <c r="W442" s="36">
        <v>40000</v>
      </c>
      <c r="X442" s="36">
        <v>10178375</v>
      </c>
      <c r="Y442" s="8">
        <f t="shared" si="45"/>
        <v>6540706.9100000001</v>
      </c>
      <c r="Z442" s="36"/>
      <c r="AA442" s="36"/>
      <c r="AB442" s="36"/>
      <c r="AC442" s="36"/>
      <c r="AD442" s="36"/>
      <c r="AE442" s="36">
        <v>4000</v>
      </c>
      <c r="AF442" s="36">
        <v>3000</v>
      </c>
      <c r="AG442" s="36"/>
      <c r="AH442" s="36"/>
      <c r="AI442" s="36"/>
      <c r="AJ442" s="36"/>
      <c r="AK442" s="36"/>
      <c r="AL442" s="37">
        <f t="shared" si="46"/>
        <v>7000</v>
      </c>
      <c r="AM442" s="36"/>
      <c r="AN442" s="36"/>
      <c r="AO442" s="36"/>
      <c r="AP442" s="7"/>
      <c r="AQ442" s="38">
        <f t="shared" si="47"/>
        <v>6533706.9100000001</v>
      </c>
      <c r="AR442" s="36">
        <v>6533700</v>
      </c>
      <c r="AS442" s="18">
        <f t="shared" si="48"/>
        <v>-6.9100000001490116</v>
      </c>
    </row>
    <row r="443" spans="1:45" x14ac:dyDescent="0.25">
      <c r="A443" s="40">
        <v>45731</v>
      </c>
      <c r="B443" s="20">
        <v>1980.04</v>
      </c>
      <c r="C443" s="20">
        <v>1657.1130000000001</v>
      </c>
      <c r="D443" s="20">
        <v>5030</v>
      </c>
      <c r="E443" s="20">
        <v>4799</v>
      </c>
      <c r="F443" s="7">
        <f t="shared" si="42"/>
        <v>9959601.1999999993</v>
      </c>
      <c r="G443" s="7">
        <f t="shared" si="43"/>
        <v>7952485.2870000005</v>
      </c>
      <c r="H443" s="20">
        <v>30</v>
      </c>
      <c r="I443" s="20">
        <v>742500</v>
      </c>
      <c r="J443" s="20">
        <v>55</v>
      </c>
      <c r="K443" s="20">
        <v>712000</v>
      </c>
      <c r="L443" s="20">
        <v>8000</v>
      </c>
      <c r="M443" s="20"/>
      <c r="N443" s="20"/>
      <c r="O443" s="20">
        <v>987000</v>
      </c>
      <c r="P443" s="20"/>
      <c r="Q443" s="19">
        <f t="shared" si="44"/>
        <v>20361586.487</v>
      </c>
      <c r="R443" s="20">
        <v>1622944</v>
      </c>
      <c r="S443" s="20">
        <v>7243507</v>
      </c>
      <c r="T443" s="20"/>
      <c r="U443" s="20"/>
      <c r="V443" s="20"/>
      <c r="W443" s="20">
        <v>110000</v>
      </c>
      <c r="X443" s="20">
        <v>6050054</v>
      </c>
      <c r="Y443" s="8">
        <f t="shared" si="45"/>
        <v>5335081.4869999997</v>
      </c>
      <c r="Z443" s="36"/>
      <c r="AA443" s="36"/>
      <c r="AB443" s="36"/>
      <c r="AC443" s="36"/>
      <c r="AD443" s="36"/>
      <c r="AE443" s="36"/>
      <c r="AF443" s="36">
        <v>0</v>
      </c>
      <c r="AG443" s="36"/>
      <c r="AH443" s="36"/>
      <c r="AI443" s="36"/>
      <c r="AJ443" s="36"/>
      <c r="AK443" s="36"/>
      <c r="AL443" s="37">
        <f t="shared" si="46"/>
        <v>0</v>
      </c>
      <c r="AM443" s="36"/>
      <c r="AN443" s="36"/>
      <c r="AO443" s="36"/>
      <c r="AP443" s="7"/>
      <c r="AQ443" s="38">
        <f t="shared" si="47"/>
        <v>5335081.4869999997</v>
      </c>
      <c r="AR443" s="36">
        <v>5335100</v>
      </c>
      <c r="AS443" s="18">
        <f t="shared" si="48"/>
        <v>18.513000000268221</v>
      </c>
    </row>
    <row r="444" spans="1:45" x14ac:dyDescent="0.25">
      <c r="A444" s="40">
        <v>45732</v>
      </c>
      <c r="B444" s="20">
        <v>2254.712</v>
      </c>
      <c r="C444" s="20">
        <v>1649.9970000000001</v>
      </c>
      <c r="D444" s="20">
        <v>5030</v>
      </c>
      <c r="E444" s="20">
        <v>4799</v>
      </c>
      <c r="F444" s="7">
        <f t="shared" si="42"/>
        <v>11341201.359999999</v>
      </c>
      <c r="G444" s="7">
        <f t="shared" si="43"/>
        <v>7918335.6030000001</v>
      </c>
      <c r="H444" s="20">
        <v>21.5</v>
      </c>
      <c r="I444" s="20">
        <v>462500</v>
      </c>
      <c r="J444" s="20">
        <v>88</v>
      </c>
      <c r="K444" s="20">
        <v>960200</v>
      </c>
      <c r="L444" s="20">
        <v>16000</v>
      </c>
      <c r="M444" s="20">
        <v>300000</v>
      </c>
      <c r="N444" s="20"/>
      <c r="O444" s="20">
        <v>0</v>
      </c>
      <c r="P444" s="20"/>
      <c r="Q444" s="19">
        <f t="shared" si="44"/>
        <v>20998236.963</v>
      </c>
      <c r="R444" s="20">
        <v>1019310</v>
      </c>
      <c r="S444" s="20">
        <v>3027511</v>
      </c>
      <c r="T444" s="20"/>
      <c r="U444" s="20"/>
      <c r="V444" s="20"/>
      <c r="W444" s="20">
        <v>129000</v>
      </c>
      <c r="X444" s="36">
        <v>10433356</v>
      </c>
      <c r="Y444" s="8">
        <f t="shared" si="45"/>
        <v>6389059.9629999995</v>
      </c>
      <c r="Z444" s="36"/>
      <c r="AA444" s="36"/>
      <c r="AB444" s="36"/>
      <c r="AC444" s="36"/>
      <c r="AD444" s="36"/>
      <c r="AE444" s="36"/>
      <c r="AF444" s="36">
        <v>106000</v>
      </c>
      <c r="AG444" s="36"/>
      <c r="AH444" s="36"/>
      <c r="AI444" s="36"/>
      <c r="AJ444" s="36"/>
      <c r="AK444" s="36"/>
      <c r="AL444" s="37">
        <f t="shared" si="46"/>
        <v>106000</v>
      </c>
      <c r="AM444" s="36"/>
      <c r="AN444" s="36"/>
      <c r="AO444" s="36"/>
      <c r="AP444" s="7"/>
      <c r="AQ444" s="38">
        <f t="shared" si="47"/>
        <v>6283059.9629999995</v>
      </c>
      <c r="AR444" s="36">
        <v>0</v>
      </c>
      <c r="AS444" s="18">
        <f t="shared" si="48"/>
        <v>-6283059.9629999995</v>
      </c>
    </row>
    <row r="445" spans="1:45" x14ac:dyDescent="0.25">
      <c r="A445" s="40">
        <v>45733</v>
      </c>
      <c r="B445" s="20">
        <v>1675.922</v>
      </c>
      <c r="C445" s="20">
        <v>2718.2559999999999</v>
      </c>
      <c r="D445" s="20">
        <v>5070</v>
      </c>
      <c r="E445" s="20">
        <v>4830</v>
      </c>
      <c r="F445" s="7">
        <f t="shared" si="42"/>
        <v>8496924.540000001</v>
      </c>
      <c r="G445" s="7">
        <f t="shared" si="43"/>
        <v>13129176.479999999</v>
      </c>
      <c r="H445" s="20">
        <v>37</v>
      </c>
      <c r="I445" s="20">
        <v>811000</v>
      </c>
      <c r="J445" s="20">
        <v>63.5</v>
      </c>
      <c r="K445" s="20">
        <v>603000</v>
      </c>
      <c r="L445" s="20">
        <v>15000</v>
      </c>
      <c r="M445" s="20"/>
      <c r="N445" s="20"/>
      <c r="O445" s="20"/>
      <c r="P445" s="20">
        <v>25000</v>
      </c>
      <c r="Q445" s="19">
        <f t="shared" si="44"/>
        <v>23080101.02</v>
      </c>
      <c r="R445" s="20">
        <v>283024</v>
      </c>
      <c r="S445" s="20">
        <v>2103773</v>
      </c>
      <c r="T445" s="20"/>
      <c r="U445" s="20"/>
      <c r="V445" s="20"/>
      <c r="W445" s="20">
        <v>472300</v>
      </c>
      <c r="X445" s="20">
        <v>13845959</v>
      </c>
      <c r="Y445" s="8">
        <f t="shared" si="45"/>
        <v>6375045.0199999996</v>
      </c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>
        <f t="shared" si="46"/>
        <v>0</v>
      </c>
      <c r="AM445" s="36"/>
      <c r="AN445" s="36"/>
      <c r="AO445" s="36"/>
      <c r="AP445" s="7"/>
      <c r="AQ445" s="38">
        <f t="shared" si="47"/>
        <v>6375045.0199999996</v>
      </c>
      <c r="AR445" s="36">
        <v>12734000</v>
      </c>
      <c r="AS445" s="18">
        <f t="shared" si="48"/>
        <v>6358954.9800000004</v>
      </c>
    </row>
    <row r="446" spans="1:45" x14ac:dyDescent="0.25">
      <c r="A446" s="40">
        <v>45734</v>
      </c>
      <c r="B446" s="20">
        <v>1850.3130000000001</v>
      </c>
      <c r="C446" s="20">
        <v>2482.991</v>
      </c>
      <c r="D446" s="20">
        <v>5070</v>
      </c>
      <c r="E446" s="20">
        <v>4830</v>
      </c>
      <c r="F446" s="7">
        <f t="shared" si="42"/>
        <v>9381086.9100000001</v>
      </c>
      <c r="G446" s="7">
        <f t="shared" si="43"/>
        <v>11992846.529999999</v>
      </c>
      <c r="H446" s="20">
        <v>177.75</v>
      </c>
      <c r="I446" s="20">
        <v>3887500</v>
      </c>
      <c r="J446" s="20">
        <v>133.5</v>
      </c>
      <c r="K446" s="20">
        <v>1304000</v>
      </c>
      <c r="L446" s="20">
        <v>105000</v>
      </c>
      <c r="M446" s="20">
        <v>80000</v>
      </c>
      <c r="N446" s="20"/>
      <c r="O446" s="20">
        <v>1650100</v>
      </c>
      <c r="P446" s="20"/>
      <c r="Q446" s="19">
        <f t="shared" si="44"/>
        <v>28400533.439999998</v>
      </c>
      <c r="R446" s="20">
        <v>506552</v>
      </c>
      <c r="S446" s="20">
        <v>3190708</v>
      </c>
      <c r="T446" s="20"/>
      <c r="U446" s="20"/>
      <c r="V446" s="20"/>
      <c r="W446" s="20">
        <v>227500</v>
      </c>
      <c r="X446" s="20">
        <v>13119275</v>
      </c>
      <c r="Y446" s="8">
        <f t="shared" si="45"/>
        <v>11356498.439999998</v>
      </c>
      <c r="Z446" s="36"/>
      <c r="AA446" s="36"/>
      <c r="AB446" s="36"/>
      <c r="AC446" s="36"/>
      <c r="AD446" s="36"/>
      <c r="AE446" s="36"/>
      <c r="AF446" s="36">
        <v>503000</v>
      </c>
      <c r="AG446" s="36"/>
      <c r="AH446" s="36"/>
      <c r="AI446" s="36"/>
      <c r="AJ446" s="36"/>
      <c r="AK446" s="36"/>
      <c r="AL446" s="37">
        <f t="shared" si="46"/>
        <v>503000</v>
      </c>
      <c r="AM446" s="36"/>
      <c r="AN446" s="36"/>
      <c r="AO446" s="36"/>
      <c r="AP446" s="7"/>
      <c r="AQ446" s="38">
        <f t="shared" si="47"/>
        <v>10853498.439999998</v>
      </c>
      <c r="AR446" s="36">
        <v>10853700</v>
      </c>
      <c r="AS446" s="18">
        <f t="shared" si="48"/>
        <v>201.56000000238419</v>
      </c>
    </row>
    <row r="447" spans="1:45" x14ac:dyDescent="0.25">
      <c r="A447" s="40">
        <v>45735</v>
      </c>
      <c r="B447" s="20">
        <v>1679.19</v>
      </c>
      <c r="C447" s="20">
        <v>1629.12</v>
      </c>
      <c r="D447" s="20">
        <v>5070</v>
      </c>
      <c r="E447" s="20">
        <v>4830</v>
      </c>
      <c r="F447" s="7">
        <f t="shared" si="42"/>
        <v>8513493.3000000007</v>
      </c>
      <c r="G447" s="7">
        <f t="shared" si="43"/>
        <v>7868649.5999999996</v>
      </c>
      <c r="H447" s="20">
        <v>67.75</v>
      </c>
      <c r="I447" s="20">
        <v>1532500</v>
      </c>
      <c r="J447" s="20">
        <v>90.5</v>
      </c>
      <c r="K447" s="20">
        <v>1099000</v>
      </c>
      <c r="L447" s="20">
        <v>30000</v>
      </c>
      <c r="M447" s="20"/>
      <c r="N447" s="20">
        <v>0</v>
      </c>
      <c r="O447" s="20"/>
      <c r="P447" s="20"/>
      <c r="Q447" s="19">
        <f t="shared" si="44"/>
        <v>19043642.899999999</v>
      </c>
      <c r="R447" s="20">
        <v>379024</v>
      </c>
      <c r="S447" s="20">
        <v>4709684</v>
      </c>
      <c r="T447" s="20"/>
      <c r="U447" s="20"/>
      <c r="V447" s="20"/>
      <c r="W447" s="20">
        <v>208500</v>
      </c>
      <c r="X447" s="20">
        <v>6126971</v>
      </c>
      <c r="Y447" s="8">
        <f t="shared" si="45"/>
        <v>7619463.8999999985</v>
      </c>
      <c r="Z447" s="36"/>
      <c r="AA447" s="36"/>
      <c r="AB447" s="36"/>
      <c r="AC447" s="36"/>
      <c r="AD447" s="36"/>
      <c r="AE447" s="36"/>
      <c r="AF447" s="36">
        <v>89000</v>
      </c>
      <c r="AG447" s="36"/>
      <c r="AH447" s="36">
        <v>19000</v>
      </c>
      <c r="AI447" s="36"/>
      <c r="AJ447" s="36"/>
      <c r="AK447" s="36"/>
      <c r="AL447" s="37">
        <f t="shared" si="46"/>
        <v>108000</v>
      </c>
      <c r="AM447" s="36"/>
      <c r="AN447" s="36"/>
      <c r="AO447" s="36"/>
      <c r="AP447" s="7"/>
      <c r="AQ447" s="38">
        <f t="shared" si="47"/>
        <v>7511463.8999999985</v>
      </c>
      <c r="AR447" s="36">
        <v>7511500</v>
      </c>
      <c r="AS447" s="18">
        <f t="shared" si="48"/>
        <v>36.100000001490116</v>
      </c>
    </row>
    <row r="448" spans="1:45" x14ac:dyDescent="0.25">
      <c r="A448" s="40">
        <v>45736</v>
      </c>
      <c r="B448" s="20">
        <v>1809.1769999999999</v>
      </c>
      <c r="C448" s="20">
        <v>1921.704</v>
      </c>
      <c r="D448" s="20">
        <v>5070</v>
      </c>
      <c r="E448" s="20">
        <v>4830</v>
      </c>
      <c r="F448" s="7">
        <f t="shared" si="42"/>
        <v>9172527.3899999987</v>
      </c>
      <c r="G448" s="7">
        <f t="shared" si="43"/>
        <v>9281830.3200000003</v>
      </c>
      <c r="H448" s="20">
        <v>26.5</v>
      </c>
      <c r="I448" s="20">
        <v>577500</v>
      </c>
      <c r="J448" s="20">
        <v>92.5</v>
      </c>
      <c r="K448" s="20">
        <v>844000</v>
      </c>
      <c r="L448" s="20">
        <v>30000</v>
      </c>
      <c r="M448" s="20"/>
      <c r="N448" s="20"/>
      <c r="O448" s="20">
        <v>2097300</v>
      </c>
      <c r="P448" s="20">
        <v>0</v>
      </c>
      <c r="Q448" s="19">
        <f t="shared" si="44"/>
        <v>22003157.710000001</v>
      </c>
      <c r="R448" s="20">
        <v>727733</v>
      </c>
      <c r="S448" s="20">
        <v>8009894</v>
      </c>
      <c r="T448" s="20"/>
      <c r="U448" s="20"/>
      <c r="V448" s="20"/>
      <c r="W448" s="20">
        <v>49500</v>
      </c>
      <c r="X448" s="20">
        <v>7866893</v>
      </c>
      <c r="Y448" s="8">
        <f t="shared" si="45"/>
        <v>5349137.7100000009</v>
      </c>
      <c r="Z448" s="36"/>
      <c r="AA448" s="36"/>
      <c r="AB448" s="36"/>
      <c r="AC448" s="36"/>
      <c r="AD448" s="36"/>
      <c r="AE448" s="36"/>
      <c r="AF448" s="36">
        <v>3000</v>
      </c>
      <c r="AG448" s="36"/>
      <c r="AH448" s="36"/>
      <c r="AI448" s="36"/>
      <c r="AJ448" s="36"/>
      <c r="AK448" s="36"/>
      <c r="AL448" s="37">
        <f t="shared" si="46"/>
        <v>3000</v>
      </c>
      <c r="AM448" s="36"/>
      <c r="AN448" s="36"/>
      <c r="AO448" s="36"/>
      <c r="AP448" s="7"/>
      <c r="AQ448" s="38">
        <f t="shared" si="47"/>
        <v>5346137.7100000009</v>
      </c>
      <c r="AR448" s="36">
        <v>5346200</v>
      </c>
      <c r="AS448" s="18">
        <f t="shared" si="48"/>
        <v>62.28999999910593</v>
      </c>
    </row>
    <row r="449" spans="1:45" x14ac:dyDescent="0.25">
      <c r="A449" s="40">
        <v>45737</v>
      </c>
      <c r="B449" s="20">
        <v>1791.3209999999999</v>
      </c>
      <c r="C449" s="20">
        <v>1673.548</v>
      </c>
      <c r="D449" s="20">
        <v>5070</v>
      </c>
      <c r="E449" s="20">
        <v>4830</v>
      </c>
      <c r="F449" s="7">
        <f t="shared" si="42"/>
        <v>9081997.4699999988</v>
      </c>
      <c r="G449" s="7">
        <f t="shared" si="43"/>
        <v>8083236.8399999999</v>
      </c>
      <c r="H449" s="20">
        <v>43.5</v>
      </c>
      <c r="I449" s="20">
        <v>969000</v>
      </c>
      <c r="J449" s="20">
        <v>66.5</v>
      </c>
      <c r="K449" s="20">
        <v>861000</v>
      </c>
      <c r="L449" s="20">
        <v>31000</v>
      </c>
      <c r="M449" s="20"/>
      <c r="N449" s="20"/>
      <c r="O449" s="20">
        <v>252000</v>
      </c>
      <c r="P449" s="20"/>
      <c r="Q449" s="19">
        <f t="shared" si="44"/>
        <v>19278234.309999999</v>
      </c>
      <c r="R449" s="20">
        <v>1188154</v>
      </c>
      <c r="S449" s="20">
        <v>2085099</v>
      </c>
      <c r="T449" s="20"/>
      <c r="U449" s="20"/>
      <c r="V449" s="20"/>
      <c r="W449" s="20">
        <v>0</v>
      </c>
      <c r="X449" s="20">
        <v>9077250</v>
      </c>
      <c r="Y449" s="8">
        <f t="shared" si="45"/>
        <v>6927731.3099999987</v>
      </c>
      <c r="Z449" s="36"/>
      <c r="AA449" s="36"/>
      <c r="AB449" s="36"/>
      <c r="AC449" s="36"/>
      <c r="AD449" s="36"/>
      <c r="AE449" s="36"/>
      <c r="AF449" s="36">
        <v>3000</v>
      </c>
      <c r="AG449" s="36"/>
      <c r="AH449" s="36"/>
      <c r="AI449" s="36"/>
      <c r="AJ449" s="36"/>
      <c r="AK449" s="36"/>
      <c r="AL449" s="37">
        <f t="shared" si="46"/>
        <v>3000</v>
      </c>
      <c r="AM449" s="36"/>
      <c r="AN449" s="36"/>
      <c r="AO449" s="36"/>
      <c r="AP449" s="7"/>
      <c r="AQ449" s="38">
        <f t="shared" si="47"/>
        <v>6924731.3099999987</v>
      </c>
      <c r="AR449" s="36">
        <v>6924700</v>
      </c>
      <c r="AS449" s="18">
        <f t="shared" si="48"/>
        <v>-31.309999998658895</v>
      </c>
    </row>
    <row r="450" spans="1:45" x14ac:dyDescent="0.25">
      <c r="A450" s="40">
        <v>45738</v>
      </c>
      <c r="B450" s="20">
        <v>2414.2359999999999</v>
      </c>
      <c r="C450" s="20">
        <v>2496.672</v>
      </c>
      <c r="D450" s="20">
        <v>5070</v>
      </c>
      <c r="E450" s="20">
        <v>4830</v>
      </c>
      <c r="F450" s="7">
        <f t="shared" si="42"/>
        <v>12240176.52</v>
      </c>
      <c r="G450" s="7">
        <f t="shared" si="43"/>
        <v>12058925.76</v>
      </c>
      <c r="H450" s="20">
        <v>54</v>
      </c>
      <c r="I450" s="20">
        <v>1198000</v>
      </c>
      <c r="J450" s="20">
        <v>70</v>
      </c>
      <c r="K450" s="20">
        <v>734000</v>
      </c>
      <c r="L450" s="20">
        <v>138000</v>
      </c>
      <c r="M450" s="20"/>
      <c r="N450" s="20"/>
      <c r="O450" s="20"/>
      <c r="P450" s="20"/>
      <c r="Q450" s="19">
        <f t="shared" si="44"/>
        <v>26369102.280000001</v>
      </c>
      <c r="R450" s="20">
        <v>846715</v>
      </c>
      <c r="S450" s="20">
        <v>4041085</v>
      </c>
      <c r="T450" s="20"/>
      <c r="U450" s="20"/>
      <c r="V450" s="20"/>
      <c r="W450" s="20">
        <v>353500</v>
      </c>
      <c r="X450" s="20">
        <v>13259370</v>
      </c>
      <c r="Y450" s="8">
        <f t="shared" si="45"/>
        <v>7868432.2800000012</v>
      </c>
      <c r="Z450" s="36"/>
      <c r="AA450" s="36"/>
      <c r="AB450" s="36"/>
      <c r="AC450" s="36"/>
      <c r="AD450" s="36">
        <v>96600</v>
      </c>
      <c r="AE450" s="36"/>
      <c r="AF450" s="36">
        <v>3000</v>
      </c>
      <c r="AG450" s="36"/>
      <c r="AH450" s="36"/>
      <c r="AI450" s="36"/>
      <c r="AJ450" s="36"/>
      <c r="AK450" s="36"/>
      <c r="AL450" s="37">
        <f t="shared" si="46"/>
        <v>99600</v>
      </c>
      <c r="AM450" s="36"/>
      <c r="AN450" s="36"/>
      <c r="AO450" s="36"/>
      <c r="AP450" s="7"/>
      <c r="AQ450" s="38">
        <f t="shared" si="47"/>
        <v>7768832.2800000012</v>
      </c>
      <c r="AR450" s="36">
        <v>7769000</v>
      </c>
      <c r="AS450" s="18">
        <f t="shared" si="48"/>
        <v>167.71999999880791</v>
      </c>
    </row>
    <row r="451" spans="1:45" x14ac:dyDescent="0.25">
      <c r="A451" s="40">
        <v>45739</v>
      </c>
      <c r="B451" s="20">
        <v>2240.8200000000002</v>
      </c>
      <c r="C451" s="20">
        <v>2218.33</v>
      </c>
      <c r="D451" s="20">
        <v>5070</v>
      </c>
      <c r="E451" s="20">
        <v>4830</v>
      </c>
      <c r="F451" s="7">
        <f t="shared" si="42"/>
        <v>11360957.4</v>
      </c>
      <c r="G451" s="7">
        <f t="shared" si="43"/>
        <v>10714533.9</v>
      </c>
      <c r="H451" s="20">
        <v>56.5</v>
      </c>
      <c r="I451" s="20">
        <v>1239000</v>
      </c>
      <c r="J451" s="20">
        <v>36</v>
      </c>
      <c r="K451" s="20">
        <v>364000</v>
      </c>
      <c r="L451" s="20">
        <v>80000</v>
      </c>
      <c r="M451" s="20"/>
      <c r="N451" s="20">
        <v>500000</v>
      </c>
      <c r="O451" s="20">
        <v>150000</v>
      </c>
      <c r="P451" s="20"/>
      <c r="Q451" s="19">
        <f t="shared" si="44"/>
        <v>24408491.300000001</v>
      </c>
      <c r="R451" s="20">
        <v>408378</v>
      </c>
      <c r="S451" s="20">
        <v>3414578</v>
      </c>
      <c r="T451" s="20"/>
      <c r="U451" s="20"/>
      <c r="V451" s="20"/>
      <c r="W451" s="20">
        <v>259000</v>
      </c>
      <c r="X451" s="20">
        <v>13545650</v>
      </c>
      <c r="Y451" s="8">
        <f t="shared" si="45"/>
        <v>6780885.3000000007</v>
      </c>
      <c r="Z451" s="36"/>
      <c r="AA451" s="36"/>
      <c r="AB451" s="36"/>
      <c r="AC451" s="36"/>
      <c r="AD451" s="36"/>
      <c r="AE451" s="36"/>
      <c r="AF451" s="36">
        <v>3000</v>
      </c>
      <c r="AG451" s="36"/>
      <c r="AH451" s="36"/>
      <c r="AI451" s="36"/>
      <c r="AJ451" s="36">
        <v>520000</v>
      </c>
      <c r="AK451" s="36"/>
      <c r="AL451" s="37">
        <f t="shared" si="46"/>
        <v>523000</v>
      </c>
      <c r="AM451" s="36"/>
      <c r="AN451" s="36"/>
      <c r="AO451" s="36"/>
      <c r="AP451" s="7"/>
      <c r="AQ451" s="38">
        <f t="shared" si="47"/>
        <v>6257885.3000000007</v>
      </c>
      <c r="AR451" s="36">
        <v>0</v>
      </c>
      <c r="AS451" s="18">
        <f t="shared" si="48"/>
        <v>-6257885.3000000007</v>
      </c>
    </row>
    <row r="452" spans="1:45" x14ac:dyDescent="0.25">
      <c r="A452" s="40">
        <v>45740</v>
      </c>
      <c r="B452" s="20">
        <v>1515.85</v>
      </c>
      <c r="C452" s="20">
        <v>1430.383</v>
      </c>
      <c r="D452" s="20">
        <v>5070</v>
      </c>
      <c r="E452" s="20">
        <v>4830</v>
      </c>
      <c r="F452" s="7">
        <f t="shared" ref="F452:F515" si="49">B452*D452</f>
        <v>7685359.5</v>
      </c>
      <c r="G452" s="7">
        <f t="shared" ref="G452:G515" si="50">C452*E452</f>
        <v>6908749.8900000006</v>
      </c>
      <c r="H452" s="20">
        <v>24</v>
      </c>
      <c r="I452" s="20">
        <v>514500</v>
      </c>
      <c r="J452" s="20">
        <v>75.5</v>
      </c>
      <c r="K452" s="20">
        <v>847000</v>
      </c>
      <c r="L452" s="20">
        <v>8000</v>
      </c>
      <c r="M452" s="20">
        <v>0</v>
      </c>
      <c r="N452" s="20">
        <v>0</v>
      </c>
      <c r="O452" s="20">
        <v>0</v>
      </c>
      <c r="P452" s="20">
        <v>0</v>
      </c>
      <c r="Q452" s="19">
        <f t="shared" ref="Q452:Q515" si="51">SUM(F452:G452)+I452+K452+SUM(L452:P452)</f>
        <v>15963609.390000001</v>
      </c>
      <c r="R452" s="20">
        <v>887765</v>
      </c>
      <c r="S452" s="20">
        <v>2435668</v>
      </c>
      <c r="T452" s="20"/>
      <c r="U452" s="20"/>
      <c r="V452" s="20"/>
      <c r="W452" s="20">
        <v>261876</v>
      </c>
      <c r="X452" s="20">
        <v>6619250</v>
      </c>
      <c r="Y452" s="8">
        <f t="shared" ref="Y452:Y515" si="52">Q452-SUM(R452:X452)</f>
        <v>5759050.3900000006</v>
      </c>
      <c r="Z452" s="36"/>
      <c r="AA452" s="36"/>
      <c r="AB452" s="36"/>
      <c r="AC452" s="36"/>
      <c r="AD452" s="36"/>
      <c r="AE452" s="36"/>
      <c r="AF452" s="36">
        <v>50000</v>
      </c>
      <c r="AG452" s="36"/>
      <c r="AH452" s="36"/>
      <c r="AI452" s="36"/>
      <c r="AJ452" s="36"/>
      <c r="AK452" s="36"/>
      <c r="AL452" s="37">
        <f t="shared" ref="AL452:AL515" si="53">SUM(Z452:AK452)</f>
        <v>50000</v>
      </c>
      <c r="AM452" s="36"/>
      <c r="AN452" s="36"/>
      <c r="AO452" s="36"/>
      <c r="AP452" s="7"/>
      <c r="AQ452" s="38">
        <f t="shared" ref="AQ452:AQ515" si="54">Q452-SUM(R452:X452)-AL452-SUM(AM452:AO452)</f>
        <v>5709050.3900000006</v>
      </c>
      <c r="AR452" s="36">
        <v>11967100</v>
      </c>
      <c r="AS452" s="18">
        <f t="shared" ref="AS452:AS515" si="55">AR452-AQ452</f>
        <v>6258049.6099999994</v>
      </c>
    </row>
    <row r="453" spans="1:45" x14ac:dyDescent="0.25">
      <c r="A453" s="40">
        <v>45741</v>
      </c>
      <c r="B453" s="20">
        <v>2014.16</v>
      </c>
      <c r="C453" s="20">
        <v>1499.4780000000001</v>
      </c>
      <c r="D453" s="20">
        <v>5070</v>
      </c>
      <c r="E453" s="20">
        <v>4830</v>
      </c>
      <c r="F453" s="7">
        <f t="shared" si="49"/>
        <v>10211791.200000001</v>
      </c>
      <c r="G453" s="7">
        <f t="shared" si="50"/>
        <v>7242478.7400000002</v>
      </c>
      <c r="H453" s="20">
        <v>35.5</v>
      </c>
      <c r="I453" s="20">
        <v>755000</v>
      </c>
      <c r="J453" s="20">
        <v>109.5</v>
      </c>
      <c r="K453" s="20">
        <v>1305400</v>
      </c>
      <c r="L453" s="20">
        <v>73000</v>
      </c>
      <c r="M453" s="20"/>
      <c r="N453" s="20"/>
      <c r="O453" s="20"/>
      <c r="P453" s="20">
        <v>125000</v>
      </c>
      <c r="Q453" s="19">
        <f t="shared" si="51"/>
        <v>19712669.940000001</v>
      </c>
      <c r="R453" s="20">
        <v>504847</v>
      </c>
      <c r="S453" s="20">
        <v>3275620</v>
      </c>
      <c r="T453" s="20"/>
      <c r="U453" s="20"/>
      <c r="V453" s="20"/>
      <c r="W453" s="20">
        <v>254000</v>
      </c>
      <c r="X453" s="20">
        <v>10430704</v>
      </c>
      <c r="Y453" s="8">
        <f t="shared" si="52"/>
        <v>5247498.9400000013</v>
      </c>
      <c r="Z453" s="36"/>
      <c r="AA453" s="36"/>
      <c r="AB453" s="36"/>
      <c r="AC453" s="36">
        <v>34000</v>
      </c>
      <c r="AD453" s="36"/>
      <c r="AE453" s="36"/>
      <c r="AF453" s="36"/>
      <c r="AG453" s="36"/>
      <c r="AH453" s="36"/>
      <c r="AI453" s="36"/>
      <c r="AJ453" s="36"/>
      <c r="AK453" s="36"/>
      <c r="AL453" s="37">
        <f t="shared" si="53"/>
        <v>34000</v>
      </c>
      <c r="AM453" s="36"/>
      <c r="AN453" s="36"/>
      <c r="AO453" s="36"/>
      <c r="AP453" s="7"/>
      <c r="AQ453" s="38">
        <f t="shared" si="54"/>
        <v>5213498.9400000013</v>
      </c>
      <c r="AR453" s="36">
        <v>5213500</v>
      </c>
      <c r="AS453" s="18">
        <f t="shared" si="55"/>
        <v>1.0599999986588955</v>
      </c>
    </row>
    <row r="454" spans="1:45" x14ac:dyDescent="0.25">
      <c r="A454" s="40">
        <v>45742</v>
      </c>
      <c r="B454" s="20">
        <v>1449.3820000000001</v>
      </c>
      <c r="C454" s="20">
        <v>2241.0320000000002</v>
      </c>
      <c r="D454" s="20">
        <v>5070</v>
      </c>
      <c r="E454" s="20">
        <v>4830</v>
      </c>
      <c r="F454" s="7">
        <f t="shared" si="49"/>
        <v>7348366.7400000002</v>
      </c>
      <c r="G454" s="7">
        <f t="shared" si="50"/>
        <v>10824184.560000001</v>
      </c>
      <c r="H454" s="20">
        <v>61</v>
      </c>
      <c r="I454" s="20">
        <v>1362000</v>
      </c>
      <c r="J454" s="20">
        <v>55</v>
      </c>
      <c r="K454" s="20">
        <v>549400</v>
      </c>
      <c r="L454" s="20">
        <v>23000</v>
      </c>
      <c r="M454" s="20"/>
      <c r="N454" s="20">
        <v>89000</v>
      </c>
      <c r="O454" s="20">
        <v>1174376</v>
      </c>
      <c r="P454" s="20"/>
      <c r="Q454" s="19">
        <f t="shared" si="51"/>
        <v>21370327.300000001</v>
      </c>
      <c r="R454" s="20">
        <v>415650</v>
      </c>
      <c r="S454" s="20">
        <v>3097329</v>
      </c>
      <c r="T454" s="20"/>
      <c r="U454" s="20"/>
      <c r="V454" s="20"/>
      <c r="W454" s="20">
        <v>0</v>
      </c>
      <c r="X454" s="20">
        <v>9935000</v>
      </c>
      <c r="Y454" s="8">
        <f t="shared" si="52"/>
        <v>7922348.3000000007</v>
      </c>
      <c r="Z454" s="36"/>
      <c r="AA454" s="36"/>
      <c r="AB454" s="36"/>
      <c r="AC454" s="36"/>
      <c r="AD454" s="36"/>
      <c r="AE454" s="36"/>
      <c r="AF454" s="36">
        <v>33000</v>
      </c>
      <c r="AG454" s="36"/>
      <c r="AH454" s="36"/>
      <c r="AI454" s="36"/>
      <c r="AJ454" s="36">
        <v>500000</v>
      </c>
      <c r="AK454" s="36"/>
      <c r="AL454" s="37">
        <f t="shared" si="53"/>
        <v>533000</v>
      </c>
      <c r="AM454" s="36"/>
      <c r="AN454" s="36"/>
      <c r="AO454" s="36"/>
      <c r="AP454" s="7"/>
      <c r="AQ454" s="38">
        <f t="shared" si="54"/>
        <v>7389348.3000000007</v>
      </c>
      <c r="AR454" s="36">
        <v>7419300</v>
      </c>
      <c r="AS454" s="18">
        <f t="shared" si="55"/>
        <v>29951.699999999255</v>
      </c>
    </row>
    <row r="455" spans="1:45" x14ac:dyDescent="0.25">
      <c r="A455" s="40">
        <v>45743</v>
      </c>
      <c r="B455" s="20">
        <v>1745.6089999999999</v>
      </c>
      <c r="C455" s="20">
        <v>3665.232</v>
      </c>
      <c r="D455" s="20">
        <v>5070</v>
      </c>
      <c r="E455" s="20">
        <v>4830</v>
      </c>
      <c r="F455" s="7">
        <f t="shared" si="49"/>
        <v>8850237.629999999</v>
      </c>
      <c r="G455" s="7">
        <f t="shared" si="50"/>
        <v>17703070.559999999</v>
      </c>
      <c r="H455" s="20">
        <v>34</v>
      </c>
      <c r="I455" s="20">
        <v>718000</v>
      </c>
      <c r="J455" s="20">
        <v>54.5</v>
      </c>
      <c r="K455" s="20">
        <v>476000</v>
      </c>
      <c r="L455" s="20">
        <v>8000</v>
      </c>
      <c r="M455" s="20">
        <v>400000</v>
      </c>
      <c r="N455" s="20"/>
      <c r="O455" s="20">
        <v>105000</v>
      </c>
      <c r="P455" s="20"/>
      <c r="Q455" s="19">
        <f t="shared" si="51"/>
        <v>28260308.189999998</v>
      </c>
      <c r="R455" s="20">
        <v>760330</v>
      </c>
      <c r="S455" s="20">
        <v>8760936</v>
      </c>
      <c r="T455" s="20"/>
      <c r="U455" s="20"/>
      <c r="V455" s="20"/>
      <c r="W455" s="20">
        <v>0</v>
      </c>
      <c r="X455" s="20">
        <v>13271024</v>
      </c>
      <c r="Y455" s="8">
        <f t="shared" si="52"/>
        <v>5468018.1899999976</v>
      </c>
      <c r="Z455" s="36"/>
      <c r="AA455" s="36"/>
      <c r="AB455" s="36"/>
      <c r="AC455" s="36">
        <v>28000</v>
      </c>
      <c r="AD455" s="36">
        <v>193200</v>
      </c>
      <c r="AE455" s="36"/>
      <c r="AF455" s="36">
        <v>203000</v>
      </c>
      <c r="AG455" s="36"/>
      <c r="AH455" s="36">
        <v>21000</v>
      </c>
      <c r="AI455" s="36"/>
      <c r="AJ455" s="36"/>
      <c r="AK455" s="36"/>
      <c r="AL455" s="37">
        <f t="shared" si="53"/>
        <v>445200</v>
      </c>
      <c r="AM455" s="36"/>
      <c r="AN455" s="36"/>
      <c r="AO455" s="36"/>
      <c r="AP455" s="7"/>
      <c r="AQ455" s="38">
        <f t="shared" si="54"/>
        <v>5022818.1899999976</v>
      </c>
      <c r="AR455" s="36">
        <v>5021800</v>
      </c>
      <c r="AS455" s="18">
        <f t="shared" si="55"/>
        <v>-1018.1899999976158</v>
      </c>
    </row>
    <row r="456" spans="1:45" x14ac:dyDescent="0.25">
      <c r="A456" s="40">
        <v>45744</v>
      </c>
      <c r="B456" s="20">
        <v>1731.1669999999999</v>
      </c>
      <c r="C456" s="20">
        <v>5406.759</v>
      </c>
      <c r="D456" s="20">
        <v>5070</v>
      </c>
      <c r="E456" s="20">
        <v>4830</v>
      </c>
      <c r="F456" s="7">
        <f t="shared" si="49"/>
        <v>8777016.6899999995</v>
      </c>
      <c r="G456" s="7">
        <f t="shared" si="50"/>
        <v>26114645.969999999</v>
      </c>
      <c r="H456" s="20">
        <v>85.25</v>
      </c>
      <c r="I456" s="20">
        <v>1892500</v>
      </c>
      <c r="J456" s="20">
        <v>64</v>
      </c>
      <c r="K456" s="20">
        <v>556000</v>
      </c>
      <c r="L456" s="20">
        <v>173000</v>
      </c>
      <c r="M456" s="20"/>
      <c r="N456" s="20"/>
      <c r="O456" s="20"/>
      <c r="P456" s="20"/>
      <c r="Q456" s="19">
        <f t="shared" si="51"/>
        <v>37513162.659999996</v>
      </c>
      <c r="R456" s="20">
        <v>498383</v>
      </c>
      <c r="S456" s="20">
        <v>23087451</v>
      </c>
      <c r="T456" s="20"/>
      <c r="U456" s="20"/>
      <c r="V456" s="20"/>
      <c r="W456" s="20">
        <v>785000</v>
      </c>
      <c r="X456" s="20">
        <v>4067800</v>
      </c>
      <c r="Y456" s="8">
        <f t="shared" si="52"/>
        <v>9074528.6599999964</v>
      </c>
      <c r="Z456" s="36"/>
      <c r="AA456" s="36"/>
      <c r="AB456" s="36"/>
      <c r="AC456" s="36"/>
      <c r="AD456" s="36">
        <v>289800</v>
      </c>
      <c r="AE456" s="36"/>
      <c r="AF456" s="36">
        <v>3000</v>
      </c>
      <c r="AG456" s="36"/>
      <c r="AH456" s="36">
        <v>10000</v>
      </c>
      <c r="AI456" s="36">
        <v>20000</v>
      </c>
      <c r="AJ456" s="36">
        <v>1000000</v>
      </c>
      <c r="AK456" s="36"/>
      <c r="AL456" s="37">
        <f t="shared" si="53"/>
        <v>1322800</v>
      </c>
      <c r="AM456" s="36"/>
      <c r="AN456" s="36"/>
      <c r="AO456" s="36"/>
      <c r="AP456" s="7"/>
      <c r="AQ456" s="38">
        <f t="shared" si="54"/>
        <v>7751728.6599999964</v>
      </c>
      <c r="AR456" s="36">
        <v>7751700</v>
      </c>
      <c r="AS456" s="18">
        <f t="shared" si="55"/>
        <v>-28.659999996423721</v>
      </c>
    </row>
    <row r="457" spans="1:45" x14ac:dyDescent="0.25">
      <c r="A457" s="40">
        <v>45745</v>
      </c>
      <c r="B457" s="20">
        <v>1982.741</v>
      </c>
      <c r="C457" s="20">
        <v>6256.8419999999996</v>
      </c>
      <c r="D457" s="20">
        <v>5070</v>
      </c>
      <c r="E457" s="20">
        <v>4830</v>
      </c>
      <c r="F457" s="7">
        <f t="shared" si="49"/>
        <v>10052496.869999999</v>
      </c>
      <c r="G457" s="7">
        <f t="shared" si="50"/>
        <v>30220546.859999999</v>
      </c>
      <c r="H457" s="20">
        <v>42</v>
      </c>
      <c r="I457" s="20">
        <v>842000</v>
      </c>
      <c r="J457" s="20">
        <v>104.5</v>
      </c>
      <c r="K457" s="20">
        <v>976400</v>
      </c>
      <c r="L457" s="20">
        <v>16000</v>
      </c>
      <c r="M457" s="20"/>
      <c r="N457" s="20"/>
      <c r="O457" s="20"/>
      <c r="P457" s="20"/>
      <c r="Q457" s="19">
        <f t="shared" si="51"/>
        <v>42107443.729999997</v>
      </c>
      <c r="R457" s="20">
        <v>1248304</v>
      </c>
      <c r="S457" s="20">
        <v>25611932</v>
      </c>
      <c r="T457" s="20"/>
      <c r="U457" s="20"/>
      <c r="V457" s="20"/>
      <c r="W457" s="20">
        <v>140000</v>
      </c>
      <c r="X457" s="20">
        <v>10417320</v>
      </c>
      <c r="Y457" s="8">
        <f t="shared" si="52"/>
        <v>4689887.7299999967</v>
      </c>
      <c r="Z457" s="36">
        <v>20000</v>
      </c>
      <c r="AA457" s="36">
        <v>87661</v>
      </c>
      <c r="AB457" s="36">
        <v>0</v>
      </c>
      <c r="AC457" s="36"/>
      <c r="AD457" s="36"/>
      <c r="AE457" s="36"/>
      <c r="AF457" s="36">
        <v>3000</v>
      </c>
      <c r="AG457" s="36"/>
      <c r="AH457" s="36"/>
      <c r="AI457" s="36"/>
      <c r="AJ457" s="36">
        <v>500000</v>
      </c>
      <c r="AK457" s="36"/>
      <c r="AL457" s="37">
        <f t="shared" si="53"/>
        <v>610661</v>
      </c>
      <c r="AM457" s="36"/>
      <c r="AN457" s="36"/>
      <c r="AO457" s="36"/>
      <c r="AP457" s="7"/>
      <c r="AQ457" s="38">
        <f t="shared" si="54"/>
        <v>4079226.7299999967</v>
      </c>
      <c r="AR457" s="36">
        <v>4079300</v>
      </c>
      <c r="AS457" s="18">
        <f t="shared" si="55"/>
        <v>73.270000003278255</v>
      </c>
    </row>
    <row r="458" spans="1:45" x14ac:dyDescent="0.25">
      <c r="A458" s="40">
        <v>45746</v>
      </c>
      <c r="B458" s="20">
        <v>2210.9299999999998</v>
      </c>
      <c r="C458" s="20">
        <v>6277.4780000000001</v>
      </c>
      <c r="D458" s="20">
        <v>5070</v>
      </c>
      <c r="E458" s="20">
        <v>4830</v>
      </c>
      <c r="F458" s="7">
        <f t="shared" si="49"/>
        <v>11209415.1</v>
      </c>
      <c r="G458" s="7">
        <f t="shared" si="50"/>
        <v>30320218.740000002</v>
      </c>
      <c r="H458" s="20">
        <v>11</v>
      </c>
      <c r="I458" s="20">
        <v>217500</v>
      </c>
      <c r="J458" s="20">
        <v>305</v>
      </c>
      <c r="K458" s="20">
        <v>3503800</v>
      </c>
      <c r="L458" s="20">
        <v>8000</v>
      </c>
      <c r="M458" s="20">
        <v>50000</v>
      </c>
      <c r="N458" s="20"/>
      <c r="O458" s="20" t="s">
        <v>124</v>
      </c>
      <c r="P458" s="20"/>
      <c r="Q458" s="19">
        <f t="shared" si="51"/>
        <v>45308933.840000004</v>
      </c>
      <c r="R458" s="20">
        <v>1005536</v>
      </c>
      <c r="S458" s="20">
        <v>26780253</v>
      </c>
      <c r="T458" s="20"/>
      <c r="U458" s="20"/>
      <c r="V458" s="20"/>
      <c r="W458" s="20">
        <v>100000</v>
      </c>
      <c r="X458" s="20">
        <v>3011935</v>
      </c>
      <c r="Y458" s="8">
        <f t="shared" si="52"/>
        <v>14411209.840000004</v>
      </c>
      <c r="Z458" s="36"/>
      <c r="AA458" s="36"/>
      <c r="AB458" s="36">
        <v>625400</v>
      </c>
      <c r="AC458" s="36"/>
      <c r="AD458" s="36"/>
      <c r="AE458" s="36"/>
      <c r="AF458" s="36">
        <v>73000</v>
      </c>
      <c r="AG458" s="36"/>
      <c r="AH458" s="36"/>
      <c r="AI458" s="36"/>
      <c r="AJ458" s="36">
        <v>800000</v>
      </c>
      <c r="AK458" s="36"/>
      <c r="AL458" s="37">
        <f t="shared" si="53"/>
        <v>1498400</v>
      </c>
      <c r="AM458" s="36"/>
      <c r="AN458" s="36">
        <v>5000000</v>
      </c>
      <c r="AO458" s="36"/>
      <c r="AP458" s="7"/>
      <c r="AQ458" s="38">
        <f t="shared" si="54"/>
        <v>7912809.8400000036</v>
      </c>
      <c r="AR458" s="36">
        <v>7915800</v>
      </c>
      <c r="AS458" s="18">
        <f t="shared" si="55"/>
        <v>2990.1599999964237</v>
      </c>
    </row>
    <row r="459" spans="1:45" x14ac:dyDescent="0.25">
      <c r="A459" s="40">
        <v>45747</v>
      </c>
      <c r="B459" s="20">
        <v>1953.8579999999999</v>
      </c>
      <c r="C459" s="20">
        <v>2393.998</v>
      </c>
      <c r="D459" s="20">
        <v>5070</v>
      </c>
      <c r="E459" s="20">
        <v>4830</v>
      </c>
      <c r="F459" s="7">
        <f t="shared" si="49"/>
        <v>9906060.0600000005</v>
      </c>
      <c r="G459" s="7">
        <f t="shared" si="50"/>
        <v>11563010.34</v>
      </c>
      <c r="H459" s="20">
        <v>17.5</v>
      </c>
      <c r="I459" s="20">
        <v>371500</v>
      </c>
      <c r="J459" s="20">
        <v>30</v>
      </c>
      <c r="K459" s="20">
        <v>265000</v>
      </c>
      <c r="L459" s="20">
        <v>0</v>
      </c>
      <c r="M459" s="20"/>
      <c r="N459" s="20">
        <v>5000000</v>
      </c>
      <c r="O459" s="20">
        <v>2873400</v>
      </c>
      <c r="P459" s="20">
        <v>25000</v>
      </c>
      <c r="Q459" s="19">
        <f t="shared" si="51"/>
        <v>30003970.399999999</v>
      </c>
      <c r="R459" s="20">
        <v>430000</v>
      </c>
      <c r="S459" s="20">
        <v>8033256</v>
      </c>
      <c r="T459" s="20"/>
      <c r="U459" s="20"/>
      <c r="V459" s="20"/>
      <c r="W459" s="20">
        <v>443000</v>
      </c>
      <c r="X459" s="20">
        <v>6390317</v>
      </c>
      <c r="Y459" s="8">
        <f t="shared" si="52"/>
        <v>14707397.399999999</v>
      </c>
      <c r="Z459" s="36"/>
      <c r="AA459" s="36"/>
      <c r="AB459" s="36"/>
      <c r="AC459" s="36">
        <v>20000</v>
      </c>
      <c r="AD459" s="36"/>
      <c r="AE459" s="36"/>
      <c r="AF459" s="36"/>
      <c r="AG459" s="36"/>
      <c r="AH459" s="36"/>
      <c r="AI459" s="36"/>
      <c r="AJ459" s="36"/>
      <c r="AK459" s="36"/>
      <c r="AL459" s="37">
        <f t="shared" si="53"/>
        <v>20000</v>
      </c>
      <c r="AM459" s="36"/>
      <c r="AN459" s="36">
        <v>2000000</v>
      </c>
      <c r="AO459" s="36"/>
      <c r="AP459" s="7"/>
      <c r="AQ459" s="38">
        <f t="shared" si="54"/>
        <v>12687397.399999999</v>
      </c>
      <c r="AR459" s="36">
        <v>12687400</v>
      </c>
      <c r="AS459" s="18">
        <f t="shared" si="55"/>
        <v>2.6000000014901161</v>
      </c>
    </row>
    <row r="460" spans="1:45" x14ac:dyDescent="0.25">
      <c r="A460" s="40">
        <v>45748</v>
      </c>
      <c r="B460" s="20">
        <v>2046.614</v>
      </c>
      <c r="C460" s="20">
        <v>3681.6840000000002</v>
      </c>
      <c r="D460" s="20">
        <v>5070</v>
      </c>
      <c r="E460" s="20">
        <v>4830</v>
      </c>
      <c r="F460" s="7">
        <f t="shared" si="49"/>
        <v>10376332.98</v>
      </c>
      <c r="G460" s="7">
        <f t="shared" si="50"/>
        <v>17782533.720000003</v>
      </c>
      <c r="H460" s="20">
        <v>62</v>
      </c>
      <c r="I460" s="20">
        <v>1290000</v>
      </c>
      <c r="J460" s="20">
        <v>110</v>
      </c>
      <c r="K460" s="20">
        <v>1228800</v>
      </c>
      <c r="L460" s="20">
        <v>105000</v>
      </c>
      <c r="M460" s="20"/>
      <c r="N460" s="20">
        <v>850000</v>
      </c>
      <c r="O460" s="20">
        <v>1170000</v>
      </c>
      <c r="P460" s="20"/>
      <c r="Q460" s="19">
        <f t="shared" si="51"/>
        <v>32802666.700000003</v>
      </c>
      <c r="R460" s="20">
        <v>512514</v>
      </c>
      <c r="S460" s="20">
        <v>13228448</v>
      </c>
      <c r="T460" s="20"/>
      <c r="U460" s="20"/>
      <c r="V460" s="20"/>
      <c r="W460" s="20">
        <v>0</v>
      </c>
      <c r="X460" s="20">
        <v>5476291</v>
      </c>
      <c r="Y460" s="8">
        <f t="shared" si="52"/>
        <v>13585413.700000003</v>
      </c>
      <c r="Z460" s="36"/>
      <c r="AA460" s="36"/>
      <c r="AB460" s="36">
        <v>17700</v>
      </c>
      <c r="AC460" s="36"/>
      <c r="AD460" s="36"/>
      <c r="AE460" s="36">
        <v>1304000</v>
      </c>
      <c r="AF460" s="36">
        <v>1153000</v>
      </c>
      <c r="AG460" s="36">
        <v>3100000</v>
      </c>
      <c r="AH460" s="36"/>
      <c r="AI460" s="36"/>
      <c r="AJ460" s="36"/>
      <c r="AK460" s="36"/>
      <c r="AL460" s="37">
        <f t="shared" si="53"/>
        <v>5574700</v>
      </c>
      <c r="AM460" s="36"/>
      <c r="AN460" s="36"/>
      <c r="AO460" s="36"/>
      <c r="AP460" s="7"/>
      <c r="AQ460" s="38">
        <f t="shared" si="54"/>
        <v>8010713.700000003</v>
      </c>
      <c r="AR460" s="36">
        <v>8009000</v>
      </c>
      <c r="AS460" s="18">
        <f t="shared" si="55"/>
        <v>-1713.7000000029802</v>
      </c>
    </row>
    <row r="461" spans="1:45" x14ac:dyDescent="0.25">
      <c r="A461" s="40">
        <v>45749</v>
      </c>
      <c r="B461" s="20">
        <v>2110.1170000000002</v>
      </c>
      <c r="C461" s="20">
        <v>4386.643</v>
      </c>
      <c r="D461" s="20">
        <v>5070</v>
      </c>
      <c r="E461" s="20">
        <v>4830</v>
      </c>
      <c r="F461" s="7">
        <f t="shared" si="49"/>
        <v>10698293.190000001</v>
      </c>
      <c r="G461" s="7">
        <f t="shared" si="50"/>
        <v>21187485.690000001</v>
      </c>
      <c r="H461" s="20">
        <v>69</v>
      </c>
      <c r="I461" s="20">
        <v>1510500</v>
      </c>
      <c r="J461" s="20">
        <v>122.5</v>
      </c>
      <c r="K461" s="20">
        <v>1475200</v>
      </c>
      <c r="L461" s="20">
        <v>101000</v>
      </c>
      <c r="M461" s="20"/>
      <c r="N461" s="20"/>
      <c r="O461" s="20">
        <v>3997000</v>
      </c>
      <c r="P461" s="20"/>
      <c r="Q461" s="19">
        <f t="shared" si="51"/>
        <v>38969478.880000003</v>
      </c>
      <c r="R461" s="20">
        <v>2777532</v>
      </c>
      <c r="S461" s="20">
        <v>13977757</v>
      </c>
      <c r="T461" s="20"/>
      <c r="U461" s="20"/>
      <c r="V461" s="20"/>
      <c r="W461" s="20">
        <v>401000</v>
      </c>
      <c r="X461" s="20">
        <v>12263907</v>
      </c>
      <c r="Y461" s="8">
        <f t="shared" si="52"/>
        <v>9549282.8800000027</v>
      </c>
      <c r="Z461" s="36"/>
      <c r="AA461" s="36"/>
      <c r="AB461" s="36"/>
      <c r="AC461" s="36"/>
      <c r="AD461" s="36">
        <v>96600</v>
      </c>
      <c r="AE461" s="36"/>
      <c r="AF461" s="36">
        <v>523000</v>
      </c>
      <c r="AG461" s="36"/>
      <c r="AH461" s="36">
        <v>53000</v>
      </c>
      <c r="AI461" s="36"/>
      <c r="AJ461" s="36">
        <v>20000</v>
      </c>
      <c r="AK461" s="36"/>
      <c r="AL461" s="37">
        <f t="shared" si="53"/>
        <v>692600</v>
      </c>
      <c r="AM461" s="36"/>
      <c r="AN461" s="36"/>
      <c r="AO461" s="36"/>
      <c r="AP461" s="7"/>
      <c r="AQ461" s="38">
        <f t="shared" si="54"/>
        <v>8856682.8800000027</v>
      </c>
      <c r="AR461" s="36">
        <v>8856700</v>
      </c>
      <c r="AS461" s="18">
        <f t="shared" si="55"/>
        <v>17.119999997317791</v>
      </c>
    </row>
    <row r="462" spans="1:45" x14ac:dyDescent="0.25">
      <c r="A462" s="40">
        <v>45750</v>
      </c>
      <c r="B462" s="20">
        <v>1546.2429999999999</v>
      </c>
      <c r="C462" s="20">
        <v>3381.7579999999998</v>
      </c>
      <c r="D462" s="20">
        <v>5070</v>
      </c>
      <c r="E462" s="20">
        <v>4830</v>
      </c>
      <c r="F462" s="7">
        <f t="shared" si="49"/>
        <v>7839452.0099999998</v>
      </c>
      <c r="G462" s="7">
        <f t="shared" si="50"/>
        <v>16333891.139999999</v>
      </c>
      <c r="H462" s="20">
        <v>31</v>
      </c>
      <c r="I462" s="20">
        <v>724500</v>
      </c>
      <c r="J462" s="20">
        <v>139</v>
      </c>
      <c r="K462" s="20">
        <v>1407200</v>
      </c>
      <c r="L462" s="20">
        <v>0</v>
      </c>
      <c r="M462" s="20"/>
      <c r="N462" s="20">
        <v>0</v>
      </c>
      <c r="O462" s="20">
        <v>2564000</v>
      </c>
      <c r="P462" s="20"/>
      <c r="Q462" s="19">
        <f t="shared" si="51"/>
        <v>28869043.149999999</v>
      </c>
      <c r="R462" s="20">
        <v>671498</v>
      </c>
      <c r="S462" s="20">
        <v>13579958</v>
      </c>
      <c r="T462" s="20"/>
      <c r="U462" s="20"/>
      <c r="V462" s="20"/>
      <c r="W462" s="20"/>
      <c r="X462" s="20">
        <v>5880716</v>
      </c>
      <c r="Y462" s="8">
        <f t="shared" si="52"/>
        <v>8736871.1499999985</v>
      </c>
      <c r="Z462" s="36"/>
      <c r="AA462" s="36"/>
      <c r="AB462" s="36"/>
      <c r="AC462" s="36"/>
      <c r="AD462" s="36">
        <v>96600</v>
      </c>
      <c r="AE462" s="36"/>
      <c r="AF462" s="36">
        <v>1000000</v>
      </c>
      <c r="AG462" s="36"/>
      <c r="AH462" s="36"/>
      <c r="AI462" s="36"/>
      <c r="AJ462" s="36"/>
      <c r="AK462" s="36"/>
      <c r="AL462" s="37">
        <f t="shared" si="53"/>
        <v>1096600</v>
      </c>
      <c r="AM462" s="36"/>
      <c r="AN462" s="36"/>
      <c r="AO462" s="36"/>
      <c r="AP462" s="7"/>
      <c r="AQ462" s="38">
        <f t="shared" si="54"/>
        <v>7640271.1499999985</v>
      </c>
      <c r="AR462" s="36">
        <v>7640300</v>
      </c>
      <c r="AS462" s="18">
        <f t="shared" si="55"/>
        <v>28.850000001490116</v>
      </c>
    </row>
    <row r="463" spans="1:45" x14ac:dyDescent="0.25">
      <c r="A463" s="40">
        <v>45751</v>
      </c>
      <c r="B463" s="20">
        <v>2030.251</v>
      </c>
      <c r="C463" s="20">
        <v>4307.4660000000003</v>
      </c>
      <c r="D463" s="20">
        <v>5070</v>
      </c>
      <c r="E463" s="20">
        <v>4830</v>
      </c>
      <c r="F463" s="7">
        <f t="shared" si="49"/>
        <v>10293372.57</v>
      </c>
      <c r="G463" s="7">
        <f t="shared" si="50"/>
        <v>20805060.780000001</v>
      </c>
      <c r="H463" s="20">
        <v>47</v>
      </c>
      <c r="I463" s="20">
        <v>949500</v>
      </c>
      <c r="J463" s="20">
        <v>73</v>
      </c>
      <c r="K463" s="20">
        <v>634000</v>
      </c>
      <c r="L463" s="20">
        <v>45000</v>
      </c>
      <c r="M463" s="20">
        <v>0</v>
      </c>
      <c r="N463" s="20">
        <v>0</v>
      </c>
      <c r="O463" s="20">
        <v>1025000</v>
      </c>
      <c r="P463" s="20"/>
      <c r="Q463" s="19">
        <f t="shared" si="51"/>
        <v>33751933.350000001</v>
      </c>
      <c r="R463" s="20">
        <v>1075216</v>
      </c>
      <c r="S463" s="20">
        <v>16169555</v>
      </c>
      <c r="T463" s="20"/>
      <c r="U463" s="20"/>
      <c r="V463" s="20"/>
      <c r="W463" s="20">
        <v>501000</v>
      </c>
      <c r="X463" s="20">
        <v>7750588</v>
      </c>
      <c r="Y463" s="8">
        <f t="shared" si="52"/>
        <v>8255574.3500000015</v>
      </c>
      <c r="Z463" s="36"/>
      <c r="AA463" s="36"/>
      <c r="AB463" s="36"/>
      <c r="AC463" s="36"/>
      <c r="AD463" s="36"/>
      <c r="AE463" s="36"/>
      <c r="AF463" s="36">
        <v>1503000</v>
      </c>
      <c r="AG463" s="36"/>
      <c r="AH463" s="36"/>
      <c r="AI463" s="36"/>
      <c r="AJ463" s="36">
        <v>250000</v>
      </c>
      <c r="AK463" s="36"/>
      <c r="AL463" s="37">
        <f t="shared" si="53"/>
        <v>1753000</v>
      </c>
      <c r="AM463" s="36"/>
      <c r="AN463" s="36"/>
      <c r="AO463" s="36"/>
      <c r="AP463" s="7"/>
      <c r="AQ463" s="38">
        <f t="shared" si="54"/>
        <v>6502574.3500000015</v>
      </c>
      <c r="AR463" s="36">
        <v>6505400</v>
      </c>
      <c r="AS463" s="18">
        <f t="shared" si="55"/>
        <v>2825.6499999985099</v>
      </c>
    </row>
    <row r="464" spans="1:45" x14ac:dyDescent="0.25">
      <c r="A464" s="40">
        <v>45752</v>
      </c>
      <c r="B464" s="20">
        <v>2280.4699999999998</v>
      </c>
      <c r="C464" s="20">
        <v>3151.4569999999999</v>
      </c>
      <c r="D464" s="20">
        <v>5070</v>
      </c>
      <c r="E464" s="20">
        <v>4830</v>
      </c>
      <c r="F464" s="7">
        <f t="shared" si="49"/>
        <v>11561982.899999999</v>
      </c>
      <c r="G464" s="7">
        <f t="shared" si="50"/>
        <v>15221537.309999999</v>
      </c>
      <c r="H464" s="20">
        <v>38</v>
      </c>
      <c r="I464" s="20">
        <v>845500</v>
      </c>
      <c r="J464" s="20">
        <v>110</v>
      </c>
      <c r="K464" s="20">
        <v>1162400</v>
      </c>
      <c r="L464" s="20">
        <v>0</v>
      </c>
      <c r="M464" s="20"/>
      <c r="N464" s="20"/>
      <c r="O464" s="20">
        <v>951100</v>
      </c>
      <c r="P464" s="20">
        <v>0</v>
      </c>
      <c r="Q464" s="19">
        <f t="shared" si="51"/>
        <v>29742520.209999997</v>
      </c>
      <c r="R464" s="20">
        <v>887681</v>
      </c>
      <c r="S464" s="20">
        <v>10633437</v>
      </c>
      <c r="T464" s="20"/>
      <c r="U464" s="20"/>
      <c r="V464" s="20"/>
      <c r="W464" s="20">
        <v>49500</v>
      </c>
      <c r="X464" s="20">
        <v>9270550</v>
      </c>
      <c r="Y464" s="8">
        <f t="shared" si="52"/>
        <v>8901352.2099999972</v>
      </c>
      <c r="Z464" s="36"/>
      <c r="AA464" s="36"/>
      <c r="AB464" s="36"/>
      <c r="AC464" s="36"/>
      <c r="AD464" s="36">
        <v>96600</v>
      </c>
      <c r="AE464" s="36"/>
      <c r="AF464" s="36"/>
      <c r="AG464" s="36">
        <v>121000</v>
      </c>
      <c r="AH464" s="36">
        <v>89000</v>
      </c>
      <c r="AI464" s="36"/>
      <c r="AJ464" s="36"/>
      <c r="AK464" s="36">
        <v>50000</v>
      </c>
      <c r="AL464" s="37">
        <f t="shared" si="53"/>
        <v>356600</v>
      </c>
      <c r="AM464" s="36"/>
      <c r="AN464" s="36"/>
      <c r="AO464" s="36"/>
      <c r="AP464" s="7"/>
      <c r="AQ464" s="38">
        <f t="shared" si="54"/>
        <v>8544752.2099999972</v>
      </c>
      <c r="AR464" s="36">
        <v>8541300</v>
      </c>
      <c r="AS464" s="18">
        <f t="shared" si="55"/>
        <v>-3452.2099999971688</v>
      </c>
    </row>
    <row r="465" spans="1:45" x14ac:dyDescent="0.25">
      <c r="A465" s="40">
        <v>45753</v>
      </c>
      <c r="B465" s="20">
        <v>1822.3030000000001</v>
      </c>
      <c r="C465" s="20">
        <v>2811.3589999999999</v>
      </c>
      <c r="D465" s="20">
        <v>5070</v>
      </c>
      <c r="E465" s="20">
        <v>4830</v>
      </c>
      <c r="F465" s="7">
        <f t="shared" si="49"/>
        <v>9239076.2100000009</v>
      </c>
      <c r="G465" s="7">
        <f t="shared" si="50"/>
        <v>13578863.969999999</v>
      </c>
      <c r="H465" s="20">
        <v>103</v>
      </c>
      <c r="I465" s="20">
        <v>2113500</v>
      </c>
      <c r="J465" s="20">
        <v>77.5</v>
      </c>
      <c r="K465" s="20">
        <v>659000</v>
      </c>
      <c r="L465" s="20">
        <v>8000</v>
      </c>
      <c r="M465" s="20"/>
      <c r="N465" s="20"/>
      <c r="O465" s="20">
        <v>550500</v>
      </c>
      <c r="P465" s="20"/>
      <c r="Q465" s="19">
        <f t="shared" si="51"/>
        <v>26148940.18</v>
      </c>
      <c r="R465" s="20">
        <v>910472</v>
      </c>
      <c r="S465" s="20">
        <v>6867667</v>
      </c>
      <c r="T465" s="20"/>
      <c r="U465" s="20"/>
      <c r="V465" s="20"/>
      <c r="W465" s="20">
        <v>520000</v>
      </c>
      <c r="X465" s="20">
        <v>10993920</v>
      </c>
      <c r="Y465" s="8">
        <f t="shared" si="52"/>
        <v>6856881.1799999997</v>
      </c>
      <c r="Z465" s="36"/>
      <c r="AA465" s="36"/>
      <c r="AB465" s="36"/>
      <c r="AC465" s="36"/>
      <c r="AD465" s="36"/>
      <c r="AE465" s="36"/>
      <c r="AF465" s="36">
        <v>3000</v>
      </c>
      <c r="AG465" s="36"/>
      <c r="AH465" s="36"/>
      <c r="AI465" s="36"/>
      <c r="AJ465" s="36"/>
      <c r="AK465" s="36"/>
      <c r="AL465" s="37">
        <f t="shared" si="53"/>
        <v>3000</v>
      </c>
      <c r="AM465" s="36"/>
      <c r="AN465" s="36"/>
      <c r="AO465" s="36"/>
      <c r="AP465" s="7"/>
      <c r="AQ465" s="38">
        <f t="shared" si="54"/>
        <v>6853881.1799999997</v>
      </c>
      <c r="AR465" s="36">
        <v>6854200</v>
      </c>
      <c r="AS465" s="18">
        <f t="shared" si="55"/>
        <v>318.82000000029802</v>
      </c>
    </row>
    <row r="466" spans="1:45" x14ac:dyDescent="0.25">
      <c r="A466" s="40">
        <v>45754</v>
      </c>
      <c r="B466" s="20">
        <v>1749.578</v>
      </c>
      <c r="C466" s="20">
        <v>2483.9450000000002</v>
      </c>
      <c r="D466" s="20">
        <v>5070</v>
      </c>
      <c r="E466" s="20">
        <v>4830</v>
      </c>
      <c r="F466" s="7">
        <f t="shared" si="49"/>
        <v>8870360.459999999</v>
      </c>
      <c r="G466" s="7">
        <f t="shared" si="50"/>
        <v>11997454.350000001</v>
      </c>
      <c r="H466" s="20">
        <v>148</v>
      </c>
      <c r="I466" s="20">
        <v>3077000</v>
      </c>
      <c r="J466" s="20">
        <v>120.5</v>
      </c>
      <c r="K466" s="20">
        <v>1146000</v>
      </c>
      <c r="L466" s="20">
        <v>115000</v>
      </c>
      <c r="M466" s="20"/>
      <c r="N466" s="20"/>
      <c r="O466" s="20">
        <v>0</v>
      </c>
      <c r="P466" s="20"/>
      <c r="Q466" s="19">
        <f t="shared" si="51"/>
        <v>25205814.810000002</v>
      </c>
      <c r="R466" s="20">
        <v>322503</v>
      </c>
      <c r="S466" s="20">
        <v>10566591</v>
      </c>
      <c r="T466" s="20"/>
      <c r="U466" s="20"/>
      <c r="V466" s="20"/>
      <c r="W466" s="20"/>
      <c r="X466" s="20">
        <v>2238185</v>
      </c>
      <c r="Y466" s="8">
        <f t="shared" si="52"/>
        <v>12078535.810000002</v>
      </c>
      <c r="Z466" s="36"/>
      <c r="AA466" s="36"/>
      <c r="AB466" s="36"/>
      <c r="AC466" s="36"/>
      <c r="AD466" s="36"/>
      <c r="AE466" s="36"/>
      <c r="AF466" s="36">
        <v>5000000</v>
      </c>
      <c r="AG466" s="36"/>
      <c r="AH466" s="36"/>
      <c r="AI466" s="36"/>
      <c r="AJ466" s="36"/>
      <c r="AK466" s="36"/>
      <c r="AL466" s="37">
        <f t="shared" si="53"/>
        <v>5000000</v>
      </c>
      <c r="AM466" s="36"/>
      <c r="AN466" s="36"/>
      <c r="AO466" s="36"/>
      <c r="AP466" s="7"/>
      <c r="AQ466" s="38">
        <f t="shared" si="54"/>
        <v>7078535.8100000024</v>
      </c>
      <c r="AR466" s="36">
        <v>7078600</v>
      </c>
      <c r="AS466" s="18">
        <f t="shared" si="55"/>
        <v>64.189999997615814</v>
      </c>
    </row>
    <row r="467" spans="1:45" x14ac:dyDescent="0.25">
      <c r="A467" s="40">
        <v>45755</v>
      </c>
      <c r="B467" s="20">
        <v>1512.701</v>
      </c>
      <c r="C467" s="20">
        <v>2527.654</v>
      </c>
      <c r="D467" s="20">
        <v>5070</v>
      </c>
      <c r="E467" s="20">
        <v>4830</v>
      </c>
      <c r="F467" s="7">
        <f t="shared" si="49"/>
        <v>7669394.0700000003</v>
      </c>
      <c r="G467" s="7">
        <f t="shared" si="50"/>
        <v>12208568.82</v>
      </c>
      <c r="H467" s="20">
        <v>48</v>
      </c>
      <c r="I467" s="20">
        <v>1012500</v>
      </c>
      <c r="J467" s="20">
        <v>161</v>
      </c>
      <c r="K467" s="20">
        <v>1391000</v>
      </c>
      <c r="L467" s="20">
        <v>56000</v>
      </c>
      <c r="M467" s="20"/>
      <c r="N467" s="20"/>
      <c r="O467" s="20">
        <v>0</v>
      </c>
      <c r="P467" s="20"/>
      <c r="Q467" s="19">
        <f t="shared" si="51"/>
        <v>22337462.890000001</v>
      </c>
      <c r="R467" s="20">
        <v>419213</v>
      </c>
      <c r="S467" s="20">
        <v>5344438</v>
      </c>
      <c r="T467" s="20"/>
      <c r="U467" s="20"/>
      <c r="V467" s="20"/>
      <c r="W467" s="20">
        <v>315800</v>
      </c>
      <c r="X467" s="20">
        <v>6189162</v>
      </c>
      <c r="Y467" s="8">
        <f t="shared" si="52"/>
        <v>10068849.890000001</v>
      </c>
      <c r="Z467" s="36"/>
      <c r="AA467" s="36"/>
      <c r="AB467" s="36"/>
      <c r="AC467" s="36"/>
      <c r="AD467" s="36"/>
      <c r="AE467" s="36"/>
      <c r="AF467" s="36">
        <v>2006000</v>
      </c>
      <c r="AG467" s="36"/>
      <c r="AH467" s="36"/>
      <c r="AI467" s="36">
        <v>10000</v>
      </c>
      <c r="AJ467" s="36">
        <v>200000</v>
      </c>
      <c r="AK467" s="36"/>
      <c r="AL467" s="37">
        <f t="shared" si="53"/>
        <v>2216000</v>
      </c>
      <c r="AM467" s="36"/>
      <c r="AN467" s="36"/>
      <c r="AO467" s="36"/>
      <c r="AP467" s="7"/>
      <c r="AQ467" s="38">
        <f t="shared" si="54"/>
        <v>7852849.8900000006</v>
      </c>
      <c r="AR467" s="36">
        <v>7853000</v>
      </c>
      <c r="AS467" s="18">
        <f t="shared" si="55"/>
        <v>150.10999999940395</v>
      </c>
    </row>
    <row r="468" spans="1:45" x14ac:dyDescent="0.25">
      <c r="A468" s="40">
        <v>45756</v>
      </c>
      <c r="B468" s="20">
        <v>1824.3679999999999</v>
      </c>
      <c r="C468" s="20">
        <v>3256.0650000000001</v>
      </c>
      <c r="D468" s="20">
        <v>5070</v>
      </c>
      <c r="E468" s="20">
        <v>4830</v>
      </c>
      <c r="F468" s="7">
        <f t="shared" si="49"/>
        <v>9249545.7599999998</v>
      </c>
      <c r="G468" s="7">
        <f t="shared" si="50"/>
        <v>15726793.950000001</v>
      </c>
      <c r="H468" s="20">
        <v>52</v>
      </c>
      <c r="I468" s="20">
        <v>1182000</v>
      </c>
      <c r="J468" s="20">
        <v>79</v>
      </c>
      <c r="K468" s="20">
        <v>930800</v>
      </c>
      <c r="L468" s="20">
        <v>15000</v>
      </c>
      <c r="M468" s="20">
        <v>500000</v>
      </c>
      <c r="N468" s="20"/>
      <c r="O468" s="20">
        <v>0</v>
      </c>
      <c r="P468" s="20"/>
      <c r="Q468" s="19">
        <f t="shared" si="51"/>
        <v>27604139.710000001</v>
      </c>
      <c r="R468" s="20">
        <v>465810</v>
      </c>
      <c r="S468" s="20">
        <v>7408297</v>
      </c>
      <c r="T468" s="20"/>
      <c r="U468" s="20"/>
      <c r="V468" s="20"/>
      <c r="W468" s="20">
        <v>254000</v>
      </c>
      <c r="X468" s="20">
        <v>11841552</v>
      </c>
      <c r="Y468" s="8">
        <f t="shared" si="52"/>
        <v>7634480.7100000009</v>
      </c>
      <c r="Z468" s="36"/>
      <c r="AA468" s="36"/>
      <c r="AB468" s="36"/>
      <c r="AC468" s="36">
        <v>54000</v>
      </c>
      <c r="AD468" s="36"/>
      <c r="AE468" s="36"/>
      <c r="AF468" s="36">
        <v>1053000</v>
      </c>
      <c r="AG468" s="36"/>
      <c r="AH468" s="36"/>
      <c r="AI468" s="36"/>
      <c r="AJ468" s="36">
        <v>28000</v>
      </c>
      <c r="AK468" s="36"/>
      <c r="AL468" s="37">
        <f t="shared" si="53"/>
        <v>1135000</v>
      </c>
      <c r="AM468" s="36"/>
      <c r="AN468" s="36"/>
      <c r="AO468" s="36"/>
      <c r="AP468" s="7"/>
      <c r="AQ468" s="38">
        <f t="shared" si="54"/>
        <v>6499480.7100000009</v>
      </c>
      <c r="AR468" s="36">
        <v>6503000</v>
      </c>
      <c r="AS468" s="18">
        <f t="shared" si="55"/>
        <v>3519.2899999991059</v>
      </c>
    </row>
    <row r="469" spans="1:45" x14ac:dyDescent="0.25">
      <c r="A469" s="40">
        <v>45757</v>
      </c>
      <c r="B469" s="20">
        <v>1567.4280000000001</v>
      </c>
      <c r="C469" s="20">
        <v>3970.27</v>
      </c>
      <c r="D469" s="20">
        <v>5070</v>
      </c>
      <c r="E469" s="20">
        <v>4830</v>
      </c>
      <c r="F469" s="7">
        <f t="shared" si="49"/>
        <v>7946859.9600000009</v>
      </c>
      <c r="G469" s="7">
        <f t="shared" si="50"/>
        <v>19176404.100000001</v>
      </c>
      <c r="H469" s="20">
        <v>61</v>
      </c>
      <c r="I469" s="20">
        <v>1469000</v>
      </c>
      <c r="J469" s="20">
        <v>48</v>
      </c>
      <c r="K469" s="20">
        <v>447000</v>
      </c>
      <c r="L469" s="20">
        <v>0</v>
      </c>
      <c r="M469" s="20"/>
      <c r="N469" s="20"/>
      <c r="O469" s="20">
        <v>200000</v>
      </c>
      <c r="P469" s="20"/>
      <c r="Q469" s="19">
        <f t="shared" si="51"/>
        <v>29239264.060000002</v>
      </c>
      <c r="R469" s="20">
        <v>1226784</v>
      </c>
      <c r="S469" s="20">
        <v>14888801</v>
      </c>
      <c r="T469" s="20"/>
      <c r="U469" s="20"/>
      <c r="V469" s="20"/>
      <c r="W469" s="20">
        <v>0</v>
      </c>
      <c r="X469" s="20">
        <v>7237656</v>
      </c>
      <c r="Y469" s="8">
        <f t="shared" si="52"/>
        <v>5886023.0600000024</v>
      </c>
      <c r="Z469" s="36"/>
      <c r="AA469" s="36"/>
      <c r="AB469" s="36"/>
      <c r="AC469" s="36"/>
      <c r="AD469" s="36" t="s">
        <v>124</v>
      </c>
      <c r="AE469" s="36"/>
      <c r="AF469" s="36">
        <v>36000</v>
      </c>
      <c r="AG469" s="36"/>
      <c r="AH469" s="36"/>
      <c r="AI469" s="36">
        <v>5000</v>
      </c>
      <c r="AJ469" s="36"/>
      <c r="AK469" s="36"/>
      <c r="AL469" s="37">
        <f t="shared" si="53"/>
        <v>41000</v>
      </c>
      <c r="AM469" s="36"/>
      <c r="AN469" s="36"/>
      <c r="AO469" s="36"/>
      <c r="AP469" s="7"/>
      <c r="AQ469" s="38">
        <f t="shared" si="54"/>
        <v>5845023.0600000024</v>
      </c>
      <c r="AR469" s="36">
        <v>5864800</v>
      </c>
      <c r="AS469" s="18">
        <f t="shared" si="55"/>
        <v>19776.939999997616</v>
      </c>
    </row>
    <row r="470" spans="1:45" x14ac:dyDescent="0.25">
      <c r="A470" s="40">
        <v>45758</v>
      </c>
      <c r="B470" s="20">
        <v>2136.652</v>
      </c>
      <c r="C470" s="20">
        <v>3472.873</v>
      </c>
      <c r="D470" s="20">
        <v>5095</v>
      </c>
      <c r="E470" s="20">
        <v>4859</v>
      </c>
      <c r="F470" s="7">
        <f t="shared" si="49"/>
        <v>10886241.939999999</v>
      </c>
      <c r="G470" s="7">
        <f t="shared" si="50"/>
        <v>16874689.907000002</v>
      </c>
      <c r="H470" s="20">
        <v>186</v>
      </c>
      <c r="I470" s="20">
        <v>4135000</v>
      </c>
      <c r="J470" s="20">
        <v>42</v>
      </c>
      <c r="K470" s="20">
        <v>371000</v>
      </c>
      <c r="L470" s="20">
        <v>240000</v>
      </c>
      <c r="M470" s="20"/>
      <c r="N470" s="20"/>
      <c r="O470" s="20">
        <v>2179800</v>
      </c>
      <c r="P470" s="20"/>
      <c r="Q470" s="19">
        <f t="shared" si="51"/>
        <v>34686731.847000003</v>
      </c>
      <c r="R470" s="20">
        <v>599354</v>
      </c>
      <c r="S470" s="20">
        <v>11078498</v>
      </c>
      <c r="T470" s="20"/>
      <c r="U470" s="20"/>
      <c r="V470" s="20"/>
      <c r="W470" s="20">
        <v>193587</v>
      </c>
      <c r="X470" s="20">
        <v>11791264</v>
      </c>
      <c r="Y470" s="8">
        <f t="shared" si="52"/>
        <v>11024028.847000003</v>
      </c>
      <c r="Z470" s="36"/>
      <c r="AA470" s="36"/>
      <c r="AB470" s="36"/>
      <c r="AC470" s="36"/>
      <c r="AD470" s="36"/>
      <c r="AE470" s="36"/>
      <c r="AF470" s="36">
        <v>8000</v>
      </c>
      <c r="AG470" s="36"/>
      <c r="AH470" s="36"/>
      <c r="AI470" s="36">
        <v>0</v>
      </c>
      <c r="AJ470" s="36"/>
      <c r="AK470" s="36"/>
      <c r="AL470" s="37">
        <f t="shared" si="53"/>
        <v>8000</v>
      </c>
      <c r="AM470" s="36"/>
      <c r="AN470" s="36"/>
      <c r="AO470" s="36"/>
      <c r="AP470" s="7"/>
      <c r="AQ470" s="38">
        <f t="shared" si="54"/>
        <v>11016028.847000003</v>
      </c>
      <c r="AR470" s="36">
        <v>11015800</v>
      </c>
      <c r="AS470" s="18">
        <f t="shared" si="55"/>
        <v>-228.84700000286102</v>
      </c>
    </row>
    <row r="471" spans="1:45" x14ac:dyDescent="0.25">
      <c r="A471" s="40">
        <v>45759</v>
      </c>
      <c r="B471" s="20">
        <v>1916.152</v>
      </c>
      <c r="C471" s="20">
        <v>1572.69</v>
      </c>
      <c r="D471" s="20">
        <v>5095</v>
      </c>
      <c r="E471" s="20">
        <v>4859</v>
      </c>
      <c r="F471" s="7">
        <f t="shared" si="49"/>
        <v>9762794.4399999995</v>
      </c>
      <c r="G471" s="7">
        <f t="shared" si="50"/>
        <v>7641700.71</v>
      </c>
      <c r="H471" s="20">
        <v>40</v>
      </c>
      <c r="I471" s="20">
        <v>834500</v>
      </c>
      <c r="J471" s="20">
        <v>67.5</v>
      </c>
      <c r="K471" s="20">
        <v>603000</v>
      </c>
      <c r="L471" s="20">
        <v>30000</v>
      </c>
      <c r="M471" s="20"/>
      <c r="N471" s="20">
        <v>58000</v>
      </c>
      <c r="O471" s="20"/>
      <c r="P471" s="20"/>
      <c r="Q471" s="19">
        <f t="shared" si="51"/>
        <v>18929995.149999999</v>
      </c>
      <c r="R471" s="20">
        <v>677857</v>
      </c>
      <c r="S471" s="20">
        <v>4077421</v>
      </c>
      <c r="T471" s="20"/>
      <c r="U471" s="20"/>
      <c r="V471" s="20"/>
      <c r="W471" s="20"/>
      <c r="X471" s="20">
        <v>6129790</v>
      </c>
      <c r="Y471" s="8">
        <f t="shared" si="52"/>
        <v>8044927.1499999985</v>
      </c>
      <c r="Z471" s="36"/>
      <c r="AA471" s="36"/>
      <c r="AB471" s="36"/>
      <c r="AC471" s="36"/>
      <c r="AD471" s="36">
        <v>97150</v>
      </c>
      <c r="AE471" s="36"/>
      <c r="AF471" s="36">
        <v>3000</v>
      </c>
      <c r="AG471" s="36"/>
      <c r="AH471" s="36">
        <v>22000</v>
      </c>
      <c r="AI471" s="36"/>
      <c r="AJ471" s="36"/>
      <c r="AK471" s="36"/>
      <c r="AL471" s="37">
        <f t="shared" si="53"/>
        <v>122150</v>
      </c>
      <c r="AM471" s="36"/>
      <c r="AN471" s="36"/>
      <c r="AO471" s="36"/>
      <c r="AP471" s="7"/>
      <c r="AQ471" s="38">
        <f t="shared" si="54"/>
        <v>7922777.1499999985</v>
      </c>
      <c r="AR471" s="36">
        <v>7922800</v>
      </c>
      <c r="AS471" s="18">
        <f t="shared" si="55"/>
        <v>22.850000001490116</v>
      </c>
    </row>
    <row r="472" spans="1:45" x14ac:dyDescent="0.25">
      <c r="A472" s="40">
        <v>45760</v>
      </c>
      <c r="B472" s="20">
        <v>2133.5949999999998</v>
      </c>
      <c r="C472" s="20">
        <v>2957.5520000000001</v>
      </c>
      <c r="D472" s="20">
        <v>5095</v>
      </c>
      <c r="E472" s="20">
        <v>4859</v>
      </c>
      <c r="F472" s="7">
        <f t="shared" si="49"/>
        <v>10870666.524999999</v>
      </c>
      <c r="G472" s="7">
        <f t="shared" si="50"/>
        <v>14370745.168000001</v>
      </c>
      <c r="H472" s="20">
        <v>60</v>
      </c>
      <c r="I472" s="20">
        <v>1308500</v>
      </c>
      <c r="J472" s="20">
        <v>57.5</v>
      </c>
      <c r="K472" s="20">
        <v>504000</v>
      </c>
      <c r="L472" s="20">
        <v>0</v>
      </c>
      <c r="M472" s="20"/>
      <c r="N472" s="20">
        <v>0</v>
      </c>
      <c r="O472" s="20">
        <v>0</v>
      </c>
      <c r="P472" s="20"/>
      <c r="Q472" s="19">
        <f t="shared" si="51"/>
        <v>27053911.693</v>
      </c>
      <c r="R472" s="20">
        <v>637477</v>
      </c>
      <c r="S472" s="20">
        <v>9055573</v>
      </c>
      <c r="T472" s="20"/>
      <c r="U472" s="20"/>
      <c r="V472" s="20"/>
      <c r="W472" s="20"/>
      <c r="X472" s="20">
        <v>10177170</v>
      </c>
      <c r="Y472" s="8">
        <f t="shared" si="52"/>
        <v>7183691.693</v>
      </c>
      <c r="Z472" s="36"/>
      <c r="AA472" s="36"/>
      <c r="AB472" s="36"/>
      <c r="AC472" s="36"/>
      <c r="AD472" s="36"/>
      <c r="AE472" s="36"/>
      <c r="AF472" s="36">
        <v>3000</v>
      </c>
      <c r="AG472" s="36"/>
      <c r="AH472" s="36"/>
      <c r="AI472" s="36"/>
      <c r="AJ472" s="36"/>
      <c r="AK472" s="36"/>
      <c r="AL472" s="37">
        <f t="shared" si="53"/>
        <v>3000</v>
      </c>
      <c r="AM472" s="36"/>
      <c r="AN472" s="36"/>
      <c r="AO472" s="36"/>
      <c r="AP472" s="7"/>
      <c r="AQ472" s="38">
        <f t="shared" si="54"/>
        <v>7180691.693</v>
      </c>
      <c r="AR472" s="36"/>
      <c r="AS472" s="18">
        <f t="shared" si="55"/>
        <v>-7180691.693</v>
      </c>
    </row>
    <row r="473" spans="1:45" x14ac:dyDescent="0.25">
      <c r="A473" s="40">
        <v>45761</v>
      </c>
      <c r="B473" s="20">
        <v>1473.9849999999999</v>
      </c>
      <c r="C473" s="20">
        <v>2702.3180000000002</v>
      </c>
      <c r="D473" s="20">
        <v>5095</v>
      </c>
      <c r="E473" s="20">
        <v>4859</v>
      </c>
      <c r="F473" s="7">
        <f t="shared" si="49"/>
        <v>7509953.5749999993</v>
      </c>
      <c r="G473" s="7">
        <f t="shared" si="50"/>
        <v>13130563.162</v>
      </c>
      <c r="H473" s="20">
        <v>30</v>
      </c>
      <c r="I473" s="20">
        <v>616500</v>
      </c>
      <c r="J473" s="20">
        <v>100.5</v>
      </c>
      <c r="K473" s="20">
        <v>896000</v>
      </c>
      <c r="L473" s="20">
        <v>65000</v>
      </c>
      <c r="M473" s="20"/>
      <c r="N473" s="20"/>
      <c r="O473" s="20">
        <v>770000</v>
      </c>
      <c r="P473" s="20"/>
      <c r="Q473" s="19">
        <f t="shared" si="51"/>
        <v>22988016.737</v>
      </c>
      <c r="R473" s="20">
        <v>727565</v>
      </c>
      <c r="S473" s="20">
        <v>9657934</v>
      </c>
      <c r="T473" s="20"/>
      <c r="U473" s="20"/>
      <c r="V473" s="20"/>
      <c r="W473" s="20"/>
      <c r="X473" s="20">
        <v>4887054</v>
      </c>
      <c r="Y473" s="8">
        <f t="shared" si="52"/>
        <v>7715463.7369999997</v>
      </c>
      <c r="Z473" s="36"/>
      <c r="AA473" s="36"/>
      <c r="AB473" s="36"/>
      <c r="AC473" s="36"/>
      <c r="AD473" s="36">
        <v>203800</v>
      </c>
      <c r="AE473" s="36"/>
      <c r="AF473" s="36">
        <v>20000</v>
      </c>
      <c r="AG473" s="36"/>
      <c r="AH473" s="36"/>
      <c r="AI473" s="36"/>
      <c r="AJ473" s="36"/>
      <c r="AK473" s="36"/>
      <c r="AL473" s="37">
        <f t="shared" si="53"/>
        <v>223800</v>
      </c>
      <c r="AM473" s="36"/>
      <c r="AN473" s="36"/>
      <c r="AO473" s="36"/>
      <c r="AP473" s="7"/>
      <c r="AQ473" s="38">
        <f t="shared" si="54"/>
        <v>7491663.7369999997</v>
      </c>
      <c r="AR473" s="36">
        <v>14672400</v>
      </c>
      <c r="AS473" s="18">
        <f t="shared" si="55"/>
        <v>7180736.2630000003</v>
      </c>
    </row>
    <row r="474" spans="1:45" x14ac:dyDescent="0.25">
      <c r="A474" s="40">
        <v>45762</v>
      </c>
      <c r="B474" s="20">
        <v>1928.415</v>
      </c>
      <c r="C474" s="20">
        <v>2786.2640000000001</v>
      </c>
      <c r="D474" s="20">
        <v>5095</v>
      </c>
      <c r="E474" s="20">
        <v>4859</v>
      </c>
      <c r="F474" s="7">
        <f t="shared" si="49"/>
        <v>9825274.4250000007</v>
      </c>
      <c r="G474" s="7">
        <f t="shared" si="50"/>
        <v>13538456.776000001</v>
      </c>
      <c r="H474" s="20">
        <v>52</v>
      </c>
      <c r="I474" s="20">
        <v>1093500</v>
      </c>
      <c r="J474" s="20">
        <v>122.5</v>
      </c>
      <c r="K474" s="20">
        <v>1337200</v>
      </c>
      <c r="L474" s="20">
        <v>0</v>
      </c>
      <c r="M474" s="20"/>
      <c r="N474" s="20"/>
      <c r="O474" s="20">
        <v>100000</v>
      </c>
      <c r="P474" s="20"/>
      <c r="Q474" s="19">
        <f t="shared" si="51"/>
        <v>25894431.201000001</v>
      </c>
      <c r="R474" s="20">
        <v>1072706</v>
      </c>
      <c r="S474" s="20">
        <v>8364757</v>
      </c>
      <c r="T474" s="20"/>
      <c r="U474" s="20"/>
      <c r="V474" s="20"/>
      <c r="W474" s="20"/>
      <c r="X474" s="20">
        <v>7034511</v>
      </c>
      <c r="Y474" s="8">
        <f t="shared" si="52"/>
        <v>9422457.2010000013</v>
      </c>
      <c r="Z474" s="36"/>
      <c r="AA474" s="36"/>
      <c r="AB474" s="36"/>
      <c r="AC474" s="36"/>
      <c r="AD474" s="36">
        <v>97180</v>
      </c>
      <c r="AE474" s="36"/>
      <c r="AF474" s="36">
        <v>3000</v>
      </c>
      <c r="AG474" s="36"/>
      <c r="AH474" s="36"/>
      <c r="AI474" s="36"/>
      <c r="AJ474" s="36"/>
      <c r="AK474" s="36"/>
      <c r="AL474" s="37">
        <f t="shared" si="53"/>
        <v>100180</v>
      </c>
      <c r="AM474" s="36"/>
      <c r="AN474" s="36"/>
      <c r="AO474" s="36"/>
      <c r="AP474" s="7"/>
      <c r="AQ474" s="38">
        <f t="shared" si="54"/>
        <v>9322277.2010000013</v>
      </c>
      <c r="AR474" s="36">
        <v>9322300</v>
      </c>
      <c r="AS474" s="18">
        <f t="shared" si="55"/>
        <v>22.7989999987185</v>
      </c>
    </row>
    <row r="475" spans="1:45" x14ac:dyDescent="0.25">
      <c r="A475" s="40">
        <v>45763</v>
      </c>
      <c r="B475" s="20">
        <v>2038.386</v>
      </c>
      <c r="C475" s="20">
        <v>2576.8870000000002</v>
      </c>
      <c r="D475" s="20">
        <v>5095</v>
      </c>
      <c r="E475" s="20">
        <v>4859</v>
      </c>
      <c r="F475" s="7">
        <f t="shared" si="49"/>
        <v>10385576.67</v>
      </c>
      <c r="G475" s="7">
        <f t="shared" si="50"/>
        <v>12521093.933</v>
      </c>
      <c r="H475" s="20">
        <v>67</v>
      </c>
      <c r="I475" s="20">
        <v>1736900</v>
      </c>
      <c r="J475" s="20">
        <v>98</v>
      </c>
      <c r="K475" s="20">
        <v>816000</v>
      </c>
      <c r="L475" s="20">
        <v>46000</v>
      </c>
      <c r="M475" s="20"/>
      <c r="N475" s="20">
        <v>58000</v>
      </c>
      <c r="O475" s="20">
        <v>100000</v>
      </c>
      <c r="P475" s="20"/>
      <c r="Q475" s="19">
        <f t="shared" si="51"/>
        <v>25663570.603</v>
      </c>
      <c r="R475" s="20">
        <v>667776</v>
      </c>
      <c r="S475" s="20">
        <v>7465080</v>
      </c>
      <c r="T475" s="20"/>
      <c r="U475" s="20"/>
      <c r="V475" s="20"/>
      <c r="W475" s="20"/>
      <c r="X475" s="20">
        <v>6654982</v>
      </c>
      <c r="Y475" s="8">
        <f t="shared" si="52"/>
        <v>10875732.603</v>
      </c>
      <c r="Z475" s="36"/>
      <c r="AA475" s="36"/>
      <c r="AB475" s="36"/>
      <c r="AC475" s="36">
        <v>28000</v>
      </c>
      <c r="AD475" s="36">
        <v>0</v>
      </c>
      <c r="AE475" s="36"/>
      <c r="AF475" s="36">
        <v>23000</v>
      </c>
      <c r="AG475" s="36"/>
      <c r="AH475" s="36"/>
      <c r="AI475" s="36"/>
      <c r="AJ475" s="36"/>
      <c r="AK475" s="36"/>
      <c r="AL475" s="37">
        <f t="shared" si="53"/>
        <v>51000</v>
      </c>
      <c r="AM475" s="36"/>
      <c r="AN475" s="36"/>
      <c r="AO475" s="36"/>
      <c r="AP475" s="7"/>
      <c r="AQ475" s="38">
        <f t="shared" si="54"/>
        <v>10824732.603</v>
      </c>
      <c r="AR475" s="36">
        <v>10824700</v>
      </c>
      <c r="AS475" s="18">
        <f t="shared" si="55"/>
        <v>-32.603000000119209</v>
      </c>
    </row>
    <row r="476" spans="1:45" x14ac:dyDescent="0.25">
      <c r="A476" s="40">
        <v>45764</v>
      </c>
      <c r="B476" s="20">
        <v>2127.8380000000002</v>
      </c>
      <c r="C476" s="20">
        <v>3101.12</v>
      </c>
      <c r="D476" s="20">
        <v>5095</v>
      </c>
      <c r="E476" s="20">
        <v>4859</v>
      </c>
      <c r="F476" s="7">
        <f t="shared" si="49"/>
        <v>10841334.610000001</v>
      </c>
      <c r="G476" s="7">
        <f t="shared" si="50"/>
        <v>15068342.08</v>
      </c>
      <c r="H476" s="20">
        <v>54.5</v>
      </c>
      <c r="I476" s="20">
        <v>1261500</v>
      </c>
      <c r="J476" s="20">
        <v>196</v>
      </c>
      <c r="K476" s="20">
        <v>1953000</v>
      </c>
      <c r="L476" s="20">
        <v>15000</v>
      </c>
      <c r="M476" s="20"/>
      <c r="N476" s="20"/>
      <c r="O476" s="20">
        <v>70000</v>
      </c>
      <c r="P476" s="20"/>
      <c r="Q476" s="19">
        <f t="shared" si="51"/>
        <v>29209176.690000001</v>
      </c>
      <c r="R476" s="20">
        <v>1195353</v>
      </c>
      <c r="S476" s="20">
        <v>10449657</v>
      </c>
      <c r="T476" s="20"/>
      <c r="U476" s="20"/>
      <c r="V476" s="20"/>
      <c r="W476" s="20"/>
      <c r="X476" s="20">
        <v>6972168</v>
      </c>
      <c r="Y476" s="8">
        <f t="shared" si="52"/>
        <v>10591998.690000001</v>
      </c>
      <c r="Z476" s="36"/>
      <c r="AA476" s="36"/>
      <c r="AB476" s="36"/>
      <c r="AC476" s="36"/>
      <c r="AD476" s="36"/>
      <c r="AE476" s="36"/>
      <c r="AF476" s="36">
        <v>26000</v>
      </c>
      <c r="AG476" s="36"/>
      <c r="AH476" s="36"/>
      <c r="AI476" s="36"/>
      <c r="AJ476" s="36">
        <v>52000</v>
      </c>
      <c r="AK476" s="36"/>
      <c r="AL476" s="37">
        <f t="shared" si="53"/>
        <v>78000</v>
      </c>
      <c r="AM476" s="36">
        <v>2047500</v>
      </c>
      <c r="AN476" s="36"/>
      <c r="AO476" s="36"/>
      <c r="AP476" s="7"/>
      <c r="AQ476" s="38">
        <f t="shared" si="54"/>
        <v>8466498.6900000013</v>
      </c>
      <c r="AR476" s="36">
        <v>8466500</v>
      </c>
      <c r="AS476" s="18">
        <f t="shared" si="55"/>
        <v>1.3099999986588955</v>
      </c>
    </row>
    <row r="477" spans="1:45" x14ac:dyDescent="0.25">
      <c r="A477" s="40">
        <v>45765</v>
      </c>
      <c r="B477" s="20">
        <v>2468.5100000000002</v>
      </c>
      <c r="C477" s="20">
        <v>2294.0070000000001</v>
      </c>
      <c r="D477" s="20">
        <v>5119</v>
      </c>
      <c r="E477" s="20">
        <v>4879</v>
      </c>
      <c r="F477" s="7">
        <f t="shared" si="49"/>
        <v>12636302.690000001</v>
      </c>
      <c r="G477" s="7">
        <f t="shared" si="50"/>
        <v>11192460.153000001</v>
      </c>
      <c r="H477" s="20">
        <v>82.25</v>
      </c>
      <c r="I477" s="20">
        <v>1854500</v>
      </c>
      <c r="J477" s="20">
        <v>82.5</v>
      </c>
      <c r="K477" s="20">
        <v>806000</v>
      </c>
      <c r="L477" s="20">
        <v>40000</v>
      </c>
      <c r="M477" s="20"/>
      <c r="N477" s="20">
        <v>600000</v>
      </c>
      <c r="O477" s="20">
        <v>797000</v>
      </c>
      <c r="P477" s="20"/>
      <c r="Q477" s="19">
        <f t="shared" si="51"/>
        <v>27926262.843000002</v>
      </c>
      <c r="R477" s="20">
        <v>1207272</v>
      </c>
      <c r="S477" s="20">
        <v>6481589</v>
      </c>
      <c r="T477" s="20"/>
      <c r="U477" s="20"/>
      <c r="V477" s="20"/>
      <c r="W477" s="20"/>
      <c r="X477" s="20">
        <v>11980287</v>
      </c>
      <c r="Y477" s="8">
        <f t="shared" si="52"/>
        <v>8257114.8430000022</v>
      </c>
      <c r="Z477" s="36"/>
      <c r="AA477" s="36"/>
      <c r="AB477" s="36"/>
      <c r="AC477" s="36"/>
      <c r="AD477" s="36">
        <v>195160</v>
      </c>
      <c r="AE477" s="36"/>
      <c r="AF477" s="36">
        <v>6000</v>
      </c>
      <c r="AG477" s="36"/>
      <c r="AH477" s="36">
        <v>10000</v>
      </c>
      <c r="AI477" s="36"/>
      <c r="AJ477" s="36">
        <v>783700</v>
      </c>
      <c r="AK477" s="36"/>
      <c r="AL477" s="37">
        <f t="shared" si="53"/>
        <v>994860</v>
      </c>
      <c r="AM477" s="36"/>
      <c r="AN477" s="36"/>
      <c r="AO477" s="36"/>
      <c r="AP477" s="7"/>
      <c r="AQ477" s="38">
        <f t="shared" si="54"/>
        <v>7262254.8430000022</v>
      </c>
      <c r="AR477" s="36">
        <v>0</v>
      </c>
      <c r="AS477" s="18">
        <f t="shared" si="55"/>
        <v>-7262254.8430000022</v>
      </c>
    </row>
    <row r="478" spans="1:45" x14ac:dyDescent="0.25">
      <c r="A478" s="40">
        <v>45766</v>
      </c>
      <c r="B478" s="20">
        <v>2144.1790000000001</v>
      </c>
      <c r="C478" s="20">
        <v>3397.9189999999999</v>
      </c>
      <c r="D478" s="20">
        <v>5119</v>
      </c>
      <c r="E478" s="20">
        <v>4879</v>
      </c>
      <c r="F478" s="7">
        <f t="shared" si="49"/>
        <v>10976052.301000001</v>
      </c>
      <c r="G478" s="7">
        <f t="shared" si="50"/>
        <v>16578446.800999999</v>
      </c>
      <c r="H478" s="20">
        <v>112</v>
      </c>
      <c r="I478" s="20">
        <v>2409000</v>
      </c>
      <c r="J478" s="20">
        <v>103.3</v>
      </c>
      <c r="K478" s="20">
        <v>1151000</v>
      </c>
      <c r="L478" s="20">
        <v>134000</v>
      </c>
      <c r="M478" s="20"/>
      <c r="N478" s="20">
        <v>0</v>
      </c>
      <c r="O478" s="20">
        <v>0</v>
      </c>
      <c r="P478" s="20"/>
      <c r="Q478" s="19">
        <f t="shared" si="51"/>
        <v>31248499.101999998</v>
      </c>
      <c r="R478" s="20">
        <v>710285</v>
      </c>
      <c r="S478" s="20">
        <v>10928427</v>
      </c>
      <c r="T478" s="20"/>
      <c r="U478" s="20"/>
      <c r="V478" s="20"/>
      <c r="W478" s="20"/>
      <c r="X478" s="20">
        <v>12463253</v>
      </c>
      <c r="Y478" s="8">
        <f t="shared" si="52"/>
        <v>7146534.1019999981</v>
      </c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7">
        <f t="shared" si="53"/>
        <v>0</v>
      </c>
      <c r="AM478" s="36"/>
      <c r="AN478" s="36"/>
      <c r="AO478" s="36"/>
      <c r="AP478" s="7"/>
      <c r="AQ478" s="38">
        <f t="shared" si="54"/>
        <v>7146534.1019999981</v>
      </c>
      <c r="AR478" s="36">
        <v>14409300</v>
      </c>
      <c r="AS478" s="18">
        <f t="shared" si="55"/>
        <v>7262765.8980000019</v>
      </c>
    </row>
    <row r="479" spans="1:45" x14ac:dyDescent="0.25">
      <c r="A479" s="40">
        <v>45767</v>
      </c>
      <c r="B479" s="20">
        <v>2656.55</v>
      </c>
      <c r="C479" s="20">
        <v>2533.4160000000002</v>
      </c>
      <c r="D479" s="20">
        <v>5119</v>
      </c>
      <c r="E479" s="20">
        <v>4879</v>
      </c>
      <c r="F479" s="7">
        <f t="shared" si="49"/>
        <v>13598879.450000001</v>
      </c>
      <c r="G479" s="7">
        <f t="shared" si="50"/>
        <v>12360536.664000001</v>
      </c>
      <c r="H479" s="20">
        <v>53</v>
      </c>
      <c r="I479" s="20">
        <v>1145000</v>
      </c>
      <c r="J479" s="20">
        <v>129</v>
      </c>
      <c r="K479" s="20">
        <v>1292400</v>
      </c>
      <c r="L479" s="20">
        <v>31000</v>
      </c>
      <c r="M479" s="20"/>
      <c r="N479" s="20">
        <v>0</v>
      </c>
      <c r="O479" s="20"/>
      <c r="P479" s="20"/>
      <c r="Q479" s="19">
        <f t="shared" si="51"/>
        <v>28427816.114</v>
      </c>
      <c r="R479" s="20">
        <v>1992097</v>
      </c>
      <c r="S479" s="20">
        <v>4286622</v>
      </c>
      <c r="T479" s="20"/>
      <c r="U479" s="20"/>
      <c r="V479" s="20"/>
      <c r="W479" s="20"/>
      <c r="X479" s="20">
        <v>12755145</v>
      </c>
      <c r="Y479" s="8">
        <f t="shared" si="52"/>
        <v>9393952.1140000001</v>
      </c>
      <c r="Z479" s="36">
        <v>966100</v>
      </c>
      <c r="AA479" s="36"/>
      <c r="AB479" s="36"/>
      <c r="AC479" s="36"/>
      <c r="AD479" s="36">
        <v>97580</v>
      </c>
      <c r="AE479" s="36"/>
      <c r="AF479" s="36">
        <v>200000</v>
      </c>
      <c r="AG479" s="36"/>
      <c r="AH479" s="36"/>
      <c r="AI479" s="36"/>
      <c r="AJ479" s="36"/>
      <c r="AK479" s="36"/>
      <c r="AL479" s="37">
        <f t="shared" si="53"/>
        <v>1263680</v>
      </c>
      <c r="AM479" s="36"/>
      <c r="AN479" s="36">
        <v>2595000</v>
      </c>
      <c r="AO479" s="36"/>
      <c r="AP479" s="7"/>
      <c r="AQ479" s="38">
        <f t="shared" si="54"/>
        <v>5535272.1140000001</v>
      </c>
      <c r="AR479" s="36">
        <v>0</v>
      </c>
      <c r="AS479" s="18">
        <f t="shared" si="55"/>
        <v>-5535272.1140000001</v>
      </c>
    </row>
    <row r="480" spans="1:45" x14ac:dyDescent="0.25">
      <c r="A480" s="40">
        <v>45768</v>
      </c>
      <c r="B480" s="20">
        <v>828.71699999999998</v>
      </c>
      <c r="C480" s="20">
        <v>1081.4960000000001</v>
      </c>
      <c r="D480" s="20">
        <v>5119</v>
      </c>
      <c r="E480" s="20">
        <v>4879</v>
      </c>
      <c r="F480" s="7">
        <f t="shared" si="49"/>
        <v>4242202.3229999999</v>
      </c>
      <c r="G480" s="7">
        <f t="shared" si="50"/>
        <v>5276618.9840000002</v>
      </c>
      <c r="H480" s="20">
        <v>28</v>
      </c>
      <c r="I480" s="20">
        <v>727000</v>
      </c>
      <c r="J480" s="20">
        <v>36.5</v>
      </c>
      <c r="K480" s="20">
        <v>483400</v>
      </c>
      <c r="L480" s="20">
        <v>120000</v>
      </c>
      <c r="M480" s="20"/>
      <c r="N480" s="20">
        <v>500000</v>
      </c>
      <c r="O480" s="20"/>
      <c r="P480" s="20"/>
      <c r="Q480" s="19">
        <f t="shared" si="51"/>
        <v>11349221.307</v>
      </c>
      <c r="R480" s="20">
        <v>627140</v>
      </c>
      <c r="S480" s="20">
        <v>3994505</v>
      </c>
      <c r="T480" s="20"/>
      <c r="U480" s="20"/>
      <c r="V480" s="20"/>
      <c r="W480" s="20">
        <v>497000</v>
      </c>
      <c r="X480" s="20">
        <v>1281080</v>
      </c>
      <c r="Y480" s="8">
        <f t="shared" si="52"/>
        <v>4949496.307</v>
      </c>
      <c r="Z480" s="36"/>
      <c r="AA480" s="36"/>
      <c r="AB480" s="36"/>
      <c r="AC480" s="36"/>
      <c r="AD480" s="36"/>
      <c r="AE480" s="36"/>
      <c r="AF480" s="36">
        <v>185000</v>
      </c>
      <c r="AG480" s="36"/>
      <c r="AH480" s="36">
        <v>19000</v>
      </c>
      <c r="AI480" s="36"/>
      <c r="AJ480" s="36"/>
      <c r="AK480" s="36"/>
      <c r="AL480" s="37">
        <f t="shared" si="53"/>
        <v>204000</v>
      </c>
      <c r="AM480" s="36"/>
      <c r="AN480" s="36"/>
      <c r="AO480" s="36"/>
      <c r="AP480" s="7"/>
      <c r="AQ480" s="38">
        <f t="shared" si="54"/>
        <v>4745496.307</v>
      </c>
      <c r="AR480" s="36">
        <v>0</v>
      </c>
      <c r="AS480" s="18">
        <f t="shared" si="55"/>
        <v>-4745496.307</v>
      </c>
    </row>
    <row r="481" spans="1:45" x14ac:dyDescent="0.25">
      <c r="A481" s="40">
        <v>45769</v>
      </c>
      <c r="B481" s="20">
        <v>0</v>
      </c>
      <c r="C481" s="20">
        <v>423</v>
      </c>
      <c r="D481" s="20">
        <v>5119</v>
      </c>
      <c r="E481" s="20">
        <v>4879</v>
      </c>
      <c r="F481" s="7">
        <f t="shared" si="49"/>
        <v>0</v>
      </c>
      <c r="G481" s="7">
        <f t="shared" si="50"/>
        <v>2063817</v>
      </c>
      <c r="H481" s="20">
        <v>25.5</v>
      </c>
      <c r="I481" s="20">
        <v>530500</v>
      </c>
      <c r="J481" s="20">
        <v>118</v>
      </c>
      <c r="K481" s="20">
        <v>1394000</v>
      </c>
      <c r="L481" s="20">
        <v>23000</v>
      </c>
      <c r="M481" s="20"/>
      <c r="N481" s="20">
        <v>650000</v>
      </c>
      <c r="O481" s="20"/>
      <c r="P481" s="20"/>
      <c r="Q481" s="19">
        <f t="shared" si="51"/>
        <v>4661317</v>
      </c>
      <c r="R481" s="20">
        <v>0</v>
      </c>
      <c r="S481" s="20">
        <v>1280032</v>
      </c>
      <c r="T481" s="20"/>
      <c r="U481" s="20"/>
      <c r="V481" s="20"/>
      <c r="W481" s="20"/>
      <c r="X481" s="36">
        <v>360039</v>
      </c>
      <c r="Y481" s="8">
        <f t="shared" si="52"/>
        <v>3021246</v>
      </c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7">
        <f t="shared" si="53"/>
        <v>0</v>
      </c>
      <c r="AM481" s="36"/>
      <c r="AN481" s="36"/>
      <c r="AO481" s="36"/>
      <c r="AP481" s="7"/>
      <c r="AQ481" s="38">
        <f t="shared" si="54"/>
        <v>3021246</v>
      </c>
      <c r="AR481" s="36">
        <v>13314000</v>
      </c>
      <c r="AS481" s="18">
        <f t="shared" si="55"/>
        <v>10292754</v>
      </c>
    </row>
    <row r="482" spans="1:45" x14ac:dyDescent="0.25">
      <c r="A482" s="40">
        <v>45770</v>
      </c>
      <c r="B482" s="36">
        <v>1704.6120000000001</v>
      </c>
      <c r="C482" s="36">
        <v>2891.9989999999998</v>
      </c>
      <c r="D482" s="36">
        <v>5119</v>
      </c>
      <c r="E482" s="36">
        <v>4879</v>
      </c>
      <c r="F482" s="7">
        <f t="shared" si="49"/>
        <v>8725908.8279999997</v>
      </c>
      <c r="G482" s="7">
        <f t="shared" si="50"/>
        <v>14110063.120999999</v>
      </c>
      <c r="H482" s="20">
        <v>52.5</v>
      </c>
      <c r="I482" s="20">
        <v>1308500</v>
      </c>
      <c r="J482" s="20">
        <v>89.5</v>
      </c>
      <c r="K482" s="20">
        <v>1229000</v>
      </c>
      <c r="L482" s="20">
        <v>31000</v>
      </c>
      <c r="M482" s="20"/>
      <c r="N482" s="20"/>
      <c r="O482" s="20">
        <v>2707087</v>
      </c>
      <c r="P482" s="20"/>
      <c r="Q482" s="19">
        <f t="shared" si="51"/>
        <v>28111558.949000001</v>
      </c>
      <c r="R482" s="20">
        <v>100000</v>
      </c>
      <c r="S482" s="20">
        <v>7964707</v>
      </c>
      <c r="T482" s="20"/>
      <c r="U482" s="20"/>
      <c r="V482" s="20"/>
      <c r="W482" s="20"/>
      <c r="X482" s="20">
        <v>10851117</v>
      </c>
      <c r="Y482" s="8">
        <f t="shared" si="52"/>
        <v>9195734.949000001</v>
      </c>
      <c r="Z482" s="36">
        <v>0</v>
      </c>
      <c r="AA482" s="36"/>
      <c r="AB482" s="36"/>
      <c r="AC482" s="36">
        <v>20000</v>
      </c>
      <c r="AD482" s="36">
        <v>97580</v>
      </c>
      <c r="AE482" s="36"/>
      <c r="AF482" s="36">
        <v>0</v>
      </c>
      <c r="AG482" s="36">
        <v>300000</v>
      </c>
      <c r="AH482" s="36">
        <v>21000</v>
      </c>
      <c r="AI482" s="36"/>
      <c r="AJ482" s="36"/>
      <c r="AK482" s="36"/>
      <c r="AL482" s="37">
        <f t="shared" si="53"/>
        <v>438580</v>
      </c>
      <c r="AM482" s="36"/>
      <c r="AN482" s="36"/>
      <c r="AO482" s="36"/>
      <c r="AP482" s="7"/>
      <c r="AQ482" s="38">
        <f t="shared" si="54"/>
        <v>8757154.949000001</v>
      </c>
      <c r="AR482" s="36">
        <v>8757200</v>
      </c>
      <c r="AS482" s="18">
        <f t="shared" si="55"/>
        <v>45.050999999046326</v>
      </c>
    </row>
    <row r="483" spans="1:45" x14ac:dyDescent="0.25">
      <c r="A483" s="40">
        <v>45771</v>
      </c>
      <c r="B483" s="20">
        <v>1415.7070000000001</v>
      </c>
      <c r="C483" s="20">
        <v>2129.7849999999999</v>
      </c>
      <c r="D483" s="20">
        <v>5119</v>
      </c>
      <c r="E483" s="20">
        <v>4879</v>
      </c>
      <c r="F483" s="7">
        <f t="shared" si="49"/>
        <v>7247004.1330000004</v>
      </c>
      <c r="G483" s="7">
        <f t="shared" si="50"/>
        <v>10391221.014999999</v>
      </c>
      <c r="H483" s="20">
        <v>128.25</v>
      </c>
      <c r="I483" s="20">
        <v>3131500</v>
      </c>
      <c r="J483" s="20">
        <v>159</v>
      </c>
      <c r="K483" s="20">
        <v>2014000</v>
      </c>
      <c r="L483" s="20">
        <v>54000</v>
      </c>
      <c r="M483" s="20"/>
      <c r="N483" s="20"/>
      <c r="O483" s="20">
        <v>1123000</v>
      </c>
      <c r="P483" s="20"/>
      <c r="Q483" s="19">
        <f t="shared" si="51"/>
        <v>23960725.147999998</v>
      </c>
      <c r="R483" s="20">
        <v>565490</v>
      </c>
      <c r="S483" s="20">
        <v>4705922</v>
      </c>
      <c r="T483" s="20"/>
      <c r="U483" s="20"/>
      <c r="V483" s="20"/>
      <c r="W483" s="20">
        <v>160000</v>
      </c>
      <c r="X483" s="20">
        <v>6969100</v>
      </c>
      <c r="Y483" s="8">
        <f t="shared" si="52"/>
        <v>11560213.147999998</v>
      </c>
      <c r="Z483" s="36"/>
      <c r="AA483" s="36"/>
      <c r="AB483" s="36"/>
      <c r="AC483" s="36">
        <v>34000</v>
      </c>
      <c r="AD483" s="36"/>
      <c r="AE483" s="36"/>
      <c r="AF483" s="36">
        <v>8000</v>
      </c>
      <c r="AG483" s="36">
        <v>300000</v>
      </c>
      <c r="AH483" s="36"/>
      <c r="AI483" s="36"/>
      <c r="AJ483" s="36"/>
      <c r="AK483" s="36"/>
      <c r="AL483" s="37">
        <f t="shared" si="53"/>
        <v>342000</v>
      </c>
      <c r="AM483" s="36"/>
      <c r="AN483" s="36"/>
      <c r="AO483" s="36"/>
      <c r="AP483" s="7"/>
      <c r="AQ483" s="38">
        <f t="shared" si="54"/>
        <v>11218213.147999998</v>
      </c>
      <c r="AR483" s="36">
        <v>11218200</v>
      </c>
      <c r="AS483" s="18">
        <f t="shared" si="55"/>
        <v>-13.147999998182058</v>
      </c>
    </row>
    <row r="484" spans="1:45" x14ac:dyDescent="0.25">
      <c r="A484" s="40">
        <v>45772</v>
      </c>
      <c r="B484" s="20">
        <v>1694.0989999999999</v>
      </c>
      <c r="C484" s="20">
        <v>2297.9259999999999</v>
      </c>
      <c r="D484" s="20">
        <v>5119</v>
      </c>
      <c r="E484" s="20">
        <v>4879</v>
      </c>
      <c r="F484" s="7">
        <f t="shared" si="49"/>
        <v>8672092.7809999995</v>
      </c>
      <c r="G484" s="7">
        <f t="shared" si="50"/>
        <v>11211580.954</v>
      </c>
      <c r="H484" s="20">
        <v>42.25</v>
      </c>
      <c r="I484" s="20">
        <v>1174000</v>
      </c>
      <c r="J484" s="20">
        <v>216</v>
      </c>
      <c r="K484" s="20">
        <v>2481800</v>
      </c>
      <c r="L484" s="20">
        <v>38000</v>
      </c>
      <c r="M484" s="20"/>
      <c r="N484" s="20"/>
      <c r="O484" s="20">
        <v>0</v>
      </c>
      <c r="P484" s="20"/>
      <c r="Q484" s="19">
        <f t="shared" si="51"/>
        <v>23577473.734999999</v>
      </c>
      <c r="R484" s="20">
        <v>293183</v>
      </c>
      <c r="S484" s="20">
        <v>4534984</v>
      </c>
      <c r="T484" s="20"/>
      <c r="U484" s="20"/>
      <c r="V484" s="20"/>
      <c r="W484" s="20">
        <v>239400</v>
      </c>
      <c r="X484" s="20">
        <v>7874602</v>
      </c>
      <c r="Y484" s="8">
        <f t="shared" si="52"/>
        <v>10635304.734999999</v>
      </c>
      <c r="Z484" s="36"/>
      <c r="AA484" s="36"/>
      <c r="AB484" s="36"/>
      <c r="AC484" s="36"/>
      <c r="AD484" s="36"/>
      <c r="AE484" s="36"/>
      <c r="AF484" s="36">
        <v>3000</v>
      </c>
      <c r="AG484" s="36"/>
      <c r="AH484" s="36"/>
      <c r="AI484" s="36"/>
      <c r="AJ484" s="36"/>
      <c r="AK484" s="36"/>
      <c r="AL484" s="37">
        <f t="shared" si="53"/>
        <v>3000</v>
      </c>
      <c r="AM484" s="36"/>
      <c r="AN484" s="36"/>
      <c r="AO484" s="36"/>
      <c r="AP484" s="7"/>
      <c r="AQ484" s="38">
        <f t="shared" si="54"/>
        <v>10632304.734999999</v>
      </c>
      <c r="AR484" s="36">
        <v>10632400</v>
      </c>
      <c r="AS484" s="18">
        <f t="shared" si="55"/>
        <v>95.265000000596046</v>
      </c>
    </row>
    <row r="485" spans="1:45" x14ac:dyDescent="0.25">
      <c r="A485" s="40">
        <v>45773</v>
      </c>
      <c r="B485" s="20">
        <v>1884.0730000000001</v>
      </c>
      <c r="C485" s="20">
        <v>2849.0650000000001</v>
      </c>
      <c r="D485" s="20">
        <v>5119</v>
      </c>
      <c r="E485" s="20">
        <v>4879</v>
      </c>
      <c r="F485" s="7">
        <f t="shared" si="49"/>
        <v>9644569.6870000008</v>
      </c>
      <c r="G485" s="7">
        <f t="shared" si="50"/>
        <v>13900588.135</v>
      </c>
      <c r="H485" s="20">
        <v>70.25</v>
      </c>
      <c r="I485" s="20">
        <v>1689000</v>
      </c>
      <c r="J485" s="20">
        <v>290.5</v>
      </c>
      <c r="K485" s="20">
        <v>3521000</v>
      </c>
      <c r="L485" s="20">
        <v>46000</v>
      </c>
      <c r="M485" s="20"/>
      <c r="N485" s="20">
        <v>700000</v>
      </c>
      <c r="O485" s="20"/>
      <c r="P485" s="20"/>
      <c r="Q485" s="19">
        <f t="shared" si="51"/>
        <v>29501157.822000001</v>
      </c>
      <c r="R485" s="20">
        <v>756582</v>
      </c>
      <c r="S485" s="20">
        <v>8528545</v>
      </c>
      <c r="T485" s="20"/>
      <c r="U485" s="20"/>
      <c r="V485" s="20"/>
      <c r="W485" s="20">
        <v>478750</v>
      </c>
      <c r="X485" s="20">
        <v>10622345</v>
      </c>
      <c r="Y485" s="8">
        <f t="shared" si="52"/>
        <v>9114935.8220000006</v>
      </c>
      <c r="Z485" s="36"/>
      <c r="AA485" s="36"/>
      <c r="AB485" s="36"/>
      <c r="AC485" s="36"/>
      <c r="AD485" s="36">
        <v>97580</v>
      </c>
      <c r="AE485" s="36"/>
      <c r="AF485" s="36">
        <v>3000</v>
      </c>
      <c r="AG485" s="36"/>
      <c r="AH485" s="36"/>
      <c r="AI485" s="36"/>
      <c r="AJ485" s="36"/>
      <c r="AK485" s="36"/>
      <c r="AL485" s="37">
        <f t="shared" si="53"/>
        <v>100580</v>
      </c>
      <c r="AM485" s="36"/>
      <c r="AN485" s="36"/>
      <c r="AO485" s="36"/>
      <c r="AP485" s="7"/>
      <c r="AQ485" s="38">
        <f t="shared" si="54"/>
        <v>9014355.8220000006</v>
      </c>
      <c r="AR485" s="36">
        <v>9014400</v>
      </c>
      <c r="AS485" s="18">
        <f t="shared" si="55"/>
        <v>44.177999999374151</v>
      </c>
    </row>
    <row r="486" spans="1:45" x14ac:dyDescent="0.25">
      <c r="A486" s="40">
        <v>45774</v>
      </c>
      <c r="B486" s="20">
        <v>2529.163</v>
      </c>
      <c r="C486" s="20">
        <v>2954</v>
      </c>
      <c r="D486" s="20">
        <v>5144</v>
      </c>
      <c r="E486" s="20">
        <v>4879</v>
      </c>
      <c r="F486" s="7">
        <f t="shared" si="49"/>
        <v>13010014.471999999</v>
      </c>
      <c r="G486" s="7">
        <f t="shared" si="50"/>
        <v>14412566</v>
      </c>
      <c r="H486" s="20">
        <v>110.75</v>
      </c>
      <c r="I486" s="20">
        <v>2227500</v>
      </c>
      <c r="J486" s="20">
        <v>192</v>
      </c>
      <c r="K486" s="20">
        <v>1705400</v>
      </c>
      <c r="L486" s="20">
        <v>71000</v>
      </c>
      <c r="M486" s="20"/>
      <c r="N486" s="20"/>
      <c r="O486" s="20">
        <v>0</v>
      </c>
      <c r="P486" s="20"/>
      <c r="Q486" s="19">
        <f t="shared" si="51"/>
        <v>31426480.471999999</v>
      </c>
      <c r="R486" s="20">
        <v>732559</v>
      </c>
      <c r="S486" s="20">
        <v>11093580</v>
      </c>
      <c r="T486" s="20"/>
      <c r="U486" s="20"/>
      <c r="V486" s="20"/>
      <c r="W486" s="20">
        <v>352500</v>
      </c>
      <c r="X486" s="20">
        <v>7524931</v>
      </c>
      <c r="Y486" s="8">
        <f t="shared" si="52"/>
        <v>11722910.471999999</v>
      </c>
      <c r="Z486" s="36"/>
      <c r="AA486" s="36"/>
      <c r="AB486" s="36"/>
      <c r="AC486" s="36">
        <v>90000</v>
      </c>
      <c r="AD486" s="36"/>
      <c r="AE486" s="36"/>
      <c r="AF486" s="36">
        <v>6000</v>
      </c>
      <c r="AG486" s="36"/>
      <c r="AH486" s="36"/>
      <c r="AI486" s="36"/>
      <c r="AJ486" s="36"/>
      <c r="AK486" s="36"/>
      <c r="AL486" s="37">
        <f t="shared" si="53"/>
        <v>96000</v>
      </c>
      <c r="AM486" s="36"/>
      <c r="AN486" s="36"/>
      <c r="AO486" s="36"/>
      <c r="AP486" s="7"/>
      <c r="AQ486" s="38">
        <f t="shared" si="54"/>
        <v>11626910.471999999</v>
      </c>
      <c r="AR486" s="36">
        <v>11627500</v>
      </c>
      <c r="AS486" s="18">
        <f t="shared" si="55"/>
        <v>589.52800000086427</v>
      </c>
    </row>
    <row r="487" spans="1:45" x14ac:dyDescent="0.25">
      <c r="A487" s="40">
        <v>45775</v>
      </c>
      <c r="B487" s="20">
        <v>1647.7929999999999</v>
      </c>
      <c r="C487" s="20">
        <v>2925.5410000000002</v>
      </c>
      <c r="D487" s="20">
        <v>5144</v>
      </c>
      <c r="E487" s="20">
        <v>4879</v>
      </c>
      <c r="F487" s="7">
        <f t="shared" si="49"/>
        <v>8476247.1919999998</v>
      </c>
      <c r="G487" s="7">
        <f t="shared" si="50"/>
        <v>14273714.539000001</v>
      </c>
      <c r="H487" s="20">
        <v>88</v>
      </c>
      <c r="I487" s="20">
        <v>2026500</v>
      </c>
      <c r="J487" s="20">
        <v>241.5</v>
      </c>
      <c r="K487" s="20">
        <v>2152800</v>
      </c>
      <c r="L487" s="20">
        <v>53000</v>
      </c>
      <c r="M487" s="20"/>
      <c r="N487" s="20">
        <v>550000</v>
      </c>
      <c r="O487" s="20">
        <v>0</v>
      </c>
      <c r="P487" s="20"/>
      <c r="Q487" s="19">
        <f t="shared" si="51"/>
        <v>27532261.730999999</v>
      </c>
      <c r="R487" s="20">
        <v>764152</v>
      </c>
      <c r="S487" s="20">
        <v>8718453</v>
      </c>
      <c r="T487" s="20"/>
      <c r="U487" s="20"/>
      <c r="V487" s="20"/>
      <c r="W487" s="20">
        <v>378000</v>
      </c>
      <c r="X487" s="20">
        <v>7456253</v>
      </c>
      <c r="Y487" s="8">
        <f t="shared" si="52"/>
        <v>10215403.730999999</v>
      </c>
      <c r="Z487" s="36"/>
      <c r="AA487" s="36"/>
      <c r="AB487" s="36">
        <v>643100</v>
      </c>
      <c r="AC487" s="36"/>
      <c r="AD487" s="36">
        <v>97580</v>
      </c>
      <c r="AE487" s="36"/>
      <c r="AF487" s="36"/>
      <c r="AG487" s="36"/>
      <c r="AH487" s="36">
        <v>19000</v>
      </c>
      <c r="AI487" s="36"/>
      <c r="AJ487" s="36"/>
      <c r="AK487" s="36"/>
      <c r="AL487" s="37">
        <f t="shared" si="53"/>
        <v>759680</v>
      </c>
      <c r="AM487" s="36"/>
      <c r="AN487" s="36"/>
      <c r="AO487" s="36"/>
      <c r="AP487" s="7"/>
      <c r="AQ487" s="38">
        <f t="shared" si="54"/>
        <v>9455723.7309999987</v>
      </c>
      <c r="AR487" s="36">
        <v>9452500</v>
      </c>
      <c r="AS487" s="18">
        <f t="shared" si="55"/>
        <v>-3223.7309999987483</v>
      </c>
    </row>
    <row r="488" spans="1:45" x14ac:dyDescent="0.25">
      <c r="A488" s="40">
        <v>45776</v>
      </c>
      <c r="B488" s="20">
        <v>1723.3989999999999</v>
      </c>
      <c r="C488" s="20">
        <v>3360.0230000000001</v>
      </c>
      <c r="D488" s="20">
        <v>5144</v>
      </c>
      <c r="E488" s="20">
        <v>4879</v>
      </c>
      <c r="F488" s="7">
        <f t="shared" si="49"/>
        <v>8865164.4560000002</v>
      </c>
      <c r="G488" s="7">
        <f t="shared" si="50"/>
        <v>16393552.217</v>
      </c>
      <c r="H488" s="20">
        <v>47.75</v>
      </c>
      <c r="I488" s="20">
        <v>1094000</v>
      </c>
      <c r="J488" s="20">
        <v>119.5</v>
      </c>
      <c r="K488" s="20">
        <v>1122000</v>
      </c>
      <c r="L488" s="20">
        <v>78000</v>
      </c>
      <c r="M488" s="20">
        <v>50000</v>
      </c>
      <c r="N488" s="20"/>
      <c r="O488" s="20">
        <v>5400000</v>
      </c>
      <c r="P488" s="20"/>
      <c r="Q488" s="19">
        <f t="shared" si="51"/>
        <v>33002716.673</v>
      </c>
      <c r="R488" s="20">
        <v>1059765</v>
      </c>
      <c r="S488" s="20">
        <v>8894859</v>
      </c>
      <c r="T488" s="20"/>
      <c r="U488" s="20"/>
      <c r="V488" s="20"/>
      <c r="W488" s="20">
        <v>129000</v>
      </c>
      <c r="X488" s="20">
        <v>9063582</v>
      </c>
      <c r="Y488" s="8">
        <f t="shared" si="52"/>
        <v>13855510.673</v>
      </c>
      <c r="Z488" s="36"/>
      <c r="AA488" s="36">
        <v>75200</v>
      </c>
      <c r="AB488" s="36"/>
      <c r="AC488" s="36">
        <v>250000</v>
      </c>
      <c r="AD488" s="36"/>
      <c r="AE488" s="36"/>
      <c r="AF488" s="36">
        <v>25000</v>
      </c>
      <c r="AG488" s="36"/>
      <c r="AH488" s="36"/>
      <c r="AI488" s="36"/>
      <c r="AJ488" s="36">
        <v>50000</v>
      </c>
      <c r="AK488" s="36"/>
      <c r="AL488" s="37">
        <f t="shared" si="53"/>
        <v>400200</v>
      </c>
      <c r="AM488" s="36"/>
      <c r="AN488" s="36"/>
      <c r="AO488" s="36"/>
      <c r="AP488" s="7"/>
      <c r="AQ488" s="38">
        <f t="shared" si="54"/>
        <v>13455310.673</v>
      </c>
      <c r="AR488" s="36">
        <v>13455200</v>
      </c>
      <c r="AS488" s="18">
        <f t="shared" si="55"/>
        <v>-110.67300000041723</v>
      </c>
    </row>
    <row r="489" spans="1:45" x14ac:dyDescent="0.25">
      <c r="A489" s="40">
        <v>45777</v>
      </c>
      <c r="B489" s="20">
        <v>2009.31</v>
      </c>
      <c r="C489" s="20">
        <v>4106.9530000000004</v>
      </c>
      <c r="D489" s="20">
        <v>5230</v>
      </c>
      <c r="E489" s="20">
        <v>4879</v>
      </c>
      <c r="F489" s="7">
        <f t="shared" si="49"/>
        <v>10508691.299999999</v>
      </c>
      <c r="G489" s="7">
        <f t="shared" si="50"/>
        <v>20037823.687000003</v>
      </c>
      <c r="H489" s="20">
        <v>45.5</v>
      </c>
      <c r="I489" s="20">
        <v>956000</v>
      </c>
      <c r="J489" s="20">
        <v>194</v>
      </c>
      <c r="K489" s="20">
        <v>2048400</v>
      </c>
      <c r="L489" s="20">
        <v>23000</v>
      </c>
      <c r="M489" s="20">
        <v>50000</v>
      </c>
      <c r="N489" s="20"/>
      <c r="O489" s="20">
        <v>3068049</v>
      </c>
      <c r="P489" s="20"/>
      <c r="Q489" s="19">
        <f t="shared" si="51"/>
        <v>36691963.987000003</v>
      </c>
      <c r="R489" s="20">
        <v>769402</v>
      </c>
      <c r="S489" s="20">
        <v>11597608</v>
      </c>
      <c r="T489" s="20"/>
      <c r="U489" s="20"/>
      <c r="V489" s="20"/>
      <c r="W489" s="20">
        <v>820967</v>
      </c>
      <c r="X489" s="20">
        <v>6603649</v>
      </c>
      <c r="Y489" s="8">
        <f t="shared" si="52"/>
        <v>16900337.987000003</v>
      </c>
      <c r="Z489" s="36"/>
      <c r="AA489" s="36"/>
      <c r="AB489" s="36"/>
      <c r="AC489" s="36"/>
      <c r="AD489" s="36">
        <v>97580</v>
      </c>
      <c r="AE489" s="36"/>
      <c r="AF489" s="36">
        <v>16000</v>
      </c>
      <c r="AG489" s="36">
        <v>3100000</v>
      </c>
      <c r="AH489" s="36"/>
      <c r="AI489" s="36"/>
      <c r="AJ489" s="36"/>
      <c r="AK489" s="36"/>
      <c r="AL489" s="37">
        <f t="shared" si="53"/>
        <v>3213580</v>
      </c>
      <c r="AM489" s="36"/>
      <c r="AN489" s="36"/>
      <c r="AO489" s="36"/>
      <c r="AP489" s="7"/>
      <c r="AQ489" s="38">
        <f t="shared" si="54"/>
        <v>13686757.987000003</v>
      </c>
      <c r="AR489" s="36">
        <v>13686800</v>
      </c>
      <c r="AS489" s="18">
        <f t="shared" si="55"/>
        <v>42.012999996542931</v>
      </c>
    </row>
    <row r="490" spans="1:45" x14ac:dyDescent="0.25">
      <c r="A490" s="40">
        <v>45778</v>
      </c>
      <c r="B490" s="20">
        <v>1825.056</v>
      </c>
      <c r="C490" s="20">
        <v>5128.7690000000002</v>
      </c>
      <c r="D490" s="20">
        <v>5230</v>
      </c>
      <c r="E490" s="20">
        <v>4879</v>
      </c>
      <c r="F490" s="7">
        <f t="shared" si="49"/>
        <v>9545042.8800000008</v>
      </c>
      <c r="G490" s="7">
        <f t="shared" si="50"/>
        <v>25023263.951000001</v>
      </c>
      <c r="H490" s="20">
        <v>24.5</v>
      </c>
      <c r="I490" s="20">
        <v>503500</v>
      </c>
      <c r="J490" s="20">
        <v>151.5</v>
      </c>
      <c r="K490" s="20">
        <v>1703800</v>
      </c>
      <c r="L490" s="20">
        <v>16000</v>
      </c>
      <c r="M490" s="20">
        <v>20000</v>
      </c>
      <c r="N490" s="20"/>
      <c r="O490" s="20">
        <v>717508</v>
      </c>
      <c r="P490" s="20"/>
      <c r="Q490" s="19">
        <f t="shared" si="51"/>
        <v>37529114.831</v>
      </c>
      <c r="R490" s="20">
        <v>1004778</v>
      </c>
      <c r="S490" s="20">
        <v>20549889</v>
      </c>
      <c r="T490" s="20"/>
      <c r="U490" s="20"/>
      <c r="V490" s="20"/>
      <c r="W490" s="20">
        <v>579306</v>
      </c>
      <c r="X490" s="20">
        <v>5573318</v>
      </c>
      <c r="Y490" s="8">
        <f t="shared" si="52"/>
        <v>9821823.8310000002</v>
      </c>
      <c r="Z490" s="36"/>
      <c r="AA490" s="36"/>
      <c r="AB490" s="36"/>
      <c r="AC490" s="36"/>
      <c r="AD490" s="36"/>
      <c r="AE490" s="36">
        <v>1320000</v>
      </c>
      <c r="AF490" s="36">
        <v>3000</v>
      </c>
      <c r="AG490" s="36">
        <v>0</v>
      </c>
      <c r="AH490" s="36"/>
      <c r="AI490" s="36"/>
      <c r="AJ490" s="36"/>
      <c r="AK490" s="36"/>
      <c r="AL490" s="37">
        <f t="shared" si="53"/>
        <v>1323000</v>
      </c>
      <c r="AM490" s="36"/>
      <c r="AN490" s="36"/>
      <c r="AO490" s="36"/>
      <c r="AP490" s="7"/>
      <c r="AQ490" s="38">
        <f t="shared" si="54"/>
        <v>8498823.8310000002</v>
      </c>
      <c r="AR490" s="36">
        <v>8498800</v>
      </c>
      <c r="AS490" s="18">
        <f t="shared" si="55"/>
        <v>-23.831000000238419</v>
      </c>
    </row>
    <row r="491" spans="1:45" x14ac:dyDescent="0.25">
      <c r="A491" s="40">
        <v>45779</v>
      </c>
      <c r="B491" s="20">
        <v>1979.971</v>
      </c>
      <c r="C491" s="20">
        <v>2911.7130000000002</v>
      </c>
      <c r="D491" s="20">
        <v>5230</v>
      </c>
      <c r="E491" s="20">
        <v>4879</v>
      </c>
      <c r="F491" s="7">
        <f t="shared" si="49"/>
        <v>10355248.33</v>
      </c>
      <c r="G491" s="7">
        <f t="shared" si="50"/>
        <v>14206247.727000002</v>
      </c>
      <c r="H491" s="20">
        <v>9.25</v>
      </c>
      <c r="I491" s="20">
        <v>204500</v>
      </c>
      <c r="J491" s="20">
        <v>67.5</v>
      </c>
      <c r="K491" s="20">
        <v>676400</v>
      </c>
      <c r="L491" s="20">
        <v>0</v>
      </c>
      <c r="M491" s="20"/>
      <c r="N491" s="20">
        <v>58000</v>
      </c>
      <c r="O491" s="20">
        <v>750400</v>
      </c>
      <c r="P491" s="20"/>
      <c r="Q491" s="19">
        <f t="shared" si="51"/>
        <v>26250796.057000004</v>
      </c>
      <c r="R491" s="20">
        <v>913756</v>
      </c>
      <c r="S491" s="20">
        <v>8537192</v>
      </c>
      <c r="T491" s="20"/>
      <c r="U491" s="20"/>
      <c r="V491" s="20"/>
      <c r="W491" s="20">
        <v>311000</v>
      </c>
      <c r="X491" s="20">
        <v>5495625</v>
      </c>
      <c r="Y491" s="8">
        <f t="shared" si="52"/>
        <v>10993223.057000004</v>
      </c>
      <c r="Z491" s="36"/>
      <c r="AA491" s="36"/>
      <c r="AB491" s="36"/>
      <c r="AC491" s="36"/>
      <c r="AD491" s="36"/>
      <c r="AE491" s="36"/>
      <c r="AF491" s="36">
        <v>70000</v>
      </c>
      <c r="AG491" s="36"/>
      <c r="AH491" s="36"/>
      <c r="AI491" s="36">
        <v>30000</v>
      </c>
      <c r="AJ491" s="36"/>
      <c r="AK491" s="36"/>
      <c r="AL491" s="37">
        <f t="shared" si="53"/>
        <v>100000</v>
      </c>
      <c r="AM491" s="36"/>
      <c r="AN491" s="36"/>
      <c r="AO491" s="36"/>
      <c r="AP491" s="7"/>
      <c r="AQ491" s="38">
        <f t="shared" si="54"/>
        <v>10893223.057000004</v>
      </c>
      <c r="AR491" s="36">
        <v>10893200</v>
      </c>
      <c r="AS491" s="18">
        <f t="shared" si="55"/>
        <v>-23.057000003755093</v>
      </c>
    </row>
    <row r="492" spans="1:45" x14ac:dyDescent="0.25">
      <c r="A492" s="40">
        <v>45780</v>
      </c>
      <c r="B492" s="20">
        <v>1895.1780000000001</v>
      </c>
      <c r="C492" s="20">
        <v>2398.335</v>
      </c>
      <c r="D492" s="20">
        <v>5260</v>
      </c>
      <c r="E492" s="20">
        <v>4879</v>
      </c>
      <c r="F492" s="7">
        <f t="shared" si="49"/>
        <v>9968636.2800000012</v>
      </c>
      <c r="G492" s="7">
        <f t="shared" si="50"/>
        <v>11701476.465</v>
      </c>
      <c r="H492" s="20">
        <v>31.7</v>
      </c>
      <c r="I492" s="20">
        <v>703000</v>
      </c>
      <c r="J492" s="20">
        <v>186</v>
      </c>
      <c r="K492" s="20">
        <v>2198800</v>
      </c>
      <c r="L492" s="20">
        <v>45000</v>
      </c>
      <c r="M492" s="20"/>
      <c r="N492" s="20"/>
      <c r="O492" s="20"/>
      <c r="P492" s="20"/>
      <c r="Q492" s="19">
        <f t="shared" si="51"/>
        <v>24616912.745000001</v>
      </c>
      <c r="R492" s="20">
        <v>1939267</v>
      </c>
      <c r="S492" s="20">
        <v>7894260</v>
      </c>
      <c r="T492" s="20"/>
      <c r="U492" s="20"/>
      <c r="V492" s="20"/>
      <c r="W492" s="20">
        <v>416000</v>
      </c>
      <c r="X492" s="20">
        <v>4385882</v>
      </c>
      <c r="Y492" s="8">
        <f t="shared" si="52"/>
        <v>9981503.745000001</v>
      </c>
      <c r="Z492" s="36"/>
      <c r="AA492" s="36"/>
      <c r="AB492" s="36"/>
      <c r="AC492" s="36">
        <v>19500</v>
      </c>
      <c r="AD492" s="36"/>
      <c r="AE492" s="36"/>
      <c r="AF492" s="36">
        <v>56000</v>
      </c>
      <c r="AG492" s="36"/>
      <c r="AH492" s="36"/>
      <c r="AI492" s="36"/>
      <c r="AJ492" s="36"/>
      <c r="AK492" s="36"/>
      <c r="AL492" s="37">
        <f t="shared" si="53"/>
        <v>75500</v>
      </c>
      <c r="AM492" s="36"/>
      <c r="AN492" s="36"/>
      <c r="AO492" s="36"/>
      <c r="AP492" s="7"/>
      <c r="AQ492" s="38">
        <f t="shared" si="54"/>
        <v>9906003.745000001</v>
      </c>
      <c r="AR492" s="36">
        <v>9918300</v>
      </c>
      <c r="AS492" s="18">
        <f t="shared" si="55"/>
        <v>12296.254999998957</v>
      </c>
    </row>
    <row r="493" spans="1:45" x14ac:dyDescent="0.25">
      <c r="A493" s="40">
        <v>45781</v>
      </c>
      <c r="B493" s="20">
        <v>1921.44</v>
      </c>
      <c r="C493" s="20">
        <v>2084.328</v>
      </c>
      <c r="D493" s="20">
        <v>5290</v>
      </c>
      <c r="E493" s="20">
        <v>4879</v>
      </c>
      <c r="F493" s="7">
        <f t="shared" si="49"/>
        <v>10164417.6</v>
      </c>
      <c r="G493" s="7">
        <f t="shared" si="50"/>
        <v>10169436.311999999</v>
      </c>
      <c r="H493" s="20">
        <v>28</v>
      </c>
      <c r="I493" s="20">
        <v>597000</v>
      </c>
      <c r="J493" s="20">
        <v>161</v>
      </c>
      <c r="K493" s="20">
        <v>1627600</v>
      </c>
      <c r="L493" s="20">
        <v>98000</v>
      </c>
      <c r="M493" s="20"/>
      <c r="N493" s="20">
        <v>58000</v>
      </c>
      <c r="O493" s="20">
        <v>2127273</v>
      </c>
      <c r="P493" s="20"/>
      <c r="Q493" s="19">
        <f t="shared" si="51"/>
        <v>24841726.912</v>
      </c>
      <c r="R493" s="20">
        <v>1454762</v>
      </c>
      <c r="S493" s="20">
        <v>5891061</v>
      </c>
      <c r="T493" s="20"/>
      <c r="U493" s="20"/>
      <c r="V493" s="20"/>
      <c r="W493" s="20">
        <v>30000</v>
      </c>
      <c r="X493" s="20">
        <v>3779396</v>
      </c>
      <c r="Y493" s="8">
        <f t="shared" si="52"/>
        <v>13686507.912</v>
      </c>
      <c r="Z493" s="36"/>
      <c r="AA493" s="36"/>
      <c r="AB493" s="36"/>
      <c r="AC493" s="36"/>
      <c r="AD493" s="36">
        <v>97580</v>
      </c>
      <c r="AE493" s="36"/>
      <c r="AF493" s="36">
        <v>2506000</v>
      </c>
      <c r="AG493" s="36"/>
      <c r="AH493" s="36"/>
      <c r="AI493" s="36"/>
      <c r="AJ493" s="36"/>
      <c r="AK493" s="36"/>
      <c r="AL493" s="37">
        <f t="shared" si="53"/>
        <v>2603580</v>
      </c>
      <c r="AM493" s="36"/>
      <c r="AN493" s="36"/>
      <c r="AO493" s="36"/>
      <c r="AP493" s="7"/>
      <c r="AQ493" s="38">
        <f t="shared" si="54"/>
        <v>11082927.912</v>
      </c>
      <c r="AR493" s="36">
        <v>0</v>
      </c>
      <c r="AS493" s="18">
        <f t="shared" si="55"/>
        <v>-11082927.912</v>
      </c>
    </row>
    <row r="494" spans="1:45" x14ac:dyDescent="0.25">
      <c r="A494" s="40">
        <v>45782</v>
      </c>
      <c r="B494" s="20">
        <v>1816.2829999999999</v>
      </c>
      <c r="C494" s="20">
        <v>745.45699999999999</v>
      </c>
      <c r="D494" s="20">
        <v>5290</v>
      </c>
      <c r="E494" s="20">
        <v>4879</v>
      </c>
      <c r="F494" s="7">
        <f t="shared" si="49"/>
        <v>9608137.0700000003</v>
      </c>
      <c r="G494" s="7">
        <f t="shared" si="50"/>
        <v>3637084.7029999997</v>
      </c>
      <c r="H494" s="20">
        <v>53.25</v>
      </c>
      <c r="I494" s="20">
        <v>1225500</v>
      </c>
      <c r="J494" s="20">
        <v>116</v>
      </c>
      <c r="K494" s="20">
        <v>1357800</v>
      </c>
      <c r="L494" s="20">
        <v>15000</v>
      </c>
      <c r="M494" s="20"/>
      <c r="N494" s="20">
        <v>850000</v>
      </c>
      <c r="O494" s="20">
        <v>912885</v>
      </c>
      <c r="P494" s="20"/>
      <c r="Q494" s="19">
        <f t="shared" si="51"/>
        <v>17606406.773000002</v>
      </c>
      <c r="R494" s="20">
        <v>1128363</v>
      </c>
      <c r="S494" s="20">
        <v>1539929</v>
      </c>
      <c r="T494" s="20"/>
      <c r="U494" s="20"/>
      <c r="V494" s="20"/>
      <c r="W494" s="20">
        <v>210000</v>
      </c>
      <c r="X494" s="20">
        <v>4422939</v>
      </c>
      <c r="Y494" s="8">
        <f t="shared" si="52"/>
        <v>10305175.773000002</v>
      </c>
      <c r="Z494" s="36"/>
      <c r="AA494" s="36"/>
      <c r="AB494" s="36"/>
      <c r="AC494" s="36"/>
      <c r="AD494" s="36">
        <v>195160</v>
      </c>
      <c r="AE494" s="36"/>
      <c r="AF494" s="36">
        <v>2625000</v>
      </c>
      <c r="AG494" s="36"/>
      <c r="AH494" s="36"/>
      <c r="AI494" s="36"/>
      <c r="AJ494" s="36">
        <v>125000</v>
      </c>
      <c r="AK494" s="36"/>
      <c r="AL494" s="37">
        <f t="shared" si="53"/>
        <v>2945160</v>
      </c>
      <c r="AM494" s="36"/>
      <c r="AN494" s="36"/>
      <c r="AO494" s="36"/>
      <c r="AP494" s="7"/>
      <c r="AQ494" s="38">
        <f t="shared" si="54"/>
        <v>7360015.7730000019</v>
      </c>
      <c r="AR494" s="36">
        <v>18462000</v>
      </c>
      <c r="AS494" s="18">
        <f t="shared" si="55"/>
        <v>11101984.226999998</v>
      </c>
    </row>
    <row r="495" spans="1:45" x14ac:dyDescent="0.25">
      <c r="A495" s="40">
        <v>45783</v>
      </c>
      <c r="B495" s="20">
        <v>1993.883</v>
      </c>
      <c r="C495" s="20">
        <v>3054.01</v>
      </c>
      <c r="D495" s="20">
        <v>5290</v>
      </c>
      <c r="E495" s="20">
        <v>4879</v>
      </c>
      <c r="F495" s="7">
        <f t="shared" si="49"/>
        <v>10547641.07</v>
      </c>
      <c r="G495" s="7">
        <f t="shared" si="50"/>
        <v>14900514.790000001</v>
      </c>
      <c r="H495" s="20">
        <v>77</v>
      </c>
      <c r="I495" s="20">
        <v>1793000</v>
      </c>
      <c r="J495" s="20">
        <v>116</v>
      </c>
      <c r="K495" s="20">
        <v>1248800</v>
      </c>
      <c r="L495" s="20">
        <v>30000</v>
      </c>
      <c r="M495" s="20" t="s">
        <v>130</v>
      </c>
      <c r="N495" s="20"/>
      <c r="O495" s="20">
        <v>850000</v>
      </c>
      <c r="P495" s="20"/>
      <c r="Q495" s="19">
        <f t="shared" si="51"/>
        <v>29369955.859999999</v>
      </c>
      <c r="R495" s="20">
        <v>1626231</v>
      </c>
      <c r="S495" s="20">
        <v>10445692</v>
      </c>
      <c r="T495" s="20"/>
      <c r="U495" s="20"/>
      <c r="V495" s="20"/>
      <c r="W495" s="20">
        <v>99000</v>
      </c>
      <c r="X495" s="20">
        <v>4008749</v>
      </c>
      <c r="Y495" s="8">
        <f t="shared" si="52"/>
        <v>13190283.859999999</v>
      </c>
      <c r="Z495" s="36"/>
      <c r="AA495" s="36"/>
      <c r="AB495" s="36"/>
      <c r="AC495" s="36"/>
      <c r="AD495" s="36"/>
      <c r="AE495" s="36"/>
      <c r="AF495" s="36">
        <v>3036000</v>
      </c>
      <c r="AG495" s="36"/>
      <c r="AH495" s="36"/>
      <c r="AI495" s="36"/>
      <c r="AJ495" s="36"/>
      <c r="AK495" s="36"/>
      <c r="AL495" s="37">
        <f t="shared" si="53"/>
        <v>3036000</v>
      </c>
      <c r="AM495" s="36"/>
      <c r="AN495" s="36"/>
      <c r="AO495" s="36"/>
      <c r="AP495" s="7"/>
      <c r="AQ495" s="38">
        <f t="shared" si="54"/>
        <v>10154283.859999999</v>
      </c>
      <c r="AR495" s="36">
        <v>10153300</v>
      </c>
      <c r="AS495" s="18">
        <f t="shared" si="55"/>
        <v>-983.85999999940395</v>
      </c>
    </row>
    <row r="496" spans="1:45" x14ac:dyDescent="0.25">
      <c r="A496" s="40">
        <v>45784</v>
      </c>
      <c r="B496" s="20">
        <v>1631.5319999999999</v>
      </c>
      <c r="C496" s="20">
        <v>3997.3510000000001</v>
      </c>
      <c r="D496" s="20">
        <v>5290</v>
      </c>
      <c r="E496" s="20">
        <v>4879</v>
      </c>
      <c r="F496" s="7">
        <f t="shared" si="49"/>
        <v>8630804.2799999993</v>
      </c>
      <c r="G496" s="7">
        <f t="shared" si="50"/>
        <v>19503075.528999999</v>
      </c>
      <c r="H496" s="20">
        <v>54.25</v>
      </c>
      <c r="I496" s="20">
        <v>1327000</v>
      </c>
      <c r="J496" s="20">
        <v>85</v>
      </c>
      <c r="K496" s="20">
        <v>948800</v>
      </c>
      <c r="L496" s="20">
        <v>103000</v>
      </c>
      <c r="M496" s="20"/>
      <c r="N496" s="20"/>
      <c r="O496" s="20">
        <v>150000</v>
      </c>
      <c r="P496" s="20"/>
      <c r="Q496" s="19">
        <f t="shared" si="51"/>
        <v>30662679.809</v>
      </c>
      <c r="R496" s="20">
        <v>780079</v>
      </c>
      <c r="S496" s="20">
        <v>16695925</v>
      </c>
      <c r="T496" s="20"/>
      <c r="U496" s="20"/>
      <c r="V496" s="20"/>
      <c r="W496" s="20">
        <v>0</v>
      </c>
      <c r="X496" s="20">
        <v>5023593</v>
      </c>
      <c r="Y496" s="8">
        <f t="shared" si="52"/>
        <v>8163082.8090000004</v>
      </c>
      <c r="Z496" s="36"/>
      <c r="AA496" s="36"/>
      <c r="AB496" s="36"/>
      <c r="AC496" s="36"/>
      <c r="AD496" s="36"/>
      <c r="AE496" s="36"/>
      <c r="AF496" s="36">
        <v>1603000</v>
      </c>
      <c r="AG496" s="36"/>
      <c r="AH496" s="36"/>
      <c r="AI496" s="36"/>
      <c r="AJ496" s="36"/>
      <c r="AK496" s="36"/>
      <c r="AL496" s="37">
        <f t="shared" si="53"/>
        <v>1603000</v>
      </c>
      <c r="AM496" s="36"/>
      <c r="AN496" s="36"/>
      <c r="AO496" s="36"/>
      <c r="AP496" s="7"/>
      <c r="AQ496" s="38">
        <f t="shared" si="54"/>
        <v>6560082.8090000004</v>
      </c>
      <c r="AR496" s="36">
        <v>6515100</v>
      </c>
      <c r="AS496" s="18">
        <f t="shared" si="55"/>
        <v>-44982.809000000358</v>
      </c>
    </row>
    <row r="497" spans="1:45" x14ac:dyDescent="0.25">
      <c r="A497" s="40">
        <v>45785</v>
      </c>
      <c r="B497" s="20">
        <v>1849.106</v>
      </c>
      <c r="C497" s="20">
        <v>4336.1710000000003</v>
      </c>
      <c r="D497" s="20">
        <v>5290</v>
      </c>
      <c r="E497" s="20">
        <v>4879</v>
      </c>
      <c r="F497" s="7">
        <f t="shared" si="49"/>
        <v>9781770.7400000002</v>
      </c>
      <c r="G497" s="7">
        <f t="shared" si="50"/>
        <v>21156178.309</v>
      </c>
      <c r="H497" s="20">
        <v>30</v>
      </c>
      <c r="I497" s="36">
        <v>668000</v>
      </c>
      <c r="J497" s="36">
        <v>33</v>
      </c>
      <c r="K497" s="36">
        <v>296000</v>
      </c>
      <c r="L497" s="36">
        <v>8000</v>
      </c>
      <c r="M497" s="20"/>
      <c r="N497" s="20"/>
      <c r="O497" s="20">
        <v>180000</v>
      </c>
      <c r="P497" s="20"/>
      <c r="Q497" s="19">
        <f t="shared" si="51"/>
        <v>32089949.049000002</v>
      </c>
      <c r="R497" s="20">
        <v>1576042</v>
      </c>
      <c r="S497" s="20">
        <v>14363142</v>
      </c>
      <c r="T497" s="20"/>
      <c r="U497" s="20"/>
      <c r="V497" s="20"/>
      <c r="W497" s="20">
        <v>96600</v>
      </c>
      <c r="X497" s="20">
        <v>5300598</v>
      </c>
      <c r="Y497" s="8">
        <f t="shared" si="52"/>
        <v>10753567.049000002</v>
      </c>
      <c r="Z497" s="36"/>
      <c r="AA497" s="36"/>
      <c r="AB497" s="36"/>
      <c r="AC497" s="36">
        <v>13000</v>
      </c>
      <c r="AD497" s="36">
        <v>195160</v>
      </c>
      <c r="AE497" s="36"/>
      <c r="AF497" s="36">
        <v>4813000</v>
      </c>
      <c r="AG497" s="36"/>
      <c r="AH497" s="36">
        <v>32000</v>
      </c>
      <c r="AI497" s="36"/>
      <c r="AJ497" s="36"/>
      <c r="AK497" s="36"/>
      <c r="AL497" s="37">
        <f t="shared" si="53"/>
        <v>5053160</v>
      </c>
      <c r="AM497" s="36"/>
      <c r="AN497" s="36"/>
      <c r="AO497" s="36"/>
      <c r="AP497" s="7"/>
      <c r="AQ497" s="38">
        <f t="shared" si="54"/>
        <v>5700407.0490000024</v>
      </c>
      <c r="AR497" s="36">
        <v>5745000</v>
      </c>
      <c r="AS497" s="18">
        <f t="shared" si="55"/>
        <v>44592.950999997556</v>
      </c>
    </row>
    <row r="498" spans="1:45" x14ac:dyDescent="0.25">
      <c r="A498" s="40">
        <v>45786</v>
      </c>
      <c r="B498" s="20">
        <v>2287.85</v>
      </c>
      <c r="C498" s="20">
        <v>3950.0909999999999</v>
      </c>
      <c r="D498" s="20">
        <v>5290</v>
      </c>
      <c r="E498" s="20">
        <v>4879</v>
      </c>
      <c r="F498" s="7">
        <f t="shared" si="49"/>
        <v>12102726.5</v>
      </c>
      <c r="G498" s="7">
        <f t="shared" si="50"/>
        <v>19272493.989</v>
      </c>
      <c r="H498" s="20">
        <v>98.75</v>
      </c>
      <c r="I498" s="20">
        <v>2228000</v>
      </c>
      <c r="J498" s="20">
        <v>69</v>
      </c>
      <c r="K498" s="20">
        <v>614000</v>
      </c>
      <c r="L498" s="20">
        <v>98000</v>
      </c>
      <c r="M498" s="20"/>
      <c r="N498" s="20"/>
      <c r="O498" s="20">
        <v>2572745</v>
      </c>
      <c r="P498" s="20"/>
      <c r="Q498" s="19">
        <f t="shared" si="51"/>
        <v>36887965.489</v>
      </c>
      <c r="R498" s="20">
        <v>1247910</v>
      </c>
      <c r="S498" s="20">
        <v>8965417</v>
      </c>
      <c r="T498" s="20"/>
      <c r="U498" s="20"/>
      <c r="V498" s="20"/>
      <c r="W498" s="20">
        <v>852345</v>
      </c>
      <c r="X498" s="20">
        <v>8339181</v>
      </c>
      <c r="Y498" s="8">
        <f t="shared" si="52"/>
        <v>17483112.489</v>
      </c>
      <c r="Z498" s="36"/>
      <c r="AA498" s="36"/>
      <c r="AB498" s="36"/>
      <c r="AC498" s="36">
        <v>70000</v>
      </c>
      <c r="AD498" s="36">
        <v>195160</v>
      </c>
      <c r="AE498" s="36"/>
      <c r="AF498" s="36">
        <v>23000</v>
      </c>
      <c r="AG498" s="36"/>
      <c r="AH498" s="36">
        <v>30000</v>
      </c>
      <c r="AI498" s="36"/>
      <c r="AJ498" s="36">
        <v>100000</v>
      </c>
      <c r="AK498" s="36"/>
      <c r="AL498" s="37">
        <f t="shared" si="53"/>
        <v>418160</v>
      </c>
      <c r="AM498" s="36"/>
      <c r="AN498" s="36"/>
      <c r="AO498" s="36"/>
      <c r="AP498" s="7"/>
      <c r="AQ498" s="38">
        <f t="shared" si="54"/>
        <v>17064952.489</v>
      </c>
      <c r="AR498" s="36">
        <v>17065000</v>
      </c>
      <c r="AS498" s="18">
        <f t="shared" si="55"/>
        <v>47.510999999940395</v>
      </c>
    </row>
    <row r="499" spans="1:45" x14ac:dyDescent="0.25">
      <c r="A499" s="40">
        <v>45787</v>
      </c>
      <c r="B499" s="20">
        <v>2197.9079999999999</v>
      </c>
      <c r="C499" s="20">
        <v>2676.6759999999999</v>
      </c>
      <c r="D499" s="20">
        <v>5290</v>
      </c>
      <c r="E499" s="20">
        <v>4879</v>
      </c>
      <c r="F499" s="7">
        <f t="shared" si="49"/>
        <v>11626933.32</v>
      </c>
      <c r="G499" s="7">
        <f t="shared" si="50"/>
        <v>13059502.204</v>
      </c>
      <c r="H499" s="20">
        <v>46.5</v>
      </c>
      <c r="I499" s="20">
        <v>999000</v>
      </c>
      <c r="J499" s="20">
        <v>6</v>
      </c>
      <c r="K499" s="20">
        <v>56000</v>
      </c>
      <c r="L499" s="20">
        <v>0</v>
      </c>
      <c r="M499" s="20"/>
      <c r="N499" s="20"/>
      <c r="O499" s="20">
        <v>0</v>
      </c>
      <c r="P499" s="20"/>
      <c r="Q499" s="19">
        <f t="shared" si="51"/>
        <v>25741435.524</v>
      </c>
      <c r="R499" s="20">
        <v>1676333</v>
      </c>
      <c r="S499" s="20">
        <v>4726875</v>
      </c>
      <c r="T499" s="20"/>
      <c r="U499" s="20"/>
      <c r="V499" s="20"/>
      <c r="W499" s="20">
        <v>318800</v>
      </c>
      <c r="X499" s="20">
        <v>5750354</v>
      </c>
      <c r="Y499" s="8">
        <f t="shared" si="52"/>
        <v>13269073.524</v>
      </c>
      <c r="Z499" s="36"/>
      <c r="AA499" s="36"/>
      <c r="AB499" s="36"/>
      <c r="AC499" s="36"/>
      <c r="AD499" s="36">
        <v>195160</v>
      </c>
      <c r="AE499" s="36"/>
      <c r="AF499" s="36">
        <v>3000</v>
      </c>
      <c r="AG499" s="36"/>
      <c r="AH499" s="36">
        <v>90000</v>
      </c>
      <c r="AI499" s="36"/>
      <c r="AJ499" s="36">
        <v>600000</v>
      </c>
      <c r="AK499" s="36"/>
      <c r="AL499" s="37">
        <f t="shared" si="53"/>
        <v>888160</v>
      </c>
      <c r="AM499" s="36"/>
      <c r="AN499" s="36"/>
      <c r="AO499" s="36"/>
      <c r="AP499" s="7"/>
      <c r="AQ499" s="38">
        <f t="shared" si="54"/>
        <v>12380913.524</v>
      </c>
      <c r="AR499" s="36">
        <v>12381000</v>
      </c>
      <c r="AS499" s="18">
        <f t="shared" si="55"/>
        <v>86.475999999791384</v>
      </c>
    </row>
    <row r="500" spans="1:45" x14ac:dyDescent="0.25">
      <c r="A500" s="40">
        <v>45788</v>
      </c>
      <c r="B500" s="20">
        <v>2281.7739999999999</v>
      </c>
      <c r="C500" s="20">
        <v>3897.152</v>
      </c>
      <c r="D500" s="20">
        <v>5290</v>
      </c>
      <c r="E500" s="20">
        <v>4879</v>
      </c>
      <c r="F500" s="7">
        <f t="shared" si="49"/>
        <v>12070584.459999999</v>
      </c>
      <c r="G500" s="7">
        <f t="shared" si="50"/>
        <v>19014204.607999999</v>
      </c>
      <c r="H500" s="20">
        <v>40</v>
      </c>
      <c r="I500" s="20">
        <v>852500</v>
      </c>
      <c r="J500" s="20">
        <v>3</v>
      </c>
      <c r="K500" s="20">
        <v>28000</v>
      </c>
      <c r="L500" s="20">
        <v>38000</v>
      </c>
      <c r="M500" s="20"/>
      <c r="N500" s="20"/>
      <c r="O500" s="20">
        <v>150000</v>
      </c>
      <c r="P500" s="20"/>
      <c r="Q500" s="19">
        <f t="shared" si="51"/>
        <v>32153289.067999996</v>
      </c>
      <c r="R500" s="20">
        <v>2081922</v>
      </c>
      <c r="S500" s="20">
        <v>12259678</v>
      </c>
      <c r="T500" s="20"/>
      <c r="U500" s="20"/>
      <c r="V500" s="20"/>
      <c r="W500" s="20">
        <v>150000</v>
      </c>
      <c r="X500" s="20">
        <v>2598561</v>
      </c>
      <c r="Y500" s="8">
        <f t="shared" si="52"/>
        <v>15063128.067999996</v>
      </c>
      <c r="Z500" s="36"/>
      <c r="AA500" s="36"/>
      <c r="AB500" s="36"/>
      <c r="AC500" s="36"/>
      <c r="AD500" s="36">
        <v>292740</v>
      </c>
      <c r="AE500" s="36"/>
      <c r="AF500" s="36">
        <v>23000</v>
      </c>
      <c r="AG500" s="36"/>
      <c r="AH500" s="36"/>
      <c r="AI500" s="36"/>
      <c r="AJ500" s="36"/>
      <c r="AK500" s="36"/>
      <c r="AL500" s="37">
        <f t="shared" si="53"/>
        <v>315740</v>
      </c>
      <c r="AM500" s="36"/>
      <c r="AN500" s="36"/>
      <c r="AO500" s="36"/>
      <c r="AP500" s="7"/>
      <c r="AQ500" s="38">
        <f t="shared" si="54"/>
        <v>14747388.067999996</v>
      </c>
      <c r="AR500" s="36">
        <v>0</v>
      </c>
      <c r="AS500" s="18">
        <f t="shared" si="55"/>
        <v>-14747388.067999996</v>
      </c>
    </row>
    <row r="501" spans="1:45" x14ac:dyDescent="0.25">
      <c r="A501" s="40">
        <v>45789</v>
      </c>
      <c r="B501" s="20">
        <v>2117.9989999999998</v>
      </c>
      <c r="C501" s="20">
        <v>1346.38</v>
      </c>
      <c r="D501" s="20">
        <v>5290</v>
      </c>
      <c r="E501" s="20">
        <v>4879</v>
      </c>
      <c r="F501" s="7">
        <f t="shared" si="49"/>
        <v>11204214.709999999</v>
      </c>
      <c r="G501" s="7">
        <f t="shared" si="50"/>
        <v>6568988.0200000005</v>
      </c>
      <c r="H501" s="20">
        <v>42.25</v>
      </c>
      <c r="I501" s="20">
        <v>901500</v>
      </c>
      <c r="J501" s="20">
        <v>0</v>
      </c>
      <c r="K501" s="20">
        <v>0</v>
      </c>
      <c r="L501" s="20">
        <v>38000</v>
      </c>
      <c r="M501" s="20"/>
      <c r="N501" s="20"/>
      <c r="O501" s="20"/>
      <c r="P501" s="20"/>
      <c r="Q501" s="19">
        <f t="shared" si="51"/>
        <v>18712702.73</v>
      </c>
      <c r="R501" s="20">
        <v>1201998</v>
      </c>
      <c r="S501" s="20">
        <v>3233319</v>
      </c>
      <c r="T501" s="20"/>
      <c r="U501" s="20"/>
      <c r="V501" s="20"/>
      <c r="W501" s="20">
        <v>631670</v>
      </c>
      <c r="X501" s="20">
        <v>2047095</v>
      </c>
      <c r="Y501" s="8">
        <f t="shared" si="52"/>
        <v>11598620.73</v>
      </c>
      <c r="Z501" s="36"/>
      <c r="AA501" s="36"/>
      <c r="AB501" s="36"/>
      <c r="AC501" s="36"/>
      <c r="AD501" s="36">
        <v>97580</v>
      </c>
      <c r="AE501" s="36"/>
      <c r="AF501" s="36">
        <v>0</v>
      </c>
      <c r="AG501" s="36"/>
      <c r="AH501" s="36"/>
      <c r="AI501" s="36"/>
      <c r="AJ501" s="36"/>
      <c r="AK501" s="36"/>
      <c r="AL501" s="37">
        <f t="shared" si="53"/>
        <v>97580</v>
      </c>
      <c r="AM501" s="36"/>
      <c r="AN501" s="36"/>
      <c r="AO501" s="36"/>
      <c r="AP501" s="7"/>
      <c r="AQ501" s="38">
        <f t="shared" si="54"/>
        <v>11501040.73</v>
      </c>
      <c r="AR501" s="36">
        <v>26248400</v>
      </c>
      <c r="AS501" s="18">
        <f t="shared" si="55"/>
        <v>14747359.27</v>
      </c>
    </row>
    <row r="502" spans="1:45" x14ac:dyDescent="0.25">
      <c r="A502" s="40">
        <v>45790</v>
      </c>
      <c r="B502" s="20">
        <v>1959.308</v>
      </c>
      <c r="C502" s="20">
        <v>3211.9340000000002</v>
      </c>
      <c r="D502" s="20">
        <v>5290</v>
      </c>
      <c r="E502" s="20">
        <v>4879</v>
      </c>
      <c r="F502" s="7">
        <f t="shared" si="49"/>
        <v>10364739.32</v>
      </c>
      <c r="G502" s="7">
        <f t="shared" si="50"/>
        <v>15671025.986000001</v>
      </c>
      <c r="H502" s="20">
        <v>56.5</v>
      </c>
      <c r="I502" s="20">
        <v>1252000</v>
      </c>
      <c r="J502" s="20">
        <v>15.5</v>
      </c>
      <c r="K502" s="20">
        <v>133000</v>
      </c>
      <c r="L502" s="20">
        <v>23000</v>
      </c>
      <c r="M502" s="20">
        <v>0</v>
      </c>
      <c r="N502" s="20"/>
      <c r="O502" s="20"/>
      <c r="P502" s="20"/>
      <c r="Q502" s="19">
        <f t="shared" si="51"/>
        <v>27443765.306000002</v>
      </c>
      <c r="R502" s="20">
        <v>2192374</v>
      </c>
      <c r="S502" s="20">
        <v>9332070</v>
      </c>
      <c r="T502" s="20"/>
      <c r="U502" s="20"/>
      <c r="V502" s="20"/>
      <c r="W502" s="20">
        <v>150000</v>
      </c>
      <c r="X502" s="20">
        <v>7672116</v>
      </c>
      <c r="Y502" s="8">
        <f t="shared" si="52"/>
        <v>8097205.3060000017</v>
      </c>
      <c r="Z502" s="36"/>
      <c r="AA502" s="36"/>
      <c r="AB502" s="36"/>
      <c r="AC502" s="36"/>
      <c r="AD502" s="36">
        <v>97580</v>
      </c>
      <c r="AE502" s="36">
        <v>31000</v>
      </c>
      <c r="AF502" s="36">
        <v>33000</v>
      </c>
      <c r="AG502" s="36"/>
      <c r="AH502" s="36"/>
      <c r="AI502" s="36"/>
      <c r="AJ502" s="36">
        <v>781235</v>
      </c>
      <c r="AK502" s="36"/>
      <c r="AL502" s="37">
        <f t="shared" si="53"/>
        <v>942815</v>
      </c>
      <c r="AM502" s="36"/>
      <c r="AN502" s="36"/>
      <c r="AO502" s="36"/>
      <c r="AP502" s="7"/>
      <c r="AQ502" s="38">
        <f t="shared" si="54"/>
        <v>7154390.3060000017</v>
      </c>
      <c r="AR502" s="36">
        <v>7154400</v>
      </c>
      <c r="AS502" s="18">
        <f t="shared" si="55"/>
        <v>9.6939999982714653</v>
      </c>
    </row>
    <row r="503" spans="1:45" x14ac:dyDescent="0.25">
      <c r="A503" s="40">
        <v>45791</v>
      </c>
      <c r="B503" s="20">
        <v>1881.2460000000001</v>
      </c>
      <c r="C503" s="20">
        <v>3851.4740000000002</v>
      </c>
      <c r="D503" s="20">
        <v>5290</v>
      </c>
      <c r="E503" s="20">
        <v>4879</v>
      </c>
      <c r="F503" s="7">
        <f t="shared" si="49"/>
        <v>9951791.3399999999</v>
      </c>
      <c r="G503" s="7">
        <f t="shared" si="50"/>
        <v>18791341.646000002</v>
      </c>
      <c r="H503" s="20">
        <v>59.25</v>
      </c>
      <c r="I503" s="20">
        <v>1313000</v>
      </c>
      <c r="J503" s="20">
        <v>0</v>
      </c>
      <c r="K503" s="20">
        <v>23000</v>
      </c>
      <c r="L503" s="20">
        <v>46000</v>
      </c>
      <c r="M503" s="20">
        <v>100000</v>
      </c>
      <c r="N503" s="20">
        <v>0</v>
      </c>
      <c r="O503" s="20">
        <v>815000</v>
      </c>
      <c r="P503" s="20"/>
      <c r="Q503" s="19">
        <f t="shared" si="51"/>
        <v>31040132.986000001</v>
      </c>
      <c r="R503" s="20">
        <v>1799286</v>
      </c>
      <c r="S503" s="20">
        <v>12365736</v>
      </c>
      <c r="T503" s="20"/>
      <c r="U503" s="20"/>
      <c r="V503" s="20"/>
      <c r="W503" s="20">
        <v>109400</v>
      </c>
      <c r="X503" s="20">
        <v>7201645</v>
      </c>
      <c r="Y503" s="8">
        <f t="shared" si="52"/>
        <v>9564065.9860000014</v>
      </c>
      <c r="Z503" s="36"/>
      <c r="AA503" s="36"/>
      <c r="AB503" s="36"/>
      <c r="AC503" s="36"/>
      <c r="AD503" s="36"/>
      <c r="AE503" s="36"/>
      <c r="AF503" s="36">
        <v>8000</v>
      </c>
      <c r="AG503" s="36">
        <v>500000</v>
      </c>
      <c r="AH503" s="36">
        <v>19000</v>
      </c>
      <c r="AI503" s="36"/>
      <c r="AJ503" s="36"/>
      <c r="AK503" s="36"/>
      <c r="AL503" s="37">
        <f t="shared" si="53"/>
        <v>527000</v>
      </c>
      <c r="AM503" s="36"/>
      <c r="AN503" s="36"/>
      <c r="AO503" s="36"/>
      <c r="AP503" s="7"/>
      <c r="AQ503" s="38">
        <f t="shared" si="54"/>
        <v>9037065.9860000014</v>
      </c>
      <c r="AR503" s="36">
        <v>9037000</v>
      </c>
      <c r="AS503" s="18">
        <f t="shared" si="55"/>
        <v>-65.986000001430511</v>
      </c>
    </row>
    <row r="504" spans="1:45" x14ac:dyDescent="0.25">
      <c r="A504" s="40">
        <v>45792</v>
      </c>
      <c r="B504" s="20">
        <v>1478.8219999999999</v>
      </c>
      <c r="C504" s="20">
        <v>2374</v>
      </c>
      <c r="D504" s="20">
        <v>5290</v>
      </c>
      <c r="E504" s="20">
        <v>4879</v>
      </c>
      <c r="F504" s="7">
        <f t="shared" si="49"/>
        <v>7822968.379999999</v>
      </c>
      <c r="G504" s="7">
        <f t="shared" si="50"/>
        <v>11582746</v>
      </c>
      <c r="H504" s="20">
        <v>104.25</v>
      </c>
      <c r="I504" s="20">
        <v>2200000</v>
      </c>
      <c r="J504" s="20">
        <v>36.5</v>
      </c>
      <c r="K504" s="20">
        <v>376000</v>
      </c>
      <c r="L504" s="20">
        <v>101000</v>
      </c>
      <c r="M504" s="20"/>
      <c r="N504" s="20"/>
      <c r="O504" s="20">
        <v>211250</v>
      </c>
      <c r="P504" s="20"/>
      <c r="Q504" s="19">
        <f t="shared" si="51"/>
        <v>22293964.379999999</v>
      </c>
      <c r="R504" s="20">
        <v>435507</v>
      </c>
      <c r="S504" s="20">
        <v>6934389</v>
      </c>
      <c r="T504" s="20"/>
      <c r="U504" s="20"/>
      <c r="V504" s="20"/>
      <c r="W504" s="20">
        <v>480000</v>
      </c>
      <c r="X504" s="20">
        <v>7147788</v>
      </c>
      <c r="Y504" s="8">
        <f t="shared" si="52"/>
        <v>7296280.379999999</v>
      </c>
      <c r="Z504" s="36">
        <v>884900</v>
      </c>
      <c r="AA504" s="36"/>
      <c r="AB504" s="36"/>
      <c r="AC504" s="36">
        <v>60000</v>
      </c>
      <c r="AD504" s="36"/>
      <c r="AE504" s="36"/>
      <c r="AF504" s="36">
        <v>3000</v>
      </c>
      <c r="AG504" s="36"/>
      <c r="AH504" s="36">
        <v>18000</v>
      </c>
      <c r="AI504" s="36">
        <v>30000</v>
      </c>
      <c r="AJ504" s="36"/>
      <c r="AK504" s="36"/>
      <c r="AL504" s="37">
        <f t="shared" si="53"/>
        <v>995900</v>
      </c>
      <c r="AM504" s="36"/>
      <c r="AN504" s="36"/>
      <c r="AO504" s="36"/>
      <c r="AP504" s="7"/>
      <c r="AQ504" s="38">
        <f t="shared" si="54"/>
        <v>6300380.379999999</v>
      </c>
      <c r="AR504" s="36">
        <v>6301500</v>
      </c>
      <c r="AS504" s="18">
        <f t="shared" si="55"/>
        <v>1119.6200000010431</v>
      </c>
    </row>
    <row r="505" spans="1:45" x14ac:dyDescent="0.25">
      <c r="A505" s="40">
        <v>45793</v>
      </c>
      <c r="B505" s="20">
        <v>1860.54</v>
      </c>
      <c r="C505" s="20">
        <v>3533.8429999999998</v>
      </c>
      <c r="D505" s="20">
        <v>5290</v>
      </c>
      <c r="E505" s="20">
        <v>4879</v>
      </c>
      <c r="F505" s="7">
        <f t="shared" si="49"/>
        <v>9842256.5999999996</v>
      </c>
      <c r="G505" s="7">
        <f t="shared" si="50"/>
        <v>17241619.996999998</v>
      </c>
      <c r="H505" s="20">
        <v>17</v>
      </c>
      <c r="I505" s="20">
        <v>370500</v>
      </c>
      <c r="J505" s="20">
        <v>157</v>
      </c>
      <c r="K505" s="20">
        <v>1383000</v>
      </c>
      <c r="L505" s="20">
        <v>16000</v>
      </c>
      <c r="M505" s="20"/>
      <c r="N505" s="20">
        <v>58000</v>
      </c>
      <c r="O505" s="20">
        <v>1839870</v>
      </c>
      <c r="P505" s="20"/>
      <c r="Q505" s="19">
        <f t="shared" si="51"/>
        <v>30751246.596999995</v>
      </c>
      <c r="R505" s="20">
        <v>1505503</v>
      </c>
      <c r="S505" s="20">
        <v>9191683</v>
      </c>
      <c r="T505" s="20"/>
      <c r="U505" s="20"/>
      <c r="V505" s="20"/>
      <c r="W505" s="20">
        <v>180000</v>
      </c>
      <c r="X505" s="20">
        <v>10657989</v>
      </c>
      <c r="Y505" s="8">
        <f t="shared" si="52"/>
        <v>9216071.5969999954</v>
      </c>
      <c r="Z505" s="36"/>
      <c r="AA505" s="36"/>
      <c r="AB505" s="36"/>
      <c r="AC505" s="36"/>
      <c r="AD505" s="36">
        <v>97580</v>
      </c>
      <c r="AE505" s="36"/>
      <c r="AF505" s="36">
        <v>33000</v>
      </c>
      <c r="AG505" s="36"/>
      <c r="AH505" s="36"/>
      <c r="AI505" s="36">
        <v>10000</v>
      </c>
      <c r="AJ505" s="36"/>
      <c r="AK505" s="36"/>
      <c r="AL505" s="37">
        <f t="shared" si="53"/>
        <v>140580</v>
      </c>
      <c r="AM505" s="36"/>
      <c r="AN505" s="36"/>
      <c r="AO505" s="36"/>
      <c r="AP505" s="7"/>
      <c r="AQ505" s="38">
        <f t="shared" si="54"/>
        <v>9075491.5969999954</v>
      </c>
      <c r="AR505" s="36">
        <v>9076600</v>
      </c>
      <c r="AS505" s="18">
        <f t="shared" si="55"/>
        <v>1108.4030000045896</v>
      </c>
    </row>
    <row r="506" spans="1:45" x14ac:dyDescent="0.25">
      <c r="A506" s="40">
        <v>45794</v>
      </c>
      <c r="B506" s="20">
        <v>2081.14</v>
      </c>
      <c r="C506" s="20">
        <v>4222.1940000000004</v>
      </c>
      <c r="D506" s="20">
        <v>5290</v>
      </c>
      <c r="E506" s="20">
        <v>4879</v>
      </c>
      <c r="F506" s="7">
        <f t="shared" si="49"/>
        <v>11009230.6</v>
      </c>
      <c r="G506" s="7">
        <f t="shared" si="50"/>
        <v>20600084.526000001</v>
      </c>
      <c r="H506" s="20">
        <v>110.75</v>
      </c>
      <c r="I506" s="20">
        <v>2370000</v>
      </c>
      <c r="J506" s="20">
        <v>112.5</v>
      </c>
      <c r="K506" s="20">
        <v>777000</v>
      </c>
      <c r="L506" s="20">
        <v>23000</v>
      </c>
      <c r="M506" s="20"/>
      <c r="N506" s="20"/>
      <c r="O506" s="20">
        <v>60000</v>
      </c>
      <c r="P506" s="20"/>
      <c r="Q506" s="19">
        <f t="shared" si="51"/>
        <v>34839315.126000002</v>
      </c>
      <c r="R506" s="20">
        <v>1091668</v>
      </c>
      <c r="S506" s="20">
        <v>14048485</v>
      </c>
      <c r="T506" s="20"/>
      <c r="U506" s="20"/>
      <c r="V506" s="20"/>
      <c r="W506" s="20">
        <v>2300000</v>
      </c>
      <c r="X506" s="20">
        <v>10372597</v>
      </c>
      <c r="Y506" s="8">
        <f t="shared" si="52"/>
        <v>7026565.126000002</v>
      </c>
      <c r="Z506" s="36"/>
      <c r="AA506" s="36"/>
      <c r="AB506" s="36"/>
      <c r="AC506" s="36">
        <v>27000</v>
      </c>
      <c r="AD506" s="36">
        <v>146370</v>
      </c>
      <c r="AE506" s="36"/>
      <c r="AF506" s="36">
        <v>13000</v>
      </c>
      <c r="AG506" s="36"/>
      <c r="AH506" s="36"/>
      <c r="AI506" s="36"/>
      <c r="AJ506" s="36">
        <v>110000</v>
      </c>
      <c r="AK506" s="36"/>
      <c r="AL506" s="37">
        <f t="shared" si="53"/>
        <v>296370</v>
      </c>
      <c r="AM506" s="36"/>
      <c r="AN506" s="36"/>
      <c r="AO506" s="36"/>
      <c r="AP506" s="7"/>
      <c r="AQ506" s="38">
        <f t="shared" si="54"/>
        <v>6730195.126000002</v>
      </c>
      <c r="AR506" s="36">
        <v>0</v>
      </c>
      <c r="AS506" s="18">
        <f t="shared" si="55"/>
        <v>-6730195.126000002</v>
      </c>
    </row>
    <row r="507" spans="1:45" x14ac:dyDescent="0.25">
      <c r="A507" s="40">
        <v>45795</v>
      </c>
      <c r="B507" s="20">
        <v>2050.37</v>
      </c>
      <c r="C507" s="20">
        <v>4032.473</v>
      </c>
      <c r="D507" s="20">
        <v>5290</v>
      </c>
      <c r="E507" s="20">
        <v>4879</v>
      </c>
      <c r="F507" s="7">
        <f t="shared" si="49"/>
        <v>10846457.299999999</v>
      </c>
      <c r="G507" s="7">
        <f t="shared" si="50"/>
        <v>19674435.767000001</v>
      </c>
      <c r="H507" s="20">
        <v>49.5</v>
      </c>
      <c r="I507" s="20">
        <v>1076000</v>
      </c>
      <c r="J507" s="20">
        <v>69.5</v>
      </c>
      <c r="K507" s="20">
        <v>613000</v>
      </c>
      <c r="L507" s="20">
        <v>24000</v>
      </c>
      <c r="M507" s="20"/>
      <c r="N507" s="20">
        <v>58000</v>
      </c>
      <c r="O507" s="20">
        <v>480000</v>
      </c>
      <c r="P507" s="20"/>
      <c r="Q507" s="19">
        <f t="shared" si="51"/>
        <v>32771893.067000002</v>
      </c>
      <c r="R507" s="20">
        <v>861519</v>
      </c>
      <c r="S507" s="20">
        <v>9590101</v>
      </c>
      <c r="T507" s="20"/>
      <c r="U507" s="20"/>
      <c r="V507" s="20"/>
      <c r="W507" s="20">
        <v>0</v>
      </c>
      <c r="X507" s="20">
        <v>10507275</v>
      </c>
      <c r="Y507" s="8">
        <f t="shared" si="52"/>
        <v>11812998.067000002</v>
      </c>
      <c r="Z507" s="36"/>
      <c r="AA507" s="36"/>
      <c r="AB507" s="36"/>
      <c r="AC507" s="36"/>
      <c r="AD507" s="36">
        <v>97580</v>
      </c>
      <c r="AE507" s="36"/>
      <c r="AF507" s="36">
        <v>4000</v>
      </c>
      <c r="AG507" s="36"/>
      <c r="AH507" s="36"/>
      <c r="AI507" s="36"/>
      <c r="AJ507" s="36"/>
      <c r="AK507" s="36"/>
      <c r="AL507" s="37">
        <f t="shared" si="53"/>
        <v>101580</v>
      </c>
      <c r="AM507" s="36"/>
      <c r="AN507" s="36"/>
      <c r="AO507" s="36"/>
      <c r="AP507" s="7"/>
      <c r="AQ507" s="38">
        <f t="shared" si="54"/>
        <v>11711418.067000002</v>
      </c>
      <c r="AR507" s="36">
        <v>0</v>
      </c>
      <c r="AS507" s="18">
        <f t="shared" si="55"/>
        <v>-11711418.067000002</v>
      </c>
    </row>
    <row r="508" spans="1:45" x14ac:dyDescent="0.25">
      <c r="A508" s="40">
        <v>45796</v>
      </c>
      <c r="B508" s="20">
        <v>1733.902</v>
      </c>
      <c r="C508" s="20">
        <v>2645.5949999999998</v>
      </c>
      <c r="D508" s="20">
        <v>5290</v>
      </c>
      <c r="E508" s="20">
        <v>4879</v>
      </c>
      <c r="F508" s="7">
        <f t="shared" si="49"/>
        <v>9172341.5800000001</v>
      </c>
      <c r="G508" s="7">
        <f t="shared" si="50"/>
        <v>12907858.004999999</v>
      </c>
      <c r="H508" s="20">
        <v>58.25</v>
      </c>
      <c r="I508" s="20">
        <v>1395500</v>
      </c>
      <c r="J508" s="20">
        <v>18.5</v>
      </c>
      <c r="K508" s="20">
        <v>158000</v>
      </c>
      <c r="L508" s="20">
        <v>16000</v>
      </c>
      <c r="M508" s="20"/>
      <c r="N508" s="20"/>
      <c r="O508" s="20"/>
      <c r="P508" s="20"/>
      <c r="Q508" s="19">
        <f t="shared" si="51"/>
        <v>23649699.585000001</v>
      </c>
      <c r="R508" s="20">
        <v>1252226</v>
      </c>
      <c r="S508" s="20">
        <v>7637528</v>
      </c>
      <c r="T508" s="20"/>
      <c r="U508" s="20"/>
      <c r="V508" s="20"/>
      <c r="W508" s="20">
        <v>269800</v>
      </c>
      <c r="X508" s="20">
        <v>7337222</v>
      </c>
      <c r="Y508" s="8">
        <f t="shared" si="52"/>
        <v>7152923.5850000009</v>
      </c>
      <c r="Z508" s="36"/>
      <c r="AA508" s="36"/>
      <c r="AB508" s="36"/>
      <c r="AC508" s="36"/>
      <c r="AD508" s="36"/>
      <c r="AE508" s="36"/>
      <c r="AF508" s="36"/>
      <c r="AG508" s="36">
        <v>6000</v>
      </c>
      <c r="AH508" s="36"/>
      <c r="AI508" s="36"/>
      <c r="AJ508" s="36"/>
      <c r="AK508" s="36"/>
      <c r="AL508" s="37">
        <f t="shared" si="53"/>
        <v>6000</v>
      </c>
      <c r="AM508" s="36"/>
      <c r="AN508" s="36"/>
      <c r="AO508" s="36"/>
      <c r="AP508" s="7"/>
      <c r="AQ508" s="38">
        <f t="shared" si="54"/>
        <v>7146923.5850000009</v>
      </c>
      <c r="AR508" s="36">
        <v>25586800</v>
      </c>
      <c r="AS508" s="18">
        <f t="shared" si="55"/>
        <v>18439876.414999999</v>
      </c>
    </row>
    <row r="509" spans="1:45" x14ac:dyDescent="0.25">
      <c r="A509" s="40">
        <v>45797</v>
      </c>
      <c r="B509" s="20">
        <v>2360.627</v>
      </c>
      <c r="C509" s="20">
        <v>4790.4449999999997</v>
      </c>
      <c r="D509" s="20">
        <v>5290</v>
      </c>
      <c r="E509" s="20">
        <v>4879</v>
      </c>
      <c r="F509" s="7">
        <f t="shared" si="49"/>
        <v>12487716.83</v>
      </c>
      <c r="G509" s="7">
        <f t="shared" si="50"/>
        <v>23372581.154999997</v>
      </c>
      <c r="H509" s="20">
        <v>92</v>
      </c>
      <c r="I509" s="20">
        <v>1959000</v>
      </c>
      <c r="J509" s="20">
        <v>49</v>
      </c>
      <c r="K509" s="20">
        <v>465000</v>
      </c>
      <c r="L509" s="20">
        <v>93000</v>
      </c>
      <c r="M509" s="20">
        <v>0</v>
      </c>
      <c r="N509" s="20">
        <v>0</v>
      </c>
      <c r="O509" s="20">
        <v>330000</v>
      </c>
      <c r="P509" s="20"/>
      <c r="Q509" s="19">
        <f t="shared" si="51"/>
        <v>38707297.984999999</v>
      </c>
      <c r="R509" s="20">
        <v>1095770</v>
      </c>
      <c r="S509" s="20">
        <v>12913039</v>
      </c>
      <c r="T509" s="20"/>
      <c r="U509" s="20"/>
      <c r="V509" s="20"/>
      <c r="W509" s="20">
        <v>5000</v>
      </c>
      <c r="X509" s="20">
        <v>11238424</v>
      </c>
      <c r="Y509" s="8">
        <f t="shared" si="52"/>
        <v>13455064.984999999</v>
      </c>
      <c r="Z509" s="36"/>
      <c r="AA509" s="36"/>
      <c r="AB509" s="36"/>
      <c r="AC509" s="36"/>
      <c r="AD509" s="36"/>
      <c r="AE509" s="36"/>
      <c r="AF509" s="36"/>
      <c r="AG509" s="36">
        <v>3000</v>
      </c>
      <c r="AH509" s="36"/>
      <c r="AI509" s="36"/>
      <c r="AJ509" s="36">
        <v>400000</v>
      </c>
      <c r="AK509" s="36"/>
      <c r="AL509" s="37">
        <f t="shared" si="53"/>
        <v>403000</v>
      </c>
      <c r="AM509" s="36"/>
      <c r="AN509" s="36"/>
      <c r="AO509" s="36"/>
      <c r="AP509" s="7"/>
      <c r="AQ509" s="38">
        <f t="shared" si="54"/>
        <v>13052064.984999999</v>
      </c>
      <c r="AR509" s="36">
        <v>13052000</v>
      </c>
      <c r="AS509" s="18">
        <f t="shared" si="55"/>
        <v>-64.984999999403954</v>
      </c>
    </row>
    <row r="510" spans="1:45" x14ac:dyDescent="0.25">
      <c r="A510" s="40">
        <v>45798</v>
      </c>
      <c r="B510" s="20">
        <v>2605.9050000000002</v>
      </c>
      <c r="C510" s="20">
        <v>3242.942</v>
      </c>
      <c r="D510" s="20">
        <v>5115</v>
      </c>
      <c r="E510" s="20">
        <v>4879</v>
      </c>
      <c r="F510" s="7">
        <f t="shared" si="49"/>
        <v>13329204.075000001</v>
      </c>
      <c r="G510" s="7">
        <f t="shared" si="50"/>
        <v>15822314.017999999</v>
      </c>
      <c r="H510" s="20">
        <v>65.75</v>
      </c>
      <c r="I510" s="20">
        <v>1292000</v>
      </c>
      <c r="J510" s="20">
        <v>42.5</v>
      </c>
      <c r="K510" s="20">
        <v>373000</v>
      </c>
      <c r="L510" s="20">
        <v>70000</v>
      </c>
      <c r="M510" s="20"/>
      <c r="N510" s="20"/>
      <c r="O510" s="20">
        <v>453860</v>
      </c>
      <c r="P510" s="20"/>
      <c r="Q510" s="19">
        <f t="shared" si="51"/>
        <v>31340378.093000002</v>
      </c>
      <c r="R510" s="20">
        <v>686637</v>
      </c>
      <c r="S510" s="20">
        <v>6903565</v>
      </c>
      <c r="T510" s="20"/>
      <c r="U510" s="20"/>
      <c r="V510" s="20"/>
      <c r="W510" s="20">
        <v>139000</v>
      </c>
      <c r="X510" s="20">
        <v>12759178</v>
      </c>
      <c r="Y510" s="8">
        <f t="shared" si="52"/>
        <v>10851998.093000002</v>
      </c>
      <c r="Z510" s="36"/>
      <c r="AA510" s="36"/>
      <c r="AB510" s="36"/>
      <c r="AC510" s="36"/>
      <c r="AD510" s="36"/>
      <c r="AE510" s="36"/>
      <c r="AF510" s="36">
        <v>8000</v>
      </c>
      <c r="AG510" s="36"/>
      <c r="AH510" s="36">
        <v>19000</v>
      </c>
      <c r="AI510" s="36">
        <v>30000</v>
      </c>
      <c r="AJ510" s="36">
        <v>53000</v>
      </c>
      <c r="AK510" s="36"/>
      <c r="AL510" s="37">
        <f t="shared" si="53"/>
        <v>110000</v>
      </c>
      <c r="AM510" s="36"/>
      <c r="AN510" s="36"/>
      <c r="AO510" s="36"/>
      <c r="AP510" s="7"/>
      <c r="AQ510" s="38">
        <f t="shared" si="54"/>
        <v>10741998.093000002</v>
      </c>
      <c r="AR510" s="36">
        <v>21220500</v>
      </c>
      <c r="AS510" s="18">
        <f t="shared" si="55"/>
        <v>10478501.906999998</v>
      </c>
    </row>
    <row r="511" spans="1:45" x14ac:dyDescent="0.25">
      <c r="A511" s="40">
        <v>45799</v>
      </c>
      <c r="B511" s="20">
        <v>4344.7330000000002</v>
      </c>
      <c r="C511" s="20">
        <v>4480.7749999999996</v>
      </c>
      <c r="D511" s="20">
        <v>5185</v>
      </c>
      <c r="E511" s="20">
        <v>4879</v>
      </c>
      <c r="F511" s="7">
        <f t="shared" si="49"/>
        <v>22527440.605</v>
      </c>
      <c r="G511" s="7">
        <f t="shared" si="50"/>
        <v>21861701.224999998</v>
      </c>
      <c r="H511" s="20">
        <v>67</v>
      </c>
      <c r="I511" s="20">
        <v>1375500</v>
      </c>
      <c r="J511" s="20">
        <v>62</v>
      </c>
      <c r="K511" s="20">
        <v>600400</v>
      </c>
      <c r="L511" s="20">
        <v>83000</v>
      </c>
      <c r="M511" s="20">
        <v>250000</v>
      </c>
      <c r="N511" s="20">
        <v>850000</v>
      </c>
      <c r="O511" s="20">
        <v>2893800</v>
      </c>
      <c r="P511" s="20"/>
      <c r="Q511" s="19">
        <f t="shared" si="51"/>
        <v>50441841.829999998</v>
      </c>
      <c r="R511" s="20">
        <v>888714</v>
      </c>
      <c r="S511" s="20">
        <v>12724759</v>
      </c>
      <c r="T511" s="20"/>
      <c r="U511" s="20"/>
      <c r="V511" s="20"/>
      <c r="W511" s="20">
        <v>760000</v>
      </c>
      <c r="X511" s="20">
        <v>13436025</v>
      </c>
      <c r="Y511" s="8">
        <f t="shared" si="52"/>
        <v>22632343.829999998</v>
      </c>
      <c r="Z511" s="36"/>
      <c r="AA511" s="36"/>
      <c r="AB511" s="36"/>
      <c r="AC511" s="36">
        <v>12000</v>
      </c>
      <c r="AD511" s="36">
        <v>97580</v>
      </c>
      <c r="AE511" s="36"/>
      <c r="AF511" s="36">
        <v>25000</v>
      </c>
      <c r="AG511" s="36"/>
      <c r="AH511" s="36"/>
      <c r="AI511" s="36"/>
      <c r="AJ511" s="36">
        <v>200000</v>
      </c>
      <c r="AK511" s="36"/>
      <c r="AL511" s="37">
        <f t="shared" si="53"/>
        <v>334580</v>
      </c>
      <c r="AM511" s="36"/>
      <c r="AN511" s="36"/>
      <c r="AO511" s="36"/>
      <c r="AP511" s="7"/>
      <c r="AQ511" s="38">
        <f t="shared" si="54"/>
        <v>22297763.829999998</v>
      </c>
      <c r="AR511" s="36">
        <v>11903200</v>
      </c>
      <c r="AS511" s="18">
        <f t="shared" si="55"/>
        <v>-10394563.829999998</v>
      </c>
    </row>
    <row r="512" spans="1:45" x14ac:dyDescent="0.25">
      <c r="A512" s="40">
        <v>45800</v>
      </c>
      <c r="B512" s="20">
        <v>2552.4380000000001</v>
      </c>
      <c r="C512" s="20">
        <v>3936.5940000000001</v>
      </c>
      <c r="D512" s="20">
        <v>5185</v>
      </c>
      <c r="E512" s="20">
        <v>4879</v>
      </c>
      <c r="F512" s="7">
        <f t="shared" si="49"/>
        <v>13234391.030000001</v>
      </c>
      <c r="G512" s="7">
        <f t="shared" si="50"/>
        <v>19206642.126000002</v>
      </c>
      <c r="H512" s="20">
        <v>105.75</v>
      </c>
      <c r="I512" s="20">
        <v>2246300</v>
      </c>
      <c r="J512" s="20">
        <v>42.5</v>
      </c>
      <c r="K512" s="20">
        <v>370000</v>
      </c>
      <c r="L512" s="20">
        <v>78000</v>
      </c>
      <c r="M512" s="20"/>
      <c r="N512" s="20">
        <v>450000</v>
      </c>
      <c r="O512" s="20">
        <v>0</v>
      </c>
      <c r="P512" s="20"/>
      <c r="Q512" s="19">
        <f t="shared" si="51"/>
        <v>35585333.156000003</v>
      </c>
      <c r="R512" s="20">
        <v>893772</v>
      </c>
      <c r="S512" s="20">
        <v>6555468</v>
      </c>
      <c r="T512" s="20"/>
      <c r="U512" s="20"/>
      <c r="V512" s="20"/>
      <c r="W512" s="20">
        <v>466000</v>
      </c>
      <c r="X512" s="20">
        <v>18021746</v>
      </c>
      <c r="Y512" s="8">
        <f t="shared" si="52"/>
        <v>9648347.1560000032</v>
      </c>
      <c r="Z512" s="36"/>
      <c r="AA512" s="36">
        <v>87734</v>
      </c>
      <c r="AB512" s="36"/>
      <c r="AC512" s="36"/>
      <c r="AD512" s="36">
        <v>97580</v>
      </c>
      <c r="AE512" s="36"/>
      <c r="AF512" s="36"/>
      <c r="AG512" s="36"/>
      <c r="AH512" s="36"/>
      <c r="AI512" s="36"/>
      <c r="AJ512" s="36"/>
      <c r="AK512" s="36"/>
      <c r="AL512" s="37">
        <f t="shared" si="53"/>
        <v>185314</v>
      </c>
      <c r="AM512" s="36"/>
      <c r="AN512" s="36"/>
      <c r="AO512" s="36"/>
      <c r="AP512" s="7"/>
      <c r="AQ512" s="38">
        <f t="shared" si="54"/>
        <v>9463033.1560000032</v>
      </c>
      <c r="AR512" s="36">
        <v>30203000</v>
      </c>
      <c r="AS512" s="18">
        <f t="shared" si="55"/>
        <v>20739966.843999997</v>
      </c>
    </row>
    <row r="513" spans="1:45" x14ac:dyDescent="0.25">
      <c r="A513" s="40">
        <v>45801</v>
      </c>
      <c r="B513" s="20">
        <v>6777.1440000000002</v>
      </c>
      <c r="C513" s="20">
        <v>4118.8220000000001</v>
      </c>
      <c r="D513" s="20">
        <v>5185</v>
      </c>
      <c r="E513" s="20">
        <v>4879</v>
      </c>
      <c r="F513" s="7">
        <f t="shared" si="49"/>
        <v>35139491.640000001</v>
      </c>
      <c r="G513" s="7">
        <f t="shared" si="50"/>
        <v>20095732.537999999</v>
      </c>
      <c r="H513" s="20">
        <v>47</v>
      </c>
      <c r="I513" s="20">
        <v>1145500</v>
      </c>
      <c r="J513" s="20">
        <v>43</v>
      </c>
      <c r="K513" s="20">
        <v>369000</v>
      </c>
      <c r="L513" s="20">
        <v>70000</v>
      </c>
      <c r="M513" s="20">
        <v>0</v>
      </c>
      <c r="N513" s="20">
        <v>550000</v>
      </c>
      <c r="O513" s="20">
        <v>750000</v>
      </c>
      <c r="P513" s="20"/>
      <c r="Q513" s="19">
        <f t="shared" si="51"/>
        <v>58119724.178000003</v>
      </c>
      <c r="R513" s="20">
        <v>878632</v>
      </c>
      <c r="S513" s="20">
        <v>8417462</v>
      </c>
      <c r="T513" s="20"/>
      <c r="U513" s="20"/>
      <c r="V513" s="20"/>
      <c r="W513" s="20">
        <v>471000</v>
      </c>
      <c r="X513" s="20">
        <v>18808089</v>
      </c>
      <c r="Y513" s="8">
        <f t="shared" si="52"/>
        <v>29544541.178000003</v>
      </c>
      <c r="Z513" s="36"/>
      <c r="AA513" s="36"/>
      <c r="AB513" s="36"/>
      <c r="AC513" s="36">
        <v>57000</v>
      </c>
      <c r="AD513" s="36">
        <v>195160</v>
      </c>
      <c r="AE513" s="36"/>
      <c r="AF513" s="36"/>
      <c r="AG513" s="36"/>
      <c r="AH513" s="36"/>
      <c r="AI513" s="36"/>
      <c r="AJ513" s="36">
        <v>500000</v>
      </c>
      <c r="AK513" s="36"/>
      <c r="AL513" s="37">
        <f t="shared" si="53"/>
        <v>752160</v>
      </c>
      <c r="AM513" s="36"/>
      <c r="AN513" s="36"/>
      <c r="AO513" s="36"/>
      <c r="AP513" s="7"/>
      <c r="AQ513" s="38">
        <f t="shared" si="54"/>
        <v>28792381.178000003</v>
      </c>
      <c r="AR513" s="36">
        <v>8056500</v>
      </c>
      <c r="AS513" s="18">
        <f t="shared" si="55"/>
        <v>-20735881.178000003</v>
      </c>
    </row>
    <row r="514" spans="1:45" x14ac:dyDescent="0.25">
      <c r="A514" s="40">
        <v>45802</v>
      </c>
      <c r="B514" s="20">
        <v>5390.1530000000002</v>
      </c>
      <c r="C514" s="20">
        <v>2732.2449999999999</v>
      </c>
      <c r="D514" s="20">
        <v>5185</v>
      </c>
      <c r="E514" s="20">
        <v>4879</v>
      </c>
      <c r="F514" s="7">
        <f t="shared" si="49"/>
        <v>27947943.305</v>
      </c>
      <c r="G514" s="7">
        <f t="shared" si="50"/>
        <v>13330623.354999999</v>
      </c>
      <c r="H514" s="20">
        <v>64</v>
      </c>
      <c r="I514" s="20">
        <v>1346000</v>
      </c>
      <c r="J514" s="20">
        <v>124.5</v>
      </c>
      <c r="K514" s="20">
        <v>1085000</v>
      </c>
      <c r="L514" s="20">
        <v>53000</v>
      </c>
      <c r="M514" s="20"/>
      <c r="N514" s="20">
        <v>0</v>
      </c>
      <c r="O514" s="20">
        <v>630000</v>
      </c>
      <c r="P514" s="20"/>
      <c r="Q514" s="19">
        <f t="shared" si="51"/>
        <v>44392566.659999996</v>
      </c>
      <c r="R514" s="20">
        <v>889000</v>
      </c>
      <c r="S514" s="20">
        <v>5833734</v>
      </c>
      <c r="T514" s="20"/>
      <c r="U514" s="20"/>
      <c r="V514" s="20"/>
      <c r="W514" s="20">
        <v>340000</v>
      </c>
      <c r="X514" s="20">
        <v>15700000</v>
      </c>
      <c r="Y514" s="8">
        <f t="shared" si="52"/>
        <v>21629832.659999996</v>
      </c>
      <c r="Z514" s="36"/>
      <c r="AA514" s="36"/>
      <c r="AB514" s="36"/>
      <c r="AC514" s="36"/>
      <c r="AD514" s="36">
        <v>97580</v>
      </c>
      <c r="AE514" s="36"/>
      <c r="AF514" s="36">
        <v>3000</v>
      </c>
      <c r="AG514" s="36"/>
      <c r="AH514" s="36"/>
      <c r="AI514" s="36"/>
      <c r="AJ514" s="36">
        <v>500000</v>
      </c>
      <c r="AK514" s="36"/>
      <c r="AL514" s="37">
        <f t="shared" si="53"/>
        <v>600580</v>
      </c>
      <c r="AM514" s="36"/>
      <c r="AN514" s="36"/>
      <c r="AO514" s="36"/>
      <c r="AP514" s="7"/>
      <c r="AQ514" s="38">
        <f t="shared" si="54"/>
        <v>21029252.659999996</v>
      </c>
      <c r="AR514" s="36">
        <v>21029200</v>
      </c>
      <c r="AS514" s="18">
        <f t="shared" si="55"/>
        <v>-52.659999996423721</v>
      </c>
    </row>
    <row r="515" spans="1:45" x14ac:dyDescent="0.25">
      <c r="A515" s="40">
        <v>45803</v>
      </c>
      <c r="B515" s="20">
        <v>2261.64</v>
      </c>
      <c r="C515" s="20">
        <v>2213.4459999999999</v>
      </c>
      <c r="D515" s="20">
        <v>5185</v>
      </c>
      <c r="E515" s="20">
        <v>4879</v>
      </c>
      <c r="F515" s="7">
        <f t="shared" si="49"/>
        <v>11726603.399999999</v>
      </c>
      <c r="G515" s="7">
        <f t="shared" si="50"/>
        <v>10799403.034</v>
      </c>
      <c r="H515" s="20">
        <v>60.5</v>
      </c>
      <c r="I515" s="20">
        <v>1274600</v>
      </c>
      <c r="J515" s="20">
        <v>82.5</v>
      </c>
      <c r="K515" s="20">
        <v>714000</v>
      </c>
      <c r="L515" s="20">
        <v>8000</v>
      </c>
      <c r="M515" s="20"/>
      <c r="N515" s="20">
        <v>0</v>
      </c>
      <c r="O515" s="20">
        <v>2190000</v>
      </c>
      <c r="P515" s="20"/>
      <c r="Q515" s="19">
        <f t="shared" si="51"/>
        <v>26712606.434</v>
      </c>
      <c r="R515" s="20">
        <v>432025</v>
      </c>
      <c r="S515" s="20">
        <v>3074028</v>
      </c>
      <c r="T515" s="20"/>
      <c r="U515" s="20"/>
      <c r="V515" s="20"/>
      <c r="W515" s="20">
        <v>50000</v>
      </c>
      <c r="X515" s="20">
        <v>11600282</v>
      </c>
      <c r="Y515" s="8">
        <f t="shared" si="52"/>
        <v>11556271.434</v>
      </c>
      <c r="Z515" s="36"/>
      <c r="AA515" s="36"/>
      <c r="AB515" s="36"/>
      <c r="AC515" s="36">
        <v>20000</v>
      </c>
      <c r="AD515" s="36"/>
      <c r="AE515" s="36"/>
      <c r="AF515" s="36"/>
      <c r="AG515" s="36">
        <v>1600000</v>
      </c>
      <c r="AH515" s="36"/>
      <c r="AI515" s="36"/>
      <c r="AJ515" s="36">
        <v>100000</v>
      </c>
      <c r="AK515" s="36"/>
      <c r="AL515" s="37">
        <f t="shared" si="53"/>
        <v>1720000</v>
      </c>
      <c r="AM515" s="36"/>
      <c r="AN515" s="36"/>
      <c r="AO515" s="36"/>
      <c r="AP515" s="7"/>
      <c r="AQ515" s="38">
        <f t="shared" si="54"/>
        <v>9836271.4340000004</v>
      </c>
      <c r="AR515" s="36">
        <v>9835500</v>
      </c>
      <c r="AS515" s="18">
        <f t="shared" si="55"/>
        <v>-771.43400000035763</v>
      </c>
    </row>
    <row r="516" spans="1:45" x14ac:dyDescent="0.25">
      <c r="A516" s="40">
        <v>45804</v>
      </c>
      <c r="B516" s="20">
        <v>0</v>
      </c>
      <c r="C516" s="20">
        <v>6395.97</v>
      </c>
      <c r="D516" s="20">
        <v>5185</v>
      </c>
      <c r="E516" s="20">
        <v>4879</v>
      </c>
      <c r="F516" s="7">
        <f t="shared" ref="F516:F579" si="56">B516*D516</f>
        <v>0</v>
      </c>
      <c r="G516" s="7">
        <f t="shared" ref="G516:G579" si="57">C516*E516</f>
        <v>31205937.630000003</v>
      </c>
      <c r="H516" s="20">
        <v>38.5</v>
      </c>
      <c r="I516" s="20">
        <v>746000</v>
      </c>
      <c r="J516" s="20">
        <v>33.5</v>
      </c>
      <c r="K516" s="20">
        <v>292000</v>
      </c>
      <c r="L516" s="20">
        <v>23000</v>
      </c>
      <c r="M516" s="20">
        <v>50000</v>
      </c>
      <c r="N516" s="20"/>
      <c r="O516" s="20">
        <v>90000</v>
      </c>
      <c r="P516" s="20"/>
      <c r="Q516" s="19">
        <f t="shared" ref="Q516:Q579" si="58">SUM(F516:G516)+I516+K516+SUM(L516:P516)</f>
        <v>32406937.630000003</v>
      </c>
      <c r="R516" s="20">
        <v>0</v>
      </c>
      <c r="S516" s="20">
        <v>23881657</v>
      </c>
      <c r="T516" s="20"/>
      <c r="U516" s="20"/>
      <c r="V516" s="20"/>
      <c r="W516" s="20">
        <v>0</v>
      </c>
      <c r="X516" s="20">
        <v>6019075</v>
      </c>
      <c r="Y516" s="8">
        <f t="shared" ref="Y516:Y579" si="59">Q516-SUM(R516:X516)</f>
        <v>2506205.6300000027</v>
      </c>
      <c r="Z516" s="36"/>
      <c r="AA516" s="36"/>
      <c r="AB516" s="36"/>
      <c r="AC516" s="36"/>
      <c r="AD516" s="36">
        <v>97580</v>
      </c>
      <c r="AE516" s="36"/>
      <c r="AF516" s="36">
        <v>6000</v>
      </c>
      <c r="AG516" s="36"/>
      <c r="AH516" s="36"/>
      <c r="AI516" s="36"/>
      <c r="AJ516" s="36"/>
      <c r="AK516" s="36"/>
      <c r="AL516" s="37">
        <f t="shared" ref="AL516:AL579" si="60">SUM(Z516:AK516)</f>
        <v>103580</v>
      </c>
      <c r="AM516" s="36"/>
      <c r="AN516" s="36"/>
      <c r="AO516" s="36"/>
      <c r="AP516" s="7"/>
      <c r="AQ516" s="38">
        <f t="shared" ref="AQ516:AQ579" si="61">Q516-SUM(R516:X516)-AL516-SUM(AM516:AO516)</f>
        <v>2402625.6300000027</v>
      </c>
      <c r="AR516" s="36">
        <v>33513200</v>
      </c>
      <c r="AS516" s="18">
        <f t="shared" ref="AS516:AS579" si="62">AR516-AQ516</f>
        <v>31110574.369999997</v>
      </c>
    </row>
    <row r="517" spans="1:45" x14ac:dyDescent="0.25">
      <c r="A517" s="40">
        <v>45805</v>
      </c>
      <c r="B517" s="20">
        <v>0</v>
      </c>
      <c r="C517" s="20">
        <v>3643.6559999999999</v>
      </c>
      <c r="D517" s="20">
        <v>5185</v>
      </c>
      <c r="E517" s="20">
        <v>4879</v>
      </c>
      <c r="F517" s="7">
        <f t="shared" si="56"/>
        <v>0</v>
      </c>
      <c r="G517" s="7">
        <f t="shared" si="57"/>
        <v>17777397.623999998</v>
      </c>
      <c r="H517" s="20">
        <v>38.25</v>
      </c>
      <c r="I517" s="20">
        <v>825800</v>
      </c>
      <c r="J517" s="20">
        <v>85.5</v>
      </c>
      <c r="K517" s="20">
        <v>739000</v>
      </c>
      <c r="L517" s="20">
        <v>43000</v>
      </c>
      <c r="M517" s="20"/>
      <c r="N517" s="20"/>
      <c r="O517" s="20">
        <v>577000</v>
      </c>
      <c r="P517" s="20"/>
      <c r="Q517" s="19">
        <f t="shared" si="58"/>
        <v>19962197.623999998</v>
      </c>
      <c r="R517" s="20">
        <v>0</v>
      </c>
      <c r="S517" s="20">
        <v>11605348</v>
      </c>
      <c r="T517" s="20"/>
      <c r="U517" s="20"/>
      <c r="V517" s="20"/>
      <c r="W517" s="20">
        <v>0</v>
      </c>
      <c r="X517" s="20">
        <v>5359267</v>
      </c>
      <c r="Y517" s="8">
        <f t="shared" si="59"/>
        <v>2997582.623999998</v>
      </c>
      <c r="Z517" s="36"/>
      <c r="AA517" s="36"/>
      <c r="AB517" s="36"/>
      <c r="AC517" s="36">
        <v>56000</v>
      </c>
      <c r="AD517" s="36">
        <v>97580</v>
      </c>
      <c r="AE517" s="36"/>
      <c r="AF517" s="36">
        <v>3000</v>
      </c>
      <c r="AG517" s="36"/>
      <c r="AH517" s="36">
        <v>22000</v>
      </c>
      <c r="AI517" s="36"/>
      <c r="AJ517" s="36"/>
      <c r="AK517" s="36"/>
      <c r="AL517" s="37">
        <f t="shared" si="60"/>
        <v>178580</v>
      </c>
      <c r="AM517" s="36"/>
      <c r="AN517" s="36"/>
      <c r="AO517" s="36"/>
      <c r="AP517" s="7"/>
      <c r="AQ517" s="38">
        <f t="shared" si="61"/>
        <v>2819002.623999998</v>
      </c>
      <c r="AR517" s="36">
        <v>0</v>
      </c>
      <c r="AS517" s="18">
        <f t="shared" si="62"/>
        <v>-2819002.623999998</v>
      </c>
    </row>
    <row r="518" spans="1:45" x14ac:dyDescent="0.25">
      <c r="A518" s="40">
        <v>45806</v>
      </c>
      <c r="B518" s="20">
        <v>7681.15</v>
      </c>
      <c r="C518" s="20">
        <v>2877.84</v>
      </c>
      <c r="D518" s="20">
        <v>5185</v>
      </c>
      <c r="E518" s="20">
        <v>4879</v>
      </c>
      <c r="F518" s="7">
        <f t="shared" si="56"/>
        <v>39826762.75</v>
      </c>
      <c r="G518" s="7">
        <f t="shared" si="57"/>
        <v>14040981.360000001</v>
      </c>
      <c r="H518" s="20">
        <v>52.75</v>
      </c>
      <c r="I518" s="20">
        <v>1140500</v>
      </c>
      <c r="J518" s="20">
        <v>36.5</v>
      </c>
      <c r="K518" s="20">
        <v>317000</v>
      </c>
      <c r="L518" s="20">
        <v>45000</v>
      </c>
      <c r="M518" s="20"/>
      <c r="N518" s="20">
        <v>300000</v>
      </c>
      <c r="O518" s="20"/>
      <c r="P518" s="20"/>
      <c r="Q518" s="19">
        <f t="shared" si="58"/>
        <v>55670244.109999999</v>
      </c>
      <c r="R518" s="20">
        <v>624186</v>
      </c>
      <c r="S518" s="20">
        <v>8087904</v>
      </c>
      <c r="T518" s="20"/>
      <c r="U518" s="20"/>
      <c r="V518" s="20"/>
      <c r="W518" s="20">
        <v>50000</v>
      </c>
      <c r="X518" s="20">
        <v>12420327</v>
      </c>
      <c r="Y518" s="8">
        <f t="shared" si="59"/>
        <v>34487827.109999999</v>
      </c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>
        <v>50000</v>
      </c>
      <c r="AK518" s="36"/>
      <c r="AL518" s="37">
        <f t="shared" si="60"/>
        <v>50000</v>
      </c>
      <c r="AM518" s="36"/>
      <c r="AN518" s="36"/>
      <c r="AO518" s="36"/>
      <c r="AP518" s="7"/>
      <c r="AQ518" s="38">
        <f t="shared" si="61"/>
        <v>34437827.109999999</v>
      </c>
      <c r="AR518" s="36">
        <v>6146800</v>
      </c>
      <c r="AS518" s="18">
        <f t="shared" si="62"/>
        <v>-28291027.109999999</v>
      </c>
    </row>
    <row r="519" spans="1:45" x14ac:dyDescent="0.25">
      <c r="A519" s="40">
        <v>45807</v>
      </c>
      <c r="B519" s="20">
        <v>3285.529</v>
      </c>
      <c r="C519" s="20">
        <v>4167.1930000000002</v>
      </c>
      <c r="D519" s="20">
        <v>5185</v>
      </c>
      <c r="E519" s="20">
        <v>4879</v>
      </c>
      <c r="F519" s="7">
        <f t="shared" si="56"/>
        <v>17035467.864999998</v>
      </c>
      <c r="G519" s="7">
        <f t="shared" si="57"/>
        <v>20331734.647</v>
      </c>
      <c r="H519" s="20">
        <v>98.75</v>
      </c>
      <c r="I519" s="20">
        <v>2061000</v>
      </c>
      <c r="J519" s="20">
        <v>42.5</v>
      </c>
      <c r="K519" s="20">
        <v>370000</v>
      </c>
      <c r="L519" s="20">
        <v>181000</v>
      </c>
      <c r="M519" s="20"/>
      <c r="N519" s="20"/>
      <c r="O519" s="20"/>
      <c r="P519" s="20"/>
      <c r="Q519" s="19">
        <f t="shared" si="58"/>
        <v>39979202.511999995</v>
      </c>
      <c r="R519" s="20">
        <v>1006100</v>
      </c>
      <c r="S519" s="20">
        <v>12410850</v>
      </c>
      <c r="T519" s="20"/>
      <c r="U519" s="20"/>
      <c r="V519" s="20"/>
      <c r="W519" s="20"/>
      <c r="X519" s="20">
        <v>14889713</v>
      </c>
      <c r="Y519" s="8">
        <f t="shared" si="59"/>
        <v>11672539.511999995</v>
      </c>
      <c r="Z519" s="36"/>
      <c r="AA519" s="36"/>
      <c r="AB519" s="36"/>
      <c r="AC519" s="36"/>
      <c r="AD519" s="36">
        <v>195160</v>
      </c>
      <c r="AE519" s="36"/>
      <c r="AF519" s="36">
        <v>6000</v>
      </c>
      <c r="AG519" s="36"/>
      <c r="AH519" s="36"/>
      <c r="AI519" s="36"/>
      <c r="AJ519" s="36"/>
      <c r="AK519" s="36"/>
      <c r="AL519" s="37">
        <f t="shared" si="60"/>
        <v>201160</v>
      </c>
      <c r="AM519" s="36"/>
      <c r="AN519" s="36"/>
      <c r="AO519" s="36"/>
      <c r="AP519" s="7"/>
      <c r="AQ519" s="38">
        <f t="shared" si="61"/>
        <v>11471379.511999995</v>
      </c>
      <c r="AR519" s="36">
        <v>22975700</v>
      </c>
      <c r="AS519" s="18">
        <f t="shared" si="62"/>
        <v>11504320.488000005</v>
      </c>
    </row>
    <row r="520" spans="1:45" x14ac:dyDescent="0.25">
      <c r="A520" s="40">
        <v>45808</v>
      </c>
      <c r="B520" s="20">
        <v>4066.7739999999999</v>
      </c>
      <c r="C520" s="20">
        <v>3982.6170000000002</v>
      </c>
      <c r="D520" s="20">
        <v>5185</v>
      </c>
      <c r="E520" s="20">
        <v>4879</v>
      </c>
      <c r="F520" s="7">
        <f t="shared" si="56"/>
        <v>21086223.189999998</v>
      </c>
      <c r="G520" s="7">
        <f t="shared" si="57"/>
        <v>19431188.343000002</v>
      </c>
      <c r="H520" s="20">
        <v>75.5</v>
      </c>
      <c r="I520" s="20">
        <v>1540500</v>
      </c>
      <c r="J520" s="20">
        <v>104</v>
      </c>
      <c r="K520" s="20">
        <v>936000</v>
      </c>
      <c r="L520" s="20">
        <v>32000</v>
      </c>
      <c r="M520" s="20"/>
      <c r="N520" s="20"/>
      <c r="O520" s="20">
        <v>9622245</v>
      </c>
      <c r="P520" s="20"/>
      <c r="Q520" s="19">
        <f t="shared" si="58"/>
        <v>52648156.533</v>
      </c>
      <c r="R520" s="20">
        <v>710203</v>
      </c>
      <c r="S520" s="20">
        <v>10390693</v>
      </c>
      <c r="T520" s="20"/>
      <c r="U520" s="20"/>
      <c r="V520" s="20"/>
      <c r="W520" s="20">
        <v>220000</v>
      </c>
      <c r="X520" s="20">
        <v>9486239</v>
      </c>
      <c r="Y520" s="8">
        <f t="shared" si="59"/>
        <v>31841021.533</v>
      </c>
      <c r="Z520" s="36"/>
      <c r="AA520" s="36"/>
      <c r="AB520" s="36"/>
      <c r="AC520" s="36"/>
      <c r="AD520" s="36">
        <v>30000</v>
      </c>
      <c r="AE520" s="36"/>
      <c r="AF520" s="36">
        <v>6000</v>
      </c>
      <c r="AG520" s="36"/>
      <c r="AH520" s="36"/>
      <c r="AI520" s="36"/>
      <c r="AJ520" s="36">
        <v>150000</v>
      </c>
      <c r="AK520" s="36"/>
      <c r="AL520" s="37">
        <f t="shared" si="60"/>
        <v>186000</v>
      </c>
      <c r="AM520" s="36"/>
      <c r="AN520" s="36"/>
      <c r="AO520" s="36"/>
      <c r="AP520" s="7"/>
      <c r="AQ520" s="38">
        <f t="shared" si="61"/>
        <v>31655021.533</v>
      </c>
      <c r="AR520" s="36">
        <v>37017000</v>
      </c>
      <c r="AS520" s="18">
        <f t="shared" si="62"/>
        <v>5361978.4670000002</v>
      </c>
    </row>
    <row r="521" spans="1:45" x14ac:dyDescent="0.25">
      <c r="A521" s="40">
        <v>45809</v>
      </c>
      <c r="B521" s="20">
        <v>4496.1859999999997</v>
      </c>
      <c r="C521" s="20">
        <v>3633.31</v>
      </c>
      <c r="D521" s="20">
        <v>5185</v>
      </c>
      <c r="E521" s="20">
        <v>4879</v>
      </c>
      <c r="F521" s="7">
        <f t="shared" si="56"/>
        <v>23312724.41</v>
      </c>
      <c r="G521" s="7">
        <f t="shared" si="57"/>
        <v>17726919.489999998</v>
      </c>
      <c r="H521" s="20">
        <v>70</v>
      </c>
      <c r="I521" s="20">
        <v>1496400</v>
      </c>
      <c r="J521" s="20">
        <v>45</v>
      </c>
      <c r="K521" s="20">
        <v>399000</v>
      </c>
      <c r="L521" s="20">
        <v>0</v>
      </c>
      <c r="M521" s="20"/>
      <c r="N521" s="20"/>
      <c r="O521" s="20">
        <v>616370</v>
      </c>
      <c r="P521" s="20"/>
      <c r="Q521" s="19">
        <f t="shared" si="58"/>
        <v>43551413.899999999</v>
      </c>
      <c r="R521" s="20">
        <v>519283</v>
      </c>
      <c r="S521" s="20">
        <v>9586933</v>
      </c>
      <c r="T521" s="20"/>
      <c r="U521" s="20"/>
      <c r="V521" s="20"/>
      <c r="W521" s="20">
        <v>20000</v>
      </c>
      <c r="X521" s="20">
        <v>6832288</v>
      </c>
      <c r="Y521" s="8">
        <f t="shared" si="59"/>
        <v>26592909.899999999</v>
      </c>
      <c r="Z521" s="36"/>
      <c r="AA521" s="36"/>
      <c r="AB521" s="36">
        <v>632400</v>
      </c>
      <c r="AC521" s="36"/>
      <c r="AD521" s="36">
        <v>97580</v>
      </c>
      <c r="AE521" s="36">
        <v>1320000</v>
      </c>
      <c r="AF521" s="36"/>
      <c r="AG521" s="36"/>
      <c r="AH521" s="36">
        <v>71000</v>
      </c>
      <c r="AI521" s="36"/>
      <c r="AJ521" s="36"/>
      <c r="AK521" s="36"/>
      <c r="AL521" s="37">
        <f t="shared" si="60"/>
        <v>2120980</v>
      </c>
      <c r="AM521" s="36"/>
      <c r="AN521" s="36"/>
      <c r="AO521" s="36"/>
      <c r="AP521" s="7"/>
      <c r="AQ521" s="38">
        <f t="shared" si="61"/>
        <v>24471929.899999999</v>
      </c>
      <c r="AR521" s="36">
        <v>20572400</v>
      </c>
      <c r="AS521" s="18">
        <f t="shared" si="62"/>
        <v>-3899529.8999999985</v>
      </c>
    </row>
    <row r="522" spans="1:45" x14ac:dyDescent="0.25">
      <c r="A522" s="40">
        <v>45810</v>
      </c>
      <c r="B522" s="20">
        <v>5963.2240000000002</v>
      </c>
      <c r="C522" s="20">
        <v>2680.297</v>
      </c>
      <c r="D522" s="20">
        <v>5185</v>
      </c>
      <c r="E522" s="20">
        <v>4879</v>
      </c>
      <c r="F522" s="7">
        <f t="shared" si="56"/>
        <v>30919316.440000001</v>
      </c>
      <c r="G522" s="7">
        <f t="shared" si="57"/>
        <v>13077169.063000001</v>
      </c>
      <c r="H522" s="20">
        <v>24.25</v>
      </c>
      <c r="I522" s="20">
        <v>542000</v>
      </c>
      <c r="J522" s="20">
        <v>54</v>
      </c>
      <c r="K522" s="20">
        <v>477000</v>
      </c>
      <c r="L522" s="20">
        <v>8000</v>
      </c>
      <c r="M522" s="20"/>
      <c r="N522" s="20"/>
      <c r="O522" s="20">
        <v>374000</v>
      </c>
      <c r="P522" s="20"/>
      <c r="Q522" s="19">
        <f t="shared" si="58"/>
        <v>45397485.503000006</v>
      </c>
      <c r="R522" s="20">
        <v>1978287</v>
      </c>
      <c r="S522" s="20">
        <v>1729861</v>
      </c>
      <c r="T522" s="20"/>
      <c r="U522" s="20"/>
      <c r="V522" s="20"/>
      <c r="W522" s="20">
        <v>19500</v>
      </c>
      <c r="X522" s="20">
        <v>7774738</v>
      </c>
      <c r="Y522" s="8">
        <f t="shared" si="59"/>
        <v>33895099.503000006</v>
      </c>
      <c r="Z522" s="36"/>
      <c r="AA522" s="36"/>
      <c r="AB522" s="36"/>
      <c r="AC522" s="36"/>
      <c r="AD522" s="36">
        <v>195160</v>
      </c>
      <c r="AE522" s="36"/>
      <c r="AF522" s="36"/>
      <c r="AG522" s="36"/>
      <c r="AH522" s="36"/>
      <c r="AI522" s="36"/>
      <c r="AJ522" s="36">
        <v>200000</v>
      </c>
      <c r="AK522" s="36"/>
      <c r="AL522" s="37">
        <f t="shared" si="60"/>
        <v>395160</v>
      </c>
      <c r="AM522" s="36"/>
      <c r="AN522" s="36"/>
      <c r="AO522" s="36"/>
      <c r="AP522" s="7"/>
      <c r="AQ522" s="38">
        <f t="shared" si="61"/>
        <v>33499939.503000006</v>
      </c>
      <c r="AR522" s="36">
        <v>20540000</v>
      </c>
      <c r="AS522" s="18">
        <f t="shared" si="62"/>
        <v>-12959939.503000006</v>
      </c>
    </row>
    <row r="523" spans="1:45" x14ac:dyDescent="0.25">
      <c r="A523" s="40">
        <v>45811</v>
      </c>
      <c r="B523" s="20">
        <v>3652.982</v>
      </c>
      <c r="C523" s="20">
        <v>5944.3810000000003</v>
      </c>
      <c r="D523" s="20">
        <v>5185</v>
      </c>
      <c r="E523" s="20">
        <v>4879</v>
      </c>
      <c r="F523" s="7">
        <f t="shared" si="56"/>
        <v>18940711.669999998</v>
      </c>
      <c r="G523" s="7">
        <f t="shared" si="57"/>
        <v>29002634.899</v>
      </c>
      <c r="H523" s="20">
        <v>55.75</v>
      </c>
      <c r="I523" s="20">
        <v>1215000</v>
      </c>
      <c r="J523" s="20">
        <v>36</v>
      </c>
      <c r="K523" s="20">
        <v>318000</v>
      </c>
      <c r="L523" s="20">
        <v>155000</v>
      </c>
      <c r="M523" s="20"/>
      <c r="N523" s="20"/>
      <c r="O523" s="20">
        <v>700000</v>
      </c>
      <c r="P523" s="20"/>
      <c r="Q523" s="19">
        <f t="shared" si="58"/>
        <v>50331346.568999998</v>
      </c>
      <c r="R523" s="20">
        <v>2155012</v>
      </c>
      <c r="S523" s="20">
        <v>19846334</v>
      </c>
      <c r="T523" s="20"/>
      <c r="U523" s="20"/>
      <c r="V523" s="20"/>
      <c r="W523" s="20">
        <v>417500</v>
      </c>
      <c r="X523" s="20">
        <v>12010473</v>
      </c>
      <c r="Y523" s="8">
        <f t="shared" si="59"/>
        <v>15902027.568999998</v>
      </c>
      <c r="Z523" s="36"/>
      <c r="AA523" s="36"/>
      <c r="AB523" s="36">
        <v>10700</v>
      </c>
      <c r="AC523" s="36"/>
      <c r="AD523" s="36"/>
      <c r="AE523" s="36"/>
      <c r="AF523" s="36">
        <v>2306000</v>
      </c>
      <c r="AG523" s="36"/>
      <c r="AH523" s="36"/>
      <c r="AI523" s="36"/>
      <c r="AJ523" s="36"/>
      <c r="AK523" s="36"/>
      <c r="AL523" s="37">
        <f t="shared" si="60"/>
        <v>2316700</v>
      </c>
      <c r="AM523" s="36"/>
      <c r="AN523" s="36"/>
      <c r="AO523" s="36"/>
      <c r="AP523" s="7"/>
      <c r="AQ523" s="38">
        <f t="shared" si="61"/>
        <v>13585327.568999998</v>
      </c>
      <c r="AR523" s="36">
        <v>0</v>
      </c>
      <c r="AS523" s="18">
        <f t="shared" si="62"/>
        <v>-13585327.568999998</v>
      </c>
    </row>
    <row r="524" spans="1:45" x14ac:dyDescent="0.25">
      <c r="A524" s="40">
        <v>45812</v>
      </c>
      <c r="B524" s="20">
        <v>3059.3040000000001</v>
      </c>
      <c r="C524" s="20">
        <v>5134.7049999999999</v>
      </c>
      <c r="D524" s="20">
        <v>5195</v>
      </c>
      <c r="E524" s="20">
        <v>4890</v>
      </c>
      <c r="F524" s="7">
        <f t="shared" si="56"/>
        <v>15893084.280000001</v>
      </c>
      <c r="G524" s="7">
        <f t="shared" si="57"/>
        <v>25108707.449999999</v>
      </c>
      <c r="H524" s="20">
        <v>55</v>
      </c>
      <c r="I524" s="20">
        <v>1234500</v>
      </c>
      <c r="J524" s="20">
        <v>67</v>
      </c>
      <c r="K524" s="20">
        <v>581000</v>
      </c>
      <c r="L524" s="20">
        <v>32500</v>
      </c>
      <c r="M524" s="20">
        <v>50000</v>
      </c>
      <c r="N524" s="20"/>
      <c r="O524" s="20">
        <v>20000</v>
      </c>
      <c r="P524" s="20"/>
      <c r="Q524" s="19">
        <f t="shared" si="58"/>
        <v>42919791.730000004</v>
      </c>
      <c r="R524" s="20">
        <v>1043464</v>
      </c>
      <c r="S524" s="20">
        <v>13818432</v>
      </c>
      <c r="T524" s="20"/>
      <c r="U524" s="20"/>
      <c r="V524" s="20"/>
      <c r="W524" s="20">
        <v>411937</v>
      </c>
      <c r="X524" s="20">
        <v>9673948</v>
      </c>
      <c r="Y524" s="8">
        <f t="shared" si="59"/>
        <v>17972010.730000004</v>
      </c>
      <c r="Z524" s="36"/>
      <c r="AA524" s="36"/>
      <c r="AB524" s="36"/>
      <c r="AC524" s="36"/>
      <c r="AD524" s="36">
        <v>97580</v>
      </c>
      <c r="AE524" s="36"/>
      <c r="AF524" s="36">
        <v>2823000</v>
      </c>
      <c r="AG524" s="36"/>
      <c r="AH524" s="36"/>
      <c r="AI524" s="36"/>
      <c r="AJ524" s="36">
        <v>100000</v>
      </c>
      <c r="AK524" s="36"/>
      <c r="AL524" s="37">
        <f t="shared" si="60"/>
        <v>3020580</v>
      </c>
      <c r="AM524" s="36"/>
      <c r="AN524" s="36"/>
      <c r="AO524" s="36"/>
      <c r="AP524" s="7"/>
      <c r="AQ524" s="38">
        <f t="shared" si="61"/>
        <v>14951430.730000004</v>
      </c>
      <c r="AR524" s="36">
        <v>28483500</v>
      </c>
      <c r="AS524" s="18">
        <f t="shared" si="62"/>
        <v>13532069.269999996</v>
      </c>
    </row>
    <row r="525" spans="1:45" x14ac:dyDescent="0.25">
      <c r="A525" s="40">
        <v>45813</v>
      </c>
      <c r="B525" s="20">
        <v>3336.9540000000002</v>
      </c>
      <c r="C525" s="20">
        <v>4679.42</v>
      </c>
      <c r="D525" s="20">
        <v>5195</v>
      </c>
      <c r="E525" s="20">
        <v>4890</v>
      </c>
      <c r="F525" s="7">
        <f t="shared" si="56"/>
        <v>17335476.030000001</v>
      </c>
      <c r="G525" s="7">
        <f t="shared" si="57"/>
        <v>22882363.800000001</v>
      </c>
      <c r="H525" s="20">
        <v>25</v>
      </c>
      <c r="I525" s="20">
        <v>462000</v>
      </c>
      <c r="J525" s="20">
        <v>42.5</v>
      </c>
      <c r="K525" s="20">
        <v>370000</v>
      </c>
      <c r="L525" s="20">
        <v>23000</v>
      </c>
      <c r="M525" s="20">
        <v>500000</v>
      </c>
      <c r="N525" s="20"/>
      <c r="O525" s="20">
        <v>790000</v>
      </c>
      <c r="P525" s="20"/>
      <c r="Q525" s="19">
        <f t="shared" si="58"/>
        <v>42362839.829999998</v>
      </c>
      <c r="R525" s="20">
        <v>2009475</v>
      </c>
      <c r="S525" s="20">
        <v>8684379</v>
      </c>
      <c r="T525" s="20"/>
      <c r="U525" s="20"/>
      <c r="V525" s="20"/>
      <c r="W525" s="20">
        <v>100000</v>
      </c>
      <c r="X525" s="20">
        <v>9937586</v>
      </c>
      <c r="Y525" s="8">
        <f t="shared" si="59"/>
        <v>21631399.829999998</v>
      </c>
      <c r="Z525" s="36"/>
      <c r="AA525" s="36"/>
      <c r="AB525" s="36"/>
      <c r="AC525" s="36"/>
      <c r="AD525" s="36"/>
      <c r="AE525" s="36"/>
      <c r="AF525" s="36">
        <v>5006000</v>
      </c>
      <c r="AG525" s="36"/>
      <c r="AH525" s="36">
        <v>19000</v>
      </c>
      <c r="AI525" s="36"/>
      <c r="AJ525" s="36">
        <v>120000</v>
      </c>
      <c r="AK525" s="36"/>
      <c r="AL525" s="37">
        <f t="shared" si="60"/>
        <v>5145000</v>
      </c>
      <c r="AM525" s="36"/>
      <c r="AN525" s="36"/>
      <c r="AO525" s="36"/>
      <c r="AP525" s="7"/>
      <c r="AQ525" s="38">
        <f t="shared" si="61"/>
        <v>16486399.829999998</v>
      </c>
      <c r="AR525" s="36">
        <v>16486300</v>
      </c>
      <c r="AS525" s="18">
        <f t="shared" si="62"/>
        <v>-99.829999998211861</v>
      </c>
    </row>
    <row r="526" spans="1:45" x14ac:dyDescent="0.25">
      <c r="A526" s="40">
        <v>45814</v>
      </c>
      <c r="B526" s="20">
        <v>3356.252</v>
      </c>
      <c r="C526" s="20">
        <v>4309.46</v>
      </c>
      <c r="D526" s="20">
        <v>5195</v>
      </c>
      <c r="E526" s="20">
        <v>4890</v>
      </c>
      <c r="F526" s="7">
        <f t="shared" si="56"/>
        <v>17435729.140000001</v>
      </c>
      <c r="G526" s="7">
        <f t="shared" si="57"/>
        <v>21073259.399999999</v>
      </c>
      <c r="H526" s="20">
        <v>36.5</v>
      </c>
      <c r="I526" s="20">
        <v>755500</v>
      </c>
      <c r="J526" s="20">
        <v>72.5</v>
      </c>
      <c r="K526" s="20">
        <v>635000</v>
      </c>
      <c r="L526" s="20">
        <v>24000</v>
      </c>
      <c r="M526" s="20"/>
      <c r="N526" s="20">
        <v>58000</v>
      </c>
      <c r="O526" s="20">
        <v>0</v>
      </c>
      <c r="P526" s="20"/>
      <c r="Q526" s="19">
        <f t="shared" si="58"/>
        <v>39981488.539999999</v>
      </c>
      <c r="R526" s="20">
        <v>1057027</v>
      </c>
      <c r="S526" s="20">
        <v>8405762</v>
      </c>
      <c r="T526" s="20"/>
      <c r="U526" s="20"/>
      <c r="V526" s="20"/>
      <c r="W526" s="20">
        <v>264000</v>
      </c>
      <c r="X526" s="20">
        <v>11949767</v>
      </c>
      <c r="Y526" s="8">
        <f t="shared" si="59"/>
        <v>18304932.539999999</v>
      </c>
      <c r="Z526" s="36"/>
      <c r="AA526" s="36"/>
      <c r="AB526" s="36"/>
      <c r="AC526" s="36"/>
      <c r="AD526" s="36"/>
      <c r="AE526" s="36"/>
      <c r="AF526" s="36">
        <v>3103000</v>
      </c>
      <c r="AG526" s="36"/>
      <c r="AH526" s="36">
        <v>14000</v>
      </c>
      <c r="AI526" s="36">
        <v>0</v>
      </c>
      <c r="AJ526" s="36"/>
      <c r="AK526" s="36"/>
      <c r="AL526" s="37">
        <f t="shared" si="60"/>
        <v>3117000</v>
      </c>
      <c r="AM526" s="36"/>
      <c r="AN526" s="36"/>
      <c r="AO526" s="36"/>
      <c r="AP526" s="7"/>
      <c r="AQ526" s="38">
        <f t="shared" si="61"/>
        <v>15187932.539999999</v>
      </c>
      <c r="AR526" s="36">
        <v>0</v>
      </c>
      <c r="AS526" s="18">
        <f t="shared" si="62"/>
        <v>-15187932.539999999</v>
      </c>
    </row>
    <row r="527" spans="1:45" x14ac:dyDescent="0.25">
      <c r="A527" s="40">
        <v>45815</v>
      </c>
      <c r="B527" s="20">
        <v>3219.2710000000002</v>
      </c>
      <c r="C527" s="20">
        <v>3935.86</v>
      </c>
      <c r="D527" s="20">
        <v>5210</v>
      </c>
      <c r="E527" s="20">
        <v>4890</v>
      </c>
      <c r="F527" s="7">
        <f t="shared" si="56"/>
        <v>16772401.91</v>
      </c>
      <c r="G527" s="7">
        <f t="shared" si="57"/>
        <v>19246355.400000002</v>
      </c>
      <c r="H527" s="20">
        <v>21</v>
      </c>
      <c r="I527" s="20">
        <v>438000</v>
      </c>
      <c r="J527" s="20">
        <v>111</v>
      </c>
      <c r="K527" s="20">
        <v>890200</v>
      </c>
      <c r="L527" s="20">
        <v>0</v>
      </c>
      <c r="M527" s="20"/>
      <c r="N527" s="20"/>
      <c r="O527" s="20"/>
      <c r="P527" s="20"/>
      <c r="Q527" s="19">
        <f t="shared" si="58"/>
        <v>37346957.310000002</v>
      </c>
      <c r="R527" s="20">
        <v>1056440</v>
      </c>
      <c r="S527" s="20">
        <v>10682508</v>
      </c>
      <c r="T527" s="20"/>
      <c r="U527" s="20"/>
      <c r="V527" s="20"/>
      <c r="W527" s="20">
        <v>0</v>
      </c>
      <c r="X527" s="20">
        <v>10463604</v>
      </c>
      <c r="Y527" s="8">
        <f t="shared" si="59"/>
        <v>15144405.310000002</v>
      </c>
      <c r="Z527" s="36"/>
      <c r="AA527" s="36"/>
      <c r="AB527" s="36"/>
      <c r="AC527" s="36"/>
      <c r="AD527" s="36"/>
      <c r="AE527" s="36"/>
      <c r="AF527" s="36">
        <v>3000</v>
      </c>
      <c r="AG527" s="36"/>
      <c r="AH527" s="36">
        <v>70000</v>
      </c>
      <c r="AI527" s="36"/>
      <c r="AJ527" s="36"/>
      <c r="AK527" s="36"/>
      <c r="AL527" s="37">
        <f t="shared" si="60"/>
        <v>73000</v>
      </c>
      <c r="AM527" s="36"/>
      <c r="AN527" s="36"/>
      <c r="AO527" s="36"/>
      <c r="AP527" s="7"/>
      <c r="AQ527" s="38">
        <f t="shared" si="61"/>
        <v>15071405.310000002</v>
      </c>
      <c r="AR527" s="36">
        <v>30259400</v>
      </c>
      <c r="AS527" s="18">
        <f t="shared" si="62"/>
        <v>15187994.689999998</v>
      </c>
    </row>
    <row r="528" spans="1:45" x14ac:dyDescent="0.25">
      <c r="A528" s="40">
        <v>45816</v>
      </c>
      <c r="B528" s="20">
        <v>3116.7240000000002</v>
      </c>
      <c r="C528" s="20">
        <v>2056.2449999999999</v>
      </c>
      <c r="D528" s="20">
        <v>5210</v>
      </c>
      <c r="E528" s="20">
        <v>4890</v>
      </c>
      <c r="F528" s="7">
        <f t="shared" si="56"/>
        <v>16238132.040000001</v>
      </c>
      <c r="G528" s="7">
        <f t="shared" si="57"/>
        <v>10055038.049999999</v>
      </c>
      <c r="H528" s="20">
        <v>58</v>
      </c>
      <c r="I528" s="20">
        <v>1247000</v>
      </c>
      <c r="J528" s="20">
        <v>57</v>
      </c>
      <c r="K528" s="20">
        <v>468000</v>
      </c>
      <c r="L528" s="20">
        <v>136000</v>
      </c>
      <c r="M528" s="20"/>
      <c r="N528" s="20">
        <v>50000</v>
      </c>
      <c r="O528" s="20">
        <v>0</v>
      </c>
      <c r="P528" s="20"/>
      <c r="Q528" s="19">
        <f t="shared" si="58"/>
        <v>28194170.09</v>
      </c>
      <c r="R528" s="20">
        <v>1173502</v>
      </c>
      <c r="S528" s="20">
        <v>6549175</v>
      </c>
      <c r="T528" s="20"/>
      <c r="U528" s="20"/>
      <c r="V528" s="20"/>
      <c r="W528" s="20">
        <v>923911</v>
      </c>
      <c r="X528" s="20">
        <v>3927145</v>
      </c>
      <c r="Y528" s="8">
        <f t="shared" si="59"/>
        <v>15620437.09</v>
      </c>
      <c r="Z528" s="36"/>
      <c r="AA528" s="36"/>
      <c r="AB528" s="36"/>
      <c r="AC528" s="36"/>
      <c r="AD528" s="36"/>
      <c r="AE528" s="36"/>
      <c r="AF528" s="36">
        <v>8000</v>
      </c>
      <c r="AG528" s="36">
        <v>500000</v>
      </c>
      <c r="AH528" s="36"/>
      <c r="AI528" s="36"/>
      <c r="AJ528" s="36"/>
      <c r="AK528" s="36"/>
      <c r="AL528" s="37">
        <f t="shared" si="60"/>
        <v>508000</v>
      </c>
      <c r="AM528" s="36"/>
      <c r="AN528" s="36"/>
      <c r="AO528" s="36"/>
      <c r="AP528" s="7"/>
      <c r="AQ528" s="38">
        <f t="shared" si="61"/>
        <v>15112437.09</v>
      </c>
      <c r="AR528" s="36">
        <v>0</v>
      </c>
      <c r="AS528" s="18">
        <f t="shared" si="62"/>
        <v>-15112437.09</v>
      </c>
    </row>
    <row r="529" spans="1:45" x14ac:dyDescent="0.25">
      <c r="A529" s="40">
        <v>45817</v>
      </c>
      <c r="B529" s="20">
        <v>2086.2950000000001</v>
      </c>
      <c r="C529" s="20">
        <v>2262.5940000000001</v>
      </c>
      <c r="D529" s="20">
        <v>5210</v>
      </c>
      <c r="E529" s="20">
        <v>4890</v>
      </c>
      <c r="F529" s="7">
        <f t="shared" si="56"/>
        <v>10869596.950000001</v>
      </c>
      <c r="G529" s="7">
        <f t="shared" si="57"/>
        <v>11064084.66</v>
      </c>
      <c r="H529" s="20">
        <v>44.5</v>
      </c>
      <c r="I529" s="20">
        <v>914500</v>
      </c>
      <c r="J529" s="20">
        <v>30.5</v>
      </c>
      <c r="K529" s="20">
        <v>264000</v>
      </c>
      <c r="L529" s="20">
        <v>75000</v>
      </c>
      <c r="M529" s="20"/>
      <c r="N529" s="20">
        <v>0</v>
      </c>
      <c r="O529" s="20">
        <v>700000</v>
      </c>
      <c r="P529" s="20"/>
      <c r="Q529" s="19">
        <f t="shared" si="58"/>
        <v>23887181.609999999</v>
      </c>
      <c r="R529" s="20">
        <v>566330</v>
      </c>
      <c r="S529" s="20">
        <v>4812638</v>
      </c>
      <c r="T529" s="20"/>
      <c r="U529" s="20"/>
      <c r="V529" s="20"/>
      <c r="W529" s="20">
        <v>1247071</v>
      </c>
      <c r="X529" s="20">
        <v>5155863</v>
      </c>
      <c r="Y529" s="8">
        <f t="shared" si="59"/>
        <v>12105279.609999999</v>
      </c>
      <c r="Z529" s="36"/>
      <c r="AA529" s="36"/>
      <c r="AB529" s="36"/>
      <c r="AC529" s="36"/>
      <c r="AD529" s="36"/>
      <c r="AE529" s="36"/>
      <c r="AF529" s="36">
        <v>20000</v>
      </c>
      <c r="AG529" s="36"/>
      <c r="AH529" s="36"/>
      <c r="AI529" s="36"/>
      <c r="AJ529" s="36"/>
      <c r="AK529" s="36"/>
      <c r="AL529" s="37">
        <f t="shared" si="60"/>
        <v>20000</v>
      </c>
      <c r="AM529" s="36"/>
      <c r="AN529" s="36"/>
      <c r="AO529" s="36"/>
      <c r="AP529" s="7"/>
      <c r="AQ529" s="38">
        <f t="shared" si="61"/>
        <v>12085279.609999999</v>
      </c>
      <c r="AR529" s="36">
        <v>0</v>
      </c>
      <c r="AS529" s="18">
        <f t="shared" si="62"/>
        <v>-12085279.609999999</v>
      </c>
    </row>
    <row r="530" spans="1:45" x14ac:dyDescent="0.25">
      <c r="A530" s="40">
        <v>45818</v>
      </c>
      <c r="B530" s="20">
        <v>2485.2759999999998</v>
      </c>
      <c r="C530" s="20">
        <v>2255.5500000000002</v>
      </c>
      <c r="D530" s="20">
        <v>5210</v>
      </c>
      <c r="E530" s="20">
        <v>4890</v>
      </c>
      <c r="F530" s="7">
        <f t="shared" si="56"/>
        <v>12948287.959999999</v>
      </c>
      <c r="G530" s="7">
        <f t="shared" si="57"/>
        <v>11029639.5</v>
      </c>
      <c r="H530" s="20">
        <v>27</v>
      </c>
      <c r="I530" s="20">
        <v>524000</v>
      </c>
      <c r="J530" s="20">
        <v>100</v>
      </c>
      <c r="K530" s="20">
        <v>993400</v>
      </c>
      <c r="L530" s="20">
        <v>0</v>
      </c>
      <c r="M530" s="20"/>
      <c r="N530" s="20">
        <v>58000</v>
      </c>
      <c r="O530" s="20"/>
      <c r="P530" s="20"/>
      <c r="Q530" s="19">
        <f t="shared" si="58"/>
        <v>25553327.460000001</v>
      </c>
      <c r="R530" s="20">
        <v>794550</v>
      </c>
      <c r="S530" s="20">
        <v>6222420</v>
      </c>
      <c r="T530" s="20"/>
      <c r="U530" s="20"/>
      <c r="V530" s="20"/>
      <c r="W530" s="20">
        <v>150000</v>
      </c>
      <c r="X530" s="20">
        <v>4650012</v>
      </c>
      <c r="Y530" s="8">
        <f t="shared" si="59"/>
        <v>13736345.460000001</v>
      </c>
      <c r="Z530" s="36"/>
      <c r="AA530" s="36"/>
      <c r="AB530" s="36"/>
      <c r="AC530" s="36">
        <v>34000</v>
      </c>
      <c r="AD530" s="36">
        <v>146700</v>
      </c>
      <c r="AE530" s="36"/>
      <c r="AF530" s="36"/>
      <c r="AG530" s="36"/>
      <c r="AH530" s="36">
        <v>30000</v>
      </c>
      <c r="AI530" s="36"/>
      <c r="AJ530" s="36">
        <v>50000</v>
      </c>
      <c r="AK530" s="36"/>
      <c r="AL530" s="37">
        <f t="shared" si="60"/>
        <v>260700</v>
      </c>
      <c r="AM530" s="36"/>
      <c r="AN530" s="36"/>
      <c r="AO530" s="36"/>
      <c r="AP530" s="7"/>
      <c r="AQ530" s="38">
        <f t="shared" si="61"/>
        <v>13475645.460000001</v>
      </c>
      <c r="AR530" s="36">
        <v>13475700</v>
      </c>
      <c r="AS530" s="18">
        <f t="shared" si="62"/>
        <v>54.53999999910593</v>
      </c>
    </row>
    <row r="531" spans="1:45" x14ac:dyDescent="0.25">
      <c r="A531" s="40">
        <v>45819</v>
      </c>
      <c r="B531" s="20">
        <v>3102.5439999999999</v>
      </c>
      <c r="C531" s="20">
        <v>3377.1309999999999</v>
      </c>
      <c r="D531" s="20">
        <v>5210</v>
      </c>
      <c r="E531" s="20">
        <v>4890</v>
      </c>
      <c r="F531" s="7">
        <f t="shared" si="56"/>
        <v>16164254.24</v>
      </c>
      <c r="G531" s="7">
        <f t="shared" si="57"/>
        <v>16514170.59</v>
      </c>
      <c r="H531" s="20">
        <v>81</v>
      </c>
      <c r="I531" s="20">
        <v>1713300</v>
      </c>
      <c r="J531" s="20">
        <v>39.5</v>
      </c>
      <c r="K531" s="20">
        <v>466000</v>
      </c>
      <c r="L531" s="20">
        <v>16000</v>
      </c>
      <c r="M531" s="20"/>
      <c r="N531" s="20"/>
      <c r="O531" s="20">
        <v>0</v>
      </c>
      <c r="P531" s="20"/>
      <c r="Q531" s="19">
        <f t="shared" si="58"/>
        <v>34873724.829999998</v>
      </c>
      <c r="R531" s="20">
        <v>1881150</v>
      </c>
      <c r="S531" s="20">
        <v>9025063</v>
      </c>
      <c r="T531" s="20"/>
      <c r="U531" s="20"/>
      <c r="V531" s="20"/>
      <c r="W531" s="20">
        <v>40000</v>
      </c>
      <c r="X531" s="20">
        <v>6756624</v>
      </c>
      <c r="Y531" s="8">
        <f t="shared" si="59"/>
        <v>17170887.829999998</v>
      </c>
      <c r="Z531" s="36"/>
      <c r="AA531" s="36"/>
      <c r="AB531" s="36"/>
      <c r="AC531" s="36">
        <v>59500</v>
      </c>
      <c r="AD531" s="36"/>
      <c r="AE531" s="36"/>
      <c r="AF531" s="36">
        <v>4556000</v>
      </c>
      <c r="AG531" s="36"/>
      <c r="AH531" s="36"/>
      <c r="AI531" s="36"/>
      <c r="AJ531" s="36"/>
      <c r="AK531" s="36"/>
      <c r="AL531" s="37">
        <f t="shared" si="60"/>
        <v>4615500</v>
      </c>
      <c r="AM531" s="36"/>
      <c r="AN531" s="36"/>
      <c r="AO531" s="36"/>
      <c r="AP531" s="7"/>
      <c r="AQ531" s="38">
        <f t="shared" si="61"/>
        <v>12555387.829999998</v>
      </c>
      <c r="AR531" s="36">
        <v>12554600</v>
      </c>
      <c r="AS531" s="18">
        <f t="shared" si="62"/>
        <v>-787.82999999821186</v>
      </c>
    </row>
    <row r="532" spans="1:45" x14ac:dyDescent="0.25">
      <c r="A532" s="40">
        <v>45820</v>
      </c>
      <c r="B532" s="20">
        <v>881.90099999999995</v>
      </c>
      <c r="C532" s="20">
        <v>1810.934</v>
      </c>
      <c r="D532" s="20">
        <v>5240</v>
      </c>
      <c r="E532" s="20">
        <v>4890</v>
      </c>
      <c r="F532" s="7">
        <f t="shared" si="56"/>
        <v>4621161.2399999993</v>
      </c>
      <c r="G532" s="7">
        <f t="shared" si="57"/>
        <v>8855467.2599999998</v>
      </c>
      <c r="H532" s="20">
        <v>79.5</v>
      </c>
      <c r="I532" s="20">
        <v>1632000</v>
      </c>
      <c r="J532" s="20">
        <v>78.5</v>
      </c>
      <c r="K532" s="20">
        <v>826000</v>
      </c>
      <c r="L532" s="20">
        <v>48000</v>
      </c>
      <c r="M532" s="20"/>
      <c r="N532" s="20"/>
      <c r="O532" s="20">
        <v>4430707</v>
      </c>
      <c r="P532" s="20"/>
      <c r="Q532" s="19">
        <f t="shared" si="58"/>
        <v>20413335.5</v>
      </c>
      <c r="R532" s="20">
        <v>210000</v>
      </c>
      <c r="S532" s="20">
        <v>5049118</v>
      </c>
      <c r="T532" s="20"/>
      <c r="U532" s="20"/>
      <c r="V532" s="20"/>
      <c r="W532" s="20">
        <v>1369200</v>
      </c>
      <c r="X532" s="20">
        <v>4479139</v>
      </c>
      <c r="Y532" s="8">
        <f t="shared" si="59"/>
        <v>9305878.5</v>
      </c>
      <c r="Z532" s="36"/>
      <c r="AA532" s="36"/>
      <c r="AB532" s="36"/>
      <c r="AC532" s="36"/>
      <c r="AD532" s="36"/>
      <c r="AE532" s="36"/>
      <c r="AF532" s="36">
        <v>203000</v>
      </c>
      <c r="AG532" s="36"/>
      <c r="AH532" s="36">
        <v>28500</v>
      </c>
      <c r="AI532" s="36">
        <v>5000</v>
      </c>
      <c r="AJ532" s="36">
        <v>50000</v>
      </c>
      <c r="AK532" s="36"/>
      <c r="AL532" s="37">
        <f t="shared" si="60"/>
        <v>286500</v>
      </c>
      <c r="AM532" s="36"/>
      <c r="AN532" s="36"/>
      <c r="AO532" s="36"/>
      <c r="AP532" s="7"/>
      <c r="AQ532" s="38">
        <f t="shared" si="61"/>
        <v>9019378.5</v>
      </c>
      <c r="AR532" s="36">
        <v>9004200</v>
      </c>
      <c r="AS532" s="18">
        <f t="shared" si="62"/>
        <v>-15178.5</v>
      </c>
    </row>
    <row r="533" spans="1:45" x14ac:dyDescent="0.25">
      <c r="A533" s="40">
        <v>45821</v>
      </c>
      <c r="B533" s="20">
        <v>2681.7460000000001</v>
      </c>
      <c r="C533" s="20">
        <v>5132.8519999999999</v>
      </c>
      <c r="D533" s="20">
        <v>5240</v>
      </c>
      <c r="E533" s="20">
        <v>4900</v>
      </c>
      <c r="F533" s="7">
        <f t="shared" si="56"/>
        <v>14052349.040000001</v>
      </c>
      <c r="G533" s="7">
        <f t="shared" si="57"/>
        <v>25150974.800000001</v>
      </c>
      <c r="H533" s="20">
        <v>35.75</v>
      </c>
      <c r="I533" s="20">
        <v>707900</v>
      </c>
      <c r="J533" s="20">
        <v>21</v>
      </c>
      <c r="K533" s="20">
        <v>187000</v>
      </c>
      <c r="L533" s="20">
        <v>24000</v>
      </c>
      <c r="M533" s="20"/>
      <c r="N533" s="20"/>
      <c r="O533" s="20">
        <v>0</v>
      </c>
      <c r="P533" s="20"/>
      <c r="Q533" s="19">
        <f t="shared" si="58"/>
        <v>40122223.840000004</v>
      </c>
      <c r="R533" s="20">
        <v>1230074</v>
      </c>
      <c r="S533" s="20">
        <v>15605814</v>
      </c>
      <c r="T533" s="20"/>
      <c r="U533" s="20"/>
      <c r="V533" s="20"/>
      <c r="W533" s="20">
        <v>200000</v>
      </c>
      <c r="X533" s="20">
        <v>8653950</v>
      </c>
      <c r="Y533" s="8">
        <f t="shared" si="59"/>
        <v>14432385.840000004</v>
      </c>
      <c r="Z533" s="36"/>
      <c r="AA533" s="36"/>
      <c r="AB533" s="36"/>
      <c r="AC533" s="36"/>
      <c r="AD533" s="36"/>
      <c r="AE533" s="36"/>
      <c r="AF533" s="36">
        <v>6000</v>
      </c>
      <c r="AG533" s="36"/>
      <c r="AH533" s="36"/>
      <c r="AI533" s="36"/>
      <c r="AJ533" s="36"/>
      <c r="AK533" s="36"/>
      <c r="AL533" s="37">
        <f t="shared" si="60"/>
        <v>6000</v>
      </c>
      <c r="AM533" s="36"/>
      <c r="AN533" s="36"/>
      <c r="AO533" s="36"/>
      <c r="AP533" s="7"/>
      <c r="AQ533" s="38">
        <f t="shared" si="61"/>
        <v>14426385.840000004</v>
      </c>
      <c r="AR533" s="36">
        <v>14426400</v>
      </c>
      <c r="AS533" s="18">
        <f t="shared" si="62"/>
        <v>14.159999996423721</v>
      </c>
    </row>
    <row r="534" spans="1:45" x14ac:dyDescent="0.25">
      <c r="A534" s="40">
        <v>45822</v>
      </c>
      <c r="B534" s="20">
        <v>3015.7930000000001</v>
      </c>
      <c r="C534" s="20">
        <v>3904.7979999999998</v>
      </c>
      <c r="D534" s="20">
        <v>5240</v>
      </c>
      <c r="E534" s="20">
        <v>4900</v>
      </c>
      <c r="F534" s="7">
        <f t="shared" si="56"/>
        <v>15802755.32</v>
      </c>
      <c r="G534" s="7">
        <f t="shared" si="57"/>
        <v>19133510.199999999</v>
      </c>
      <c r="H534" s="20">
        <v>40</v>
      </c>
      <c r="I534" s="20">
        <v>801000</v>
      </c>
      <c r="J534" s="20">
        <v>80.5</v>
      </c>
      <c r="K534" s="20">
        <v>737400</v>
      </c>
      <c r="L534" s="20">
        <v>98000</v>
      </c>
      <c r="M534" s="20"/>
      <c r="N534" s="20"/>
      <c r="O534" s="20">
        <v>397989</v>
      </c>
      <c r="P534" s="20"/>
      <c r="Q534" s="19">
        <f t="shared" si="58"/>
        <v>36970654.519999996</v>
      </c>
      <c r="R534" s="20">
        <v>1931274</v>
      </c>
      <c r="S534" s="20">
        <v>10738395</v>
      </c>
      <c r="T534" s="20"/>
      <c r="U534" s="20"/>
      <c r="V534" s="20"/>
      <c r="W534" s="20">
        <v>198000</v>
      </c>
      <c r="X534" s="20">
        <v>8989360</v>
      </c>
      <c r="Y534" s="8">
        <f t="shared" si="59"/>
        <v>15113625.519999996</v>
      </c>
      <c r="Z534" s="36"/>
      <c r="AA534" s="36"/>
      <c r="AB534" s="36"/>
      <c r="AC534" s="36"/>
      <c r="AD534" s="36">
        <v>98000</v>
      </c>
      <c r="AE534" s="36"/>
      <c r="AF534" s="36">
        <v>63000</v>
      </c>
      <c r="AG534" s="36"/>
      <c r="AH534" s="36">
        <v>0</v>
      </c>
      <c r="AI534" s="36"/>
      <c r="AJ534" s="36"/>
      <c r="AK534" s="36"/>
      <c r="AL534" s="37">
        <f t="shared" si="60"/>
        <v>161000</v>
      </c>
      <c r="AM534" s="36"/>
      <c r="AN534" s="36"/>
      <c r="AO534" s="36"/>
      <c r="AP534" s="7"/>
      <c r="AQ534" s="38">
        <f t="shared" si="61"/>
        <v>14952625.519999996</v>
      </c>
      <c r="AR534" s="36">
        <v>14952600</v>
      </c>
      <c r="AS534" s="18">
        <f t="shared" si="62"/>
        <v>-25.519999995827675</v>
      </c>
    </row>
    <row r="535" spans="1:45" x14ac:dyDescent="0.25">
      <c r="A535" s="40">
        <v>45823</v>
      </c>
      <c r="B535" s="20">
        <v>2375.11</v>
      </c>
      <c r="C535" s="20">
        <v>3084.74</v>
      </c>
      <c r="D535" s="20">
        <v>5240</v>
      </c>
      <c r="E535" s="20">
        <v>4900</v>
      </c>
      <c r="F535" s="7">
        <f t="shared" si="56"/>
        <v>12445576.4</v>
      </c>
      <c r="G535" s="7">
        <f t="shared" si="57"/>
        <v>15115225.999999998</v>
      </c>
      <c r="H535" s="20">
        <v>108</v>
      </c>
      <c r="I535" s="20">
        <v>2010000</v>
      </c>
      <c r="J535" s="20">
        <v>80.5</v>
      </c>
      <c r="K535" s="20">
        <v>603000</v>
      </c>
      <c r="L535" s="20">
        <v>39000</v>
      </c>
      <c r="M535" s="20"/>
      <c r="N535" s="20"/>
      <c r="O535" s="20"/>
      <c r="P535" s="20"/>
      <c r="Q535" s="19">
        <f t="shared" si="58"/>
        <v>30212802.399999999</v>
      </c>
      <c r="R535" s="20">
        <v>1083648</v>
      </c>
      <c r="S535" s="20">
        <v>7739885</v>
      </c>
      <c r="T535" s="20"/>
      <c r="U535" s="20"/>
      <c r="V535" s="20"/>
      <c r="W535" s="20">
        <v>997000</v>
      </c>
      <c r="X535" s="20">
        <v>7108785</v>
      </c>
      <c r="Y535" s="8">
        <f t="shared" si="59"/>
        <v>13283484.399999999</v>
      </c>
      <c r="Z535" s="36"/>
      <c r="AA535" s="36"/>
      <c r="AB535" s="36"/>
      <c r="AC535" s="36">
        <v>28000</v>
      </c>
      <c r="AD535" s="36">
        <v>0</v>
      </c>
      <c r="AE535" s="36"/>
      <c r="AF535" s="36">
        <v>3000</v>
      </c>
      <c r="AG535" s="36"/>
      <c r="AH535" s="36"/>
      <c r="AI535" s="36"/>
      <c r="AJ535" s="36"/>
      <c r="AK535" s="36"/>
      <c r="AL535" s="37">
        <f t="shared" si="60"/>
        <v>31000</v>
      </c>
      <c r="AM535" s="36"/>
      <c r="AN535" s="36"/>
      <c r="AO535" s="36"/>
      <c r="AP535" s="7"/>
      <c r="AQ535" s="38">
        <f t="shared" si="61"/>
        <v>13252484.399999999</v>
      </c>
      <c r="AR535" s="36">
        <v>0</v>
      </c>
      <c r="AS535" s="18">
        <f t="shared" si="62"/>
        <v>-13252484.399999999</v>
      </c>
    </row>
    <row r="536" spans="1:45" x14ac:dyDescent="0.25">
      <c r="A536" s="40">
        <v>45824</v>
      </c>
      <c r="B536" s="20">
        <v>1704.635</v>
      </c>
      <c r="C536" s="20">
        <v>2086.5659999999998</v>
      </c>
      <c r="D536" s="20">
        <v>5240</v>
      </c>
      <c r="E536" s="20">
        <v>4900</v>
      </c>
      <c r="F536" s="7">
        <f t="shared" si="56"/>
        <v>8932287.4000000004</v>
      </c>
      <c r="G536" s="7">
        <f t="shared" si="57"/>
        <v>10224173.399999999</v>
      </c>
      <c r="H536" s="20">
        <v>87</v>
      </c>
      <c r="I536" s="20">
        <v>1914500</v>
      </c>
      <c r="J536" s="20">
        <v>43</v>
      </c>
      <c r="K536" s="20">
        <v>549000</v>
      </c>
      <c r="L536" s="20">
        <v>0</v>
      </c>
      <c r="M536" s="20"/>
      <c r="N536" s="20"/>
      <c r="O536" s="20">
        <v>0</v>
      </c>
      <c r="P536" s="20">
        <v>0</v>
      </c>
      <c r="Q536" s="19">
        <f t="shared" si="58"/>
        <v>21619960.799999997</v>
      </c>
      <c r="R536" s="20">
        <v>492375</v>
      </c>
      <c r="S536" s="20">
        <v>3437225</v>
      </c>
      <c r="T536" s="20"/>
      <c r="U536" s="20"/>
      <c r="V536" s="20"/>
      <c r="W536" s="20">
        <v>676000</v>
      </c>
      <c r="X536" s="20">
        <v>2511950</v>
      </c>
      <c r="Y536" s="8">
        <f t="shared" si="59"/>
        <v>14502410.799999997</v>
      </c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7">
        <f t="shared" si="60"/>
        <v>0</v>
      </c>
      <c r="AM536" s="36"/>
      <c r="AN536" s="36"/>
      <c r="AO536" s="36"/>
      <c r="AP536" s="7"/>
      <c r="AQ536" s="38">
        <f t="shared" si="61"/>
        <v>14502410.799999997</v>
      </c>
      <c r="AR536" s="36">
        <v>27754800</v>
      </c>
      <c r="AS536" s="18">
        <f t="shared" si="62"/>
        <v>13252389.200000003</v>
      </c>
    </row>
    <row r="537" spans="1:45" x14ac:dyDescent="0.25">
      <c r="A537" s="40">
        <v>45825</v>
      </c>
      <c r="B537" s="20">
        <v>2236.0419999999999</v>
      </c>
      <c r="C537" s="20">
        <v>3832.0720000000001</v>
      </c>
      <c r="D537" s="20">
        <v>5240</v>
      </c>
      <c r="E537" s="20">
        <v>4900</v>
      </c>
      <c r="F537" s="7">
        <f t="shared" si="56"/>
        <v>11716860.08</v>
      </c>
      <c r="G537" s="7">
        <f t="shared" si="57"/>
        <v>18777152.800000001</v>
      </c>
      <c r="H537" s="20">
        <v>114.5</v>
      </c>
      <c r="I537" s="20">
        <v>2395500</v>
      </c>
      <c r="J537" s="20">
        <v>60.5</v>
      </c>
      <c r="K537" s="20">
        <v>871000</v>
      </c>
      <c r="L537" s="20">
        <v>808000</v>
      </c>
      <c r="M537" s="20"/>
      <c r="N537" s="20"/>
      <c r="O537" s="20">
        <v>0</v>
      </c>
      <c r="P537" s="20">
        <v>25000</v>
      </c>
      <c r="Q537" s="19">
        <f t="shared" si="58"/>
        <v>34593512.880000003</v>
      </c>
      <c r="R537" s="20">
        <v>1020857</v>
      </c>
      <c r="S537" s="20">
        <v>7485236</v>
      </c>
      <c r="T537" s="20"/>
      <c r="U537" s="20"/>
      <c r="V537" s="20"/>
      <c r="W537" s="20">
        <v>0</v>
      </c>
      <c r="X537" s="20">
        <v>11836668</v>
      </c>
      <c r="Y537" s="8">
        <f t="shared" si="59"/>
        <v>14250751.880000003</v>
      </c>
      <c r="Z537" s="36"/>
      <c r="AA537" s="36"/>
      <c r="AB537" s="36"/>
      <c r="AC537" s="36"/>
      <c r="AD537" s="36"/>
      <c r="AE537" s="36"/>
      <c r="AF537" s="36">
        <v>21000</v>
      </c>
      <c r="AG537" s="36"/>
      <c r="AH537" s="36">
        <v>10000</v>
      </c>
      <c r="AI537" s="36"/>
      <c r="AJ537" s="36"/>
      <c r="AK537" s="36"/>
      <c r="AL537" s="37">
        <f t="shared" si="60"/>
        <v>31000</v>
      </c>
      <c r="AM537" s="36"/>
      <c r="AN537" s="36"/>
      <c r="AO537" s="36"/>
      <c r="AP537" s="7"/>
      <c r="AQ537" s="38">
        <f t="shared" si="61"/>
        <v>14219751.880000003</v>
      </c>
      <c r="AR537" s="36">
        <v>14219700</v>
      </c>
      <c r="AS537" s="18">
        <f t="shared" si="62"/>
        <v>-51.880000002682209</v>
      </c>
    </row>
    <row r="538" spans="1:45" x14ac:dyDescent="0.25">
      <c r="A538" s="40">
        <v>45826</v>
      </c>
      <c r="B538" s="20">
        <v>2014.799</v>
      </c>
      <c r="C538" s="20">
        <v>1994.135</v>
      </c>
      <c r="D538" s="20">
        <v>5240</v>
      </c>
      <c r="E538" s="20">
        <v>4900</v>
      </c>
      <c r="F538" s="7">
        <f t="shared" si="56"/>
        <v>10557546.76</v>
      </c>
      <c r="G538" s="7">
        <f t="shared" si="57"/>
        <v>9771261.5</v>
      </c>
      <c r="H538" s="20">
        <v>85</v>
      </c>
      <c r="I538" s="20">
        <v>1943500</v>
      </c>
      <c r="J538" s="20">
        <v>73</v>
      </c>
      <c r="K538" s="20">
        <v>693000</v>
      </c>
      <c r="L538" s="20">
        <v>15000</v>
      </c>
      <c r="M538" s="20"/>
      <c r="N538" s="20"/>
      <c r="O538" s="20">
        <v>100000</v>
      </c>
      <c r="P538" s="20">
        <v>25000</v>
      </c>
      <c r="Q538" s="19">
        <f t="shared" si="58"/>
        <v>23105308.259999998</v>
      </c>
      <c r="R538" s="20">
        <v>694008</v>
      </c>
      <c r="S538" s="20">
        <v>3682531</v>
      </c>
      <c r="T538" s="20"/>
      <c r="U538" s="20"/>
      <c r="V538" s="20"/>
      <c r="W538" s="20">
        <v>721404</v>
      </c>
      <c r="X538" s="20">
        <v>6465146</v>
      </c>
      <c r="Y538" s="8">
        <f t="shared" si="59"/>
        <v>11542219.259999998</v>
      </c>
      <c r="Z538" s="36"/>
      <c r="AA538" s="36"/>
      <c r="AB538" s="36"/>
      <c r="AC538" s="36"/>
      <c r="AD538" s="36"/>
      <c r="AE538" s="36"/>
      <c r="AF538" s="36">
        <v>3000</v>
      </c>
      <c r="AG538" s="36"/>
      <c r="AH538" s="36"/>
      <c r="AI538" s="36"/>
      <c r="AJ538" s="36"/>
      <c r="AK538" s="36"/>
      <c r="AL538" s="37">
        <f t="shared" si="60"/>
        <v>3000</v>
      </c>
      <c r="AM538" s="36"/>
      <c r="AN538" s="36"/>
      <c r="AO538" s="36"/>
      <c r="AP538" s="7"/>
      <c r="AQ538" s="38">
        <f t="shared" si="61"/>
        <v>11539219.259999998</v>
      </c>
      <c r="AR538" s="36">
        <v>11539200</v>
      </c>
      <c r="AS538" s="18">
        <f t="shared" si="62"/>
        <v>-19.259999997913837</v>
      </c>
    </row>
    <row r="539" spans="1:45" x14ac:dyDescent="0.25">
      <c r="A539" s="40">
        <v>45827</v>
      </c>
      <c r="B539" s="20">
        <v>1929.664</v>
      </c>
      <c r="C539" s="20">
        <v>2011.4770000000001</v>
      </c>
      <c r="D539" s="20">
        <v>5240</v>
      </c>
      <c r="E539" s="20">
        <v>4900</v>
      </c>
      <c r="F539" s="7">
        <f t="shared" si="56"/>
        <v>10111439.359999999</v>
      </c>
      <c r="G539" s="7">
        <f t="shared" si="57"/>
        <v>9856237.3000000007</v>
      </c>
      <c r="H539" s="20">
        <v>28.5</v>
      </c>
      <c r="I539" s="20">
        <v>555500</v>
      </c>
      <c r="J539" s="20">
        <v>39.5</v>
      </c>
      <c r="K539" s="20">
        <v>345000</v>
      </c>
      <c r="L539" s="20">
        <v>16000</v>
      </c>
      <c r="M539" s="20"/>
      <c r="N539" s="20"/>
      <c r="O539" s="20">
        <v>750000</v>
      </c>
      <c r="P539" s="20"/>
      <c r="Q539" s="19">
        <f t="shared" si="58"/>
        <v>21634176.66</v>
      </c>
      <c r="R539" s="20">
        <v>1504929</v>
      </c>
      <c r="S539" s="20">
        <v>7167407</v>
      </c>
      <c r="T539" s="20"/>
      <c r="U539" s="20"/>
      <c r="V539" s="20"/>
      <c r="W539" s="20">
        <v>50000</v>
      </c>
      <c r="X539" s="20">
        <v>2371500</v>
      </c>
      <c r="Y539" s="8">
        <f t="shared" si="59"/>
        <v>10540340.66</v>
      </c>
      <c r="Z539" s="36"/>
      <c r="AA539" s="36"/>
      <c r="AB539" s="36"/>
      <c r="AC539" s="36"/>
      <c r="AD539" s="36"/>
      <c r="AE539" s="36"/>
      <c r="AF539" s="36">
        <v>3000</v>
      </c>
      <c r="AG539" s="36"/>
      <c r="AH539" s="36">
        <v>19000</v>
      </c>
      <c r="AI539" s="36"/>
      <c r="AJ539" s="36"/>
      <c r="AK539" s="36">
        <v>50000</v>
      </c>
      <c r="AL539" s="37">
        <f t="shared" si="60"/>
        <v>72000</v>
      </c>
      <c r="AM539" s="36"/>
      <c r="AN539" s="36"/>
      <c r="AO539" s="36"/>
      <c r="AP539" s="7"/>
      <c r="AQ539" s="38">
        <f t="shared" si="61"/>
        <v>10468340.66</v>
      </c>
      <c r="AR539" s="36">
        <v>10468400</v>
      </c>
      <c r="AS539" s="18">
        <f t="shared" si="62"/>
        <v>59.339999999850988</v>
      </c>
    </row>
    <row r="540" spans="1:45" x14ac:dyDescent="0.25">
      <c r="A540" s="40">
        <v>45828</v>
      </c>
      <c r="B540" s="20">
        <v>2087.5</v>
      </c>
      <c r="C540" s="20">
        <v>2976.748</v>
      </c>
      <c r="D540" s="20">
        <v>5240</v>
      </c>
      <c r="E540" s="20">
        <v>4900</v>
      </c>
      <c r="F540" s="7">
        <f t="shared" si="56"/>
        <v>10938500</v>
      </c>
      <c r="G540" s="7">
        <f t="shared" si="57"/>
        <v>14586065.200000001</v>
      </c>
      <c r="H540" s="20">
        <v>93.5</v>
      </c>
      <c r="I540" s="20">
        <v>1828500</v>
      </c>
      <c r="J540" s="20">
        <v>21</v>
      </c>
      <c r="K540" s="20">
        <v>187000</v>
      </c>
      <c r="L540" s="20">
        <v>16000</v>
      </c>
      <c r="M540" s="20"/>
      <c r="N540" s="20">
        <v>550000</v>
      </c>
      <c r="O540" s="20">
        <v>3770450</v>
      </c>
      <c r="P540" s="20"/>
      <c r="Q540" s="19">
        <f t="shared" si="58"/>
        <v>31876515.200000003</v>
      </c>
      <c r="R540" s="20">
        <v>645760</v>
      </c>
      <c r="S540" s="20">
        <v>6585704</v>
      </c>
      <c r="T540" s="20"/>
      <c r="U540" s="20"/>
      <c r="V540" s="20"/>
      <c r="W540" s="20">
        <v>270000</v>
      </c>
      <c r="X540" s="20">
        <v>10309001</v>
      </c>
      <c r="Y540" s="8">
        <f t="shared" si="59"/>
        <v>14066050.200000003</v>
      </c>
      <c r="Z540" s="36"/>
      <c r="AA540" s="36"/>
      <c r="AB540" s="36"/>
      <c r="AC540" s="36"/>
      <c r="AD540" s="36"/>
      <c r="AE540" s="36"/>
      <c r="AF540" s="36">
        <v>3000</v>
      </c>
      <c r="AG540" s="36"/>
      <c r="AH540" s="36"/>
      <c r="AI540" s="36"/>
      <c r="AJ540" s="36">
        <v>600000</v>
      </c>
      <c r="AK540" s="36"/>
      <c r="AL540" s="37">
        <f t="shared" si="60"/>
        <v>603000</v>
      </c>
      <c r="AM540" s="36"/>
      <c r="AN540" s="36"/>
      <c r="AO540" s="36"/>
      <c r="AP540" s="7"/>
      <c r="AQ540" s="38">
        <f t="shared" si="61"/>
        <v>13463050.200000003</v>
      </c>
      <c r="AR540" s="36">
        <v>13463000</v>
      </c>
      <c r="AS540" s="18">
        <f t="shared" si="62"/>
        <v>-50.200000002980232</v>
      </c>
    </row>
    <row r="541" spans="1:45" x14ac:dyDescent="0.25">
      <c r="A541" s="40">
        <v>45829</v>
      </c>
      <c r="B541" s="20">
        <v>2576.527</v>
      </c>
      <c r="C541" s="20">
        <v>3960.0990000000002</v>
      </c>
      <c r="D541" s="20">
        <v>5240</v>
      </c>
      <c r="E541" s="20">
        <v>4900</v>
      </c>
      <c r="F541" s="7">
        <f t="shared" si="56"/>
        <v>13501001.48</v>
      </c>
      <c r="G541" s="7">
        <f t="shared" si="57"/>
        <v>19404485.100000001</v>
      </c>
      <c r="H541" s="20">
        <v>54.75</v>
      </c>
      <c r="I541" s="20">
        <v>1117600</v>
      </c>
      <c r="J541" s="20">
        <v>55</v>
      </c>
      <c r="K541" s="20">
        <v>475000</v>
      </c>
      <c r="L541" s="20">
        <v>93000</v>
      </c>
      <c r="M541" s="20"/>
      <c r="N541" s="20">
        <v>600000</v>
      </c>
      <c r="O541" s="20">
        <v>0</v>
      </c>
      <c r="P541" s="20"/>
      <c r="Q541" s="19">
        <f t="shared" si="58"/>
        <v>35191086.579999998</v>
      </c>
      <c r="R541" s="20">
        <v>649899</v>
      </c>
      <c r="S541" s="20">
        <v>13360363</v>
      </c>
      <c r="T541" s="20"/>
      <c r="U541" s="20"/>
      <c r="V541" s="20"/>
      <c r="W541" s="20">
        <v>447960</v>
      </c>
      <c r="X541" s="20">
        <v>11146538</v>
      </c>
      <c r="Y541" s="8">
        <f t="shared" si="59"/>
        <v>9586326.5799999982</v>
      </c>
      <c r="Z541" s="36"/>
      <c r="AA541" s="36"/>
      <c r="AB541" s="36"/>
      <c r="AC541" s="36"/>
      <c r="AD541" s="36"/>
      <c r="AE541" s="36"/>
      <c r="AF541" s="36">
        <v>3000</v>
      </c>
      <c r="AG541" s="36"/>
      <c r="AH541" s="36"/>
      <c r="AI541" s="36"/>
      <c r="AJ541" s="36">
        <v>250000</v>
      </c>
      <c r="AK541" s="36"/>
      <c r="AL541" s="37">
        <f t="shared" si="60"/>
        <v>253000</v>
      </c>
      <c r="AM541" s="36">
        <v>192000</v>
      </c>
      <c r="AN541" s="36"/>
      <c r="AO541" s="36"/>
      <c r="AP541" s="7"/>
      <c r="AQ541" s="38">
        <f t="shared" si="61"/>
        <v>9141326.5799999982</v>
      </c>
      <c r="AR541" s="36">
        <v>9141300</v>
      </c>
      <c r="AS541" s="18">
        <f t="shared" si="62"/>
        <v>-26.579999998211861</v>
      </c>
    </row>
    <row r="542" spans="1:45" x14ac:dyDescent="0.25">
      <c r="A542" s="40">
        <v>45830</v>
      </c>
      <c r="B542" s="20">
        <v>2434.1019999999999</v>
      </c>
      <c r="C542" s="20">
        <v>2939.8420000000001</v>
      </c>
      <c r="D542" s="20">
        <v>5240</v>
      </c>
      <c r="E542" s="20">
        <v>4900</v>
      </c>
      <c r="F542" s="7">
        <f t="shared" si="56"/>
        <v>12754694.479999999</v>
      </c>
      <c r="G542" s="7">
        <f t="shared" si="57"/>
        <v>14405225.800000001</v>
      </c>
      <c r="H542" s="20">
        <v>67.5</v>
      </c>
      <c r="I542" s="20">
        <v>1263500</v>
      </c>
      <c r="J542" s="20">
        <v>347</v>
      </c>
      <c r="K542" s="20">
        <v>2728000</v>
      </c>
      <c r="L542" s="20">
        <v>119000</v>
      </c>
      <c r="M542" s="20"/>
      <c r="N542" s="20"/>
      <c r="O542" s="20"/>
      <c r="P542" s="20"/>
      <c r="Q542" s="19">
        <f t="shared" si="58"/>
        <v>31270420.280000001</v>
      </c>
      <c r="R542" s="20">
        <v>467031</v>
      </c>
      <c r="S542" s="20">
        <v>8154580</v>
      </c>
      <c r="T542" s="20"/>
      <c r="U542" s="20"/>
      <c r="V542" s="20"/>
      <c r="W542" s="20">
        <v>294000</v>
      </c>
      <c r="X542" s="20">
        <v>14119349</v>
      </c>
      <c r="Y542" s="8">
        <f t="shared" si="59"/>
        <v>8235460.2800000012</v>
      </c>
      <c r="Z542" s="36"/>
      <c r="AA542" s="36"/>
      <c r="AB542" s="36"/>
      <c r="AC542" s="36"/>
      <c r="AD542" s="36"/>
      <c r="AE542" s="36"/>
      <c r="AF542" s="36">
        <v>3000</v>
      </c>
      <c r="AG542" s="36"/>
      <c r="AH542" s="36"/>
      <c r="AI542" s="36"/>
      <c r="AJ542" s="36"/>
      <c r="AK542" s="36"/>
      <c r="AL542" s="37">
        <f t="shared" si="60"/>
        <v>3000</v>
      </c>
      <c r="AM542" s="36"/>
      <c r="AN542" s="36"/>
      <c r="AO542" s="36"/>
      <c r="AP542" s="7"/>
      <c r="AQ542" s="38">
        <f t="shared" si="61"/>
        <v>8232460.2800000012</v>
      </c>
      <c r="AR542" s="36">
        <v>0</v>
      </c>
      <c r="AS542" s="18">
        <f t="shared" si="62"/>
        <v>-8232460.2800000012</v>
      </c>
    </row>
    <row r="543" spans="1:45" x14ac:dyDescent="0.25">
      <c r="A543" s="40">
        <v>45831</v>
      </c>
      <c r="B543" s="20">
        <v>1978.63</v>
      </c>
      <c r="C543" s="20">
        <v>3549.8580000000002</v>
      </c>
      <c r="D543" s="20">
        <v>5240</v>
      </c>
      <c r="E543" s="20">
        <v>4900</v>
      </c>
      <c r="F543" s="7">
        <f t="shared" si="56"/>
        <v>10368021.200000001</v>
      </c>
      <c r="G543" s="7">
        <f t="shared" si="57"/>
        <v>17394304.199999999</v>
      </c>
      <c r="H543" s="20">
        <v>104.25</v>
      </c>
      <c r="I543" s="20">
        <v>2049600</v>
      </c>
      <c r="J543" s="20">
        <v>156</v>
      </c>
      <c r="K543" s="20">
        <v>1305000</v>
      </c>
      <c r="L543" s="20">
        <v>8000</v>
      </c>
      <c r="M543" s="20"/>
      <c r="N543" s="20">
        <v>500000</v>
      </c>
      <c r="O543" s="20"/>
      <c r="P543" s="20"/>
      <c r="Q543" s="19">
        <f t="shared" si="58"/>
        <v>31624925.399999999</v>
      </c>
      <c r="R543" s="20">
        <v>1287243</v>
      </c>
      <c r="S543" s="20">
        <v>6905818</v>
      </c>
      <c r="T543" s="20"/>
      <c r="U543" s="20"/>
      <c r="V543" s="20"/>
      <c r="W543" s="20">
        <v>560700</v>
      </c>
      <c r="X543" s="20">
        <v>16186224</v>
      </c>
      <c r="Y543" s="8">
        <f t="shared" si="59"/>
        <v>6684940.3999999985</v>
      </c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7">
        <f t="shared" si="60"/>
        <v>0</v>
      </c>
      <c r="AM543" s="36"/>
      <c r="AN543" s="36"/>
      <c r="AO543" s="36"/>
      <c r="AP543" s="7"/>
      <c r="AQ543" s="38">
        <f t="shared" si="61"/>
        <v>6684940.3999999985</v>
      </c>
      <c r="AR543" s="36">
        <v>14917500</v>
      </c>
      <c r="AS543" s="18">
        <f t="shared" si="62"/>
        <v>8232559.6000000015</v>
      </c>
    </row>
    <row r="544" spans="1:45" x14ac:dyDescent="0.25">
      <c r="A544" s="40">
        <v>45832</v>
      </c>
      <c r="B544" s="20">
        <v>2349.23</v>
      </c>
      <c r="C544" s="20">
        <v>3903.2640000000001</v>
      </c>
      <c r="D544" s="20">
        <v>5240</v>
      </c>
      <c r="E544" s="20">
        <v>4900</v>
      </c>
      <c r="F544" s="7">
        <f t="shared" si="56"/>
        <v>12309965.199999999</v>
      </c>
      <c r="G544" s="7">
        <f t="shared" si="57"/>
        <v>19125993.600000001</v>
      </c>
      <c r="H544" s="20">
        <v>37</v>
      </c>
      <c r="I544" s="20">
        <v>826000</v>
      </c>
      <c r="J544" s="20">
        <v>256.5</v>
      </c>
      <c r="K544" s="20">
        <v>1951000</v>
      </c>
      <c r="L544" s="20">
        <v>30000</v>
      </c>
      <c r="M544" s="20">
        <v>90000</v>
      </c>
      <c r="N544" s="20">
        <v>0</v>
      </c>
      <c r="O544" s="20">
        <v>1794404</v>
      </c>
      <c r="P544" s="20"/>
      <c r="Q544" s="19">
        <f t="shared" si="58"/>
        <v>36127362.799999997</v>
      </c>
      <c r="R544" s="20">
        <v>1756873</v>
      </c>
      <c r="S544" s="20">
        <v>8985197</v>
      </c>
      <c r="T544" s="20"/>
      <c r="U544" s="20"/>
      <c r="V544" s="20"/>
      <c r="W544" s="20">
        <v>196000</v>
      </c>
      <c r="X544" s="20">
        <v>15779445</v>
      </c>
      <c r="Y544" s="8">
        <f t="shared" si="59"/>
        <v>9409847.799999997</v>
      </c>
      <c r="Z544" s="36"/>
      <c r="AA544" s="36"/>
      <c r="AB544" s="36"/>
      <c r="AC544" s="36"/>
      <c r="AD544" s="36"/>
      <c r="AE544" s="36"/>
      <c r="AF544" s="36">
        <v>3000</v>
      </c>
      <c r="AG544" s="36"/>
      <c r="AH544" s="36"/>
      <c r="AI544" s="36"/>
      <c r="AJ544" s="36"/>
      <c r="AK544" s="36"/>
      <c r="AL544" s="37">
        <f t="shared" si="60"/>
        <v>3000</v>
      </c>
      <c r="AM544" s="36"/>
      <c r="AN544" s="36"/>
      <c r="AO544" s="36"/>
      <c r="AP544" s="7"/>
      <c r="AQ544" s="38">
        <f t="shared" si="61"/>
        <v>9406847.799999997</v>
      </c>
      <c r="AR544" s="36">
        <v>9404200</v>
      </c>
      <c r="AS544" s="18">
        <f t="shared" si="62"/>
        <v>-2647.7999999970198</v>
      </c>
    </row>
    <row r="545" spans="1:45" x14ac:dyDescent="0.25">
      <c r="A545" s="40">
        <v>45833</v>
      </c>
      <c r="B545" s="20">
        <v>2417.7809999999999</v>
      </c>
      <c r="C545" s="20">
        <v>3324.9319999999998</v>
      </c>
      <c r="D545" s="20">
        <v>5180</v>
      </c>
      <c r="E545" s="20">
        <v>4901</v>
      </c>
      <c r="F545" s="7">
        <f t="shared" si="56"/>
        <v>12524105.58</v>
      </c>
      <c r="G545" s="7">
        <f t="shared" si="57"/>
        <v>16295491.731999999</v>
      </c>
      <c r="H545" s="20">
        <v>46.75</v>
      </c>
      <c r="I545" s="20">
        <v>898000</v>
      </c>
      <c r="J545" s="20">
        <v>126</v>
      </c>
      <c r="K545" s="20">
        <v>1024000</v>
      </c>
      <c r="L545" s="20">
        <v>78000</v>
      </c>
      <c r="M545" s="20"/>
      <c r="N545" s="20"/>
      <c r="O545" s="20">
        <v>2000000</v>
      </c>
      <c r="P545" s="20"/>
      <c r="Q545" s="19">
        <f t="shared" si="58"/>
        <v>32819597.311999999</v>
      </c>
      <c r="R545" s="20">
        <v>299368</v>
      </c>
      <c r="S545" s="20">
        <v>8839844</v>
      </c>
      <c r="T545" s="20"/>
      <c r="U545" s="20"/>
      <c r="V545" s="20"/>
      <c r="W545" s="20">
        <v>876700</v>
      </c>
      <c r="X545" s="20">
        <v>8389459</v>
      </c>
      <c r="Y545" s="8">
        <f t="shared" si="59"/>
        <v>14414226.311999999</v>
      </c>
      <c r="Z545" s="36"/>
      <c r="AA545" s="36"/>
      <c r="AB545" s="36"/>
      <c r="AC545" s="36"/>
      <c r="AD545" s="36"/>
      <c r="AE545" s="36"/>
      <c r="AF545" s="36">
        <v>9000</v>
      </c>
      <c r="AG545" s="36"/>
      <c r="AH545" s="36"/>
      <c r="AI545" s="36"/>
      <c r="AJ545" s="36">
        <v>300000</v>
      </c>
      <c r="AK545" s="36"/>
      <c r="AL545" s="37">
        <f t="shared" si="60"/>
        <v>309000</v>
      </c>
      <c r="AM545" s="36"/>
      <c r="AN545" s="36"/>
      <c r="AO545" s="36"/>
      <c r="AP545" s="7"/>
      <c r="AQ545" s="38">
        <f t="shared" si="61"/>
        <v>14105226.311999999</v>
      </c>
      <c r="AR545" s="36">
        <v>14105300</v>
      </c>
      <c r="AS545" s="18">
        <f t="shared" si="62"/>
        <v>73.688000001013279</v>
      </c>
    </row>
    <row r="546" spans="1:45" x14ac:dyDescent="0.25">
      <c r="A546" s="40">
        <v>45834</v>
      </c>
      <c r="B546" s="20">
        <v>2480.8470000000002</v>
      </c>
      <c r="C546" s="20">
        <v>3735.1860000000001</v>
      </c>
      <c r="D546" s="20">
        <v>5180</v>
      </c>
      <c r="E546" s="20">
        <v>4901</v>
      </c>
      <c r="F546" s="7">
        <f t="shared" si="56"/>
        <v>12850787.460000001</v>
      </c>
      <c r="G546" s="7">
        <f t="shared" si="57"/>
        <v>18306146.585999999</v>
      </c>
      <c r="H546" s="20">
        <v>98.5</v>
      </c>
      <c r="I546" s="20">
        <v>1891000</v>
      </c>
      <c r="J546" s="20">
        <v>94.5</v>
      </c>
      <c r="K546" s="20">
        <v>820000</v>
      </c>
      <c r="L546" s="20">
        <v>83000</v>
      </c>
      <c r="M546" s="20"/>
      <c r="N546" s="20"/>
      <c r="O546" s="20">
        <v>686000</v>
      </c>
      <c r="P546" s="20"/>
      <c r="Q546" s="19">
        <f t="shared" si="58"/>
        <v>34636934.046000004</v>
      </c>
      <c r="R546" s="20">
        <v>1364511</v>
      </c>
      <c r="S546" s="20">
        <v>8530493</v>
      </c>
      <c r="T546" s="20"/>
      <c r="U546" s="20"/>
      <c r="V546" s="20"/>
      <c r="W546" s="20">
        <v>345500</v>
      </c>
      <c r="X546" s="20">
        <v>13058770</v>
      </c>
      <c r="Y546" s="8">
        <f t="shared" si="59"/>
        <v>11337660.046000004</v>
      </c>
      <c r="Z546" s="36">
        <v>708000</v>
      </c>
      <c r="AA546" s="36"/>
      <c r="AB546" s="36"/>
      <c r="AC546" s="36"/>
      <c r="AD546" s="36"/>
      <c r="AE546" s="36">
        <v>20000</v>
      </c>
      <c r="AF546" s="36">
        <v>57000</v>
      </c>
      <c r="AG546" s="36"/>
      <c r="AH546" s="36">
        <v>15000</v>
      </c>
      <c r="AI546" s="36"/>
      <c r="AJ546" s="36">
        <v>100000</v>
      </c>
      <c r="AK546" s="36"/>
      <c r="AL546" s="37">
        <f t="shared" si="60"/>
        <v>900000</v>
      </c>
      <c r="AM546" s="36"/>
      <c r="AN546" s="36"/>
      <c r="AO546" s="36"/>
      <c r="AP546" s="7"/>
      <c r="AQ546" s="38">
        <f t="shared" si="61"/>
        <v>10437660.046000004</v>
      </c>
      <c r="AR546" s="36">
        <v>10437700</v>
      </c>
      <c r="AS546" s="18">
        <f t="shared" si="62"/>
        <v>39.953999996185303</v>
      </c>
    </row>
    <row r="547" spans="1:45" x14ac:dyDescent="0.25">
      <c r="A547" s="40">
        <v>45835</v>
      </c>
      <c r="B547" s="20">
        <v>2433.5659999999998</v>
      </c>
      <c r="C547" s="20">
        <v>6702.585</v>
      </c>
      <c r="D547" s="20">
        <v>5180</v>
      </c>
      <c r="E547" s="20">
        <v>4901</v>
      </c>
      <c r="F547" s="7">
        <f t="shared" si="56"/>
        <v>12605871.879999999</v>
      </c>
      <c r="G547" s="7">
        <f t="shared" si="57"/>
        <v>32849369.085000001</v>
      </c>
      <c r="H547" s="20">
        <v>62</v>
      </c>
      <c r="I547" s="20">
        <v>1332000</v>
      </c>
      <c r="J547" s="20">
        <v>646.5</v>
      </c>
      <c r="K547" s="20">
        <v>5027000</v>
      </c>
      <c r="L547" s="20">
        <v>140000</v>
      </c>
      <c r="M547" s="20"/>
      <c r="N547" s="20"/>
      <c r="O547" s="20">
        <v>1313456</v>
      </c>
      <c r="P547" s="20">
        <v>25000</v>
      </c>
      <c r="Q547" s="19">
        <f t="shared" si="58"/>
        <v>53292696.965000004</v>
      </c>
      <c r="R547" s="20">
        <v>667033</v>
      </c>
      <c r="S547" s="20">
        <v>25106746</v>
      </c>
      <c r="T547" s="20"/>
      <c r="U547" s="20"/>
      <c r="V547" s="20"/>
      <c r="W547" s="20">
        <v>0</v>
      </c>
      <c r="X547" s="20">
        <v>11154322</v>
      </c>
      <c r="Y547" s="8">
        <f t="shared" si="59"/>
        <v>16364595.965000004</v>
      </c>
      <c r="Z547" s="36"/>
      <c r="AA547" s="36"/>
      <c r="AB547" s="36"/>
      <c r="AC547" s="36"/>
      <c r="AD547" s="36"/>
      <c r="AE547" s="36"/>
      <c r="AF547" s="36"/>
      <c r="AG547" s="36"/>
      <c r="AH547" s="36">
        <v>39000</v>
      </c>
      <c r="AI547" s="36"/>
      <c r="AJ547" s="36"/>
      <c r="AK547" s="36"/>
      <c r="AL547" s="37">
        <f t="shared" si="60"/>
        <v>39000</v>
      </c>
      <c r="AM547" s="36"/>
      <c r="AN547" s="36"/>
      <c r="AO547" s="36"/>
      <c r="AP547" s="7"/>
      <c r="AQ547" s="38">
        <f t="shared" si="61"/>
        <v>16325595.965000004</v>
      </c>
      <c r="AR547" s="36">
        <v>16325600</v>
      </c>
      <c r="AS547" s="18">
        <f t="shared" si="62"/>
        <v>4.0349999964237213</v>
      </c>
    </row>
    <row r="548" spans="1:45" x14ac:dyDescent="0.25">
      <c r="A548" s="40">
        <v>45836</v>
      </c>
      <c r="B548" s="20">
        <v>2996.4090000000001</v>
      </c>
      <c r="C548" s="20">
        <v>6948.598</v>
      </c>
      <c r="D548" s="20">
        <v>5180</v>
      </c>
      <c r="E548" s="20">
        <v>4901</v>
      </c>
      <c r="F548" s="7">
        <f t="shared" si="56"/>
        <v>15521398.620000001</v>
      </c>
      <c r="G548" s="7">
        <f t="shared" si="57"/>
        <v>34055078.798</v>
      </c>
      <c r="H548" s="20">
        <v>53</v>
      </c>
      <c r="I548" s="20">
        <v>1141000</v>
      </c>
      <c r="J548" s="20">
        <v>93</v>
      </c>
      <c r="K548" s="20">
        <v>784000</v>
      </c>
      <c r="L548" s="20">
        <v>63000</v>
      </c>
      <c r="M548" s="20"/>
      <c r="N548" s="20"/>
      <c r="O548" s="20">
        <v>0</v>
      </c>
      <c r="P548" s="20">
        <v>25000</v>
      </c>
      <c r="Q548" s="19">
        <f t="shared" si="58"/>
        <v>51589477.417999998</v>
      </c>
      <c r="R548" s="20">
        <v>565053</v>
      </c>
      <c r="S548" s="20">
        <v>26897890</v>
      </c>
      <c r="T548" s="20"/>
      <c r="U548" s="20"/>
      <c r="V548" s="20"/>
      <c r="W548" s="20">
        <v>800037</v>
      </c>
      <c r="X548" s="20">
        <v>7486200</v>
      </c>
      <c r="Y548" s="8">
        <f t="shared" si="59"/>
        <v>15840297.417999998</v>
      </c>
      <c r="Z548" s="36"/>
      <c r="AA548" s="36"/>
      <c r="AB548" s="36"/>
      <c r="AC548" s="36">
        <v>7000</v>
      </c>
      <c r="AD548" s="36"/>
      <c r="AE548" s="36"/>
      <c r="AF548" s="36">
        <v>544000</v>
      </c>
      <c r="AG548" s="36"/>
      <c r="AH548" s="36"/>
      <c r="AI548" s="36"/>
      <c r="AJ548" s="36"/>
      <c r="AK548" s="36"/>
      <c r="AL548" s="37">
        <f t="shared" si="60"/>
        <v>551000</v>
      </c>
      <c r="AM548" s="36">
        <v>1735000</v>
      </c>
      <c r="AN548" s="36"/>
      <c r="AO548" s="36"/>
      <c r="AP548" s="7"/>
      <c r="AQ548" s="38">
        <f t="shared" si="61"/>
        <v>13554297.417999998</v>
      </c>
      <c r="AR548" s="36">
        <v>13554300</v>
      </c>
      <c r="AS548" s="18">
        <f t="shared" si="62"/>
        <v>2.5820000022649765</v>
      </c>
    </row>
    <row r="549" spans="1:45" x14ac:dyDescent="0.25">
      <c r="A549" s="40">
        <v>45837</v>
      </c>
      <c r="B549" s="20">
        <v>3328.9520000000002</v>
      </c>
      <c r="C549" s="20">
        <v>2798.3150000000001</v>
      </c>
      <c r="D549" s="20">
        <v>5180</v>
      </c>
      <c r="E549" s="20">
        <v>4901</v>
      </c>
      <c r="F549" s="7">
        <f t="shared" si="56"/>
        <v>17243971.359999999</v>
      </c>
      <c r="G549" s="7">
        <f t="shared" si="57"/>
        <v>13714541.814999999</v>
      </c>
      <c r="H549" s="20">
        <v>43</v>
      </c>
      <c r="I549" s="20">
        <v>835000</v>
      </c>
      <c r="J549" s="20">
        <v>91.5</v>
      </c>
      <c r="K549" s="20">
        <v>1378000</v>
      </c>
      <c r="L549" s="20">
        <v>8000</v>
      </c>
      <c r="M549" s="20"/>
      <c r="N549" s="20"/>
      <c r="O549" s="20">
        <v>191000</v>
      </c>
      <c r="P549" s="20"/>
      <c r="Q549" s="19">
        <f t="shared" si="58"/>
        <v>33370513.174999997</v>
      </c>
      <c r="R549" s="20">
        <v>643446</v>
      </c>
      <c r="S549" s="20">
        <v>7919997</v>
      </c>
      <c r="T549" s="20"/>
      <c r="U549" s="20"/>
      <c r="V549" s="20"/>
      <c r="W549" s="20">
        <v>1080885</v>
      </c>
      <c r="X549" s="20">
        <v>9989670</v>
      </c>
      <c r="Y549" s="8">
        <f t="shared" si="59"/>
        <v>13736515.174999997</v>
      </c>
      <c r="Z549" s="36"/>
      <c r="AA549" s="36"/>
      <c r="AB549" s="36"/>
      <c r="AC549" s="36"/>
      <c r="AD549" s="36"/>
      <c r="AE549" s="36"/>
      <c r="AF549" s="36">
        <v>3000</v>
      </c>
      <c r="AG549" s="36"/>
      <c r="AH549" s="36"/>
      <c r="AI549" s="36"/>
      <c r="AJ549" s="36">
        <v>300000</v>
      </c>
      <c r="AK549" s="36"/>
      <c r="AL549" s="37">
        <f t="shared" si="60"/>
        <v>303000</v>
      </c>
      <c r="AM549" s="36"/>
      <c r="AN549" s="36"/>
      <c r="AO549" s="36"/>
      <c r="AP549" s="7"/>
      <c r="AQ549" s="38">
        <f t="shared" si="61"/>
        <v>13433515.174999997</v>
      </c>
      <c r="AR549" s="36">
        <v>0</v>
      </c>
      <c r="AS549" s="18">
        <f t="shared" si="62"/>
        <v>-13433515.174999997</v>
      </c>
    </row>
    <row r="550" spans="1:45" x14ac:dyDescent="0.25">
      <c r="A550" s="40">
        <v>45838</v>
      </c>
      <c r="B550" s="20">
        <v>2917.5790000000002</v>
      </c>
      <c r="C550" s="20">
        <v>1977.5239999999999</v>
      </c>
      <c r="D550" s="20">
        <v>5180</v>
      </c>
      <c r="E550" s="20">
        <v>4901</v>
      </c>
      <c r="F550" s="7">
        <f t="shared" si="56"/>
        <v>15113059.220000001</v>
      </c>
      <c r="G550" s="7">
        <f t="shared" si="57"/>
        <v>9691845.1239999998</v>
      </c>
      <c r="H550" s="20">
        <v>49.5</v>
      </c>
      <c r="I550" s="20">
        <v>989000</v>
      </c>
      <c r="J550" s="20">
        <v>60.5</v>
      </c>
      <c r="K550" s="20">
        <v>588000</v>
      </c>
      <c r="L550" s="20">
        <v>32000</v>
      </c>
      <c r="M550" s="20"/>
      <c r="N550" s="20">
        <v>560000</v>
      </c>
      <c r="O550" s="20">
        <v>1444895</v>
      </c>
      <c r="P550" s="20">
        <v>25000</v>
      </c>
      <c r="Q550" s="19">
        <f t="shared" si="58"/>
        <v>28443799.344000001</v>
      </c>
      <c r="R550" s="20">
        <v>770435</v>
      </c>
      <c r="S550" s="20">
        <v>4677864</v>
      </c>
      <c r="T550" s="20"/>
      <c r="U550" s="20"/>
      <c r="V550" s="20"/>
      <c r="W550" s="20">
        <v>241000</v>
      </c>
      <c r="X550" s="20">
        <v>6333695</v>
      </c>
      <c r="Y550" s="8">
        <f t="shared" si="59"/>
        <v>16420805.344000001</v>
      </c>
      <c r="Z550" s="36"/>
      <c r="AA550" s="36"/>
      <c r="AB550" s="36"/>
      <c r="AC550" s="36"/>
      <c r="AD550" s="36"/>
      <c r="AE550" s="36"/>
      <c r="AF550" s="36">
        <v>3000</v>
      </c>
      <c r="AG550" s="36"/>
      <c r="AH550" s="36"/>
      <c r="AI550" s="36"/>
      <c r="AJ550" s="36"/>
      <c r="AK550" s="36"/>
      <c r="AL550" s="37">
        <f t="shared" si="60"/>
        <v>3000</v>
      </c>
      <c r="AM550" s="36"/>
      <c r="AN550" s="36"/>
      <c r="AO550" s="36"/>
      <c r="AP550" s="7"/>
      <c r="AQ550" s="38">
        <f t="shared" si="61"/>
        <v>16417805.344000001</v>
      </c>
      <c r="AR550" s="36">
        <v>29802500</v>
      </c>
      <c r="AS550" s="18">
        <f t="shared" si="62"/>
        <v>13384694.655999999</v>
      </c>
    </row>
    <row r="551" spans="1:45" x14ac:dyDescent="0.25">
      <c r="A551" s="40">
        <v>45839</v>
      </c>
      <c r="B551" s="20">
        <v>3538.35</v>
      </c>
      <c r="C551" s="20">
        <v>3785.9140000000002</v>
      </c>
      <c r="D551" s="20">
        <v>5180</v>
      </c>
      <c r="E551" s="20">
        <v>4901</v>
      </c>
      <c r="F551" s="7">
        <f t="shared" si="56"/>
        <v>18328653</v>
      </c>
      <c r="G551" s="7">
        <f t="shared" si="57"/>
        <v>18554764.514000002</v>
      </c>
      <c r="H551" s="20">
        <v>46.75</v>
      </c>
      <c r="I551" s="20">
        <v>1056000</v>
      </c>
      <c r="J551" s="20">
        <v>86</v>
      </c>
      <c r="K551" s="20">
        <v>738000</v>
      </c>
      <c r="L551" s="20">
        <v>128000</v>
      </c>
      <c r="M551" s="20"/>
      <c r="N551" s="20">
        <v>0</v>
      </c>
      <c r="O551" s="20">
        <v>11121922</v>
      </c>
      <c r="P551" s="20">
        <v>0</v>
      </c>
      <c r="Q551" s="19">
        <f t="shared" si="58"/>
        <v>49927339.513999999</v>
      </c>
      <c r="R551" s="20">
        <v>997871</v>
      </c>
      <c r="S551" s="20">
        <v>10266167</v>
      </c>
      <c r="T551" s="20"/>
      <c r="U551" s="20"/>
      <c r="V551" s="20"/>
      <c r="W551" s="20">
        <v>277600</v>
      </c>
      <c r="X551" s="20">
        <v>9930288</v>
      </c>
      <c r="Y551" s="8">
        <f t="shared" si="59"/>
        <v>28455413.513999999</v>
      </c>
      <c r="Z551" s="36"/>
      <c r="AA551" s="36"/>
      <c r="AB551" s="36">
        <v>643100</v>
      </c>
      <c r="AC551" s="36"/>
      <c r="AD551" s="36">
        <v>98020</v>
      </c>
      <c r="AE551" s="36">
        <v>1036000</v>
      </c>
      <c r="AF551" s="36">
        <v>30000</v>
      </c>
      <c r="AG551" s="36">
        <v>3100000</v>
      </c>
      <c r="AH551" s="36">
        <v>10000</v>
      </c>
      <c r="AI551" s="36"/>
      <c r="AJ551" s="36">
        <v>1000000</v>
      </c>
      <c r="AK551" s="36"/>
      <c r="AL551" s="37">
        <f t="shared" si="60"/>
        <v>5917120</v>
      </c>
      <c r="AM551" s="36"/>
      <c r="AN551" s="36"/>
      <c r="AO551" s="36"/>
      <c r="AP551" s="7"/>
      <c r="AQ551" s="38">
        <f t="shared" si="61"/>
        <v>22538293.513999999</v>
      </c>
      <c r="AR551" s="36">
        <v>22538300</v>
      </c>
      <c r="AS551" s="18">
        <f t="shared" si="62"/>
        <v>6.4860000014305115</v>
      </c>
    </row>
    <row r="552" spans="1:45" x14ac:dyDescent="0.25">
      <c r="A552" s="40">
        <v>45840</v>
      </c>
      <c r="B552" s="20">
        <v>1173.489</v>
      </c>
      <c r="C552" s="20">
        <v>2996.38</v>
      </c>
      <c r="D552" s="20">
        <v>5180</v>
      </c>
      <c r="E552" s="20">
        <v>4901</v>
      </c>
      <c r="F552" s="7">
        <f t="shared" si="56"/>
        <v>6078673.0200000005</v>
      </c>
      <c r="G552" s="7">
        <f t="shared" si="57"/>
        <v>14685258.380000001</v>
      </c>
      <c r="H552" s="20">
        <v>86.75</v>
      </c>
      <c r="I552" s="20">
        <v>1789000</v>
      </c>
      <c r="J552" s="20">
        <v>95</v>
      </c>
      <c r="K552" s="20">
        <v>933000</v>
      </c>
      <c r="L552" s="20">
        <v>130000</v>
      </c>
      <c r="M552" s="20"/>
      <c r="N552" s="20">
        <v>48000</v>
      </c>
      <c r="O552" s="20">
        <v>804600</v>
      </c>
      <c r="P552" s="20"/>
      <c r="Q552" s="19">
        <f t="shared" si="58"/>
        <v>24468531.400000002</v>
      </c>
      <c r="R552" s="20">
        <v>215760</v>
      </c>
      <c r="S552" s="20">
        <v>7277767</v>
      </c>
      <c r="T552" s="20"/>
      <c r="U552" s="20"/>
      <c r="V552" s="20"/>
      <c r="W552" s="20">
        <v>300000</v>
      </c>
      <c r="X552" s="20">
        <v>10849030</v>
      </c>
      <c r="Y552" s="8">
        <f t="shared" si="59"/>
        <v>5825974.4000000022</v>
      </c>
      <c r="Z552" s="36"/>
      <c r="AA552" s="36"/>
      <c r="AB552" s="36"/>
      <c r="AC552" s="36"/>
      <c r="AD552" s="36"/>
      <c r="AE552" s="36"/>
      <c r="AF552" s="36">
        <v>6000</v>
      </c>
      <c r="AG552" s="36"/>
      <c r="AH552" s="36"/>
      <c r="AI552" s="36">
        <v>5000</v>
      </c>
      <c r="AJ552" s="36"/>
      <c r="AK552" s="36"/>
      <c r="AL552" s="37">
        <f t="shared" si="60"/>
        <v>11000</v>
      </c>
      <c r="AM552" s="36"/>
      <c r="AN552" s="36"/>
      <c r="AO552" s="36"/>
      <c r="AP552" s="7"/>
      <c r="AQ552" s="38">
        <f t="shared" si="61"/>
        <v>5814974.4000000022</v>
      </c>
      <c r="AR552" s="36">
        <v>5815000</v>
      </c>
      <c r="AS552" s="18">
        <f t="shared" si="62"/>
        <v>25.599999997764826</v>
      </c>
    </row>
    <row r="553" spans="1:45" x14ac:dyDescent="0.25">
      <c r="A553" s="40">
        <v>45841</v>
      </c>
      <c r="B553" s="20">
        <v>2872.9169999999999</v>
      </c>
      <c r="C553" s="20">
        <v>5153.1679999999997</v>
      </c>
      <c r="D553" s="20">
        <v>5180</v>
      </c>
      <c r="E553" s="20">
        <v>4901</v>
      </c>
      <c r="F553" s="7">
        <f t="shared" si="56"/>
        <v>14881710.059999999</v>
      </c>
      <c r="G553" s="7">
        <f t="shared" si="57"/>
        <v>25255676.367999997</v>
      </c>
      <c r="H553" s="20">
        <v>74.25</v>
      </c>
      <c r="I553" s="20">
        <v>1530500</v>
      </c>
      <c r="J553" s="20">
        <v>42</v>
      </c>
      <c r="K553" s="20">
        <v>430000</v>
      </c>
      <c r="L553" s="20">
        <v>70000</v>
      </c>
      <c r="M553" s="20"/>
      <c r="N553" s="20">
        <v>0</v>
      </c>
      <c r="O553" s="20">
        <v>48946</v>
      </c>
      <c r="P553" s="20"/>
      <c r="Q553" s="19">
        <f t="shared" si="58"/>
        <v>42216832.427999996</v>
      </c>
      <c r="R553" s="20">
        <v>1279272</v>
      </c>
      <c r="S553" s="20">
        <v>19241126</v>
      </c>
      <c r="T553" s="20"/>
      <c r="U553" s="20"/>
      <c r="V553" s="20"/>
      <c r="W553" s="20">
        <v>348000</v>
      </c>
      <c r="X553" s="20">
        <v>7199028</v>
      </c>
      <c r="Y553" s="8">
        <f t="shared" si="59"/>
        <v>14149406.427999996</v>
      </c>
      <c r="Z553" s="36"/>
      <c r="AA553" s="36"/>
      <c r="AB553" s="36"/>
      <c r="AC553" s="36"/>
      <c r="AD553" s="36"/>
      <c r="AE553" s="36"/>
      <c r="AF553" s="36">
        <v>1292000</v>
      </c>
      <c r="AG553" s="36"/>
      <c r="AH553" s="36"/>
      <c r="AI553" s="36"/>
      <c r="AJ553" s="36">
        <v>100000</v>
      </c>
      <c r="AK553" s="36"/>
      <c r="AL553" s="37">
        <f t="shared" si="60"/>
        <v>1392000</v>
      </c>
      <c r="AM553" s="36"/>
      <c r="AN553" s="36"/>
      <c r="AO553" s="36"/>
      <c r="AP553" s="7"/>
      <c r="AQ553" s="38">
        <f t="shared" si="61"/>
        <v>12757406.427999996</v>
      </c>
      <c r="AR553" s="36">
        <v>12757400</v>
      </c>
      <c r="AS553" s="18">
        <f t="shared" si="62"/>
        <v>-6.4279999956488609</v>
      </c>
    </row>
    <row r="554" spans="1:45" x14ac:dyDescent="0.25">
      <c r="A554" s="40">
        <v>45842</v>
      </c>
      <c r="B554" s="20">
        <v>3131.91</v>
      </c>
      <c r="C554" s="20">
        <v>4574.7759999999998</v>
      </c>
      <c r="D554" s="20">
        <v>5180</v>
      </c>
      <c r="E554" s="20">
        <v>4910</v>
      </c>
      <c r="F554" s="7">
        <f t="shared" si="56"/>
        <v>16223293.799999999</v>
      </c>
      <c r="G554" s="7">
        <f t="shared" si="57"/>
        <v>22462150.16</v>
      </c>
      <c r="H554" s="20">
        <v>132.75</v>
      </c>
      <c r="I554" s="20">
        <v>2768000</v>
      </c>
      <c r="J554" s="20">
        <v>59</v>
      </c>
      <c r="K554" s="20">
        <v>501000</v>
      </c>
      <c r="L554" s="20">
        <v>60000</v>
      </c>
      <c r="M554" s="20"/>
      <c r="N554" s="20"/>
      <c r="O554" s="20"/>
      <c r="P554" s="20"/>
      <c r="Q554" s="19">
        <f t="shared" si="58"/>
        <v>42014443.960000001</v>
      </c>
      <c r="R554" s="20">
        <v>1281232</v>
      </c>
      <c r="S554" s="20">
        <v>14031062</v>
      </c>
      <c r="T554" s="20"/>
      <c r="U554" s="20"/>
      <c r="V554" s="20"/>
      <c r="W554" s="20">
        <v>548000</v>
      </c>
      <c r="X554" s="20">
        <v>11422080</v>
      </c>
      <c r="Y554" s="8">
        <f t="shared" si="59"/>
        <v>14732069.960000001</v>
      </c>
      <c r="Z554" s="36"/>
      <c r="AA554" s="36"/>
      <c r="AB554" s="36"/>
      <c r="AC554" s="36">
        <v>34000</v>
      </c>
      <c r="AD554" s="36"/>
      <c r="AE554" s="36"/>
      <c r="AF554" s="36">
        <v>3000</v>
      </c>
      <c r="AG554" s="36"/>
      <c r="AH554" s="36">
        <v>52000</v>
      </c>
      <c r="AI554" s="36"/>
      <c r="AJ554" s="36"/>
      <c r="AK554" s="36"/>
      <c r="AL554" s="37">
        <f t="shared" si="60"/>
        <v>89000</v>
      </c>
      <c r="AM554" s="36"/>
      <c r="AN554" s="36"/>
      <c r="AO554" s="36"/>
      <c r="AP554" s="7"/>
      <c r="AQ554" s="38">
        <f t="shared" si="61"/>
        <v>14643069.960000001</v>
      </c>
      <c r="AR554" s="36">
        <v>14643000</v>
      </c>
      <c r="AS554" s="18">
        <f t="shared" si="62"/>
        <v>-69.96000000089407</v>
      </c>
    </row>
    <row r="555" spans="1:45" x14ac:dyDescent="0.25">
      <c r="A555" s="40">
        <v>45843</v>
      </c>
      <c r="B555" s="20">
        <v>3605.9270000000001</v>
      </c>
      <c r="C555" s="20">
        <v>4114.3770000000004</v>
      </c>
      <c r="D555" s="20">
        <v>5180</v>
      </c>
      <c r="E555" s="20">
        <v>4910</v>
      </c>
      <c r="F555" s="7">
        <f t="shared" si="56"/>
        <v>18678701.859999999</v>
      </c>
      <c r="G555" s="7">
        <f t="shared" si="57"/>
        <v>20201591.07</v>
      </c>
      <c r="H555" s="20">
        <v>39.75</v>
      </c>
      <c r="I555" s="20">
        <v>753500</v>
      </c>
      <c r="J555" s="20">
        <v>85.5</v>
      </c>
      <c r="K555" s="20">
        <v>916000</v>
      </c>
      <c r="L555" s="20">
        <v>31000</v>
      </c>
      <c r="M555" s="20"/>
      <c r="N555" s="20"/>
      <c r="O555" s="20">
        <v>1473600</v>
      </c>
      <c r="P555" s="20"/>
      <c r="Q555" s="19">
        <f t="shared" si="58"/>
        <v>42054392.93</v>
      </c>
      <c r="R555" s="20">
        <v>1117520</v>
      </c>
      <c r="S555" s="20">
        <v>13590688</v>
      </c>
      <c r="T555" s="20"/>
      <c r="U555" s="20"/>
      <c r="V555" s="20"/>
      <c r="W555" s="20">
        <v>468500</v>
      </c>
      <c r="X555" s="20">
        <v>12803644</v>
      </c>
      <c r="Y555" s="8">
        <f t="shared" si="59"/>
        <v>14074040.93</v>
      </c>
      <c r="Z555" s="36"/>
      <c r="AA555" s="36"/>
      <c r="AB555" s="36"/>
      <c r="AC555" s="36"/>
      <c r="AD555" s="36"/>
      <c r="AE555" s="36"/>
      <c r="AF555" s="36">
        <v>5003000</v>
      </c>
      <c r="AG555" s="36"/>
      <c r="AH555" s="36">
        <v>70000</v>
      </c>
      <c r="AI555" s="36"/>
      <c r="AJ555" s="36"/>
      <c r="AK555" s="36"/>
      <c r="AL555" s="37">
        <f t="shared" si="60"/>
        <v>5073000</v>
      </c>
      <c r="AM555" s="36"/>
      <c r="AN555" s="36"/>
      <c r="AO555" s="36"/>
      <c r="AP555" s="7"/>
      <c r="AQ555" s="38">
        <f t="shared" si="61"/>
        <v>9001040.9299999997</v>
      </c>
      <c r="AR555" s="36">
        <v>0</v>
      </c>
      <c r="AS555" s="18">
        <f t="shared" si="62"/>
        <v>-9001040.9299999997</v>
      </c>
    </row>
    <row r="556" spans="1:45" x14ac:dyDescent="0.25">
      <c r="A556" s="40">
        <v>45844</v>
      </c>
      <c r="B556" s="20">
        <v>3416.5889999999999</v>
      </c>
      <c r="C556" s="20">
        <v>2396.7979999999998</v>
      </c>
      <c r="D556" s="20">
        <v>5180</v>
      </c>
      <c r="E556" s="20">
        <v>4910</v>
      </c>
      <c r="F556" s="7">
        <f t="shared" si="56"/>
        <v>17697931.02</v>
      </c>
      <c r="G556" s="7">
        <f t="shared" si="57"/>
        <v>11768278.18</v>
      </c>
      <c r="H556" s="20">
        <v>44.25</v>
      </c>
      <c r="I556" s="20">
        <v>867000</v>
      </c>
      <c r="J556" s="20">
        <v>110.5</v>
      </c>
      <c r="K556" s="20">
        <v>902000</v>
      </c>
      <c r="L556" s="20">
        <v>126000</v>
      </c>
      <c r="M556" s="20"/>
      <c r="N556" s="20">
        <v>898000</v>
      </c>
      <c r="O556" s="20">
        <v>0</v>
      </c>
      <c r="P556" s="20"/>
      <c r="Q556" s="19">
        <f t="shared" si="58"/>
        <v>32259209.199999999</v>
      </c>
      <c r="R556" s="20">
        <v>897862</v>
      </c>
      <c r="S556" s="20">
        <v>6217178</v>
      </c>
      <c r="T556" s="20"/>
      <c r="U556" s="20"/>
      <c r="V556" s="20"/>
      <c r="W556" s="20">
        <v>692321</v>
      </c>
      <c r="X556" s="20">
        <v>11917066</v>
      </c>
      <c r="Y556" s="8">
        <f t="shared" si="59"/>
        <v>12534782.199999999</v>
      </c>
      <c r="Z556" s="36"/>
      <c r="AA556" s="36"/>
      <c r="AB556" s="36"/>
      <c r="AC556" s="36"/>
      <c r="AD556" s="36"/>
      <c r="AE556" s="36"/>
      <c r="AF556" s="36">
        <v>200000</v>
      </c>
      <c r="AG556" s="36"/>
      <c r="AH556" s="36"/>
      <c r="AI556" s="36"/>
      <c r="AJ556" s="36"/>
      <c r="AK556" s="36"/>
      <c r="AL556" s="37">
        <f t="shared" si="60"/>
        <v>200000</v>
      </c>
      <c r="AM556" s="36"/>
      <c r="AN556" s="36"/>
      <c r="AO556" s="36"/>
      <c r="AP556" s="7"/>
      <c r="AQ556" s="38">
        <f t="shared" si="61"/>
        <v>12334782.199999999</v>
      </c>
      <c r="AR556" s="36">
        <v>0</v>
      </c>
      <c r="AS556" s="18">
        <f t="shared" si="62"/>
        <v>-12334782.199999999</v>
      </c>
    </row>
    <row r="557" spans="1:45" x14ac:dyDescent="0.25">
      <c r="A557" s="40">
        <v>45845</v>
      </c>
      <c r="B557" s="20">
        <v>2372.6570000000002</v>
      </c>
      <c r="C557" s="20">
        <v>1264.557</v>
      </c>
      <c r="D557" s="20">
        <v>5180</v>
      </c>
      <c r="E557" s="20">
        <v>4910</v>
      </c>
      <c r="F557" s="7">
        <f t="shared" si="56"/>
        <v>12290363.260000002</v>
      </c>
      <c r="G557" s="7">
        <f t="shared" si="57"/>
        <v>6208974.8700000001</v>
      </c>
      <c r="H557" s="20">
        <v>49.75</v>
      </c>
      <c r="I557" s="20">
        <v>1014000</v>
      </c>
      <c r="J557" s="20">
        <v>221.5</v>
      </c>
      <c r="K557" s="20">
        <v>2003000</v>
      </c>
      <c r="L557" s="20">
        <v>69000</v>
      </c>
      <c r="M557" s="20"/>
      <c r="N557" s="20"/>
      <c r="O557" s="20"/>
      <c r="P557" s="20">
        <v>75000</v>
      </c>
      <c r="Q557" s="19">
        <f t="shared" si="58"/>
        <v>21660338.130000003</v>
      </c>
      <c r="R557" s="20">
        <v>1240313</v>
      </c>
      <c r="S557" s="20">
        <v>1438356</v>
      </c>
      <c r="T557" s="20"/>
      <c r="U557" s="20"/>
      <c r="V557" s="20"/>
      <c r="W557" s="20">
        <v>370000</v>
      </c>
      <c r="X557" s="20">
        <v>7530211</v>
      </c>
      <c r="Y557" s="8">
        <f t="shared" si="59"/>
        <v>11081458.130000003</v>
      </c>
      <c r="Z557" s="36"/>
      <c r="AA557" s="36"/>
      <c r="AB557" s="36"/>
      <c r="AC557" s="36"/>
      <c r="AD557" s="36"/>
      <c r="AE557" s="36"/>
      <c r="AF557" s="36">
        <v>4000000</v>
      </c>
      <c r="AG557" s="36"/>
      <c r="AH557" s="36"/>
      <c r="AI557" s="36"/>
      <c r="AJ557" s="36">
        <v>500000</v>
      </c>
      <c r="AK557" s="36"/>
      <c r="AL557" s="37">
        <f t="shared" si="60"/>
        <v>4500000</v>
      </c>
      <c r="AM557" s="36"/>
      <c r="AN557" s="36"/>
      <c r="AO557" s="36"/>
      <c r="AP557" s="7"/>
      <c r="AQ557" s="38">
        <f t="shared" si="61"/>
        <v>6581458.1300000027</v>
      </c>
      <c r="AR557" s="36">
        <v>27917300</v>
      </c>
      <c r="AS557" s="18">
        <f t="shared" si="62"/>
        <v>21335841.869999997</v>
      </c>
    </row>
    <row r="558" spans="1:45" x14ac:dyDescent="0.25">
      <c r="A558" s="40">
        <v>45846</v>
      </c>
      <c r="B558" s="20">
        <v>2855.3090000000002</v>
      </c>
      <c r="C558" s="20">
        <v>4864.5820000000003</v>
      </c>
      <c r="D558" s="20">
        <v>5180</v>
      </c>
      <c r="E558" s="20">
        <v>4910</v>
      </c>
      <c r="F558" s="7">
        <f t="shared" si="56"/>
        <v>14790500.620000001</v>
      </c>
      <c r="G558" s="7">
        <f t="shared" si="57"/>
        <v>23885097.620000001</v>
      </c>
      <c r="H558" s="20">
        <v>37.5</v>
      </c>
      <c r="I558" s="20">
        <v>751500</v>
      </c>
      <c r="J558" s="20">
        <v>245</v>
      </c>
      <c r="K558" s="20">
        <v>2076000</v>
      </c>
      <c r="L558" s="20">
        <v>8000</v>
      </c>
      <c r="M558" s="20"/>
      <c r="N558" s="20"/>
      <c r="O558" s="20"/>
      <c r="P558" s="20"/>
      <c r="Q558" s="19">
        <f t="shared" si="58"/>
        <v>41511098.240000002</v>
      </c>
      <c r="R558" s="20">
        <v>736823</v>
      </c>
      <c r="S558" s="20">
        <v>14749816</v>
      </c>
      <c r="T558" s="20"/>
      <c r="U558" s="20"/>
      <c r="V558" s="20"/>
      <c r="W558" s="20">
        <v>445000</v>
      </c>
      <c r="X558" s="20">
        <v>13005443</v>
      </c>
      <c r="Y558" s="8">
        <f t="shared" si="59"/>
        <v>12574016.240000002</v>
      </c>
      <c r="Z558" s="36"/>
      <c r="AA558" s="36">
        <v>148700</v>
      </c>
      <c r="AB558" s="36"/>
      <c r="AC558" s="36"/>
      <c r="AD558" s="36"/>
      <c r="AE558" s="36"/>
      <c r="AF558" s="36">
        <v>4206000</v>
      </c>
      <c r="AG558" s="36"/>
      <c r="AH558" s="36"/>
      <c r="AI558" s="36"/>
      <c r="AJ558" s="36"/>
      <c r="AK558" s="36"/>
      <c r="AL558" s="37">
        <f t="shared" si="60"/>
        <v>4354700</v>
      </c>
      <c r="AM558" s="36"/>
      <c r="AN558" s="36"/>
      <c r="AO558" s="36"/>
      <c r="AP558" s="7"/>
      <c r="AQ558" s="38">
        <f t="shared" si="61"/>
        <v>8219316.2400000021</v>
      </c>
      <c r="AR558" s="36">
        <v>8219300</v>
      </c>
      <c r="AS558" s="18">
        <f t="shared" si="62"/>
        <v>-16.240000002086163</v>
      </c>
    </row>
    <row r="559" spans="1:45" x14ac:dyDescent="0.25">
      <c r="A559" s="40">
        <v>45847</v>
      </c>
      <c r="B559" s="20">
        <v>3737.165</v>
      </c>
      <c r="C559" s="20">
        <v>3916.8969999999999</v>
      </c>
      <c r="D559" s="20">
        <v>5180</v>
      </c>
      <c r="E559" s="20">
        <v>4910</v>
      </c>
      <c r="F559" s="7">
        <f t="shared" si="56"/>
        <v>19358514.699999999</v>
      </c>
      <c r="G559" s="7">
        <f t="shared" si="57"/>
        <v>19231964.27</v>
      </c>
      <c r="H559" s="20">
        <v>26</v>
      </c>
      <c r="I559" s="20">
        <v>596500</v>
      </c>
      <c r="J559" s="20">
        <v>88.5</v>
      </c>
      <c r="K559" s="20">
        <v>887000</v>
      </c>
      <c r="L559" s="20">
        <v>0</v>
      </c>
      <c r="M559" s="20">
        <v>400000</v>
      </c>
      <c r="N559" s="20"/>
      <c r="O559" s="20"/>
      <c r="P559" s="20"/>
      <c r="Q559" s="19">
        <f t="shared" si="58"/>
        <v>40473978.969999999</v>
      </c>
      <c r="R559" s="20">
        <v>3754426</v>
      </c>
      <c r="S559" s="20">
        <v>13653078</v>
      </c>
      <c r="T559" s="20"/>
      <c r="U559" s="20"/>
      <c r="V559" s="20"/>
      <c r="W559" s="20">
        <v>0</v>
      </c>
      <c r="X559" s="20">
        <v>12085959</v>
      </c>
      <c r="Y559" s="8">
        <f t="shared" si="59"/>
        <v>10980515.969999999</v>
      </c>
      <c r="Z559" s="36"/>
      <c r="AA559" s="36"/>
      <c r="AB559" s="36"/>
      <c r="AC559" s="36"/>
      <c r="AD559" s="36"/>
      <c r="AE559" s="36"/>
      <c r="AF559" s="36">
        <v>2203000</v>
      </c>
      <c r="AG559" s="36">
        <v>121500</v>
      </c>
      <c r="AH559" s="36"/>
      <c r="AI559" s="36">
        <v>20000</v>
      </c>
      <c r="AJ559" s="36"/>
      <c r="AK559" s="36"/>
      <c r="AL559" s="37">
        <f t="shared" si="60"/>
        <v>2344500</v>
      </c>
      <c r="AM559" s="36"/>
      <c r="AN559" s="36"/>
      <c r="AO559" s="36"/>
      <c r="AP559" s="7"/>
      <c r="AQ559" s="38">
        <f t="shared" si="61"/>
        <v>8636015.9699999988</v>
      </c>
      <c r="AR559" s="36">
        <v>8636000</v>
      </c>
      <c r="AS559" s="18">
        <f t="shared" si="62"/>
        <v>-15.969999998807907</v>
      </c>
    </row>
    <row r="560" spans="1:45" x14ac:dyDescent="0.25">
      <c r="A560" s="40">
        <v>45848</v>
      </c>
      <c r="B560" s="20">
        <v>2491.7710000000002</v>
      </c>
      <c r="C560" s="20">
        <v>2146.8802999999998</v>
      </c>
      <c r="D560" s="20">
        <v>5195</v>
      </c>
      <c r="E560" s="20">
        <v>4910</v>
      </c>
      <c r="F560" s="7">
        <f t="shared" si="56"/>
        <v>12944750.345000001</v>
      </c>
      <c r="G560" s="7">
        <f t="shared" si="57"/>
        <v>10541182.272999998</v>
      </c>
      <c r="H560" s="20">
        <v>20.25</v>
      </c>
      <c r="I560" s="20">
        <v>398500</v>
      </c>
      <c r="J560" s="20">
        <v>93.5</v>
      </c>
      <c r="K560" s="20">
        <v>784000</v>
      </c>
      <c r="L560" s="20">
        <v>31000</v>
      </c>
      <c r="M560" s="20"/>
      <c r="N560" s="20"/>
      <c r="O560" s="20">
        <v>0</v>
      </c>
      <c r="P560" s="20">
        <v>0</v>
      </c>
      <c r="Q560" s="19">
        <f t="shared" si="58"/>
        <v>24699432.618000001</v>
      </c>
      <c r="R560" s="20">
        <v>894291</v>
      </c>
      <c r="S560" s="20">
        <v>5126046</v>
      </c>
      <c r="T560" s="20"/>
      <c r="U560" s="20"/>
      <c r="V560" s="20"/>
      <c r="W560" s="20">
        <v>630849</v>
      </c>
      <c r="X560" s="20">
        <v>7704334</v>
      </c>
      <c r="Y560" s="8">
        <f t="shared" si="59"/>
        <v>10343912.618000001</v>
      </c>
      <c r="Z560" s="36"/>
      <c r="AA560" s="36"/>
      <c r="AB560" s="36"/>
      <c r="AC560" s="36"/>
      <c r="AD560" s="36"/>
      <c r="AE560" s="36"/>
      <c r="AF560" s="36">
        <v>56000</v>
      </c>
      <c r="AG560" s="36"/>
      <c r="AH560" s="36"/>
      <c r="AI560" s="36"/>
      <c r="AJ560" s="36">
        <v>32500</v>
      </c>
      <c r="AK560" s="36"/>
      <c r="AL560" s="37">
        <f t="shared" si="60"/>
        <v>88500</v>
      </c>
      <c r="AM560" s="36"/>
      <c r="AN560" s="36"/>
      <c r="AO560" s="36"/>
      <c r="AP560" s="7"/>
      <c r="AQ560" s="38">
        <f t="shared" si="61"/>
        <v>10255412.618000001</v>
      </c>
      <c r="AR560" s="36">
        <v>10255000</v>
      </c>
      <c r="AS560" s="18">
        <f t="shared" si="62"/>
        <v>-412.61800000071526</v>
      </c>
    </row>
    <row r="561" spans="1:45" x14ac:dyDescent="0.25">
      <c r="A561" s="40">
        <v>45849</v>
      </c>
      <c r="B561" s="20">
        <v>2942.8130000000001</v>
      </c>
      <c r="C561" s="20">
        <v>3361.828</v>
      </c>
      <c r="D561" s="20">
        <v>5195</v>
      </c>
      <c r="E561" s="20">
        <v>4910</v>
      </c>
      <c r="F561" s="7">
        <f t="shared" si="56"/>
        <v>15287913.535</v>
      </c>
      <c r="G561" s="7">
        <f t="shared" si="57"/>
        <v>16506575.48</v>
      </c>
      <c r="H561" s="20">
        <v>67.25</v>
      </c>
      <c r="I561" s="20">
        <v>1450000</v>
      </c>
      <c r="J561" s="20">
        <v>97</v>
      </c>
      <c r="K561" s="20">
        <v>1104000</v>
      </c>
      <c r="L561" s="20">
        <v>53000</v>
      </c>
      <c r="M561" s="20"/>
      <c r="N561" s="20"/>
      <c r="O561" s="20">
        <v>3420821</v>
      </c>
      <c r="P561" s="20" t="s">
        <v>124</v>
      </c>
      <c r="Q561" s="19">
        <f t="shared" si="58"/>
        <v>37822310.015000001</v>
      </c>
      <c r="R561" s="20">
        <v>1645293</v>
      </c>
      <c r="S561" s="20">
        <v>8339565</v>
      </c>
      <c r="T561" s="20"/>
      <c r="U561" s="20"/>
      <c r="V561" s="20"/>
      <c r="W561" s="20">
        <v>341000</v>
      </c>
      <c r="X561" s="20">
        <v>12996096</v>
      </c>
      <c r="Y561" s="8">
        <f t="shared" si="59"/>
        <v>14500356.015000001</v>
      </c>
      <c r="Z561" s="36"/>
      <c r="AA561" s="36"/>
      <c r="AB561" s="36"/>
      <c r="AC561" s="36">
        <v>34000</v>
      </c>
      <c r="AD561" s="36"/>
      <c r="AE561" s="36"/>
      <c r="AF561" s="36">
        <v>1600000</v>
      </c>
      <c r="AG561" s="36"/>
      <c r="AH561" s="36">
        <v>30000</v>
      </c>
      <c r="AI561" s="36"/>
      <c r="AJ561" s="36"/>
      <c r="AK561" s="36"/>
      <c r="AL561" s="37">
        <f t="shared" si="60"/>
        <v>1664000</v>
      </c>
      <c r="AM561" s="36"/>
      <c r="AN561" s="36"/>
      <c r="AO561" s="36"/>
      <c r="AP561" s="7"/>
      <c r="AQ561" s="38">
        <f t="shared" si="61"/>
        <v>12836356.015000001</v>
      </c>
      <c r="AR561" s="36">
        <v>12836400</v>
      </c>
      <c r="AS561" s="18">
        <f t="shared" si="62"/>
        <v>43.984999999403954</v>
      </c>
    </row>
    <row r="562" spans="1:45" x14ac:dyDescent="0.25">
      <c r="A562" s="40">
        <v>45850</v>
      </c>
      <c r="B562" s="20">
        <v>3143.6509999999998</v>
      </c>
      <c r="C562" s="20">
        <v>3255.1880000000001</v>
      </c>
      <c r="D562" s="20">
        <v>5195</v>
      </c>
      <c r="E562" s="20">
        <v>4910</v>
      </c>
      <c r="F562" s="7">
        <f t="shared" si="56"/>
        <v>16331266.944999998</v>
      </c>
      <c r="G562" s="7">
        <f t="shared" si="57"/>
        <v>15982973.08</v>
      </c>
      <c r="H562" s="20">
        <v>37</v>
      </c>
      <c r="I562" s="20">
        <v>737000</v>
      </c>
      <c r="J562" s="20">
        <v>134</v>
      </c>
      <c r="K562" s="20">
        <v>1435000</v>
      </c>
      <c r="L562" s="20">
        <v>32000</v>
      </c>
      <c r="M562" s="20"/>
      <c r="N562" s="20"/>
      <c r="O562" s="20"/>
      <c r="P562" s="20"/>
      <c r="Q562" s="19">
        <f t="shared" si="58"/>
        <v>34518240.024999999</v>
      </c>
      <c r="R562" s="20">
        <v>1244834</v>
      </c>
      <c r="S562" s="20">
        <v>9500648</v>
      </c>
      <c r="T562" s="20"/>
      <c r="U562" s="20"/>
      <c r="V562" s="20"/>
      <c r="W562" s="20">
        <v>188000</v>
      </c>
      <c r="X562" s="20">
        <v>9832684</v>
      </c>
      <c r="Y562" s="8">
        <f t="shared" si="59"/>
        <v>13752074.024999999</v>
      </c>
      <c r="Z562" s="36"/>
      <c r="AA562" s="36"/>
      <c r="AB562" s="36"/>
      <c r="AC562" s="36">
        <v>46000</v>
      </c>
      <c r="AD562" s="36"/>
      <c r="AE562" s="36"/>
      <c r="AF562" s="36">
        <v>3088000</v>
      </c>
      <c r="AG562" s="36"/>
      <c r="AH562" s="36">
        <v>13000</v>
      </c>
      <c r="AI562" s="36"/>
      <c r="AJ562" s="36">
        <v>500000</v>
      </c>
      <c r="AK562" s="36"/>
      <c r="AL562" s="37">
        <f t="shared" si="60"/>
        <v>3647000</v>
      </c>
      <c r="AM562" s="36"/>
      <c r="AN562" s="36"/>
      <c r="AO562" s="36"/>
      <c r="AP562" s="7"/>
      <c r="AQ562" s="38">
        <f t="shared" si="61"/>
        <v>10105074.024999999</v>
      </c>
      <c r="AR562" s="36">
        <v>10105000</v>
      </c>
      <c r="AS562" s="18">
        <f t="shared" si="62"/>
        <v>-74.024999998509884</v>
      </c>
    </row>
    <row r="563" spans="1:45" x14ac:dyDescent="0.25">
      <c r="A563" s="40">
        <v>45851</v>
      </c>
      <c r="B563" s="20">
        <v>2758.998</v>
      </c>
      <c r="C563" s="20">
        <v>2164.2620000000002</v>
      </c>
      <c r="D563" s="20">
        <v>5195</v>
      </c>
      <c r="E563" s="20">
        <v>4910</v>
      </c>
      <c r="F563" s="7">
        <f t="shared" si="56"/>
        <v>14332994.609999999</v>
      </c>
      <c r="G563" s="7">
        <f t="shared" si="57"/>
        <v>10626526.42</v>
      </c>
      <c r="H563" s="20">
        <v>82.75</v>
      </c>
      <c r="I563" s="20">
        <v>1564000</v>
      </c>
      <c r="J563" s="20">
        <v>94.5</v>
      </c>
      <c r="K563" s="20">
        <v>938000</v>
      </c>
      <c r="L563" s="20">
        <v>73000</v>
      </c>
      <c r="M563" s="20"/>
      <c r="N563" s="20"/>
      <c r="O563" s="20"/>
      <c r="P563" s="20"/>
      <c r="Q563" s="19">
        <f t="shared" si="58"/>
        <v>27534521.030000001</v>
      </c>
      <c r="R563" s="20">
        <v>2037648</v>
      </c>
      <c r="S563" s="20">
        <v>6312917</v>
      </c>
      <c r="T563" s="20"/>
      <c r="U563" s="20"/>
      <c r="V563" s="20"/>
      <c r="W563" s="20">
        <v>100000</v>
      </c>
      <c r="X563" s="20">
        <v>9408160</v>
      </c>
      <c r="Y563" s="8">
        <f t="shared" si="59"/>
        <v>9675796.0300000012</v>
      </c>
      <c r="Z563" s="36"/>
      <c r="AA563" s="36"/>
      <c r="AB563" s="36"/>
      <c r="AC563" s="36"/>
      <c r="AD563" s="36"/>
      <c r="AE563" s="36"/>
      <c r="AF563" s="36">
        <v>3000</v>
      </c>
      <c r="AG563" s="36"/>
      <c r="AH563" s="36"/>
      <c r="AI563" s="36"/>
      <c r="AJ563" s="36"/>
      <c r="AK563" s="36"/>
      <c r="AL563" s="37">
        <f t="shared" si="60"/>
        <v>3000</v>
      </c>
      <c r="AM563" s="36"/>
      <c r="AN563" s="36"/>
      <c r="AO563" s="36"/>
      <c r="AP563" s="7"/>
      <c r="AQ563" s="38">
        <f t="shared" si="61"/>
        <v>9672796.0300000012</v>
      </c>
      <c r="AR563" s="36">
        <v>0</v>
      </c>
      <c r="AS563" s="18">
        <f t="shared" si="62"/>
        <v>-9672796.0300000012</v>
      </c>
    </row>
    <row r="564" spans="1:45" x14ac:dyDescent="0.25">
      <c r="A564" s="40">
        <v>45852</v>
      </c>
      <c r="B564" s="20">
        <v>2521.0129999999999</v>
      </c>
      <c r="C564" s="20">
        <v>3253.0140000000001</v>
      </c>
      <c r="D564" s="20">
        <v>5195</v>
      </c>
      <c r="E564" s="20">
        <v>4910</v>
      </c>
      <c r="F564" s="7">
        <f t="shared" si="56"/>
        <v>13096662.535</v>
      </c>
      <c r="G564" s="7">
        <f t="shared" si="57"/>
        <v>15972298.74</v>
      </c>
      <c r="H564" s="20">
        <v>66</v>
      </c>
      <c r="I564" s="20">
        <v>1440000</v>
      </c>
      <c r="J564" s="20">
        <v>97.5</v>
      </c>
      <c r="K564" s="20">
        <v>966000</v>
      </c>
      <c r="L564" s="20">
        <v>53000</v>
      </c>
      <c r="M564" s="20"/>
      <c r="N564" s="20"/>
      <c r="O564" s="20">
        <v>0</v>
      </c>
      <c r="P564" s="20">
        <v>50000</v>
      </c>
      <c r="Q564" s="19">
        <f t="shared" si="58"/>
        <v>31577961.274999999</v>
      </c>
      <c r="R564" s="20">
        <v>1723864</v>
      </c>
      <c r="S564" s="20">
        <v>9614056</v>
      </c>
      <c r="T564" s="20"/>
      <c r="U564" s="20"/>
      <c r="V564" s="20"/>
      <c r="W564" s="20">
        <v>823000</v>
      </c>
      <c r="X564" s="20">
        <v>7288660</v>
      </c>
      <c r="Y564" s="8">
        <f t="shared" si="59"/>
        <v>12128381.274999999</v>
      </c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>
        <v>0</v>
      </c>
      <c r="AK564" s="36"/>
      <c r="AL564" s="37">
        <f t="shared" si="60"/>
        <v>0</v>
      </c>
      <c r="AM564" s="36"/>
      <c r="AN564" s="36"/>
      <c r="AO564" s="36"/>
      <c r="AP564" s="7"/>
      <c r="AQ564" s="38">
        <f t="shared" si="61"/>
        <v>12128381.274999999</v>
      </c>
      <c r="AR564" s="36">
        <v>21801800</v>
      </c>
      <c r="AS564" s="18">
        <f t="shared" si="62"/>
        <v>9673418.7250000015</v>
      </c>
    </row>
    <row r="565" spans="1:45" x14ac:dyDescent="0.25">
      <c r="A565" s="40">
        <v>45853</v>
      </c>
      <c r="B565" s="20">
        <v>2791.6909999999998</v>
      </c>
      <c r="C565" s="20">
        <v>2932.3820000000001</v>
      </c>
      <c r="D565" s="20">
        <v>5195</v>
      </c>
      <c r="E565" s="20">
        <v>4910</v>
      </c>
      <c r="F565" s="7">
        <f t="shared" si="56"/>
        <v>14502834.744999999</v>
      </c>
      <c r="G565" s="7">
        <f t="shared" si="57"/>
        <v>14397995.620000001</v>
      </c>
      <c r="H565" s="20">
        <v>67.25</v>
      </c>
      <c r="I565" s="20">
        <v>1391500</v>
      </c>
      <c r="J565" s="20">
        <v>36.5</v>
      </c>
      <c r="K565" s="20">
        <v>401000</v>
      </c>
      <c r="L565" s="20">
        <v>89000</v>
      </c>
      <c r="M565" s="20"/>
      <c r="N565" s="20"/>
      <c r="O565" s="20"/>
      <c r="P565" s="20"/>
      <c r="Q565" s="19">
        <f t="shared" si="58"/>
        <v>30782330.365000002</v>
      </c>
      <c r="R565" s="20">
        <v>1716546</v>
      </c>
      <c r="S565" s="20">
        <v>4760385</v>
      </c>
      <c r="T565" s="20"/>
      <c r="U565" s="20"/>
      <c r="V565" s="20"/>
      <c r="W565" s="20">
        <v>100000</v>
      </c>
      <c r="X565" s="20">
        <v>13548152</v>
      </c>
      <c r="Y565" s="8">
        <f t="shared" si="59"/>
        <v>10657247.365000002</v>
      </c>
      <c r="Z565" s="36"/>
      <c r="AA565" s="36"/>
      <c r="AB565" s="36"/>
      <c r="AC565" s="36">
        <v>54000</v>
      </c>
      <c r="AD565" s="36"/>
      <c r="AE565" s="36"/>
      <c r="AF565" s="36">
        <v>6000</v>
      </c>
      <c r="AG565" s="36"/>
      <c r="AH565" s="36"/>
      <c r="AI565" s="36"/>
      <c r="AJ565" s="36">
        <v>120000</v>
      </c>
      <c r="AK565" s="36"/>
      <c r="AL565" s="37">
        <f t="shared" si="60"/>
        <v>180000</v>
      </c>
      <c r="AM565" s="36"/>
      <c r="AN565" s="36"/>
      <c r="AO565" s="36"/>
      <c r="AP565" s="7"/>
      <c r="AQ565" s="38">
        <f t="shared" si="61"/>
        <v>10477247.365000002</v>
      </c>
      <c r="AR565" s="36">
        <v>10477200</v>
      </c>
      <c r="AS565" s="18">
        <f t="shared" si="62"/>
        <v>-47.365000002086163</v>
      </c>
    </row>
    <row r="566" spans="1:45" x14ac:dyDescent="0.25">
      <c r="A566" s="40">
        <v>45854</v>
      </c>
      <c r="B566" s="20">
        <v>2964.1190000000001</v>
      </c>
      <c r="C566" s="20">
        <v>7449.9809999999998</v>
      </c>
      <c r="D566" s="20">
        <v>5195</v>
      </c>
      <c r="E566" s="20">
        <v>4910</v>
      </c>
      <c r="F566" s="7">
        <f t="shared" si="56"/>
        <v>15398598.205</v>
      </c>
      <c r="G566" s="7">
        <f t="shared" si="57"/>
        <v>36579406.710000001</v>
      </c>
      <c r="H566" s="20">
        <v>52.5</v>
      </c>
      <c r="I566" s="20">
        <v>1292000</v>
      </c>
      <c r="J566" s="20">
        <v>36.5</v>
      </c>
      <c r="K566" s="20">
        <v>435000</v>
      </c>
      <c r="L566" s="20"/>
      <c r="M566" s="20">
        <v>200000</v>
      </c>
      <c r="N566" s="20"/>
      <c r="O566" s="20"/>
      <c r="P566" s="20"/>
      <c r="Q566" s="19">
        <f t="shared" si="58"/>
        <v>53905004.914999999</v>
      </c>
      <c r="R566" s="20">
        <v>725005</v>
      </c>
      <c r="S566" s="20">
        <v>17822654</v>
      </c>
      <c r="T566" s="20"/>
      <c r="U566" s="20"/>
      <c r="V566" s="20"/>
      <c r="W566" s="20">
        <v>852150</v>
      </c>
      <c r="X566" s="20">
        <v>24899142</v>
      </c>
      <c r="Y566" s="8">
        <f t="shared" si="59"/>
        <v>9606053.9149999991</v>
      </c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7">
        <f t="shared" si="60"/>
        <v>0</v>
      </c>
      <c r="AM566" s="36"/>
      <c r="AN566" s="36"/>
      <c r="AO566" s="36"/>
      <c r="AP566" s="7"/>
      <c r="AQ566" s="38">
        <f t="shared" si="61"/>
        <v>9606053.9149999991</v>
      </c>
      <c r="AR566" s="36">
        <v>9606000</v>
      </c>
      <c r="AS566" s="18">
        <f t="shared" si="62"/>
        <v>-53.91499999910593</v>
      </c>
    </row>
    <row r="567" spans="1:45" x14ac:dyDescent="0.25">
      <c r="A567" s="40">
        <v>45855</v>
      </c>
      <c r="B567" s="20">
        <v>2263.9850000000001</v>
      </c>
      <c r="C567" s="20">
        <v>6395.4960000000001</v>
      </c>
      <c r="D567" s="20">
        <v>5195</v>
      </c>
      <c r="E567" s="20">
        <v>4910</v>
      </c>
      <c r="F567" s="7">
        <f t="shared" si="56"/>
        <v>11761402.075000001</v>
      </c>
      <c r="G567" s="7">
        <f t="shared" si="57"/>
        <v>31401885.359999999</v>
      </c>
      <c r="H567" s="20">
        <v>50</v>
      </c>
      <c r="I567" s="20">
        <v>1097000</v>
      </c>
      <c r="J567" s="20">
        <v>33.5</v>
      </c>
      <c r="K567" s="20">
        <v>292000</v>
      </c>
      <c r="L567" s="20">
        <v>30000</v>
      </c>
      <c r="M567" s="20"/>
      <c r="N567" s="20"/>
      <c r="O567" s="20">
        <v>2454150</v>
      </c>
      <c r="P567" s="20"/>
      <c r="Q567" s="19">
        <f t="shared" si="58"/>
        <v>47036437.435000002</v>
      </c>
      <c r="R567" s="20">
        <v>1114622</v>
      </c>
      <c r="S567" s="20">
        <v>22203235</v>
      </c>
      <c r="T567" s="20"/>
      <c r="U567" s="20"/>
      <c r="V567" s="20"/>
      <c r="W567" s="20">
        <v>556500</v>
      </c>
      <c r="X567" s="20">
        <v>14294383</v>
      </c>
      <c r="Y567" s="8">
        <f t="shared" si="59"/>
        <v>8867697.4350000024</v>
      </c>
      <c r="Z567" s="36">
        <v>1220200</v>
      </c>
      <c r="AA567" s="36"/>
      <c r="AB567" s="36"/>
      <c r="AC567" s="36">
        <v>60000</v>
      </c>
      <c r="AD567" s="36"/>
      <c r="AE567" s="36"/>
      <c r="AF567" s="36">
        <v>9000</v>
      </c>
      <c r="AG567" s="36"/>
      <c r="AH567" s="36"/>
      <c r="AI567" s="36"/>
      <c r="AJ567" s="36">
        <v>100000</v>
      </c>
      <c r="AK567" s="36"/>
      <c r="AL567" s="37">
        <f t="shared" si="60"/>
        <v>1389200</v>
      </c>
      <c r="AM567" s="36"/>
      <c r="AN567" s="36"/>
      <c r="AO567" s="36"/>
      <c r="AP567" s="7"/>
      <c r="AQ567" s="38">
        <f t="shared" si="61"/>
        <v>7478497.4350000024</v>
      </c>
      <c r="AR567" s="36">
        <v>7478500</v>
      </c>
      <c r="AS567" s="18">
        <f t="shared" si="62"/>
        <v>2.5649999976158142</v>
      </c>
    </row>
    <row r="568" spans="1:45" x14ac:dyDescent="0.25">
      <c r="A568" s="40">
        <v>45856</v>
      </c>
      <c r="B568" s="20">
        <v>2468.92</v>
      </c>
      <c r="C568" s="20">
        <v>806.572</v>
      </c>
      <c r="D568" s="20">
        <v>5195</v>
      </c>
      <c r="E568" s="20">
        <v>4910</v>
      </c>
      <c r="F568" s="7">
        <f t="shared" si="56"/>
        <v>12826039.4</v>
      </c>
      <c r="G568" s="7">
        <f t="shared" si="57"/>
        <v>3960268.52</v>
      </c>
      <c r="H568" s="20">
        <v>35</v>
      </c>
      <c r="I568" s="20">
        <v>742600</v>
      </c>
      <c r="J568" s="20">
        <v>42.5</v>
      </c>
      <c r="K568" s="20">
        <v>370000</v>
      </c>
      <c r="L568" s="20">
        <v>46000</v>
      </c>
      <c r="M568" s="20"/>
      <c r="N568" s="20"/>
      <c r="O568" s="20">
        <v>2004000</v>
      </c>
      <c r="P568" s="20"/>
      <c r="Q568" s="19">
        <f t="shared" si="58"/>
        <v>19948907.920000002</v>
      </c>
      <c r="R568" s="20">
        <v>420000</v>
      </c>
      <c r="S568" s="20">
        <v>1881572</v>
      </c>
      <c r="T568" s="20"/>
      <c r="U568" s="20"/>
      <c r="V568" s="20"/>
      <c r="W568" s="20">
        <v>250000</v>
      </c>
      <c r="X568" s="20">
        <v>7285945</v>
      </c>
      <c r="Y568" s="8">
        <f t="shared" si="59"/>
        <v>10111390.920000002</v>
      </c>
      <c r="Z568" s="36"/>
      <c r="AA568" s="36"/>
      <c r="AB568" s="36"/>
      <c r="AC568" s="36"/>
      <c r="AD568" s="36"/>
      <c r="AE568" s="36"/>
      <c r="AF568" s="36">
        <v>1493000</v>
      </c>
      <c r="AG568" s="36"/>
      <c r="AH568" s="36"/>
      <c r="AI568" s="36"/>
      <c r="AJ568" s="36"/>
      <c r="AK568" s="36"/>
      <c r="AL568" s="37">
        <f t="shared" si="60"/>
        <v>1493000</v>
      </c>
      <c r="AM568" s="36"/>
      <c r="AN568" s="36"/>
      <c r="AO568" s="36"/>
      <c r="AP568" s="7"/>
      <c r="AQ568" s="38">
        <f t="shared" si="61"/>
        <v>8618390.9200000018</v>
      </c>
      <c r="AR568" s="36">
        <v>8618400</v>
      </c>
      <c r="AS568" s="18">
        <f t="shared" si="62"/>
        <v>9.0799999982118607</v>
      </c>
    </row>
    <row r="569" spans="1:45" x14ac:dyDescent="0.25">
      <c r="A569" s="40">
        <v>45857</v>
      </c>
      <c r="B569" s="20">
        <v>2919.3090000000002</v>
      </c>
      <c r="C569" s="20">
        <v>2531.7750000000001</v>
      </c>
      <c r="D569" s="20">
        <v>5195</v>
      </c>
      <c r="E569" s="20">
        <v>4910</v>
      </c>
      <c r="F569" s="7">
        <f t="shared" si="56"/>
        <v>15165810.255000001</v>
      </c>
      <c r="G569" s="7">
        <f t="shared" si="57"/>
        <v>12431015.25</v>
      </c>
      <c r="H569" s="20">
        <v>57</v>
      </c>
      <c r="I569" s="20">
        <v>1163500</v>
      </c>
      <c r="J569" s="20">
        <v>81</v>
      </c>
      <c r="K569" s="20">
        <v>602000</v>
      </c>
      <c r="L569" s="20">
        <v>188000</v>
      </c>
      <c r="M569" s="20"/>
      <c r="N569" s="20">
        <v>500000</v>
      </c>
      <c r="O569" s="20">
        <v>1106500</v>
      </c>
      <c r="P569" s="20"/>
      <c r="Q569" s="19">
        <f t="shared" si="58"/>
        <v>31156825.505000003</v>
      </c>
      <c r="R569" s="20">
        <v>2805306</v>
      </c>
      <c r="S569" s="20">
        <v>9108341</v>
      </c>
      <c r="T569" s="20"/>
      <c r="U569" s="20"/>
      <c r="V569" s="20"/>
      <c r="W569" s="20">
        <v>179200</v>
      </c>
      <c r="X569" s="20">
        <v>8584718</v>
      </c>
      <c r="Y569" s="8">
        <f t="shared" si="59"/>
        <v>10479260.505000003</v>
      </c>
      <c r="Z569" s="36"/>
      <c r="AA569" s="36"/>
      <c r="AB569" s="36"/>
      <c r="AC569" s="36">
        <v>34000</v>
      </c>
      <c r="AD569" s="36"/>
      <c r="AE569" s="36"/>
      <c r="AF569" s="36">
        <v>3000</v>
      </c>
      <c r="AG569" s="36"/>
      <c r="AH569" s="36"/>
      <c r="AI569" s="36"/>
      <c r="AJ569" s="36"/>
      <c r="AK569" s="36"/>
      <c r="AL569" s="37">
        <f t="shared" si="60"/>
        <v>37000</v>
      </c>
      <c r="AM569" s="36"/>
      <c r="AN569" s="36"/>
      <c r="AO569" s="36"/>
      <c r="AP569" s="7"/>
      <c r="AQ569" s="38">
        <f t="shared" si="61"/>
        <v>10442260.505000003</v>
      </c>
      <c r="AR569" s="36">
        <v>10441400</v>
      </c>
      <c r="AS569" s="18">
        <f t="shared" si="62"/>
        <v>-860.50500000268221</v>
      </c>
    </row>
    <row r="570" spans="1:45" x14ac:dyDescent="0.25">
      <c r="A570" s="40">
        <v>45858</v>
      </c>
      <c r="B570" s="20">
        <v>2838.2530000000002</v>
      </c>
      <c r="C570" s="20">
        <v>4383.3739999999998</v>
      </c>
      <c r="D570" s="20">
        <v>5195</v>
      </c>
      <c r="E570" s="20">
        <v>4910</v>
      </c>
      <c r="F570" s="7">
        <f t="shared" si="56"/>
        <v>14744724.335000001</v>
      </c>
      <c r="G570" s="7">
        <f t="shared" si="57"/>
        <v>21522366.34</v>
      </c>
      <c r="H570" s="20">
        <v>56</v>
      </c>
      <c r="I570" s="20">
        <v>1176000</v>
      </c>
      <c r="J570" s="20">
        <v>21</v>
      </c>
      <c r="K570" s="20">
        <v>187000</v>
      </c>
      <c r="L570" s="20">
        <v>54000</v>
      </c>
      <c r="M570" s="20"/>
      <c r="N570" s="20">
        <v>48000</v>
      </c>
      <c r="O570" s="20">
        <v>869000</v>
      </c>
      <c r="P570" s="20"/>
      <c r="Q570" s="19">
        <f t="shared" si="58"/>
        <v>38601090.674999997</v>
      </c>
      <c r="R570" s="20">
        <v>686528</v>
      </c>
      <c r="S570" s="20">
        <v>10609699</v>
      </c>
      <c r="T570" s="20"/>
      <c r="U570" s="20"/>
      <c r="V570" s="20"/>
      <c r="W570" s="20">
        <v>246124</v>
      </c>
      <c r="X570" s="20">
        <v>16608209</v>
      </c>
      <c r="Y570" s="8">
        <f t="shared" si="59"/>
        <v>10450530.674999997</v>
      </c>
      <c r="Z570" s="36"/>
      <c r="AA570" s="36"/>
      <c r="AB570" s="36"/>
      <c r="AC570" s="36"/>
      <c r="AD570" s="36"/>
      <c r="AE570" s="36"/>
      <c r="AF570" s="36">
        <v>3000</v>
      </c>
      <c r="AG570" s="36"/>
      <c r="AH570" s="36">
        <v>22000</v>
      </c>
      <c r="AI570" s="36"/>
      <c r="AJ570" s="36"/>
      <c r="AK570" s="36"/>
      <c r="AL570" s="37">
        <f t="shared" si="60"/>
        <v>25000</v>
      </c>
      <c r="AM570" s="36"/>
      <c r="AN570" s="36"/>
      <c r="AO570" s="36"/>
      <c r="AP570" s="7"/>
      <c r="AQ570" s="38">
        <f t="shared" si="61"/>
        <v>10425530.674999997</v>
      </c>
      <c r="AR570" s="36">
        <v>0</v>
      </c>
      <c r="AS570" s="18">
        <f t="shared" si="62"/>
        <v>-10425530.674999997</v>
      </c>
    </row>
    <row r="571" spans="1:45" x14ac:dyDescent="0.25">
      <c r="A571" s="40">
        <v>45859</v>
      </c>
      <c r="B571" s="20">
        <v>2245.5889999999999</v>
      </c>
      <c r="C571" s="20">
        <v>2738.34</v>
      </c>
      <c r="D571" s="20">
        <v>5195</v>
      </c>
      <c r="E571" s="20">
        <v>4910</v>
      </c>
      <c r="F571" s="7">
        <f t="shared" si="56"/>
        <v>11665834.855</v>
      </c>
      <c r="G571" s="7">
        <f t="shared" si="57"/>
        <v>13445249.4</v>
      </c>
      <c r="H571" s="20">
        <v>72</v>
      </c>
      <c r="I571" s="20">
        <v>1517500</v>
      </c>
      <c r="J571" s="20">
        <v>24</v>
      </c>
      <c r="K571" s="20">
        <v>212000</v>
      </c>
      <c r="L571" s="20">
        <v>31000</v>
      </c>
      <c r="M571" s="20"/>
      <c r="N571" s="20"/>
      <c r="O571" s="20">
        <v>9000000</v>
      </c>
      <c r="P571" s="20"/>
      <c r="Q571" s="19">
        <f t="shared" si="58"/>
        <v>35871584.255000003</v>
      </c>
      <c r="R571" s="20">
        <v>1297421</v>
      </c>
      <c r="S571" s="20">
        <v>4039856</v>
      </c>
      <c r="T571" s="20"/>
      <c r="U571" s="20"/>
      <c r="V571" s="20"/>
      <c r="W571" s="20">
        <v>0</v>
      </c>
      <c r="X571" s="20">
        <v>10557209</v>
      </c>
      <c r="Y571" s="8">
        <f t="shared" si="59"/>
        <v>19977098.255000003</v>
      </c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7">
        <f t="shared" si="60"/>
        <v>0</v>
      </c>
      <c r="AM571" s="36"/>
      <c r="AN571" s="36"/>
      <c r="AO571" s="36"/>
      <c r="AP571" s="7"/>
      <c r="AQ571" s="38">
        <f t="shared" si="61"/>
        <v>19977098.255000003</v>
      </c>
      <c r="AR571" s="36">
        <v>30402600</v>
      </c>
      <c r="AS571" s="18">
        <f t="shared" si="62"/>
        <v>10425501.744999997</v>
      </c>
    </row>
    <row r="572" spans="1:45" x14ac:dyDescent="0.25">
      <c r="A572" s="40">
        <v>45860</v>
      </c>
      <c r="B572" s="20">
        <v>3016.9830000000002</v>
      </c>
      <c r="C572" s="20">
        <v>4080.7109999999998</v>
      </c>
      <c r="D572" s="20">
        <v>5195</v>
      </c>
      <c r="E572" s="20">
        <v>4910</v>
      </c>
      <c r="F572" s="7">
        <f t="shared" si="56"/>
        <v>15673226.685000001</v>
      </c>
      <c r="G572" s="7">
        <f t="shared" si="57"/>
        <v>20036291.009999998</v>
      </c>
      <c r="H572" s="20">
        <v>127.25</v>
      </c>
      <c r="I572" s="20">
        <v>2949700</v>
      </c>
      <c r="J572" s="20">
        <v>61.5</v>
      </c>
      <c r="K572" s="20">
        <v>527000</v>
      </c>
      <c r="L572" s="20">
        <v>24000</v>
      </c>
      <c r="M572" s="20"/>
      <c r="N572" s="20"/>
      <c r="O572" s="20">
        <v>1932000</v>
      </c>
      <c r="P572" s="20">
        <v>50000</v>
      </c>
      <c r="Q572" s="19">
        <f t="shared" si="58"/>
        <v>41192217.695</v>
      </c>
      <c r="R572" s="20">
        <v>1131679</v>
      </c>
      <c r="S572" s="20">
        <v>7005055</v>
      </c>
      <c r="T572" s="20"/>
      <c r="U572" s="20"/>
      <c r="V572" s="20"/>
      <c r="W572" s="20">
        <v>463418</v>
      </c>
      <c r="X572" s="20">
        <v>21087511</v>
      </c>
      <c r="Y572" s="8">
        <f t="shared" si="59"/>
        <v>11504554.695</v>
      </c>
      <c r="Z572" s="36"/>
      <c r="AA572" s="36"/>
      <c r="AB572" s="36"/>
      <c r="AC572" s="36"/>
      <c r="AD572" s="36"/>
      <c r="AE572" s="36"/>
      <c r="AF572" s="36">
        <v>6000</v>
      </c>
      <c r="AG572" s="36"/>
      <c r="AH572" s="36"/>
      <c r="AI572" s="36"/>
      <c r="AJ572" s="36"/>
      <c r="AK572" s="36"/>
      <c r="AL572" s="37">
        <f t="shared" si="60"/>
        <v>6000</v>
      </c>
      <c r="AM572" s="36"/>
      <c r="AN572" s="36"/>
      <c r="AO572" s="36"/>
      <c r="AP572" s="7"/>
      <c r="AQ572" s="38">
        <f t="shared" si="61"/>
        <v>11498554.695</v>
      </c>
      <c r="AR572" s="36">
        <v>11497600</v>
      </c>
      <c r="AS572" s="18">
        <f t="shared" si="62"/>
        <v>-954.69500000029802</v>
      </c>
    </row>
    <row r="573" spans="1:45" x14ac:dyDescent="0.25">
      <c r="A573" s="40">
        <v>45861</v>
      </c>
      <c r="B573" s="20">
        <v>2410.5309999999999</v>
      </c>
      <c r="C573" s="20">
        <v>4081.3820000000001</v>
      </c>
      <c r="D573" s="20">
        <v>5195</v>
      </c>
      <c r="E573" s="20">
        <v>4910</v>
      </c>
      <c r="F573" s="7">
        <f t="shared" si="56"/>
        <v>12522708.545</v>
      </c>
      <c r="G573" s="7">
        <f t="shared" si="57"/>
        <v>20039585.620000001</v>
      </c>
      <c r="H573" s="20">
        <v>36.25</v>
      </c>
      <c r="I573" s="20">
        <v>845500</v>
      </c>
      <c r="J573" s="20">
        <v>33</v>
      </c>
      <c r="K573" s="20">
        <v>293000</v>
      </c>
      <c r="L573" s="20">
        <v>106000</v>
      </c>
      <c r="M573" s="20"/>
      <c r="N573" s="20"/>
      <c r="O573" s="20">
        <v>600000</v>
      </c>
      <c r="P573" s="20"/>
      <c r="Q573" s="19">
        <f t="shared" si="58"/>
        <v>34406794.164999999</v>
      </c>
      <c r="R573" s="20">
        <v>427173</v>
      </c>
      <c r="S573" s="20">
        <v>9416580</v>
      </c>
      <c r="T573" s="20"/>
      <c r="U573" s="20"/>
      <c r="V573" s="20"/>
      <c r="W573" s="20">
        <v>400705</v>
      </c>
      <c r="X573" s="20">
        <v>16434249</v>
      </c>
      <c r="Y573" s="8">
        <f t="shared" si="59"/>
        <v>7728087.1649999991</v>
      </c>
      <c r="Z573" s="36"/>
      <c r="AA573" s="36"/>
      <c r="AB573" s="36"/>
      <c r="AC573" s="36">
        <v>60000</v>
      </c>
      <c r="AD573" s="36"/>
      <c r="AE573" s="36"/>
      <c r="AF573" s="36">
        <v>3000</v>
      </c>
      <c r="AG573" s="36"/>
      <c r="AH573" s="36"/>
      <c r="AI573" s="36"/>
      <c r="AJ573" s="36">
        <v>30000</v>
      </c>
      <c r="AK573" s="36"/>
      <c r="AL573" s="37">
        <f t="shared" si="60"/>
        <v>93000</v>
      </c>
      <c r="AM573" s="36"/>
      <c r="AN573" s="36"/>
      <c r="AO573" s="36"/>
      <c r="AP573" s="7"/>
      <c r="AQ573" s="38">
        <f t="shared" si="61"/>
        <v>7635087.1649999991</v>
      </c>
      <c r="AR573" s="36">
        <v>7635100</v>
      </c>
      <c r="AS573" s="18">
        <f t="shared" si="62"/>
        <v>12.83500000089407</v>
      </c>
    </row>
    <row r="574" spans="1:45" x14ac:dyDescent="0.25">
      <c r="A574" s="40">
        <v>45862</v>
      </c>
      <c r="B574" s="20">
        <v>2213.12</v>
      </c>
      <c r="C574" s="20">
        <v>2956.1080000000002</v>
      </c>
      <c r="D574" s="20">
        <v>5195</v>
      </c>
      <c r="E574" s="20">
        <v>4910</v>
      </c>
      <c r="F574" s="7">
        <f t="shared" si="56"/>
        <v>11497158.399999999</v>
      </c>
      <c r="G574" s="7">
        <f t="shared" si="57"/>
        <v>14514490.280000001</v>
      </c>
      <c r="H574" s="20">
        <v>43</v>
      </c>
      <c r="I574" s="20">
        <v>845000</v>
      </c>
      <c r="J574" s="20">
        <v>62.5</v>
      </c>
      <c r="K574" s="20">
        <v>441000</v>
      </c>
      <c r="L574" s="20">
        <v>0</v>
      </c>
      <c r="M574" s="20">
        <v>200000</v>
      </c>
      <c r="N574" s="20">
        <v>200000</v>
      </c>
      <c r="O574" s="20">
        <v>954742</v>
      </c>
      <c r="P574" s="20"/>
      <c r="Q574" s="19">
        <f t="shared" si="58"/>
        <v>28652390.68</v>
      </c>
      <c r="R574" s="20">
        <v>778905</v>
      </c>
      <c r="S574" s="20">
        <v>8583661</v>
      </c>
      <c r="T574" s="20"/>
      <c r="U574" s="20"/>
      <c r="V574" s="20"/>
      <c r="W574" s="20">
        <v>120000</v>
      </c>
      <c r="X574" s="20">
        <v>10558276</v>
      </c>
      <c r="Y574" s="8">
        <f t="shared" si="59"/>
        <v>8611548.6799999997</v>
      </c>
      <c r="Z574" s="36"/>
      <c r="AA574" s="36"/>
      <c r="AB574" s="36"/>
      <c r="AC574" s="36"/>
      <c r="AD574" s="36">
        <v>147300</v>
      </c>
      <c r="AE574" s="36"/>
      <c r="AF574" s="36">
        <v>3000</v>
      </c>
      <c r="AG574" s="36"/>
      <c r="AH574" s="36"/>
      <c r="AI574" s="36"/>
      <c r="AJ574" s="36"/>
      <c r="AK574" s="36"/>
      <c r="AL574" s="37">
        <f t="shared" si="60"/>
        <v>150300</v>
      </c>
      <c r="AM574" s="36"/>
      <c r="AN574" s="36">
        <v>2500000</v>
      </c>
      <c r="AO574" s="36"/>
      <c r="AP574" s="7"/>
      <c r="AQ574" s="38">
        <f t="shared" si="61"/>
        <v>5961248.6799999997</v>
      </c>
      <c r="AR574" s="36">
        <v>5961300</v>
      </c>
      <c r="AS574" s="18">
        <f t="shared" si="62"/>
        <v>51.320000000298023</v>
      </c>
    </row>
    <row r="575" spans="1:45" x14ac:dyDescent="0.25">
      <c r="A575" s="40">
        <v>45863</v>
      </c>
      <c r="B575" s="20">
        <v>2586.2800000000002</v>
      </c>
      <c r="C575" s="20">
        <v>2581.7669999999998</v>
      </c>
      <c r="D575" s="20">
        <v>5195</v>
      </c>
      <c r="E575" s="20">
        <v>4910</v>
      </c>
      <c r="F575" s="7">
        <f t="shared" si="56"/>
        <v>13435724.600000001</v>
      </c>
      <c r="G575" s="7">
        <f t="shared" si="57"/>
        <v>12676475.969999999</v>
      </c>
      <c r="H575" s="20">
        <v>58</v>
      </c>
      <c r="I575" s="20">
        <v>1443500</v>
      </c>
      <c r="J575" s="20">
        <v>74</v>
      </c>
      <c r="K575" s="20">
        <v>815400</v>
      </c>
      <c r="L575" s="20">
        <v>163000</v>
      </c>
      <c r="M575" s="20"/>
      <c r="N575" s="20">
        <v>58000</v>
      </c>
      <c r="O575" s="20"/>
      <c r="P575" s="20"/>
      <c r="Q575" s="19">
        <f t="shared" si="58"/>
        <v>28592100.57</v>
      </c>
      <c r="R575" s="20">
        <v>1000291</v>
      </c>
      <c r="S575" s="20">
        <v>7276310</v>
      </c>
      <c r="T575" s="20"/>
      <c r="U575" s="20"/>
      <c r="V575" s="20"/>
      <c r="W575" s="20">
        <v>306500</v>
      </c>
      <c r="X575" s="20">
        <v>9253700</v>
      </c>
      <c r="Y575" s="8">
        <f t="shared" si="59"/>
        <v>10755299.57</v>
      </c>
      <c r="Z575" s="36"/>
      <c r="AA575" s="36"/>
      <c r="AB575" s="36"/>
      <c r="AC575" s="36"/>
      <c r="AD575" s="36"/>
      <c r="AE575" s="36"/>
      <c r="AF575" s="36">
        <v>4153000</v>
      </c>
      <c r="AG575" s="36"/>
      <c r="AH575" s="36"/>
      <c r="AI575" s="36"/>
      <c r="AJ575" s="36"/>
      <c r="AK575" s="36"/>
      <c r="AL575" s="37">
        <f t="shared" si="60"/>
        <v>4153000</v>
      </c>
      <c r="AM575" s="36"/>
      <c r="AN575" s="36"/>
      <c r="AO575" s="36"/>
      <c r="AP575" s="7"/>
      <c r="AQ575" s="38">
        <f t="shared" si="61"/>
        <v>6602299.5700000003</v>
      </c>
      <c r="AR575" s="36">
        <v>6602300</v>
      </c>
      <c r="AS575" s="18">
        <f t="shared" si="62"/>
        <v>0.42999999970197678</v>
      </c>
    </row>
    <row r="576" spans="1:45" x14ac:dyDescent="0.25">
      <c r="A576" s="40">
        <v>45864</v>
      </c>
      <c r="B576" s="20">
        <v>3032.6709999999998</v>
      </c>
      <c r="C576" s="20">
        <v>6229.9830000000002</v>
      </c>
      <c r="D576" s="20">
        <v>5195</v>
      </c>
      <c r="E576" s="20">
        <v>4910</v>
      </c>
      <c r="F576" s="7">
        <f t="shared" si="56"/>
        <v>15754725.844999999</v>
      </c>
      <c r="G576" s="7">
        <f t="shared" si="57"/>
        <v>30589216.530000001</v>
      </c>
      <c r="H576" s="20">
        <v>20.25</v>
      </c>
      <c r="I576" s="20">
        <v>470500</v>
      </c>
      <c r="J576" s="20">
        <v>72.5</v>
      </c>
      <c r="K576" s="20">
        <v>651000</v>
      </c>
      <c r="L576" s="20">
        <v>0</v>
      </c>
      <c r="M576" s="20"/>
      <c r="N576" s="20">
        <v>700000</v>
      </c>
      <c r="O576" s="20">
        <v>0</v>
      </c>
      <c r="P576" s="20"/>
      <c r="Q576" s="19">
        <f t="shared" si="58"/>
        <v>48165442.375</v>
      </c>
      <c r="R576" s="20">
        <v>708369</v>
      </c>
      <c r="S576" s="20">
        <v>22927397</v>
      </c>
      <c r="T576" s="20"/>
      <c r="U576" s="20"/>
      <c r="V576" s="20"/>
      <c r="W576" s="20">
        <v>535221</v>
      </c>
      <c r="X576" s="20">
        <v>15158583</v>
      </c>
      <c r="Y576" s="8">
        <f t="shared" si="59"/>
        <v>8835872.375</v>
      </c>
      <c r="Z576" s="36"/>
      <c r="AA576" s="36">
        <v>51062</v>
      </c>
      <c r="AB576" s="36"/>
      <c r="AC576" s="36">
        <v>34000</v>
      </c>
      <c r="AD576" s="36"/>
      <c r="AE576" s="36"/>
      <c r="AF576" s="36">
        <v>709500</v>
      </c>
      <c r="AG576" s="36"/>
      <c r="AH576" s="36"/>
      <c r="AI576" s="36"/>
      <c r="AJ576" s="36"/>
      <c r="AK576" s="36"/>
      <c r="AL576" s="37">
        <f t="shared" si="60"/>
        <v>794562</v>
      </c>
      <c r="AM576" s="36"/>
      <c r="AN576" s="36"/>
      <c r="AO576" s="36"/>
      <c r="AP576" s="7"/>
      <c r="AQ576" s="38">
        <f t="shared" si="61"/>
        <v>8041310.375</v>
      </c>
      <c r="AR576" s="36">
        <v>8041000</v>
      </c>
      <c r="AS576" s="18">
        <f t="shared" si="62"/>
        <v>-310.375</v>
      </c>
    </row>
    <row r="577" spans="1:45" x14ac:dyDescent="0.25">
      <c r="A577" s="40">
        <v>45865</v>
      </c>
      <c r="B577" s="20">
        <v>2719.1010000000001</v>
      </c>
      <c r="C577" s="20">
        <v>2228.3270000000002</v>
      </c>
      <c r="D577" s="20">
        <v>5195</v>
      </c>
      <c r="E577" s="20">
        <v>4910</v>
      </c>
      <c r="F577" s="7">
        <f t="shared" si="56"/>
        <v>14125729.695</v>
      </c>
      <c r="G577" s="7">
        <f t="shared" si="57"/>
        <v>10941085.57</v>
      </c>
      <c r="H577" s="20">
        <v>27</v>
      </c>
      <c r="I577" s="20">
        <v>535000</v>
      </c>
      <c r="J577" s="20">
        <v>98.5</v>
      </c>
      <c r="K577" s="20">
        <v>844400</v>
      </c>
      <c r="L577" s="20">
        <v>60000</v>
      </c>
      <c r="M577" s="20"/>
      <c r="N577" s="20"/>
      <c r="O577" s="20"/>
      <c r="P577" s="20"/>
      <c r="Q577" s="19">
        <f t="shared" si="58"/>
        <v>26506215.265000001</v>
      </c>
      <c r="R577" s="20">
        <v>801953</v>
      </c>
      <c r="S577" s="20">
        <v>5161471</v>
      </c>
      <c r="T577" s="20"/>
      <c r="U577" s="20"/>
      <c r="V577" s="20"/>
      <c r="W577" s="20">
        <v>727500</v>
      </c>
      <c r="X577" s="20">
        <v>5278061</v>
      </c>
      <c r="Y577" s="8">
        <f t="shared" si="59"/>
        <v>14537230.265000001</v>
      </c>
      <c r="Z577" s="36"/>
      <c r="AA577" s="36"/>
      <c r="AB577" s="36"/>
      <c r="AC577" s="36"/>
      <c r="AD577" s="36"/>
      <c r="AE577" s="36"/>
      <c r="AF577" s="36">
        <v>3000</v>
      </c>
      <c r="AG577" s="36"/>
      <c r="AH577" s="36"/>
      <c r="AI577" s="36"/>
      <c r="AJ577" s="36"/>
      <c r="AK577" s="36"/>
      <c r="AL577" s="37">
        <f t="shared" si="60"/>
        <v>3000</v>
      </c>
      <c r="AM577" s="36"/>
      <c r="AN577" s="36"/>
      <c r="AO577" s="36"/>
      <c r="AP577" s="7"/>
      <c r="AQ577" s="38">
        <f t="shared" si="61"/>
        <v>14534230.265000001</v>
      </c>
      <c r="AR577" s="36">
        <v>0</v>
      </c>
      <c r="AS577" s="18">
        <f t="shared" si="62"/>
        <v>-14534230.265000001</v>
      </c>
    </row>
    <row r="578" spans="1:45" x14ac:dyDescent="0.25">
      <c r="A578" s="40">
        <v>45866</v>
      </c>
      <c r="B578" s="20">
        <v>2511.6480000000001</v>
      </c>
      <c r="C578" s="20">
        <v>7258.7830000000004</v>
      </c>
      <c r="D578" s="20">
        <v>5195</v>
      </c>
      <c r="E578" s="20">
        <v>4910</v>
      </c>
      <c r="F578" s="7">
        <f t="shared" si="56"/>
        <v>13048011.360000001</v>
      </c>
      <c r="G578" s="7">
        <f t="shared" si="57"/>
        <v>35640624.530000001</v>
      </c>
      <c r="H578" s="20">
        <v>49.25</v>
      </c>
      <c r="I578" s="20">
        <v>996000</v>
      </c>
      <c r="J578" s="20">
        <v>55.5</v>
      </c>
      <c r="K578" s="20">
        <v>474000</v>
      </c>
      <c r="L578" s="20">
        <v>24000</v>
      </c>
      <c r="M578" s="20"/>
      <c r="N578" s="20">
        <v>0</v>
      </c>
      <c r="O578" s="20">
        <v>2000000</v>
      </c>
      <c r="P578" s="20"/>
      <c r="Q578" s="19">
        <f t="shared" si="58"/>
        <v>52182635.890000001</v>
      </c>
      <c r="R578" s="20">
        <v>580772</v>
      </c>
      <c r="S578" s="20">
        <v>27727082</v>
      </c>
      <c r="T578" s="20"/>
      <c r="U578" s="20"/>
      <c r="V578" s="20"/>
      <c r="W578" s="20">
        <v>128700</v>
      </c>
      <c r="X578" s="20">
        <v>7616517</v>
      </c>
      <c r="Y578" s="8">
        <f t="shared" si="59"/>
        <v>16129564.890000001</v>
      </c>
      <c r="Z578" s="36"/>
      <c r="AA578" s="36"/>
      <c r="AB578" s="36"/>
      <c r="AC578" s="36"/>
      <c r="AD578" s="36"/>
      <c r="AE578" s="36"/>
      <c r="AF578" s="36">
        <v>700000</v>
      </c>
      <c r="AG578" s="36"/>
      <c r="AH578" s="36">
        <v>19000</v>
      </c>
      <c r="AI578" s="36"/>
      <c r="AJ578" s="36">
        <v>76000</v>
      </c>
      <c r="AK578" s="36"/>
      <c r="AL578" s="37">
        <f t="shared" si="60"/>
        <v>795000</v>
      </c>
      <c r="AM578" s="36"/>
      <c r="AN578" s="36"/>
      <c r="AO578" s="36"/>
      <c r="AP578" s="7"/>
      <c r="AQ578" s="38">
        <f t="shared" si="61"/>
        <v>15334564.890000001</v>
      </c>
      <c r="AR578" s="36">
        <v>29893500</v>
      </c>
      <c r="AS578" s="18">
        <f t="shared" si="62"/>
        <v>14558935.109999999</v>
      </c>
    </row>
    <row r="579" spans="1:45" x14ac:dyDescent="0.25">
      <c r="A579" s="40">
        <v>45867</v>
      </c>
      <c r="B579" s="20">
        <v>2419.4520000000002</v>
      </c>
      <c r="C579" s="20">
        <v>2638.6010000000001</v>
      </c>
      <c r="D579" s="20">
        <v>5195</v>
      </c>
      <c r="E579" s="20">
        <v>4910</v>
      </c>
      <c r="F579" s="7">
        <f t="shared" si="56"/>
        <v>12569053.140000001</v>
      </c>
      <c r="G579" s="7">
        <f t="shared" si="57"/>
        <v>12955530.91</v>
      </c>
      <c r="H579" s="20">
        <v>122.75</v>
      </c>
      <c r="I579" s="20">
        <v>2602600</v>
      </c>
      <c r="J579" s="20">
        <v>54.5</v>
      </c>
      <c r="K579" s="20">
        <v>515500</v>
      </c>
      <c r="L579" s="20">
        <v>16000</v>
      </c>
      <c r="M579" s="20"/>
      <c r="N579" s="20"/>
      <c r="O579" s="20">
        <v>1736125</v>
      </c>
      <c r="P579" s="20"/>
      <c r="Q579" s="19">
        <f t="shared" si="58"/>
        <v>30394809.050000001</v>
      </c>
      <c r="R579" s="20">
        <v>376009</v>
      </c>
      <c r="S579" s="20">
        <v>5572421</v>
      </c>
      <c r="T579" s="20"/>
      <c r="U579" s="20"/>
      <c r="V579" s="20"/>
      <c r="W579" s="20">
        <v>300000</v>
      </c>
      <c r="X579" s="20">
        <v>9088396</v>
      </c>
      <c r="Y579" s="8">
        <f t="shared" si="59"/>
        <v>15057983.050000001</v>
      </c>
      <c r="Z579" s="36"/>
      <c r="AA579" s="36"/>
      <c r="AB579" s="36"/>
      <c r="AC579" s="36"/>
      <c r="AD579" s="36"/>
      <c r="AE579" s="36"/>
      <c r="AF579" s="36">
        <v>3000</v>
      </c>
      <c r="AG579" s="36"/>
      <c r="AH579" s="36"/>
      <c r="AI579" s="36"/>
      <c r="AJ579" s="36"/>
      <c r="AK579" s="36"/>
      <c r="AL579" s="37">
        <f t="shared" si="60"/>
        <v>3000</v>
      </c>
      <c r="AM579" s="36"/>
      <c r="AN579" s="36"/>
      <c r="AO579" s="36"/>
      <c r="AP579" s="7"/>
      <c r="AQ579" s="38">
        <f t="shared" si="61"/>
        <v>15054983.050000001</v>
      </c>
      <c r="AR579" s="36">
        <v>15055000</v>
      </c>
      <c r="AS579" s="18">
        <f t="shared" si="62"/>
        <v>16.949999999254942</v>
      </c>
    </row>
    <row r="580" spans="1:45" x14ac:dyDescent="0.25">
      <c r="A580" s="40">
        <v>45868</v>
      </c>
      <c r="B580" s="20">
        <v>2251.1350000000002</v>
      </c>
      <c r="C580" s="20">
        <v>4425.62</v>
      </c>
      <c r="D580" s="20">
        <v>5195</v>
      </c>
      <c r="E580" s="20">
        <v>4910</v>
      </c>
      <c r="F580" s="7">
        <f t="shared" ref="F580:F643" si="63">B580*D580</f>
        <v>11694646.325000001</v>
      </c>
      <c r="G580" s="7">
        <f t="shared" ref="G580:G643" si="64">C580*E580</f>
        <v>21729794.199999999</v>
      </c>
      <c r="H580" s="20">
        <v>129</v>
      </c>
      <c r="I580" s="20">
        <v>2514500</v>
      </c>
      <c r="J580" s="20">
        <v>74</v>
      </c>
      <c r="K580" s="20">
        <v>692200</v>
      </c>
      <c r="L580" s="20">
        <v>39000</v>
      </c>
      <c r="M580" s="20"/>
      <c r="N580" s="20">
        <v>106000</v>
      </c>
      <c r="O580" s="20">
        <v>0</v>
      </c>
      <c r="P580" s="20"/>
      <c r="Q580" s="19">
        <f t="shared" ref="Q580:Q643" si="65">SUM(F580:G580)+I580+K580+SUM(L580:P580)</f>
        <v>36776140.524999999</v>
      </c>
      <c r="R580" s="20">
        <v>1098675</v>
      </c>
      <c r="S580" s="20">
        <v>10749168</v>
      </c>
      <c r="T580" s="20"/>
      <c r="U580" s="20"/>
      <c r="V580" s="20"/>
      <c r="W580" s="20">
        <v>408800</v>
      </c>
      <c r="X580" s="20">
        <v>13521793</v>
      </c>
      <c r="Y580" s="8">
        <f t="shared" ref="Y580:Y643" si="66">Q580-SUM(R580:X580)</f>
        <v>10997704.524999999</v>
      </c>
      <c r="Z580" s="36"/>
      <c r="AA580" s="36"/>
      <c r="AB580" s="36"/>
      <c r="AC580" s="36"/>
      <c r="AD580" s="36"/>
      <c r="AE580" s="36"/>
      <c r="AF580" s="36">
        <v>3000</v>
      </c>
      <c r="AG580" s="36"/>
      <c r="AH580" s="36"/>
      <c r="AI580" s="36"/>
      <c r="AJ580" s="36"/>
      <c r="AK580" s="36"/>
      <c r="AL580" s="37">
        <f t="shared" ref="AL580:AL643" si="67">SUM(Z580:AK580)</f>
        <v>3000</v>
      </c>
      <c r="AM580" s="36"/>
      <c r="AN580" s="36"/>
      <c r="AO580" s="36"/>
      <c r="AP580" s="7"/>
      <c r="AQ580" s="38">
        <f t="shared" ref="AQ580:AQ643" si="68">Q580-SUM(R580:X580)-AL580-SUM(AM580:AO580)</f>
        <v>10994704.524999999</v>
      </c>
      <c r="AR580" s="36">
        <v>10994300</v>
      </c>
      <c r="AS580" s="18">
        <f t="shared" ref="AS580:AS643" si="69">AR580-AQ580</f>
        <v>-404.52499999850988</v>
      </c>
    </row>
    <row r="581" spans="1:45" x14ac:dyDescent="0.25">
      <c r="A581" s="40">
        <v>45869</v>
      </c>
      <c r="B581" s="20">
        <v>2158.4989999999998</v>
      </c>
      <c r="C581" s="20">
        <v>5980.3519999999999</v>
      </c>
      <c r="D581" s="20">
        <v>5195</v>
      </c>
      <c r="E581" s="20">
        <v>4910</v>
      </c>
      <c r="F581" s="7">
        <f t="shared" si="63"/>
        <v>11213402.305</v>
      </c>
      <c r="G581" s="7">
        <f t="shared" si="64"/>
        <v>29363528.32</v>
      </c>
      <c r="H581" s="20">
        <v>22</v>
      </c>
      <c r="I581" s="20">
        <v>437000</v>
      </c>
      <c r="J581" s="20">
        <v>100.5</v>
      </c>
      <c r="K581" s="20">
        <v>1129800</v>
      </c>
      <c r="L581" s="20">
        <v>15000</v>
      </c>
      <c r="M581" s="20">
        <v>70000</v>
      </c>
      <c r="N581" s="20"/>
      <c r="O581" s="20">
        <v>1329000</v>
      </c>
      <c r="P581" s="20"/>
      <c r="Q581" s="19">
        <f t="shared" si="65"/>
        <v>43557730.625</v>
      </c>
      <c r="R581" s="20">
        <v>1026255</v>
      </c>
      <c r="S581" s="20">
        <v>21461686</v>
      </c>
      <c r="T581" s="20"/>
      <c r="U581" s="20"/>
      <c r="V581" s="20"/>
      <c r="W581" s="20">
        <v>85500</v>
      </c>
      <c r="X581" s="20">
        <v>5994050</v>
      </c>
      <c r="Y581" s="8">
        <f t="shared" si="66"/>
        <v>14990239.625</v>
      </c>
      <c r="Z581" s="36"/>
      <c r="AA581" s="36"/>
      <c r="AB581" s="36"/>
      <c r="AC581" s="36"/>
      <c r="AD581" s="36"/>
      <c r="AE581" s="36"/>
      <c r="AF581" s="36">
        <v>43000</v>
      </c>
      <c r="AG581" s="36">
        <v>3100000</v>
      </c>
      <c r="AH581" s="36"/>
      <c r="AI581" s="36"/>
      <c r="AJ581" s="36"/>
      <c r="AK581" s="36"/>
      <c r="AL581" s="37">
        <f t="shared" si="67"/>
        <v>3143000</v>
      </c>
      <c r="AM581" s="36"/>
      <c r="AN581" s="36"/>
      <c r="AO581" s="36"/>
      <c r="AP581" s="7"/>
      <c r="AQ581" s="38">
        <f t="shared" si="68"/>
        <v>11847239.625</v>
      </c>
      <c r="AR581" s="36">
        <v>11847300</v>
      </c>
      <c r="AS581" s="18">
        <f t="shared" si="69"/>
        <v>60.375</v>
      </c>
    </row>
    <row r="582" spans="1:45" x14ac:dyDescent="0.25">
      <c r="A582" s="40">
        <v>45870</v>
      </c>
      <c r="B582" s="20">
        <v>2762.7240000000002</v>
      </c>
      <c r="C582" s="20">
        <v>4956.8090000000002</v>
      </c>
      <c r="D582" s="20">
        <v>5225</v>
      </c>
      <c r="E582" s="20">
        <v>4910</v>
      </c>
      <c r="F582" s="7">
        <f t="shared" si="63"/>
        <v>14435232.9</v>
      </c>
      <c r="G582" s="7">
        <f t="shared" si="64"/>
        <v>24337932.190000001</v>
      </c>
      <c r="H582" s="20">
        <v>30.75</v>
      </c>
      <c r="I582" s="20">
        <v>591500</v>
      </c>
      <c r="J582" s="20">
        <v>162.5</v>
      </c>
      <c r="K582" s="20">
        <v>2098500</v>
      </c>
      <c r="L582" s="20">
        <v>71000</v>
      </c>
      <c r="M582" s="20"/>
      <c r="N582" s="20">
        <v>250000</v>
      </c>
      <c r="O582" s="20">
        <v>17025400</v>
      </c>
      <c r="P582" s="20">
        <v>25000</v>
      </c>
      <c r="Q582" s="19">
        <f t="shared" si="65"/>
        <v>58834565.090000004</v>
      </c>
      <c r="R582" s="20">
        <v>2814099</v>
      </c>
      <c r="S582" s="20">
        <v>16477785</v>
      </c>
      <c r="T582" s="20"/>
      <c r="U582" s="20"/>
      <c r="V582" s="20"/>
      <c r="W582" s="20">
        <v>135500</v>
      </c>
      <c r="X582" s="20">
        <v>9432539</v>
      </c>
      <c r="Y582" s="8">
        <f t="shared" si="66"/>
        <v>29974642.090000004</v>
      </c>
      <c r="Z582" s="36"/>
      <c r="AA582" s="36"/>
      <c r="AB582" s="36">
        <v>643100</v>
      </c>
      <c r="AC582" s="36">
        <v>27000</v>
      </c>
      <c r="AD582" s="36"/>
      <c r="AE582" s="36"/>
      <c r="AF582" s="36">
        <v>6000</v>
      </c>
      <c r="AG582" s="36"/>
      <c r="AH582" s="36">
        <v>23000</v>
      </c>
      <c r="AI582" s="36"/>
      <c r="AJ582" s="36"/>
      <c r="AK582" s="36"/>
      <c r="AL582" s="37">
        <f t="shared" si="67"/>
        <v>699100</v>
      </c>
      <c r="AM582" s="36"/>
      <c r="AN582" s="36"/>
      <c r="AO582" s="36"/>
      <c r="AP582" s="7"/>
      <c r="AQ582" s="38">
        <f t="shared" si="68"/>
        <v>29275542.090000004</v>
      </c>
      <c r="AR582" s="36">
        <v>29275600</v>
      </c>
      <c r="AS582" s="18">
        <f t="shared" si="69"/>
        <v>57.909999996423721</v>
      </c>
    </row>
    <row r="583" spans="1:45" x14ac:dyDescent="0.25">
      <c r="A583" s="40">
        <v>45871</v>
      </c>
      <c r="B583" s="20">
        <v>4085.4879999999998</v>
      </c>
      <c r="C583" s="20">
        <v>2019.51</v>
      </c>
      <c r="D583" s="20">
        <v>5225</v>
      </c>
      <c r="E583" s="20">
        <v>4910</v>
      </c>
      <c r="F583" s="7">
        <f t="shared" si="63"/>
        <v>21346674.800000001</v>
      </c>
      <c r="G583" s="7">
        <f t="shared" si="64"/>
        <v>9915794.0999999996</v>
      </c>
      <c r="H583" s="20">
        <v>19</v>
      </c>
      <c r="I583" s="20">
        <v>378500</v>
      </c>
      <c r="J583" s="20">
        <v>104</v>
      </c>
      <c r="K583" s="20">
        <v>1404600</v>
      </c>
      <c r="L583" s="20">
        <v>32000</v>
      </c>
      <c r="M583" s="20"/>
      <c r="N583" s="20"/>
      <c r="O583" s="20">
        <v>1335000</v>
      </c>
      <c r="P583" s="20"/>
      <c r="Q583" s="19">
        <f t="shared" si="65"/>
        <v>34412568.899999999</v>
      </c>
      <c r="R583" s="20">
        <v>2161381</v>
      </c>
      <c r="S583" s="20">
        <v>3391193</v>
      </c>
      <c r="T583" s="20"/>
      <c r="U583" s="20"/>
      <c r="V583" s="20"/>
      <c r="W583" s="20">
        <v>1584069</v>
      </c>
      <c r="X583" s="20">
        <v>9381293</v>
      </c>
      <c r="Y583" s="8">
        <f t="shared" si="66"/>
        <v>17894632.899999999</v>
      </c>
      <c r="Z583" s="36"/>
      <c r="AA583" s="36"/>
      <c r="AB583" s="36"/>
      <c r="AC583" s="36"/>
      <c r="AD583" s="36"/>
      <c r="AE583" s="36"/>
      <c r="AF583" s="36">
        <v>53000</v>
      </c>
      <c r="AG583" s="36"/>
      <c r="AH583" s="36"/>
      <c r="AI583" s="36"/>
      <c r="AJ583" s="36"/>
      <c r="AK583" s="36"/>
      <c r="AL583" s="37">
        <f t="shared" si="67"/>
        <v>53000</v>
      </c>
      <c r="AM583" s="36"/>
      <c r="AN583" s="36">
        <v>975000</v>
      </c>
      <c r="AO583" s="36"/>
      <c r="AP583" s="7"/>
      <c r="AQ583" s="38">
        <f t="shared" si="68"/>
        <v>16866632.899999999</v>
      </c>
      <c r="AR583" s="36">
        <v>16866300</v>
      </c>
      <c r="AS583" s="18">
        <f t="shared" si="69"/>
        <v>-332.89999999850988</v>
      </c>
    </row>
    <row r="584" spans="1:45" x14ac:dyDescent="0.25">
      <c r="A584" s="40">
        <v>45872</v>
      </c>
      <c r="B584" s="20">
        <v>3026.0709999999999</v>
      </c>
      <c r="C584" s="20">
        <v>2854.04</v>
      </c>
      <c r="D584" s="20">
        <v>5225</v>
      </c>
      <c r="E584" s="20">
        <v>4910</v>
      </c>
      <c r="F584" s="7">
        <f t="shared" si="63"/>
        <v>15811220.975</v>
      </c>
      <c r="G584" s="7">
        <f t="shared" si="64"/>
        <v>14013336.4</v>
      </c>
      <c r="H584" s="20">
        <v>46.5</v>
      </c>
      <c r="I584" s="20">
        <v>942500</v>
      </c>
      <c r="J584" s="20">
        <v>176.5</v>
      </c>
      <c r="K584" s="20">
        <v>2318500</v>
      </c>
      <c r="L584" s="20">
        <v>31000</v>
      </c>
      <c r="M584" s="20"/>
      <c r="N584" s="20"/>
      <c r="O584" s="20">
        <v>200000</v>
      </c>
      <c r="P584" s="20"/>
      <c r="Q584" s="19">
        <f t="shared" si="65"/>
        <v>33316557.375</v>
      </c>
      <c r="R584" s="20">
        <v>1302339</v>
      </c>
      <c r="S584" s="20">
        <v>2670784</v>
      </c>
      <c r="T584" s="20"/>
      <c r="U584" s="20"/>
      <c r="V584" s="20"/>
      <c r="W584" s="20">
        <v>289000</v>
      </c>
      <c r="X584" s="20">
        <v>8438540</v>
      </c>
      <c r="Y584" s="8">
        <f t="shared" si="66"/>
        <v>20615894.375</v>
      </c>
      <c r="Z584" s="36"/>
      <c r="AA584" s="36"/>
      <c r="AB584" s="36"/>
      <c r="AC584" s="36"/>
      <c r="AD584" s="36"/>
      <c r="AE584" s="36">
        <v>908000</v>
      </c>
      <c r="AF584" s="36"/>
      <c r="AG584" s="36"/>
      <c r="AH584" s="36"/>
      <c r="AI584" s="36">
        <v>38000</v>
      </c>
      <c r="AJ584" s="36"/>
      <c r="AK584" s="36"/>
      <c r="AL584" s="37">
        <f t="shared" si="67"/>
        <v>946000</v>
      </c>
      <c r="AM584" s="36"/>
      <c r="AN584" s="36"/>
      <c r="AO584" s="36"/>
      <c r="AP584" s="7"/>
      <c r="AQ584" s="38">
        <f t="shared" si="68"/>
        <v>19669894.375</v>
      </c>
      <c r="AR584" s="36">
        <v>19670000</v>
      </c>
      <c r="AS584" s="18">
        <f t="shared" si="69"/>
        <v>105.625</v>
      </c>
    </row>
    <row r="585" spans="1:45" x14ac:dyDescent="0.25">
      <c r="A585" s="40">
        <v>45873</v>
      </c>
      <c r="B585" s="20">
        <v>1700.2809999999999</v>
      </c>
      <c r="C585" s="20">
        <v>2896.0239999999999</v>
      </c>
      <c r="D585" s="20">
        <v>5225</v>
      </c>
      <c r="E585" s="20">
        <v>4889</v>
      </c>
      <c r="F585" s="7">
        <f t="shared" si="63"/>
        <v>8883968.2249999996</v>
      </c>
      <c r="G585" s="7">
        <f t="shared" si="64"/>
        <v>14158661.335999999</v>
      </c>
      <c r="H585" s="20">
        <v>30.25</v>
      </c>
      <c r="I585" s="20">
        <v>615000</v>
      </c>
      <c r="J585" s="20">
        <v>72</v>
      </c>
      <c r="K585" s="20">
        <v>836000</v>
      </c>
      <c r="L585" s="20">
        <v>32000</v>
      </c>
      <c r="M585" s="20"/>
      <c r="N585" s="20">
        <v>3045300</v>
      </c>
      <c r="O585" s="20">
        <v>2564069</v>
      </c>
      <c r="P585" s="20"/>
      <c r="Q585" s="19">
        <f t="shared" si="65"/>
        <v>30134998.560999997</v>
      </c>
      <c r="R585" s="20">
        <v>854679</v>
      </c>
      <c r="S585" s="20">
        <v>8276010</v>
      </c>
      <c r="T585" s="20"/>
      <c r="U585" s="20"/>
      <c r="V585" s="20"/>
      <c r="W585" s="20">
        <v>0</v>
      </c>
      <c r="X585" s="20">
        <v>5367220</v>
      </c>
      <c r="Y585" s="8">
        <f t="shared" si="66"/>
        <v>15637089.560999997</v>
      </c>
      <c r="Z585" s="36"/>
      <c r="AA585" s="36"/>
      <c r="AB585" s="36"/>
      <c r="AC585" s="36"/>
      <c r="AD585" s="36"/>
      <c r="AE585" s="36">
        <v>484000</v>
      </c>
      <c r="AF585" s="36">
        <v>8000</v>
      </c>
      <c r="AG585" s="36"/>
      <c r="AH585" s="36">
        <v>19000</v>
      </c>
      <c r="AI585" s="36">
        <v>15000</v>
      </c>
      <c r="AJ585" s="36"/>
      <c r="AK585" s="36"/>
      <c r="AL585" s="37">
        <f t="shared" si="67"/>
        <v>526000</v>
      </c>
      <c r="AM585" s="36"/>
      <c r="AN585" s="36"/>
      <c r="AO585" s="36"/>
      <c r="AP585" s="7"/>
      <c r="AQ585" s="38">
        <f t="shared" si="68"/>
        <v>15111089.560999997</v>
      </c>
      <c r="AR585" s="36">
        <v>15111000</v>
      </c>
      <c r="AS585" s="18">
        <f t="shared" si="69"/>
        <v>-89.560999996960163</v>
      </c>
    </row>
    <row r="586" spans="1:45" x14ac:dyDescent="0.25">
      <c r="A586" s="40">
        <v>45874</v>
      </c>
      <c r="B586" s="20">
        <v>2528.12</v>
      </c>
      <c r="C586" s="20">
        <v>4046.86</v>
      </c>
      <c r="D586" s="20">
        <v>5225</v>
      </c>
      <c r="E586" s="20">
        <v>4889</v>
      </c>
      <c r="F586" s="7">
        <f t="shared" si="63"/>
        <v>13209427</v>
      </c>
      <c r="G586" s="7">
        <f t="shared" si="64"/>
        <v>19785098.539999999</v>
      </c>
      <c r="H586" s="20">
        <v>103.5</v>
      </c>
      <c r="I586" s="20">
        <v>2145500</v>
      </c>
      <c r="J586" s="20">
        <v>174</v>
      </c>
      <c r="K586" s="20">
        <v>2090000</v>
      </c>
      <c r="L586" s="20">
        <v>31000</v>
      </c>
      <c r="M586" s="20"/>
      <c r="N586" s="20"/>
      <c r="O586" s="20">
        <v>0</v>
      </c>
      <c r="P586" s="20"/>
      <c r="Q586" s="19">
        <f t="shared" si="65"/>
        <v>37261025.539999999</v>
      </c>
      <c r="R586" s="20">
        <v>2096346</v>
      </c>
      <c r="S586" s="20">
        <v>11037091</v>
      </c>
      <c r="T586" s="20"/>
      <c r="U586" s="20"/>
      <c r="V586" s="20"/>
      <c r="W586" s="20">
        <v>341000</v>
      </c>
      <c r="X586" s="20">
        <v>13101759</v>
      </c>
      <c r="Y586" s="8">
        <f t="shared" si="66"/>
        <v>10684829.539999999</v>
      </c>
      <c r="Z586" s="36"/>
      <c r="AA586" s="36"/>
      <c r="AB586" s="36"/>
      <c r="AC586" s="36">
        <v>73000</v>
      </c>
      <c r="AD586" s="36"/>
      <c r="AE586" s="36"/>
      <c r="AF586" s="36"/>
      <c r="AG586" s="36"/>
      <c r="AH586" s="36"/>
      <c r="AI586" s="36"/>
      <c r="AJ586" s="36"/>
      <c r="AK586" s="36"/>
      <c r="AL586" s="37">
        <f t="shared" si="67"/>
        <v>73000</v>
      </c>
      <c r="AM586" s="36"/>
      <c r="AN586" s="36"/>
      <c r="AO586" s="36"/>
      <c r="AP586" s="7"/>
      <c r="AQ586" s="38">
        <f t="shared" si="68"/>
        <v>10611829.539999999</v>
      </c>
      <c r="AR586" s="36">
        <v>10631700</v>
      </c>
      <c r="AS586" s="18">
        <f t="shared" si="69"/>
        <v>19870.460000000894</v>
      </c>
    </row>
    <row r="587" spans="1:45" x14ac:dyDescent="0.25">
      <c r="A587" s="40">
        <v>45875</v>
      </c>
      <c r="B587" s="20">
        <v>2242.6660000000002</v>
      </c>
      <c r="C587" s="20">
        <v>2483.0390000000002</v>
      </c>
      <c r="D587" s="20">
        <v>5225</v>
      </c>
      <c r="E587" s="20">
        <v>4889</v>
      </c>
      <c r="F587" s="7">
        <f t="shared" si="63"/>
        <v>11717929.850000001</v>
      </c>
      <c r="G587" s="7">
        <f t="shared" si="64"/>
        <v>12139577.671000002</v>
      </c>
      <c r="H587" s="20">
        <v>72</v>
      </c>
      <c r="I587" s="20">
        <v>1470900</v>
      </c>
      <c r="J587" s="20">
        <v>82</v>
      </c>
      <c r="K587" s="20">
        <v>994000</v>
      </c>
      <c r="L587" s="20">
        <v>23000</v>
      </c>
      <c r="M587" s="20"/>
      <c r="N587" s="20"/>
      <c r="O587" s="20">
        <v>0</v>
      </c>
      <c r="P587" s="20"/>
      <c r="Q587" s="19">
        <f t="shared" si="65"/>
        <v>26345407.521000005</v>
      </c>
      <c r="R587" s="20">
        <v>254675</v>
      </c>
      <c r="S587" s="20">
        <v>8228397</v>
      </c>
      <c r="T587" s="20"/>
      <c r="U587" s="20"/>
      <c r="V587" s="20"/>
      <c r="W587" s="20">
        <v>433640</v>
      </c>
      <c r="X587" s="20">
        <v>3985982</v>
      </c>
      <c r="Y587" s="8">
        <f t="shared" si="66"/>
        <v>13442713.521000005</v>
      </c>
      <c r="Z587" s="36"/>
      <c r="AA587" s="36"/>
      <c r="AB587" s="36"/>
      <c r="AC587" s="36"/>
      <c r="AD587" s="36"/>
      <c r="AE587" s="36"/>
      <c r="AF587" s="36">
        <v>3000</v>
      </c>
      <c r="AG587" s="36"/>
      <c r="AH587" s="36">
        <v>22000</v>
      </c>
      <c r="AI587" s="36"/>
      <c r="AJ587" s="36"/>
      <c r="AK587" s="36"/>
      <c r="AL587" s="37">
        <f t="shared" si="67"/>
        <v>25000</v>
      </c>
      <c r="AM587" s="36"/>
      <c r="AN587" s="36"/>
      <c r="AO587" s="36"/>
      <c r="AP587" s="7"/>
      <c r="AQ587" s="38">
        <f t="shared" si="68"/>
        <v>13417713.521000005</v>
      </c>
      <c r="AR587" s="36">
        <v>13443300</v>
      </c>
      <c r="AS587" s="18">
        <f t="shared" si="69"/>
        <v>25586.478999994695</v>
      </c>
    </row>
    <row r="588" spans="1:45" x14ac:dyDescent="0.25">
      <c r="A588" s="40">
        <v>45876</v>
      </c>
      <c r="B588" s="20">
        <v>2506.087</v>
      </c>
      <c r="C588" s="20">
        <v>2913.4059999999999</v>
      </c>
      <c r="D588" s="20">
        <v>5225</v>
      </c>
      <c r="E588" s="20">
        <v>4919</v>
      </c>
      <c r="F588" s="7">
        <f t="shared" si="63"/>
        <v>13094304.574999999</v>
      </c>
      <c r="G588" s="7">
        <f t="shared" si="64"/>
        <v>14331044.114</v>
      </c>
      <c r="H588" s="20">
        <v>70.25</v>
      </c>
      <c r="I588" s="20">
        <v>1482500</v>
      </c>
      <c r="J588" s="20">
        <v>67</v>
      </c>
      <c r="K588" s="20">
        <v>807500</v>
      </c>
      <c r="L588" s="20">
        <v>64000</v>
      </c>
      <c r="M588" s="20"/>
      <c r="N588" s="20"/>
      <c r="O588" s="20">
        <v>1000000</v>
      </c>
      <c r="P588" s="20"/>
      <c r="Q588" s="19">
        <f t="shared" si="65"/>
        <v>30779348.688999999</v>
      </c>
      <c r="R588" s="20">
        <v>1242073</v>
      </c>
      <c r="S588" s="20">
        <v>7578696</v>
      </c>
      <c r="T588" s="20"/>
      <c r="U588" s="20"/>
      <c r="V588" s="20"/>
      <c r="W588" s="20">
        <v>343000</v>
      </c>
      <c r="X588" s="20">
        <v>10854196</v>
      </c>
      <c r="Y588" s="8">
        <f t="shared" si="66"/>
        <v>10761383.688999999</v>
      </c>
      <c r="Z588" s="36"/>
      <c r="AA588" s="36"/>
      <c r="AB588" s="36"/>
      <c r="AC588" s="36"/>
      <c r="AD588" s="36"/>
      <c r="AE588" s="36"/>
      <c r="AF588" s="36">
        <v>3523000</v>
      </c>
      <c r="AG588" s="36"/>
      <c r="AH588" s="36">
        <v>13000</v>
      </c>
      <c r="AI588" s="36"/>
      <c r="AJ588" s="36"/>
      <c r="AK588" s="36"/>
      <c r="AL588" s="37">
        <f t="shared" si="67"/>
        <v>3536000</v>
      </c>
      <c r="AM588" s="36"/>
      <c r="AN588" s="36"/>
      <c r="AO588" s="36"/>
      <c r="AP588" s="7"/>
      <c r="AQ588" s="38">
        <f t="shared" si="68"/>
        <v>7225383.6889999993</v>
      </c>
      <c r="AR588" s="36">
        <v>7225400</v>
      </c>
      <c r="AS588" s="18">
        <f t="shared" si="69"/>
        <v>16.311000000685453</v>
      </c>
    </row>
    <row r="589" spans="1:45" x14ac:dyDescent="0.25">
      <c r="A589" s="40">
        <v>45877</v>
      </c>
      <c r="B589" s="20">
        <v>2238.4319999999998</v>
      </c>
      <c r="C589" s="20">
        <v>3407.4450000000002</v>
      </c>
      <c r="D589" s="20">
        <v>5225</v>
      </c>
      <c r="E589" s="20">
        <v>4919</v>
      </c>
      <c r="F589" s="7">
        <f t="shared" si="63"/>
        <v>11695807.199999999</v>
      </c>
      <c r="G589" s="7">
        <f t="shared" si="64"/>
        <v>16761221.955</v>
      </c>
      <c r="H589" s="20">
        <v>116</v>
      </c>
      <c r="I589" s="20">
        <v>2386000</v>
      </c>
      <c r="J589" s="20">
        <v>67</v>
      </c>
      <c r="K589" s="20">
        <v>936000</v>
      </c>
      <c r="L589" s="20">
        <v>127000</v>
      </c>
      <c r="M589" s="20"/>
      <c r="N589" s="20"/>
      <c r="O589" s="20">
        <v>1050000</v>
      </c>
      <c r="P589" s="20"/>
      <c r="Q589" s="19">
        <f t="shared" si="65"/>
        <v>32956029.155000001</v>
      </c>
      <c r="R589" s="20">
        <v>1006606</v>
      </c>
      <c r="S589" s="20">
        <v>7427005</v>
      </c>
      <c r="T589" s="20"/>
      <c r="U589" s="20"/>
      <c r="V589" s="20"/>
      <c r="W589" s="20">
        <v>310000</v>
      </c>
      <c r="X589" s="20">
        <v>12937700</v>
      </c>
      <c r="Y589" s="8">
        <f t="shared" si="66"/>
        <v>11274718.155000001</v>
      </c>
      <c r="Z589" s="36"/>
      <c r="AA589" s="36"/>
      <c r="AB589" s="36"/>
      <c r="AC589" s="36"/>
      <c r="AD589" s="36"/>
      <c r="AE589" s="36"/>
      <c r="AF589" s="36">
        <v>3000</v>
      </c>
      <c r="AG589" s="36"/>
      <c r="AH589" s="36"/>
      <c r="AI589" s="36"/>
      <c r="AJ589" s="36">
        <v>1500000</v>
      </c>
      <c r="AK589" s="36"/>
      <c r="AL589" s="37">
        <f t="shared" si="67"/>
        <v>1503000</v>
      </c>
      <c r="AM589" s="36"/>
      <c r="AN589" s="36"/>
      <c r="AO589" s="36"/>
      <c r="AP589" s="7"/>
      <c r="AQ589" s="38">
        <f t="shared" si="68"/>
        <v>9771718.1550000012</v>
      </c>
      <c r="AR589" s="36">
        <v>9775000</v>
      </c>
      <c r="AS589" s="18">
        <f t="shared" si="69"/>
        <v>3281.8449999988079</v>
      </c>
    </row>
    <row r="590" spans="1:45" x14ac:dyDescent="0.25">
      <c r="A590" s="40">
        <v>45878</v>
      </c>
      <c r="B590" s="20">
        <v>2158.5309999999999</v>
      </c>
      <c r="C590" s="20">
        <v>2911.625</v>
      </c>
      <c r="D590" s="20">
        <v>5225</v>
      </c>
      <c r="E590" s="20">
        <v>4919</v>
      </c>
      <c r="F590" s="7">
        <f t="shared" si="63"/>
        <v>11278324.475</v>
      </c>
      <c r="G590" s="7">
        <f t="shared" si="64"/>
        <v>14322283.375</v>
      </c>
      <c r="H590" s="20">
        <v>41.25</v>
      </c>
      <c r="I590" s="20">
        <v>785000</v>
      </c>
      <c r="J590" s="20">
        <v>100.5</v>
      </c>
      <c r="K590" s="20">
        <v>1172000</v>
      </c>
      <c r="L590" s="20">
        <v>31000</v>
      </c>
      <c r="M590" s="20"/>
      <c r="N590" s="20">
        <v>58000</v>
      </c>
      <c r="O590" s="20"/>
      <c r="P590" s="20"/>
      <c r="Q590" s="19">
        <f t="shared" si="65"/>
        <v>27646607.850000001</v>
      </c>
      <c r="R590" s="20">
        <v>404950</v>
      </c>
      <c r="S590" s="20">
        <v>5348327</v>
      </c>
      <c r="T590" s="20"/>
      <c r="U590" s="20"/>
      <c r="V590" s="20"/>
      <c r="W590" s="20">
        <v>169000</v>
      </c>
      <c r="X590" s="20">
        <v>9420014</v>
      </c>
      <c r="Y590" s="8">
        <f t="shared" si="66"/>
        <v>12304316.850000001</v>
      </c>
      <c r="Z590" s="36"/>
      <c r="AA590" s="36"/>
      <c r="AB590" s="36"/>
      <c r="AC590" s="36"/>
      <c r="AD590" s="36">
        <v>98380</v>
      </c>
      <c r="AE590" s="36"/>
      <c r="AF590" s="36">
        <v>3003000</v>
      </c>
      <c r="AG590" s="36"/>
      <c r="AH590" s="36">
        <v>70000</v>
      </c>
      <c r="AI590" s="36"/>
      <c r="AJ590" s="36">
        <v>150000</v>
      </c>
      <c r="AK590" s="36"/>
      <c r="AL590" s="37">
        <f t="shared" si="67"/>
        <v>3321380</v>
      </c>
      <c r="AM590" s="36"/>
      <c r="AN590" s="36"/>
      <c r="AO590" s="36"/>
      <c r="AP590" s="7"/>
      <c r="AQ590" s="38">
        <f t="shared" si="68"/>
        <v>8982936.8500000015</v>
      </c>
      <c r="AR590" s="36">
        <v>8983000</v>
      </c>
      <c r="AS590" s="18">
        <f t="shared" si="69"/>
        <v>63.149999998509884</v>
      </c>
    </row>
    <row r="591" spans="1:45" x14ac:dyDescent="0.25">
      <c r="A591" s="40">
        <v>45879</v>
      </c>
      <c r="B591" s="20">
        <v>2527.0079999999998</v>
      </c>
      <c r="C591" s="20">
        <v>1825.76</v>
      </c>
      <c r="D591" s="20">
        <v>5225</v>
      </c>
      <c r="E591" s="20">
        <v>4919</v>
      </c>
      <c r="F591" s="7">
        <f t="shared" si="63"/>
        <v>13203616.799999999</v>
      </c>
      <c r="G591" s="7">
        <f t="shared" si="64"/>
        <v>8980913.4399999995</v>
      </c>
      <c r="H591" s="20">
        <v>76.75</v>
      </c>
      <c r="I591" s="20">
        <v>1665500</v>
      </c>
      <c r="J591" s="20">
        <v>239</v>
      </c>
      <c r="K591" s="20">
        <v>2587000</v>
      </c>
      <c r="L591" s="20">
        <v>94000</v>
      </c>
      <c r="M591" s="20"/>
      <c r="N591" s="20">
        <v>0</v>
      </c>
      <c r="O591" s="20">
        <v>0</v>
      </c>
      <c r="P591" s="20"/>
      <c r="Q591" s="19">
        <f t="shared" si="65"/>
        <v>26531030.239999998</v>
      </c>
      <c r="R591" s="20">
        <v>401975</v>
      </c>
      <c r="S591" s="20">
        <v>5316747</v>
      </c>
      <c r="T591" s="20"/>
      <c r="U591" s="20"/>
      <c r="V591" s="20"/>
      <c r="W591" s="20">
        <v>326750</v>
      </c>
      <c r="X591" s="20">
        <v>4331493</v>
      </c>
      <c r="Y591" s="8">
        <f t="shared" si="66"/>
        <v>16154065.239999998</v>
      </c>
      <c r="Z591" s="36"/>
      <c r="AA591" s="36"/>
      <c r="AB591" s="36"/>
      <c r="AC591" s="36"/>
      <c r="AD591" s="36"/>
      <c r="AE591" s="36"/>
      <c r="AF591" s="36">
        <v>4613000</v>
      </c>
      <c r="AG591" s="36"/>
      <c r="AH591" s="36">
        <v>0</v>
      </c>
      <c r="AI591" s="36"/>
      <c r="AJ591" s="36"/>
      <c r="AK591" s="36"/>
      <c r="AL591" s="37">
        <f t="shared" si="67"/>
        <v>4613000</v>
      </c>
      <c r="AM591" s="36"/>
      <c r="AN591" s="36"/>
      <c r="AO591" s="36"/>
      <c r="AP591" s="7"/>
      <c r="AQ591" s="38">
        <f t="shared" si="68"/>
        <v>11541065.239999998</v>
      </c>
      <c r="AR591" s="36">
        <v>11563700</v>
      </c>
      <c r="AS591" s="18">
        <f t="shared" si="69"/>
        <v>22634.760000001639</v>
      </c>
    </row>
    <row r="592" spans="1:45" x14ac:dyDescent="0.25">
      <c r="A592" s="40">
        <v>45880</v>
      </c>
      <c r="B592" s="20">
        <v>1660.8530000000001</v>
      </c>
      <c r="C592" s="20">
        <v>2389.8449999999998</v>
      </c>
      <c r="D592" s="20">
        <v>5225</v>
      </c>
      <c r="E592" s="20">
        <v>4939</v>
      </c>
      <c r="F592" s="7">
        <f t="shared" si="63"/>
        <v>8677956.9250000007</v>
      </c>
      <c r="G592" s="7">
        <f t="shared" si="64"/>
        <v>11803444.454999998</v>
      </c>
      <c r="H592" s="20">
        <v>60.5</v>
      </c>
      <c r="I592" s="20">
        <v>1227000</v>
      </c>
      <c r="J592" s="20">
        <v>73</v>
      </c>
      <c r="K592" s="20">
        <v>634000</v>
      </c>
      <c r="L592" s="20">
        <v>15000</v>
      </c>
      <c r="M592" s="20"/>
      <c r="N592" s="20">
        <v>58000</v>
      </c>
      <c r="O592" s="20">
        <v>0</v>
      </c>
      <c r="P592" s="20"/>
      <c r="Q592" s="19">
        <f t="shared" si="65"/>
        <v>22415401.379999999</v>
      </c>
      <c r="R592" s="20">
        <v>920334</v>
      </c>
      <c r="S592" s="20">
        <v>9192420</v>
      </c>
      <c r="T592" s="20"/>
      <c r="U592" s="20"/>
      <c r="V592" s="20"/>
      <c r="W592" s="20">
        <v>509000</v>
      </c>
      <c r="X592" s="20">
        <v>2213655</v>
      </c>
      <c r="Y592" s="8">
        <f t="shared" si="66"/>
        <v>9579992.379999999</v>
      </c>
      <c r="Z592" s="36"/>
      <c r="AA592" s="36"/>
      <c r="AB592" s="36"/>
      <c r="AC592" s="36">
        <v>30000</v>
      </c>
      <c r="AD592" s="36"/>
      <c r="AE592" s="36"/>
      <c r="AF592" s="36">
        <v>20000</v>
      </c>
      <c r="AG592" s="36"/>
      <c r="AH592" s="36"/>
      <c r="AI592" s="36"/>
      <c r="AJ592" s="36"/>
      <c r="AK592" s="36"/>
      <c r="AL592" s="37">
        <f t="shared" si="67"/>
        <v>50000</v>
      </c>
      <c r="AM592" s="36"/>
      <c r="AN592" s="36"/>
      <c r="AO592" s="36"/>
      <c r="AP592" s="7"/>
      <c r="AQ592" s="38">
        <f t="shared" si="68"/>
        <v>9529992.379999999</v>
      </c>
      <c r="AR592" s="36">
        <v>9530000</v>
      </c>
      <c r="AS592" s="18">
        <f t="shared" si="69"/>
        <v>7.6200000010430813</v>
      </c>
    </row>
    <row r="593" spans="1:45" x14ac:dyDescent="0.25">
      <c r="A593" s="40">
        <v>45881</v>
      </c>
      <c r="B593" s="20">
        <v>1940.9380000000001</v>
      </c>
      <c r="C593" s="20">
        <v>3688.0839999999998</v>
      </c>
      <c r="D593" s="20">
        <v>5225</v>
      </c>
      <c r="E593" s="20">
        <v>4939</v>
      </c>
      <c r="F593" s="7">
        <f t="shared" si="63"/>
        <v>10141401.050000001</v>
      </c>
      <c r="G593" s="7">
        <f t="shared" si="64"/>
        <v>18215446.875999998</v>
      </c>
      <c r="H593" s="20">
        <v>264</v>
      </c>
      <c r="I593" s="20">
        <v>5274000</v>
      </c>
      <c r="J593" s="20">
        <v>115.5</v>
      </c>
      <c r="K593" s="20">
        <v>1382000</v>
      </c>
      <c r="L593" s="20">
        <v>46000</v>
      </c>
      <c r="M593" s="20"/>
      <c r="N593" s="20"/>
      <c r="O593" s="20">
        <v>456800</v>
      </c>
      <c r="P593" s="20"/>
      <c r="Q593" s="19">
        <f t="shared" si="65"/>
        <v>35515647.925999999</v>
      </c>
      <c r="R593" s="20">
        <v>1114975</v>
      </c>
      <c r="S593" s="20">
        <v>13013568</v>
      </c>
      <c r="T593" s="20"/>
      <c r="U593" s="20"/>
      <c r="V593" s="20"/>
      <c r="W593" s="20">
        <v>0</v>
      </c>
      <c r="X593" s="20">
        <v>3034786</v>
      </c>
      <c r="Y593" s="8">
        <f t="shared" si="66"/>
        <v>18352318.925999999</v>
      </c>
      <c r="Z593" s="36"/>
      <c r="AA593" s="36"/>
      <c r="AB593" s="36"/>
      <c r="AC593" s="36">
        <v>53000</v>
      </c>
      <c r="AD593" s="36">
        <v>0</v>
      </c>
      <c r="AE593" s="36"/>
      <c r="AF593" s="36">
        <v>8000</v>
      </c>
      <c r="AG593" s="36"/>
      <c r="AH593" s="36">
        <v>25000</v>
      </c>
      <c r="AI593" s="36"/>
      <c r="AJ593" s="36"/>
      <c r="AK593" s="36"/>
      <c r="AL593" s="37">
        <f t="shared" si="67"/>
        <v>86000</v>
      </c>
      <c r="AM593" s="36"/>
      <c r="AN593" s="36"/>
      <c r="AO593" s="36"/>
      <c r="AP593" s="7"/>
      <c r="AQ593" s="38">
        <f t="shared" si="68"/>
        <v>18266318.925999999</v>
      </c>
      <c r="AR593" s="36">
        <v>18266300</v>
      </c>
      <c r="AS593" s="18">
        <f t="shared" si="69"/>
        <v>-18.925999999046326</v>
      </c>
    </row>
    <row r="594" spans="1:45" x14ac:dyDescent="0.25">
      <c r="A594" s="40">
        <v>45882</v>
      </c>
      <c r="B594" s="20">
        <v>1973.26</v>
      </c>
      <c r="C594" s="20">
        <v>5467.1549999999997</v>
      </c>
      <c r="D594" s="20">
        <v>5225</v>
      </c>
      <c r="E594" s="20">
        <v>4939</v>
      </c>
      <c r="F594" s="7">
        <f t="shared" si="63"/>
        <v>10310283.5</v>
      </c>
      <c r="G594" s="7">
        <f t="shared" si="64"/>
        <v>27002278.544999998</v>
      </c>
      <c r="H594" s="20">
        <v>53.25</v>
      </c>
      <c r="I594" s="20">
        <v>1016000</v>
      </c>
      <c r="J594" s="20">
        <v>76.5</v>
      </c>
      <c r="K594" s="20">
        <v>711000</v>
      </c>
      <c r="L594" s="20">
        <v>16000</v>
      </c>
      <c r="M594" s="20"/>
      <c r="N594" s="20"/>
      <c r="O594" s="20">
        <v>1117640</v>
      </c>
      <c r="P594" s="20"/>
      <c r="Q594" s="19">
        <f t="shared" si="65"/>
        <v>40173202.045000002</v>
      </c>
      <c r="R594" s="20">
        <v>842357</v>
      </c>
      <c r="S594" s="20">
        <v>16791993</v>
      </c>
      <c r="T594" s="20"/>
      <c r="U594" s="20">
        <v>0</v>
      </c>
      <c r="V594" s="20"/>
      <c r="W594" s="20">
        <v>149500</v>
      </c>
      <c r="X594" s="20">
        <v>6488437</v>
      </c>
      <c r="Y594" s="8">
        <f t="shared" si="66"/>
        <v>15900915.045000002</v>
      </c>
      <c r="Z594" s="36"/>
      <c r="AA594" s="36"/>
      <c r="AB594" s="36"/>
      <c r="AC594" s="36"/>
      <c r="AD594" s="36"/>
      <c r="AE594" s="36"/>
      <c r="AF594" s="36">
        <v>3000</v>
      </c>
      <c r="AG594" s="36"/>
      <c r="AH594" s="36"/>
      <c r="AI594" s="36"/>
      <c r="AJ594" s="36"/>
      <c r="AK594" s="36"/>
      <c r="AL594" s="37">
        <f t="shared" si="67"/>
        <v>3000</v>
      </c>
      <c r="AM594" s="36"/>
      <c r="AN594" s="36"/>
      <c r="AO594" s="36"/>
      <c r="AP594" s="7"/>
      <c r="AQ594" s="38">
        <f t="shared" si="68"/>
        <v>15897915.045000002</v>
      </c>
      <c r="AR594" s="36">
        <v>15898000</v>
      </c>
      <c r="AS594" s="18">
        <f t="shared" si="69"/>
        <v>84.954999998211861</v>
      </c>
    </row>
    <row r="595" spans="1:45" x14ac:dyDescent="0.25">
      <c r="A595" s="40">
        <v>45883</v>
      </c>
      <c r="B595" s="20">
        <v>1999.2159999999999</v>
      </c>
      <c r="C595" s="20">
        <v>3564.1039999999998</v>
      </c>
      <c r="D595" s="20">
        <v>5225</v>
      </c>
      <c r="E595" s="20">
        <v>4939</v>
      </c>
      <c r="F595" s="7">
        <f t="shared" si="63"/>
        <v>10445903.6</v>
      </c>
      <c r="G595" s="7">
        <f t="shared" si="64"/>
        <v>17603109.655999999</v>
      </c>
      <c r="H595" s="20">
        <v>50.75</v>
      </c>
      <c r="I595" s="20">
        <v>1008500</v>
      </c>
      <c r="J595" s="20">
        <v>64</v>
      </c>
      <c r="K595" s="20">
        <v>601000</v>
      </c>
      <c r="L595" s="20">
        <v>38000</v>
      </c>
      <c r="M595" s="20"/>
      <c r="N595" s="20"/>
      <c r="O595" s="20">
        <v>577500</v>
      </c>
      <c r="P595" s="20"/>
      <c r="Q595" s="19">
        <f t="shared" si="65"/>
        <v>30274013.255999997</v>
      </c>
      <c r="R595" s="20">
        <v>1133201</v>
      </c>
      <c r="S595" s="20">
        <v>8453421</v>
      </c>
      <c r="T595" s="20"/>
      <c r="U595" s="20"/>
      <c r="V595" s="20"/>
      <c r="W595" s="20">
        <v>140000</v>
      </c>
      <c r="X595" s="20">
        <v>5913759</v>
      </c>
      <c r="Y595" s="8">
        <f t="shared" si="66"/>
        <v>14633632.255999997</v>
      </c>
      <c r="Z595" s="36"/>
      <c r="AA595" s="36"/>
      <c r="AB595" s="36"/>
      <c r="AC595" s="36"/>
      <c r="AD595" s="36"/>
      <c r="AE595" s="36"/>
      <c r="AF595" s="36">
        <v>200000</v>
      </c>
      <c r="AG595" s="36"/>
      <c r="AH595" s="36">
        <v>37000</v>
      </c>
      <c r="AI595" s="36">
        <v>35000</v>
      </c>
      <c r="AJ595" s="36">
        <v>285000</v>
      </c>
      <c r="AK595" s="36"/>
      <c r="AL595" s="37">
        <f t="shared" si="67"/>
        <v>557000</v>
      </c>
      <c r="AM595" s="36"/>
      <c r="AN595" s="36"/>
      <c r="AO595" s="36"/>
      <c r="AP595" s="7"/>
      <c r="AQ595" s="38">
        <f t="shared" si="68"/>
        <v>14076632.255999997</v>
      </c>
      <c r="AR595" s="36">
        <v>14076600</v>
      </c>
      <c r="AS595" s="18">
        <f t="shared" si="69"/>
        <v>-32.255999997258186</v>
      </c>
    </row>
    <row r="596" spans="1:45" x14ac:dyDescent="0.25">
      <c r="A596" s="40">
        <v>45884</v>
      </c>
      <c r="B596" s="20">
        <v>2077.223</v>
      </c>
      <c r="C596" s="20">
        <v>4070.99</v>
      </c>
      <c r="D596" s="20">
        <v>5225</v>
      </c>
      <c r="E596" s="20">
        <v>4939</v>
      </c>
      <c r="F596" s="7">
        <f t="shared" si="63"/>
        <v>10853490.174999999</v>
      </c>
      <c r="G596" s="7">
        <f t="shared" si="64"/>
        <v>20106619.609999999</v>
      </c>
      <c r="H596" s="20">
        <v>73.5</v>
      </c>
      <c r="I596" s="20">
        <v>1523500</v>
      </c>
      <c r="J596" s="20">
        <v>43.5</v>
      </c>
      <c r="K596" s="20">
        <v>369000</v>
      </c>
      <c r="L596" s="20">
        <v>39000</v>
      </c>
      <c r="M596" s="20"/>
      <c r="N596" s="20"/>
      <c r="O596" s="20">
        <v>1855000</v>
      </c>
      <c r="P596" s="20"/>
      <c r="Q596" s="19">
        <f t="shared" si="65"/>
        <v>34746609.784999996</v>
      </c>
      <c r="R596" s="20">
        <v>866064</v>
      </c>
      <c r="S596" s="20">
        <v>12808464</v>
      </c>
      <c r="T596" s="20"/>
      <c r="U596" s="20"/>
      <c r="V596" s="20"/>
      <c r="W596" s="20">
        <v>1056966</v>
      </c>
      <c r="X596" s="20">
        <v>5118866</v>
      </c>
      <c r="Y596" s="8">
        <f t="shared" si="66"/>
        <v>14896249.784999996</v>
      </c>
      <c r="Z596" s="36"/>
      <c r="AA596" s="36"/>
      <c r="AB596" s="36"/>
      <c r="AC596" s="36">
        <v>3500</v>
      </c>
      <c r="AD596" s="36"/>
      <c r="AE596" s="36"/>
      <c r="AF596" s="36">
        <v>2603000</v>
      </c>
      <c r="AG596" s="36"/>
      <c r="AH596" s="36">
        <v>30000</v>
      </c>
      <c r="AI596" s="36"/>
      <c r="AJ596" s="36"/>
      <c r="AK596" s="36"/>
      <c r="AL596" s="37">
        <f t="shared" si="67"/>
        <v>2636500</v>
      </c>
      <c r="AM596" s="36"/>
      <c r="AN596" s="36"/>
      <c r="AO596" s="36"/>
      <c r="AP596" s="7"/>
      <c r="AQ596" s="38">
        <f t="shared" si="68"/>
        <v>12259749.784999996</v>
      </c>
      <c r="AR596" s="36">
        <v>12366200</v>
      </c>
      <c r="AS596" s="18">
        <f t="shared" si="69"/>
        <v>106450.21500000358</v>
      </c>
    </row>
    <row r="597" spans="1:45" x14ac:dyDescent="0.25">
      <c r="A597" s="40">
        <v>45885</v>
      </c>
      <c r="B597" s="20">
        <v>2349.5529999999999</v>
      </c>
      <c r="C597" s="20">
        <v>2732.6460000000002</v>
      </c>
      <c r="D597" s="20">
        <v>5225</v>
      </c>
      <c r="E597" s="20">
        <v>4939</v>
      </c>
      <c r="F597" s="7">
        <f t="shared" si="63"/>
        <v>12276414.424999999</v>
      </c>
      <c r="G597" s="7">
        <f t="shared" si="64"/>
        <v>13496538.594000001</v>
      </c>
      <c r="H597" s="20">
        <v>92</v>
      </c>
      <c r="I597" s="20">
        <v>1912000</v>
      </c>
      <c r="J597" s="20">
        <v>49.5</v>
      </c>
      <c r="K597" s="20">
        <v>497000</v>
      </c>
      <c r="L597" s="20">
        <v>105000</v>
      </c>
      <c r="M597" s="20"/>
      <c r="N597" s="20"/>
      <c r="O597" s="20">
        <v>3003800</v>
      </c>
      <c r="P597" s="20"/>
      <c r="Q597" s="19">
        <f t="shared" si="65"/>
        <v>31290753.019000001</v>
      </c>
      <c r="R597" s="20">
        <v>1084770</v>
      </c>
      <c r="S597" s="20">
        <v>3022364</v>
      </c>
      <c r="T597" s="20"/>
      <c r="U597" s="20"/>
      <c r="V597" s="20"/>
      <c r="W597" s="20">
        <v>314000</v>
      </c>
      <c r="X597" s="20">
        <v>6001324</v>
      </c>
      <c r="Y597" s="8">
        <f t="shared" si="66"/>
        <v>20868295.019000001</v>
      </c>
      <c r="Z597" s="36">
        <v>1097600</v>
      </c>
      <c r="AA597" s="36"/>
      <c r="AB597" s="36"/>
      <c r="AC597" s="36"/>
      <c r="AD597" s="36"/>
      <c r="AE597" s="36"/>
      <c r="AF597" s="36">
        <v>2306000</v>
      </c>
      <c r="AG597" s="36"/>
      <c r="AH597" s="36"/>
      <c r="AI597" s="36"/>
      <c r="AJ597" s="36"/>
      <c r="AK597" s="36"/>
      <c r="AL597" s="37">
        <f t="shared" si="67"/>
        <v>3403600</v>
      </c>
      <c r="AM597" s="36"/>
      <c r="AN597" s="36"/>
      <c r="AO597" s="36"/>
      <c r="AP597" s="7"/>
      <c r="AQ597" s="38">
        <f t="shared" si="68"/>
        <v>17464695.019000001</v>
      </c>
      <c r="AR597" s="36">
        <v>17317700</v>
      </c>
      <c r="AS597" s="18">
        <f t="shared" si="69"/>
        <v>-146995.01900000125</v>
      </c>
    </row>
    <row r="598" spans="1:45" x14ac:dyDescent="0.25">
      <c r="A598" s="40">
        <v>45886</v>
      </c>
      <c r="B598" s="20">
        <v>2026.174</v>
      </c>
      <c r="C598" s="20">
        <v>2419.8200000000002</v>
      </c>
      <c r="D598" s="20">
        <v>5225</v>
      </c>
      <c r="E598" s="20">
        <v>4939</v>
      </c>
      <c r="F598" s="7">
        <f t="shared" si="63"/>
        <v>10586759.15</v>
      </c>
      <c r="G598" s="7">
        <f t="shared" si="64"/>
        <v>11951490.98</v>
      </c>
      <c r="H598" s="20">
        <v>62</v>
      </c>
      <c r="I598" s="20">
        <v>1313000</v>
      </c>
      <c r="J598" s="20">
        <v>64.5</v>
      </c>
      <c r="K598" s="20">
        <v>722000</v>
      </c>
      <c r="L598" s="20">
        <v>60000</v>
      </c>
      <c r="M598" s="20"/>
      <c r="N598" s="20"/>
      <c r="O598" s="20">
        <v>0</v>
      </c>
      <c r="P598" s="20"/>
      <c r="Q598" s="19">
        <f t="shared" si="65"/>
        <v>24633250.130000003</v>
      </c>
      <c r="R598" s="20">
        <v>400000</v>
      </c>
      <c r="S598" s="20">
        <v>5529097</v>
      </c>
      <c r="T598" s="20"/>
      <c r="U598" s="20"/>
      <c r="V598" s="20"/>
      <c r="W598" s="20">
        <v>887753</v>
      </c>
      <c r="X598" s="20">
        <v>2781545</v>
      </c>
      <c r="Y598" s="8">
        <f t="shared" si="66"/>
        <v>15034855.130000003</v>
      </c>
      <c r="Z598" s="36"/>
      <c r="AA598" s="36"/>
      <c r="AB598" s="36"/>
      <c r="AC598" s="36"/>
      <c r="AD598" s="36"/>
      <c r="AE598" s="36"/>
      <c r="AF598" s="36">
        <v>3000</v>
      </c>
      <c r="AG598" s="36"/>
      <c r="AH598" s="36"/>
      <c r="AI598" s="36"/>
      <c r="AJ598" s="36">
        <v>218000</v>
      </c>
      <c r="AK598" s="36"/>
      <c r="AL598" s="37">
        <f t="shared" si="67"/>
        <v>221000</v>
      </c>
      <c r="AM598" s="36"/>
      <c r="AN598" s="36"/>
      <c r="AO598" s="36"/>
      <c r="AP598" s="7"/>
      <c r="AQ598" s="38">
        <f t="shared" si="68"/>
        <v>14813855.130000003</v>
      </c>
      <c r="AR598" s="36">
        <v>0</v>
      </c>
      <c r="AS598" s="18">
        <f t="shared" si="69"/>
        <v>-14813855.130000003</v>
      </c>
    </row>
    <row r="599" spans="1:45" x14ac:dyDescent="0.25">
      <c r="A599" s="40">
        <v>45887</v>
      </c>
      <c r="B599" s="20">
        <v>1879.694</v>
      </c>
      <c r="C599" s="20">
        <v>3349.509</v>
      </c>
      <c r="D599" s="20">
        <v>5225</v>
      </c>
      <c r="E599" s="20">
        <v>4939</v>
      </c>
      <c r="F599" s="7">
        <f t="shared" si="63"/>
        <v>9821401.1500000004</v>
      </c>
      <c r="G599" s="7">
        <f t="shared" si="64"/>
        <v>16543224.950999999</v>
      </c>
      <c r="H599" s="20">
        <v>121.75</v>
      </c>
      <c r="I599" s="20">
        <v>2636000</v>
      </c>
      <c r="J599" s="20">
        <v>88.5</v>
      </c>
      <c r="K599" s="20">
        <v>905000</v>
      </c>
      <c r="L599" s="20">
        <v>41000</v>
      </c>
      <c r="M599" s="20"/>
      <c r="N599" s="20"/>
      <c r="O599" s="20">
        <v>310000</v>
      </c>
      <c r="P599" s="20"/>
      <c r="Q599" s="19">
        <f t="shared" si="65"/>
        <v>30256626.101</v>
      </c>
      <c r="R599" s="20">
        <v>1789442</v>
      </c>
      <c r="S599" s="20">
        <v>13104779</v>
      </c>
      <c r="T599" s="20"/>
      <c r="U599" s="20"/>
      <c r="V599" s="20"/>
      <c r="W599" s="20">
        <v>50000</v>
      </c>
      <c r="X599" s="20">
        <v>1677070</v>
      </c>
      <c r="Y599" s="8">
        <f t="shared" si="66"/>
        <v>13635335.101</v>
      </c>
      <c r="Z599" s="36"/>
      <c r="AA599" s="36"/>
      <c r="AB599" s="36"/>
      <c r="AC599" s="36"/>
      <c r="AD599" s="36">
        <v>98780</v>
      </c>
      <c r="AE599" s="36"/>
      <c r="AF599" s="36">
        <v>1410338</v>
      </c>
      <c r="AG599" s="36"/>
      <c r="AH599" s="36"/>
      <c r="AI599" s="36"/>
      <c r="AJ599" s="36">
        <v>141000</v>
      </c>
      <c r="AK599" s="36"/>
      <c r="AL599" s="37">
        <f t="shared" si="67"/>
        <v>1650118</v>
      </c>
      <c r="AM599" s="36"/>
      <c r="AN599" s="36"/>
      <c r="AO599" s="36"/>
      <c r="AP599" s="7"/>
      <c r="AQ599" s="38">
        <f t="shared" si="68"/>
        <v>11985217.101</v>
      </c>
      <c r="AR599" s="36">
        <v>26800000</v>
      </c>
      <c r="AS599" s="18">
        <f t="shared" si="69"/>
        <v>14814782.899</v>
      </c>
    </row>
    <row r="600" spans="1:45" x14ac:dyDescent="0.25">
      <c r="A600" s="40">
        <v>45888</v>
      </c>
      <c r="B600" s="20">
        <v>2510.21</v>
      </c>
      <c r="C600" s="20">
        <v>7282.6019999999999</v>
      </c>
      <c r="D600" s="20">
        <v>5225</v>
      </c>
      <c r="E600" s="20">
        <v>4939</v>
      </c>
      <c r="F600" s="7">
        <f t="shared" si="63"/>
        <v>13115847.25</v>
      </c>
      <c r="G600" s="7">
        <f t="shared" si="64"/>
        <v>35968771.277999997</v>
      </c>
      <c r="H600" s="20">
        <v>31.5</v>
      </c>
      <c r="I600" s="20">
        <v>584000</v>
      </c>
      <c r="J600" s="20">
        <v>114</v>
      </c>
      <c r="K600" s="20">
        <v>1178000</v>
      </c>
      <c r="L600" s="20">
        <v>0</v>
      </c>
      <c r="M600" s="20">
        <v>500000</v>
      </c>
      <c r="N600" s="20"/>
      <c r="O600" s="20">
        <v>9391300</v>
      </c>
      <c r="P600" s="20"/>
      <c r="Q600" s="19">
        <f t="shared" si="65"/>
        <v>60737918.527999997</v>
      </c>
      <c r="R600" s="20">
        <v>1455632</v>
      </c>
      <c r="S600" s="20">
        <v>30174769</v>
      </c>
      <c r="T600" s="20"/>
      <c r="U600" s="20"/>
      <c r="V600" s="20"/>
      <c r="W600" s="20">
        <v>0</v>
      </c>
      <c r="X600" s="20">
        <v>8600149</v>
      </c>
      <c r="Y600" s="8">
        <f t="shared" si="66"/>
        <v>20507368.527999997</v>
      </c>
      <c r="Z600" s="36"/>
      <c r="AA600" s="36"/>
      <c r="AB600" s="36"/>
      <c r="AC600" s="36">
        <v>34000</v>
      </c>
      <c r="AD600" s="36">
        <v>98780</v>
      </c>
      <c r="AE600" s="36"/>
      <c r="AF600" s="36">
        <v>12000</v>
      </c>
      <c r="AG600" s="36"/>
      <c r="AH600" s="36"/>
      <c r="AI600" s="36"/>
      <c r="AJ600" s="36"/>
      <c r="AK600" s="36"/>
      <c r="AL600" s="37">
        <f t="shared" si="67"/>
        <v>144780</v>
      </c>
      <c r="AM600" s="36"/>
      <c r="AN600" s="36"/>
      <c r="AO600" s="36"/>
      <c r="AP600" s="7"/>
      <c r="AQ600" s="38">
        <f t="shared" si="68"/>
        <v>20362588.527999997</v>
      </c>
      <c r="AR600" s="36">
        <v>20362600</v>
      </c>
      <c r="AS600" s="18">
        <f t="shared" si="69"/>
        <v>11.472000002861023</v>
      </c>
    </row>
    <row r="601" spans="1:45" x14ac:dyDescent="0.25">
      <c r="A601" s="40">
        <v>45889</v>
      </c>
      <c r="B601" s="20">
        <v>2565.2739999999999</v>
      </c>
      <c r="C601" s="20">
        <v>2559.3850000000002</v>
      </c>
      <c r="D601" s="20">
        <v>5225</v>
      </c>
      <c r="E601" s="20">
        <v>4939</v>
      </c>
      <c r="F601" s="7">
        <f t="shared" si="63"/>
        <v>13403556.649999999</v>
      </c>
      <c r="G601" s="7">
        <f t="shared" si="64"/>
        <v>12640802.515000001</v>
      </c>
      <c r="H601" s="20">
        <v>27.25</v>
      </c>
      <c r="I601" s="20">
        <v>507000</v>
      </c>
      <c r="J601" s="20">
        <v>91</v>
      </c>
      <c r="K601" s="20">
        <v>1048000</v>
      </c>
      <c r="L601" s="20">
        <v>32000</v>
      </c>
      <c r="M601" s="20"/>
      <c r="N601" s="20"/>
      <c r="O601" s="20">
        <v>2150116</v>
      </c>
      <c r="P601" s="20"/>
      <c r="Q601" s="19">
        <f t="shared" si="65"/>
        <v>29781475.164999999</v>
      </c>
      <c r="R601" s="20">
        <v>2606356</v>
      </c>
      <c r="S601" s="20">
        <v>6041327</v>
      </c>
      <c r="T601" s="20"/>
      <c r="U601" s="20"/>
      <c r="V601" s="20"/>
      <c r="W601" s="20">
        <v>50000</v>
      </c>
      <c r="X601" s="20">
        <v>6603888</v>
      </c>
      <c r="Y601" s="8">
        <f t="shared" si="66"/>
        <v>14479904.164999999</v>
      </c>
      <c r="Z601" s="36"/>
      <c r="AA601" s="36"/>
      <c r="AB601" s="36"/>
      <c r="AC601" s="36">
        <v>8000</v>
      </c>
      <c r="AD601" s="36"/>
      <c r="AE601" s="36"/>
      <c r="AF601" s="36">
        <v>3000</v>
      </c>
      <c r="AG601" s="36"/>
      <c r="AH601" s="36">
        <v>19000</v>
      </c>
      <c r="AI601" s="36"/>
      <c r="AJ601" s="36"/>
      <c r="AK601" s="36"/>
      <c r="AL601" s="37">
        <f t="shared" si="67"/>
        <v>30000</v>
      </c>
      <c r="AM601" s="36">
        <v>290000</v>
      </c>
      <c r="AN601" s="36"/>
      <c r="AO601" s="36"/>
      <c r="AP601" s="7"/>
      <c r="AQ601" s="38">
        <f t="shared" si="68"/>
        <v>14159904.164999999</v>
      </c>
      <c r="AR601" s="36">
        <v>14160000</v>
      </c>
      <c r="AS601" s="18">
        <f t="shared" si="69"/>
        <v>95.83500000089407</v>
      </c>
    </row>
    <row r="602" spans="1:45" x14ac:dyDescent="0.25">
      <c r="A602" s="40">
        <v>45890</v>
      </c>
      <c r="B602" s="20">
        <v>2130.491</v>
      </c>
      <c r="C602" s="20">
        <v>6062.3159999999998</v>
      </c>
      <c r="D602" s="20">
        <v>5225</v>
      </c>
      <c r="E602" s="20">
        <v>4939</v>
      </c>
      <c r="F602" s="7">
        <f t="shared" si="63"/>
        <v>11131815.475</v>
      </c>
      <c r="G602" s="7">
        <f t="shared" si="64"/>
        <v>29941778.723999999</v>
      </c>
      <c r="H602" s="20">
        <v>91.25</v>
      </c>
      <c r="I602" s="20">
        <v>1927000</v>
      </c>
      <c r="J602" s="20">
        <v>86</v>
      </c>
      <c r="K602" s="20">
        <v>729000</v>
      </c>
      <c r="L602" s="20">
        <v>316000</v>
      </c>
      <c r="M602" s="20"/>
      <c r="N602" s="20"/>
      <c r="O602" s="20">
        <v>0</v>
      </c>
      <c r="P602" s="20"/>
      <c r="Q602" s="19">
        <f t="shared" si="65"/>
        <v>44045594.199000001</v>
      </c>
      <c r="R602" s="20">
        <v>1388240</v>
      </c>
      <c r="S602" s="20">
        <v>20926138</v>
      </c>
      <c r="T602" s="20"/>
      <c r="U602" s="20"/>
      <c r="V602" s="20"/>
      <c r="W602" s="20">
        <v>290000</v>
      </c>
      <c r="X602" s="20">
        <v>10159120</v>
      </c>
      <c r="Y602" s="8">
        <f t="shared" si="66"/>
        <v>11282096.199000001</v>
      </c>
      <c r="Z602" s="36"/>
      <c r="AA602" s="36"/>
      <c r="AB602" s="36"/>
      <c r="AC602" s="36"/>
      <c r="AD602" s="36"/>
      <c r="AE602" s="36"/>
      <c r="AF602" s="36">
        <v>53000</v>
      </c>
      <c r="AG602" s="36"/>
      <c r="AH602" s="36">
        <v>9500</v>
      </c>
      <c r="AI602" s="36"/>
      <c r="AJ602" s="36">
        <v>63000</v>
      </c>
      <c r="AK602" s="36"/>
      <c r="AL602" s="37">
        <f t="shared" si="67"/>
        <v>125500</v>
      </c>
      <c r="AM602" s="36">
        <v>210000</v>
      </c>
      <c r="AN602" s="36"/>
      <c r="AO602" s="36"/>
      <c r="AP602" s="7"/>
      <c r="AQ602" s="38">
        <f t="shared" si="68"/>
        <v>10946596.199000001</v>
      </c>
      <c r="AR602" s="36">
        <v>10946600</v>
      </c>
      <c r="AS602" s="18">
        <f t="shared" si="69"/>
        <v>3.8009999990463257</v>
      </c>
    </row>
    <row r="603" spans="1:45" x14ac:dyDescent="0.25">
      <c r="A603" s="40">
        <v>45891</v>
      </c>
      <c r="B603" s="20">
        <v>2111.5859999999998</v>
      </c>
      <c r="C603" s="20">
        <v>3084.2310000000002</v>
      </c>
      <c r="D603" s="20">
        <v>5225</v>
      </c>
      <c r="E603" s="20">
        <v>4939</v>
      </c>
      <c r="F603" s="7">
        <f t="shared" si="63"/>
        <v>11033036.85</v>
      </c>
      <c r="G603" s="7">
        <f t="shared" si="64"/>
        <v>15233016.909000002</v>
      </c>
      <c r="H603" s="20">
        <v>24.5</v>
      </c>
      <c r="I603" s="20">
        <v>528000</v>
      </c>
      <c r="J603" s="20">
        <v>104</v>
      </c>
      <c r="K603" s="20">
        <v>1233000</v>
      </c>
      <c r="L603" s="20">
        <v>16000</v>
      </c>
      <c r="M603" s="20"/>
      <c r="N603" s="20"/>
      <c r="O603" s="20">
        <v>0</v>
      </c>
      <c r="P603" s="20"/>
      <c r="Q603" s="19">
        <f t="shared" si="65"/>
        <v>28043053.759000003</v>
      </c>
      <c r="R603" s="20">
        <v>683695</v>
      </c>
      <c r="S603" s="20">
        <v>8812387</v>
      </c>
      <c r="T603" s="20"/>
      <c r="U603" s="20"/>
      <c r="V603" s="20"/>
      <c r="W603" s="20">
        <v>168800</v>
      </c>
      <c r="X603" s="20">
        <v>4488259</v>
      </c>
      <c r="Y603" s="8">
        <f t="shared" si="66"/>
        <v>13889912.759000003</v>
      </c>
      <c r="Z603" s="36"/>
      <c r="AA603" s="36">
        <v>89300</v>
      </c>
      <c r="AB603" s="36"/>
      <c r="AC603" s="36"/>
      <c r="AD603" s="36"/>
      <c r="AE603" s="36"/>
      <c r="AF603" s="36">
        <v>3000</v>
      </c>
      <c r="AG603" s="36"/>
      <c r="AH603" s="36"/>
      <c r="AI603" s="36">
        <v>25000</v>
      </c>
      <c r="AJ603" s="36">
        <v>300000</v>
      </c>
      <c r="AK603" s="36"/>
      <c r="AL603" s="37">
        <f t="shared" si="67"/>
        <v>417300</v>
      </c>
      <c r="AM603" s="36"/>
      <c r="AN603" s="36"/>
      <c r="AO603" s="36"/>
      <c r="AP603" s="7"/>
      <c r="AQ603" s="38">
        <f t="shared" si="68"/>
        <v>13472612.759000003</v>
      </c>
      <c r="AR603" s="36">
        <v>13472600</v>
      </c>
      <c r="AS603" s="18">
        <f t="shared" si="69"/>
        <v>-12.75900000333786</v>
      </c>
    </row>
    <row r="604" spans="1:45" x14ac:dyDescent="0.25">
      <c r="A604" s="40">
        <v>45892</v>
      </c>
      <c r="B604" s="20">
        <v>2500.4960000000001</v>
      </c>
      <c r="C604" s="20">
        <v>3069.681</v>
      </c>
      <c r="D604" s="20">
        <v>5225</v>
      </c>
      <c r="E604" s="20">
        <v>4939</v>
      </c>
      <c r="F604" s="7">
        <f t="shared" si="63"/>
        <v>13065091.6</v>
      </c>
      <c r="G604" s="7">
        <f t="shared" si="64"/>
        <v>15161154.459000001</v>
      </c>
      <c r="H604" s="20">
        <v>92.25</v>
      </c>
      <c r="I604" s="20">
        <v>1933500</v>
      </c>
      <c r="J604" s="20">
        <v>154</v>
      </c>
      <c r="K604" s="20">
        <v>1765000</v>
      </c>
      <c r="L604" s="20">
        <v>30000</v>
      </c>
      <c r="M604" s="20">
        <v>150000</v>
      </c>
      <c r="N604" s="20">
        <v>116000</v>
      </c>
      <c r="O604" s="20">
        <v>480000</v>
      </c>
      <c r="P604" s="20"/>
      <c r="Q604" s="19">
        <f t="shared" si="65"/>
        <v>32700746.059</v>
      </c>
      <c r="R604" s="20">
        <v>1425727</v>
      </c>
      <c r="S604" s="20">
        <v>11247568</v>
      </c>
      <c r="T604" s="20"/>
      <c r="U604" s="20"/>
      <c r="V604" s="20"/>
      <c r="W604" s="20">
        <v>40000</v>
      </c>
      <c r="X604" s="20">
        <v>5913722</v>
      </c>
      <c r="Y604" s="8">
        <f t="shared" si="66"/>
        <v>14073729.059</v>
      </c>
      <c r="Z604" s="36"/>
      <c r="AA604" s="36"/>
      <c r="AB604" s="36"/>
      <c r="AC604" s="36"/>
      <c r="AD604" s="36"/>
      <c r="AE604" s="36"/>
      <c r="AF604" s="36"/>
      <c r="AG604" s="36"/>
      <c r="AH604" s="36">
        <v>26000</v>
      </c>
      <c r="AI604" s="36"/>
      <c r="AJ604" s="36">
        <v>1914300</v>
      </c>
      <c r="AK604" s="36"/>
      <c r="AL604" s="37">
        <f t="shared" si="67"/>
        <v>1940300</v>
      </c>
      <c r="AM604" s="36">
        <v>1436000</v>
      </c>
      <c r="AN604" s="36"/>
      <c r="AO604" s="36"/>
      <c r="AP604" s="7"/>
      <c r="AQ604" s="38">
        <f t="shared" si="68"/>
        <v>10697429.059</v>
      </c>
      <c r="AR604" s="36">
        <v>10797500</v>
      </c>
      <c r="AS604" s="18">
        <f t="shared" si="69"/>
        <v>100070.94099999964</v>
      </c>
    </row>
    <row r="605" spans="1:45" x14ac:dyDescent="0.25">
      <c r="A605" s="40">
        <v>45893</v>
      </c>
      <c r="B605" s="20">
        <v>2076.9969999999998</v>
      </c>
      <c r="C605" s="20">
        <v>2546.0100000000002</v>
      </c>
      <c r="D605" s="20">
        <v>5225</v>
      </c>
      <c r="E605" s="20">
        <v>4939</v>
      </c>
      <c r="F605" s="7">
        <f t="shared" si="63"/>
        <v>10852309.324999999</v>
      </c>
      <c r="G605" s="7">
        <f t="shared" si="64"/>
        <v>12574743.390000001</v>
      </c>
      <c r="H605" s="20">
        <v>147</v>
      </c>
      <c r="I605" s="20">
        <v>2667000</v>
      </c>
      <c r="J605" s="20">
        <v>36.5</v>
      </c>
      <c r="K605" s="20">
        <v>317000</v>
      </c>
      <c r="L605" s="20">
        <v>113000</v>
      </c>
      <c r="M605" s="20"/>
      <c r="N605" s="20"/>
      <c r="O605" s="20">
        <v>1007453</v>
      </c>
      <c r="P605" s="20"/>
      <c r="Q605" s="19">
        <f t="shared" si="65"/>
        <v>27531505.715</v>
      </c>
      <c r="R605" s="20">
        <v>753789</v>
      </c>
      <c r="S605" s="20">
        <v>10077827</v>
      </c>
      <c r="T605" s="20"/>
      <c r="U605" s="20"/>
      <c r="V605" s="20"/>
      <c r="W605" s="20">
        <v>260000</v>
      </c>
      <c r="X605" s="20">
        <v>3386876</v>
      </c>
      <c r="Y605" s="8">
        <f t="shared" si="66"/>
        <v>13053013.715</v>
      </c>
      <c r="Z605" s="36"/>
      <c r="AA605" s="36"/>
      <c r="AB605" s="36"/>
      <c r="AC605" s="36">
        <v>22000</v>
      </c>
      <c r="AD605" s="36">
        <v>98780</v>
      </c>
      <c r="AE605" s="36"/>
      <c r="AF605" s="36">
        <v>23000</v>
      </c>
      <c r="AG605" s="36"/>
      <c r="AH605" s="36"/>
      <c r="AI605" s="36"/>
      <c r="AJ605" s="36">
        <v>68000</v>
      </c>
      <c r="AK605" s="36"/>
      <c r="AL605" s="37">
        <f t="shared" si="67"/>
        <v>211780</v>
      </c>
      <c r="AM605" s="36"/>
      <c r="AN605" s="36"/>
      <c r="AO605" s="36"/>
      <c r="AP605" s="7"/>
      <c r="AQ605" s="38">
        <f t="shared" si="68"/>
        <v>12841233.715</v>
      </c>
      <c r="AR605" s="36">
        <v>12841300</v>
      </c>
      <c r="AS605" s="18">
        <f t="shared" si="69"/>
        <v>66.285000000149012</v>
      </c>
    </row>
    <row r="606" spans="1:45" x14ac:dyDescent="0.25">
      <c r="A606" s="40">
        <v>45894</v>
      </c>
      <c r="B606" s="20">
        <v>1880.49</v>
      </c>
      <c r="C606" s="20">
        <v>898.08900000000006</v>
      </c>
      <c r="D606" s="20">
        <v>5225</v>
      </c>
      <c r="E606" s="20">
        <v>4939</v>
      </c>
      <c r="F606" s="7">
        <f t="shared" si="63"/>
        <v>9825560.25</v>
      </c>
      <c r="G606" s="7">
        <f t="shared" si="64"/>
        <v>4435661.5710000005</v>
      </c>
      <c r="H606" s="20">
        <v>81.75</v>
      </c>
      <c r="I606" s="20">
        <v>1784500</v>
      </c>
      <c r="J606" s="20">
        <v>82.5</v>
      </c>
      <c r="K606" s="20">
        <v>1094500</v>
      </c>
      <c r="L606" s="20">
        <v>56000</v>
      </c>
      <c r="M606" s="20"/>
      <c r="N606" s="20"/>
      <c r="O606" s="20"/>
      <c r="P606" s="20"/>
      <c r="Q606" s="19">
        <f t="shared" si="65"/>
        <v>17196221.821000002</v>
      </c>
      <c r="R606" s="20">
        <v>318339</v>
      </c>
      <c r="S606" s="20">
        <v>2664817</v>
      </c>
      <c r="T606" s="20"/>
      <c r="U606" s="20"/>
      <c r="V606" s="20"/>
      <c r="W606" s="20">
        <v>307000</v>
      </c>
      <c r="X606" s="20">
        <v>2504518</v>
      </c>
      <c r="Y606" s="8">
        <f t="shared" si="66"/>
        <v>11401547.821000002</v>
      </c>
      <c r="Z606" s="36"/>
      <c r="AA606" s="36"/>
      <c r="AB606" s="36"/>
      <c r="AC606" s="36"/>
      <c r="AD606" s="36"/>
      <c r="AE606" s="36"/>
      <c r="AF606" s="36">
        <v>2800000</v>
      </c>
      <c r="AG606" s="36"/>
      <c r="AH606" s="36"/>
      <c r="AI606" s="36"/>
      <c r="AJ606" s="36"/>
      <c r="AK606" s="36"/>
      <c r="AL606" s="37">
        <f t="shared" si="67"/>
        <v>2800000</v>
      </c>
      <c r="AM606" s="36"/>
      <c r="AN606" s="36"/>
      <c r="AO606" s="36"/>
      <c r="AP606" s="7"/>
      <c r="AQ606" s="38">
        <f t="shared" si="68"/>
        <v>8601547.8210000023</v>
      </c>
      <c r="AR606" s="36">
        <v>8601200</v>
      </c>
      <c r="AS606" s="18">
        <f t="shared" si="69"/>
        <v>-347.82100000232458</v>
      </c>
    </row>
    <row r="607" spans="1:45" x14ac:dyDescent="0.25">
      <c r="A607" s="40">
        <v>45895</v>
      </c>
      <c r="B607" s="20">
        <v>2144.9929999999999</v>
      </c>
      <c r="C607" s="20">
        <v>4133.3789999999999</v>
      </c>
      <c r="D607" s="20">
        <v>5225</v>
      </c>
      <c r="E607" s="20">
        <v>4939</v>
      </c>
      <c r="F607" s="7">
        <f t="shared" si="63"/>
        <v>11207588.424999999</v>
      </c>
      <c r="G607" s="7">
        <f t="shared" si="64"/>
        <v>20414758.881000001</v>
      </c>
      <c r="H607" s="20">
        <v>108</v>
      </c>
      <c r="I607" s="20">
        <v>2268000</v>
      </c>
      <c r="J607" s="20">
        <v>157.5</v>
      </c>
      <c r="K607" s="20">
        <v>1500000</v>
      </c>
      <c r="L607" s="20">
        <v>64000</v>
      </c>
      <c r="M607" s="20"/>
      <c r="N607" s="20"/>
      <c r="O607" s="20">
        <v>200000</v>
      </c>
      <c r="P607" s="20"/>
      <c r="Q607" s="19">
        <f t="shared" si="65"/>
        <v>35654347.306000002</v>
      </c>
      <c r="R607" s="20">
        <v>940070</v>
      </c>
      <c r="S607" s="20">
        <v>14068349</v>
      </c>
      <c r="T607" s="20"/>
      <c r="U607" s="20"/>
      <c r="V607" s="20"/>
      <c r="W607" s="20">
        <v>390000</v>
      </c>
      <c r="X607" s="20">
        <v>9727332</v>
      </c>
      <c r="Y607" s="8">
        <f t="shared" si="66"/>
        <v>10528596.306000002</v>
      </c>
      <c r="Z607" s="36"/>
      <c r="AA607" s="36"/>
      <c r="AB607" s="36"/>
      <c r="AC607" s="36"/>
      <c r="AD607" s="36"/>
      <c r="AE607" s="36"/>
      <c r="AF607" s="36">
        <v>33000</v>
      </c>
      <c r="AG607" s="36"/>
      <c r="AH607" s="36"/>
      <c r="AI607" s="36"/>
      <c r="AJ607" s="36">
        <v>10000</v>
      </c>
      <c r="AK607" s="36"/>
      <c r="AL607" s="37">
        <f t="shared" si="67"/>
        <v>43000</v>
      </c>
      <c r="AM607" s="36"/>
      <c r="AN607" s="36"/>
      <c r="AO607" s="36"/>
      <c r="AP607" s="7"/>
      <c r="AQ607" s="38">
        <f t="shared" si="68"/>
        <v>10485596.306000002</v>
      </c>
      <c r="AR607" s="36">
        <v>10453600</v>
      </c>
      <c r="AS607" s="18">
        <f t="shared" si="69"/>
        <v>-31996.306000001729</v>
      </c>
    </row>
    <row r="608" spans="1:45" x14ac:dyDescent="0.25">
      <c r="A608" s="40">
        <v>45896</v>
      </c>
      <c r="B608" s="20">
        <v>2154.58</v>
      </c>
      <c r="C608" s="20">
        <v>3439.3960000000002</v>
      </c>
      <c r="D608" s="20">
        <v>5225</v>
      </c>
      <c r="E608" s="20">
        <v>4939</v>
      </c>
      <c r="F608" s="7">
        <f t="shared" si="63"/>
        <v>11257680.5</v>
      </c>
      <c r="G608" s="7">
        <f t="shared" si="64"/>
        <v>16987176.844000001</v>
      </c>
      <c r="H608" s="20">
        <v>22.5</v>
      </c>
      <c r="I608" s="20">
        <v>430500</v>
      </c>
      <c r="J608" s="20">
        <v>15</v>
      </c>
      <c r="K608" s="20">
        <v>133000</v>
      </c>
      <c r="L608" s="20">
        <v>32000</v>
      </c>
      <c r="M608" s="20"/>
      <c r="N608" s="20"/>
      <c r="O608" s="20">
        <v>156000</v>
      </c>
      <c r="P608" s="20"/>
      <c r="Q608" s="19">
        <f t="shared" si="65"/>
        <v>28996357.344000001</v>
      </c>
      <c r="R608" s="20">
        <v>1597447</v>
      </c>
      <c r="S608" s="20">
        <v>14172551</v>
      </c>
      <c r="T608" s="20"/>
      <c r="U608" s="20"/>
      <c r="V608" s="20"/>
      <c r="W608" s="20">
        <v>532566</v>
      </c>
      <c r="X608" s="20">
        <v>3968643</v>
      </c>
      <c r="Y608" s="8">
        <f t="shared" si="66"/>
        <v>8725150.3440000005</v>
      </c>
      <c r="Z608" s="36"/>
      <c r="AA608" s="36"/>
      <c r="AB608" s="36"/>
      <c r="AC608" s="36">
        <v>40000</v>
      </c>
      <c r="AD608" s="36"/>
      <c r="AE608" s="36"/>
      <c r="AF608" s="36">
        <v>3000000</v>
      </c>
      <c r="AG608" s="36"/>
      <c r="AH608" s="36">
        <v>16500</v>
      </c>
      <c r="AI608" s="36"/>
      <c r="AJ608" s="36">
        <v>25000</v>
      </c>
      <c r="AK608" s="36"/>
      <c r="AL608" s="37">
        <f t="shared" si="67"/>
        <v>3081500</v>
      </c>
      <c r="AM608" s="36"/>
      <c r="AN608" s="36"/>
      <c r="AO608" s="36"/>
      <c r="AP608" s="7"/>
      <c r="AQ608" s="38">
        <f t="shared" si="68"/>
        <v>5643650.3440000005</v>
      </c>
      <c r="AR608" s="36">
        <v>5643700</v>
      </c>
      <c r="AS608" s="18">
        <f t="shared" si="69"/>
        <v>49.655999999493361</v>
      </c>
    </row>
    <row r="609" spans="1:45" x14ac:dyDescent="0.25">
      <c r="A609" s="40">
        <v>45897</v>
      </c>
      <c r="B609" s="20">
        <v>1861.1969999999999</v>
      </c>
      <c r="C609" s="20">
        <v>3279.18</v>
      </c>
      <c r="D609" s="20">
        <v>5225</v>
      </c>
      <c r="E609" s="20">
        <v>4939</v>
      </c>
      <c r="F609" s="7">
        <f t="shared" si="63"/>
        <v>9724754.3249999993</v>
      </c>
      <c r="G609" s="7">
        <f t="shared" si="64"/>
        <v>16195870.02</v>
      </c>
      <c r="H609" s="20">
        <v>69.25</v>
      </c>
      <c r="I609" s="20">
        <v>1434000</v>
      </c>
      <c r="J609" s="20">
        <v>49</v>
      </c>
      <c r="K609" s="20">
        <v>821000</v>
      </c>
      <c r="L609" s="20">
        <v>169000</v>
      </c>
      <c r="M609" s="20"/>
      <c r="N609" s="20"/>
      <c r="O609" s="20">
        <v>0</v>
      </c>
      <c r="P609" s="20"/>
      <c r="Q609" s="19">
        <f t="shared" si="65"/>
        <v>28344624.344999999</v>
      </c>
      <c r="R609" s="20">
        <v>461200</v>
      </c>
      <c r="S609" s="20">
        <v>10491632</v>
      </c>
      <c r="T609" s="20"/>
      <c r="U609" s="20"/>
      <c r="V609" s="20"/>
      <c r="W609" s="20">
        <v>100000</v>
      </c>
      <c r="X609" s="20">
        <v>5227744</v>
      </c>
      <c r="Y609" s="8">
        <f t="shared" si="66"/>
        <v>12064048.344999999</v>
      </c>
      <c r="Z609" s="36"/>
      <c r="AA609" s="36"/>
      <c r="AB609" s="36"/>
      <c r="AC609" s="36"/>
      <c r="AD609" s="36"/>
      <c r="AE609" s="36"/>
      <c r="AF609" s="36"/>
      <c r="AG609" s="36">
        <v>1000000</v>
      </c>
      <c r="AH609" s="36">
        <v>19000</v>
      </c>
      <c r="AI609" s="36">
        <v>50000</v>
      </c>
      <c r="AJ609" s="36"/>
      <c r="AK609" s="36"/>
      <c r="AL609" s="37">
        <f t="shared" si="67"/>
        <v>1069000</v>
      </c>
      <c r="AM609" s="36"/>
      <c r="AN609" s="36"/>
      <c r="AO609" s="36"/>
      <c r="AP609" s="7"/>
      <c r="AQ609" s="38">
        <f t="shared" si="68"/>
        <v>10995048.344999999</v>
      </c>
      <c r="AR609" s="36">
        <v>10995500</v>
      </c>
      <c r="AS609" s="18">
        <f t="shared" si="69"/>
        <v>451.65500000119209</v>
      </c>
    </row>
    <row r="610" spans="1:45" x14ac:dyDescent="0.25">
      <c r="A610" s="40">
        <v>45898</v>
      </c>
      <c r="B610" s="20">
        <v>1965.9559999999999</v>
      </c>
      <c r="C610" s="20">
        <v>3094.1239999999998</v>
      </c>
      <c r="D610" s="20">
        <v>5225</v>
      </c>
      <c r="E610" s="20">
        <v>4939</v>
      </c>
      <c r="F610" s="7">
        <f t="shared" si="63"/>
        <v>10272120.1</v>
      </c>
      <c r="G610" s="7">
        <f t="shared" si="64"/>
        <v>15281878.435999999</v>
      </c>
      <c r="H610" s="20">
        <v>71.75</v>
      </c>
      <c r="I610" s="20">
        <v>1430300</v>
      </c>
      <c r="J610" s="20">
        <v>61.5</v>
      </c>
      <c r="K610" s="20">
        <v>627000</v>
      </c>
      <c r="L610" s="20">
        <v>54000</v>
      </c>
      <c r="M610" s="20"/>
      <c r="N610" s="20"/>
      <c r="O610" s="20">
        <v>1455800</v>
      </c>
      <c r="P610" s="20"/>
      <c r="Q610" s="19">
        <f t="shared" si="65"/>
        <v>29121098.535999998</v>
      </c>
      <c r="R610" s="20">
        <v>685661</v>
      </c>
      <c r="S610" s="20">
        <v>9931891</v>
      </c>
      <c r="T610" s="20"/>
      <c r="U610" s="20"/>
      <c r="V610" s="20"/>
      <c r="W610" s="20">
        <v>470000</v>
      </c>
      <c r="X610" s="20">
        <v>1956722</v>
      </c>
      <c r="Y610" s="8">
        <f t="shared" si="66"/>
        <v>16076824.535999998</v>
      </c>
      <c r="Z610" s="36"/>
      <c r="AA610" s="36"/>
      <c r="AB610" s="36"/>
      <c r="AC610" s="36"/>
      <c r="AD610" s="36">
        <v>197560</v>
      </c>
      <c r="AE610" s="36"/>
      <c r="AF610" s="36">
        <v>3000</v>
      </c>
      <c r="AG610" s="36"/>
      <c r="AH610" s="36"/>
      <c r="AI610" s="36"/>
      <c r="AJ610" s="36">
        <v>1380000</v>
      </c>
      <c r="AK610" s="36"/>
      <c r="AL610" s="37">
        <f t="shared" si="67"/>
        <v>1580560</v>
      </c>
      <c r="AM610" s="36"/>
      <c r="AN610" s="36"/>
      <c r="AO610" s="36"/>
      <c r="AP610" s="7"/>
      <c r="AQ610" s="38">
        <f t="shared" si="68"/>
        <v>14496264.535999998</v>
      </c>
      <c r="AR610" s="36">
        <v>14496300</v>
      </c>
      <c r="AS610" s="18">
        <f t="shared" si="69"/>
        <v>35.464000001549721</v>
      </c>
    </row>
    <row r="611" spans="1:45" x14ac:dyDescent="0.25">
      <c r="A611" s="40">
        <v>45899</v>
      </c>
      <c r="B611" s="20">
        <v>2605.9270000000001</v>
      </c>
      <c r="C611" s="20">
        <v>3713.6460000000002</v>
      </c>
      <c r="D611" s="20">
        <v>5225</v>
      </c>
      <c r="E611" s="20">
        <v>4939</v>
      </c>
      <c r="F611" s="7">
        <f t="shared" si="63"/>
        <v>13615968.575000001</v>
      </c>
      <c r="G611" s="7">
        <f t="shared" si="64"/>
        <v>18341697.594000001</v>
      </c>
      <c r="H611" s="20">
        <v>51.5</v>
      </c>
      <c r="I611" s="20">
        <v>1106000</v>
      </c>
      <c r="J611" s="20">
        <v>105</v>
      </c>
      <c r="K611" s="20">
        <v>1143000</v>
      </c>
      <c r="L611" s="20">
        <v>76000</v>
      </c>
      <c r="M611" s="20"/>
      <c r="N611" s="20">
        <v>58000</v>
      </c>
      <c r="O611" s="20">
        <v>10387800</v>
      </c>
      <c r="P611" s="20"/>
      <c r="Q611" s="19">
        <f t="shared" si="65"/>
        <v>44728466.169</v>
      </c>
      <c r="R611" s="20">
        <v>1678412</v>
      </c>
      <c r="S611" s="20">
        <v>12604363</v>
      </c>
      <c r="T611" s="20"/>
      <c r="U611" s="20"/>
      <c r="V611" s="20"/>
      <c r="W611" s="20">
        <v>578931</v>
      </c>
      <c r="X611" s="20">
        <v>5766770</v>
      </c>
      <c r="Y611" s="8">
        <f t="shared" si="66"/>
        <v>24099990.169</v>
      </c>
      <c r="Z611" s="36"/>
      <c r="AA611" s="36"/>
      <c r="AB611" s="36"/>
      <c r="AC611" s="36"/>
      <c r="AD611" s="36"/>
      <c r="AE611" s="36"/>
      <c r="AF611" s="36">
        <v>3000</v>
      </c>
      <c r="AG611" s="36">
        <v>2038000</v>
      </c>
      <c r="AH611" s="36"/>
      <c r="AI611" s="36"/>
      <c r="AJ611" s="36">
        <v>550000</v>
      </c>
      <c r="AK611" s="36"/>
      <c r="AL611" s="37">
        <f t="shared" si="67"/>
        <v>2591000</v>
      </c>
      <c r="AM611" s="36"/>
      <c r="AN611" s="36"/>
      <c r="AO611" s="36"/>
      <c r="AP611" s="7"/>
      <c r="AQ611" s="38">
        <f t="shared" si="68"/>
        <v>21508990.169</v>
      </c>
      <c r="AR611" s="36">
        <v>21509000</v>
      </c>
      <c r="AS611" s="18">
        <f t="shared" si="69"/>
        <v>9.8310000002384186</v>
      </c>
    </row>
    <row r="612" spans="1:45" x14ac:dyDescent="0.25">
      <c r="A612" s="40">
        <v>45900</v>
      </c>
      <c r="B612" s="20">
        <v>2068.6860000000001</v>
      </c>
      <c r="C612" s="20">
        <v>2770.8270000000002</v>
      </c>
      <c r="D612" s="20">
        <v>5225</v>
      </c>
      <c r="E612" s="20">
        <v>4939</v>
      </c>
      <c r="F612" s="7">
        <f t="shared" si="63"/>
        <v>10808884.350000001</v>
      </c>
      <c r="G612" s="7">
        <f t="shared" si="64"/>
        <v>13685114.553000001</v>
      </c>
      <c r="H612" s="20">
        <v>28</v>
      </c>
      <c r="I612" s="20">
        <v>567500</v>
      </c>
      <c r="J612" s="20">
        <v>70</v>
      </c>
      <c r="K612" s="20">
        <v>747000</v>
      </c>
      <c r="L612" s="20">
        <v>53000</v>
      </c>
      <c r="M612" s="20"/>
      <c r="N612" s="20"/>
      <c r="O612" s="20">
        <v>2114166</v>
      </c>
      <c r="P612" s="20"/>
      <c r="Q612" s="19">
        <f t="shared" si="65"/>
        <v>27975664.903000005</v>
      </c>
      <c r="R612" s="20">
        <v>394605</v>
      </c>
      <c r="S612" s="20">
        <v>9671950</v>
      </c>
      <c r="T612" s="20"/>
      <c r="U612" s="20"/>
      <c r="V612" s="20"/>
      <c r="W612" s="20">
        <v>189000</v>
      </c>
      <c r="X612" s="20">
        <v>1573062</v>
      </c>
      <c r="Y612" s="8">
        <f t="shared" si="66"/>
        <v>16147047.903000005</v>
      </c>
      <c r="Z612" s="36"/>
      <c r="AA612" s="36"/>
      <c r="AB612" s="36"/>
      <c r="AC612" s="36"/>
      <c r="AD612" s="36"/>
      <c r="AE612" s="36"/>
      <c r="AF612" s="36">
        <v>53000</v>
      </c>
      <c r="AG612" s="36"/>
      <c r="AH612" s="36"/>
      <c r="AI612" s="36"/>
      <c r="AJ612" s="36">
        <v>84000</v>
      </c>
      <c r="AK612" s="36"/>
      <c r="AL612" s="37">
        <f t="shared" si="67"/>
        <v>137000</v>
      </c>
      <c r="AM612" s="36"/>
      <c r="AN612" s="36"/>
      <c r="AO612" s="36"/>
      <c r="AP612" s="7"/>
      <c r="AQ612" s="38">
        <f t="shared" si="68"/>
        <v>16010047.903000005</v>
      </c>
      <c r="AR612" s="36">
        <v>0</v>
      </c>
      <c r="AS612" s="18">
        <f t="shared" si="69"/>
        <v>-16010047.903000005</v>
      </c>
    </row>
    <row r="613" spans="1:45" x14ac:dyDescent="0.25">
      <c r="A613" s="40">
        <v>45901</v>
      </c>
      <c r="B613" s="20">
        <v>2159.6350000000002</v>
      </c>
      <c r="C613" s="20">
        <v>1312.6869999999999</v>
      </c>
      <c r="D613" s="20">
        <v>5225</v>
      </c>
      <c r="E613" s="20">
        <v>4939</v>
      </c>
      <c r="F613" s="7">
        <f t="shared" si="63"/>
        <v>11284092.875000002</v>
      </c>
      <c r="G613" s="7">
        <f t="shared" si="64"/>
        <v>6483361.0929999994</v>
      </c>
      <c r="H613" s="20">
        <v>24.75</v>
      </c>
      <c r="I613" s="20">
        <v>505000</v>
      </c>
      <c r="J613" s="20">
        <v>82</v>
      </c>
      <c r="K613" s="20">
        <v>954500</v>
      </c>
      <c r="L613" s="20">
        <v>23000</v>
      </c>
      <c r="M613" s="20"/>
      <c r="N613" s="20">
        <v>3255700</v>
      </c>
      <c r="O613" s="20">
        <v>0</v>
      </c>
      <c r="P613" s="20"/>
      <c r="Q613" s="19">
        <f t="shared" si="65"/>
        <v>22505653.968000002</v>
      </c>
      <c r="R613" s="20">
        <v>1514977</v>
      </c>
      <c r="S613" s="20">
        <v>3042566</v>
      </c>
      <c r="T613" s="20"/>
      <c r="U613" s="20"/>
      <c r="V613" s="20"/>
      <c r="W613" s="20">
        <v>648400</v>
      </c>
      <c r="X613" s="20">
        <v>1783480</v>
      </c>
      <c r="Y613" s="8">
        <f t="shared" si="66"/>
        <v>15516230.968000002</v>
      </c>
      <c r="Z613" s="36"/>
      <c r="AA613" s="36"/>
      <c r="AB613" s="36"/>
      <c r="AC613" s="36"/>
      <c r="AD613" s="36"/>
      <c r="AE613" s="36">
        <v>1320000</v>
      </c>
      <c r="AF613" s="36"/>
      <c r="AG613" s="36"/>
      <c r="AH613" s="36"/>
      <c r="AI613" s="36"/>
      <c r="AJ613" s="36"/>
      <c r="AK613" s="36"/>
      <c r="AL613" s="37">
        <f t="shared" si="67"/>
        <v>1320000</v>
      </c>
      <c r="AM613" s="36"/>
      <c r="AN613" s="36"/>
      <c r="AO613" s="36"/>
      <c r="AP613" s="7"/>
      <c r="AQ613" s="38">
        <f t="shared" si="68"/>
        <v>14196230.968000002</v>
      </c>
      <c r="AR613" s="36">
        <v>30206300</v>
      </c>
      <c r="AS613" s="18">
        <f t="shared" si="69"/>
        <v>16010069.031999998</v>
      </c>
    </row>
    <row r="614" spans="1:45" x14ac:dyDescent="0.25">
      <c r="A614" s="40">
        <v>45902</v>
      </c>
      <c r="B614" s="20">
        <v>2536.6019999999999</v>
      </c>
      <c r="C614" s="20">
        <v>3562.7849999999999</v>
      </c>
      <c r="D614" s="20">
        <v>5225</v>
      </c>
      <c r="E614" s="20">
        <v>4939</v>
      </c>
      <c r="F614" s="7">
        <f t="shared" si="63"/>
        <v>13253745.449999999</v>
      </c>
      <c r="G614" s="7">
        <f t="shared" si="64"/>
        <v>17596595.114999998</v>
      </c>
      <c r="H614" s="20">
        <v>23.25</v>
      </c>
      <c r="I614" s="20">
        <v>485000</v>
      </c>
      <c r="J614" s="20">
        <v>61</v>
      </c>
      <c r="K614" s="20">
        <v>693500</v>
      </c>
      <c r="L614" s="20">
        <v>8000</v>
      </c>
      <c r="M614" s="20"/>
      <c r="N614" s="20">
        <v>58000</v>
      </c>
      <c r="O614" s="20">
        <v>2039331</v>
      </c>
      <c r="P614" s="20"/>
      <c r="Q614" s="19">
        <f t="shared" si="65"/>
        <v>34134171.564999998</v>
      </c>
      <c r="R614" s="20">
        <v>617659</v>
      </c>
      <c r="S614" s="20">
        <v>11995778</v>
      </c>
      <c r="T614" s="20"/>
      <c r="U614" s="20"/>
      <c r="V614" s="20"/>
      <c r="W614" s="20">
        <v>29700</v>
      </c>
      <c r="X614" s="20">
        <v>5589488</v>
      </c>
      <c r="Y614" s="8">
        <f t="shared" si="66"/>
        <v>15901546.564999998</v>
      </c>
      <c r="Z614" s="36"/>
      <c r="AA614" s="36"/>
      <c r="AB614" s="36"/>
      <c r="AC614" s="36"/>
      <c r="AD614" s="36"/>
      <c r="AE614" s="36"/>
      <c r="AF614" s="36">
        <v>3000</v>
      </c>
      <c r="AG614" s="36"/>
      <c r="AH614" s="36"/>
      <c r="AI614" s="36"/>
      <c r="AJ614" s="36">
        <v>41000</v>
      </c>
      <c r="AK614" s="36"/>
      <c r="AL614" s="37">
        <f t="shared" si="67"/>
        <v>44000</v>
      </c>
      <c r="AM614" s="36"/>
      <c r="AN614" s="36"/>
      <c r="AO614" s="36"/>
      <c r="AP614" s="7"/>
      <c r="AQ614" s="38">
        <f t="shared" si="68"/>
        <v>15857546.564999998</v>
      </c>
      <c r="AR614" s="36">
        <v>15859200</v>
      </c>
      <c r="AS614" s="18">
        <f t="shared" si="69"/>
        <v>1653.4350000023842</v>
      </c>
    </row>
    <row r="615" spans="1:45" x14ac:dyDescent="0.25">
      <c r="A615" s="40">
        <v>45903</v>
      </c>
      <c r="B615" s="20">
        <v>1754.059</v>
      </c>
      <c r="C615" s="20">
        <v>2911.8020000000001</v>
      </c>
      <c r="D615" s="20">
        <v>5185</v>
      </c>
      <c r="E615" s="20">
        <v>4939</v>
      </c>
      <c r="F615" s="7">
        <f t="shared" si="63"/>
        <v>9094795.9149999991</v>
      </c>
      <c r="G615" s="7">
        <f t="shared" si="64"/>
        <v>14381390.078</v>
      </c>
      <c r="H615" s="20">
        <v>65</v>
      </c>
      <c r="I615" s="20">
        <v>1488500</v>
      </c>
      <c r="J615" s="20">
        <v>39.5</v>
      </c>
      <c r="K615" s="20">
        <v>240000</v>
      </c>
      <c r="L615" s="20">
        <v>161000</v>
      </c>
      <c r="M615" s="20"/>
      <c r="N615" s="20"/>
      <c r="O615" s="20">
        <v>960000</v>
      </c>
      <c r="P615" s="20"/>
      <c r="Q615" s="19">
        <f t="shared" si="65"/>
        <v>26325685.993000001</v>
      </c>
      <c r="R615" s="20">
        <v>849299</v>
      </c>
      <c r="S615" s="20">
        <v>5976501</v>
      </c>
      <c r="T615" s="20"/>
      <c r="U615" s="20"/>
      <c r="V615" s="20"/>
      <c r="W615" s="20">
        <v>777700</v>
      </c>
      <c r="X615" s="20">
        <v>8515198</v>
      </c>
      <c r="Y615" s="8">
        <f t="shared" si="66"/>
        <v>10206987.993000001</v>
      </c>
      <c r="Z615" s="36"/>
      <c r="AA615" s="36"/>
      <c r="AB615" s="36"/>
      <c r="AC615" s="36">
        <v>78000</v>
      </c>
      <c r="AD615" s="36"/>
      <c r="AE615" s="36"/>
      <c r="AF615" s="36">
        <v>524000</v>
      </c>
      <c r="AG615" s="36"/>
      <c r="AH615" s="36"/>
      <c r="AI615" s="36"/>
      <c r="AJ615" s="36"/>
      <c r="AK615" s="36"/>
      <c r="AL615" s="37">
        <f t="shared" si="67"/>
        <v>602000</v>
      </c>
      <c r="AM615" s="36"/>
      <c r="AN615" s="36"/>
      <c r="AO615" s="36"/>
      <c r="AP615" s="7"/>
      <c r="AQ615" s="38">
        <f t="shared" si="68"/>
        <v>9604987.9930000007</v>
      </c>
      <c r="AR615" s="36">
        <v>9605000</v>
      </c>
      <c r="AS615" s="18">
        <f t="shared" si="69"/>
        <v>12.006999999284744</v>
      </c>
    </row>
    <row r="616" spans="1:45" x14ac:dyDescent="0.25">
      <c r="A616" s="40">
        <v>45904</v>
      </c>
      <c r="B616" s="20">
        <v>1847.027</v>
      </c>
      <c r="C616" s="20">
        <v>4978.2569999999996</v>
      </c>
      <c r="D616" s="20">
        <v>5185</v>
      </c>
      <c r="E616" s="20">
        <v>4939</v>
      </c>
      <c r="F616" s="7">
        <f t="shared" si="63"/>
        <v>9576834.995000001</v>
      </c>
      <c r="G616" s="7">
        <f t="shared" si="64"/>
        <v>24587611.322999999</v>
      </c>
      <c r="H616" s="20">
        <v>47.5</v>
      </c>
      <c r="I616" s="20">
        <v>950500</v>
      </c>
      <c r="J616" s="20">
        <v>52</v>
      </c>
      <c r="K616" s="20">
        <v>690000</v>
      </c>
      <c r="L616" s="20">
        <v>46000</v>
      </c>
      <c r="M616" s="20"/>
      <c r="N616" s="20"/>
      <c r="O616" s="20">
        <v>3297900</v>
      </c>
      <c r="P616" s="20"/>
      <c r="Q616" s="19">
        <f t="shared" si="65"/>
        <v>39148846.318000004</v>
      </c>
      <c r="R616" s="20">
        <v>2461265</v>
      </c>
      <c r="S616" s="20">
        <v>23311644</v>
      </c>
      <c r="T616" s="20"/>
      <c r="U616" s="20"/>
      <c r="V616" s="20"/>
      <c r="W616" s="20">
        <v>58000</v>
      </c>
      <c r="X616" s="20">
        <v>3829580</v>
      </c>
      <c r="Y616" s="8">
        <f t="shared" si="66"/>
        <v>9488357.3180000037</v>
      </c>
      <c r="Z616" s="36"/>
      <c r="AA616" s="36"/>
      <c r="AB616" s="36"/>
      <c r="AC616" s="36">
        <v>90000</v>
      </c>
      <c r="AD616" s="36"/>
      <c r="AE616" s="36"/>
      <c r="AF616" s="36">
        <v>1050000</v>
      </c>
      <c r="AG616" s="36"/>
      <c r="AH616" s="36">
        <v>19000</v>
      </c>
      <c r="AI616" s="36">
        <v>20000</v>
      </c>
      <c r="AJ616" s="36"/>
      <c r="AK616" s="36"/>
      <c r="AL616" s="37">
        <f t="shared" si="67"/>
        <v>1179000</v>
      </c>
      <c r="AM616" s="36"/>
      <c r="AN616" s="36"/>
      <c r="AO616" s="36"/>
      <c r="AP616" s="7"/>
      <c r="AQ616" s="38">
        <f t="shared" si="68"/>
        <v>8309357.3180000037</v>
      </c>
      <c r="AR616" s="36">
        <v>8308700</v>
      </c>
      <c r="AS616" s="18">
        <f t="shared" si="69"/>
        <v>-657.31800000369549</v>
      </c>
    </row>
    <row r="617" spans="1:45" x14ac:dyDescent="0.25">
      <c r="A617" s="40">
        <v>45905</v>
      </c>
      <c r="B617" s="20">
        <v>1991.2629999999999</v>
      </c>
      <c r="C617" s="20">
        <v>3369.77</v>
      </c>
      <c r="D617" s="20">
        <v>5185</v>
      </c>
      <c r="E617" s="20">
        <v>4939</v>
      </c>
      <c r="F617" s="7">
        <f t="shared" si="63"/>
        <v>10324698.654999999</v>
      </c>
      <c r="G617" s="7">
        <f t="shared" si="64"/>
        <v>16643294.029999999</v>
      </c>
      <c r="H617" s="20">
        <v>53</v>
      </c>
      <c r="I617" s="20">
        <v>1136500</v>
      </c>
      <c r="J617" s="20">
        <v>52</v>
      </c>
      <c r="K617" s="20">
        <v>550200</v>
      </c>
      <c r="L617" s="20">
        <v>55000</v>
      </c>
      <c r="M617" s="20"/>
      <c r="N617" s="20"/>
      <c r="O617" s="20">
        <v>0</v>
      </c>
      <c r="P617" s="20"/>
      <c r="Q617" s="19">
        <f t="shared" si="65"/>
        <v>28709692.684999999</v>
      </c>
      <c r="R617" s="20">
        <v>846738</v>
      </c>
      <c r="S617" s="20">
        <v>10299955</v>
      </c>
      <c r="T617" s="20"/>
      <c r="U617" s="20"/>
      <c r="V617" s="20"/>
      <c r="W617" s="20">
        <v>393000</v>
      </c>
      <c r="X617" s="20">
        <v>5586958</v>
      </c>
      <c r="Y617" s="8">
        <f t="shared" si="66"/>
        <v>11583041.684999999</v>
      </c>
      <c r="Z617" s="36"/>
      <c r="AA617" s="36"/>
      <c r="AB617" s="36"/>
      <c r="AC617" s="36"/>
      <c r="AD617" s="36"/>
      <c r="AE617" s="36"/>
      <c r="AF617" s="36">
        <v>3000</v>
      </c>
      <c r="AG617" s="36"/>
      <c r="AH617" s="36"/>
      <c r="AI617" s="36"/>
      <c r="AJ617" s="36"/>
      <c r="AK617" s="36"/>
      <c r="AL617" s="37">
        <f t="shared" si="67"/>
        <v>3000</v>
      </c>
      <c r="AM617" s="36"/>
      <c r="AN617" s="36"/>
      <c r="AO617" s="36"/>
      <c r="AP617" s="7"/>
      <c r="AQ617" s="38">
        <f t="shared" si="68"/>
        <v>11580041.684999999</v>
      </c>
      <c r="AR617" s="36">
        <v>11580000</v>
      </c>
      <c r="AS617" s="18">
        <f t="shared" si="69"/>
        <v>-41.684999998658895</v>
      </c>
    </row>
    <row r="618" spans="1:45" x14ac:dyDescent="0.25">
      <c r="A618" s="40">
        <v>45906</v>
      </c>
      <c r="B618" s="20">
        <v>2764.8919999999998</v>
      </c>
      <c r="C618" s="20">
        <v>2789.922</v>
      </c>
      <c r="D618" s="20">
        <v>5185</v>
      </c>
      <c r="E618" s="20">
        <v>4939</v>
      </c>
      <c r="F618" s="7">
        <f t="shared" si="63"/>
        <v>14335965.02</v>
      </c>
      <c r="G618" s="7">
        <f t="shared" si="64"/>
        <v>13779424.757999999</v>
      </c>
      <c r="H618" s="20">
        <v>47.25</v>
      </c>
      <c r="I618" s="20">
        <v>1036000</v>
      </c>
      <c r="J618" s="20">
        <v>85.5</v>
      </c>
      <c r="K618" s="20">
        <v>1176000</v>
      </c>
      <c r="L618" s="20">
        <v>101000</v>
      </c>
      <c r="M618" s="20"/>
      <c r="N618" s="20"/>
      <c r="O618" s="20">
        <v>542000</v>
      </c>
      <c r="P618" s="20"/>
      <c r="Q618" s="19">
        <f t="shared" si="65"/>
        <v>30970389.777999997</v>
      </c>
      <c r="R618" s="20">
        <v>1066506</v>
      </c>
      <c r="S618" s="20">
        <v>10100956</v>
      </c>
      <c r="T618" s="20"/>
      <c r="U618" s="20"/>
      <c r="V618" s="20"/>
      <c r="W618" s="20">
        <v>150000</v>
      </c>
      <c r="X618" s="20">
        <v>3768309</v>
      </c>
      <c r="Y618" s="8">
        <f t="shared" si="66"/>
        <v>15884618.777999997</v>
      </c>
      <c r="Z618" s="36"/>
      <c r="AA618" s="36"/>
      <c r="AB618" s="36"/>
      <c r="AC618" s="36"/>
      <c r="AD618" s="36"/>
      <c r="AE618" s="36"/>
      <c r="AF618" s="36">
        <v>5644000</v>
      </c>
      <c r="AG618" s="36"/>
      <c r="AH618" s="36">
        <v>70000</v>
      </c>
      <c r="AI618" s="36"/>
      <c r="AJ618" s="36"/>
      <c r="AK618" s="36"/>
      <c r="AL618" s="37">
        <f t="shared" si="67"/>
        <v>5714000</v>
      </c>
      <c r="AM618" s="36"/>
      <c r="AN618" s="36"/>
      <c r="AO618" s="36"/>
      <c r="AP618" s="7"/>
      <c r="AQ618" s="38">
        <f t="shared" si="68"/>
        <v>10170618.777999997</v>
      </c>
      <c r="AR618" s="36">
        <v>10170600</v>
      </c>
      <c r="AS618" s="18">
        <f t="shared" si="69"/>
        <v>-18.777999997138977</v>
      </c>
    </row>
    <row r="619" spans="1:45" x14ac:dyDescent="0.25">
      <c r="A619" s="40">
        <v>45907</v>
      </c>
      <c r="B619" s="20">
        <v>3201.5419999999999</v>
      </c>
      <c r="C619" s="20">
        <v>3374.7640000000001</v>
      </c>
      <c r="D619" s="20">
        <v>5185</v>
      </c>
      <c r="E619" s="20">
        <v>4939</v>
      </c>
      <c r="F619" s="7">
        <f t="shared" si="63"/>
        <v>16599995.27</v>
      </c>
      <c r="G619" s="7">
        <f t="shared" si="64"/>
        <v>16667959.396</v>
      </c>
      <c r="H619" s="20">
        <v>30.25</v>
      </c>
      <c r="I619" s="20">
        <v>599000</v>
      </c>
      <c r="J619" s="20">
        <v>40</v>
      </c>
      <c r="K619" s="20">
        <v>344000</v>
      </c>
      <c r="L619" s="20">
        <v>46000</v>
      </c>
      <c r="M619" s="20">
        <v>0</v>
      </c>
      <c r="N619" s="20"/>
      <c r="O619" s="20">
        <v>1529000</v>
      </c>
      <c r="P619" s="20"/>
      <c r="Q619" s="19">
        <f t="shared" si="65"/>
        <v>35785954.666000001</v>
      </c>
      <c r="R619" s="20">
        <v>1287172</v>
      </c>
      <c r="S619" s="20">
        <v>8682985</v>
      </c>
      <c r="T619" s="20"/>
      <c r="U619" s="20"/>
      <c r="V619" s="20"/>
      <c r="W619" s="20">
        <v>920420</v>
      </c>
      <c r="X619" s="20">
        <v>6505875</v>
      </c>
      <c r="Y619" s="8">
        <f t="shared" si="66"/>
        <v>18389502.666000001</v>
      </c>
      <c r="Z619" s="36"/>
      <c r="AA619" s="36"/>
      <c r="AB619" s="36"/>
      <c r="AC619" s="36">
        <v>20000</v>
      </c>
      <c r="AD619" s="36"/>
      <c r="AE619" s="36"/>
      <c r="AF619" s="36">
        <v>5796000</v>
      </c>
      <c r="AG619" s="36"/>
      <c r="AH619" s="36"/>
      <c r="AI619" s="36"/>
      <c r="AJ619" s="36"/>
      <c r="AK619" s="36"/>
      <c r="AL619" s="37">
        <f t="shared" si="67"/>
        <v>5816000</v>
      </c>
      <c r="AM619" s="36"/>
      <c r="AN619" s="36"/>
      <c r="AO619" s="36"/>
      <c r="AP619" s="7"/>
      <c r="AQ619" s="38">
        <f t="shared" si="68"/>
        <v>12573502.666000001</v>
      </c>
      <c r="AR619" s="36">
        <v>12573500</v>
      </c>
      <c r="AS619" s="18">
        <f t="shared" si="69"/>
        <v>-2.6660000011324883</v>
      </c>
    </row>
    <row r="620" spans="1:45" x14ac:dyDescent="0.25">
      <c r="A620" s="40">
        <v>45908</v>
      </c>
      <c r="B620" s="20">
        <v>2226.6390000000001</v>
      </c>
      <c r="C620" s="20">
        <v>1312.242</v>
      </c>
      <c r="D620" s="20">
        <v>5185</v>
      </c>
      <c r="E620" s="20">
        <v>4939</v>
      </c>
      <c r="F620" s="7">
        <f t="shared" si="63"/>
        <v>11545123.215</v>
      </c>
      <c r="G620" s="7">
        <f t="shared" si="64"/>
        <v>6481163.2379999999</v>
      </c>
      <c r="H620" s="20">
        <v>75</v>
      </c>
      <c r="I620" s="20">
        <v>1615000</v>
      </c>
      <c r="J620" s="20">
        <v>27.5</v>
      </c>
      <c r="K620" s="20">
        <v>239000</v>
      </c>
      <c r="L620" s="20">
        <v>279000</v>
      </c>
      <c r="M620" s="20"/>
      <c r="N620" s="20"/>
      <c r="O620" s="20">
        <v>50000</v>
      </c>
      <c r="P620" s="20"/>
      <c r="Q620" s="19">
        <f t="shared" si="65"/>
        <v>20209286.453000002</v>
      </c>
      <c r="R620" s="20">
        <v>1472246</v>
      </c>
      <c r="S620" s="20">
        <v>3403526</v>
      </c>
      <c r="T620" s="20"/>
      <c r="U620" s="20"/>
      <c r="V620" s="20"/>
      <c r="W620" s="20">
        <v>143000</v>
      </c>
      <c r="X620" s="20">
        <v>3230766</v>
      </c>
      <c r="Y620" s="8">
        <f t="shared" si="66"/>
        <v>11959748.453000002</v>
      </c>
      <c r="Z620" s="36"/>
      <c r="AA620" s="36"/>
      <c r="AB620" s="36"/>
      <c r="AC620" s="36"/>
      <c r="AD620" s="36"/>
      <c r="AE620" s="36"/>
      <c r="AF620" s="36">
        <v>5050000</v>
      </c>
      <c r="AG620" s="36"/>
      <c r="AH620" s="36"/>
      <c r="AI620" s="36"/>
      <c r="AJ620" s="36"/>
      <c r="AK620" s="36"/>
      <c r="AL620" s="37">
        <f t="shared" si="67"/>
        <v>5050000</v>
      </c>
      <c r="AM620" s="36"/>
      <c r="AN620" s="36"/>
      <c r="AO620" s="36"/>
      <c r="AP620" s="7"/>
      <c r="AQ620" s="38">
        <f t="shared" si="68"/>
        <v>6909748.4530000016</v>
      </c>
      <c r="AR620" s="36">
        <v>6909800</v>
      </c>
      <c r="AS620" s="18">
        <v>23</v>
      </c>
    </row>
    <row r="621" spans="1:45" x14ac:dyDescent="0.25">
      <c r="A621" s="40">
        <v>45909</v>
      </c>
      <c r="B621" s="20">
        <v>2348.8539999999998</v>
      </c>
      <c r="C621" s="20">
        <v>1968.7739999999999</v>
      </c>
      <c r="D621" s="20">
        <v>5185</v>
      </c>
      <c r="E621" s="20">
        <v>4939</v>
      </c>
      <c r="F621" s="7">
        <f t="shared" si="63"/>
        <v>12178807.989999998</v>
      </c>
      <c r="G621" s="7">
        <f t="shared" si="64"/>
        <v>9723774.7860000003</v>
      </c>
      <c r="H621" s="20">
        <v>49.25</v>
      </c>
      <c r="I621" s="20">
        <v>1016500</v>
      </c>
      <c r="J621" s="20">
        <v>58.5</v>
      </c>
      <c r="K621" s="20">
        <v>522000</v>
      </c>
      <c r="L621" s="20">
        <v>46000</v>
      </c>
      <c r="M621" s="20"/>
      <c r="N621" s="20"/>
      <c r="O621" s="20">
        <v>9354500</v>
      </c>
      <c r="P621" s="20"/>
      <c r="Q621" s="19">
        <f t="shared" si="65"/>
        <v>32841582.776000001</v>
      </c>
      <c r="R621" s="20">
        <v>1959682</v>
      </c>
      <c r="S621" s="20">
        <v>6087685</v>
      </c>
      <c r="T621" s="20"/>
      <c r="U621" s="20"/>
      <c r="V621" s="20"/>
      <c r="W621" s="20">
        <v>50000</v>
      </c>
      <c r="X621" s="20">
        <v>4351508</v>
      </c>
      <c r="Y621" s="8">
        <f t="shared" si="66"/>
        <v>20392707.776000001</v>
      </c>
      <c r="Z621" s="36"/>
      <c r="AA621" s="36"/>
      <c r="AB621" s="36"/>
      <c r="AC621" s="36"/>
      <c r="AD621" s="36"/>
      <c r="AE621" s="36"/>
      <c r="AF621" s="36">
        <v>3000</v>
      </c>
      <c r="AG621" s="36"/>
      <c r="AH621" s="36"/>
      <c r="AI621" s="36"/>
      <c r="AJ621" s="36">
        <v>231000</v>
      </c>
      <c r="AK621" s="36"/>
      <c r="AL621" s="37">
        <f t="shared" si="67"/>
        <v>234000</v>
      </c>
      <c r="AM621" s="36"/>
      <c r="AN621" s="36"/>
      <c r="AO621" s="36"/>
      <c r="AP621" s="7"/>
      <c r="AQ621" s="38">
        <f t="shared" si="68"/>
        <v>20158707.776000001</v>
      </c>
      <c r="AR621" s="36">
        <v>20158700</v>
      </c>
      <c r="AS621" s="18">
        <f t="shared" si="69"/>
        <v>-7.7760000005364418</v>
      </c>
    </row>
    <row r="622" spans="1:45" x14ac:dyDescent="0.25">
      <c r="A622" s="40">
        <v>45910</v>
      </c>
      <c r="B622" s="20">
        <v>2341.1089999999999</v>
      </c>
      <c r="C622" s="20">
        <v>5741.3320000000003</v>
      </c>
      <c r="D622" s="20">
        <v>5185</v>
      </c>
      <c r="E622" s="20">
        <v>4939</v>
      </c>
      <c r="F622" s="7">
        <f t="shared" si="63"/>
        <v>12138650.164999999</v>
      </c>
      <c r="G622" s="7">
        <f t="shared" si="64"/>
        <v>28356438.748000003</v>
      </c>
      <c r="H622" s="20">
        <v>75</v>
      </c>
      <c r="I622" s="20">
        <v>1473000</v>
      </c>
      <c r="J622" s="20">
        <v>36.5</v>
      </c>
      <c r="K622" s="20">
        <v>317000</v>
      </c>
      <c r="L622" s="20">
        <v>116000</v>
      </c>
      <c r="M622" s="20"/>
      <c r="N622" s="20"/>
      <c r="O622" s="20">
        <v>1935420</v>
      </c>
      <c r="P622" s="20"/>
      <c r="Q622" s="19">
        <f t="shared" si="65"/>
        <v>44336508.913000003</v>
      </c>
      <c r="R622" s="20">
        <v>1421666</v>
      </c>
      <c r="S622" s="20">
        <v>24876213</v>
      </c>
      <c r="T622" s="20"/>
      <c r="U622" s="20"/>
      <c r="V622" s="20"/>
      <c r="W622" s="20">
        <v>426950</v>
      </c>
      <c r="X622" s="20">
        <v>9382073</v>
      </c>
      <c r="Y622" s="8">
        <f t="shared" si="66"/>
        <v>8229606.9130000025</v>
      </c>
      <c r="Z622" s="36"/>
      <c r="AA622" s="36"/>
      <c r="AB622" s="36"/>
      <c r="AC622" s="36"/>
      <c r="AD622" s="36"/>
      <c r="AE622" s="36"/>
      <c r="AF622" s="36">
        <v>3000</v>
      </c>
      <c r="AG622" s="36"/>
      <c r="AH622" s="36"/>
      <c r="AI622" s="36"/>
      <c r="AJ622" s="36">
        <v>200000</v>
      </c>
      <c r="AK622" s="36"/>
      <c r="AL622" s="37">
        <f t="shared" si="67"/>
        <v>203000</v>
      </c>
      <c r="AM622" s="36"/>
      <c r="AN622" s="36"/>
      <c r="AO622" s="36"/>
      <c r="AP622" s="7"/>
      <c r="AQ622" s="38">
        <f t="shared" si="68"/>
        <v>8026606.9130000025</v>
      </c>
      <c r="AR622" s="36">
        <v>8026600</v>
      </c>
      <c r="AS622" s="18">
        <f t="shared" si="69"/>
        <v>-6.9130000025033951</v>
      </c>
    </row>
    <row r="623" spans="1:45" x14ac:dyDescent="0.25">
      <c r="A623" s="40">
        <v>45911</v>
      </c>
      <c r="B623" s="20">
        <v>2385.8020000000001</v>
      </c>
      <c r="C623" s="20">
        <v>2841.73</v>
      </c>
      <c r="D623" s="20">
        <v>5185</v>
      </c>
      <c r="E623" s="20">
        <v>4939</v>
      </c>
      <c r="F623" s="7">
        <f t="shared" si="63"/>
        <v>12370383.370000001</v>
      </c>
      <c r="G623" s="7">
        <f t="shared" si="64"/>
        <v>14035304.470000001</v>
      </c>
      <c r="H623" s="20">
        <v>87.25</v>
      </c>
      <c r="I623" s="20">
        <v>1860500</v>
      </c>
      <c r="J623" s="20">
        <v>42.5</v>
      </c>
      <c r="K623" s="20">
        <v>370000</v>
      </c>
      <c r="L623" s="20">
        <v>90000</v>
      </c>
      <c r="M623" s="20"/>
      <c r="N623" s="20"/>
      <c r="O623" s="20"/>
      <c r="P623" s="20"/>
      <c r="Q623" s="19">
        <f t="shared" si="65"/>
        <v>28726187.840000004</v>
      </c>
      <c r="R623" s="20">
        <v>753344</v>
      </c>
      <c r="S623" s="20">
        <v>12695962</v>
      </c>
      <c r="T623" s="20"/>
      <c r="U623" s="20"/>
      <c r="V623" s="20"/>
      <c r="W623" s="20">
        <v>100000</v>
      </c>
      <c r="X623" s="20">
        <v>5643778</v>
      </c>
      <c r="Y623" s="8">
        <f t="shared" si="66"/>
        <v>9533103.8400000036</v>
      </c>
      <c r="Z623" s="36"/>
      <c r="AA623" s="36"/>
      <c r="AB623" s="36">
        <v>643100</v>
      </c>
      <c r="AC623" s="36">
        <v>44000</v>
      </c>
      <c r="AD623" s="36"/>
      <c r="AE623" s="36"/>
      <c r="AF623" s="36">
        <v>54000</v>
      </c>
      <c r="AG623" s="36"/>
      <c r="AH623" s="36"/>
      <c r="AI623" s="36"/>
      <c r="AJ623" s="36">
        <v>790000</v>
      </c>
      <c r="AK623" s="36"/>
      <c r="AL623" s="37">
        <f t="shared" si="67"/>
        <v>1531100</v>
      </c>
      <c r="AM623" s="36"/>
      <c r="AN623" s="36"/>
      <c r="AO623" s="36"/>
      <c r="AP623" s="7"/>
      <c r="AQ623" s="38">
        <f t="shared" si="68"/>
        <v>8002003.8400000036</v>
      </c>
      <c r="AR623" s="36">
        <v>8020000</v>
      </c>
      <c r="AS623" s="18">
        <f t="shared" si="69"/>
        <v>17996.159999996424</v>
      </c>
    </row>
    <row r="624" spans="1:45" x14ac:dyDescent="0.25">
      <c r="A624" s="40">
        <v>45912</v>
      </c>
      <c r="B624" s="20">
        <v>2261.96</v>
      </c>
      <c r="C624" s="20">
        <v>4287.7330000000002</v>
      </c>
      <c r="D624" s="20">
        <v>5185</v>
      </c>
      <c r="E624" s="20">
        <v>4939</v>
      </c>
      <c r="F624" s="7">
        <f t="shared" si="63"/>
        <v>11728262.6</v>
      </c>
      <c r="G624" s="7">
        <f t="shared" si="64"/>
        <v>21177113.287</v>
      </c>
      <c r="H624" s="20">
        <v>70</v>
      </c>
      <c r="I624" s="20">
        <v>1492000</v>
      </c>
      <c r="J624" s="20">
        <v>33.5</v>
      </c>
      <c r="K624" s="20">
        <v>292000</v>
      </c>
      <c r="L624" s="20">
        <v>23000</v>
      </c>
      <c r="M624" s="20"/>
      <c r="N624" s="20"/>
      <c r="O624" s="20">
        <v>100000</v>
      </c>
      <c r="P624" s="20"/>
      <c r="Q624" s="19">
        <f t="shared" si="65"/>
        <v>34812375.887000002</v>
      </c>
      <c r="R624" s="20">
        <v>1708012</v>
      </c>
      <c r="S624" s="20">
        <v>16393678</v>
      </c>
      <c r="T624" s="20"/>
      <c r="U624" s="20"/>
      <c r="V624" s="20"/>
      <c r="W624" s="20">
        <v>240000</v>
      </c>
      <c r="X624" s="20">
        <v>9435807</v>
      </c>
      <c r="Y624" s="8">
        <f t="shared" si="66"/>
        <v>7034878.887000002</v>
      </c>
      <c r="Z624" s="36"/>
      <c r="AA624" s="36"/>
      <c r="AB624" s="36"/>
      <c r="AC624" s="36">
        <v>35000</v>
      </c>
      <c r="AD624" s="36"/>
      <c r="AE624" s="36"/>
      <c r="AF624" s="36">
        <v>4000</v>
      </c>
      <c r="AG624" s="36"/>
      <c r="AH624" s="36">
        <v>49000</v>
      </c>
      <c r="AI624" s="36"/>
      <c r="AJ624" s="36"/>
      <c r="AK624" s="36"/>
      <c r="AL624" s="37">
        <f t="shared" si="67"/>
        <v>88000</v>
      </c>
      <c r="AM624" s="36"/>
      <c r="AN624" s="36"/>
      <c r="AO624" s="36"/>
      <c r="AP624" s="7"/>
      <c r="AQ624" s="38">
        <f t="shared" si="68"/>
        <v>6946878.887000002</v>
      </c>
      <c r="AR624" s="36">
        <v>6945700</v>
      </c>
      <c r="AS624" s="18">
        <f t="shared" si="69"/>
        <v>-1178.887000001967</v>
      </c>
    </row>
    <row r="625" spans="1:45" x14ac:dyDescent="0.25">
      <c r="A625" s="40">
        <v>45913</v>
      </c>
      <c r="B625" s="20">
        <v>2670.2130000000002</v>
      </c>
      <c r="C625" s="20">
        <v>4753.2160000000003</v>
      </c>
      <c r="D625" s="20">
        <v>5185</v>
      </c>
      <c r="E625" s="20">
        <v>4939</v>
      </c>
      <c r="F625" s="7">
        <f t="shared" si="63"/>
        <v>13845054.405000001</v>
      </c>
      <c r="G625" s="7">
        <f t="shared" si="64"/>
        <v>23476133.824000001</v>
      </c>
      <c r="H625" s="20">
        <v>89</v>
      </c>
      <c r="I625" s="20">
        <v>1923000</v>
      </c>
      <c r="J625" s="20">
        <v>134.5</v>
      </c>
      <c r="K625" s="20">
        <v>963000</v>
      </c>
      <c r="L625" s="20">
        <v>15000</v>
      </c>
      <c r="M625" s="20"/>
      <c r="N625" s="20"/>
      <c r="O625" s="20">
        <v>643900</v>
      </c>
      <c r="P625" s="20"/>
      <c r="Q625" s="19">
        <f t="shared" si="65"/>
        <v>40866088.229000002</v>
      </c>
      <c r="R625" s="20">
        <v>3321482</v>
      </c>
      <c r="S625" s="20">
        <v>15307149</v>
      </c>
      <c r="T625" s="20"/>
      <c r="U625" s="20"/>
      <c r="V625" s="20"/>
      <c r="W625" s="20">
        <v>160000</v>
      </c>
      <c r="X625" s="20">
        <v>10476750</v>
      </c>
      <c r="Y625" s="8">
        <f t="shared" si="66"/>
        <v>11600707.229000002</v>
      </c>
      <c r="Z625" s="36"/>
      <c r="AA625" s="36"/>
      <c r="AB625" s="36"/>
      <c r="AC625" s="36"/>
      <c r="AD625" s="36"/>
      <c r="AE625" s="36"/>
      <c r="AF625" s="36">
        <v>26000</v>
      </c>
      <c r="AG625" s="36"/>
      <c r="AH625" s="36">
        <v>19500</v>
      </c>
      <c r="AI625" s="36">
        <v>30000</v>
      </c>
      <c r="AJ625" s="36">
        <v>4900000</v>
      </c>
      <c r="AK625" s="36"/>
      <c r="AL625" s="37">
        <f t="shared" si="67"/>
        <v>4975500</v>
      </c>
      <c r="AM625" s="36"/>
      <c r="AN625" s="36"/>
      <c r="AO625" s="36"/>
      <c r="AP625" s="7"/>
      <c r="AQ625" s="38">
        <f t="shared" si="68"/>
        <v>6625207.2290000021</v>
      </c>
      <c r="AR625" s="36">
        <v>6625200</v>
      </c>
      <c r="AS625" s="18">
        <f t="shared" si="69"/>
        <v>-7.2290000021457672</v>
      </c>
    </row>
    <row r="626" spans="1:45" x14ac:dyDescent="0.25">
      <c r="A626" s="40">
        <v>45914</v>
      </c>
      <c r="B626" s="20">
        <v>2810.9450000000002</v>
      </c>
      <c r="C626" s="20">
        <v>3796.99</v>
      </c>
      <c r="D626" s="20">
        <v>5185</v>
      </c>
      <c r="E626" s="20">
        <v>4939</v>
      </c>
      <c r="F626" s="7">
        <f t="shared" si="63"/>
        <v>14574749.825000001</v>
      </c>
      <c r="G626" s="7">
        <f t="shared" si="64"/>
        <v>18753333.609999999</v>
      </c>
      <c r="H626" s="20">
        <v>104.25</v>
      </c>
      <c r="I626" s="20">
        <v>2291000</v>
      </c>
      <c r="J626" s="20">
        <v>25.5</v>
      </c>
      <c r="K626" s="20">
        <v>376500</v>
      </c>
      <c r="L626" s="20">
        <v>78000</v>
      </c>
      <c r="M626" s="20"/>
      <c r="N626" s="20"/>
      <c r="O626" s="20"/>
      <c r="P626" s="20"/>
      <c r="Q626" s="19">
        <f t="shared" si="65"/>
        <v>36073583.435000002</v>
      </c>
      <c r="R626" s="20">
        <v>1675611</v>
      </c>
      <c r="S626" s="20">
        <v>16311047</v>
      </c>
      <c r="T626" s="20"/>
      <c r="U626" s="20"/>
      <c r="V626" s="20"/>
      <c r="W626" s="20">
        <v>0</v>
      </c>
      <c r="X626" s="20">
        <v>8767248</v>
      </c>
      <c r="Y626" s="8">
        <f t="shared" si="66"/>
        <v>9319677.4350000024</v>
      </c>
      <c r="Z626" s="36">
        <v>1110754</v>
      </c>
      <c r="AA626" s="36"/>
      <c r="AB626" s="36"/>
      <c r="AC626" s="36"/>
      <c r="AD626" s="36"/>
      <c r="AE626" s="36"/>
      <c r="AF626" s="36">
        <v>4000</v>
      </c>
      <c r="AG626" s="36"/>
      <c r="AH626" s="36"/>
      <c r="AI626" s="36"/>
      <c r="AJ626" s="36"/>
      <c r="AK626" s="36"/>
      <c r="AL626" s="37">
        <f t="shared" si="67"/>
        <v>1114754</v>
      </c>
      <c r="AM626" s="36"/>
      <c r="AN626" s="36"/>
      <c r="AO626" s="36"/>
      <c r="AP626" s="7"/>
      <c r="AQ626" s="38">
        <f t="shared" si="68"/>
        <v>8204923.4350000024</v>
      </c>
      <c r="AR626" s="36">
        <v>8204900</v>
      </c>
      <c r="AS626" s="18">
        <f t="shared" si="69"/>
        <v>-23.435000002384186</v>
      </c>
    </row>
    <row r="627" spans="1:45" x14ac:dyDescent="0.25">
      <c r="A627" s="40">
        <v>45915</v>
      </c>
      <c r="B627" s="20">
        <v>2400.779</v>
      </c>
      <c r="C627" s="20">
        <v>1805.232</v>
      </c>
      <c r="D627" s="20">
        <v>5185</v>
      </c>
      <c r="E627" s="20">
        <v>4939</v>
      </c>
      <c r="F627" s="7">
        <f t="shared" si="63"/>
        <v>12448039.115</v>
      </c>
      <c r="G627" s="7">
        <f t="shared" si="64"/>
        <v>8916040.8479999993</v>
      </c>
      <c r="H627" s="20">
        <v>106</v>
      </c>
      <c r="I627" s="20">
        <v>2203000</v>
      </c>
      <c r="J627" s="20">
        <v>75.5</v>
      </c>
      <c r="K627" s="20">
        <v>928000</v>
      </c>
      <c r="L627" s="20">
        <v>53000</v>
      </c>
      <c r="M627" s="20"/>
      <c r="N627" s="20"/>
      <c r="O627" s="20"/>
      <c r="P627" s="20"/>
      <c r="Q627" s="19">
        <f t="shared" si="65"/>
        <v>24548079.963</v>
      </c>
      <c r="R627" s="20">
        <v>1293355</v>
      </c>
      <c r="S627" s="20">
        <v>6180949</v>
      </c>
      <c r="T627" s="20"/>
      <c r="U627" s="20"/>
      <c r="V627" s="20"/>
      <c r="W627" s="20">
        <v>100000</v>
      </c>
      <c r="X627" s="20">
        <v>4292541</v>
      </c>
      <c r="Y627" s="8">
        <f t="shared" si="66"/>
        <v>12681234.963</v>
      </c>
      <c r="Z627" s="36"/>
      <c r="AA627" s="36"/>
      <c r="AB627" s="36"/>
      <c r="AC627" s="36"/>
      <c r="AD627" s="36"/>
      <c r="AE627" s="36"/>
      <c r="AF627" s="36">
        <v>3520000</v>
      </c>
      <c r="AG627" s="36"/>
      <c r="AH627" s="36"/>
      <c r="AI627" s="36"/>
      <c r="AJ627" s="36">
        <v>200000</v>
      </c>
      <c r="AK627" s="36"/>
      <c r="AL627" s="37">
        <f t="shared" si="67"/>
        <v>3720000</v>
      </c>
      <c r="AM627" s="36"/>
      <c r="AN627" s="36"/>
      <c r="AO627" s="36"/>
      <c r="AP627" s="7"/>
      <c r="AQ627" s="38">
        <f t="shared" si="68"/>
        <v>8961234.9629999995</v>
      </c>
      <c r="AR627" s="36">
        <v>8961100</v>
      </c>
      <c r="AS627" s="18">
        <f t="shared" si="69"/>
        <v>-134.96299999952316</v>
      </c>
    </row>
    <row r="628" spans="1:45" x14ac:dyDescent="0.25">
      <c r="A628" s="40">
        <v>45916</v>
      </c>
      <c r="B628" s="20">
        <v>3372.9540000000002</v>
      </c>
      <c r="C628" s="20">
        <v>4779.3670000000002</v>
      </c>
      <c r="D628" s="20">
        <v>5185</v>
      </c>
      <c r="E628" s="20">
        <v>4939</v>
      </c>
      <c r="F628" s="7">
        <f t="shared" si="63"/>
        <v>17488766.490000002</v>
      </c>
      <c r="G628" s="7">
        <f t="shared" si="64"/>
        <v>23605293.613000002</v>
      </c>
      <c r="H628" s="20">
        <v>72.25</v>
      </c>
      <c r="I628" s="20">
        <v>1512500</v>
      </c>
      <c r="J628" s="20">
        <v>68.5</v>
      </c>
      <c r="K628" s="20">
        <v>689500</v>
      </c>
      <c r="L628" s="20">
        <v>32000</v>
      </c>
      <c r="M628" s="20"/>
      <c r="N628" s="20"/>
      <c r="O628" s="20"/>
      <c r="P628" s="20"/>
      <c r="Q628" s="19">
        <f t="shared" si="65"/>
        <v>43328060.103</v>
      </c>
      <c r="R628" s="20">
        <v>1005447</v>
      </c>
      <c r="S628" s="20">
        <v>13165737</v>
      </c>
      <c r="T628" s="20"/>
      <c r="U628" s="20"/>
      <c r="V628" s="20"/>
      <c r="W628" s="20">
        <v>49500</v>
      </c>
      <c r="X628" s="20">
        <v>16717383</v>
      </c>
      <c r="Y628" s="8">
        <f t="shared" si="66"/>
        <v>12389993.103</v>
      </c>
      <c r="Z628" s="36"/>
      <c r="AA628" s="36"/>
      <c r="AB628" s="36"/>
      <c r="AC628" s="36"/>
      <c r="AD628" s="36"/>
      <c r="AE628" s="36">
        <v>120000</v>
      </c>
      <c r="AF628" s="36">
        <v>7000</v>
      </c>
      <c r="AG628" s="36"/>
      <c r="AH628" s="36"/>
      <c r="AI628" s="36"/>
      <c r="AJ628" s="36">
        <v>500000</v>
      </c>
      <c r="AK628" s="36"/>
      <c r="AL628" s="37">
        <f t="shared" si="67"/>
        <v>627000</v>
      </c>
      <c r="AM628" s="36"/>
      <c r="AN628" s="36"/>
      <c r="AO628" s="36"/>
      <c r="AP628" s="7"/>
      <c r="AQ628" s="38">
        <f t="shared" si="68"/>
        <v>11762993.103</v>
      </c>
      <c r="AR628" s="36">
        <v>11763000</v>
      </c>
      <c r="AS628" s="18">
        <f t="shared" si="69"/>
        <v>6.8969999998807907</v>
      </c>
    </row>
    <row r="629" spans="1:45" x14ac:dyDescent="0.25">
      <c r="A629" s="40">
        <v>45917</v>
      </c>
      <c r="B629" s="20">
        <v>2085.4699999999998</v>
      </c>
      <c r="C629" s="20">
        <v>3035.886</v>
      </c>
      <c r="D629" s="20">
        <v>5185</v>
      </c>
      <c r="E629" s="20">
        <v>4939</v>
      </c>
      <c r="F629" s="7">
        <f t="shared" si="63"/>
        <v>10813161.949999999</v>
      </c>
      <c r="G629" s="7">
        <f t="shared" si="64"/>
        <v>14994240.954</v>
      </c>
      <c r="H629" s="20">
        <v>32.5</v>
      </c>
      <c r="I629" s="20">
        <v>658000</v>
      </c>
      <c r="J629" s="20">
        <v>39.5</v>
      </c>
      <c r="K629" s="20">
        <v>490000</v>
      </c>
      <c r="L629" s="20">
        <v>46000</v>
      </c>
      <c r="M629" s="20">
        <v>100000</v>
      </c>
      <c r="N629" s="20">
        <v>35700</v>
      </c>
      <c r="O629" s="20">
        <v>1676950</v>
      </c>
      <c r="P629" s="20"/>
      <c r="Q629" s="19">
        <f t="shared" si="65"/>
        <v>28814052.903999999</v>
      </c>
      <c r="R629" s="20">
        <v>891568</v>
      </c>
      <c r="S629" s="20">
        <v>10803374</v>
      </c>
      <c r="T629" s="20"/>
      <c r="U629" s="20"/>
      <c r="V629" s="20"/>
      <c r="W629" s="20">
        <v>50000</v>
      </c>
      <c r="X629" s="20">
        <v>7759530</v>
      </c>
      <c r="Y629" s="8">
        <f t="shared" si="66"/>
        <v>9309580.9039999992</v>
      </c>
      <c r="Z629" s="36"/>
      <c r="AA629" s="36"/>
      <c r="AB629" s="36"/>
      <c r="AC629" s="36">
        <v>5000</v>
      </c>
      <c r="AD629" s="36"/>
      <c r="AE629" s="36"/>
      <c r="AF629" s="36">
        <v>4000</v>
      </c>
      <c r="AG629" s="36">
        <v>121500</v>
      </c>
      <c r="AH629" s="36"/>
      <c r="AI629" s="36"/>
      <c r="AJ629" s="36">
        <v>40000</v>
      </c>
      <c r="AK629" s="36"/>
      <c r="AL629" s="37">
        <f t="shared" si="67"/>
        <v>170500</v>
      </c>
      <c r="AM629" s="36"/>
      <c r="AN629" s="36"/>
      <c r="AO629" s="36"/>
      <c r="AP629" s="7"/>
      <c r="AQ629" s="38">
        <f t="shared" si="68"/>
        <v>9139080.9039999992</v>
      </c>
      <c r="AR629" s="36">
        <v>9141600</v>
      </c>
      <c r="AS629" s="18">
        <f t="shared" si="69"/>
        <v>2519.0960000008345</v>
      </c>
    </row>
    <row r="630" spans="1:45" x14ac:dyDescent="0.25">
      <c r="A630" s="40">
        <v>45918</v>
      </c>
      <c r="B630" s="20">
        <v>2292.6799999999998</v>
      </c>
      <c r="C630" s="20">
        <v>3746.8240000000001</v>
      </c>
      <c r="D630" s="20">
        <v>5185</v>
      </c>
      <c r="E630" s="20">
        <v>4939</v>
      </c>
      <c r="F630" s="7">
        <f t="shared" si="63"/>
        <v>11887545.799999999</v>
      </c>
      <c r="G630" s="7">
        <f t="shared" si="64"/>
        <v>18505563.736000001</v>
      </c>
      <c r="H630" s="20">
        <v>76.25</v>
      </c>
      <c r="I630" s="20">
        <v>1513000</v>
      </c>
      <c r="J630" s="20">
        <v>101.5</v>
      </c>
      <c r="K630" s="20">
        <v>894000</v>
      </c>
      <c r="L630" s="20">
        <v>53000</v>
      </c>
      <c r="M630" s="20"/>
      <c r="N630" s="20"/>
      <c r="O630" s="20">
        <v>5602700</v>
      </c>
      <c r="P630" s="20"/>
      <c r="Q630" s="19">
        <f t="shared" si="65"/>
        <v>38455809.535999998</v>
      </c>
      <c r="R630" s="20">
        <v>781589</v>
      </c>
      <c r="S630" s="20">
        <v>12160734</v>
      </c>
      <c r="T630" s="20"/>
      <c r="U630" s="20"/>
      <c r="V630" s="20"/>
      <c r="W630" s="20">
        <v>283595</v>
      </c>
      <c r="X630" s="20">
        <v>6281763</v>
      </c>
      <c r="Y630" s="8">
        <f t="shared" si="66"/>
        <v>18948128.535999998</v>
      </c>
      <c r="Z630" s="36"/>
      <c r="AA630" s="36"/>
      <c r="AB630" s="36"/>
      <c r="AC630" s="36"/>
      <c r="AD630" s="36"/>
      <c r="AE630" s="36"/>
      <c r="AF630" s="36">
        <v>4000</v>
      </c>
      <c r="AG630" s="36"/>
      <c r="AH630" s="36"/>
      <c r="AI630" s="36">
        <v>10000</v>
      </c>
      <c r="AJ630" s="36">
        <v>1236500</v>
      </c>
      <c r="AK630" s="36"/>
      <c r="AL630" s="37">
        <f t="shared" si="67"/>
        <v>1250500</v>
      </c>
      <c r="AM630" s="36"/>
      <c r="AN630" s="36"/>
      <c r="AO630" s="36"/>
      <c r="AP630" s="7"/>
      <c r="AQ630" s="38">
        <f t="shared" si="68"/>
        <v>17697628.535999998</v>
      </c>
      <c r="AR630" s="36">
        <v>17698600</v>
      </c>
      <c r="AS630" s="18">
        <f t="shared" si="69"/>
        <v>971.46400000154972</v>
      </c>
    </row>
    <row r="631" spans="1:45" x14ac:dyDescent="0.25">
      <c r="A631" s="40">
        <v>45919</v>
      </c>
      <c r="B631" s="20">
        <v>2072.3490000000002</v>
      </c>
      <c r="C631" s="20">
        <v>4542.2160000000003</v>
      </c>
      <c r="D631" s="20">
        <v>5185</v>
      </c>
      <c r="E631" s="20">
        <v>4939</v>
      </c>
      <c r="F631" s="7">
        <f t="shared" si="63"/>
        <v>10745129.565000001</v>
      </c>
      <c r="G631" s="7">
        <f t="shared" si="64"/>
        <v>22434004.824000001</v>
      </c>
      <c r="H631" s="20">
        <v>55.25</v>
      </c>
      <c r="I631" s="20">
        <v>1115000</v>
      </c>
      <c r="J631" s="20">
        <v>48.5</v>
      </c>
      <c r="K631" s="20">
        <v>439000</v>
      </c>
      <c r="L631" s="20">
        <v>60000</v>
      </c>
      <c r="M631" s="20"/>
      <c r="N631" s="20"/>
      <c r="O631" s="20">
        <v>2553095</v>
      </c>
      <c r="P631" s="20"/>
      <c r="Q631" s="19">
        <f t="shared" si="65"/>
        <v>37346229.388999999</v>
      </c>
      <c r="R631" s="20">
        <v>956650</v>
      </c>
      <c r="S631" s="20">
        <v>14492082</v>
      </c>
      <c r="T631" s="20"/>
      <c r="U631" s="20"/>
      <c r="V631" s="20"/>
      <c r="W631" s="20">
        <v>100000</v>
      </c>
      <c r="X631" s="20">
        <v>10960614</v>
      </c>
      <c r="Y631" s="8">
        <f t="shared" si="66"/>
        <v>10836883.388999999</v>
      </c>
      <c r="Z631" s="36"/>
      <c r="AA631" s="36"/>
      <c r="AB631" s="36"/>
      <c r="AC631" s="36"/>
      <c r="AD631" s="36"/>
      <c r="AE631" s="36"/>
      <c r="AF631" s="36">
        <v>9800</v>
      </c>
      <c r="AG631" s="36"/>
      <c r="AH631" s="36"/>
      <c r="AI631" s="36"/>
      <c r="AJ631" s="36">
        <v>300000</v>
      </c>
      <c r="AK631" s="36"/>
      <c r="AL631" s="37">
        <f t="shared" si="67"/>
        <v>309800</v>
      </c>
      <c r="AM631" s="36"/>
      <c r="AN631" s="36">
        <v>935000</v>
      </c>
      <c r="AO631" s="36"/>
      <c r="AP631" s="7"/>
      <c r="AQ631" s="38">
        <f t="shared" si="68"/>
        <v>9592083.3889999986</v>
      </c>
      <c r="AR631" s="36">
        <v>9592100</v>
      </c>
      <c r="AS631" s="18">
        <f t="shared" si="69"/>
        <v>16.611000001430511</v>
      </c>
    </row>
    <row r="632" spans="1:45" x14ac:dyDescent="0.25">
      <c r="A632" s="40">
        <v>45920</v>
      </c>
      <c r="B632" s="20">
        <v>2564.4659999999999</v>
      </c>
      <c r="C632" s="20">
        <v>2674.5360000000001</v>
      </c>
      <c r="D632" s="20">
        <v>5185</v>
      </c>
      <c r="E632" s="20">
        <v>4939</v>
      </c>
      <c r="F632" s="7">
        <f t="shared" si="63"/>
        <v>13296756.209999999</v>
      </c>
      <c r="G632" s="7">
        <f t="shared" si="64"/>
        <v>13209533.304</v>
      </c>
      <c r="H632" s="20">
        <v>32.25</v>
      </c>
      <c r="I632" s="20">
        <v>781500</v>
      </c>
      <c r="J632" s="20">
        <v>67</v>
      </c>
      <c r="K632" s="20">
        <v>917000</v>
      </c>
      <c r="L632" s="20">
        <v>54000</v>
      </c>
      <c r="M632" s="20"/>
      <c r="N632" s="20"/>
      <c r="O632" s="20">
        <v>50000</v>
      </c>
      <c r="P632" s="20"/>
      <c r="Q632" s="19">
        <f t="shared" si="65"/>
        <v>28308789.513999999</v>
      </c>
      <c r="R632" s="20">
        <v>278953</v>
      </c>
      <c r="S632" s="20">
        <v>5793673</v>
      </c>
      <c r="T632" s="20"/>
      <c r="U632" s="20"/>
      <c r="V632" s="20"/>
      <c r="W632" s="20">
        <v>80000</v>
      </c>
      <c r="X632" s="20">
        <v>13685100</v>
      </c>
      <c r="Y632" s="8">
        <f t="shared" si="66"/>
        <v>8471063.5139999986</v>
      </c>
      <c r="Z632" s="36"/>
      <c r="AA632" s="36"/>
      <c r="AB632" s="36"/>
      <c r="AC632" s="36"/>
      <c r="AD632" s="36"/>
      <c r="AE632" s="36"/>
      <c r="AF632" s="36">
        <v>7000</v>
      </c>
      <c r="AG632" s="36">
        <v>400000</v>
      </c>
      <c r="AH632" s="36">
        <v>48000</v>
      </c>
      <c r="AI632" s="36"/>
      <c r="AJ632" s="36"/>
      <c r="AK632" s="36"/>
      <c r="AL632" s="37">
        <f t="shared" si="67"/>
        <v>455000</v>
      </c>
      <c r="AM632" s="36"/>
      <c r="AN632" s="36"/>
      <c r="AO632" s="36"/>
      <c r="AP632" s="7"/>
      <c r="AQ632" s="38">
        <f t="shared" si="68"/>
        <v>8016063.5139999986</v>
      </c>
      <c r="AR632" s="36">
        <v>8016500</v>
      </c>
      <c r="AS632" s="18">
        <f t="shared" si="69"/>
        <v>436.48600000143051</v>
      </c>
    </row>
    <row r="633" spans="1:45" x14ac:dyDescent="0.25">
      <c r="A633" s="40">
        <v>45921</v>
      </c>
      <c r="B633" s="20">
        <v>1678.0160000000001</v>
      </c>
      <c r="C633" s="20">
        <v>3477.5059999999999</v>
      </c>
      <c r="D633" s="20">
        <v>5185</v>
      </c>
      <c r="E633" s="20">
        <v>4939</v>
      </c>
      <c r="F633" s="7">
        <f t="shared" si="63"/>
        <v>8700512.9600000009</v>
      </c>
      <c r="G633" s="7">
        <f t="shared" si="64"/>
        <v>17175402.134</v>
      </c>
      <c r="H633" s="20">
        <v>36.25</v>
      </c>
      <c r="I633" s="20">
        <v>728500</v>
      </c>
      <c r="J633" s="20">
        <v>197.5</v>
      </c>
      <c r="K633" s="20">
        <v>1896000</v>
      </c>
      <c r="L633" s="20">
        <v>38000</v>
      </c>
      <c r="M633" s="20"/>
      <c r="N633" s="20"/>
      <c r="O633" s="20"/>
      <c r="P633" s="20"/>
      <c r="Q633" s="19">
        <f t="shared" si="65"/>
        <v>28538415.094000001</v>
      </c>
      <c r="R633" s="20">
        <v>287220</v>
      </c>
      <c r="S633" s="20">
        <v>9939949</v>
      </c>
      <c r="T633" s="20"/>
      <c r="U633" s="20"/>
      <c r="V633" s="20"/>
      <c r="W633" s="20">
        <v>250000</v>
      </c>
      <c r="X633" s="20">
        <v>8373227</v>
      </c>
      <c r="Y633" s="8">
        <f t="shared" si="66"/>
        <v>9688019.0940000005</v>
      </c>
      <c r="Z633" s="36"/>
      <c r="AA633" s="36"/>
      <c r="AB633" s="36"/>
      <c r="AC633" s="36"/>
      <c r="AD633" s="36"/>
      <c r="AE633" s="36"/>
      <c r="AF633" s="36">
        <v>3000</v>
      </c>
      <c r="AG633" s="36"/>
      <c r="AH633" s="36"/>
      <c r="AI633" s="36"/>
      <c r="AJ633" s="36"/>
      <c r="AK633" s="36"/>
      <c r="AL633" s="37">
        <f t="shared" si="67"/>
        <v>3000</v>
      </c>
      <c r="AM633" s="36"/>
      <c r="AN633" s="36"/>
      <c r="AO633" s="36"/>
      <c r="AP633" s="7"/>
      <c r="AQ633" s="38">
        <f t="shared" si="68"/>
        <v>9685019.0940000005</v>
      </c>
      <c r="AR633" s="36">
        <v>9685000</v>
      </c>
      <c r="AS633" s="18">
        <f t="shared" si="69"/>
        <v>-19.094000000506639</v>
      </c>
    </row>
    <row r="634" spans="1:45" x14ac:dyDescent="0.25">
      <c r="A634" s="40">
        <v>45922</v>
      </c>
      <c r="B634" s="20">
        <v>2022.0830000000001</v>
      </c>
      <c r="C634" s="20">
        <v>1401.47</v>
      </c>
      <c r="D634" s="20">
        <v>5185</v>
      </c>
      <c r="E634" s="20">
        <v>4939</v>
      </c>
      <c r="F634" s="7">
        <f t="shared" si="63"/>
        <v>10484500.355</v>
      </c>
      <c r="G634" s="7">
        <f t="shared" si="64"/>
        <v>6921860.3300000001</v>
      </c>
      <c r="H634" s="20">
        <v>124.5</v>
      </c>
      <c r="I634" s="20">
        <v>2726500</v>
      </c>
      <c r="J634" s="20">
        <v>54.5</v>
      </c>
      <c r="K634" s="20">
        <v>528500</v>
      </c>
      <c r="L634" s="20">
        <v>38000</v>
      </c>
      <c r="M634" s="20"/>
      <c r="N634" s="20"/>
      <c r="O634" s="20">
        <v>0</v>
      </c>
      <c r="P634" s="20"/>
      <c r="Q634" s="19">
        <f t="shared" si="65"/>
        <v>20699360.685000002</v>
      </c>
      <c r="R634" s="20">
        <v>1101628</v>
      </c>
      <c r="S634" s="20">
        <v>4156769</v>
      </c>
      <c r="T634" s="20"/>
      <c r="U634" s="20"/>
      <c r="V634" s="20"/>
      <c r="W634" s="20">
        <v>265827</v>
      </c>
      <c r="X634" s="20">
        <v>2789335</v>
      </c>
      <c r="Y634" s="8">
        <f t="shared" si="66"/>
        <v>12385801.685000002</v>
      </c>
      <c r="Z634" s="36"/>
      <c r="AA634" s="36"/>
      <c r="AB634" s="36"/>
      <c r="AC634" s="36"/>
      <c r="AD634" s="36">
        <v>103700</v>
      </c>
      <c r="AE634" s="36"/>
      <c r="AF634" s="36"/>
      <c r="AG634" s="36"/>
      <c r="AH634" s="36"/>
      <c r="AI634" s="36"/>
      <c r="AJ634" s="36">
        <v>200000</v>
      </c>
      <c r="AK634" s="36"/>
      <c r="AL634" s="37">
        <f t="shared" si="67"/>
        <v>303700</v>
      </c>
      <c r="AM634" s="36"/>
      <c r="AN634" s="36"/>
      <c r="AO634" s="36"/>
      <c r="AP634" s="7"/>
      <c r="AQ634" s="38">
        <f t="shared" si="68"/>
        <v>12082101.685000002</v>
      </c>
      <c r="AR634" s="36">
        <v>12082500</v>
      </c>
      <c r="AS634" s="18">
        <f t="shared" si="69"/>
        <v>398.31499999761581</v>
      </c>
    </row>
    <row r="635" spans="1:45" x14ac:dyDescent="0.25">
      <c r="A635" s="40">
        <v>45923</v>
      </c>
      <c r="B635" s="20">
        <v>2552.9430000000002</v>
      </c>
      <c r="C635" s="20">
        <v>4675.0200000000004</v>
      </c>
      <c r="D635" s="20">
        <v>5185</v>
      </c>
      <c r="E635" s="20">
        <v>4939</v>
      </c>
      <c r="F635" s="7">
        <f t="shared" si="63"/>
        <v>13237009.455000002</v>
      </c>
      <c r="G635" s="7">
        <f t="shared" si="64"/>
        <v>23089923.780000001</v>
      </c>
      <c r="H635" s="20">
        <v>40.5</v>
      </c>
      <c r="I635" s="20">
        <v>799000</v>
      </c>
      <c r="J635" s="20">
        <v>116</v>
      </c>
      <c r="K635" s="20">
        <v>1555500</v>
      </c>
      <c r="L635" s="20">
        <v>23000</v>
      </c>
      <c r="M635" s="20">
        <v>100000</v>
      </c>
      <c r="N635" s="20"/>
      <c r="O635" s="20">
        <v>200000</v>
      </c>
      <c r="P635" s="20"/>
      <c r="Q635" s="19">
        <f t="shared" si="65"/>
        <v>39004433.234999999</v>
      </c>
      <c r="R635" s="20">
        <v>700945</v>
      </c>
      <c r="S635" s="20">
        <v>11932247</v>
      </c>
      <c r="T635" s="20"/>
      <c r="U635" s="20"/>
      <c r="V635" s="20"/>
      <c r="W635" s="20">
        <v>453000</v>
      </c>
      <c r="X635" s="20">
        <v>14065741</v>
      </c>
      <c r="Y635" s="8">
        <f t="shared" si="66"/>
        <v>11852500.234999999</v>
      </c>
      <c r="Z635" s="36"/>
      <c r="AA635" s="36"/>
      <c r="AB635" s="36"/>
      <c r="AC635" s="36">
        <v>7000</v>
      </c>
      <c r="AD635" s="36"/>
      <c r="AE635" s="36"/>
      <c r="AF635" s="36">
        <v>50000</v>
      </c>
      <c r="AG635" s="36"/>
      <c r="AH635" s="36"/>
      <c r="AI635" s="36">
        <v>45000</v>
      </c>
      <c r="AJ635" s="36">
        <v>550000</v>
      </c>
      <c r="AK635" s="36"/>
      <c r="AL635" s="37">
        <f t="shared" si="67"/>
        <v>652000</v>
      </c>
      <c r="AM635" s="36"/>
      <c r="AN635" s="36"/>
      <c r="AO635" s="36"/>
      <c r="AP635" s="7"/>
      <c r="AQ635" s="38">
        <f t="shared" si="68"/>
        <v>11200500.234999999</v>
      </c>
      <c r="AR635" s="36">
        <v>11200500</v>
      </c>
      <c r="AS635" s="18">
        <f t="shared" si="69"/>
        <v>-0.23499999940395355</v>
      </c>
    </row>
    <row r="636" spans="1:45" x14ac:dyDescent="0.25">
      <c r="A636" s="40">
        <v>45924</v>
      </c>
      <c r="B636" s="20">
        <v>2581.6950000000002</v>
      </c>
      <c r="C636" s="20">
        <v>2834.7240000000002</v>
      </c>
      <c r="D636" s="20">
        <v>5185</v>
      </c>
      <c r="E636" s="20">
        <v>4939</v>
      </c>
      <c r="F636" s="7">
        <f t="shared" si="63"/>
        <v>13386088.575000001</v>
      </c>
      <c r="G636" s="7">
        <f t="shared" si="64"/>
        <v>14000701.836000001</v>
      </c>
      <c r="H636" s="20">
        <v>87</v>
      </c>
      <c r="I636" s="20">
        <v>1787000</v>
      </c>
      <c r="J636" s="20">
        <v>30.5</v>
      </c>
      <c r="K636" s="20">
        <v>394500</v>
      </c>
      <c r="L636" s="20">
        <v>40000</v>
      </c>
      <c r="M636" s="20">
        <v>900000</v>
      </c>
      <c r="N636" s="20"/>
      <c r="O636" s="20">
        <v>1098827</v>
      </c>
      <c r="P636" s="20"/>
      <c r="Q636" s="19">
        <f t="shared" si="65"/>
        <v>31607117.411000002</v>
      </c>
      <c r="R636" s="20">
        <v>930052</v>
      </c>
      <c r="S636" s="20">
        <v>10688391</v>
      </c>
      <c r="T636" s="20"/>
      <c r="U636" s="20"/>
      <c r="V636" s="20"/>
      <c r="W636" s="20">
        <v>230000</v>
      </c>
      <c r="X636" s="20">
        <v>8008929</v>
      </c>
      <c r="Y636" s="8">
        <f t="shared" si="66"/>
        <v>11749745.411000002</v>
      </c>
      <c r="Z636" s="36"/>
      <c r="AA636" s="36"/>
      <c r="AB636" s="36"/>
      <c r="AC636" s="36"/>
      <c r="AD636" s="36"/>
      <c r="AE636" s="36"/>
      <c r="AF636" s="36">
        <v>29500</v>
      </c>
      <c r="AG636" s="36"/>
      <c r="AH636" s="36"/>
      <c r="AI636" s="36"/>
      <c r="AJ636" s="36"/>
      <c r="AK636" s="36"/>
      <c r="AL636" s="37">
        <f t="shared" si="67"/>
        <v>29500</v>
      </c>
      <c r="AM636" s="36"/>
      <c r="AN636" s="36"/>
      <c r="AO636" s="36"/>
      <c r="AP636" s="7"/>
      <c r="AQ636" s="38">
        <f t="shared" si="68"/>
        <v>11720245.411000002</v>
      </c>
      <c r="AR636" s="36">
        <v>11720300</v>
      </c>
      <c r="AS636" s="18">
        <f t="shared" si="69"/>
        <v>54.58899999782443</v>
      </c>
    </row>
    <row r="637" spans="1:45" x14ac:dyDescent="0.25">
      <c r="A637" s="40">
        <v>45925</v>
      </c>
      <c r="B637" s="20">
        <v>2551.7710000000002</v>
      </c>
      <c r="C637" s="20">
        <v>2486.2330000000002</v>
      </c>
      <c r="D637" s="20">
        <v>5185</v>
      </c>
      <c r="E637" s="20">
        <v>4939</v>
      </c>
      <c r="F637" s="7">
        <f t="shared" si="63"/>
        <v>13230932.635000002</v>
      </c>
      <c r="G637" s="7">
        <f t="shared" si="64"/>
        <v>12279504.787</v>
      </c>
      <c r="H637" s="20">
        <v>59</v>
      </c>
      <c r="I637" s="20">
        <v>1220500</v>
      </c>
      <c r="J637" s="20">
        <v>58</v>
      </c>
      <c r="K637" s="20">
        <v>892000</v>
      </c>
      <c r="L637" s="20">
        <v>278000</v>
      </c>
      <c r="M637" s="20"/>
      <c r="N637" s="20"/>
      <c r="O637" s="20">
        <v>950000</v>
      </c>
      <c r="P637" s="20"/>
      <c r="Q637" s="19">
        <f t="shared" si="65"/>
        <v>28850937.422000002</v>
      </c>
      <c r="R637" s="20">
        <v>1195142</v>
      </c>
      <c r="S637" s="20">
        <v>5217375</v>
      </c>
      <c r="T637" s="20"/>
      <c r="U637" s="20"/>
      <c r="V637" s="20"/>
      <c r="W637" s="20">
        <v>270000</v>
      </c>
      <c r="X637" s="20">
        <v>15037858</v>
      </c>
      <c r="Y637" s="8">
        <f t="shared" si="66"/>
        <v>7130562.4220000021</v>
      </c>
      <c r="Z637" s="36"/>
      <c r="AA637" s="36"/>
      <c r="AB637" s="36"/>
      <c r="AC637" s="36"/>
      <c r="AD637" s="36"/>
      <c r="AE637" s="36"/>
      <c r="AF637" s="36">
        <v>16000</v>
      </c>
      <c r="AG637" s="36"/>
      <c r="AH637" s="36">
        <v>63000</v>
      </c>
      <c r="AI637" s="36"/>
      <c r="AJ637" s="36"/>
      <c r="AK637" s="36"/>
      <c r="AL637" s="37">
        <f t="shared" si="67"/>
        <v>79000</v>
      </c>
      <c r="AM637" s="36"/>
      <c r="AN637" s="36"/>
      <c r="AO637" s="36"/>
      <c r="AP637" s="7"/>
      <c r="AQ637" s="38">
        <f t="shared" si="68"/>
        <v>7051562.4220000021</v>
      </c>
      <c r="AR637" s="36">
        <v>7029400</v>
      </c>
      <c r="AS637" s="18">
        <f t="shared" si="69"/>
        <v>-22162.422000002116</v>
      </c>
    </row>
    <row r="638" spans="1:45" x14ac:dyDescent="0.25">
      <c r="A638" s="40">
        <v>45926</v>
      </c>
      <c r="B638" s="20">
        <v>2462.6170000000002</v>
      </c>
      <c r="C638" s="20">
        <v>2964.8420000000001</v>
      </c>
      <c r="D638" s="20">
        <v>5185</v>
      </c>
      <c r="E638" s="20">
        <v>4939</v>
      </c>
      <c r="F638" s="7">
        <f t="shared" si="63"/>
        <v>12768669.145000001</v>
      </c>
      <c r="G638" s="7">
        <f t="shared" si="64"/>
        <v>14643354.638</v>
      </c>
      <c r="H638" s="20">
        <v>86</v>
      </c>
      <c r="I638" s="20">
        <v>1707500</v>
      </c>
      <c r="J638" s="20">
        <v>91.5</v>
      </c>
      <c r="K638" s="20">
        <v>884000</v>
      </c>
      <c r="L638" s="20">
        <v>16000</v>
      </c>
      <c r="M638" s="20"/>
      <c r="N638" s="20"/>
      <c r="O638" s="20">
        <v>1738160</v>
      </c>
      <c r="P638" s="20"/>
      <c r="Q638" s="19">
        <f t="shared" si="65"/>
        <v>31757683.783</v>
      </c>
      <c r="R638" s="20">
        <v>703065</v>
      </c>
      <c r="S638" s="20">
        <v>6406010</v>
      </c>
      <c r="T638" s="20"/>
      <c r="U638" s="20"/>
      <c r="V638" s="20"/>
      <c r="W638" s="20">
        <v>504050</v>
      </c>
      <c r="X638" s="20">
        <v>16525414</v>
      </c>
      <c r="Y638" s="8">
        <f t="shared" si="66"/>
        <v>7619144.7829999998</v>
      </c>
      <c r="Z638" s="36"/>
      <c r="AA638" s="36"/>
      <c r="AB638" s="36"/>
      <c r="AC638" s="36">
        <v>50000</v>
      </c>
      <c r="AD638" s="36"/>
      <c r="AE638" s="36"/>
      <c r="AF638" s="36">
        <v>3000</v>
      </c>
      <c r="AG638" s="36"/>
      <c r="AH638" s="36"/>
      <c r="AI638" s="36"/>
      <c r="AJ638" s="36"/>
      <c r="AK638" s="36"/>
      <c r="AL638" s="37">
        <f t="shared" si="67"/>
        <v>53000</v>
      </c>
      <c r="AM638" s="36"/>
      <c r="AN638" s="36"/>
      <c r="AO638" s="36"/>
      <c r="AP638" s="7"/>
      <c r="AQ638" s="38">
        <f t="shared" si="68"/>
        <v>7566144.7829999998</v>
      </c>
      <c r="AR638" s="36">
        <v>7566200</v>
      </c>
      <c r="AS638" s="18">
        <f t="shared" si="69"/>
        <v>55.217000000178814</v>
      </c>
    </row>
    <row r="639" spans="1:45" x14ac:dyDescent="0.25">
      <c r="A639" s="40">
        <v>45927</v>
      </c>
      <c r="B639" s="20">
        <v>2249.1439999999998</v>
      </c>
      <c r="C639" s="20">
        <v>6852.1589999999997</v>
      </c>
      <c r="D639" s="20">
        <v>5185</v>
      </c>
      <c r="E639" s="20">
        <v>4939</v>
      </c>
      <c r="F639" s="7">
        <f t="shared" si="63"/>
        <v>11661811.639999999</v>
      </c>
      <c r="G639" s="7">
        <f t="shared" si="64"/>
        <v>33842813.300999999</v>
      </c>
      <c r="H639" s="20">
        <v>27.25</v>
      </c>
      <c r="I639" s="20">
        <v>548500</v>
      </c>
      <c r="J639" s="20">
        <v>52.5</v>
      </c>
      <c r="K639" s="20">
        <v>597000</v>
      </c>
      <c r="L639" s="20">
        <v>16000</v>
      </c>
      <c r="M639" s="20"/>
      <c r="N639" s="20">
        <v>100000</v>
      </c>
      <c r="O639" s="20">
        <v>150000</v>
      </c>
      <c r="P639" s="20"/>
      <c r="Q639" s="19">
        <f t="shared" si="65"/>
        <v>46916124.941</v>
      </c>
      <c r="R639" s="20">
        <v>964343</v>
      </c>
      <c r="S639" s="20">
        <v>28260112</v>
      </c>
      <c r="T639" s="20"/>
      <c r="U639" s="20"/>
      <c r="V639" s="20"/>
      <c r="W639" s="20">
        <v>50000</v>
      </c>
      <c r="X639" s="20">
        <v>8742997</v>
      </c>
      <c r="Y639" s="8">
        <f t="shared" si="66"/>
        <v>8898672.9409999996</v>
      </c>
      <c r="Z639" s="36"/>
      <c r="AA639" s="36">
        <v>118300</v>
      </c>
      <c r="AB639" s="36"/>
      <c r="AC639" s="36"/>
      <c r="AD639" s="36">
        <v>98780</v>
      </c>
      <c r="AE639" s="36"/>
      <c r="AF639" s="36">
        <v>3000</v>
      </c>
      <c r="AG639" s="36"/>
      <c r="AH639" s="36"/>
      <c r="AI639" s="36"/>
      <c r="AJ639" s="36"/>
      <c r="AK639" s="36"/>
      <c r="AL639" s="37">
        <f t="shared" si="67"/>
        <v>220080</v>
      </c>
      <c r="AM639" s="36">
        <v>366000</v>
      </c>
      <c r="AN639" s="36"/>
      <c r="AO639" s="36"/>
      <c r="AP639" s="7"/>
      <c r="AQ639" s="38">
        <f t="shared" si="68"/>
        <v>8312592.9409999996</v>
      </c>
      <c r="AR639" s="36">
        <v>8362000</v>
      </c>
      <c r="AS639" s="18">
        <f t="shared" si="69"/>
        <v>49407.059000000358</v>
      </c>
    </row>
    <row r="640" spans="1:45" x14ac:dyDescent="0.25">
      <c r="A640" s="40">
        <v>45928</v>
      </c>
      <c r="B640" s="20">
        <v>2077.6660000000002</v>
      </c>
      <c r="C640" s="20">
        <v>3386.1410000000001</v>
      </c>
      <c r="D640" s="20">
        <v>5185</v>
      </c>
      <c r="E640" s="20">
        <v>4939</v>
      </c>
      <c r="F640" s="7">
        <f t="shared" si="63"/>
        <v>10772698.210000001</v>
      </c>
      <c r="G640" s="7">
        <f t="shared" si="64"/>
        <v>16724150.399</v>
      </c>
      <c r="H640" s="20">
        <v>55.5</v>
      </c>
      <c r="I640" s="20">
        <v>1072000</v>
      </c>
      <c r="J640" s="20">
        <v>67</v>
      </c>
      <c r="K640" s="20">
        <v>836000</v>
      </c>
      <c r="L640" s="20">
        <v>0</v>
      </c>
      <c r="M640" s="20"/>
      <c r="N640" s="20">
        <v>250000</v>
      </c>
      <c r="O640" s="20">
        <v>0</v>
      </c>
      <c r="P640" s="20"/>
      <c r="Q640" s="19">
        <f t="shared" si="65"/>
        <v>29654848.609000001</v>
      </c>
      <c r="R640" s="20">
        <v>650081</v>
      </c>
      <c r="S640" s="20">
        <v>13685387</v>
      </c>
      <c r="T640" s="20"/>
      <c r="U640" s="20"/>
      <c r="V640" s="20"/>
      <c r="W640" s="20">
        <v>150000</v>
      </c>
      <c r="X640" s="20">
        <v>8942979</v>
      </c>
      <c r="Y640" s="8">
        <f t="shared" si="66"/>
        <v>6226401.6090000011</v>
      </c>
      <c r="Z640" s="36"/>
      <c r="AA640" s="36"/>
      <c r="AB640" s="36"/>
      <c r="AC640" s="36"/>
      <c r="AD640" s="36"/>
      <c r="AE640" s="36"/>
      <c r="AF640" s="36">
        <v>3000</v>
      </c>
      <c r="AG640" s="36"/>
      <c r="AH640" s="36"/>
      <c r="AI640" s="36">
        <v>20000</v>
      </c>
      <c r="AJ640" s="36"/>
      <c r="AK640" s="36"/>
      <c r="AL640" s="37">
        <f t="shared" si="67"/>
        <v>23000</v>
      </c>
      <c r="AM640" s="36"/>
      <c r="AN640" s="36"/>
      <c r="AO640" s="36"/>
      <c r="AP640" s="7"/>
      <c r="AQ640" s="38">
        <f t="shared" si="68"/>
        <v>6203401.6090000011</v>
      </c>
      <c r="AR640" s="36">
        <v>0</v>
      </c>
      <c r="AS640" s="18">
        <f t="shared" si="69"/>
        <v>-6203401.6090000011</v>
      </c>
    </row>
    <row r="641" spans="1:45" x14ac:dyDescent="0.25">
      <c r="A641" s="40">
        <v>45929</v>
      </c>
      <c r="B641" s="20">
        <v>1549.693</v>
      </c>
      <c r="C641" s="20">
        <v>2769.98</v>
      </c>
      <c r="D641" s="20">
        <v>5185</v>
      </c>
      <c r="E641" s="20">
        <v>4939</v>
      </c>
      <c r="F641" s="7">
        <f t="shared" si="63"/>
        <v>8035158.2050000001</v>
      </c>
      <c r="G641" s="7">
        <f t="shared" si="64"/>
        <v>13680931.220000001</v>
      </c>
      <c r="H641" s="20">
        <v>67.25</v>
      </c>
      <c r="I641" s="20">
        <v>1450500</v>
      </c>
      <c r="J641" s="20">
        <v>70</v>
      </c>
      <c r="K641" s="20">
        <v>609000</v>
      </c>
      <c r="L641" s="20">
        <v>134000</v>
      </c>
      <c r="M641" s="20"/>
      <c r="N641" s="20"/>
      <c r="O641" s="20">
        <v>1254000</v>
      </c>
      <c r="P641" s="20"/>
      <c r="Q641" s="19">
        <f t="shared" si="65"/>
        <v>25163589.425000001</v>
      </c>
      <c r="R641" s="20">
        <v>923702</v>
      </c>
      <c r="S641" s="20">
        <v>12027132</v>
      </c>
      <c r="T641" s="20"/>
      <c r="U641" s="20"/>
      <c r="V641" s="20"/>
      <c r="W641" s="20">
        <v>371250</v>
      </c>
      <c r="X641" s="20">
        <v>3856550</v>
      </c>
      <c r="Y641" s="8">
        <f t="shared" si="66"/>
        <v>7984955.4250000007</v>
      </c>
      <c r="Z641" s="36"/>
      <c r="AA641" s="36"/>
      <c r="AB641" s="36"/>
      <c r="AC641" s="36"/>
      <c r="AD641" s="36">
        <v>4000</v>
      </c>
      <c r="AE641" s="36"/>
      <c r="AF641" s="36"/>
      <c r="AG641" s="36"/>
      <c r="AH641" s="36">
        <v>19000</v>
      </c>
      <c r="AI641" s="36"/>
      <c r="AJ641" s="36"/>
      <c r="AK641" s="36"/>
      <c r="AL641" s="37">
        <f t="shared" si="67"/>
        <v>23000</v>
      </c>
      <c r="AM641" s="36"/>
      <c r="AN641" s="36"/>
      <c r="AO641" s="36"/>
      <c r="AP641" s="7"/>
      <c r="AQ641" s="38">
        <f t="shared" si="68"/>
        <v>7961955.4250000007</v>
      </c>
      <c r="AR641" s="36">
        <v>14169400</v>
      </c>
      <c r="AS641" s="18">
        <f t="shared" si="69"/>
        <v>6207444.5749999993</v>
      </c>
    </row>
    <row r="642" spans="1:45" x14ac:dyDescent="0.25">
      <c r="A642" s="40">
        <v>45930</v>
      </c>
      <c r="B642" s="20">
        <v>2409.1860000000001</v>
      </c>
      <c r="C642" s="20">
        <v>3837.68</v>
      </c>
      <c r="D642" s="20">
        <v>5185</v>
      </c>
      <c r="E642" s="20">
        <v>4939</v>
      </c>
      <c r="F642" s="7">
        <f t="shared" si="63"/>
        <v>12491629.41</v>
      </c>
      <c r="G642" s="7">
        <f t="shared" si="64"/>
        <v>18954301.52</v>
      </c>
      <c r="H642" s="20">
        <v>42.5</v>
      </c>
      <c r="I642" s="20">
        <v>836000</v>
      </c>
      <c r="J642" s="20">
        <v>105.5</v>
      </c>
      <c r="K642" s="20">
        <v>898000</v>
      </c>
      <c r="L642" s="20">
        <v>24000</v>
      </c>
      <c r="M642" s="20"/>
      <c r="N642" s="20"/>
      <c r="O642" s="20">
        <v>21683000</v>
      </c>
      <c r="P642" s="20"/>
      <c r="Q642" s="19">
        <f t="shared" si="65"/>
        <v>54886930.93</v>
      </c>
      <c r="R642" s="20">
        <v>1664407</v>
      </c>
      <c r="S642" s="20">
        <v>11724126</v>
      </c>
      <c r="T642" s="20"/>
      <c r="U642" s="20"/>
      <c r="V642" s="20"/>
      <c r="W642" s="20">
        <v>732700</v>
      </c>
      <c r="X642" s="20">
        <v>9713414</v>
      </c>
      <c r="Y642" s="8">
        <f t="shared" si="66"/>
        <v>31052283.93</v>
      </c>
      <c r="Z642" s="36"/>
      <c r="AA642" s="36"/>
      <c r="AB642" s="36"/>
      <c r="AC642" s="36"/>
      <c r="AD642" s="36"/>
      <c r="AE642" s="36"/>
      <c r="AF642" s="36">
        <v>25000</v>
      </c>
      <c r="AG642" s="36"/>
      <c r="AH642" s="36"/>
      <c r="AI642" s="36"/>
      <c r="AJ642" s="36">
        <v>500000</v>
      </c>
      <c r="AK642" s="36"/>
      <c r="AL642" s="37">
        <f t="shared" si="67"/>
        <v>525000</v>
      </c>
      <c r="AM642" s="36"/>
      <c r="AN642" s="36"/>
      <c r="AO642" s="36"/>
      <c r="AP642" s="7"/>
      <c r="AQ642" s="38">
        <f t="shared" si="68"/>
        <v>30527283.93</v>
      </c>
      <c r="AR642" s="36">
        <v>30527300</v>
      </c>
      <c r="AS642" s="18">
        <f t="shared" si="69"/>
        <v>16.070000000298023</v>
      </c>
    </row>
    <row r="643" spans="1:45" x14ac:dyDescent="0.25">
      <c r="A643" s="40">
        <v>45931</v>
      </c>
      <c r="B643" s="20">
        <v>2228.1529999999998</v>
      </c>
      <c r="C643" s="20">
        <v>4920.2520000000004</v>
      </c>
      <c r="D643" s="20">
        <v>5185</v>
      </c>
      <c r="E643" s="20">
        <v>4939</v>
      </c>
      <c r="F643" s="7">
        <f t="shared" si="63"/>
        <v>11552973.305</v>
      </c>
      <c r="G643" s="7">
        <f t="shared" si="64"/>
        <v>24301124.628000002</v>
      </c>
      <c r="H643" s="20">
        <v>58.75</v>
      </c>
      <c r="I643" s="20">
        <v>1246500</v>
      </c>
      <c r="J643" s="20">
        <v>58.5</v>
      </c>
      <c r="K643" s="20">
        <v>713000</v>
      </c>
      <c r="L643" s="20">
        <v>114000</v>
      </c>
      <c r="M643" s="20"/>
      <c r="N643" s="20"/>
      <c r="O643" s="20">
        <v>2949938</v>
      </c>
      <c r="P643" s="20"/>
      <c r="Q643" s="19">
        <f t="shared" si="65"/>
        <v>40877535.932999998</v>
      </c>
      <c r="R643" s="20">
        <v>667389</v>
      </c>
      <c r="S643" s="20">
        <v>16712486</v>
      </c>
      <c r="T643" s="20"/>
      <c r="U643" s="20"/>
      <c r="V643" s="20"/>
      <c r="W643" s="20">
        <v>159000</v>
      </c>
      <c r="X643" s="20">
        <v>11872288</v>
      </c>
      <c r="Y643" s="8">
        <f t="shared" si="66"/>
        <v>11466372.932999998</v>
      </c>
      <c r="Z643" s="36"/>
      <c r="AA643" s="36"/>
      <c r="AB643" s="36"/>
      <c r="AC643" s="36"/>
      <c r="AD643" s="36"/>
      <c r="AE643" s="36">
        <v>1080000</v>
      </c>
      <c r="AF643" s="36">
        <v>3000</v>
      </c>
      <c r="AG643" s="36">
        <v>3350000</v>
      </c>
      <c r="AH643" s="36"/>
      <c r="AI643" s="36"/>
      <c r="AJ643" s="36"/>
      <c r="AK643" s="36"/>
      <c r="AL643" s="37">
        <f t="shared" si="67"/>
        <v>4433000</v>
      </c>
      <c r="AM643" s="36">
        <v>90000</v>
      </c>
      <c r="AN643" s="36"/>
      <c r="AO643" s="36"/>
      <c r="AP643" s="7"/>
      <c r="AQ643" s="38">
        <f t="shared" si="68"/>
        <v>6943372.9329999983</v>
      </c>
      <c r="AR643" s="36">
        <v>6943400</v>
      </c>
      <c r="AS643" s="18">
        <f t="shared" si="69"/>
        <v>27.06700000166893</v>
      </c>
    </row>
    <row r="644" spans="1:45" x14ac:dyDescent="0.25">
      <c r="A644" s="40">
        <v>45932</v>
      </c>
      <c r="B644" s="20">
        <v>2214.7179999999998</v>
      </c>
      <c r="C644" s="20">
        <v>6007.6840000000002</v>
      </c>
      <c r="D644" s="20">
        <v>5185</v>
      </c>
      <c r="E644" s="20">
        <v>4939</v>
      </c>
      <c r="F644" s="7">
        <f t="shared" ref="F644:F707" si="70">B644*D644</f>
        <v>11483312.83</v>
      </c>
      <c r="G644" s="7">
        <f t="shared" ref="G644:G707" si="71">C644*E644</f>
        <v>29671951.276000001</v>
      </c>
      <c r="H644" s="20">
        <v>79.25</v>
      </c>
      <c r="I644" s="20">
        <v>1842500</v>
      </c>
      <c r="J644" s="20">
        <v>72.5</v>
      </c>
      <c r="K644" s="20">
        <v>773000</v>
      </c>
      <c r="L644" s="20">
        <v>8000</v>
      </c>
      <c r="M644" s="20"/>
      <c r="N644" s="20"/>
      <c r="O644" s="20">
        <v>150000</v>
      </c>
      <c r="P644" s="20"/>
      <c r="Q644" s="19">
        <f t="shared" ref="Q644:Q707" si="72">SUM(F644:G644)+I644+K644+SUM(L644:P644)</f>
        <v>43928764.105999999</v>
      </c>
      <c r="R644" s="20">
        <v>1557080</v>
      </c>
      <c r="S644" s="20">
        <v>24697210</v>
      </c>
      <c r="T644" s="20"/>
      <c r="U644" s="20"/>
      <c r="V644" s="20"/>
      <c r="W644" s="20">
        <v>0</v>
      </c>
      <c r="X644" s="20">
        <v>7643323</v>
      </c>
      <c r="Y644" s="8">
        <f t="shared" ref="Y644:Y707" si="73">Q644-SUM(R644:X644)</f>
        <v>10031151.105999999</v>
      </c>
      <c r="Z644" s="36"/>
      <c r="AA644" s="36">
        <v>550000</v>
      </c>
      <c r="AB644" s="36"/>
      <c r="AC644" s="36"/>
      <c r="AD644" s="36"/>
      <c r="AE644" s="36"/>
      <c r="AF644" s="36"/>
      <c r="AG644" s="36"/>
      <c r="AH644" s="36">
        <v>16000</v>
      </c>
      <c r="AI644" s="36"/>
      <c r="AJ644" s="36">
        <v>410000</v>
      </c>
      <c r="AK644" s="36"/>
      <c r="AL644" s="37">
        <f t="shared" ref="AL644:AL707" si="74">SUM(Z644:AK644)</f>
        <v>976000</v>
      </c>
      <c r="AM644" s="36"/>
      <c r="AN644" s="36"/>
      <c r="AO644" s="36"/>
      <c r="AP644" s="7"/>
      <c r="AQ644" s="38">
        <f t="shared" ref="AQ644:AQ707" si="75">Q644-SUM(R644:X644)-AL644-SUM(AM644:AO644)</f>
        <v>9055151.1059999987</v>
      </c>
      <c r="AR644" s="36">
        <v>9055500</v>
      </c>
      <c r="AS644" s="18">
        <f t="shared" ref="AS644:AS707" si="76">AR644-AQ644</f>
        <v>348.8940000012517</v>
      </c>
    </row>
    <row r="645" spans="1:45" x14ac:dyDescent="0.25">
      <c r="A645" s="40">
        <v>45933</v>
      </c>
      <c r="B645" s="20">
        <v>2386.982</v>
      </c>
      <c r="C645" s="20">
        <v>4642.3599999999997</v>
      </c>
      <c r="D645" s="20">
        <v>5185</v>
      </c>
      <c r="E645" s="20">
        <v>4939</v>
      </c>
      <c r="F645" s="7">
        <f t="shared" si="70"/>
        <v>12376501.67</v>
      </c>
      <c r="G645" s="7">
        <f t="shared" si="71"/>
        <v>22928616.039999999</v>
      </c>
      <c r="H645" s="20">
        <v>80.25</v>
      </c>
      <c r="I645" s="20">
        <v>1798500</v>
      </c>
      <c r="J645" s="20">
        <v>55</v>
      </c>
      <c r="K645" s="20">
        <v>521000</v>
      </c>
      <c r="L645" s="20">
        <v>8000</v>
      </c>
      <c r="M645" s="20">
        <v>20000</v>
      </c>
      <c r="N645" s="20"/>
      <c r="O645" s="20">
        <v>660000</v>
      </c>
      <c r="P645" s="20"/>
      <c r="Q645" s="19">
        <f t="shared" si="72"/>
        <v>38312617.710000001</v>
      </c>
      <c r="R645" s="20">
        <v>1816983</v>
      </c>
      <c r="S645" s="20">
        <v>12289124</v>
      </c>
      <c r="T645" s="20"/>
      <c r="U645" s="20"/>
      <c r="V645" s="20"/>
      <c r="W645" s="20">
        <v>700000</v>
      </c>
      <c r="X645" s="20">
        <v>6931274</v>
      </c>
      <c r="Y645" s="8">
        <f t="shared" si="73"/>
        <v>16575236.710000001</v>
      </c>
      <c r="Z645" s="36"/>
      <c r="AA645" s="36"/>
      <c r="AB645" s="36">
        <v>200000</v>
      </c>
      <c r="AC645" s="36">
        <v>84000</v>
      </c>
      <c r="AD645" s="36"/>
      <c r="AE645" s="36"/>
      <c r="AF645" s="36">
        <v>6000</v>
      </c>
      <c r="AG645" s="36"/>
      <c r="AH645" s="36"/>
      <c r="AI645" s="36">
        <v>5000</v>
      </c>
      <c r="AJ645" s="36">
        <v>350000</v>
      </c>
      <c r="AK645" s="36"/>
      <c r="AL645" s="37">
        <f t="shared" si="74"/>
        <v>645000</v>
      </c>
      <c r="AM645" s="36"/>
      <c r="AN645" s="36"/>
      <c r="AO645" s="36"/>
      <c r="AP645" s="7"/>
      <c r="AQ645" s="38">
        <f t="shared" si="75"/>
        <v>15930236.710000001</v>
      </c>
      <c r="AR645" s="36">
        <v>15930300</v>
      </c>
      <c r="AS645" s="18">
        <f t="shared" si="76"/>
        <v>63.28999999910593</v>
      </c>
    </row>
    <row r="646" spans="1:45" x14ac:dyDescent="0.25">
      <c r="A646" s="40">
        <v>45934</v>
      </c>
      <c r="B646" s="20">
        <v>2600.636</v>
      </c>
      <c r="C646" s="20">
        <v>3207.9540000000002</v>
      </c>
      <c r="D646" s="20">
        <v>5185</v>
      </c>
      <c r="E646" s="20">
        <v>4939</v>
      </c>
      <c r="F646" s="7">
        <f t="shared" si="70"/>
        <v>13484297.66</v>
      </c>
      <c r="G646" s="7">
        <f t="shared" si="71"/>
        <v>15844084.806000002</v>
      </c>
      <c r="H646" s="20">
        <v>30.5</v>
      </c>
      <c r="I646" s="20">
        <v>621500</v>
      </c>
      <c r="J646" s="20">
        <v>105</v>
      </c>
      <c r="K646" s="20">
        <v>914000</v>
      </c>
      <c r="L646" s="20">
        <v>16000</v>
      </c>
      <c r="M646" s="20">
        <v>100000</v>
      </c>
      <c r="N646" s="20"/>
      <c r="O646" s="20"/>
      <c r="P646" s="20"/>
      <c r="Q646" s="19">
        <f t="shared" si="72"/>
        <v>30979882.466000002</v>
      </c>
      <c r="R646" s="20">
        <v>2010546</v>
      </c>
      <c r="S646" s="20">
        <v>12356683</v>
      </c>
      <c r="T646" s="20"/>
      <c r="U646" s="20"/>
      <c r="V646" s="20"/>
      <c r="W646" s="20">
        <v>247075</v>
      </c>
      <c r="X646" s="20">
        <v>6508528</v>
      </c>
      <c r="Y646" s="8">
        <f t="shared" si="73"/>
        <v>9857050.4660000019</v>
      </c>
      <c r="Z646" s="36"/>
      <c r="AA646" s="36"/>
      <c r="AB646" s="36"/>
      <c r="AC646" s="36"/>
      <c r="AD646" s="36"/>
      <c r="AE646" s="36"/>
      <c r="AF646" s="36">
        <v>13000</v>
      </c>
      <c r="AG646" s="36"/>
      <c r="AH646" s="36">
        <v>70000</v>
      </c>
      <c r="AI646" s="36"/>
      <c r="AJ646" s="36"/>
      <c r="AK646" s="36"/>
      <c r="AL646" s="37">
        <f t="shared" si="74"/>
        <v>83000</v>
      </c>
      <c r="AM646" s="36">
        <v>45000</v>
      </c>
      <c r="AN646" s="36"/>
      <c r="AO646" s="36"/>
      <c r="AP646" s="7"/>
      <c r="AQ646" s="38">
        <f t="shared" si="75"/>
        <v>9729050.4660000019</v>
      </c>
      <c r="AR646" s="36">
        <v>9729000</v>
      </c>
      <c r="AS646" s="18">
        <f t="shared" si="76"/>
        <v>-50.466000001877546</v>
      </c>
    </row>
    <row r="647" spans="1:45" x14ac:dyDescent="0.25">
      <c r="A647" s="40">
        <v>45935</v>
      </c>
      <c r="B647" s="20">
        <v>2374.6750000000002</v>
      </c>
      <c r="C647" s="20">
        <v>2754.7190000000001</v>
      </c>
      <c r="D647" s="20">
        <v>5185</v>
      </c>
      <c r="E647" s="20">
        <v>4939</v>
      </c>
      <c r="F647" s="7">
        <f t="shared" si="70"/>
        <v>12312689.875000002</v>
      </c>
      <c r="G647" s="7">
        <f t="shared" si="71"/>
        <v>13605557.141000001</v>
      </c>
      <c r="H647" s="20">
        <v>101.25</v>
      </c>
      <c r="I647" s="20">
        <v>1913500</v>
      </c>
      <c r="J647" s="20">
        <v>55.5</v>
      </c>
      <c r="K647" s="20">
        <v>659500</v>
      </c>
      <c r="L647" s="20">
        <v>71000</v>
      </c>
      <c r="M647" s="20"/>
      <c r="N647" s="20">
        <v>458000</v>
      </c>
      <c r="O647" s="20">
        <v>0</v>
      </c>
      <c r="P647" s="20"/>
      <c r="Q647" s="19">
        <f t="shared" si="72"/>
        <v>29020247.016000003</v>
      </c>
      <c r="R647" s="20">
        <v>476710</v>
      </c>
      <c r="S647" s="20">
        <v>8225983</v>
      </c>
      <c r="T647" s="20"/>
      <c r="U647" s="20"/>
      <c r="V647" s="20"/>
      <c r="W647" s="20">
        <v>862000</v>
      </c>
      <c r="X647" s="20">
        <v>6406839</v>
      </c>
      <c r="Y647" s="8">
        <f t="shared" si="73"/>
        <v>13048715.016000003</v>
      </c>
      <c r="Z647" s="36"/>
      <c r="AA647" s="36"/>
      <c r="AB647" s="36"/>
      <c r="AC647" s="36"/>
      <c r="AD647" s="36"/>
      <c r="AE647" s="36"/>
      <c r="AF647" s="36">
        <v>20000</v>
      </c>
      <c r="AG647" s="36"/>
      <c r="AH647" s="36"/>
      <c r="AI647" s="36"/>
      <c r="AJ647" s="36"/>
      <c r="AK647" s="36"/>
      <c r="AL647" s="37">
        <f t="shared" si="74"/>
        <v>20000</v>
      </c>
      <c r="AM647" s="36"/>
      <c r="AN647" s="36"/>
      <c r="AO647" s="36"/>
      <c r="AP647" s="7"/>
      <c r="AQ647" s="38">
        <f t="shared" si="75"/>
        <v>13028715.016000003</v>
      </c>
      <c r="AR647" s="36">
        <v>13028700</v>
      </c>
      <c r="AS647" s="18">
        <f t="shared" si="76"/>
        <v>-15.016000002622604</v>
      </c>
    </row>
    <row r="648" spans="1:45" x14ac:dyDescent="0.25">
      <c r="A648" s="40">
        <v>45936</v>
      </c>
      <c r="B648" s="20">
        <v>1491</v>
      </c>
      <c r="C648" s="20">
        <v>1339.0360000000001</v>
      </c>
      <c r="D648" s="20">
        <v>5185</v>
      </c>
      <c r="E648" s="20">
        <v>4939</v>
      </c>
      <c r="F648" s="7">
        <f t="shared" si="70"/>
        <v>7730835</v>
      </c>
      <c r="G648" s="7">
        <f t="shared" si="71"/>
        <v>6613498.8040000005</v>
      </c>
      <c r="H648" s="20">
        <v>126.75</v>
      </c>
      <c r="I648" s="20">
        <v>2754500</v>
      </c>
      <c r="J648" s="20">
        <v>70.5</v>
      </c>
      <c r="K648" s="20">
        <v>608000</v>
      </c>
      <c r="L648" s="20">
        <v>153000</v>
      </c>
      <c r="M648" s="20"/>
      <c r="N648" s="20"/>
      <c r="O648" s="20">
        <v>100000</v>
      </c>
      <c r="P648" s="20"/>
      <c r="Q648" s="19">
        <f t="shared" si="72"/>
        <v>17959833.804000001</v>
      </c>
      <c r="R648" s="20">
        <v>476285</v>
      </c>
      <c r="S648" s="20">
        <v>7363333</v>
      </c>
      <c r="T648" s="20"/>
      <c r="U648" s="20"/>
      <c r="V648" s="20"/>
      <c r="W648" s="20">
        <v>200000</v>
      </c>
      <c r="X648" s="20">
        <v>1302671</v>
      </c>
      <c r="Y648" s="8">
        <f t="shared" si="73"/>
        <v>8617544.8040000014</v>
      </c>
      <c r="Z648" s="36"/>
      <c r="AA648" s="36"/>
      <c r="AB648" s="36"/>
      <c r="AC648" s="36"/>
      <c r="AD648" s="36"/>
      <c r="AE648" s="36"/>
      <c r="AF648" s="36">
        <v>50000</v>
      </c>
      <c r="AG648" s="36"/>
      <c r="AH648" s="36"/>
      <c r="AI648" s="36"/>
      <c r="AJ648" s="36"/>
      <c r="AK648" s="36"/>
      <c r="AL648" s="37">
        <f t="shared" si="74"/>
        <v>50000</v>
      </c>
      <c r="AM648" s="36"/>
      <c r="AN648" s="36"/>
      <c r="AO648" s="36"/>
      <c r="AP648" s="7"/>
      <c r="AQ648" s="38">
        <f t="shared" si="75"/>
        <v>8567544.8040000014</v>
      </c>
      <c r="AR648" s="36">
        <v>8568200</v>
      </c>
      <c r="AS648" s="18">
        <f t="shared" si="76"/>
        <v>655.19599999859929</v>
      </c>
    </row>
    <row r="649" spans="1:45" x14ac:dyDescent="0.25">
      <c r="A649" s="40">
        <v>45937</v>
      </c>
      <c r="B649" s="20">
        <v>2129.6350000000002</v>
      </c>
      <c r="C649" s="20">
        <v>2488.6860000000001</v>
      </c>
      <c r="D649" s="20">
        <v>5185</v>
      </c>
      <c r="E649" s="20">
        <v>4939</v>
      </c>
      <c r="F649" s="7">
        <f t="shared" si="70"/>
        <v>11042157.475000001</v>
      </c>
      <c r="G649" s="7">
        <f t="shared" si="71"/>
        <v>12291620.154000001</v>
      </c>
      <c r="H649" s="20">
        <v>86.25</v>
      </c>
      <c r="I649" s="20">
        <v>2021500</v>
      </c>
      <c r="J649" s="20">
        <v>155.5</v>
      </c>
      <c r="K649" s="20">
        <v>1330000</v>
      </c>
      <c r="L649" s="20">
        <v>166000</v>
      </c>
      <c r="M649" s="20"/>
      <c r="N649" s="20">
        <v>58000</v>
      </c>
      <c r="O649" s="20">
        <v>1559075</v>
      </c>
      <c r="P649" s="20"/>
      <c r="Q649" s="19">
        <f t="shared" si="72"/>
        <v>28468352.629000001</v>
      </c>
      <c r="R649" s="20">
        <v>947760</v>
      </c>
      <c r="S649" s="20">
        <v>7592576</v>
      </c>
      <c r="T649" s="20"/>
      <c r="U649" s="20"/>
      <c r="V649" s="20"/>
      <c r="W649" s="20">
        <v>105000</v>
      </c>
      <c r="X649" s="20">
        <v>8795040</v>
      </c>
      <c r="Y649" s="8">
        <f t="shared" si="73"/>
        <v>11027976.629000001</v>
      </c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7">
        <f t="shared" si="74"/>
        <v>0</v>
      </c>
      <c r="AM649" s="36"/>
      <c r="AN649" s="36"/>
      <c r="AO649" s="36"/>
      <c r="AP649" s="7"/>
      <c r="AQ649" s="38">
        <f t="shared" si="75"/>
        <v>11027976.629000001</v>
      </c>
      <c r="AR649" s="36">
        <v>11028000</v>
      </c>
      <c r="AS649" s="18">
        <f t="shared" si="76"/>
        <v>23.370999999344349</v>
      </c>
    </row>
    <row r="650" spans="1:45" x14ac:dyDescent="0.25">
      <c r="A650" s="40">
        <v>45938</v>
      </c>
      <c r="B650" s="20">
        <v>1958.2670000000001</v>
      </c>
      <c r="C650" s="20">
        <v>2018.4839999999999</v>
      </c>
      <c r="D650" s="20">
        <v>5185</v>
      </c>
      <c r="E650" s="20">
        <v>4939</v>
      </c>
      <c r="F650" s="7">
        <f t="shared" si="70"/>
        <v>10153614.395</v>
      </c>
      <c r="G650" s="7">
        <f t="shared" si="71"/>
        <v>9969292.4759999998</v>
      </c>
      <c r="H650" s="20">
        <v>49</v>
      </c>
      <c r="I650" s="20">
        <v>1023000</v>
      </c>
      <c r="J650" s="20">
        <v>146</v>
      </c>
      <c r="K650" s="20">
        <v>1421000</v>
      </c>
      <c r="L650" s="20">
        <v>161000</v>
      </c>
      <c r="M650" s="20"/>
      <c r="N650" s="20"/>
      <c r="O650" s="20">
        <v>400000</v>
      </c>
      <c r="P650" s="20"/>
      <c r="Q650" s="19">
        <f t="shared" si="72"/>
        <v>23127906.870999999</v>
      </c>
      <c r="R650" s="20">
        <v>681367</v>
      </c>
      <c r="S650" s="20">
        <v>7631568</v>
      </c>
      <c r="T650" s="20"/>
      <c r="U650" s="20"/>
      <c r="V650" s="20"/>
      <c r="W650" s="20">
        <v>50000</v>
      </c>
      <c r="X650" s="20">
        <v>5501025</v>
      </c>
      <c r="Y650" s="8">
        <f t="shared" si="73"/>
        <v>9263946.8709999993</v>
      </c>
      <c r="Z650" s="36"/>
      <c r="AA650" s="36"/>
      <c r="AB650" s="36"/>
      <c r="AC650" s="36"/>
      <c r="AD650" s="36"/>
      <c r="AE650" s="36"/>
      <c r="AF650" s="36">
        <v>3506000</v>
      </c>
      <c r="AG650" s="36"/>
      <c r="AH650" s="36"/>
      <c r="AI650" s="36"/>
      <c r="AJ650" s="36">
        <v>400000</v>
      </c>
      <c r="AK650" s="36"/>
      <c r="AL650" s="37">
        <f t="shared" si="74"/>
        <v>3906000</v>
      </c>
      <c r="AM650" s="36"/>
      <c r="AN650" s="36"/>
      <c r="AO650" s="36"/>
      <c r="AP650" s="7"/>
      <c r="AQ650" s="38">
        <f t="shared" si="75"/>
        <v>5357946.8709999993</v>
      </c>
      <c r="AR650" s="36">
        <v>5358000</v>
      </c>
      <c r="AS650" s="18">
        <f t="shared" si="76"/>
        <v>53.129000000655651</v>
      </c>
    </row>
    <row r="651" spans="1:45" x14ac:dyDescent="0.25">
      <c r="A651" s="40">
        <v>45939</v>
      </c>
      <c r="B651" s="20">
        <v>2601.701</v>
      </c>
      <c r="C651" s="20">
        <v>4049.9360000000001</v>
      </c>
      <c r="D651" s="20">
        <v>5185</v>
      </c>
      <c r="E651" s="20">
        <v>4939</v>
      </c>
      <c r="F651" s="7">
        <f t="shared" si="70"/>
        <v>13489819.685000001</v>
      </c>
      <c r="G651" s="7">
        <f t="shared" si="71"/>
        <v>20002633.903999999</v>
      </c>
      <c r="H651" s="20">
        <v>96.75</v>
      </c>
      <c r="I651" s="20">
        <v>2083000</v>
      </c>
      <c r="J651" s="20">
        <v>143</v>
      </c>
      <c r="K651" s="20">
        <v>1454500</v>
      </c>
      <c r="L651" s="20">
        <v>185000</v>
      </c>
      <c r="M651" s="20"/>
      <c r="N651" s="20"/>
      <c r="O651" s="20"/>
      <c r="P651" s="20"/>
      <c r="Q651" s="19">
        <f t="shared" si="72"/>
        <v>37214953.589000002</v>
      </c>
      <c r="R651" s="20">
        <v>1722458</v>
      </c>
      <c r="S651" s="20">
        <v>14319406</v>
      </c>
      <c r="T651" s="20"/>
      <c r="U651" s="20"/>
      <c r="V651" s="20"/>
      <c r="W651" s="20">
        <v>674000</v>
      </c>
      <c r="X651" s="20">
        <v>8778736</v>
      </c>
      <c r="Y651" s="8">
        <f t="shared" si="73"/>
        <v>11720353.589000002</v>
      </c>
      <c r="Z651" s="36"/>
      <c r="AA651" s="36"/>
      <c r="AB651" s="36"/>
      <c r="AC651" s="36"/>
      <c r="AD651" s="36"/>
      <c r="AE651" s="36"/>
      <c r="AF651" s="36">
        <v>5000</v>
      </c>
      <c r="AG651" s="36"/>
      <c r="AH651" s="36">
        <v>19000</v>
      </c>
      <c r="AI651" s="36"/>
      <c r="AJ651" s="36"/>
      <c r="AK651" s="36"/>
      <c r="AL651" s="37">
        <f t="shared" si="74"/>
        <v>24000</v>
      </c>
      <c r="AM651" s="36">
        <v>90000</v>
      </c>
      <c r="AN651" s="36"/>
      <c r="AO651" s="36"/>
      <c r="AP651" s="7"/>
      <c r="AQ651" s="38">
        <f t="shared" si="75"/>
        <v>11606353.589000002</v>
      </c>
      <c r="AR651" s="36">
        <v>11606400</v>
      </c>
      <c r="AS651" s="18">
        <f t="shared" si="76"/>
        <v>46.410999998450279</v>
      </c>
    </row>
    <row r="652" spans="1:45" x14ac:dyDescent="0.25">
      <c r="A652" s="40">
        <v>45940</v>
      </c>
      <c r="B652" s="20">
        <v>1730.836</v>
      </c>
      <c r="C652" s="20">
        <v>3304.59</v>
      </c>
      <c r="D652" s="20">
        <v>5185</v>
      </c>
      <c r="E652" s="20">
        <v>4939</v>
      </c>
      <c r="F652" s="7">
        <f t="shared" si="70"/>
        <v>8974384.6600000001</v>
      </c>
      <c r="G652" s="7">
        <f t="shared" si="71"/>
        <v>16321370.010000002</v>
      </c>
      <c r="H652" s="20">
        <v>81</v>
      </c>
      <c r="I652" s="20">
        <v>1693500</v>
      </c>
      <c r="J652" s="20">
        <v>89</v>
      </c>
      <c r="K652" s="20">
        <v>950000</v>
      </c>
      <c r="L652" s="20">
        <v>154000</v>
      </c>
      <c r="M652" s="20"/>
      <c r="N652" s="20"/>
      <c r="O652" s="20">
        <v>1429000</v>
      </c>
      <c r="P652" s="20"/>
      <c r="Q652" s="19">
        <f t="shared" si="72"/>
        <v>29522254.670000002</v>
      </c>
      <c r="R652" s="20">
        <v>190000</v>
      </c>
      <c r="S652" s="20">
        <v>12464875</v>
      </c>
      <c r="T652" s="20"/>
      <c r="U652" s="20"/>
      <c r="V652" s="20"/>
      <c r="W652" s="20">
        <v>119500</v>
      </c>
      <c r="X652" s="20">
        <v>4543898</v>
      </c>
      <c r="Y652" s="8">
        <f t="shared" si="73"/>
        <v>12203981.670000002</v>
      </c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7">
        <f t="shared" si="74"/>
        <v>0</v>
      </c>
      <c r="AM652" s="36"/>
      <c r="AN652" s="36"/>
      <c r="AO652" s="36"/>
      <c r="AP652" s="7"/>
      <c r="AQ652" s="38">
        <f t="shared" si="75"/>
        <v>12203981.670000002</v>
      </c>
      <c r="AR652" s="36">
        <v>12204000</v>
      </c>
      <c r="AS652" s="18">
        <f t="shared" si="76"/>
        <v>18.329999998211861</v>
      </c>
    </row>
    <row r="653" spans="1:45" x14ac:dyDescent="0.25">
      <c r="A653" s="40">
        <v>45941</v>
      </c>
      <c r="B653" s="20">
        <v>2152.5459999999998</v>
      </c>
      <c r="C653" s="20">
        <v>5763.6729999999998</v>
      </c>
      <c r="D653" s="20">
        <v>5185</v>
      </c>
      <c r="E653" s="20">
        <v>4939</v>
      </c>
      <c r="F653" s="7">
        <f t="shared" si="70"/>
        <v>11160951.01</v>
      </c>
      <c r="G653" s="7">
        <f t="shared" si="71"/>
        <v>28466780.947000001</v>
      </c>
      <c r="H653" s="20">
        <v>47</v>
      </c>
      <c r="I653" s="20">
        <v>954500</v>
      </c>
      <c r="J653" s="20">
        <v>95</v>
      </c>
      <c r="K653" s="20">
        <v>902000</v>
      </c>
      <c r="L653" s="20">
        <v>38000</v>
      </c>
      <c r="M653" s="20"/>
      <c r="N653" s="20"/>
      <c r="O653" s="20">
        <v>0</v>
      </c>
      <c r="P653" s="20"/>
      <c r="Q653" s="19">
        <f t="shared" si="72"/>
        <v>41522231.957000002</v>
      </c>
      <c r="R653" s="20">
        <v>452734</v>
      </c>
      <c r="S653" s="20">
        <v>23080685</v>
      </c>
      <c r="T653" s="20"/>
      <c r="U653" s="20"/>
      <c r="V653" s="20"/>
      <c r="W653" s="20">
        <v>390000</v>
      </c>
      <c r="X653" s="20">
        <v>2083260</v>
      </c>
      <c r="Y653" s="8">
        <f t="shared" si="73"/>
        <v>15515552.957000002</v>
      </c>
      <c r="Z653" s="36"/>
      <c r="AA653" s="36"/>
      <c r="AB653" s="36"/>
      <c r="AC653" s="36"/>
      <c r="AD653" s="36">
        <v>98780</v>
      </c>
      <c r="AE653" s="36"/>
      <c r="AF653" s="36">
        <v>5000000</v>
      </c>
      <c r="AG653" s="36"/>
      <c r="AH653" s="36"/>
      <c r="AI653" s="36"/>
      <c r="AJ653" s="36"/>
      <c r="AK653" s="36"/>
      <c r="AL653" s="37">
        <f t="shared" si="74"/>
        <v>5098780</v>
      </c>
      <c r="AM653" s="36"/>
      <c r="AN653" s="36"/>
      <c r="AO653" s="36"/>
      <c r="AP653" s="7"/>
      <c r="AQ653" s="38">
        <f t="shared" si="75"/>
        <v>10416772.957000002</v>
      </c>
      <c r="AR653" s="36">
        <v>10416800</v>
      </c>
      <c r="AS653" s="18">
        <f t="shared" si="76"/>
        <v>27.042999997735023</v>
      </c>
    </row>
    <row r="654" spans="1:45" x14ac:dyDescent="0.25">
      <c r="A654" s="40">
        <v>45942</v>
      </c>
      <c r="B654" s="20">
        <v>2698.373</v>
      </c>
      <c r="C654" s="20">
        <v>3066.5430000000001</v>
      </c>
      <c r="D654" s="20">
        <v>5185</v>
      </c>
      <c r="E654" s="20">
        <v>4939</v>
      </c>
      <c r="F654" s="7">
        <f t="shared" si="70"/>
        <v>13991064.005000001</v>
      </c>
      <c r="G654" s="7">
        <f t="shared" si="71"/>
        <v>15145655.877</v>
      </c>
      <c r="H654" s="20">
        <v>34</v>
      </c>
      <c r="I654" s="20">
        <v>663500</v>
      </c>
      <c r="J654" s="20">
        <v>104.5</v>
      </c>
      <c r="K654" s="20">
        <v>1218000</v>
      </c>
      <c r="L654" s="20">
        <v>16000</v>
      </c>
      <c r="M654" s="20"/>
      <c r="N654" s="20"/>
      <c r="O654" s="20">
        <v>100000</v>
      </c>
      <c r="P654" s="20"/>
      <c r="Q654" s="19">
        <f t="shared" si="72"/>
        <v>31134219.881999999</v>
      </c>
      <c r="R654" s="20">
        <v>896631</v>
      </c>
      <c r="S654" s="20">
        <v>10129738</v>
      </c>
      <c r="T654" s="20"/>
      <c r="U654" s="20"/>
      <c r="V654" s="20"/>
      <c r="W654" s="20">
        <v>248500</v>
      </c>
      <c r="X654" s="20">
        <v>4786587</v>
      </c>
      <c r="Y654" s="8">
        <f t="shared" si="73"/>
        <v>15072763.881999999</v>
      </c>
      <c r="Z654" s="36"/>
      <c r="AA654" s="36"/>
      <c r="AB654" s="36"/>
      <c r="AC654" s="36"/>
      <c r="AD654" s="36">
        <v>150000</v>
      </c>
      <c r="AE654" s="36"/>
      <c r="AF654" s="36">
        <v>3000</v>
      </c>
      <c r="AG654" s="36"/>
      <c r="AH654" s="36">
        <v>50000</v>
      </c>
      <c r="AI654" s="36"/>
      <c r="AJ654" s="36">
        <v>1500000</v>
      </c>
      <c r="AK654" s="36"/>
      <c r="AL654" s="37">
        <f t="shared" si="74"/>
        <v>1703000</v>
      </c>
      <c r="AM654" s="36"/>
      <c r="AN654" s="36"/>
      <c r="AO654" s="36"/>
      <c r="AP654" s="7"/>
      <c r="AQ654" s="38">
        <f t="shared" si="75"/>
        <v>13369763.881999999</v>
      </c>
      <c r="AR654" s="36">
        <v>13367100</v>
      </c>
      <c r="AS654" s="18">
        <f t="shared" si="76"/>
        <v>-2663.8819999992847</v>
      </c>
    </row>
    <row r="655" spans="1:45" x14ac:dyDescent="0.25">
      <c r="A655" s="40">
        <v>45943</v>
      </c>
      <c r="B655" s="20">
        <v>1840.8219999999999</v>
      </c>
      <c r="C655" s="20">
        <v>3158.239</v>
      </c>
      <c r="D655" s="20">
        <v>5185</v>
      </c>
      <c r="E655" s="20">
        <v>4939</v>
      </c>
      <c r="F655" s="7">
        <f t="shared" si="70"/>
        <v>9544662.0700000003</v>
      </c>
      <c r="G655" s="7">
        <f t="shared" si="71"/>
        <v>15598542.421</v>
      </c>
      <c r="H655" s="20">
        <v>23.75</v>
      </c>
      <c r="I655" s="20">
        <v>460500</v>
      </c>
      <c r="J655" s="20">
        <v>125.5</v>
      </c>
      <c r="K655" s="20">
        <v>1076000</v>
      </c>
      <c r="L655" s="20">
        <v>146000</v>
      </c>
      <c r="M655" s="20"/>
      <c r="N655" s="20">
        <v>600000</v>
      </c>
      <c r="O655" s="20">
        <v>0</v>
      </c>
      <c r="P655" s="20"/>
      <c r="Q655" s="19">
        <f t="shared" si="72"/>
        <v>27425704.491</v>
      </c>
      <c r="R655" s="20">
        <v>310730</v>
      </c>
      <c r="S655" s="20">
        <v>12562710</v>
      </c>
      <c r="T655" s="20"/>
      <c r="U655" s="20"/>
      <c r="V655" s="20"/>
      <c r="W655" s="20">
        <v>0</v>
      </c>
      <c r="X655" s="20">
        <v>4348786</v>
      </c>
      <c r="Y655" s="8">
        <f t="shared" si="73"/>
        <v>10203478.491</v>
      </c>
      <c r="Z655" s="36"/>
      <c r="AA655" s="36"/>
      <c r="AB655" s="36"/>
      <c r="AC655" s="36"/>
      <c r="AD655" s="36"/>
      <c r="AE655" s="36"/>
      <c r="AF655" s="36"/>
      <c r="AG655" s="36"/>
      <c r="AH655" s="36">
        <v>15000</v>
      </c>
      <c r="AI655" s="36">
        <v>5000</v>
      </c>
      <c r="AJ655" s="36"/>
      <c r="AK655" s="36"/>
      <c r="AL655" s="37">
        <f t="shared" si="74"/>
        <v>20000</v>
      </c>
      <c r="AM655" s="36"/>
      <c r="AN655" s="36">
        <v>3200000</v>
      </c>
      <c r="AO655" s="36"/>
      <c r="AP655" s="7"/>
      <c r="AQ655" s="38">
        <f t="shared" si="75"/>
        <v>6983478.4910000004</v>
      </c>
      <c r="AR655" s="36">
        <v>6983500</v>
      </c>
      <c r="AS655" s="18">
        <f t="shared" si="76"/>
        <v>21.50899999961257</v>
      </c>
    </row>
    <row r="656" spans="1:45" x14ac:dyDescent="0.25">
      <c r="A656" s="40">
        <v>45944</v>
      </c>
      <c r="B656" s="20">
        <v>2184.0859999999998</v>
      </c>
      <c r="C656" s="20">
        <v>3195.683</v>
      </c>
      <c r="D656" s="20">
        <v>5185</v>
      </c>
      <c r="E656" s="20">
        <v>4939</v>
      </c>
      <c r="F656" s="7">
        <f t="shared" si="70"/>
        <v>11324485.909999998</v>
      </c>
      <c r="G656" s="7">
        <f t="shared" si="71"/>
        <v>15783478.336999999</v>
      </c>
      <c r="H656" s="20">
        <v>37.75</v>
      </c>
      <c r="I656" s="20">
        <v>798000</v>
      </c>
      <c r="J656" s="20">
        <v>129.5</v>
      </c>
      <c r="K656" s="20">
        <v>1388000</v>
      </c>
      <c r="L656" s="20">
        <v>30000</v>
      </c>
      <c r="M656" s="20"/>
      <c r="N656" s="20"/>
      <c r="O656" s="20">
        <v>251950</v>
      </c>
      <c r="P656" s="20"/>
      <c r="Q656" s="19">
        <f t="shared" si="72"/>
        <v>29575914.246999998</v>
      </c>
      <c r="R656" s="20">
        <v>694012</v>
      </c>
      <c r="S656" s="20">
        <v>6262898</v>
      </c>
      <c r="T656" s="20"/>
      <c r="U656" s="20"/>
      <c r="V656" s="20"/>
      <c r="W656" s="20">
        <v>149500</v>
      </c>
      <c r="X656" s="20">
        <v>8666192</v>
      </c>
      <c r="Y656" s="8">
        <f t="shared" si="73"/>
        <v>13803312.246999998</v>
      </c>
      <c r="Z656" s="36">
        <v>1017100</v>
      </c>
      <c r="AA656" s="36"/>
      <c r="AB656" s="36"/>
      <c r="AC656" s="36">
        <v>12000</v>
      </c>
      <c r="AD656" s="36"/>
      <c r="AE656" s="36"/>
      <c r="AF656" s="36">
        <v>3000</v>
      </c>
      <c r="AG656" s="36"/>
      <c r="AH656" s="36"/>
      <c r="AI656" s="36"/>
      <c r="AJ656" s="36">
        <v>500000</v>
      </c>
      <c r="AK656" s="36"/>
      <c r="AL656" s="37">
        <f t="shared" si="74"/>
        <v>1532100</v>
      </c>
      <c r="AM656" s="36">
        <v>608000</v>
      </c>
      <c r="AN656" s="36"/>
      <c r="AO656" s="36"/>
      <c r="AP656" s="7"/>
      <c r="AQ656" s="38">
        <f t="shared" si="75"/>
        <v>11663212.246999998</v>
      </c>
      <c r="AR656" s="36">
        <v>11835200</v>
      </c>
      <c r="AS656" s="18">
        <f t="shared" si="76"/>
        <v>171987.75300000235</v>
      </c>
    </row>
    <row r="657" spans="1:45" x14ac:dyDescent="0.25">
      <c r="A657" s="40">
        <v>45945</v>
      </c>
      <c r="B657" s="20">
        <v>1948.9590000000001</v>
      </c>
      <c r="C657" s="20">
        <v>3700.5210000000002</v>
      </c>
      <c r="D657" s="20">
        <v>5185</v>
      </c>
      <c r="E657" s="20">
        <v>4939</v>
      </c>
      <c r="F657" s="7">
        <f t="shared" si="70"/>
        <v>10105352.415000001</v>
      </c>
      <c r="G657" s="7">
        <f t="shared" si="71"/>
        <v>18276873.219000001</v>
      </c>
      <c r="H657" s="20">
        <v>118.5</v>
      </c>
      <c r="I657" s="20">
        <v>2503000</v>
      </c>
      <c r="J657" s="20">
        <v>82</v>
      </c>
      <c r="K657" s="20">
        <v>1085000</v>
      </c>
      <c r="L657" s="20">
        <v>146000</v>
      </c>
      <c r="M657" s="20"/>
      <c r="N657" s="20"/>
      <c r="O657" s="20"/>
      <c r="P657" s="20"/>
      <c r="Q657" s="19">
        <f t="shared" si="72"/>
        <v>32116225.634000003</v>
      </c>
      <c r="R657" s="20">
        <v>1466802</v>
      </c>
      <c r="S657" s="20">
        <v>14486309</v>
      </c>
      <c r="T657" s="20"/>
      <c r="U657" s="20"/>
      <c r="V657" s="20"/>
      <c r="W657" s="20">
        <v>105000</v>
      </c>
      <c r="X657" s="20">
        <v>4579167</v>
      </c>
      <c r="Y657" s="8">
        <f t="shared" si="73"/>
        <v>11478947.634000003</v>
      </c>
      <c r="Z657" s="36"/>
      <c r="AA657" s="36"/>
      <c r="AB657" s="36"/>
      <c r="AC657" s="36"/>
      <c r="AD657" s="36"/>
      <c r="AE657" s="36"/>
      <c r="AF657" s="36">
        <v>448000</v>
      </c>
      <c r="AG657" s="36"/>
      <c r="AH657" s="36">
        <v>100000</v>
      </c>
      <c r="AI657" s="36"/>
      <c r="AJ657" s="36"/>
      <c r="AK657" s="36"/>
      <c r="AL657" s="37">
        <f t="shared" si="74"/>
        <v>548000</v>
      </c>
      <c r="AM657" s="36">
        <v>882000</v>
      </c>
      <c r="AN657" s="36"/>
      <c r="AO657" s="36"/>
      <c r="AP657" s="7"/>
      <c r="AQ657" s="38">
        <f t="shared" si="75"/>
        <v>10048947.634000003</v>
      </c>
      <c r="AR657" s="36">
        <v>10049000</v>
      </c>
      <c r="AS657" s="18">
        <f t="shared" si="76"/>
        <v>52.36599999666214</v>
      </c>
    </row>
    <row r="658" spans="1:45" x14ac:dyDescent="0.25">
      <c r="A658" s="40">
        <v>45946</v>
      </c>
      <c r="B658" s="20">
        <v>2312.2660000000001</v>
      </c>
      <c r="C658" s="20">
        <v>3862.3760000000002</v>
      </c>
      <c r="D658" s="20">
        <v>5185</v>
      </c>
      <c r="E658" s="20">
        <v>4939</v>
      </c>
      <c r="F658" s="7">
        <f t="shared" si="70"/>
        <v>11989099.210000001</v>
      </c>
      <c r="G658" s="7">
        <f t="shared" si="71"/>
        <v>19076275.063999999</v>
      </c>
      <c r="H658" s="20">
        <v>27.25</v>
      </c>
      <c r="I658" s="20">
        <v>589500</v>
      </c>
      <c r="J658" s="20">
        <v>37</v>
      </c>
      <c r="K658" s="20">
        <v>433000</v>
      </c>
      <c r="L658" s="20">
        <v>73000</v>
      </c>
      <c r="M658" s="20">
        <v>200000</v>
      </c>
      <c r="N658" s="20"/>
      <c r="O658" s="20"/>
      <c r="P658" s="20"/>
      <c r="Q658" s="19">
        <f t="shared" si="72"/>
        <v>32360874.274</v>
      </c>
      <c r="R658" s="20">
        <v>2693906</v>
      </c>
      <c r="S658" s="20">
        <v>16089877</v>
      </c>
      <c r="T658" s="20"/>
      <c r="U658" s="20"/>
      <c r="V658" s="20"/>
      <c r="W658" s="20">
        <v>299300</v>
      </c>
      <c r="X658" s="20">
        <v>3207640</v>
      </c>
      <c r="Y658" s="8">
        <f t="shared" si="73"/>
        <v>10070151.274</v>
      </c>
      <c r="Z658" s="36"/>
      <c r="AA658" s="36"/>
      <c r="AB658" s="36"/>
      <c r="AC658" s="36"/>
      <c r="AD658" s="36"/>
      <c r="AE658" s="36"/>
      <c r="AF658" s="36">
        <v>2700000</v>
      </c>
      <c r="AG658" s="36"/>
      <c r="AH658" s="36"/>
      <c r="AI658" s="36"/>
      <c r="AJ658" s="36">
        <v>4319000</v>
      </c>
      <c r="AK658" s="36"/>
      <c r="AL658" s="37">
        <f t="shared" si="74"/>
        <v>7019000</v>
      </c>
      <c r="AM658" s="36"/>
      <c r="AN658" s="36"/>
      <c r="AO658" s="36"/>
      <c r="AP658" s="7"/>
      <c r="AQ658" s="38">
        <f t="shared" si="75"/>
        <v>3051151.2740000002</v>
      </c>
      <c r="AR658" s="36">
        <v>0</v>
      </c>
      <c r="AS658" s="18">
        <f t="shared" si="76"/>
        <v>-3051151.2740000002</v>
      </c>
    </row>
    <row r="659" spans="1:45" x14ac:dyDescent="0.25">
      <c r="A659" s="40">
        <v>45947</v>
      </c>
      <c r="B659" s="20">
        <v>1820.1669999999999</v>
      </c>
      <c r="C659" s="20">
        <v>4152.6970000000001</v>
      </c>
      <c r="D659" s="20">
        <v>5185</v>
      </c>
      <c r="E659" s="20">
        <v>4939</v>
      </c>
      <c r="F659" s="7">
        <f t="shared" si="70"/>
        <v>9437565.8949999996</v>
      </c>
      <c r="G659" s="7">
        <f t="shared" si="71"/>
        <v>20510170.482999999</v>
      </c>
      <c r="H659" s="20">
        <v>28.5</v>
      </c>
      <c r="I659" s="20">
        <v>538000</v>
      </c>
      <c r="J659" s="20">
        <v>55</v>
      </c>
      <c r="K659" s="20">
        <v>719000</v>
      </c>
      <c r="L659" s="20">
        <v>31000</v>
      </c>
      <c r="M659" s="20"/>
      <c r="N659" s="20"/>
      <c r="O659" s="20">
        <v>2012500</v>
      </c>
      <c r="P659" s="20"/>
      <c r="Q659" s="19">
        <f t="shared" si="72"/>
        <v>33248236.377999999</v>
      </c>
      <c r="R659" s="20">
        <v>721095</v>
      </c>
      <c r="S659" s="20">
        <v>15448826</v>
      </c>
      <c r="T659" s="20"/>
      <c r="U659" s="20"/>
      <c r="V659" s="20"/>
      <c r="W659" s="20">
        <v>60000</v>
      </c>
      <c r="X659" s="20">
        <v>4190262</v>
      </c>
      <c r="Y659" s="8">
        <f t="shared" si="73"/>
        <v>12828053.377999999</v>
      </c>
      <c r="Z659" s="36"/>
      <c r="AA659" s="36"/>
      <c r="AB659" s="36"/>
      <c r="AC659" s="36"/>
      <c r="AD659" s="36"/>
      <c r="AE659" s="36"/>
      <c r="AF659" s="36">
        <v>50000</v>
      </c>
      <c r="AG659" s="36"/>
      <c r="AH659" s="36"/>
      <c r="AI659" s="36"/>
      <c r="AJ659" s="36"/>
      <c r="AK659" s="36"/>
      <c r="AL659" s="37">
        <f t="shared" si="74"/>
        <v>50000</v>
      </c>
      <c r="AM659" s="36"/>
      <c r="AN659" s="36"/>
      <c r="AO659" s="36"/>
      <c r="AP659" s="7"/>
      <c r="AQ659" s="38">
        <f t="shared" si="75"/>
        <v>12778053.377999999</v>
      </c>
      <c r="AR659" s="36">
        <v>15826500</v>
      </c>
      <c r="AS659" s="18">
        <f t="shared" si="76"/>
        <v>3048446.6220000014</v>
      </c>
    </row>
    <row r="660" spans="1:45" x14ac:dyDescent="0.25">
      <c r="A660" s="40">
        <v>45948</v>
      </c>
      <c r="B660" s="20">
        <v>2665.1950000000002</v>
      </c>
      <c r="C660" s="20">
        <v>2707.009</v>
      </c>
      <c r="D660" s="20">
        <v>5185</v>
      </c>
      <c r="E660" s="20">
        <v>4889</v>
      </c>
      <c r="F660" s="7">
        <f t="shared" si="70"/>
        <v>13819036.075000001</v>
      </c>
      <c r="G660" s="7">
        <f t="shared" si="71"/>
        <v>13234567.001</v>
      </c>
      <c r="H660" s="20">
        <v>46.75</v>
      </c>
      <c r="I660" s="20">
        <v>958000</v>
      </c>
      <c r="J660" s="20">
        <v>82</v>
      </c>
      <c r="K660" s="20">
        <v>789700</v>
      </c>
      <c r="L660" s="20">
        <v>96000</v>
      </c>
      <c r="M660" s="20"/>
      <c r="N660" s="20"/>
      <c r="O660" s="20">
        <v>0</v>
      </c>
      <c r="P660" s="20"/>
      <c r="Q660" s="19">
        <f t="shared" si="72"/>
        <v>28897303.076000001</v>
      </c>
      <c r="R660" s="20">
        <v>790592</v>
      </c>
      <c r="S660" s="20">
        <v>10612876</v>
      </c>
      <c r="T660" s="20"/>
      <c r="U660" s="20"/>
      <c r="V660" s="20"/>
      <c r="W660" s="20">
        <v>280000</v>
      </c>
      <c r="X660" s="20">
        <v>4968297</v>
      </c>
      <c r="Y660" s="8">
        <f t="shared" si="73"/>
        <v>12245538.076000001</v>
      </c>
      <c r="Z660" s="36"/>
      <c r="AA660" s="36"/>
      <c r="AB660" s="36"/>
      <c r="AC660" s="36"/>
      <c r="AD660" s="36"/>
      <c r="AE660" s="36"/>
      <c r="AF660" s="36">
        <v>6000</v>
      </c>
      <c r="AG660" s="36"/>
      <c r="AH660" s="36">
        <v>62000</v>
      </c>
      <c r="AI660" s="36"/>
      <c r="AJ660" s="36">
        <v>350000</v>
      </c>
      <c r="AK660" s="36"/>
      <c r="AL660" s="37">
        <f t="shared" si="74"/>
        <v>418000</v>
      </c>
      <c r="AM660" s="36"/>
      <c r="AN660" s="36"/>
      <c r="AO660" s="36"/>
      <c r="AP660" s="7"/>
      <c r="AQ660" s="38">
        <f t="shared" si="75"/>
        <v>11827538.076000001</v>
      </c>
      <c r="AR660" s="36">
        <v>11848800</v>
      </c>
      <c r="AS660" s="18">
        <f t="shared" si="76"/>
        <v>21261.923999998719</v>
      </c>
    </row>
    <row r="661" spans="1:45" x14ac:dyDescent="0.25">
      <c r="A661" s="40">
        <v>45949</v>
      </c>
      <c r="B661" s="20">
        <v>2346.9189999999999</v>
      </c>
      <c r="C661" s="20">
        <v>2785.2429999999999</v>
      </c>
      <c r="D661" s="20">
        <v>5185</v>
      </c>
      <c r="E661" s="20">
        <v>4889</v>
      </c>
      <c r="F661" s="7">
        <f t="shared" si="70"/>
        <v>12168775.014999999</v>
      </c>
      <c r="G661" s="7">
        <f t="shared" si="71"/>
        <v>13617053.026999999</v>
      </c>
      <c r="H661" s="20">
        <v>28</v>
      </c>
      <c r="I661" s="20">
        <v>561000</v>
      </c>
      <c r="J661" s="20">
        <v>134.5</v>
      </c>
      <c r="K661" s="20">
        <v>1508000</v>
      </c>
      <c r="L661" s="20">
        <v>38000</v>
      </c>
      <c r="M661" s="20"/>
      <c r="N661" s="20"/>
      <c r="O661" s="20"/>
      <c r="P661" s="20"/>
      <c r="Q661" s="19">
        <f t="shared" si="72"/>
        <v>27892828.041999996</v>
      </c>
      <c r="R661" s="20">
        <v>1111232</v>
      </c>
      <c r="S661" s="20">
        <v>9641235</v>
      </c>
      <c r="T661" s="20"/>
      <c r="U661" s="20"/>
      <c r="V661" s="20"/>
      <c r="W661" s="20">
        <v>141000</v>
      </c>
      <c r="X661" s="20">
        <v>7099659</v>
      </c>
      <c r="Y661" s="8">
        <f t="shared" si="73"/>
        <v>9899702.0419999957</v>
      </c>
      <c r="Z661" s="36"/>
      <c r="AA661" s="36"/>
      <c r="AB661" s="36"/>
      <c r="AC661" s="36"/>
      <c r="AD661" s="36"/>
      <c r="AE661" s="36"/>
      <c r="AF661" s="36">
        <v>26000</v>
      </c>
      <c r="AG661" s="36"/>
      <c r="AH661" s="36"/>
      <c r="AI661" s="36"/>
      <c r="AJ661" s="36">
        <v>780000</v>
      </c>
      <c r="AK661" s="36"/>
      <c r="AL661" s="37">
        <f t="shared" si="74"/>
        <v>806000</v>
      </c>
      <c r="AM661" s="36"/>
      <c r="AN661" s="36"/>
      <c r="AO661" s="36"/>
      <c r="AP661" s="7"/>
      <c r="AQ661" s="38">
        <f t="shared" si="75"/>
        <v>9093702.0419999957</v>
      </c>
      <c r="AR661" s="36">
        <v>0</v>
      </c>
      <c r="AS661" s="18">
        <f t="shared" si="76"/>
        <v>-9093702.0419999957</v>
      </c>
    </row>
    <row r="662" spans="1:45" x14ac:dyDescent="0.25">
      <c r="A662" s="40">
        <v>45950</v>
      </c>
      <c r="B662" s="20">
        <v>1782.7059999999999</v>
      </c>
      <c r="C662" s="20">
        <v>1897.2</v>
      </c>
      <c r="D662" s="20">
        <v>5185</v>
      </c>
      <c r="E662" s="20">
        <v>4889</v>
      </c>
      <c r="F662" s="7">
        <f t="shared" si="70"/>
        <v>9243330.6099999994</v>
      </c>
      <c r="G662" s="7">
        <f t="shared" si="71"/>
        <v>9275410.8000000007</v>
      </c>
      <c r="H662" s="20">
        <v>55</v>
      </c>
      <c r="I662" s="20">
        <v>1196500</v>
      </c>
      <c r="J662" s="20">
        <v>42.5</v>
      </c>
      <c r="K662" s="20">
        <v>532500</v>
      </c>
      <c r="L662" s="20">
        <v>208000</v>
      </c>
      <c r="M662" s="20"/>
      <c r="N662" s="20"/>
      <c r="O662" s="20">
        <v>1300000</v>
      </c>
      <c r="P662" s="20"/>
      <c r="Q662" s="19">
        <f t="shared" si="72"/>
        <v>21755741.41</v>
      </c>
      <c r="R662" s="20">
        <v>1071067</v>
      </c>
      <c r="S662" s="20">
        <v>7113306</v>
      </c>
      <c r="T662" s="20"/>
      <c r="U662" s="20"/>
      <c r="V662" s="20"/>
      <c r="W662" s="20">
        <v>844000</v>
      </c>
      <c r="X662" s="20">
        <v>2725120</v>
      </c>
      <c r="Y662" s="8">
        <f t="shared" si="73"/>
        <v>10002248.41</v>
      </c>
      <c r="Z662" s="36"/>
      <c r="AA662" s="36">
        <v>10000</v>
      </c>
      <c r="AB662" s="36"/>
      <c r="AC662" s="36"/>
      <c r="AD662" s="36"/>
      <c r="AE662" s="36"/>
      <c r="AF662" s="36">
        <v>50000</v>
      </c>
      <c r="AG662" s="36"/>
      <c r="AH662" s="36"/>
      <c r="AI662" s="36"/>
      <c r="AJ662" s="36">
        <v>500000</v>
      </c>
      <c r="AK662" s="36"/>
      <c r="AL662" s="37">
        <f t="shared" si="74"/>
        <v>560000</v>
      </c>
      <c r="AM662" s="36"/>
      <c r="AN662" s="36"/>
      <c r="AO662" s="36"/>
      <c r="AP662" s="7"/>
      <c r="AQ662" s="38">
        <f t="shared" si="75"/>
        <v>9442248.4100000001</v>
      </c>
      <c r="AR662" s="36">
        <v>15159800</v>
      </c>
      <c r="AS662" s="18">
        <f t="shared" si="76"/>
        <v>5717551.5899999999</v>
      </c>
    </row>
    <row r="663" spans="1:45" x14ac:dyDescent="0.25">
      <c r="A663" s="40">
        <v>45951</v>
      </c>
      <c r="B663" s="20">
        <v>1865.1079999999999</v>
      </c>
      <c r="C663" s="20">
        <v>3531.9189999999999</v>
      </c>
      <c r="D663" s="20">
        <v>5185</v>
      </c>
      <c r="E663" s="20">
        <v>4889</v>
      </c>
      <c r="F663" s="7">
        <f t="shared" si="70"/>
        <v>9670584.9800000004</v>
      </c>
      <c r="G663" s="7">
        <f t="shared" si="71"/>
        <v>17267551.991</v>
      </c>
      <c r="H663" s="20">
        <v>59</v>
      </c>
      <c r="I663" s="20">
        <v>1218000</v>
      </c>
      <c r="J663" s="20">
        <v>110.5</v>
      </c>
      <c r="K663" s="20">
        <v>1237500</v>
      </c>
      <c r="L663" s="20">
        <v>78000</v>
      </c>
      <c r="M663" s="20"/>
      <c r="N663" s="20"/>
      <c r="O663" s="20">
        <v>2195000</v>
      </c>
      <c r="P663" s="20"/>
      <c r="Q663" s="19">
        <f t="shared" si="72"/>
        <v>31666636.971000001</v>
      </c>
      <c r="R663" s="20">
        <v>1089117</v>
      </c>
      <c r="S663" s="20">
        <v>9260622</v>
      </c>
      <c r="T663" s="20"/>
      <c r="U663" s="20"/>
      <c r="V663" s="20"/>
      <c r="W663" s="20">
        <v>830949</v>
      </c>
      <c r="X663" s="20">
        <v>7924947</v>
      </c>
      <c r="Y663" s="8">
        <f t="shared" si="73"/>
        <v>12561001.971000001</v>
      </c>
      <c r="Z663" s="36"/>
      <c r="AA663" s="36">
        <v>10000</v>
      </c>
      <c r="AB663" s="36"/>
      <c r="AC663" s="36">
        <v>38000</v>
      </c>
      <c r="AD663" s="36"/>
      <c r="AE663" s="36"/>
      <c r="AF663" s="36">
        <v>13000</v>
      </c>
      <c r="AG663" s="36"/>
      <c r="AH663" s="36"/>
      <c r="AI663" s="36">
        <v>30000</v>
      </c>
      <c r="AJ663" s="36">
        <v>100000</v>
      </c>
      <c r="AK663" s="36"/>
      <c r="AL663" s="37">
        <f t="shared" si="74"/>
        <v>191000</v>
      </c>
      <c r="AM663" s="36"/>
      <c r="AN663" s="36"/>
      <c r="AO663" s="36"/>
      <c r="AP663" s="7"/>
      <c r="AQ663" s="38">
        <f t="shared" si="75"/>
        <v>12370001.971000001</v>
      </c>
      <c r="AR663" s="36">
        <v>12370000</v>
      </c>
      <c r="AS663" s="18">
        <f t="shared" si="76"/>
        <v>-1.971000000834465</v>
      </c>
    </row>
    <row r="664" spans="1:45" x14ac:dyDescent="0.25">
      <c r="A664" s="40">
        <v>45952</v>
      </c>
      <c r="B664" s="20">
        <v>1680.2729999999999</v>
      </c>
      <c r="C664" s="20">
        <v>2715.627</v>
      </c>
      <c r="D664" s="20">
        <v>5185</v>
      </c>
      <c r="E664" s="20">
        <v>4889</v>
      </c>
      <c r="F664" s="7">
        <f t="shared" si="70"/>
        <v>8712215.504999999</v>
      </c>
      <c r="G664" s="7">
        <f t="shared" si="71"/>
        <v>13276700.402999999</v>
      </c>
      <c r="H664" s="20">
        <v>216</v>
      </c>
      <c r="I664" s="20">
        <v>5687000</v>
      </c>
      <c r="J664" s="20">
        <v>61</v>
      </c>
      <c r="K664" s="20">
        <v>841000</v>
      </c>
      <c r="L664" s="20">
        <v>16000</v>
      </c>
      <c r="M664" s="20"/>
      <c r="N664" s="20">
        <v>500000</v>
      </c>
      <c r="O664" s="20">
        <v>130000</v>
      </c>
      <c r="P664" s="20"/>
      <c r="Q664" s="19">
        <f t="shared" si="72"/>
        <v>29162915.908</v>
      </c>
      <c r="R664" s="20">
        <v>699231</v>
      </c>
      <c r="S664" s="20">
        <v>9169937</v>
      </c>
      <c r="T664" s="20"/>
      <c r="U664" s="20"/>
      <c r="V664" s="20"/>
      <c r="W664" s="20">
        <v>288800</v>
      </c>
      <c r="X664" s="20">
        <v>2249980</v>
      </c>
      <c r="Y664" s="8">
        <f t="shared" si="73"/>
        <v>16754967.908</v>
      </c>
      <c r="Z664" s="36"/>
      <c r="AA664" s="36">
        <v>5000</v>
      </c>
      <c r="AB664" s="36"/>
      <c r="AC664" s="36"/>
      <c r="AD664" s="36">
        <v>97780</v>
      </c>
      <c r="AE664" s="36"/>
      <c r="AF664" s="36">
        <v>1049000</v>
      </c>
      <c r="AG664" s="36"/>
      <c r="AH664" s="36"/>
      <c r="AI664" s="36"/>
      <c r="AJ664" s="36">
        <v>300000</v>
      </c>
      <c r="AK664" s="36"/>
      <c r="AL664" s="37">
        <f t="shared" si="74"/>
        <v>1451780</v>
      </c>
      <c r="AM664" s="36"/>
      <c r="AN664" s="36"/>
      <c r="AO664" s="36"/>
      <c r="AP664" s="7"/>
      <c r="AQ664" s="38">
        <f t="shared" si="75"/>
        <v>15303187.908</v>
      </c>
      <c r="AR664" s="36">
        <v>15303200</v>
      </c>
      <c r="AS664" s="18">
        <f t="shared" si="76"/>
        <v>12.092000000178814</v>
      </c>
    </row>
    <row r="665" spans="1:45" x14ac:dyDescent="0.25">
      <c r="A665" s="40">
        <v>45953</v>
      </c>
      <c r="B665" s="20">
        <v>1791.847</v>
      </c>
      <c r="C665" s="20">
        <v>2640.5160000000001</v>
      </c>
      <c r="D665" s="20">
        <v>5185</v>
      </c>
      <c r="E665" s="20">
        <v>4889</v>
      </c>
      <c r="F665" s="7">
        <f t="shared" si="70"/>
        <v>9290726.6950000003</v>
      </c>
      <c r="G665" s="7">
        <f t="shared" si="71"/>
        <v>12909482.723999999</v>
      </c>
      <c r="H665" s="20">
        <v>123</v>
      </c>
      <c r="I665" s="20">
        <v>3164000</v>
      </c>
      <c r="J665" s="20">
        <v>70</v>
      </c>
      <c r="K665" s="20">
        <v>884000</v>
      </c>
      <c r="L665" s="20">
        <v>30000</v>
      </c>
      <c r="M665" s="20">
        <v>28000</v>
      </c>
      <c r="N665" s="20"/>
      <c r="O665" s="20">
        <v>600000</v>
      </c>
      <c r="P665" s="20"/>
      <c r="Q665" s="19">
        <f t="shared" si="72"/>
        <v>26906209.419</v>
      </c>
      <c r="R665" s="20">
        <v>546305</v>
      </c>
      <c r="S665" s="20">
        <v>7893975</v>
      </c>
      <c r="T665" s="20"/>
      <c r="U665" s="20"/>
      <c r="V665" s="20"/>
      <c r="W665" s="20">
        <v>543000</v>
      </c>
      <c r="X665" s="20">
        <v>7314611</v>
      </c>
      <c r="Y665" s="8">
        <f t="shared" si="73"/>
        <v>10608318.419</v>
      </c>
      <c r="Z665" s="36"/>
      <c r="AA665" s="36">
        <v>170000</v>
      </c>
      <c r="AB665" s="36"/>
      <c r="AC665" s="36">
        <v>28000</v>
      </c>
      <c r="AD665" s="36"/>
      <c r="AE665" s="36"/>
      <c r="AF665" s="36">
        <v>6000</v>
      </c>
      <c r="AG665" s="36"/>
      <c r="AH665" s="36"/>
      <c r="AI665" s="36">
        <v>10000</v>
      </c>
      <c r="AJ665" s="36">
        <v>47000</v>
      </c>
      <c r="AK665" s="36"/>
      <c r="AL665" s="37">
        <f t="shared" si="74"/>
        <v>261000</v>
      </c>
      <c r="AM665" s="36"/>
      <c r="AN665" s="36"/>
      <c r="AO665" s="36"/>
      <c r="AP665" s="7"/>
      <c r="AQ665" s="38">
        <f t="shared" si="75"/>
        <v>10347318.419</v>
      </c>
      <c r="AR665" s="36">
        <v>10347500</v>
      </c>
      <c r="AS665" s="18">
        <f t="shared" si="76"/>
        <v>181.58100000023842</v>
      </c>
    </row>
    <row r="666" spans="1:45" x14ac:dyDescent="0.25">
      <c r="A666" s="40">
        <v>45954</v>
      </c>
      <c r="B666" s="20">
        <v>1756.5509999999999</v>
      </c>
      <c r="C666" s="20">
        <v>3315.598</v>
      </c>
      <c r="D666" s="20">
        <v>5185</v>
      </c>
      <c r="E666" s="20">
        <v>4889</v>
      </c>
      <c r="F666" s="7">
        <f t="shared" si="70"/>
        <v>9107716.9350000005</v>
      </c>
      <c r="G666" s="7">
        <f t="shared" si="71"/>
        <v>16209958.622</v>
      </c>
      <c r="H666" s="20">
        <v>61.75</v>
      </c>
      <c r="I666" s="20">
        <v>1331500</v>
      </c>
      <c r="J666" s="20">
        <v>48.5</v>
      </c>
      <c r="K666" s="20">
        <v>624500</v>
      </c>
      <c r="L666" s="20">
        <v>131000</v>
      </c>
      <c r="M666" s="20"/>
      <c r="N666" s="20"/>
      <c r="O666" s="20">
        <v>0</v>
      </c>
      <c r="P666" s="20"/>
      <c r="Q666" s="19">
        <f t="shared" si="72"/>
        <v>27404675.557</v>
      </c>
      <c r="R666" s="20">
        <v>624500</v>
      </c>
      <c r="S666" s="20">
        <v>10178328</v>
      </c>
      <c r="T666" s="20"/>
      <c r="U666" s="20"/>
      <c r="V666" s="20"/>
      <c r="W666" s="20">
        <v>100000</v>
      </c>
      <c r="X666" s="20">
        <v>8950510</v>
      </c>
      <c r="Y666" s="8">
        <f t="shared" si="73"/>
        <v>7551337.557</v>
      </c>
      <c r="Z666" s="36"/>
      <c r="AA666" s="36"/>
      <c r="AB666" s="36"/>
      <c r="AC666" s="36"/>
      <c r="AD666" s="36"/>
      <c r="AE666" s="36"/>
      <c r="AF666" s="36">
        <v>25000</v>
      </c>
      <c r="AG666" s="36"/>
      <c r="AH666" s="36"/>
      <c r="AI666" s="36"/>
      <c r="AJ666" s="36"/>
      <c r="AK666" s="36"/>
      <c r="AL666" s="37">
        <f t="shared" si="74"/>
        <v>25000</v>
      </c>
      <c r="AM666" s="36"/>
      <c r="AN666" s="36"/>
      <c r="AO666" s="36"/>
      <c r="AP666" s="7"/>
      <c r="AQ666" s="38">
        <f t="shared" si="75"/>
        <v>7526337.557</v>
      </c>
      <c r="AR666" s="36">
        <v>7382800</v>
      </c>
      <c r="AS666" s="18">
        <f t="shared" si="76"/>
        <v>-143537.55700000003</v>
      </c>
    </row>
    <row r="667" spans="1:45" x14ac:dyDescent="0.25">
      <c r="A667" s="40">
        <v>45955</v>
      </c>
      <c r="B667" s="20">
        <v>3030.7570000000001</v>
      </c>
      <c r="C667" s="20">
        <v>2564.134</v>
      </c>
      <c r="D667" s="20">
        <v>5185</v>
      </c>
      <c r="E667" s="20">
        <v>4889</v>
      </c>
      <c r="F667" s="7">
        <f t="shared" si="70"/>
        <v>15714475.045</v>
      </c>
      <c r="G667" s="7">
        <f t="shared" si="71"/>
        <v>12536051.126</v>
      </c>
      <c r="H667" s="20">
        <v>83.5</v>
      </c>
      <c r="I667" s="20">
        <v>1735000</v>
      </c>
      <c r="J667" s="20">
        <v>92</v>
      </c>
      <c r="K667" s="20">
        <v>1079500</v>
      </c>
      <c r="L667" s="20">
        <v>101000</v>
      </c>
      <c r="M667" s="20"/>
      <c r="N667" s="20"/>
      <c r="O667" s="20">
        <v>3164749</v>
      </c>
      <c r="P667" s="20"/>
      <c r="Q667" s="19">
        <f t="shared" si="72"/>
        <v>34330775.171000004</v>
      </c>
      <c r="R667" s="20">
        <v>1779234</v>
      </c>
      <c r="S667" s="20">
        <v>4978683</v>
      </c>
      <c r="T667" s="20"/>
      <c r="U667" s="20"/>
      <c r="V667" s="20"/>
      <c r="W667" s="20">
        <v>398000</v>
      </c>
      <c r="X667" s="20">
        <v>6420261</v>
      </c>
      <c r="Y667" s="8">
        <f t="shared" si="73"/>
        <v>20754597.171000004</v>
      </c>
      <c r="Z667" s="36"/>
      <c r="AA667" s="36"/>
      <c r="AB667" s="36"/>
      <c r="AC667" s="36"/>
      <c r="AD667" s="36"/>
      <c r="AE667" s="36"/>
      <c r="AF667" s="36">
        <v>3000</v>
      </c>
      <c r="AG667" s="36"/>
      <c r="AH667" s="36"/>
      <c r="AI667" s="36"/>
      <c r="AJ667" s="36"/>
      <c r="AK667" s="36"/>
      <c r="AL667" s="37">
        <f t="shared" si="74"/>
        <v>3000</v>
      </c>
      <c r="AM667" s="36"/>
      <c r="AN667" s="36"/>
      <c r="AO667" s="36"/>
      <c r="AP667" s="7"/>
      <c r="AQ667" s="38">
        <f t="shared" si="75"/>
        <v>20751597.171000004</v>
      </c>
      <c r="AR667" s="36">
        <v>19780000</v>
      </c>
      <c r="AS667" s="18">
        <f t="shared" si="76"/>
        <v>-971597.17100000381</v>
      </c>
    </row>
    <row r="668" spans="1:45" x14ac:dyDescent="0.25">
      <c r="A668" s="40">
        <v>45956</v>
      </c>
      <c r="B668" s="20">
        <v>2213.9070000000002</v>
      </c>
      <c r="C668" s="20">
        <v>2051.12</v>
      </c>
      <c r="D668" s="20">
        <v>5185</v>
      </c>
      <c r="E668" s="20">
        <v>4889</v>
      </c>
      <c r="F668" s="7">
        <f t="shared" si="70"/>
        <v>11479107.795</v>
      </c>
      <c r="G668" s="7">
        <f t="shared" si="71"/>
        <v>10027925.68</v>
      </c>
      <c r="H668" s="20">
        <v>98.25</v>
      </c>
      <c r="I668" s="20">
        <v>2019800</v>
      </c>
      <c r="J668" s="20">
        <v>100.5</v>
      </c>
      <c r="K668" s="20">
        <v>1268000</v>
      </c>
      <c r="L668" s="20">
        <v>107000</v>
      </c>
      <c r="M668" s="20"/>
      <c r="N668" s="20"/>
      <c r="O668" s="20"/>
      <c r="P668" s="20"/>
      <c r="Q668" s="19">
        <f t="shared" si="72"/>
        <v>24901833.475000001</v>
      </c>
      <c r="R668" s="20">
        <v>618000</v>
      </c>
      <c r="S668" s="20">
        <v>3206207</v>
      </c>
      <c r="T668" s="20"/>
      <c r="U668" s="20"/>
      <c r="V668" s="20"/>
      <c r="W668" s="20">
        <v>623500</v>
      </c>
      <c r="X668" s="20">
        <v>3828760</v>
      </c>
      <c r="Y668" s="8">
        <f t="shared" si="73"/>
        <v>16625366.475000001</v>
      </c>
      <c r="Z668" s="36"/>
      <c r="AA668" s="36"/>
      <c r="AB668" s="36"/>
      <c r="AC668" s="36"/>
      <c r="AD668" s="36">
        <v>103700</v>
      </c>
      <c r="AE668" s="36">
        <v>46000</v>
      </c>
      <c r="AF668" s="36">
        <v>16000</v>
      </c>
      <c r="AG668" s="36"/>
      <c r="AH668" s="36"/>
      <c r="AI668" s="36"/>
      <c r="AJ668" s="36">
        <v>300000</v>
      </c>
      <c r="AK668" s="36"/>
      <c r="AL668" s="37">
        <f t="shared" si="74"/>
        <v>465700</v>
      </c>
      <c r="AM668" s="36"/>
      <c r="AN668" s="36"/>
      <c r="AO668" s="36"/>
      <c r="AP668" s="7"/>
      <c r="AQ668" s="38">
        <f t="shared" si="75"/>
        <v>16159666.475000001</v>
      </c>
      <c r="AR668" s="36"/>
      <c r="AS668" s="18">
        <f t="shared" si="76"/>
        <v>-16159666.475000001</v>
      </c>
    </row>
    <row r="669" spans="1:45" x14ac:dyDescent="0.25">
      <c r="A669" s="40">
        <v>45957</v>
      </c>
      <c r="B669" s="20">
        <v>1590.4960000000001</v>
      </c>
      <c r="C669" s="20">
        <v>5899.0619999999999</v>
      </c>
      <c r="D669" s="20">
        <v>5185</v>
      </c>
      <c r="E669" s="20">
        <v>4889</v>
      </c>
      <c r="F669" s="7">
        <f t="shared" si="70"/>
        <v>8246721.7600000007</v>
      </c>
      <c r="G669" s="7">
        <f t="shared" si="71"/>
        <v>28840514.118000001</v>
      </c>
      <c r="H669" s="20">
        <v>64.75</v>
      </c>
      <c r="I669" s="20">
        <v>1352000</v>
      </c>
      <c r="J669" s="20">
        <v>30.5</v>
      </c>
      <c r="K669" s="20">
        <v>366000</v>
      </c>
      <c r="L669" s="20">
        <v>24000</v>
      </c>
      <c r="M669" s="20"/>
      <c r="N669" s="20"/>
      <c r="O669" s="20">
        <v>1314460</v>
      </c>
      <c r="P669" s="20"/>
      <c r="Q669" s="19">
        <f t="shared" si="72"/>
        <v>40143695.877999999</v>
      </c>
      <c r="R669" s="20">
        <v>627220</v>
      </c>
      <c r="S669" s="20">
        <v>25025636</v>
      </c>
      <c r="T669" s="20"/>
      <c r="U669" s="20"/>
      <c r="V669" s="20"/>
      <c r="W669" s="20">
        <v>30000</v>
      </c>
      <c r="X669" s="20">
        <v>2192914</v>
      </c>
      <c r="Y669" s="8">
        <f t="shared" si="73"/>
        <v>12267925.877999999</v>
      </c>
      <c r="Z669" s="36"/>
      <c r="AA669" s="36"/>
      <c r="AB669" s="36"/>
      <c r="AC669" s="36"/>
      <c r="AD669" s="36"/>
      <c r="AE669" s="36"/>
      <c r="AF669" s="36">
        <v>831553</v>
      </c>
      <c r="AG669" s="36"/>
      <c r="AH669" s="36"/>
      <c r="AI669" s="36"/>
      <c r="AJ669" s="36"/>
      <c r="AK669" s="36"/>
      <c r="AL669" s="37">
        <f t="shared" si="74"/>
        <v>831553</v>
      </c>
      <c r="AM669" s="36"/>
      <c r="AN669" s="36"/>
      <c r="AO669" s="36"/>
      <c r="AP669" s="7"/>
      <c r="AQ669" s="38">
        <f t="shared" si="75"/>
        <v>11436372.877999999</v>
      </c>
      <c r="AR669" s="36"/>
      <c r="AS669" s="18">
        <f t="shared" si="76"/>
        <v>-11436372.877999999</v>
      </c>
    </row>
    <row r="670" spans="1:45" x14ac:dyDescent="0.25">
      <c r="A670" s="40">
        <v>45958</v>
      </c>
      <c r="B670" s="20">
        <v>2116.92</v>
      </c>
      <c r="C670" s="20">
        <v>7491.34</v>
      </c>
      <c r="D670" s="20">
        <v>5185</v>
      </c>
      <c r="E670" s="20">
        <v>4889</v>
      </c>
      <c r="F670" s="7">
        <f t="shared" si="70"/>
        <v>10976230.200000001</v>
      </c>
      <c r="G670" s="7">
        <f t="shared" si="71"/>
        <v>36625161.259999998</v>
      </c>
      <c r="H670" s="20">
        <v>106</v>
      </c>
      <c r="I670" s="20">
        <v>2247500</v>
      </c>
      <c r="J670" s="20">
        <v>55</v>
      </c>
      <c r="K670" s="20">
        <v>567000</v>
      </c>
      <c r="L670" s="20">
        <v>161000</v>
      </c>
      <c r="M670" s="20"/>
      <c r="N670" s="20"/>
      <c r="O670" s="20"/>
      <c r="P670" s="20"/>
      <c r="Q670" s="19">
        <f t="shared" si="72"/>
        <v>50576891.460000001</v>
      </c>
      <c r="R670" s="20">
        <v>949722</v>
      </c>
      <c r="S670" s="20">
        <v>34414966</v>
      </c>
      <c r="T670" s="20"/>
      <c r="U670" s="20"/>
      <c r="V670" s="20"/>
      <c r="W670" s="20">
        <v>100000</v>
      </c>
      <c r="X670" s="20">
        <v>6528130</v>
      </c>
      <c r="Y670" s="8">
        <f t="shared" si="73"/>
        <v>8584073.4600000009</v>
      </c>
      <c r="Z670" s="36"/>
      <c r="AA670" s="36"/>
      <c r="AB670" s="36"/>
      <c r="AC670" s="36"/>
      <c r="AD670" s="36"/>
      <c r="AE670" s="36"/>
      <c r="AF670" s="36">
        <v>3000</v>
      </c>
      <c r="AG670" s="36">
        <v>20000</v>
      </c>
      <c r="AH670" s="36"/>
      <c r="AI670" s="36"/>
      <c r="AJ670" s="36"/>
      <c r="AK670" s="36"/>
      <c r="AL670" s="37">
        <f t="shared" si="74"/>
        <v>23000</v>
      </c>
      <c r="AM670" s="36"/>
      <c r="AN670" s="36"/>
      <c r="AO670" s="36"/>
      <c r="AP670" s="7"/>
      <c r="AQ670" s="38">
        <f t="shared" si="75"/>
        <v>8561073.4600000009</v>
      </c>
      <c r="AR670" s="36"/>
      <c r="AS670" s="18">
        <f t="shared" si="76"/>
        <v>-8561073.4600000009</v>
      </c>
    </row>
    <row r="671" spans="1:45" x14ac:dyDescent="0.25">
      <c r="A671" s="40">
        <v>45959</v>
      </c>
      <c r="B671" s="20">
        <v>2243.375</v>
      </c>
      <c r="C671" s="20">
        <v>2489.0390000000002</v>
      </c>
      <c r="D671" s="20">
        <v>5185</v>
      </c>
      <c r="E671" s="20">
        <v>4889</v>
      </c>
      <c r="F671" s="7">
        <f t="shared" si="70"/>
        <v>11631899.375</v>
      </c>
      <c r="G671" s="7">
        <f t="shared" si="71"/>
        <v>12168911.671000002</v>
      </c>
      <c r="H671" s="20">
        <v>109.75</v>
      </c>
      <c r="I671" s="20">
        <v>2297500</v>
      </c>
      <c r="J671" s="20">
        <v>55</v>
      </c>
      <c r="K671" s="20">
        <v>521000</v>
      </c>
      <c r="L671" s="20">
        <v>161000</v>
      </c>
      <c r="M671" s="20"/>
      <c r="N671" s="20"/>
      <c r="O671" s="20">
        <v>250000</v>
      </c>
      <c r="P671" s="20"/>
      <c r="Q671" s="19">
        <f t="shared" si="72"/>
        <v>27030311.046000004</v>
      </c>
      <c r="R671" s="20">
        <v>961895</v>
      </c>
      <c r="S671" s="20">
        <v>10106952</v>
      </c>
      <c r="T671" s="20"/>
      <c r="U671" s="20"/>
      <c r="V671" s="20"/>
      <c r="W671" s="20">
        <v>443350</v>
      </c>
      <c r="X671" s="20">
        <v>3268274</v>
      </c>
      <c r="Y671" s="8">
        <f t="shared" si="73"/>
        <v>12249840.046000004</v>
      </c>
      <c r="Z671" s="36"/>
      <c r="AA671" s="36"/>
      <c r="AB671" s="36"/>
      <c r="AC671" s="36">
        <v>18000</v>
      </c>
      <c r="AD671" s="36"/>
      <c r="AE671" s="36"/>
      <c r="AF671" s="36">
        <v>50000</v>
      </c>
      <c r="AG671" s="36"/>
      <c r="AH671" s="36">
        <v>19000</v>
      </c>
      <c r="AI671" s="36"/>
      <c r="AJ671" s="36">
        <v>500000</v>
      </c>
      <c r="AK671" s="36"/>
      <c r="AL671" s="37">
        <f t="shared" si="74"/>
        <v>587000</v>
      </c>
      <c r="AM671" s="36"/>
      <c r="AN671" s="36"/>
      <c r="AO671" s="36"/>
      <c r="AP671" s="7"/>
      <c r="AQ671" s="38">
        <f t="shared" si="75"/>
        <v>11662840.046000004</v>
      </c>
      <c r="AR671" s="36"/>
      <c r="AS671" s="18">
        <f t="shared" si="76"/>
        <v>-11662840.046000004</v>
      </c>
    </row>
    <row r="672" spans="1:45" x14ac:dyDescent="0.25">
      <c r="A672" s="40">
        <v>45960</v>
      </c>
      <c r="B672" s="20">
        <v>1657.8589999999999</v>
      </c>
      <c r="C672" s="20">
        <v>3052.9259999999999</v>
      </c>
      <c r="D672" s="20">
        <v>5185</v>
      </c>
      <c r="E672" s="20">
        <v>4889</v>
      </c>
      <c r="F672" s="7">
        <f t="shared" si="70"/>
        <v>8595998.9149999991</v>
      </c>
      <c r="G672" s="7">
        <f t="shared" si="71"/>
        <v>14925755.214</v>
      </c>
      <c r="H672" s="20">
        <v>86.75</v>
      </c>
      <c r="I672" s="20">
        <v>1874000</v>
      </c>
      <c r="J672" s="20">
        <v>59</v>
      </c>
      <c r="K672" s="20">
        <v>519500</v>
      </c>
      <c r="L672" s="20">
        <v>138000</v>
      </c>
      <c r="M672" s="20"/>
      <c r="N672" s="20"/>
      <c r="O672" s="20">
        <v>600000</v>
      </c>
      <c r="P672" s="20"/>
      <c r="Q672" s="19">
        <f t="shared" si="72"/>
        <v>26653254.129000001</v>
      </c>
      <c r="R672" s="20">
        <v>596541</v>
      </c>
      <c r="S672" s="20">
        <v>9250300</v>
      </c>
      <c r="T672" s="20"/>
      <c r="U672" s="20"/>
      <c r="V672" s="20"/>
      <c r="W672" s="20">
        <v>0</v>
      </c>
      <c r="X672" s="20">
        <v>8742636</v>
      </c>
      <c r="Y672" s="8">
        <f t="shared" si="73"/>
        <v>8063777.1290000007</v>
      </c>
      <c r="Z672" s="36"/>
      <c r="AA672" s="36">
        <v>14481</v>
      </c>
      <c r="AB672" s="36"/>
      <c r="AC672" s="36"/>
      <c r="AD672" s="36"/>
      <c r="AE672" s="36"/>
      <c r="AF672" s="36"/>
      <c r="AG672" s="36"/>
      <c r="AH672" s="36"/>
      <c r="AI672" s="36"/>
      <c r="AJ672" s="36">
        <v>3300000</v>
      </c>
      <c r="AK672" s="36"/>
      <c r="AL672" s="37">
        <f t="shared" si="74"/>
        <v>3314481</v>
      </c>
      <c r="AM672" s="36">
        <v>10000</v>
      </c>
      <c r="AN672" s="36"/>
      <c r="AO672" s="36"/>
      <c r="AP672" s="7"/>
      <c r="AQ672" s="38">
        <f t="shared" si="75"/>
        <v>4739296.1290000007</v>
      </c>
      <c r="AR672" s="36">
        <v>4739300</v>
      </c>
      <c r="AS672" s="18">
        <f t="shared" si="76"/>
        <v>3.8709999993443489</v>
      </c>
    </row>
    <row r="673" spans="1:45" x14ac:dyDescent="0.25">
      <c r="A673" s="40">
        <v>45961</v>
      </c>
      <c r="B673" s="20">
        <v>2508.4969999999998</v>
      </c>
      <c r="C673" s="20">
        <v>5025.3860000000004</v>
      </c>
      <c r="D673" s="20">
        <v>5185</v>
      </c>
      <c r="E673" s="20">
        <v>4889</v>
      </c>
      <c r="F673" s="7">
        <f t="shared" si="70"/>
        <v>13006556.944999998</v>
      </c>
      <c r="G673" s="7">
        <f t="shared" si="71"/>
        <v>24569112.154000003</v>
      </c>
      <c r="H673" s="20">
        <v>105.5</v>
      </c>
      <c r="I673" s="20">
        <v>2316500</v>
      </c>
      <c r="J673" s="20">
        <v>73</v>
      </c>
      <c r="K673" s="20">
        <v>754000</v>
      </c>
      <c r="L673" s="20">
        <v>319000</v>
      </c>
      <c r="M673" s="20"/>
      <c r="N673" s="20">
        <v>500000</v>
      </c>
      <c r="O673" s="20">
        <v>1465850</v>
      </c>
      <c r="P673" s="20"/>
      <c r="Q673" s="19">
        <f t="shared" si="72"/>
        <v>42931019.098999999</v>
      </c>
      <c r="R673" s="20">
        <v>1359877</v>
      </c>
      <c r="S673" s="20">
        <v>16252139</v>
      </c>
      <c r="T673" s="20"/>
      <c r="U673" s="20"/>
      <c r="V673" s="20"/>
      <c r="W673" s="20">
        <v>282900</v>
      </c>
      <c r="X673" s="20">
        <v>7824774</v>
      </c>
      <c r="Y673" s="8">
        <f t="shared" si="73"/>
        <v>17211329.098999999</v>
      </c>
      <c r="Z673" s="36"/>
      <c r="AA673" s="36"/>
      <c r="AB673" s="36"/>
      <c r="AC673" s="36">
        <v>20000</v>
      </c>
      <c r="AD673" s="36"/>
      <c r="AE673" s="36"/>
      <c r="AF673" s="36">
        <v>23000</v>
      </c>
      <c r="AG673" s="36">
        <v>620000</v>
      </c>
      <c r="AH673" s="36">
        <v>10000</v>
      </c>
      <c r="AI673" s="36"/>
      <c r="AJ673" s="36">
        <v>2200000</v>
      </c>
      <c r="AK673" s="36"/>
      <c r="AL673" s="37">
        <f t="shared" si="74"/>
        <v>2873000</v>
      </c>
      <c r="AM673" s="36">
        <v>110000</v>
      </c>
      <c r="AN673" s="36">
        <v>550000</v>
      </c>
      <c r="AO673" s="36"/>
      <c r="AP673" s="7"/>
      <c r="AQ673" s="38">
        <f t="shared" si="75"/>
        <v>13678329.098999999</v>
      </c>
      <c r="AR673" s="36">
        <v>13678300</v>
      </c>
      <c r="AS673" s="18">
        <f t="shared" si="76"/>
        <v>-29.098999999463558</v>
      </c>
    </row>
    <row r="674" spans="1:45" x14ac:dyDescent="0.25">
      <c r="A674" s="40">
        <v>45962</v>
      </c>
      <c r="B674" s="20">
        <v>2250.7179999999998</v>
      </c>
      <c r="C674" s="20">
        <v>3658.6930000000002</v>
      </c>
      <c r="D674" s="20">
        <v>5185</v>
      </c>
      <c r="E674" s="20">
        <v>4889</v>
      </c>
      <c r="F674" s="7">
        <f t="shared" si="70"/>
        <v>11669972.83</v>
      </c>
      <c r="G674" s="7">
        <f t="shared" si="71"/>
        <v>17887350.077</v>
      </c>
      <c r="H674" s="20">
        <v>54.25</v>
      </c>
      <c r="I674" s="20">
        <v>1069500</v>
      </c>
      <c r="J674" s="20">
        <v>37</v>
      </c>
      <c r="K674" s="20">
        <v>334500</v>
      </c>
      <c r="L674" s="20">
        <v>23000</v>
      </c>
      <c r="M674" s="20"/>
      <c r="N674" s="20">
        <v>174000</v>
      </c>
      <c r="O674" s="20">
        <v>1988200</v>
      </c>
      <c r="P674" s="20"/>
      <c r="Q674" s="19">
        <f t="shared" si="72"/>
        <v>33146522.906999998</v>
      </c>
      <c r="R674" s="20">
        <v>611553</v>
      </c>
      <c r="S674" s="20">
        <v>16087912</v>
      </c>
      <c r="T674" s="20"/>
      <c r="U674" s="20"/>
      <c r="V674" s="20"/>
      <c r="W674" s="20">
        <v>349500</v>
      </c>
      <c r="X674" s="20">
        <v>1793625</v>
      </c>
      <c r="Y674" s="8">
        <f t="shared" si="73"/>
        <v>14303932.906999998</v>
      </c>
      <c r="Z674" s="36"/>
      <c r="AA674" s="36"/>
      <c r="AB674" s="36">
        <v>506200</v>
      </c>
      <c r="AC674" s="36"/>
      <c r="AD674" s="36"/>
      <c r="AE674" s="36"/>
      <c r="AF674" s="36">
        <v>3000</v>
      </c>
      <c r="AG674" s="36">
        <v>2140000</v>
      </c>
      <c r="AH674" s="36">
        <v>12000</v>
      </c>
      <c r="AI674" s="36"/>
      <c r="AJ674" s="36"/>
      <c r="AK674" s="36"/>
      <c r="AL674" s="37">
        <f t="shared" si="74"/>
        <v>2661200</v>
      </c>
      <c r="AM674" s="36"/>
      <c r="AN674" s="36"/>
      <c r="AO674" s="36"/>
      <c r="AP674" s="7"/>
      <c r="AQ674" s="38">
        <f t="shared" si="75"/>
        <v>11642732.906999998</v>
      </c>
      <c r="AR674" s="36">
        <v>11772400</v>
      </c>
      <c r="AS674" s="18">
        <f t="shared" si="76"/>
        <v>129667.09300000221</v>
      </c>
    </row>
    <row r="675" spans="1:45" x14ac:dyDescent="0.25">
      <c r="A675" s="40">
        <v>45963</v>
      </c>
      <c r="B675" s="20">
        <v>2607.5810000000001</v>
      </c>
      <c r="C675" s="20">
        <v>3846.6860000000001</v>
      </c>
      <c r="D675" s="20">
        <v>5185</v>
      </c>
      <c r="E675" s="20">
        <v>4889</v>
      </c>
      <c r="F675" s="7">
        <f t="shared" si="70"/>
        <v>13520307.485000001</v>
      </c>
      <c r="G675" s="7">
        <f t="shared" si="71"/>
        <v>18806447.854000002</v>
      </c>
      <c r="H675" s="20">
        <v>72</v>
      </c>
      <c r="I675" s="20">
        <v>1464500</v>
      </c>
      <c r="J675" s="20">
        <v>18</v>
      </c>
      <c r="K675" s="20">
        <v>159000</v>
      </c>
      <c r="L675" s="20">
        <v>68000</v>
      </c>
      <c r="M675" s="20"/>
      <c r="N675" s="20"/>
      <c r="O675" s="20">
        <v>217000</v>
      </c>
      <c r="P675" s="20"/>
      <c r="Q675" s="19">
        <f t="shared" si="72"/>
        <v>34235255.339000002</v>
      </c>
      <c r="R675" s="20">
        <v>1371146</v>
      </c>
      <c r="S675" s="20">
        <v>15049057</v>
      </c>
      <c r="T675" s="20"/>
      <c r="U675" s="20"/>
      <c r="V675" s="20"/>
      <c r="W675" s="20">
        <v>50000</v>
      </c>
      <c r="X675" s="20">
        <v>5920587</v>
      </c>
      <c r="Y675" s="8">
        <f t="shared" si="73"/>
        <v>11844465.339000002</v>
      </c>
      <c r="Z675" s="36"/>
      <c r="AA675" s="36"/>
      <c r="AB675" s="36"/>
      <c r="AC675" s="36"/>
      <c r="AD675" s="36"/>
      <c r="AE675" s="36">
        <v>1284000</v>
      </c>
      <c r="AF675" s="36">
        <v>3000</v>
      </c>
      <c r="AG675" s="36"/>
      <c r="AH675" s="36"/>
      <c r="AI675" s="36"/>
      <c r="AJ675" s="36"/>
      <c r="AK675" s="36"/>
      <c r="AL675" s="37">
        <f t="shared" si="74"/>
        <v>1287000</v>
      </c>
      <c r="AM675" s="36"/>
      <c r="AN675" s="36"/>
      <c r="AO675" s="36"/>
      <c r="AP675" s="7"/>
      <c r="AQ675" s="38">
        <f t="shared" si="75"/>
        <v>10557465.339000002</v>
      </c>
      <c r="AR675" s="36">
        <v>0</v>
      </c>
      <c r="AS675" s="18">
        <f t="shared" si="76"/>
        <v>-10557465.339000002</v>
      </c>
    </row>
    <row r="676" spans="1:45" x14ac:dyDescent="0.25">
      <c r="A676" s="40">
        <v>45964</v>
      </c>
      <c r="B676" s="20">
        <v>2346.5160000000001</v>
      </c>
      <c r="C676" s="20">
        <v>2482.1590000000001</v>
      </c>
      <c r="D676" s="20">
        <v>5185</v>
      </c>
      <c r="E676" s="20">
        <v>4889</v>
      </c>
      <c r="F676" s="7">
        <f t="shared" si="70"/>
        <v>12166685.460000001</v>
      </c>
      <c r="G676" s="7">
        <f t="shared" si="71"/>
        <v>12135275.351</v>
      </c>
      <c r="H676" s="20">
        <v>43.75</v>
      </c>
      <c r="I676" s="20">
        <v>891000</v>
      </c>
      <c r="J676" s="20">
        <v>64.5</v>
      </c>
      <c r="K676" s="20">
        <v>502000</v>
      </c>
      <c r="L676" s="20">
        <v>81000</v>
      </c>
      <c r="M676" s="20"/>
      <c r="N676" s="20"/>
      <c r="O676" s="20"/>
      <c r="P676" s="20"/>
      <c r="Q676" s="19">
        <f t="shared" si="72"/>
        <v>25775960.811000001</v>
      </c>
      <c r="R676" s="20">
        <v>507765</v>
      </c>
      <c r="S676" s="20">
        <v>15361149</v>
      </c>
      <c r="T676" s="20"/>
      <c r="U676" s="20"/>
      <c r="V676" s="20"/>
      <c r="W676" s="20">
        <v>256300</v>
      </c>
      <c r="X676" s="20">
        <v>2861835</v>
      </c>
      <c r="Y676" s="8">
        <f t="shared" si="73"/>
        <v>6788911.8110000007</v>
      </c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>
        <v>900000</v>
      </c>
      <c r="AK676" s="36"/>
      <c r="AL676" s="37">
        <f t="shared" si="74"/>
        <v>900000</v>
      </c>
      <c r="AM676" s="36"/>
      <c r="AN676" s="36"/>
      <c r="AO676" s="36"/>
      <c r="AP676" s="7"/>
      <c r="AQ676" s="38">
        <f t="shared" si="75"/>
        <v>5888911.8110000007</v>
      </c>
      <c r="AR676" s="36">
        <v>16444400</v>
      </c>
      <c r="AS676" s="18">
        <f t="shared" si="76"/>
        <v>10555488.188999999</v>
      </c>
    </row>
    <row r="677" spans="1:45" x14ac:dyDescent="0.25">
      <c r="A677" s="40">
        <v>45965</v>
      </c>
      <c r="B677" s="20">
        <v>2812.15</v>
      </c>
      <c r="C677" s="20">
        <v>4107.0929999999998</v>
      </c>
      <c r="D677" s="20">
        <v>5185</v>
      </c>
      <c r="E677" s="20">
        <v>4889</v>
      </c>
      <c r="F677" s="7">
        <f t="shared" si="70"/>
        <v>14580997.75</v>
      </c>
      <c r="G677" s="7">
        <f t="shared" si="71"/>
        <v>20079577.677000001</v>
      </c>
      <c r="H677" s="20">
        <v>51.5</v>
      </c>
      <c r="I677" s="20">
        <v>1086000</v>
      </c>
      <c r="J677" s="20">
        <v>60.5</v>
      </c>
      <c r="K677" s="20">
        <v>676000</v>
      </c>
      <c r="L677" s="20">
        <v>200000</v>
      </c>
      <c r="M677" s="20"/>
      <c r="N677" s="20"/>
      <c r="O677" s="20">
        <v>1550000</v>
      </c>
      <c r="P677" s="20"/>
      <c r="Q677" s="19">
        <f t="shared" si="72"/>
        <v>38172575.427000001</v>
      </c>
      <c r="R677" s="20">
        <v>773419</v>
      </c>
      <c r="S677" s="20">
        <v>16548204</v>
      </c>
      <c r="T677" s="20"/>
      <c r="U677" s="20"/>
      <c r="V677" s="20"/>
      <c r="W677" s="20">
        <v>30000</v>
      </c>
      <c r="X677" s="20">
        <v>5533000</v>
      </c>
      <c r="Y677" s="8">
        <f t="shared" si="73"/>
        <v>15287952.427000001</v>
      </c>
      <c r="Z677" s="36"/>
      <c r="AA677" s="36"/>
      <c r="AB677" s="36"/>
      <c r="AC677" s="36"/>
      <c r="AD677" s="36"/>
      <c r="AE677" s="36"/>
      <c r="AF677" s="36">
        <v>23000</v>
      </c>
      <c r="AG677" s="36"/>
      <c r="AH677" s="36">
        <v>19000</v>
      </c>
      <c r="AI677" s="36"/>
      <c r="AJ677" s="36">
        <v>400000</v>
      </c>
      <c r="AK677" s="36"/>
      <c r="AL677" s="37">
        <f t="shared" si="74"/>
        <v>442000</v>
      </c>
      <c r="AM677" s="36"/>
      <c r="AN677" s="36"/>
      <c r="AO677" s="36"/>
      <c r="AP677" s="7"/>
      <c r="AQ677" s="38">
        <f t="shared" si="75"/>
        <v>14845952.427000001</v>
      </c>
      <c r="AR677" s="36">
        <v>14846000</v>
      </c>
      <c r="AS677" s="18">
        <f t="shared" si="76"/>
        <v>47.572999998927116</v>
      </c>
    </row>
    <row r="678" spans="1:45" x14ac:dyDescent="0.25">
      <c r="A678" s="40">
        <v>45966</v>
      </c>
      <c r="B678" s="20">
        <v>2305.7449999999999</v>
      </c>
      <c r="C678" s="20">
        <v>3967.5569999999998</v>
      </c>
      <c r="D678" s="20">
        <v>5185</v>
      </c>
      <c r="E678" s="20">
        <v>4889</v>
      </c>
      <c r="F678" s="7">
        <f t="shared" si="70"/>
        <v>11955287.824999999</v>
      </c>
      <c r="G678" s="7">
        <f t="shared" si="71"/>
        <v>19397386.173</v>
      </c>
      <c r="H678" s="20">
        <v>44</v>
      </c>
      <c r="I678" s="20">
        <v>985000</v>
      </c>
      <c r="J678" s="20">
        <v>43</v>
      </c>
      <c r="K678" s="20">
        <v>386500</v>
      </c>
      <c r="L678" s="20">
        <v>24000</v>
      </c>
      <c r="M678" s="20"/>
      <c r="N678" s="20"/>
      <c r="O678" s="20">
        <v>637230</v>
      </c>
      <c r="P678" s="20"/>
      <c r="Q678" s="19">
        <f t="shared" si="72"/>
        <v>33385403.998</v>
      </c>
      <c r="R678" s="20">
        <v>290059</v>
      </c>
      <c r="S678" s="20">
        <v>14123908</v>
      </c>
      <c r="T678" s="20"/>
      <c r="U678" s="20"/>
      <c r="V678" s="20"/>
      <c r="W678" s="20">
        <v>0</v>
      </c>
      <c r="X678" s="20">
        <v>7342802</v>
      </c>
      <c r="Y678" s="8">
        <f t="shared" si="73"/>
        <v>11628634.998</v>
      </c>
      <c r="Z678" s="36"/>
      <c r="AA678" s="36"/>
      <c r="AB678" s="36"/>
      <c r="AC678" s="36"/>
      <c r="AD678" s="36"/>
      <c r="AE678" s="36"/>
      <c r="AF678" s="36">
        <v>3000</v>
      </c>
      <c r="AG678" s="36"/>
      <c r="AH678" s="36"/>
      <c r="AI678" s="36"/>
      <c r="AJ678" s="36">
        <v>1000000</v>
      </c>
      <c r="AK678" s="36"/>
      <c r="AL678" s="37">
        <f t="shared" si="74"/>
        <v>1003000</v>
      </c>
      <c r="AM678" s="36"/>
      <c r="AN678" s="36"/>
      <c r="AO678" s="36"/>
      <c r="AP678" s="7"/>
      <c r="AQ678" s="38">
        <f t="shared" si="75"/>
        <v>10625634.998</v>
      </c>
      <c r="AR678" s="36">
        <v>10625700</v>
      </c>
      <c r="AS678" s="18">
        <f t="shared" si="76"/>
        <v>65.002000000327826</v>
      </c>
    </row>
    <row r="679" spans="1:45" x14ac:dyDescent="0.25">
      <c r="A679" s="40">
        <v>45967</v>
      </c>
      <c r="B679" s="20">
        <v>2322.6619999999998</v>
      </c>
      <c r="C679" s="20">
        <v>3949.3449999999998</v>
      </c>
      <c r="D679" s="20">
        <v>5185</v>
      </c>
      <c r="E679" s="20">
        <v>4889</v>
      </c>
      <c r="F679" s="7">
        <f t="shared" si="70"/>
        <v>12043002.469999999</v>
      </c>
      <c r="G679" s="7">
        <f t="shared" si="71"/>
        <v>19308347.704999998</v>
      </c>
      <c r="H679" s="20">
        <v>40.25</v>
      </c>
      <c r="I679" s="20">
        <v>854000</v>
      </c>
      <c r="J679" s="20">
        <v>87.5</v>
      </c>
      <c r="K679" s="20">
        <v>668500</v>
      </c>
      <c r="L679" s="20">
        <v>31000</v>
      </c>
      <c r="M679" s="20">
        <v>140000</v>
      </c>
      <c r="N679" s="20"/>
      <c r="O679" s="20">
        <v>460000</v>
      </c>
      <c r="P679" s="20"/>
      <c r="Q679" s="19">
        <f t="shared" si="72"/>
        <v>33504850.174999997</v>
      </c>
      <c r="R679" s="20">
        <v>1980763</v>
      </c>
      <c r="S679" s="20">
        <v>16348302</v>
      </c>
      <c r="T679" s="20"/>
      <c r="U679" s="20"/>
      <c r="V679" s="20"/>
      <c r="W679" s="20">
        <v>159000</v>
      </c>
      <c r="X679" s="20">
        <v>2884877</v>
      </c>
      <c r="Y679" s="8">
        <f t="shared" si="73"/>
        <v>12131908.174999997</v>
      </c>
      <c r="Z679" s="36"/>
      <c r="AA679" s="36"/>
      <c r="AB679" s="36"/>
      <c r="AC679" s="36"/>
      <c r="AD679" s="36"/>
      <c r="AE679" s="36"/>
      <c r="AF679" s="36">
        <v>53000</v>
      </c>
      <c r="AG679" s="36"/>
      <c r="AH679" s="36">
        <v>37000</v>
      </c>
      <c r="AI679" s="36"/>
      <c r="AJ679" s="36">
        <v>210000</v>
      </c>
      <c r="AK679" s="36"/>
      <c r="AL679" s="37">
        <f t="shared" si="74"/>
        <v>300000</v>
      </c>
      <c r="AM679" s="36"/>
      <c r="AN679" s="36"/>
      <c r="AO679" s="36"/>
      <c r="AP679" s="7"/>
      <c r="AQ679" s="38">
        <f t="shared" si="75"/>
        <v>11831908.174999997</v>
      </c>
      <c r="AR679" s="36">
        <v>11832000</v>
      </c>
      <c r="AS679" s="18">
        <f t="shared" si="76"/>
        <v>91.825000002980232</v>
      </c>
    </row>
    <row r="680" spans="1:45" x14ac:dyDescent="0.25">
      <c r="A680" s="40">
        <v>45968</v>
      </c>
      <c r="B680" s="20">
        <v>2072.5169999999998</v>
      </c>
      <c r="C680" s="20">
        <v>5873.1239999999998</v>
      </c>
      <c r="D680" s="20">
        <v>5185</v>
      </c>
      <c r="E680" s="20">
        <v>4889</v>
      </c>
      <c r="F680" s="7">
        <f t="shared" si="70"/>
        <v>10746000.645</v>
      </c>
      <c r="G680" s="7">
        <f t="shared" si="71"/>
        <v>28713703.235999998</v>
      </c>
      <c r="H680" s="20">
        <v>44</v>
      </c>
      <c r="I680" s="20">
        <v>868500</v>
      </c>
      <c r="J680" s="20">
        <v>70.5</v>
      </c>
      <c r="K680" s="20">
        <v>625500</v>
      </c>
      <c r="L680" s="20">
        <v>86000</v>
      </c>
      <c r="M680" s="20"/>
      <c r="N680" s="20">
        <v>100000</v>
      </c>
      <c r="O680" s="20">
        <v>50000</v>
      </c>
      <c r="P680" s="20"/>
      <c r="Q680" s="19">
        <f t="shared" si="72"/>
        <v>41189703.880999997</v>
      </c>
      <c r="R680" s="20">
        <v>1454188</v>
      </c>
      <c r="S680" s="20">
        <v>24704800</v>
      </c>
      <c r="T680" s="20"/>
      <c r="U680" s="20"/>
      <c r="V680" s="20"/>
      <c r="W680" s="20">
        <v>120000</v>
      </c>
      <c r="X680" s="20">
        <v>6285940</v>
      </c>
      <c r="Y680" s="8">
        <f t="shared" si="73"/>
        <v>8624775.8809999973</v>
      </c>
      <c r="Z680" s="36"/>
      <c r="AA680" s="36"/>
      <c r="AB680" s="36"/>
      <c r="AC680" s="36"/>
      <c r="AD680" s="36"/>
      <c r="AE680" s="36"/>
      <c r="AF680" s="36"/>
      <c r="AG680" s="36"/>
      <c r="AH680" s="36">
        <v>27000</v>
      </c>
      <c r="AI680" s="36"/>
      <c r="AJ680" s="36">
        <v>1700000</v>
      </c>
      <c r="AK680" s="36"/>
      <c r="AL680" s="37">
        <f t="shared" si="74"/>
        <v>1727000</v>
      </c>
      <c r="AM680" s="36"/>
      <c r="AN680" s="36"/>
      <c r="AO680" s="36"/>
      <c r="AP680" s="7"/>
      <c r="AQ680" s="38">
        <f t="shared" si="75"/>
        <v>6897775.8809999973</v>
      </c>
      <c r="AR680" s="36">
        <v>7128600</v>
      </c>
      <c r="AS680" s="18">
        <f t="shared" si="76"/>
        <v>230824.11900000274</v>
      </c>
    </row>
    <row r="681" spans="1:45" x14ac:dyDescent="0.25">
      <c r="A681" s="40">
        <v>45969</v>
      </c>
      <c r="B681" s="20">
        <v>2279.9479999999999</v>
      </c>
      <c r="C681" s="20">
        <v>3128.6759999999999</v>
      </c>
      <c r="D681" s="20">
        <v>5185</v>
      </c>
      <c r="E681" s="20">
        <v>4889</v>
      </c>
      <c r="F681" s="7">
        <f t="shared" si="70"/>
        <v>11821530.379999999</v>
      </c>
      <c r="G681" s="7">
        <f t="shared" si="71"/>
        <v>15296096.964</v>
      </c>
      <c r="H681" s="20">
        <v>67.25</v>
      </c>
      <c r="I681" s="20">
        <v>1347000</v>
      </c>
      <c r="J681" s="20">
        <v>60.5</v>
      </c>
      <c r="K681" s="20">
        <v>529000</v>
      </c>
      <c r="L681" s="20">
        <v>226000</v>
      </c>
      <c r="M681" s="20">
        <v>50000</v>
      </c>
      <c r="N681" s="20"/>
      <c r="O681" s="20"/>
      <c r="P681" s="20"/>
      <c r="Q681" s="19">
        <f t="shared" si="72"/>
        <v>29269627.343999997</v>
      </c>
      <c r="R681" s="20">
        <v>1175986</v>
      </c>
      <c r="S681" s="20">
        <v>9445828</v>
      </c>
      <c r="T681" s="20"/>
      <c r="U681" s="20"/>
      <c r="V681" s="20"/>
      <c r="W681" s="20">
        <v>200000</v>
      </c>
      <c r="X681" s="20">
        <v>3657640</v>
      </c>
      <c r="Y681" s="8">
        <f t="shared" si="73"/>
        <v>14790173.343999997</v>
      </c>
      <c r="Z681" s="36"/>
      <c r="AA681" s="36"/>
      <c r="AB681" s="36"/>
      <c r="AC681" s="36"/>
      <c r="AD681" s="36"/>
      <c r="AE681" s="36"/>
      <c r="AF681" s="36">
        <v>5023000</v>
      </c>
      <c r="AG681" s="36"/>
      <c r="AH681" s="36">
        <v>70000</v>
      </c>
      <c r="AI681" s="36"/>
      <c r="AJ681" s="36"/>
      <c r="AK681" s="36"/>
      <c r="AL681" s="37">
        <f t="shared" si="74"/>
        <v>5093000</v>
      </c>
      <c r="AM681" s="36"/>
      <c r="AN681" s="36"/>
      <c r="AO681" s="36"/>
      <c r="AP681" s="7"/>
      <c r="AQ681" s="38">
        <f t="shared" si="75"/>
        <v>9697173.3439999968</v>
      </c>
      <c r="AR681" s="36">
        <v>9936700</v>
      </c>
      <c r="AS681" s="18">
        <f t="shared" si="76"/>
        <v>239526.65600000322</v>
      </c>
    </row>
    <row r="682" spans="1:45" x14ac:dyDescent="0.25">
      <c r="A682" s="40">
        <v>45970</v>
      </c>
      <c r="B682" s="20">
        <v>2300.2510000000002</v>
      </c>
      <c r="C682" s="20">
        <v>3276.68</v>
      </c>
      <c r="D682" s="20">
        <v>5185</v>
      </c>
      <c r="E682" s="20">
        <v>4889</v>
      </c>
      <c r="F682" s="7">
        <f t="shared" si="70"/>
        <v>11926801.435000001</v>
      </c>
      <c r="G682" s="7">
        <f t="shared" si="71"/>
        <v>16019688.52</v>
      </c>
      <c r="H682" s="20">
        <v>33.75</v>
      </c>
      <c r="I682" s="20">
        <v>694000</v>
      </c>
      <c r="J682" s="20">
        <v>108.5</v>
      </c>
      <c r="K682" s="20">
        <v>1071500</v>
      </c>
      <c r="L682" s="20">
        <v>85000</v>
      </c>
      <c r="M682" s="20">
        <v>410000</v>
      </c>
      <c r="N682" s="20"/>
      <c r="O682" s="20">
        <v>150000</v>
      </c>
      <c r="P682" s="20"/>
      <c r="Q682" s="19">
        <f t="shared" si="72"/>
        <v>30356989.954999998</v>
      </c>
      <c r="R682" s="20">
        <v>1210981</v>
      </c>
      <c r="S682" s="20">
        <v>12160255</v>
      </c>
      <c r="T682" s="20"/>
      <c r="U682" s="20"/>
      <c r="V682" s="20"/>
      <c r="W682" s="20"/>
      <c r="X682" s="20">
        <v>4080369</v>
      </c>
      <c r="Y682" s="8">
        <f t="shared" si="73"/>
        <v>12905384.954999998</v>
      </c>
      <c r="Z682" s="36"/>
      <c r="AA682" s="36"/>
      <c r="AB682" s="36"/>
      <c r="AC682" s="36"/>
      <c r="AD682" s="36"/>
      <c r="AE682" s="36"/>
      <c r="AF682" s="36">
        <v>40000</v>
      </c>
      <c r="AG682" s="36"/>
      <c r="AH682" s="36">
        <v>4030000</v>
      </c>
      <c r="AI682" s="36"/>
      <c r="AJ682" s="36">
        <v>62000</v>
      </c>
      <c r="AK682" s="36"/>
      <c r="AL682" s="37">
        <f t="shared" si="74"/>
        <v>4132000</v>
      </c>
      <c r="AM682" s="36"/>
      <c r="AN682" s="36"/>
      <c r="AO682" s="36"/>
      <c r="AP682" s="7"/>
      <c r="AQ682" s="38">
        <f t="shared" si="75"/>
        <v>8773384.9549999982</v>
      </c>
      <c r="AR682" s="36">
        <v>8773400</v>
      </c>
      <c r="AS682" s="18">
        <f t="shared" si="76"/>
        <v>15.045000001788139</v>
      </c>
    </row>
    <row r="683" spans="1:45" x14ac:dyDescent="0.25">
      <c r="A683" s="40">
        <v>45971</v>
      </c>
      <c r="B683" s="20">
        <v>2288.797</v>
      </c>
      <c r="C683" s="20">
        <v>2569.3510000000001</v>
      </c>
      <c r="D683" s="20">
        <v>5185</v>
      </c>
      <c r="E683" s="20">
        <v>4889</v>
      </c>
      <c r="F683" s="7">
        <f t="shared" si="70"/>
        <v>11867412.445</v>
      </c>
      <c r="G683" s="7">
        <f t="shared" si="71"/>
        <v>12561557.039000001</v>
      </c>
      <c r="H683" s="20">
        <v>69.5</v>
      </c>
      <c r="I683" s="20">
        <v>1600500</v>
      </c>
      <c r="J683" s="20">
        <v>24.5</v>
      </c>
      <c r="K683" s="20">
        <v>295500</v>
      </c>
      <c r="L683" s="20">
        <v>320000</v>
      </c>
      <c r="M683" s="20">
        <v>47000</v>
      </c>
      <c r="N683" s="20"/>
      <c r="O683" s="20">
        <v>155500</v>
      </c>
      <c r="P683" s="20"/>
      <c r="Q683" s="19">
        <f t="shared" si="72"/>
        <v>26847469.484000001</v>
      </c>
      <c r="R683" s="20">
        <v>1877819</v>
      </c>
      <c r="S683" s="20">
        <v>6986431</v>
      </c>
      <c r="T683" s="20"/>
      <c r="U683" s="20"/>
      <c r="V683" s="20"/>
      <c r="W683" s="20"/>
      <c r="X683" s="20">
        <v>3624414</v>
      </c>
      <c r="Y683" s="8">
        <f t="shared" si="73"/>
        <v>14358805.484000001</v>
      </c>
      <c r="Z683" s="36"/>
      <c r="AA683" s="36"/>
      <c r="AB683" s="36"/>
      <c r="AC683" s="36"/>
      <c r="AD683" s="36"/>
      <c r="AE683" s="36"/>
      <c r="AF683" s="36">
        <v>3562607</v>
      </c>
      <c r="AG683" s="36">
        <v>147000</v>
      </c>
      <c r="AH683" s="36"/>
      <c r="AI683" s="36"/>
      <c r="AJ683" s="36"/>
      <c r="AK683" s="36"/>
      <c r="AL683" s="37">
        <f t="shared" si="74"/>
        <v>3709607</v>
      </c>
      <c r="AM683" s="36"/>
      <c r="AN683" s="36"/>
      <c r="AO683" s="36"/>
      <c r="AP683" s="7"/>
      <c r="AQ683" s="38">
        <f t="shared" si="75"/>
        <v>10649198.484000001</v>
      </c>
      <c r="AR683" s="36">
        <v>10650000</v>
      </c>
      <c r="AS683" s="18">
        <f t="shared" si="76"/>
        <v>801.51599999889731</v>
      </c>
    </row>
    <row r="684" spans="1:45" x14ac:dyDescent="0.25">
      <c r="A684" s="40">
        <v>45972</v>
      </c>
      <c r="B684" s="20">
        <v>2484.7959999999998</v>
      </c>
      <c r="C684" s="20">
        <v>5255.0839999999998</v>
      </c>
      <c r="D684" s="20">
        <v>5185</v>
      </c>
      <c r="E684" s="20">
        <v>4889</v>
      </c>
      <c r="F684" s="7">
        <f t="shared" si="70"/>
        <v>12883667.26</v>
      </c>
      <c r="G684" s="7">
        <f t="shared" si="71"/>
        <v>25692105.675999999</v>
      </c>
      <c r="H684" s="20">
        <v>118.5</v>
      </c>
      <c r="I684" s="20">
        <v>2262000</v>
      </c>
      <c r="J684" s="20">
        <v>131.5</v>
      </c>
      <c r="K684" s="20">
        <v>930000</v>
      </c>
      <c r="L684" s="20">
        <v>81000</v>
      </c>
      <c r="M684" s="20"/>
      <c r="N684" s="20"/>
      <c r="O684" s="20">
        <v>3003176</v>
      </c>
      <c r="P684" s="20"/>
      <c r="Q684" s="19">
        <f t="shared" si="72"/>
        <v>44851948.935999997</v>
      </c>
      <c r="R684" s="20">
        <v>1002285</v>
      </c>
      <c r="S684" s="20">
        <v>20147838</v>
      </c>
      <c r="T684" s="20"/>
      <c r="U684" s="20"/>
      <c r="V684" s="20"/>
      <c r="W684" s="20">
        <v>1203476</v>
      </c>
      <c r="X684" s="20">
        <v>5009978</v>
      </c>
      <c r="Y684" s="8">
        <f t="shared" si="73"/>
        <v>17488371.935999997</v>
      </c>
      <c r="Z684" s="36"/>
      <c r="AA684" s="36"/>
      <c r="AB684" s="36"/>
      <c r="AC684" s="36">
        <v>43000</v>
      </c>
      <c r="AD684" s="36"/>
      <c r="AE684" s="36"/>
      <c r="AF684" s="36">
        <v>523000</v>
      </c>
      <c r="AG684" s="36"/>
      <c r="AH684" s="36"/>
      <c r="AI684" s="36"/>
      <c r="AJ684" s="36"/>
      <c r="AK684" s="36"/>
      <c r="AL684" s="37">
        <f t="shared" si="74"/>
        <v>566000</v>
      </c>
      <c r="AM684" s="36"/>
      <c r="AN684" s="36"/>
      <c r="AO684" s="36"/>
      <c r="AP684" s="7">
        <v>0</v>
      </c>
      <c r="AQ684" s="38">
        <f t="shared" si="75"/>
        <v>16922371.935999997</v>
      </c>
      <c r="AR684" s="36">
        <v>12550400</v>
      </c>
      <c r="AS684" s="18">
        <f t="shared" si="76"/>
        <v>-4371971.935999997</v>
      </c>
    </row>
    <row r="685" spans="1:45" x14ac:dyDescent="0.25">
      <c r="A685" s="40">
        <v>45973</v>
      </c>
      <c r="B685" s="20">
        <v>2433.652</v>
      </c>
      <c r="C685" s="20">
        <v>6857.3159999999998</v>
      </c>
      <c r="D685" s="20">
        <v>5185</v>
      </c>
      <c r="E685" s="20">
        <v>4889</v>
      </c>
      <c r="F685" s="7">
        <f t="shared" si="70"/>
        <v>12618485.620000001</v>
      </c>
      <c r="G685" s="7">
        <f t="shared" si="71"/>
        <v>33525417.923999999</v>
      </c>
      <c r="H685" s="20">
        <v>34.25</v>
      </c>
      <c r="I685" s="20">
        <v>694000</v>
      </c>
      <c r="J685" s="20">
        <v>43</v>
      </c>
      <c r="K685" s="20">
        <v>369000</v>
      </c>
      <c r="L685" s="20">
        <v>16000</v>
      </c>
      <c r="M685" s="20">
        <v>300000</v>
      </c>
      <c r="N685" s="20"/>
      <c r="O685" s="20">
        <v>70000</v>
      </c>
      <c r="P685" s="20"/>
      <c r="Q685" s="19">
        <f t="shared" si="72"/>
        <v>47592903.544</v>
      </c>
      <c r="R685" s="20">
        <v>2341250</v>
      </c>
      <c r="S685" s="20">
        <v>27104531</v>
      </c>
      <c r="T685" s="20"/>
      <c r="U685" s="20"/>
      <c r="V685" s="20"/>
      <c r="W685" s="20"/>
      <c r="X685" s="20">
        <v>6284568</v>
      </c>
      <c r="Y685" s="8">
        <f t="shared" si="73"/>
        <v>11862554.544</v>
      </c>
      <c r="Z685" s="36"/>
      <c r="AA685" s="36"/>
      <c r="AB685" s="36"/>
      <c r="AC685" s="36"/>
      <c r="AD685" s="36">
        <v>97780</v>
      </c>
      <c r="AE685" s="36"/>
      <c r="AF685" s="36">
        <v>2010000</v>
      </c>
      <c r="AG685" s="36"/>
      <c r="AH685" s="36"/>
      <c r="AI685" s="36">
        <v>30000</v>
      </c>
      <c r="AJ685" s="36">
        <v>365000</v>
      </c>
      <c r="AK685" s="36"/>
      <c r="AL685" s="37">
        <f t="shared" si="74"/>
        <v>2502780</v>
      </c>
      <c r="AM685" s="36"/>
      <c r="AN685" s="36"/>
      <c r="AO685" s="36"/>
      <c r="AP685" s="7"/>
      <c r="AQ685" s="38">
        <f t="shared" si="75"/>
        <v>9359774.5439999998</v>
      </c>
      <c r="AR685" s="36">
        <v>11516600</v>
      </c>
      <c r="AS685" s="18">
        <f t="shared" si="76"/>
        <v>2156825.4560000002</v>
      </c>
    </row>
    <row r="686" spans="1:45" x14ac:dyDescent="0.25">
      <c r="A686" s="40">
        <v>45974</v>
      </c>
      <c r="B686" s="20">
        <v>1906.05</v>
      </c>
      <c r="C686" s="20">
        <v>3943.4920000000002</v>
      </c>
      <c r="D686" s="20">
        <v>5185</v>
      </c>
      <c r="E686" s="20">
        <v>4889</v>
      </c>
      <c r="F686" s="7">
        <f t="shared" si="70"/>
        <v>9882869.25</v>
      </c>
      <c r="G686" s="7">
        <f t="shared" si="71"/>
        <v>19279732.388</v>
      </c>
      <c r="H686" s="20">
        <v>10</v>
      </c>
      <c r="I686" s="20">
        <v>199000</v>
      </c>
      <c r="J686" s="20">
        <v>90.5</v>
      </c>
      <c r="K686" s="20">
        <v>801500</v>
      </c>
      <c r="L686" s="20">
        <v>30000</v>
      </c>
      <c r="M686" s="20">
        <v>50000</v>
      </c>
      <c r="N686" s="20">
        <v>116000</v>
      </c>
      <c r="O686" s="20">
        <v>1305314</v>
      </c>
      <c r="P686" s="20"/>
      <c r="Q686" s="19">
        <f t="shared" si="72"/>
        <v>31664415.638</v>
      </c>
      <c r="R686" s="20">
        <v>1207266</v>
      </c>
      <c r="S686" s="20">
        <v>15330802</v>
      </c>
      <c r="T686" s="20"/>
      <c r="U686" s="20"/>
      <c r="V686" s="20"/>
      <c r="W686" s="20">
        <v>343700</v>
      </c>
      <c r="X686" s="20">
        <v>6023155</v>
      </c>
      <c r="Y686" s="8">
        <f t="shared" si="73"/>
        <v>8759492.6380000003</v>
      </c>
      <c r="Z686" s="36"/>
      <c r="AA686" s="36"/>
      <c r="AB686" s="36"/>
      <c r="AC686" s="36"/>
      <c r="AD686" s="36"/>
      <c r="AE686" s="36"/>
      <c r="AF686" s="36">
        <v>2003000</v>
      </c>
      <c r="AG686" s="36"/>
      <c r="AH686" s="36">
        <v>13000</v>
      </c>
      <c r="AI686" s="36"/>
      <c r="AJ686" s="36">
        <v>100000</v>
      </c>
      <c r="AK686" s="36"/>
      <c r="AL686" s="37">
        <f t="shared" si="74"/>
        <v>2116000</v>
      </c>
      <c r="AM686" s="36"/>
      <c r="AN686" s="36"/>
      <c r="AO686" s="36"/>
      <c r="AP686" s="7"/>
      <c r="AQ686" s="38">
        <f t="shared" si="75"/>
        <v>6643492.6380000003</v>
      </c>
      <c r="AR686" s="36">
        <v>6643500</v>
      </c>
      <c r="AS686" s="18">
        <f t="shared" si="76"/>
        <v>7.3619999997317791</v>
      </c>
    </row>
    <row r="687" spans="1:45" x14ac:dyDescent="0.25">
      <c r="A687" s="40">
        <v>45975</v>
      </c>
      <c r="B687" s="20">
        <v>2013.0139999999999</v>
      </c>
      <c r="C687" s="20">
        <v>3806.3240000000001</v>
      </c>
      <c r="D687" s="20">
        <v>5185</v>
      </c>
      <c r="E687" s="20">
        <v>4889</v>
      </c>
      <c r="F687" s="7">
        <f t="shared" si="70"/>
        <v>10437477.59</v>
      </c>
      <c r="G687" s="7">
        <f t="shared" si="71"/>
        <v>18609118.036000002</v>
      </c>
      <c r="H687" s="20">
        <v>50.5</v>
      </c>
      <c r="I687" s="20">
        <v>1012500</v>
      </c>
      <c r="J687" s="20">
        <v>55</v>
      </c>
      <c r="K687" s="20">
        <v>559500</v>
      </c>
      <c r="L687" s="20">
        <v>119000</v>
      </c>
      <c r="M687" s="20">
        <v>246000</v>
      </c>
      <c r="N687" s="20">
        <v>100000</v>
      </c>
      <c r="O687" s="20">
        <v>84500</v>
      </c>
      <c r="P687" s="20"/>
      <c r="Q687" s="19">
        <f t="shared" si="72"/>
        <v>31168095.626000002</v>
      </c>
      <c r="R687" s="20">
        <v>1230240</v>
      </c>
      <c r="S687" s="20">
        <v>10904311</v>
      </c>
      <c r="T687" s="20"/>
      <c r="U687" s="20"/>
      <c r="V687" s="20"/>
      <c r="W687" s="20">
        <v>269000</v>
      </c>
      <c r="X687" s="20">
        <v>11576154</v>
      </c>
      <c r="Y687" s="8">
        <f t="shared" si="73"/>
        <v>7188390.626000002</v>
      </c>
      <c r="Z687" s="36"/>
      <c r="AA687" s="36"/>
      <c r="AB687" s="36"/>
      <c r="AC687" s="36"/>
      <c r="AD687" s="36"/>
      <c r="AE687" s="36"/>
      <c r="AF687" s="36">
        <v>2154130</v>
      </c>
      <c r="AG687" s="36"/>
      <c r="AH687" s="36"/>
      <c r="AI687" s="36"/>
      <c r="AJ687" s="36"/>
      <c r="AK687" s="36"/>
      <c r="AL687" s="37">
        <f t="shared" si="74"/>
        <v>2154130</v>
      </c>
      <c r="AM687" s="36"/>
      <c r="AN687" s="36"/>
      <c r="AO687" s="36"/>
      <c r="AP687" s="7"/>
      <c r="AQ687" s="38">
        <f t="shared" si="75"/>
        <v>5034260.626000002</v>
      </c>
      <c r="AR687" s="36">
        <v>6894600</v>
      </c>
      <c r="AS687" s="18">
        <f t="shared" si="76"/>
        <v>1860339.373999998</v>
      </c>
    </row>
    <row r="688" spans="1:45" x14ac:dyDescent="0.25">
      <c r="A688" s="40">
        <v>45976</v>
      </c>
      <c r="B688" s="20">
        <v>2201.5</v>
      </c>
      <c r="C688" s="20">
        <v>6648.5820000000003</v>
      </c>
      <c r="D688" s="20">
        <v>5185</v>
      </c>
      <c r="E688" s="20">
        <v>4889</v>
      </c>
      <c r="F688" s="7">
        <f t="shared" si="70"/>
        <v>11414777.5</v>
      </c>
      <c r="G688" s="7">
        <f t="shared" si="71"/>
        <v>32504917.398000002</v>
      </c>
      <c r="H688" s="20">
        <v>56.25</v>
      </c>
      <c r="I688" s="20">
        <v>1110500</v>
      </c>
      <c r="J688" s="20">
        <v>99</v>
      </c>
      <c r="K688" s="20">
        <v>842000</v>
      </c>
      <c r="L688" s="20">
        <v>47000</v>
      </c>
      <c r="M688" s="20"/>
      <c r="N688" s="20"/>
      <c r="O688" s="20"/>
      <c r="P688" s="20"/>
      <c r="Q688" s="19">
        <f t="shared" si="72"/>
        <v>45919194.898000002</v>
      </c>
      <c r="R688" s="20">
        <v>752756</v>
      </c>
      <c r="S688" s="20">
        <v>27303704</v>
      </c>
      <c r="T688" s="20"/>
      <c r="U688" s="20"/>
      <c r="V688" s="20"/>
      <c r="W688" s="20">
        <v>332000</v>
      </c>
      <c r="X688" s="20">
        <v>9859702</v>
      </c>
      <c r="Y688" s="8">
        <f t="shared" si="73"/>
        <v>7671032.8980000019</v>
      </c>
      <c r="Z688" s="36">
        <v>1036069</v>
      </c>
      <c r="AA688" s="36"/>
      <c r="AB688" s="36"/>
      <c r="AC688" s="36">
        <v>22000</v>
      </c>
      <c r="AD688" s="36"/>
      <c r="AE688" s="36"/>
      <c r="AF688" s="36">
        <v>3000</v>
      </c>
      <c r="AG688" s="36"/>
      <c r="AH688" s="36">
        <v>10000</v>
      </c>
      <c r="AI688" s="36"/>
      <c r="AJ688" s="36">
        <v>153000</v>
      </c>
      <c r="AK688" s="36"/>
      <c r="AL688" s="37">
        <f t="shared" si="74"/>
        <v>1224069</v>
      </c>
      <c r="AM688" s="36">
        <v>420000</v>
      </c>
      <c r="AN688" s="36"/>
      <c r="AO688" s="36"/>
      <c r="AP688" s="7"/>
      <c r="AQ688" s="38">
        <f t="shared" si="75"/>
        <v>6026963.8980000019</v>
      </c>
      <c r="AR688" s="36">
        <v>7377000</v>
      </c>
      <c r="AS688" s="18">
        <f t="shared" si="76"/>
        <v>1350036.1019999981</v>
      </c>
    </row>
    <row r="689" spans="1:45" x14ac:dyDescent="0.25">
      <c r="A689" s="40">
        <v>45977</v>
      </c>
      <c r="B689" s="20">
        <v>2320.9549999999999</v>
      </c>
      <c r="C689" s="20">
        <v>7559.7820000000002</v>
      </c>
      <c r="D689" s="20">
        <v>5185</v>
      </c>
      <c r="E689" s="20">
        <v>4889</v>
      </c>
      <c r="F689" s="7">
        <f t="shared" si="70"/>
        <v>12034151.674999999</v>
      </c>
      <c r="G689" s="7">
        <f t="shared" si="71"/>
        <v>36959774.197999999</v>
      </c>
      <c r="H689" s="20">
        <v>45.5</v>
      </c>
      <c r="I689" s="20">
        <v>858500</v>
      </c>
      <c r="J689" s="20">
        <v>61.5</v>
      </c>
      <c r="K689" s="20">
        <v>662000</v>
      </c>
      <c r="L689" s="20">
        <v>86000</v>
      </c>
      <c r="M689" s="20">
        <v>220000</v>
      </c>
      <c r="N689" s="20"/>
      <c r="O689" s="20"/>
      <c r="P689" s="20"/>
      <c r="Q689" s="19">
        <f t="shared" si="72"/>
        <v>50820425.872999996</v>
      </c>
      <c r="R689" s="20">
        <v>322019</v>
      </c>
      <c r="S689" s="20">
        <v>31401277</v>
      </c>
      <c r="T689" s="20"/>
      <c r="U689" s="20"/>
      <c r="V689" s="20"/>
      <c r="W689" s="20">
        <v>909745</v>
      </c>
      <c r="X689" s="20">
        <v>9222085</v>
      </c>
      <c r="Y689" s="8">
        <f t="shared" si="73"/>
        <v>8965299.8729999959</v>
      </c>
      <c r="Z689" s="36"/>
      <c r="AA689" s="36"/>
      <c r="AB689" s="36"/>
      <c r="AC689" s="36"/>
      <c r="AD689" s="36"/>
      <c r="AE689" s="36"/>
      <c r="AF689" s="36">
        <v>2843000</v>
      </c>
      <c r="AG689" s="36"/>
      <c r="AH689" s="36">
        <v>19000</v>
      </c>
      <c r="AI689" s="36"/>
      <c r="AJ689" s="36"/>
      <c r="AK689" s="36"/>
      <c r="AL689" s="37">
        <f t="shared" si="74"/>
        <v>2862000</v>
      </c>
      <c r="AM689" s="36">
        <v>1550000</v>
      </c>
      <c r="AN689" s="36"/>
      <c r="AO689" s="36"/>
      <c r="AP689" s="7"/>
      <c r="AQ689" s="38">
        <f t="shared" si="75"/>
        <v>4553299.8729999959</v>
      </c>
      <c r="AR689" s="36"/>
      <c r="AS689" s="18">
        <f t="shared" si="76"/>
        <v>-4553299.8729999959</v>
      </c>
    </row>
    <row r="690" spans="1:45" x14ac:dyDescent="0.25">
      <c r="A690" s="40">
        <v>45978</v>
      </c>
      <c r="B690" s="20">
        <v>1838.6130000000001</v>
      </c>
      <c r="C690" s="20">
        <v>3141.9340000000002</v>
      </c>
      <c r="D690" s="20">
        <v>5185</v>
      </c>
      <c r="E690" s="20">
        <v>4889</v>
      </c>
      <c r="F690" s="7">
        <f t="shared" si="70"/>
        <v>9533208.4050000012</v>
      </c>
      <c r="G690" s="7">
        <f t="shared" si="71"/>
        <v>15360915.326000001</v>
      </c>
      <c r="H690" s="20">
        <v>42</v>
      </c>
      <c r="I690" s="20">
        <v>835000</v>
      </c>
      <c r="J690" s="20">
        <v>52</v>
      </c>
      <c r="K690" s="20">
        <v>534500</v>
      </c>
      <c r="L690" s="20">
        <v>66000</v>
      </c>
      <c r="M690" s="20"/>
      <c r="N690" s="20">
        <v>150000</v>
      </c>
      <c r="O690" s="20"/>
      <c r="P690" s="20"/>
      <c r="Q690" s="19">
        <f t="shared" si="72"/>
        <v>26479623.731000002</v>
      </c>
      <c r="R690" s="20">
        <v>1202219</v>
      </c>
      <c r="S690" s="20">
        <v>14440362</v>
      </c>
      <c r="T690" s="20"/>
      <c r="U690" s="20"/>
      <c r="V690" s="20"/>
      <c r="W690" s="20">
        <v>99000</v>
      </c>
      <c r="X690" s="20">
        <v>4707890</v>
      </c>
      <c r="Y690" s="8">
        <f t="shared" si="73"/>
        <v>6030152.7310000025</v>
      </c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7">
        <f t="shared" si="74"/>
        <v>0</v>
      </c>
      <c r="AM690" s="36"/>
      <c r="AN690" s="36"/>
      <c r="AO690" s="36"/>
      <c r="AP690" s="7"/>
      <c r="AQ690" s="38">
        <f t="shared" si="75"/>
        <v>6030152.7310000025</v>
      </c>
      <c r="AR690" s="36">
        <v>10583500</v>
      </c>
      <c r="AS690" s="18">
        <f t="shared" si="76"/>
        <v>4553347.2689999975</v>
      </c>
    </row>
    <row r="691" spans="1:45" x14ac:dyDescent="0.25">
      <c r="A691" s="40">
        <v>45979</v>
      </c>
      <c r="B691" s="20">
        <v>2396.0929999999998</v>
      </c>
      <c r="C691" s="20">
        <v>6059.2330000000002</v>
      </c>
      <c r="D691" s="20">
        <v>5185</v>
      </c>
      <c r="E691" s="20">
        <v>4889</v>
      </c>
      <c r="F691" s="7">
        <f t="shared" si="70"/>
        <v>12423742.205</v>
      </c>
      <c r="G691" s="7">
        <f t="shared" si="71"/>
        <v>29623590.137000002</v>
      </c>
      <c r="H691" s="20">
        <v>58.5</v>
      </c>
      <c r="I691" s="20">
        <v>1176000</v>
      </c>
      <c r="J691" s="20">
        <v>67.5</v>
      </c>
      <c r="K691" s="20">
        <v>664500</v>
      </c>
      <c r="L691" s="20">
        <v>38000</v>
      </c>
      <c r="M691" s="20">
        <v>450000</v>
      </c>
      <c r="N691" s="20">
        <v>750000</v>
      </c>
      <c r="O691" s="20"/>
      <c r="P691" s="20"/>
      <c r="Q691" s="19">
        <f t="shared" si="72"/>
        <v>45125832.342</v>
      </c>
      <c r="R691" s="20">
        <v>1642896</v>
      </c>
      <c r="S691" s="20">
        <v>22609570</v>
      </c>
      <c r="T691" s="20"/>
      <c r="U691" s="20"/>
      <c r="V691" s="20"/>
      <c r="W691" s="20">
        <v>573000</v>
      </c>
      <c r="X691" s="20">
        <v>10626928</v>
      </c>
      <c r="Y691" s="8">
        <f t="shared" si="73"/>
        <v>9673438.3420000002</v>
      </c>
      <c r="Z691" s="36"/>
      <c r="AA691" s="36"/>
      <c r="AB691" s="36"/>
      <c r="AC691" s="36"/>
      <c r="AD691" s="36"/>
      <c r="AE691" s="36"/>
      <c r="AF691" s="36">
        <v>3000</v>
      </c>
      <c r="AG691" s="36"/>
      <c r="AH691" s="36"/>
      <c r="AI691" s="36"/>
      <c r="AJ691" s="36">
        <v>500000</v>
      </c>
      <c r="AK691" s="36"/>
      <c r="AL691" s="37">
        <f t="shared" si="74"/>
        <v>503000</v>
      </c>
      <c r="AM691" s="36"/>
      <c r="AN691" s="36"/>
      <c r="AO691" s="36"/>
      <c r="AP691" s="7"/>
      <c r="AQ691" s="38">
        <f t="shared" si="75"/>
        <v>9170438.3420000002</v>
      </c>
      <c r="AR691" s="36">
        <v>10332500</v>
      </c>
      <c r="AS691" s="18">
        <f t="shared" si="76"/>
        <v>1162061.6579999998</v>
      </c>
    </row>
    <row r="692" spans="1:45" x14ac:dyDescent="0.25">
      <c r="A692" s="40">
        <v>45980</v>
      </c>
      <c r="B692" s="20">
        <v>2055.145</v>
      </c>
      <c r="C692" s="20">
        <v>4270.4399999999996</v>
      </c>
      <c r="D692" s="20">
        <v>5185</v>
      </c>
      <c r="E692" s="20">
        <v>4889</v>
      </c>
      <c r="F692" s="7">
        <f t="shared" si="70"/>
        <v>10655926.824999999</v>
      </c>
      <c r="G692" s="7">
        <f t="shared" si="71"/>
        <v>20878181.159999996</v>
      </c>
      <c r="H692" s="20">
        <v>85.5</v>
      </c>
      <c r="I692" s="20">
        <v>1858500</v>
      </c>
      <c r="J692" s="20">
        <v>15</v>
      </c>
      <c r="K692" s="20">
        <v>218500</v>
      </c>
      <c r="L692" s="20">
        <v>61000</v>
      </c>
      <c r="M692" s="20"/>
      <c r="N692" s="20"/>
      <c r="O692" s="20"/>
      <c r="P692" s="20"/>
      <c r="Q692" s="19">
        <f t="shared" si="72"/>
        <v>33672107.984999999</v>
      </c>
      <c r="R692" s="20">
        <v>1966151</v>
      </c>
      <c r="S692" s="20">
        <v>14677422</v>
      </c>
      <c r="T692" s="20"/>
      <c r="U692" s="20"/>
      <c r="V692" s="20"/>
      <c r="W692" s="20">
        <v>246900</v>
      </c>
      <c r="X692" s="20">
        <v>10086530</v>
      </c>
      <c r="Y692" s="8">
        <f t="shared" si="73"/>
        <v>6695104.9849999994</v>
      </c>
      <c r="Z692" s="36"/>
      <c r="AA692" s="36"/>
      <c r="AB692" s="36"/>
      <c r="AC692" s="36"/>
      <c r="AD692" s="36"/>
      <c r="AE692" s="36"/>
      <c r="AF692" s="36"/>
      <c r="AG692" s="36"/>
      <c r="AH692" s="36">
        <v>60000</v>
      </c>
      <c r="AI692" s="36"/>
      <c r="AJ692" s="36">
        <v>2000000</v>
      </c>
      <c r="AK692" s="36"/>
      <c r="AL692" s="37">
        <f t="shared" si="74"/>
        <v>2060000</v>
      </c>
      <c r="AM692" s="36"/>
      <c r="AN692" s="36"/>
      <c r="AO692" s="36"/>
      <c r="AP692" s="7"/>
      <c r="AQ692" s="38">
        <f t="shared" si="75"/>
        <v>4635104.9849999994</v>
      </c>
      <c r="AR692" s="36"/>
      <c r="AS692" s="18">
        <f t="shared" si="76"/>
        <v>-4635104.9849999994</v>
      </c>
    </row>
    <row r="693" spans="1:45" x14ac:dyDescent="0.25">
      <c r="A693" s="40">
        <v>45981</v>
      </c>
      <c r="B693" s="20">
        <v>2067.0320000000002</v>
      </c>
      <c r="C693" s="20">
        <v>3366.223</v>
      </c>
      <c r="D693" s="20">
        <v>5185</v>
      </c>
      <c r="E693" s="20">
        <v>4889</v>
      </c>
      <c r="F693" s="7">
        <f t="shared" si="70"/>
        <v>10717560.92</v>
      </c>
      <c r="G693" s="7">
        <f t="shared" si="71"/>
        <v>16457464.247</v>
      </c>
      <c r="H693" s="20">
        <v>33.25</v>
      </c>
      <c r="I693" s="20">
        <v>669500</v>
      </c>
      <c r="J693" s="20">
        <v>74.5</v>
      </c>
      <c r="K693" s="20">
        <v>632000</v>
      </c>
      <c r="L693" s="20">
        <v>46000</v>
      </c>
      <c r="M693" s="20"/>
      <c r="N693" s="20"/>
      <c r="O693" s="20">
        <v>1020000</v>
      </c>
      <c r="P693" s="20"/>
      <c r="Q693" s="19">
        <f t="shared" si="72"/>
        <v>29542525.166999999</v>
      </c>
      <c r="R693" s="20">
        <v>873779</v>
      </c>
      <c r="S693" s="20">
        <v>11230479</v>
      </c>
      <c r="T693" s="20"/>
      <c r="U693" s="20"/>
      <c r="V693" s="20"/>
      <c r="W693" s="20">
        <v>130000</v>
      </c>
      <c r="X693" s="20">
        <v>7751538</v>
      </c>
      <c r="Y693" s="8">
        <f t="shared" si="73"/>
        <v>9556729.1669999994</v>
      </c>
      <c r="Z693" s="36"/>
      <c r="AA693" s="36"/>
      <c r="AB693" s="36"/>
      <c r="AC693" s="36"/>
      <c r="AD693" s="36"/>
      <c r="AE693" s="36"/>
      <c r="AF693" s="36">
        <v>1244450</v>
      </c>
      <c r="AG693" s="36"/>
      <c r="AH693" s="36"/>
      <c r="AI693" s="36"/>
      <c r="AJ693" s="36">
        <v>219000</v>
      </c>
      <c r="AK693" s="36"/>
      <c r="AL693" s="37">
        <f t="shared" si="74"/>
        <v>1463450</v>
      </c>
      <c r="AM693" s="36"/>
      <c r="AN693" s="36"/>
      <c r="AO693" s="36"/>
      <c r="AP693" s="7"/>
      <c r="AQ693" s="38">
        <f t="shared" si="75"/>
        <v>8093279.1669999994</v>
      </c>
      <c r="AR693" s="36">
        <v>9728400</v>
      </c>
      <c r="AS693" s="18">
        <f t="shared" si="76"/>
        <v>1635120.8330000006</v>
      </c>
    </row>
    <row r="694" spans="1:45" x14ac:dyDescent="0.25">
      <c r="A694" s="40">
        <v>45982</v>
      </c>
      <c r="B694" s="20">
        <v>2010.81</v>
      </c>
      <c r="C694" s="20">
        <v>2542.34</v>
      </c>
      <c r="D694" s="20">
        <v>5185</v>
      </c>
      <c r="E694" s="20">
        <v>4889</v>
      </c>
      <c r="F694" s="7">
        <f t="shared" si="70"/>
        <v>10426049.85</v>
      </c>
      <c r="G694" s="7">
        <f t="shared" si="71"/>
        <v>12429500.260000002</v>
      </c>
      <c r="H694" s="20">
        <v>54</v>
      </c>
      <c r="I694" s="20">
        <v>1110500</v>
      </c>
      <c r="J694" s="20">
        <v>99.5</v>
      </c>
      <c r="K694" s="20">
        <v>757000</v>
      </c>
      <c r="L694" s="20">
        <v>48000</v>
      </c>
      <c r="M694" s="20">
        <v>241000</v>
      </c>
      <c r="N694" s="20"/>
      <c r="O694" s="20">
        <v>1058400</v>
      </c>
      <c r="P694" s="20"/>
      <c r="Q694" s="19">
        <f t="shared" si="72"/>
        <v>26070450.109999999</v>
      </c>
      <c r="R694" s="20">
        <v>1099769</v>
      </c>
      <c r="S694" s="20">
        <v>7851012</v>
      </c>
      <c r="T694" s="20"/>
      <c r="U694" s="20"/>
      <c r="V694" s="20"/>
      <c r="W694" s="20">
        <v>1078400</v>
      </c>
      <c r="X694" s="20">
        <v>7876866</v>
      </c>
      <c r="Y694" s="8">
        <f t="shared" si="73"/>
        <v>8164403.1099999994</v>
      </c>
      <c r="Z694" s="36"/>
      <c r="AA694" s="36"/>
      <c r="AB694" s="36"/>
      <c r="AC694" s="36"/>
      <c r="AD694" s="36"/>
      <c r="AE694" s="36"/>
      <c r="AF694" s="36">
        <v>3000</v>
      </c>
      <c r="AG694" s="36"/>
      <c r="AH694" s="36">
        <v>30000</v>
      </c>
      <c r="AI694" s="36"/>
      <c r="AJ694" s="36">
        <v>500000</v>
      </c>
      <c r="AK694" s="36"/>
      <c r="AL694" s="37">
        <f t="shared" si="74"/>
        <v>533000</v>
      </c>
      <c r="AM694" s="36"/>
      <c r="AN694" s="36"/>
      <c r="AO694" s="36"/>
      <c r="AP694" s="7"/>
      <c r="AQ694" s="38">
        <f t="shared" si="75"/>
        <v>7631403.1099999994</v>
      </c>
      <c r="AR694" s="36">
        <v>10631400</v>
      </c>
      <c r="AS694" s="18">
        <f t="shared" si="76"/>
        <v>2999996.8900000006</v>
      </c>
    </row>
    <row r="695" spans="1:45" x14ac:dyDescent="0.25">
      <c r="A695" s="40">
        <v>45983</v>
      </c>
      <c r="B695" s="20">
        <v>2451.2939999999999</v>
      </c>
      <c r="C695" s="20">
        <v>2167.7199999999998</v>
      </c>
      <c r="D695" s="20">
        <v>5185</v>
      </c>
      <c r="E695" s="20">
        <v>4889</v>
      </c>
      <c r="F695" s="7">
        <f t="shared" si="70"/>
        <v>12709959.389999999</v>
      </c>
      <c r="G695" s="7">
        <f t="shared" si="71"/>
        <v>10597983.079999998</v>
      </c>
      <c r="H695" s="20">
        <v>55</v>
      </c>
      <c r="I695" s="20">
        <v>1180000</v>
      </c>
      <c r="J695" s="20">
        <v>45</v>
      </c>
      <c r="K695" s="20">
        <v>399000</v>
      </c>
      <c r="L695" s="20">
        <v>39000</v>
      </c>
      <c r="M695" s="20"/>
      <c r="N695" s="20"/>
      <c r="O695" s="20"/>
      <c r="P695" s="20"/>
      <c r="Q695" s="19">
        <f t="shared" si="72"/>
        <v>24925942.469999999</v>
      </c>
      <c r="R695" s="20">
        <v>1441546</v>
      </c>
      <c r="S695" s="20">
        <v>5193679</v>
      </c>
      <c r="T695" s="20"/>
      <c r="U695" s="20"/>
      <c r="V695" s="20"/>
      <c r="W695" s="20">
        <v>100000</v>
      </c>
      <c r="X695" s="20">
        <v>10851414</v>
      </c>
      <c r="Y695" s="8">
        <f t="shared" si="73"/>
        <v>7339303.4699999988</v>
      </c>
      <c r="Z695" s="36"/>
      <c r="AA695" s="36"/>
      <c r="AB695" s="36"/>
      <c r="AC695" s="36"/>
      <c r="AD695" s="36"/>
      <c r="AE695" s="36"/>
      <c r="AF695" s="36">
        <v>3000</v>
      </c>
      <c r="AG695" s="36"/>
      <c r="AH695" s="36"/>
      <c r="AI695" s="36"/>
      <c r="AJ695" s="36"/>
      <c r="AK695" s="36"/>
      <c r="AL695" s="37">
        <f t="shared" si="74"/>
        <v>3000</v>
      </c>
      <c r="AM695" s="36"/>
      <c r="AN695" s="36"/>
      <c r="AO695" s="36"/>
      <c r="AP695" s="7"/>
      <c r="AQ695" s="38">
        <f t="shared" si="75"/>
        <v>7336303.4699999988</v>
      </c>
      <c r="AR695" s="36">
        <v>7336300</v>
      </c>
      <c r="AS695" s="18">
        <f t="shared" si="76"/>
        <v>-3.4699999988079071</v>
      </c>
    </row>
    <row r="696" spans="1:45" x14ac:dyDescent="0.25">
      <c r="A696" s="40">
        <v>45984</v>
      </c>
      <c r="B696" s="20">
        <v>2281.2910000000002</v>
      </c>
      <c r="C696" s="20">
        <v>1716.4549999999999</v>
      </c>
      <c r="D696" s="20">
        <v>5185</v>
      </c>
      <c r="E696" s="20">
        <v>4889</v>
      </c>
      <c r="F696" s="7">
        <f t="shared" si="70"/>
        <v>11828493.835000001</v>
      </c>
      <c r="G696" s="7">
        <f t="shared" si="71"/>
        <v>8391748.4949999992</v>
      </c>
      <c r="H696" s="20">
        <v>42.05</v>
      </c>
      <c r="I696" s="20">
        <v>7701500</v>
      </c>
      <c r="J696" s="20">
        <v>73.5</v>
      </c>
      <c r="K696" s="20">
        <v>633000</v>
      </c>
      <c r="L696" s="20">
        <v>133000</v>
      </c>
      <c r="M696" s="20"/>
      <c r="N696" s="20"/>
      <c r="O696" s="20">
        <v>2003345</v>
      </c>
      <c r="P696" s="20"/>
      <c r="Q696" s="19">
        <f t="shared" si="72"/>
        <v>30691087.329999998</v>
      </c>
      <c r="R696" s="20">
        <v>1216296</v>
      </c>
      <c r="S696" s="20">
        <v>5296826</v>
      </c>
      <c r="T696" s="20"/>
      <c r="U696" s="20"/>
      <c r="V696" s="20"/>
      <c r="W696" s="20">
        <v>170000</v>
      </c>
      <c r="X696" s="20">
        <v>9957621</v>
      </c>
      <c r="Y696" s="8">
        <f t="shared" si="73"/>
        <v>14050344.329999998</v>
      </c>
      <c r="Z696" s="36"/>
      <c r="AA696" s="36"/>
      <c r="AB696" s="36"/>
      <c r="AC696" s="36"/>
      <c r="AD696" s="36"/>
      <c r="AE696" s="36"/>
      <c r="AF696" s="36">
        <v>3000</v>
      </c>
      <c r="AG696" s="36"/>
      <c r="AH696" s="36"/>
      <c r="AI696" s="36"/>
      <c r="AJ696" s="36">
        <v>170000</v>
      </c>
      <c r="AK696" s="36"/>
      <c r="AL696" s="37">
        <f t="shared" si="74"/>
        <v>173000</v>
      </c>
      <c r="AM696" s="36"/>
      <c r="AN696" s="36"/>
      <c r="AO696" s="36"/>
      <c r="AP696" s="7"/>
      <c r="AQ696" s="38">
        <f t="shared" si="75"/>
        <v>13877344.329999998</v>
      </c>
      <c r="AR696" s="36"/>
      <c r="AS696" s="18">
        <f t="shared" si="76"/>
        <v>-13877344.329999998</v>
      </c>
    </row>
    <row r="697" spans="1:45" x14ac:dyDescent="0.25">
      <c r="A697" s="40">
        <v>45985</v>
      </c>
      <c r="B697" s="20">
        <v>1890.2349999999999</v>
      </c>
      <c r="C697" s="20">
        <v>2301.038</v>
      </c>
      <c r="D697" s="20">
        <v>5185</v>
      </c>
      <c r="E697" s="20">
        <v>4889</v>
      </c>
      <c r="F697" s="7">
        <f t="shared" si="70"/>
        <v>9800868.4749999996</v>
      </c>
      <c r="G697" s="7">
        <f t="shared" si="71"/>
        <v>11249774.782</v>
      </c>
      <c r="H697" s="20">
        <v>77.25</v>
      </c>
      <c r="I697" s="20">
        <v>1711500</v>
      </c>
      <c r="J697" s="20">
        <v>54.5</v>
      </c>
      <c r="K697" s="20">
        <v>596000</v>
      </c>
      <c r="L697" s="20">
        <v>54000</v>
      </c>
      <c r="M697" s="20"/>
      <c r="N697" s="20"/>
      <c r="O697" s="20">
        <v>155550</v>
      </c>
      <c r="P697" s="20"/>
      <c r="Q697" s="19">
        <f t="shared" si="72"/>
        <v>23567693.256999999</v>
      </c>
      <c r="R697" s="20">
        <v>1885236</v>
      </c>
      <c r="S697" s="20">
        <v>7293904</v>
      </c>
      <c r="T697" s="20"/>
      <c r="U697" s="20"/>
      <c r="V697" s="20"/>
      <c r="W697" s="20">
        <v>1040000</v>
      </c>
      <c r="X697" s="20">
        <v>3855400</v>
      </c>
      <c r="Y697" s="8">
        <f t="shared" si="73"/>
        <v>9493153.2569999993</v>
      </c>
      <c r="Z697" s="36"/>
      <c r="AA697" s="36"/>
      <c r="AB697" s="36"/>
      <c r="AC697" s="36"/>
      <c r="AD697" s="36">
        <v>97780</v>
      </c>
      <c r="AE697" s="36"/>
      <c r="AF697" s="36"/>
      <c r="AG697" s="36"/>
      <c r="AH697" s="36"/>
      <c r="AI697" s="36"/>
      <c r="AJ697" s="36"/>
      <c r="AK697" s="36"/>
      <c r="AL697" s="37">
        <f t="shared" si="74"/>
        <v>97780</v>
      </c>
      <c r="AM697" s="36"/>
      <c r="AN697" s="36"/>
      <c r="AO697" s="36"/>
      <c r="AP697" s="7"/>
      <c r="AQ697" s="38">
        <f t="shared" si="75"/>
        <v>9395373.2569999993</v>
      </c>
      <c r="AR697" s="36">
        <v>23272700</v>
      </c>
      <c r="AS697" s="18">
        <f t="shared" si="76"/>
        <v>13877326.743000001</v>
      </c>
    </row>
    <row r="698" spans="1:45" x14ac:dyDescent="0.25">
      <c r="A698" s="40">
        <v>45986</v>
      </c>
      <c r="B698" s="20">
        <v>1968.492</v>
      </c>
      <c r="C698" s="20">
        <v>2699.402</v>
      </c>
      <c r="D698" s="20">
        <v>5185</v>
      </c>
      <c r="E698" s="20">
        <v>4889</v>
      </c>
      <c r="F698" s="7">
        <f t="shared" si="70"/>
        <v>10206631.02</v>
      </c>
      <c r="G698" s="7">
        <f t="shared" si="71"/>
        <v>13197376.378</v>
      </c>
      <c r="H698" s="20">
        <v>70</v>
      </c>
      <c r="I698" s="20">
        <v>1440000</v>
      </c>
      <c r="J698" s="20">
        <v>33.5</v>
      </c>
      <c r="K698" s="20">
        <v>292000</v>
      </c>
      <c r="L698" s="20">
        <v>55000</v>
      </c>
      <c r="M698" s="20"/>
      <c r="N698" s="20"/>
      <c r="O698" s="20">
        <v>2040000</v>
      </c>
      <c r="P698" s="20"/>
      <c r="Q698" s="19">
        <f t="shared" si="72"/>
        <v>27231007.398000002</v>
      </c>
      <c r="R698" s="20">
        <v>796090</v>
      </c>
      <c r="S698" s="20">
        <v>6608657</v>
      </c>
      <c r="T698" s="20"/>
      <c r="U698" s="20"/>
      <c r="V698" s="20"/>
      <c r="W698" s="20">
        <v>469000</v>
      </c>
      <c r="X698" s="20">
        <v>6191667</v>
      </c>
      <c r="Y698" s="8">
        <f t="shared" si="73"/>
        <v>13165593.398000002</v>
      </c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7">
        <f t="shared" si="74"/>
        <v>0</v>
      </c>
      <c r="AM698" s="36"/>
      <c r="AN698" s="36"/>
      <c r="AO698" s="36"/>
      <c r="AP698" s="7"/>
      <c r="AQ698" s="38">
        <f t="shared" si="75"/>
        <v>13165593.398000002</v>
      </c>
      <c r="AR698" s="36">
        <v>13228000</v>
      </c>
      <c r="AS698" s="18">
        <f t="shared" si="76"/>
        <v>62406.601999998093</v>
      </c>
    </row>
    <row r="699" spans="1:45" x14ac:dyDescent="0.25">
      <c r="A699" s="40">
        <v>45987</v>
      </c>
      <c r="B699" s="20">
        <v>1712.133</v>
      </c>
      <c r="C699" s="20">
        <v>5998.5339999999997</v>
      </c>
      <c r="D699" s="20">
        <v>5185</v>
      </c>
      <c r="E699" s="20">
        <v>4849</v>
      </c>
      <c r="F699" s="7">
        <f t="shared" si="70"/>
        <v>8877409.6050000004</v>
      </c>
      <c r="G699" s="7">
        <f t="shared" si="71"/>
        <v>29086891.365999997</v>
      </c>
      <c r="H699" s="20">
        <v>74</v>
      </c>
      <c r="I699" s="20">
        <v>1551000</v>
      </c>
      <c r="J699" s="20">
        <v>9</v>
      </c>
      <c r="K699" s="20">
        <v>81000</v>
      </c>
      <c r="L699" s="20">
        <v>143000</v>
      </c>
      <c r="M699" s="20"/>
      <c r="N699" s="20">
        <v>250000</v>
      </c>
      <c r="O699" s="20">
        <v>2057483</v>
      </c>
      <c r="P699" s="20"/>
      <c r="Q699" s="19">
        <f t="shared" si="72"/>
        <v>42046783.971000001</v>
      </c>
      <c r="R699" s="20">
        <v>469094</v>
      </c>
      <c r="S699" s="20">
        <v>21965854</v>
      </c>
      <c r="T699" s="20"/>
      <c r="U699" s="20"/>
      <c r="V699" s="20"/>
      <c r="W699" s="20"/>
      <c r="X699" s="20">
        <v>7166828</v>
      </c>
      <c r="Y699" s="8">
        <f t="shared" si="73"/>
        <v>12445007.971000001</v>
      </c>
      <c r="Z699" s="36"/>
      <c r="AA699" s="36"/>
      <c r="AB699" s="36"/>
      <c r="AC699" s="36"/>
      <c r="AD699" s="36"/>
      <c r="AE699" s="36"/>
      <c r="AF699" s="36">
        <v>403000</v>
      </c>
      <c r="AG699" s="36"/>
      <c r="AH699" s="36"/>
      <c r="AI699" s="36"/>
      <c r="AJ699" s="36">
        <v>1000000</v>
      </c>
      <c r="AK699" s="36"/>
      <c r="AL699" s="37">
        <f t="shared" si="74"/>
        <v>1403000</v>
      </c>
      <c r="AM699" s="36"/>
      <c r="AN699" s="36"/>
      <c r="AO699" s="36"/>
      <c r="AP699" s="7"/>
      <c r="AQ699" s="38">
        <f t="shared" si="75"/>
        <v>11042007.971000001</v>
      </c>
      <c r="AR699" s="36">
        <v>11026000</v>
      </c>
      <c r="AS699" s="18">
        <f t="shared" si="76"/>
        <v>-16007.971000000834</v>
      </c>
    </row>
    <row r="700" spans="1:45" x14ac:dyDescent="0.25">
      <c r="A700" s="40">
        <v>45988</v>
      </c>
      <c r="B700" s="20">
        <v>1797.319</v>
      </c>
      <c r="C700" s="20">
        <v>4112.152</v>
      </c>
      <c r="D700" s="20">
        <v>5185</v>
      </c>
      <c r="E700" s="20">
        <v>4849</v>
      </c>
      <c r="F700" s="7">
        <f t="shared" si="70"/>
        <v>9319099.0150000006</v>
      </c>
      <c r="G700" s="7">
        <f t="shared" si="71"/>
        <v>19939825.048</v>
      </c>
      <c r="H700" s="20">
        <v>39.75</v>
      </c>
      <c r="I700" s="20">
        <v>842000</v>
      </c>
      <c r="J700" s="20">
        <v>36.5</v>
      </c>
      <c r="K700" s="20">
        <v>317000</v>
      </c>
      <c r="L700" s="20">
        <v>70000</v>
      </c>
      <c r="M700" s="20">
        <v>400000</v>
      </c>
      <c r="N700" s="20"/>
      <c r="O700" s="20"/>
      <c r="P700" s="20"/>
      <c r="Q700" s="19">
        <f t="shared" si="72"/>
        <v>30887924.063000001</v>
      </c>
      <c r="R700" s="20">
        <v>855365</v>
      </c>
      <c r="S700" s="20">
        <v>10606517</v>
      </c>
      <c r="T700" s="20"/>
      <c r="U700" s="20"/>
      <c r="V700" s="20"/>
      <c r="W700" s="20">
        <v>279000</v>
      </c>
      <c r="X700" s="20">
        <v>4118722</v>
      </c>
      <c r="Y700" s="8">
        <f t="shared" si="73"/>
        <v>15028320.063000001</v>
      </c>
      <c r="Z700" s="36"/>
      <c r="AA700" s="36"/>
      <c r="AB700" s="36"/>
      <c r="AC700" s="36"/>
      <c r="AD700" s="36">
        <v>96980</v>
      </c>
      <c r="AE700" s="36"/>
      <c r="AF700" s="36">
        <v>3000</v>
      </c>
      <c r="AG700" s="36"/>
      <c r="AH700" s="36">
        <v>19000</v>
      </c>
      <c r="AI700" s="36"/>
      <c r="AJ700" s="36"/>
      <c r="AK700" s="36"/>
      <c r="AL700" s="37">
        <f t="shared" si="74"/>
        <v>118980</v>
      </c>
      <c r="AM700" s="36"/>
      <c r="AN700" s="36"/>
      <c r="AO700" s="36"/>
      <c r="AP700" s="7"/>
      <c r="AQ700" s="38">
        <f t="shared" si="75"/>
        <v>14909340.063000001</v>
      </c>
      <c r="AR700" s="36">
        <v>13909400</v>
      </c>
      <c r="AS700" s="18">
        <f t="shared" si="76"/>
        <v>-999940.06300000101</v>
      </c>
    </row>
    <row r="701" spans="1:45" x14ac:dyDescent="0.25">
      <c r="A701" s="40">
        <v>45989</v>
      </c>
      <c r="B701" s="20">
        <v>2202.8180000000002</v>
      </c>
      <c r="C701" s="20">
        <v>5482.6049999999996</v>
      </c>
      <c r="D701" s="20">
        <v>5185</v>
      </c>
      <c r="E701" s="20">
        <v>4849</v>
      </c>
      <c r="F701" s="7">
        <f t="shared" si="70"/>
        <v>11421611.330000002</v>
      </c>
      <c r="G701" s="7">
        <f t="shared" si="71"/>
        <v>26585151.645</v>
      </c>
      <c r="H701" s="20">
        <v>24.25</v>
      </c>
      <c r="I701" s="20">
        <v>464500</v>
      </c>
      <c r="J701" s="20">
        <v>48.5</v>
      </c>
      <c r="K701" s="20">
        <v>423000</v>
      </c>
      <c r="L701" s="20">
        <v>8000</v>
      </c>
      <c r="M701" s="20">
        <v>100000</v>
      </c>
      <c r="N701" s="20"/>
      <c r="O701" s="20">
        <v>2000000</v>
      </c>
      <c r="P701" s="20"/>
      <c r="Q701" s="19">
        <f t="shared" si="72"/>
        <v>41002262.975000001</v>
      </c>
      <c r="R701" s="20">
        <v>1028950</v>
      </c>
      <c r="S701" s="20">
        <v>23771834</v>
      </c>
      <c r="T701" s="20"/>
      <c r="U701" s="20"/>
      <c r="V701" s="20"/>
      <c r="W701" s="20">
        <v>560000</v>
      </c>
      <c r="X701" s="20">
        <v>4209596</v>
      </c>
      <c r="Y701" s="8">
        <f t="shared" si="73"/>
        <v>11431882.975000001</v>
      </c>
      <c r="Z701" s="36"/>
      <c r="AA701" s="36"/>
      <c r="AB701" s="36"/>
      <c r="AC701" s="36">
        <v>50000</v>
      </c>
      <c r="AD701" s="36"/>
      <c r="AE701" s="36"/>
      <c r="AF701" s="36">
        <v>50000</v>
      </c>
      <c r="AG701" s="36"/>
      <c r="AH701" s="36">
        <v>23000</v>
      </c>
      <c r="AI701" s="36"/>
      <c r="AJ701" s="36">
        <v>2117300</v>
      </c>
      <c r="AK701" s="36"/>
      <c r="AL701" s="37">
        <f t="shared" si="74"/>
        <v>2240300</v>
      </c>
      <c r="AM701" s="36"/>
      <c r="AN701" s="36"/>
      <c r="AO701" s="36"/>
      <c r="AP701" s="7"/>
      <c r="AQ701" s="38">
        <f t="shared" si="75"/>
        <v>9191582.9750000015</v>
      </c>
      <c r="AR701" s="36">
        <v>9191600</v>
      </c>
      <c r="AS701" s="18">
        <f t="shared" si="76"/>
        <v>17.024999998509884</v>
      </c>
    </row>
    <row r="702" spans="1:45" x14ac:dyDescent="0.25">
      <c r="A702" s="40">
        <v>45990</v>
      </c>
      <c r="B702" s="20">
        <v>2502.288</v>
      </c>
      <c r="C702" s="20">
        <v>2973.5079999999998</v>
      </c>
      <c r="D702" s="20">
        <v>5185</v>
      </c>
      <c r="E702" s="20">
        <v>4849</v>
      </c>
      <c r="F702" s="7">
        <f t="shared" si="70"/>
        <v>12974363.279999999</v>
      </c>
      <c r="G702" s="7">
        <f t="shared" si="71"/>
        <v>14418540.291999999</v>
      </c>
      <c r="H702" s="20">
        <v>27.75</v>
      </c>
      <c r="I702" s="20">
        <v>596500</v>
      </c>
      <c r="J702" s="20">
        <v>55.5</v>
      </c>
      <c r="K702" s="20">
        <v>474000</v>
      </c>
      <c r="L702" s="20">
        <v>16000</v>
      </c>
      <c r="M702" s="20">
        <v>120000</v>
      </c>
      <c r="N702" s="20">
        <v>1050000</v>
      </c>
      <c r="O702" s="20">
        <v>430000</v>
      </c>
      <c r="P702" s="20"/>
      <c r="Q702" s="19">
        <f t="shared" si="72"/>
        <v>30079403.571999997</v>
      </c>
      <c r="R702" s="20">
        <v>2035452</v>
      </c>
      <c r="S702" s="20">
        <v>9289299</v>
      </c>
      <c r="T702" s="20"/>
      <c r="U702" s="20"/>
      <c r="V702" s="20"/>
      <c r="W702" s="20">
        <v>374000</v>
      </c>
      <c r="X702" s="20">
        <v>1937595</v>
      </c>
      <c r="Y702" s="8">
        <f t="shared" si="73"/>
        <v>16443057.571999997</v>
      </c>
      <c r="Z702" s="36"/>
      <c r="AA702" s="36">
        <v>125000</v>
      </c>
      <c r="AB702" s="36"/>
      <c r="AC702" s="36"/>
      <c r="AD702" s="36"/>
      <c r="AE702" s="36"/>
      <c r="AF702" s="36">
        <v>3000</v>
      </c>
      <c r="AG702" s="36"/>
      <c r="AH702" s="36"/>
      <c r="AI702" s="36"/>
      <c r="AJ702" s="36"/>
      <c r="AK702" s="36"/>
      <c r="AL702" s="37">
        <f t="shared" si="74"/>
        <v>128000</v>
      </c>
      <c r="AM702" s="36"/>
      <c r="AN702" s="36"/>
      <c r="AO702" s="36"/>
      <c r="AP702" s="7"/>
      <c r="AQ702" s="38">
        <f t="shared" si="75"/>
        <v>16315057.571999997</v>
      </c>
      <c r="AR702" s="36">
        <v>11508000</v>
      </c>
      <c r="AS702" s="18">
        <f t="shared" si="76"/>
        <v>-4807057.5719999969</v>
      </c>
    </row>
    <row r="703" spans="1:45" x14ac:dyDescent="0.25">
      <c r="A703" s="40">
        <v>45991</v>
      </c>
      <c r="B703" s="20">
        <v>2863.009</v>
      </c>
      <c r="C703" s="20">
        <v>5794.3239999999996</v>
      </c>
      <c r="D703" s="20">
        <v>5185</v>
      </c>
      <c r="E703" s="20">
        <v>4849</v>
      </c>
      <c r="F703" s="7">
        <f t="shared" si="70"/>
        <v>14844701.665000001</v>
      </c>
      <c r="G703" s="7">
        <f t="shared" si="71"/>
        <v>28096677.075999998</v>
      </c>
      <c r="H703" s="20">
        <v>30.25</v>
      </c>
      <c r="I703" s="20">
        <v>772000</v>
      </c>
      <c r="J703" s="20">
        <v>49</v>
      </c>
      <c r="K703" s="20">
        <v>422000</v>
      </c>
      <c r="L703" s="20">
        <v>8000</v>
      </c>
      <c r="M703" s="20"/>
      <c r="N703" s="20"/>
      <c r="O703" s="20">
        <v>200000</v>
      </c>
      <c r="P703" s="20"/>
      <c r="Q703" s="19">
        <f t="shared" si="72"/>
        <v>44343378.740999997</v>
      </c>
      <c r="R703" s="20">
        <v>1154042</v>
      </c>
      <c r="S703" s="20">
        <v>19982278</v>
      </c>
      <c r="T703" s="20"/>
      <c r="U703" s="20"/>
      <c r="V703" s="20"/>
      <c r="W703" s="20">
        <v>639000</v>
      </c>
      <c r="X703" s="20">
        <v>7232994</v>
      </c>
      <c r="Y703" s="8">
        <f t="shared" si="73"/>
        <v>15335064.740999997</v>
      </c>
      <c r="Z703" s="36"/>
      <c r="AA703" s="36"/>
      <c r="AB703" s="36"/>
      <c r="AC703" s="36"/>
      <c r="AD703" s="36">
        <v>96980</v>
      </c>
      <c r="AE703" s="36">
        <v>1184000</v>
      </c>
      <c r="AF703" s="36">
        <v>3000</v>
      </c>
      <c r="AG703" s="36">
        <v>2760000</v>
      </c>
      <c r="AH703" s="36"/>
      <c r="AI703" s="36"/>
      <c r="AJ703" s="36"/>
      <c r="AK703" s="36"/>
      <c r="AL703" s="37">
        <f t="shared" si="74"/>
        <v>4043980</v>
      </c>
      <c r="AM703" s="36"/>
      <c r="AN703" s="36"/>
      <c r="AO703" s="36"/>
      <c r="AP703" s="7"/>
      <c r="AQ703" s="38">
        <f t="shared" si="75"/>
        <v>11291084.740999997</v>
      </c>
      <c r="AR703" s="36"/>
      <c r="AS703" s="18">
        <f t="shared" si="76"/>
        <v>-11291084.740999997</v>
      </c>
    </row>
    <row r="704" spans="1:45" x14ac:dyDescent="0.25">
      <c r="A704" s="40">
        <v>45992</v>
      </c>
      <c r="B704" s="20">
        <v>2013.921</v>
      </c>
      <c r="C704" s="20">
        <v>3657.0390000000002</v>
      </c>
      <c r="D704" s="20">
        <v>5185</v>
      </c>
      <c r="E704" s="20">
        <v>4849</v>
      </c>
      <c r="F704" s="7">
        <f t="shared" si="70"/>
        <v>10442180.385</v>
      </c>
      <c r="G704" s="7">
        <f t="shared" si="71"/>
        <v>17732982.111000001</v>
      </c>
      <c r="H704" s="20">
        <v>34.25</v>
      </c>
      <c r="I704" s="20">
        <v>372500</v>
      </c>
      <c r="J704" s="20">
        <v>34</v>
      </c>
      <c r="K704" s="20">
        <v>313500</v>
      </c>
      <c r="L704" s="20">
        <v>0</v>
      </c>
      <c r="M704" s="20"/>
      <c r="N704" s="20">
        <v>450000</v>
      </c>
      <c r="O704" s="20">
        <v>12000</v>
      </c>
      <c r="P704" s="20"/>
      <c r="Q704" s="19">
        <f t="shared" si="72"/>
        <v>29323162.495999999</v>
      </c>
      <c r="R704" s="20">
        <v>496765</v>
      </c>
      <c r="S704" s="20">
        <v>17121955</v>
      </c>
      <c r="T704" s="20"/>
      <c r="U704" s="20"/>
      <c r="V704" s="20"/>
      <c r="W704" s="20">
        <v>323200</v>
      </c>
      <c r="X704" s="20">
        <v>4467131</v>
      </c>
      <c r="Y704" s="8">
        <f t="shared" si="73"/>
        <v>6914111.4959999993</v>
      </c>
      <c r="Z704" s="36"/>
      <c r="AA704" s="36"/>
      <c r="AB704" s="36">
        <v>643100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7">
        <f t="shared" si="74"/>
        <v>643100</v>
      </c>
      <c r="AM704" s="36"/>
      <c r="AN704" s="36"/>
      <c r="AO704" s="36"/>
      <c r="AP704" s="7"/>
      <c r="AQ704" s="38">
        <f t="shared" si="75"/>
        <v>6271011.4959999993</v>
      </c>
      <c r="AR704" s="36">
        <v>13860000</v>
      </c>
      <c r="AS704" s="18">
        <f t="shared" si="76"/>
        <v>7588988.5040000007</v>
      </c>
    </row>
    <row r="705" spans="1:45" x14ac:dyDescent="0.25">
      <c r="A705" s="40">
        <v>45993</v>
      </c>
      <c r="B705" s="20">
        <v>1450.3610000000001</v>
      </c>
      <c r="C705" s="20">
        <v>3074.0259999999998</v>
      </c>
      <c r="D705" s="20">
        <v>5185</v>
      </c>
      <c r="E705" s="20">
        <v>4849</v>
      </c>
      <c r="F705" s="7">
        <f t="shared" si="70"/>
        <v>7520121.7850000001</v>
      </c>
      <c r="G705" s="7">
        <f t="shared" si="71"/>
        <v>14905952.073999999</v>
      </c>
      <c r="H705" s="20">
        <v>14.5</v>
      </c>
      <c r="I705" s="20">
        <v>280500</v>
      </c>
      <c r="J705" s="20">
        <v>66.5</v>
      </c>
      <c r="K705" s="20">
        <v>658000</v>
      </c>
      <c r="L705" s="20">
        <v>8000</v>
      </c>
      <c r="M705" s="20"/>
      <c r="N705" s="20"/>
      <c r="O705" s="20"/>
      <c r="P705" s="20"/>
      <c r="Q705" s="19">
        <f t="shared" si="72"/>
        <v>23372573.858999997</v>
      </c>
      <c r="R705" s="20">
        <v>604098</v>
      </c>
      <c r="S705" s="20">
        <v>12019505</v>
      </c>
      <c r="T705" s="20"/>
      <c r="U705" s="20"/>
      <c r="V705" s="20"/>
      <c r="W705" s="20">
        <v>899599</v>
      </c>
      <c r="X705" s="20">
        <v>3708391</v>
      </c>
      <c r="Y705" s="8">
        <f t="shared" si="73"/>
        <v>6140980.8589999974</v>
      </c>
      <c r="Z705" s="36"/>
      <c r="AA705" s="36"/>
      <c r="AB705" s="36"/>
      <c r="AC705" s="36"/>
      <c r="AD705" s="36"/>
      <c r="AE705" s="36"/>
      <c r="AF705" s="36">
        <v>9000</v>
      </c>
      <c r="AG705" s="36"/>
      <c r="AH705" s="36"/>
      <c r="AI705" s="36"/>
      <c r="AJ705" s="36">
        <v>1119800</v>
      </c>
      <c r="AK705" s="36"/>
      <c r="AL705" s="37">
        <f t="shared" si="74"/>
        <v>1128800</v>
      </c>
      <c r="AM705" s="36"/>
      <c r="AN705" s="36"/>
      <c r="AO705" s="36"/>
      <c r="AP705" s="7"/>
      <c r="AQ705" s="38">
        <f t="shared" si="75"/>
        <v>5012180.8589999974</v>
      </c>
      <c r="AR705" s="36">
        <v>5012300</v>
      </c>
      <c r="AS705" s="18">
        <f t="shared" si="76"/>
        <v>119.1410000026226</v>
      </c>
    </row>
    <row r="706" spans="1:45" x14ac:dyDescent="0.25">
      <c r="A706" s="40">
        <v>45994</v>
      </c>
      <c r="B706" s="20">
        <v>2112.5610000000001</v>
      </c>
      <c r="C706" s="20">
        <v>3454.4070000000002</v>
      </c>
      <c r="D706" s="20">
        <v>5185</v>
      </c>
      <c r="E706" s="20">
        <v>4849</v>
      </c>
      <c r="F706" s="7">
        <f t="shared" si="70"/>
        <v>10953628.785</v>
      </c>
      <c r="G706" s="7">
        <f t="shared" si="71"/>
        <v>16750419.543000001</v>
      </c>
      <c r="H706" s="20">
        <v>89</v>
      </c>
      <c r="I706" s="20">
        <v>2054000</v>
      </c>
      <c r="J706" s="20">
        <v>107.5</v>
      </c>
      <c r="K706" s="20">
        <v>1078000</v>
      </c>
      <c r="L706" s="20">
        <v>61000</v>
      </c>
      <c r="M706" s="20"/>
      <c r="N706" s="20"/>
      <c r="O706" s="20"/>
      <c r="P706" s="20"/>
      <c r="Q706" s="19">
        <f t="shared" si="72"/>
        <v>30897048.328000002</v>
      </c>
      <c r="R706" s="20">
        <v>783510</v>
      </c>
      <c r="S706" s="20">
        <v>11761805</v>
      </c>
      <c r="T706" s="20"/>
      <c r="U706" s="20"/>
      <c r="V706" s="20"/>
      <c r="W706" s="20">
        <v>633000</v>
      </c>
      <c r="X706" s="20">
        <v>6021385</v>
      </c>
      <c r="Y706" s="8">
        <f t="shared" si="73"/>
        <v>11697348.328000002</v>
      </c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7">
        <f t="shared" si="74"/>
        <v>0</v>
      </c>
      <c r="AM706" s="36"/>
      <c r="AN706" s="36"/>
      <c r="AO706" s="36"/>
      <c r="AP706" s="7"/>
      <c r="AQ706" s="38">
        <f t="shared" si="75"/>
        <v>11697348.328000002</v>
      </c>
      <c r="AR706" s="36">
        <v>11697400</v>
      </c>
      <c r="AS706" s="18">
        <f t="shared" si="76"/>
        <v>51.671999998390675</v>
      </c>
    </row>
    <row r="707" spans="1:45" x14ac:dyDescent="0.25">
      <c r="A707" s="40">
        <v>45995</v>
      </c>
      <c r="B707" s="20">
        <v>1867.9659999999999</v>
      </c>
      <c r="C707" s="20">
        <v>4317.1899999999996</v>
      </c>
      <c r="D707" s="20">
        <v>5185</v>
      </c>
      <c r="E707" s="20">
        <v>4849</v>
      </c>
      <c r="F707" s="7">
        <f t="shared" si="70"/>
        <v>9685403.709999999</v>
      </c>
      <c r="G707" s="7">
        <f t="shared" si="71"/>
        <v>20934054.309999999</v>
      </c>
      <c r="H707" s="20">
        <v>93.75</v>
      </c>
      <c r="I707" s="20">
        <v>2018500</v>
      </c>
      <c r="J707" s="20">
        <v>64</v>
      </c>
      <c r="K707" s="20">
        <v>556000</v>
      </c>
      <c r="L707" s="20">
        <v>111000</v>
      </c>
      <c r="M707" s="20">
        <v>580000</v>
      </c>
      <c r="N707" s="20"/>
      <c r="O707" s="20">
        <v>2056726</v>
      </c>
      <c r="P707" s="20"/>
      <c r="Q707" s="19">
        <f t="shared" si="72"/>
        <v>35941684.019999996</v>
      </c>
      <c r="R707" s="20">
        <v>1521900</v>
      </c>
      <c r="S707" s="20">
        <v>14033798</v>
      </c>
      <c r="T707" s="20"/>
      <c r="U707" s="20"/>
      <c r="V707" s="20"/>
      <c r="W707" s="20">
        <v>393207</v>
      </c>
      <c r="X707" s="20">
        <v>4869655</v>
      </c>
      <c r="Y707" s="8">
        <f t="shared" si="73"/>
        <v>15123124.019999996</v>
      </c>
      <c r="Z707" s="36"/>
      <c r="AA707" s="36"/>
      <c r="AB707" s="36"/>
      <c r="AC707" s="36">
        <v>60000</v>
      </c>
      <c r="AD707" s="36"/>
      <c r="AE707" s="36"/>
      <c r="AF707" s="36">
        <v>1023697</v>
      </c>
      <c r="AG707" s="36"/>
      <c r="AH707" s="36"/>
      <c r="AI707" s="36"/>
      <c r="AJ707" s="36"/>
      <c r="AK707" s="36"/>
      <c r="AL707" s="37">
        <f t="shared" si="74"/>
        <v>1083697</v>
      </c>
      <c r="AM707" s="36"/>
      <c r="AN707" s="36"/>
      <c r="AO707" s="36"/>
      <c r="AP707" s="7"/>
      <c r="AQ707" s="38">
        <f t="shared" si="75"/>
        <v>14039427.019999996</v>
      </c>
      <c r="AR707" s="36">
        <v>14039400</v>
      </c>
      <c r="AS707" s="18">
        <f t="shared" si="76"/>
        <v>-27.019999995827675</v>
      </c>
    </row>
    <row r="708" spans="1:45" x14ac:dyDescent="0.25">
      <c r="A708" s="40">
        <v>45996</v>
      </c>
      <c r="B708" s="20">
        <v>1809.9190000000001</v>
      </c>
      <c r="C708" s="20">
        <v>3355.0819999999999</v>
      </c>
      <c r="D708" s="20">
        <v>5185</v>
      </c>
      <c r="E708" s="20">
        <v>4849</v>
      </c>
      <c r="F708" s="7">
        <f t="shared" ref="F708:F771" si="77">B708*D708</f>
        <v>9384430.0150000006</v>
      </c>
      <c r="G708" s="7">
        <f t="shared" ref="G708:G771" si="78">C708*E708</f>
        <v>16268792.617999999</v>
      </c>
      <c r="H708" s="20">
        <v>79.5</v>
      </c>
      <c r="I708" s="20">
        <v>1723000</v>
      </c>
      <c r="J708" s="20">
        <v>72</v>
      </c>
      <c r="K708" s="20">
        <v>816500</v>
      </c>
      <c r="L708" s="20">
        <v>16000</v>
      </c>
      <c r="M708" s="20"/>
      <c r="N708" s="20">
        <v>230000</v>
      </c>
      <c r="O708" s="20">
        <v>150000</v>
      </c>
      <c r="P708" s="20"/>
      <c r="Q708" s="19">
        <f t="shared" ref="Q708:Q771" si="79">SUM(F708:G708)+I708+K708+SUM(L708:P708)</f>
        <v>28588722.633000001</v>
      </c>
      <c r="R708" s="20">
        <v>953912</v>
      </c>
      <c r="S708" s="20">
        <v>9243976</v>
      </c>
      <c r="T708" s="20"/>
      <c r="U708" s="20"/>
      <c r="V708" s="20"/>
      <c r="W708" s="20">
        <v>388000</v>
      </c>
      <c r="X708" s="20">
        <v>5614001</v>
      </c>
      <c r="Y708" s="8">
        <f t="shared" ref="Y708:Y771" si="80">Q708-SUM(R708:X708)</f>
        <v>12388833.633000001</v>
      </c>
      <c r="Z708" s="36"/>
      <c r="AA708" s="36"/>
      <c r="AB708" s="36"/>
      <c r="AC708" s="36"/>
      <c r="AD708" s="36"/>
      <c r="AE708" s="36"/>
      <c r="AF708" s="36">
        <v>2333000</v>
      </c>
      <c r="AG708" s="36"/>
      <c r="AH708" s="36">
        <v>10000</v>
      </c>
      <c r="AI708" s="36"/>
      <c r="AJ708" s="36"/>
      <c r="AK708" s="36"/>
      <c r="AL708" s="37">
        <f t="shared" ref="AL708:AL771" si="81">SUM(Z708:AK708)</f>
        <v>2343000</v>
      </c>
      <c r="AM708" s="36"/>
      <c r="AN708" s="36"/>
      <c r="AO708" s="36"/>
      <c r="AP708" s="7"/>
      <c r="AQ708" s="38">
        <f t="shared" ref="AQ708:AQ771" si="82">Q708-SUM(R708:X708)-AL708-SUM(AM708:AO708)</f>
        <v>10045833.633000001</v>
      </c>
      <c r="AR708" s="36">
        <v>10019300</v>
      </c>
      <c r="AS708" s="18">
        <f t="shared" ref="AS708:AS771" si="83">AR708-AQ708</f>
        <v>-26533.633000001311</v>
      </c>
    </row>
    <row r="709" spans="1:45" x14ac:dyDescent="0.25">
      <c r="A709" s="40">
        <v>45997</v>
      </c>
      <c r="B709" s="20">
        <v>2429.52</v>
      </c>
      <c r="C709" s="20">
        <v>3174.422</v>
      </c>
      <c r="D709" s="20">
        <v>5185</v>
      </c>
      <c r="E709" s="20">
        <v>4849</v>
      </c>
      <c r="F709" s="7">
        <f t="shared" si="77"/>
        <v>12597061.199999999</v>
      </c>
      <c r="G709" s="7">
        <f t="shared" si="78"/>
        <v>15392772.278000001</v>
      </c>
      <c r="H709" s="20">
        <v>22.5</v>
      </c>
      <c r="I709" s="20">
        <v>405500</v>
      </c>
      <c r="J709" s="20">
        <v>93</v>
      </c>
      <c r="K709" s="20">
        <v>695000</v>
      </c>
      <c r="L709" s="20">
        <v>8000</v>
      </c>
      <c r="M709" s="20"/>
      <c r="N709" s="20"/>
      <c r="O709" s="20"/>
      <c r="P709" s="20"/>
      <c r="Q709" s="19">
        <f t="shared" si="79"/>
        <v>29098333.478</v>
      </c>
      <c r="R709" s="20">
        <v>768300</v>
      </c>
      <c r="S709" s="20">
        <v>10189009</v>
      </c>
      <c r="T709" s="20"/>
      <c r="U709" s="20"/>
      <c r="V709" s="20"/>
      <c r="W709" s="20">
        <v>494000</v>
      </c>
      <c r="X709" s="20">
        <v>7310078</v>
      </c>
      <c r="Y709" s="8">
        <f t="shared" si="80"/>
        <v>10336946.478</v>
      </c>
      <c r="Z709" s="36"/>
      <c r="AA709" s="36"/>
      <c r="AB709" s="36"/>
      <c r="AC709" s="36"/>
      <c r="AD709" s="36"/>
      <c r="AE709" s="36"/>
      <c r="AF709" s="36">
        <v>1060000</v>
      </c>
      <c r="AG709" s="36"/>
      <c r="AH709" s="36">
        <v>70000</v>
      </c>
      <c r="AI709" s="36"/>
      <c r="AJ709" s="36"/>
      <c r="AK709" s="36"/>
      <c r="AL709" s="37">
        <f t="shared" si="81"/>
        <v>1130000</v>
      </c>
      <c r="AM709" s="36"/>
      <c r="AN709" s="36"/>
      <c r="AO709" s="36"/>
      <c r="AP709" s="7"/>
      <c r="AQ709" s="38">
        <f t="shared" si="82"/>
        <v>9206946.4780000001</v>
      </c>
      <c r="AR709" s="36"/>
      <c r="AS709" s="18">
        <f t="shared" si="83"/>
        <v>-9206946.4780000001</v>
      </c>
    </row>
    <row r="710" spans="1:45" x14ac:dyDescent="0.25">
      <c r="A710" s="40">
        <v>45998</v>
      </c>
      <c r="B710" s="20">
        <v>2775.3420000000001</v>
      </c>
      <c r="C710" s="20">
        <v>3409.011</v>
      </c>
      <c r="D710" s="20">
        <v>5185</v>
      </c>
      <c r="E710" s="20">
        <v>4849</v>
      </c>
      <c r="F710" s="7">
        <f t="shared" si="77"/>
        <v>14390148.270000001</v>
      </c>
      <c r="G710" s="7">
        <f t="shared" si="78"/>
        <v>16530294.339</v>
      </c>
      <c r="H710" s="20">
        <v>33.25</v>
      </c>
      <c r="I710" s="20">
        <v>704500</v>
      </c>
      <c r="J710" s="20">
        <v>37.5</v>
      </c>
      <c r="K710" s="20">
        <v>312000</v>
      </c>
      <c r="L710" s="20">
        <v>23000</v>
      </c>
      <c r="M710" s="20"/>
      <c r="N710" s="20"/>
      <c r="O710" s="20">
        <v>100000</v>
      </c>
      <c r="P710" s="20"/>
      <c r="Q710" s="19">
        <f t="shared" si="79"/>
        <v>32059942.609000001</v>
      </c>
      <c r="R710" s="20">
        <v>1251365</v>
      </c>
      <c r="S710" s="20">
        <v>14492888</v>
      </c>
      <c r="T710" s="20"/>
      <c r="U710" s="20"/>
      <c r="V710" s="20"/>
      <c r="W710" s="20">
        <v>681400</v>
      </c>
      <c r="X710" s="20">
        <v>3774270</v>
      </c>
      <c r="Y710" s="8">
        <f t="shared" si="80"/>
        <v>11860019.609000001</v>
      </c>
      <c r="Z710" s="36"/>
      <c r="AA710" s="36"/>
      <c r="AB710" s="36"/>
      <c r="AC710" s="36"/>
      <c r="AD710" s="36"/>
      <c r="AE710" s="36"/>
      <c r="AF710" s="36">
        <v>3003000</v>
      </c>
      <c r="AG710" s="36"/>
      <c r="AH710" s="36"/>
      <c r="AI710" s="36"/>
      <c r="AJ710" s="36"/>
      <c r="AK710" s="36"/>
      <c r="AL710" s="37">
        <f t="shared" si="81"/>
        <v>3003000</v>
      </c>
      <c r="AM710" s="36"/>
      <c r="AN710" s="36"/>
      <c r="AO710" s="36"/>
      <c r="AP710" s="7"/>
      <c r="AQ710" s="38">
        <f t="shared" si="82"/>
        <v>8857019.6090000011</v>
      </c>
      <c r="AR710" s="36"/>
      <c r="AS710" s="18">
        <f t="shared" si="83"/>
        <v>-8857019.6090000011</v>
      </c>
    </row>
    <row r="711" spans="1:45" x14ac:dyDescent="0.25">
      <c r="A711" s="40">
        <v>45999</v>
      </c>
      <c r="B711" s="20">
        <v>1797.991</v>
      </c>
      <c r="C711" s="20">
        <v>2234.1</v>
      </c>
      <c r="D711" s="20">
        <v>5185</v>
      </c>
      <c r="E711" s="20">
        <v>4849</v>
      </c>
      <c r="F711" s="7">
        <f t="shared" si="77"/>
        <v>9322583.334999999</v>
      </c>
      <c r="G711" s="7">
        <f t="shared" si="78"/>
        <v>10833150.9</v>
      </c>
      <c r="H711" s="20">
        <v>31.25</v>
      </c>
      <c r="I711" s="20">
        <v>640000</v>
      </c>
      <c r="J711" s="20">
        <v>160</v>
      </c>
      <c r="K711" s="20">
        <v>1162000</v>
      </c>
      <c r="L711" s="20">
        <v>53000</v>
      </c>
      <c r="M711" s="20"/>
      <c r="N711" s="20"/>
      <c r="O711" s="20"/>
      <c r="P711" s="20"/>
      <c r="Q711" s="19">
        <f t="shared" si="79"/>
        <v>22010734.234999999</v>
      </c>
      <c r="R711" s="20">
        <v>1048259</v>
      </c>
      <c r="S711" s="20">
        <v>5719591</v>
      </c>
      <c r="T711" s="20"/>
      <c r="U711" s="20"/>
      <c r="V711" s="20"/>
      <c r="W711" s="20">
        <v>75000</v>
      </c>
      <c r="X711" s="20">
        <v>3608050</v>
      </c>
      <c r="Y711" s="8">
        <f t="shared" si="80"/>
        <v>11559834.234999999</v>
      </c>
      <c r="Z711" s="36"/>
      <c r="AA711" s="36"/>
      <c r="AB711" s="36"/>
      <c r="AC711" s="36"/>
      <c r="AD711" s="36"/>
      <c r="AE711" s="36"/>
      <c r="AF711" s="36">
        <v>1108764</v>
      </c>
      <c r="AG711" s="36"/>
      <c r="AH711" s="36"/>
      <c r="AI711" s="36"/>
      <c r="AJ711" s="36">
        <v>2200000</v>
      </c>
      <c r="AK711" s="36"/>
      <c r="AL711" s="37">
        <f t="shared" si="81"/>
        <v>3308764</v>
      </c>
      <c r="AM711" s="36"/>
      <c r="AN711" s="36"/>
      <c r="AO711" s="36"/>
      <c r="AP711" s="7"/>
      <c r="AQ711" s="38">
        <f t="shared" si="82"/>
        <v>8251070.2349999994</v>
      </c>
      <c r="AR711" s="36">
        <v>23895000</v>
      </c>
      <c r="AS711" s="18">
        <f t="shared" si="83"/>
        <v>15643929.765000001</v>
      </c>
    </row>
    <row r="712" spans="1:45" x14ac:dyDescent="0.25">
      <c r="A712" s="40">
        <v>46000</v>
      </c>
      <c r="B712" s="20">
        <v>2205.9059999999999</v>
      </c>
      <c r="C712" s="20">
        <v>4054.7249999999999</v>
      </c>
      <c r="D712" s="20">
        <v>5149</v>
      </c>
      <c r="E712" s="20">
        <v>4672</v>
      </c>
      <c r="F712" s="7">
        <f t="shared" si="77"/>
        <v>11358209.993999999</v>
      </c>
      <c r="G712" s="7">
        <f t="shared" si="78"/>
        <v>18943675.199999999</v>
      </c>
      <c r="H712" s="20">
        <v>79.5</v>
      </c>
      <c r="I712" s="20">
        <v>1622500</v>
      </c>
      <c r="J712" s="20">
        <v>42</v>
      </c>
      <c r="K712" s="20">
        <v>374000</v>
      </c>
      <c r="L712" s="20">
        <v>62000</v>
      </c>
      <c r="M712" s="20"/>
      <c r="N712" s="20"/>
      <c r="O712" s="20">
        <v>5887700</v>
      </c>
      <c r="P712" s="20"/>
      <c r="Q712" s="19">
        <f t="shared" si="79"/>
        <v>38248085.193999998</v>
      </c>
      <c r="R712" s="20">
        <v>3790052</v>
      </c>
      <c r="S712" s="20">
        <v>9881780</v>
      </c>
      <c r="T712" s="20"/>
      <c r="U712" s="20"/>
      <c r="V712" s="20"/>
      <c r="W712" s="20">
        <v>60000</v>
      </c>
      <c r="X712" s="20">
        <v>9001350</v>
      </c>
      <c r="Y712" s="8">
        <f t="shared" si="80"/>
        <v>15514903.193999998</v>
      </c>
      <c r="Z712" s="36"/>
      <c r="AA712" s="36">
        <v>4000</v>
      </c>
      <c r="AB712" s="36"/>
      <c r="AC712" s="36">
        <v>19000</v>
      </c>
      <c r="AD712" s="36"/>
      <c r="AE712" s="36"/>
      <c r="AF712" s="36">
        <v>3058000</v>
      </c>
      <c r="AG712" s="36"/>
      <c r="AH712" s="36"/>
      <c r="AI712" s="36"/>
      <c r="AJ712" s="36">
        <v>454000</v>
      </c>
      <c r="AK712" s="36"/>
      <c r="AL712" s="37">
        <f t="shared" si="81"/>
        <v>3535000</v>
      </c>
      <c r="AM712" s="36"/>
      <c r="AN712" s="36"/>
      <c r="AO712" s="36"/>
      <c r="AP712" s="7"/>
      <c r="AQ712" s="38">
        <f t="shared" si="82"/>
        <v>11979903.193999998</v>
      </c>
      <c r="AR712" s="36"/>
      <c r="AS712" s="18">
        <f t="shared" si="83"/>
        <v>-11979903.193999998</v>
      </c>
    </row>
    <row r="713" spans="1:45" x14ac:dyDescent="0.25">
      <c r="A713" s="40">
        <v>46001</v>
      </c>
      <c r="B713" s="20">
        <v>2675.4549999999999</v>
      </c>
      <c r="C713" s="20">
        <v>3409.4340000000002</v>
      </c>
      <c r="D713" s="20">
        <v>5149</v>
      </c>
      <c r="E713" s="20">
        <v>4672</v>
      </c>
      <c r="F713" s="7">
        <f t="shared" si="77"/>
        <v>13775917.795</v>
      </c>
      <c r="G713" s="7">
        <f t="shared" si="78"/>
        <v>15928875.648</v>
      </c>
      <c r="H713" s="20">
        <v>76</v>
      </c>
      <c r="I713" s="20">
        <v>1602500</v>
      </c>
      <c r="J713" s="20">
        <v>48.5</v>
      </c>
      <c r="K713" s="20">
        <v>211000</v>
      </c>
      <c r="L713" s="20">
        <v>15000</v>
      </c>
      <c r="M713" s="20"/>
      <c r="N713" s="20">
        <v>21000</v>
      </c>
      <c r="O713" s="20">
        <v>1212607</v>
      </c>
      <c r="P713" s="20"/>
      <c r="Q713" s="19">
        <f t="shared" si="79"/>
        <v>32766900.443</v>
      </c>
      <c r="R713" s="20">
        <v>1665757</v>
      </c>
      <c r="S713" s="20">
        <v>8672191</v>
      </c>
      <c r="T713" s="20"/>
      <c r="U713" s="20"/>
      <c r="V713" s="20"/>
      <c r="W713" s="20">
        <v>199000</v>
      </c>
      <c r="X713" s="20">
        <v>8519806</v>
      </c>
      <c r="Y713" s="8">
        <f t="shared" si="80"/>
        <v>13710146.443</v>
      </c>
      <c r="Z713" s="36"/>
      <c r="AA713" s="36">
        <v>5000</v>
      </c>
      <c r="AB713" s="36"/>
      <c r="AC713" s="36"/>
      <c r="AD713" s="36"/>
      <c r="AE713" s="36"/>
      <c r="AF713" s="36">
        <v>4200000</v>
      </c>
      <c r="AG713" s="36"/>
      <c r="AH713" s="36"/>
      <c r="AI713" s="36"/>
      <c r="AJ713" s="36">
        <v>2115637</v>
      </c>
      <c r="AK713" s="36"/>
      <c r="AL713" s="37">
        <f t="shared" si="81"/>
        <v>6320637</v>
      </c>
      <c r="AM713" s="36"/>
      <c r="AN713" s="36"/>
      <c r="AO713" s="36"/>
      <c r="AP713" s="7"/>
      <c r="AQ713" s="38">
        <f t="shared" si="82"/>
        <v>7389509.443</v>
      </c>
      <c r="AR713" s="36">
        <v>8114300</v>
      </c>
      <c r="AS713" s="18">
        <f t="shared" si="83"/>
        <v>724790.55700000003</v>
      </c>
    </row>
    <row r="714" spans="1:45" x14ac:dyDescent="0.25">
      <c r="A714" s="40">
        <v>46002</v>
      </c>
      <c r="B714" s="20">
        <v>1978.7159999999999</v>
      </c>
      <c r="C714" s="20">
        <v>6336.9030000000002</v>
      </c>
      <c r="D714" s="20">
        <v>5149</v>
      </c>
      <c r="E714" s="20">
        <v>4672</v>
      </c>
      <c r="F714" s="7">
        <f t="shared" si="77"/>
        <v>10188408.684</v>
      </c>
      <c r="G714" s="7">
        <f t="shared" si="78"/>
        <v>29606010.816</v>
      </c>
      <c r="H714" s="20">
        <v>35.75</v>
      </c>
      <c r="I714" s="20">
        <v>739500</v>
      </c>
      <c r="J714" s="20">
        <v>58</v>
      </c>
      <c r="K714" s="20">
        <v>503000</v>
      </c>
      <c r="L714" s="20">
        <v>8000</v>
      </c>
      <c r="M714" s="20"/>
      <c r="N714" s="20">
        <v>50000</v>
      </c>
      <c r="O714" s="20">
        <v>103700</v>
      </c>
      <c r="P714" s="20"/>
      <c r="Q714" s="19">
        <f t="shared" si="79"/>
        <v>41198619.5</v>
      </c>
      <c r="R714" s="20">
        <v>592027</v>
      </c>
      <c r="S714" s="20">
        <v>24505484</v>
      </c>
      <c r="T714" s="20"/>
      <c r="U714" s="20"/>
      <c r="V714" s="20"/>
      <c r="W714" s="20">
        <v>198400</v>
      </c>
      <c r="X714" s="20">
        <v>7786078</v>
      </c>
      <c r="Y714" s="8">
        <f t="shared" si="80"/>
        <v>8116630.5</v>
      </c>
      <c r="Z714" s="36"/>
      <c r="AA714" s="36"/>
      <c r="AB714" s="36"/>
      <c r="AC714" s="36"/>
      <c r="AD714" s="36"/>
      <c r="AE714" s="36"/>
      <c r="AF714" s="36">
        <v>3000</v>
      </c>
      <c r="AG714" s="36"/>
      <c r="AH714" s="36"/>
      <c r="AI714" s="36"/>
      <c r="AJ714" s="36">
        <v>100000</v>
      </c>
      <c r="AK714" s="36"/>
      <c r="AL714" s="37">
        <f t="shared" si="81"/>
        <v>103000</v>
      </c>
      <c r="AM714" s="36"/>
      <c r="AN714" s="36"/>
      <c r="AO714" s="36"/>
      <c r="AP714" s="7"/>
      <c r="AQ714" s="38">
        <f t="shared" si="82"/>
        <v>8013630.5</v>
      </c>
      <c r="AR714" s="36">
        <v>8013600</v>
      </c>
      <c r="AS714" s="18">
        <f t="shared" si="83"/>
        <v>-30.5</v>
      </c>
    </row>
    <row r="715" spans="1:45" x14ac:dyDescent="0.25">
      <c r="A715" s="40">
        <v>46003</v>
      </c>
      <c r="B715" s="20">
        <v>2127.9989999999998</v>
      </c>
      <c r="C715" s="20">
        <v>2782.5050000000001</v>
      </c>
      <c r="D715" s="20">
        <v>5149</v>
      </c>
      <c r="E715" s="20">
        <v>4672</v>
      </c>
      <c r="F715" s="7">
        <f t="shared" si="77"/>
        <v>10957066.851</v>
      </c>
      <c r="G715" s="7">
        <f t="shared" si="78"/>
        <v>12999863.360000001</v>
      </c>
      <c r="H715" s="20">
        <v>37.75</v>
      </c>
      <c r="I715" s="20">
        <v>797500</v>
      </c>
      <c r="J715" s="20">
        <v>24</v>
      </c>
      <c r="K715" s="20">
        <v>288000</v>
      </c>
      <c r="L715" s="20">
        <v>31000</v>
      </c>
      <c r="M715" s="20"/>
      <c r="N715" s="20"/>
      <c r="O715" s="20"/>
      <c r="P715" s="20"/>
      <c r="Q715" s="19">
        <f t="shared" si="79"/>
        <v>25073430.211000003</v>
      </c>
      <c r="R715" s="20">
        <v>469412</v>
      </c>
      <c r="S715" s="20">
        <v>11134706</v>
      </c>
      <c r="T715" s="20"/>
      <c r="U715" s="20"/>
      <c r="V715" s="20"/>
      <c r="W715" s="20">
        <v>668000</v>
      </c>
      <c r="X715" s="20">
        <v>7073376</v>
      </c>
      <c r="Y715" s="8">
        <f t="shared" si="80"/>
        <v>5727936.2110000029</v>
      </c>
      <c r="Z715" s="36"/>
      <c r="AA715" s="36">
        <v>40000</v>
      </c>
      <c r="AB715" s="36"/>
      <c r="AC715" s="36"/>
      <c r="AD715" s="36"/>
      <c r="AE715" s="36"/>
      <c r="AF715" s="36">
        <v>6000</v>
      </c>
      <c r="AG715" s="36"/>
      <c r="AH715" s="36"/>
      <c r="AI715" s="36"/>
      <c r="AJ715" s="36"/>
      <c r="AK715" s="36"/>
      <c r="AL715" s="37">
        <f t="shared" si="81"/>
        <v>46000</v>
      </c>
      <c r="AM715" s="36"/>
      <c r="AN715" s="36"/>
      <c r="AO715" s="36"/>
      <c r="AP715" s="7"/>
      <c r="AQ715" s="38">
        <f t="shared" si="82"/>
        <v>5681936.2110000029</v>
      </c>
      <c r="AR715" s="36"/>
      <c r="AS715" s="18">
        <f t="shared" si="83"/>
        <v>-5681936.2110000029</v>
      </c>
    </row>
    <row r="716" spans="1:45" x14ac:dyDescent="0.25">
      <c r="A716" s="40">
        <v>46004</v>
      </c>
      <c r="B716" s="20">
        <v>2303.462</v>
      </c>
      <c r="C716" s="20">
        <v>9201.6059999999998</v>
      </c>
      <c r="D716" s="20">
        <v>5149</v>
      </c>
      <c r="E716" s="20">
        <v>4672</v>
      </c>
      <c r="F716" s="7">
        <f t="shared" si="77"/>
        <v>11860525.838</v>
      </c>
      <c r="G716" s="7">
        <f t="shared" si="78"/>
        <v>42989903.232000001</v>
      </c>
      <c r="H716" s="20">
        <v>48.25</v>
      </c>
      <c r="I716" s="20">
        <v>998500</v>
      </c>
      <c r="J716" s="20">
        <v>49</v>
      </c>
      <c r="K716" s="20">
        <v>501000</v>
      </c>
      <c r="L716" s="20">
        <v>94000</v>
      </c>
      <c r="M716" s="20">
        <v>150000</v>
      </c>
      <c r="N716" s="20"/>
      <c r="O716" s="20">
        <v>10000000</v>
      </c>
      <c r="P716" s="20"/>
      <c r="Q716" s="19">
        <f t="shared" si="79"/>
        <v>66593929.07</v>
      </c>
      <c r="R716" s="20">
        <v>768116</v>
      </c>
      <c r="S716" s="20">
        <v>39439344</v>
      </c>
      <c r="T716" s="20"/>
      <c r="U716" s="20"/>
      <c r="V716" s="20"/>
      <c r="W716" s="20">
        <v>270000</v>
      </c>
      <c r="X716" s="20">
        <v>9067882</v>
      </c>
      <c r="Y716" s="8">
        <f t="shared" si="80"/>
        <v>17048587.07</v>
      </c>
      <c r="Z716" s="36"/>
      <c r="AA716" s="36"/>
      <c r="AB716" s="36"/>
      <c r="AC716" s="36"/>
      <c r="AD716" s="36"/>
      <c r="AE716" s="36">
        <v>50000</v>
      </c>
      <c r="AF716" s="36">
        <v>3824754</v>
      </c>
      <c r="AG716" s="36"/>
      <c r="AH716" s="36"/>
      <c r="AI716" s="36"/>
      <c r="AJ716" s="36">
        <v>400000</v>
      </c>
      <c r="AK716" s="36"/>
      <c r="AL716" s="37">
        <f t="shared" si="81"/>
        <v>4274754</v>
      </c>
      <c r="AM716" s="36"/>
      <c r="AN716" s="36"/>
      <c r="AO716" s="36"/>
      <c r="AP716" s="7"/>
      <c r="AQ716" s="38">
        <f t="shared" si="82"/>
        <v>12773833.07</v>
      </c>
      <c r="AR716" s="36">
        <v>18476000</v>
      </c>
      <c r="AS716" s="18">
        <f t="shared" si="83"/>
        <v>5702166.9299999997</v>
      </c>
    </row>
    <row r="717" spans="1:45" x14ac:dyDescent="0.25">
      <c r="A717" s="40">
        <v>46005</v>
      </c>
      <c r="B717" s="20">
        <v>2468.1239999999998</v>
      </c>
      <c r="C717" s="20">
        <v>4847.5119999999997</v>
      </c>
      <c r="D717" s="20">
        <v>5149</v>
      </c>
      <c r="E717" s="20">
        <v>4672</v>
      </c>
      <c r="F717" s="7">
        <f t="shared" si="77"/>
        <v>12708370.476</v>
      </c>
      <c r="G717" s="7">
        <f t="shared" si="78"/>
        <v>22647576.063999999</v>
      </c>
      <c r="H717" s="20">
        <v>6.25</v>
      </c>
      <c r="I717" s="20">
        <v>121000</v>
      </c>
      <c r="J717" s="20">
        <v>24.5</v>
      </c>
      <c r="K717" s="20">
        <v>211000</v>
      </c>
      <c r="L717" s="20"/>
      <c r="M717" s="20">
        <v>450000</v>
      </c>
      <c r="N717" s="20">
        <v>300000</v>
      </c>
      <c r="O717" s="20">
        <v>1830000</v>
      </c>
      <c r="P717" s="20"/>
      <c r="Q717" s="19">
        <f t="shared" si="79"/>
        <v>38267946.539999999</v>
      </c>
      <c r="R717" s="20">
        <v>1452106</v>
      </c>
      <c r="S717" s="20">
        <v>17171684</v>
      </c>
      <c r="T717" s="20"/>
      <c r="U717" s="20"/>
      <c r="V717" s="20"/>
      <c r="W717" s="20">
        <v>891265</v>
      </c>
      <c r="X717" s="20">
        <v>7533150</v>
      </c>
      <c r="Y717" s="8">
        <f t="shared" si="80"/>
        <v>11219741.539999999</v>
      </c>
      <c r="Z717" s="36">
        <v>962893</v>
      </c>
      <c r="AA717" s="36"/>
      <c r="AB717" s="36"/>
      <c r="AC717" s="36"/>
      <c r="AD717" s="36"/>
      <c r="AE717" s="36"/>
      <c r="AF717" s="36">
        <v>708000</v>
      </c>
      <c r="AG717" s="36"/>
      <c r="AH717" s="36"/>
      <c r="AI717" s="36"/>
      <c r="AJ717" s="36">
        <v>1500000</v>
      </c>
      <c r="AK717" s="36"/>
      <c r="AL717" s="37">
        <f t="shared" si="81"/>
        <v>3170893</v>
      </c>
      <c r="AM717" s="36"/>
      <c r="AN717" s="36"/>
      <c r="AO717" s="36"/>
      <c r="AP717" s="7"/>
      <c r="AQ717" s="38">
        <f t="shared" si="82"/>
        <v>8048848.5399999991</v>
      </c>
      <c r="AR717" s="36"/>
      <c r="AS717" s="18">
        <f t="shared" si="83"/>
        <v>-8048848.5399999991</v>
      </c>
    </row>
    <row r="718" spans="1:45" x14ac:dyDescent="0.25">
      <c r="A718" s="40">
        <v>46006</v>
      </c>
      <c r="B718" s="20">
        <v>1667.789</v>
      </c>
      <c r="C718" s="20">
        <v>2786.134</v>
      </c>
      <c r="D718" s="20">
        <v>5149</v>
      </c>
      <c r="E718" s="20">
        <v>4672</v>
      </c>
      <c r="F718" s="7">
        <f t="shared" si="77"/>
        <v>8587445.5610000007</v>
      </c>
      <c r="G718" s="7">
        <f t="shared" si="78"/>
        <v>13016818.048</v>
      </c>
      <c r="H718" s="20">
        <v>21.5</v>
      </c>
      <c r="I718" s="20">
        <v>416000</v>
      </c>
      <c r="J718" s="20">
        <v>36</v>
      </c>
      <c r="K718" s="20">
        <v>578000</v>
      </c>
      <c r="L718" s="20">
        <v>16000</v>
      </c>
      <c r="M718" s="20"/>
      <c r="N718" s="20"/>
      <c r="O718" s="20">
        <v>233000</v>
      </c>
      <c r="P718" s="20"/>
      <c r="Q718" s="19">
        <f t="shared" si="79"/>
        <v>22847263.609000001</v>
      </c>
      <c r="R718" s="20">
        <v>359278</v>
      </c>
      <c r="S718" s="20">
        <v>7798257</v>
      </c>
      <c r="T718" s="20"/>
      <c r="U718" s="20"/>
      <c r="V718" s="20"/>
      <c r="W718" s="20">
        <v>180000</v>
      </c>
      <c r="X718" s="20">
        <v>5522025</v>
      </c>
      <c r="Y718" s="8">
        <f t="shared" si="80"/>
        <v>8987703.6090000011</v>
      </c>
      <c r="Z718" s="36"/>
      <c r="AA718" s="36"/>
      <c r="AB718" s="36"/>
      <c r="AC718" s="36">
        <v>67000</v>
      </c>
      <c r="AD718" s="36"/>
      <c r="AE718" s="36"/>
      <c r="AF718" s="36"/>
      <c r="AG718" s="36"/>
      <c r="AH718" s="36"/>
      <c r="AI718" s="36"/>
      <c r="AJ718" s="36">
        <v>350000</v>
      </c>
      <c r="AK718" s="36"/>
      <c r="AL718" s="37">
        <f t="shared" si="81"/>
        <v>417000</v>
      </c>
      <c r="AM718" s="36"/>
      <c r="AN718" s="36"/>
      <c r="AO718" s="36"/>
      <c r="AP718" s="7"/>
      <c r="AQ718" s="38">
        <f t="shared" si="82"/>
        <v>8570703.6090000011</v>
      </c>
      <c r="AR718" s="36">
        <v>8629700</v>
      </c>
      <c r="AS718" s="18">
        <f t="shared" si="83"/>
        <v>58996.390999998897</v>
      </c>
    </row>
    <row r="719" spans="1:45" x14ac:dyDescent="0.25">
      <c r="A719" s="40">
        <v>46007</v>
      </c>
      <c r="B719" s="20">
        <v>2108.4960000000001</v>
      </c>
      <c r="C719" s="20">
        <v>2103.1</v>
      </c>
      <c r="D719" s="20">
        <v>5149</v>
      </c>
      <c r="E719" s="20">
        <v>4672</v>
      </c>
      <c r="F719" s="7">
        <f t="shared" si="77"/>
        <v>10856645.904000001</v>
      </c>
      <c r="G719" s="7">
        <f t="shared" si="78"/>
        <v>9825683.1999999993</v>
      </c>
      <c r="H719" s="20">
        <v>66</v>
      </c>
      <c r="I719" s="20">
        <v>1393500</v>
      </c>
      <c r="J719" s="20">
        <v>66.5</v>
      </c>
      <c r="K719" s="20">
        <v>658000</v>
      </c>
      <c r="L719" s="20">
        <v>25000</v>
      </c>
      <c r="M719" s="20"/>
      <c r="N719" s="20"/>
      <c r="O719" s="20"/>
      <c r="P719" s="20"/>
      <c r="Q719" s="19">
        <f t="shared" si="79"/>
        <v>22758829.104000002</v>
      </c>
      <c r="R719" s="20">
        <v>1801170</v>
      </c>
      <c r="S719" s="20">
        <v>4687149</v>
      </c>
      <c r="T719" s="20"/>
      <c r="U719" s="20"/>
      <c r="V719" s="20"/>
      <c r="W719" s="20">
        <v>150000</v>
      </c>
      <c r="X719" s="20">
        <v>8808715</v>
      </c>
      <c r="Y719" s="8">
        <f t="shared" si="80"/>
        <v>7311795.1040000021</v>
      </c>
      <c r="Z719" s="36"/>
      <c r="AA719" s="36"/>
      <c r="AB719" s="36"/>
      <c r="AC719" s="36"/>
      <c r="AD719" s="36"/>
      <c r="AE719" s="36"/>
      <c r="AF719" s="36"/>
      <c r="AG719" s="36">
        <v>151000</v>
      </c>
      <c r="AH719" s="36"/>
      <c r="AI719" s="36"/>
      <c r="AJ719" s="36">
        <v>2000000</v>
      </c>
      <c r="AK719" s="36"/>
      <c r="AL719" s="37">
        <f t="shared" si="81"/>
        <v>2151000</v>
      </c>
      <c r="AM719" s="36"/>
      <c r="AN719" s="36"/>
      <c r="AO719" s="36"/>
      <c r="AP719" s="7"/>
      <c r="AQ719" s="38">
        <f t="shared" si="82"/>
        <v>5160795.1040000021</v>
      </c>
      <c r="AR719" s="36">
        <v>5160600</v>
      </c>
      <c r="AS719" s="18">
        <f t="shared" si="83"/>
        <v>-195.10400000214577</v>
      </c>
    </row>
    <row r="720" spans="1:45" x14ac:dyDescent="0.25">
      <c r="A720" s="40">
        <v>46008</v>
      </c>
      <c r="B720" s="20">
        <v>2340.4960000000001</v>
      </c>
      <c r="C720" s="20">
        <v>4542.5600000000004</v>
      </c>
      <c r="D720" s="20">
        <v>5149</v>
      </c>
      <c r="E720" s="20">
        <v>4672</v>
      </c>
      <c r="F720" s="7">
        <f t="shared" si="77"/>
        <v>12051213.904000001</v>
      </c>
      <c r="G720" s="7">
        <f t="shared" si="78"/>
        <v>21222840.32</v>
      </c>
      <c r="H720" s="20">
        <v>76</v>
      </c>
      <c r="I720" s="20">
        <v>1542000</v>
      </c>
      <c r="J720" s="20">
        <v>12</v>
      </c>
      <c r="K720" s="20">
        <v>105000</v>
      </c>
      <c r="L720" s="20">
        <v>45000</v>
      </c>
      <c r="M720" s="20"/>
      <c r="N720" s="20"/>
      <c r="O720" s="20">
        <v>230000</v>
      </c>
      <c r="P720" s="20"/>
      <c r="Q720" s="19">
        <f t="shared" si="79"/>
        <v>35196054.223999999</v>
      </c>
      <c r="R720" s="20">
        <v>1280659</v>
      </c>
      <c r="S720" s="20">
        <v>19105709</v>
      </c>
      <c r="T720" s="20"/>
      <c r="U720" s="20"/>
      <c r="V720" s="20"/>
      <c r="W720" s="20">
        <v>389400</v>
      </c>
      <c r="X720" s="20">
        <v>6278099</v>
      </c>
      <c r="Y720" s="8">
        <f t="shared" si="80"/>
        <v>8142187.2239999995</v>
      </c>
      <c r="Z720" s="36"/>
      <c r="AA720" s="36"/>
      <c r="AB720" s="36"/>
      <c r="AC720" s="36">
        <v>18000</v>
      </c>
      <c r="AD720" s="36"/>
      <c r="AE720" s="36"/>
      <c r="AF720" s="36">
        <v>3000</v>
      </c>
      <c r="AG720" s="36"/>
      <c r="AH720" s="36">
        <v>13000</v>
      </c>
      <c r="AI720" s="36"/>
      <c r="AJ720" s="36">
        <v>6050000</v>
      </c>
      <c r="AK720" s="36"/>
      <c r="AL720" s="37">
        <f t="shared" si="81"/>
        <v>6084000</v>
      </c>
      <c r="AM720" s="36"/>
      <c r="AN720" s="36"/>
      <c r="AO720" s="36"/>
      <c r="AP720" s="7"/>
      <c r="AQ720" s="38">
        <f t="shared" si="82"/>
        <v>2058187.2239999995</v>
      </c>
      <c r="AR720" s="36"/>
      <c r="AS720" s="18">
        <f t="shared" si="83"/>
        <v>-2058187.2239999995</v>
      </c>
    </row>
    <row r="721" spans="1:45" x14ac:dyDescent="0.25">
      <c r="A721" s="40">
        <v>46009</v>
      </c>
      <c r="B721" s="20">
        <v>2119.0340000000001</v>
      </c>
      <c r="C721" s="20">
        <v>3824.4259999999999</v>
      </c>
      <c r="D721" s="20">
        <v>5149</v>
      </c>
      <c r="E721" s="20">
        <v>4672</v>
      </c>
      <c r="F721" s="7">
        <f t="shared" si="77"/>
        <v>10910906.066</v>
      </c>
      <c r="G721" s="7">
        <f t="shared" si="78"/>
        <v>17867718.272</v>
      </c>
      <c r="H721" s="20">
        <v>99</v>
      </c>
      <c r="I721" s="20">
        <v>2061000</v>
      </c>
      <c r="J721" s="20">
        <v>74</v>
      </c>
      <c r="K721" s="20">
        <v>633000</v>
      </c>
      <c r="L721" s="20">
        <v>173000</v>
      </c>
      <c r="M721" s="20"/>
      <c r="N721" s="20"/>
      <c r="O721" s="20">
        <v>3050000</v>
      </c>
      <c r="P721" s="20"/>
      <c r="Q721" s="19">
        <f t="shared" si="79"/>
        <v>34695624.338</v>
      </c>
      <c r="R721" s="20">
        <v>1362915</v>
      </c>
      <c r="S721" s="20">
        <v>15383243</v>
      </c>
      <c r="T721" s="20"/>
      <c r="U721" s="20"/>
      <c r="V721" s="20"/>
      <c r="W721" s="20">
        <v>199500</v>
      </c>
      <c r="X721" s="20">
        <v>9009774</v>
      </c>
      <c r="Y721" s="8">
        <f t="shared" si="80"/>
        <v>8740192.3379999995</v>
      </c>
      <c r="Z721" s="36"/>
      <c r="AA721" s="36"/>
      <c r="AB721" s="36"/>
      <c r="AC721" s="36"/>
      <c r="AD721" s="36"/>
      <c r="AE721" s="36"/>
      <c r="AF721" s="36">
        <v>30000</v>
      </c>
      <c r="AG721" s="36"/>
      <c r="AH721" s="36">
        <v>57000</v>
      </c>
      <c r="AI721" s="36"/>
      <c r="AJ721" s="36"/>
      <c r="AK721" s="36"/>
      <c r="AL721" s="37">
        <f t="shared" si="81"/>
        <v>87000</v>
      </c>
      <c r="AM721" s="36"/>
      <c r="AN721" s="36"/>
      <c r="AO721" s="36"/>
      <c r="AP721" s="7"/>
      <c r="AQ721" s="38">
        <f t="shared" si="82"/>
        <v>8653192.3379999995</v>
      </c>
      <c r="AR721" s="36">
        <v>10711300</v>
      </c>
      <c r="AS721" s="18">
        <f t="shared" si="83"/>
        <v>2058107.6620000005</v>
      </c>
    </row>
    <row r="722" spans="1:45" x14ac:dyDescent="0.25">
      <c r="A722" s="40">
        <v>46010</v>
      </c>
      <c r="B722" s="20">
        <v>2267.2379999999998</v>
      </c>
      <c r="C722" s="20">
        <v>3555.1979999999999</v>
      </c>
      <c r="D722" s="20">
        <v>5149</v>
      </c>
      <c r="E722" s="20">
        <v>4672</v>
      </c>
      <c r="F722" s="7">
        <f t="shared" si="77"/>
        <v>11674008.461999999</v>
      </c>
      <c r="G722" s="7">
        <f t="shared" si="78"/>
        <v>16609885.056</v>
      </c>
      <c r="H722" s="20">
        <v>8</v>
      </c>
      <c r="I722" s="20">
        <v>140500</v>
      </c>
      <c r="J722" s="20">
        <v>141</v>
      </c>
      <c r="K722" s="20">
        <v>1090000</v>
      </c>
      <c r="L722" s="20">
        <v>0</v>
      </c>
      <c r="M722" s="20">
        <v>0</v>
      </c>
      <c r="N722" s="20">
        <v>0</v>
      </c>
      <c r="O722" s="20">
        <v>0</v>
      </c>
      <c r="P722" s="20"/>
      <c r="Q722" s="19">
        <f t="shared" si="79"/>
        <v>29514393.517999999</v>
      </c>
      <c r="R722" s="20">
        <v>1003056</v>
      </c>
      <c r="S722" s="20">
        <v>10338498</v>
      </c>
      <c r="T722" s="20"/>
      <c r="U722" s="20"/>
      <c r="V722" s="20"/>
      <c r="W722" s="20">
        <v>250500</v>
      </c>
      <c r="X722" s="20">
        <v>11584229</v>
      </c>
      <c r="Y722" s="8">
        <f t="shared" si="80"/>
        <v>6338110.5179999992</v>
      </c>
      <c r="Z722" s="36"/>
      <c r="AA722" s="36"/>
      <c r="AB722" s="36"/>
      <c r="AC722" s="36"/>
      <c r="AD722" s="36"/>
      <c r="AE722" s="36"/>
      <c r="AF722" s="36">
        <v>3000</v>
      </c>
      <c r="AG722" s="36"/>
      <c r="AH722" s="36"/>
      <c r="AI722" s="36"/>
      <c r="AJ722" s="36"/>
      <c r="AK722" s="36"/>
      <c r="AL722" s="37">
        <f t="shared" si="81"/>
        <v>3000</v>
      </c>
      <c r="AM722" s="36"/>
      <c r="AN722" s="36"/>
      <c r="AO722" s="36"/>
      <c r="AP722" s="7"/>
      <c r="AQ722" s="38">
        <f t="shared" si="82"/>
        <v>6335110.5179999992</v>
      </c>
      <c r="AR722" s="36"/>
      <c r="AS722" s="18">
        <f t="shared" si="83"/>
        <v>-6335110.5179999992</v>
      </c>
    </row>
    <row r="723" spans="1:45" x14ac:dyDescent="0.25">
      <c r="A723" s="40">
        <v>46011</v>
      </c>
      <c r="B723" s="20">
        <v>2851.6</v>
      </c>
      <c r="C723" s="20">
        <v>4438.0379999999996</v>
      </c>
      <c r="D723" s="20">
        <v>5149</v>
      </c>
      <c r="E723" s="20">
        <v>4672</v>
      </c>
      <c r="F723" s="7">
        <f t="shared" si="77"/>
        <v>14682888.4</v>
      </c>
      <c r="G723" s="7">
        <f t="shared" si="78"/>
        <v>20734513.535999998</v>
      </c>
      <c r="H723" s="20">
        <v>67.5</v>
      </c>
      <c r="I723" s="20">
        <v>1495500</v>
      </c>
      <c r="J723" s="20">
        <v>55</v>
      </c>
      <c r="K723" s="20">
        <v>475000</v>
      </c>
      <c r="L723" s="20">
        <v>148000</v>
      </c>
      <c r="M723" s="20">
        <v>393000</v>
      </c>
      <c r="N723" s="20">
        <v>174000</v>
      </c>
      <c r="O723" s="20">
        <v>600000</v>
      </c>
      <c r="P723" s="20"/>
      <c r="Q723" s="19">
        <f t="shared" si="79"/>
        <v>38702901.935999997</v>
      </c>
      <c r="R723" s="20">
        <v>647972</v>
      </c>
      <c r="S723" s="20">
        <v>9667860</v>
      </c>
      <c r="T723" s="20"/>
      <c r="U723" s="20"/>
      <c r="V723" s="20"/>
      <c r="W723" s="20">
        <v>824027</v>
      </c>
      <c r="X723" s="20">
        <v>12791682</v>
      </c>
      <c r="Y723" s="8">
        <f t="shared" si="80"/>
        <v>14771360.935999997</v>
      </c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>
        <v>4050000</v>
      </c>
      <c r="AK723" s="36"/>
      <c r="AL723" s="37">
        <f t="shared" si="81"/>
        <v>4050000</v>
      </c>
      <c r="AM723" s="36"/>
      <c r="AN723" s="36"/>
      <c r="AO723" s="36"/>
      <c r="AP723" s="7"/>
      <c r="AQ723" s="38">
        <f t="shared" si="82"/>
        <v>10721360.935999997</v>
      </c>
      <c r="AR723" s="36">
        <v>8226500</v>
      </c>
      <c r="AS723" s="18">
        <f t="shared" si="83"/>
        <v>-2494860.935999997</v>
      </c>
    </row>
    <row r="724" spans="1:45" x14ac:dyDescent="0.25">
      <c r="A724" s="40">
        <v>46012</v>
      </c>
      <c r="B724" s="20">
        <v>2714.1990000000001</v>
      </c>
      <c r="C724" s="20">
        <v>4772.2809999999999</v>
      </c>
      <c r="D724" s="20">
        <v>5149</v>
      </c>
      <c r="E724" s="20">
        <v>4672</v>
      </c>
      <c r="F724" s="7">
        <f t="shared" si="77"/>
        <v>13975410.651000001</v>
      </c>
      <c r="G724" s="7">
        <f t="shared" si="78"/>
        <v>22296096.831999999</v>
      </c>
      <c r="H724" s="20">
        <v>31.75</v>
      </c>
      <c r="I724" s="20">
        <v>633000</v>
      </c>
      <c r="J724" s="20">
        <v>107.5</v>
      </c>
      <c r="K724" s="20">
        <v>808000</v>
      </c>
      <c r="L724" s="20">
        <v>31000</v>
      </c>
      <c r="M724" s="20">
        <v>150000</v>
      </c>
      <c r="N724" s="20"/>
      <c r="O724" s="20">
        <v>333600</v>
      </c>
      <c r="P724" s="20"/>
      <c r="Q724" s="19">
        <f t="shared" si="79"/>
        <v>38227107.482999995</v>
      </c>
      <c r="R724" s="20">
        <v>2629639</v>
      </c>
      <c r="S724" s="20">
        <v>13506944</v>
      </c>
      <c r="T724" s="20"/>
      <c r="U724" s="20"/>
      <c r="V724" s="20"/>
      <c r="W724" s="20">
        <v>763000</v>
      </c>
      <c r="X724" s="20">
        <v>11989684</v>
      </c>
      <c r="Y724" s="8">
        <f t="shared" si="80"/>
        <v>9337840.4829999954</v>
      </c>
      <c r="Z724" s="36"/>
      <c r="AA724" s="36"/>
      <c r="AB724" s="36"/>
      <c r="AC724" s="36"/>
      <c r="AD724" s="36"/>
      <c r="AE724" s="36"/>
      <c r="AF724" s="36">
        <v>3003000</v>
      </c>
      <c r="AG724" s="36"/>
      <c r="AH724" s="36">
        <v>25000</v>
      </c>
      <c r="AI724" s="36"/>
      <c r="AJ724" s="36">
        <v>800000</v>
      </c>
      <c r="AK724" s="36"/>
      <c r="AL724" s="37">
        <f t="shared" si="81"/>
        <v>3828000</v>
      </c>
      <c r="AM724" s="36"/>
      <c r="AN724" s="36"/>
      <c r="AO724" s="36"/>
      <c r="AP724" s="7"/>
      <c r="AQ724" s="38">
        <f t="shared" si="82"/>
        <v>5509840.4829999954</v>
      </c>
      <c r="AR724" s="36"/>
      <c r="AS724" s="18">
        <f t="shared" si="83"/>
        <v>-5509840.4829999954</v>
      </c>
    </row>
    <row r="725" spans="1:45" x14ac:dyDescent="0.25">
      <c r="A725" s="40">
        <v>46013</v>
      </c>
      <c r="B725" s="20">
        <v>1664.5540000000001</v>
      </c>
      <c r="C725" s="20">
        <v>3909.913</v>
      </c>
      <c r="D725" s="20">
        <v>5149</v>
      </c>
      <c r="E725" s="20">
        <v>4672</v>
      </c>
      <c r="F725" s="7">
        <f t="shared" si="77"/>
        <v>8570788.5460000001</v>
      </c>
      <c r="G725" s="7">
        <f t="shared" si="78"/>
        <v>18267113.535999998</v>
      </c>
      <c r="H725" s="20">
        <v>66.5</v>
      </c>
      <c r="I725" s="20">
        <v>1513000</v>
      </c>
      <c r="J725" s="20">
        <v>80</v>
      </c>
      <c r="K725" s="20">
        <v>685000</v>
      </c>
      <c r="L725" s="20">
        <v>226000</v>
      </c>
      <c r="M725" s="20"/>
      <c r="N725" s="20"/>
      <c r="O725" s="20"/>
      <c r="P725" s="20"/>
      <c r="Q725" s="19">
        <f t="shared" si="79"/>
        <v>29261902.081999999</v>
      </c>
      <c r="R725" s="20">
        <v>1423881</v>
      </c>
      <c r="S725" s="20">
        <v>12195328</v>
      </c>
      <c r="T725" s="20"/>
      <c r="U725" s="20"/>
      <c r="V725" s="20"/>
      <c r="W725" s="20">
        <v>28000</v>
      </c>
      <c r="X725" s="20">
        <v>6520399</v>
      </c>
      <c r="Y725" s="8">
        <f t="shared" si="80"/>
        <v>9094294.0819999985</v>
      </c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>
        <v>250000</v>
      </c>
      <c r="AK725" s="36"/>
      <c r="AL725" s="37">
        <f t="shared" si="81"/>
        <v>250000</v>
      </c>
      <c r="AM725" s="36"/>
      <c r="AN725" s="36"/>
      <c r="AO725" s="36"/>
      <c r="AP725" s="7"/>
      <c r="AQ725" s="38">
        <f t="shared" si="82"/>
        <v>8844294.0819999985</v>
      </c>
      <c r="AR725" s="36">
        <v>5117300</v>
      </c>
      <c r="AS725" s="18">
        <f t="shared" si="83"/>
        <v>-3726994.0819999985</v>
      </c>
    </row>
    <row r="726" spans="1:45" x14ac:dyDescent="0.25">
      <c r="A726" s="40">
        <v>46014</v>
      </c>
      <c r="B726" s="20">
        <v>3020.6709999999998</v>
      </c>
      <c r="C726" s="20">
        <v>1.425</v>
      </c>
      <c r="D726" s="20">
        <v>5149</v>
      </c>
      <c r="E726" s="20">
        <v>4672</v>
      </c>
      <c r="F726" s="7">
        <f t="shared" si="77"/>
        <v>15553434.978999998</v>
      </c>
      <c r="G726" s="7">
        <f t="shared" si="78"/>
        <v>6657.6</v>
      </c>
      <c r="H726" s="20">
        <v>59.5</v>
      </c>
      <c r="I726" s="20">
        <v>1195500</v>
      </c>
      <c r="J726" s="20">
        <v>45.5</v>
      </c>
      <c r="K726" s="20">
        <v>474000</v>
      </c>
      <c r="L726" s="20">
        <v>38000</v>
      </c>
      <c r="M726" s="20"/>
      <c r="N726" s="20"/>
      <c r="O726" s="20"/>
      <c r="P726" s="20"/>
      <c r="Q726" s="19">
        <f t="shared" si="79"/>
        <v>17267592.578999996</v>
      </c>
      <c r="R726" s="20">
        <v>1637620</v>
      </c>
      <c r="S726" s="20">
        <v>140160</v>
      </c>
      <c r="T726" s="20"/>
      <c r="U726" s="20"/>
      <c r="V726" s="20"/>
      <c r="W726" s="20">
        <v>320500</v>
      </c>
      <c r="X726" s="20">
        <v>7162456</v>
      </c>
      <c r="Y726" s="8">
        <f t="shared" si="80"/>
        <v>8006856.5789999962</v>
      </c>
      <c r="Z726" s="36"/>
      <c r="AA726" s="36"/>
      <c r="AB726" s="36"/>
      <c r="AC726" s="36"/>
      <c r="AD726" s="36"/>
      <c r="AE726" s="36"/>
      <c r="AF726" s="36">
        <v>53000</v>
      </c>
      <c r="AG726" s="36"/>
      <c r="AH726" s="36">
        <v>62500</v>
      </c>
      <c r="AI726" s="36"/>
      <c r="AJ726" s="36">
        <v>500000</v>
      </c>
      <c r="AK726" s="36"/>
      <c r="AL726" s="37">
        <f t="shared" si="81"/>
        <v>615500</v>
      </c>
      <c r="AM726" s="36"/>
      <c r="AN726" s="36"/>
      <c r="AO726" s="36"/>
      <c r="AP726" s="7"/>
      <c r="AQ726" s="38">
        <f t="shared" si="82"/>
        <v>7391356.5789999962</v>
      </c>
      <c r="AR726" s="36">
        <v>7395400</v>
      </c>
      <c r="AS726" s="18">
        <f t="shared" si="83"/>
        <v>4043.4210000038147</v>
      </c>
    </row>
    <row r="727" spans="1:45" x14ac:dyDescent="0.25">
      <c r="A727" s="40">
        <v>46015</v>
      </c>
      <c r="B727" s="20">
        <v>5271.7749999999996</v>
      </c>
      <c r="C727" s="20">
        <v>4270.99</v>
      </c>
      <c r="D727" s="20">
        <v>5149</v>
      </c>
      <c r="E727" s="20">
        <v>4672</v>
      </c>
      <c r="F727" s="7">
        <f t="shared" si="77"/>
        <v>27144369.474999998</v>
      </c>
      <c r="G727" s="7">
        <f t="shared" si="78"/>
        <v>19954065.279999997</v>
      </c>
      <c r="H727" s="20">
        <v>56.5</v>
      </c>
      <c r="I727" s="20">
        <v>1213000</v>
      </c>
      <c r="J727" s="20">
        <v>202</v>
      </c>
      <c r="K727" s="20">
        <v>1986000</v>
      </c>
      <c r="L727" s="20">
        <v>40000</v>
      </c>
      <c r="M727" s="20"/>
      <c r="N727" s="20"/>
      <c r="O727" s="20">
        <v>200000</v>
      </c>
      <c r="P727" s="20"/>
      <c r="Q727" s="19">
        <f t="shared" si="79"/>
        <v>50537434.754999995</v>
      </c>
      <c r="R727" s="20">
        <v>1552967</v>
      </c>
      <c r="S727" s="20">
        <v>13440152</v>
      </c>
      <c r="T727" s="20"/>
      <c r="U727" s="20"/>
      <c r="V727" s="20"/>
      <c r="W727" s="20">
        <v>968958</v>
      </c>
      <c r="X727" s="20">
        <v>19858830</v>
      </c>
      <c r="Y727" s="8">
        <f t="shared" si="80"/>
        <v>14716527.754999995</v>
      </c>
      <c r="Z727" s="36"/>
      <c r="AA727" s="36"/>
      <c r="AB727" s="36"/>
      <c r="AC727" s="36"/>
      <c r="AD727" s="36"/>
      <c r="AE727" s="36"/>
      <c r="AF727" s="36">
        <v>3000</v>
      </c>
      <c r="AG727" s="36"/>
      <c r="AH727" s="36"/>
      <c r="AI727" s="36"/>
      <c r="AJ727" s="36">
        <v>1150000</v>
      </c>
      <c r="AK727" s="36"/>
      <c r="AL727" s="37">
        <f t="shared" si="81"/>
        <v>1153000</v>
      </c>
      <c r="AM727" s="36">
        <v>1000000</v>
      </c>
      <c r="AN727" s="36"/>
      <c r="AO727" s="36"/>
      <c r="AP727" s="7"/>
      <c r="AQ727" s="38">
        <f t="shared" si="82"/>
        <v>12563527.754999995</v>
      </c>
      <c r="AR727" s="36">
        <v>12563600</v>
      </c>
      <c r="AS727" s="18">
        <f t="shared" si="83"/>
        <v>72.245000004768372</v>
      </c>
    </row>
    <row r="728" spans="1:45" x14ac:dyDescent="0.25">
      <c r="A728" s="40">
        <v>46016</v>
      </c>
      <c r="B728" s="20">
        <v>5077.4690000000001</v>
      </c>
      <c r="C728" s="20">
        <v>3527.971</v>
      </c>
      <c r="D728" s="20">
        <v>5149</v>
      </c>
      <c r="E728" s="20">
        <v>4672</v>
      </c>
      <c r="F728" s="7">
        <f t="shared" si="77"/>
        <v>26143887.881000001</v>
      </c>
      <c r="G728" s="7">
        <f t="shared" si="78"/>
        <v>16482680.512</v>
      </c>
      <c r="H728" s="20">
        <v>64</v>
      </c>
      <c r="I728" s="20">
        <v>1399300</v>
      </c>
      <c r="J728" s="20">
        <v>125</v>
      </c>
      <c r="K728" s="20">
        <v>1447000</v>
      </c>
      <c r="L728" s="20">
        <v>69000</v>
      </c>
      <c r="M728" s="20"/>
      <c r="N728" s="20"/>
      <c r="O728" s="20"/>
      <c r="P728" s="20"/>
      <c r="Q728" s="19">
        <f t="shared" si="79"/>
        <v>45541868.392999999</v>
      </c>
      <c r="R728" s="20">
        <v>1775868</v>
      </c>
      <c r="S728" s="20">
        <v>12267872</v>
      </c>
      <c r="T728" s="20"/>
      <c r="U728" s="20"/>
      <c r="V728" s="20"/>
      <c r="W728" s="20">
        <v>1641717</v>
      </c>
      <c r="X728" s="20">
        <v>18132571</v>
      </c>
      <c r="Y728" s="8">
        <f t="shared" si="80"/>
        <v>11723840.392999999</v>
      </c>
      <c r="Z728" s="36"/>
      <c r="AA728" s="36"/>
      <c r="AB728" s="36"/>
      <c r="AC728" s="36"/>
      <c r="AD728" s="36"/>
      <c r="AE728" s="36"/>
      <c r="AF728" s="36">
        <v>3000</v>
      </c>
      <c r="AG728" s="36"/>
      <c r="AH728" s="36"/>
      <c r="AI728" s="36"/>
      <c r="AJ728" s="36">
        <v>3100000</v>
      </c>
      <c r="AK728" s="36"/>
      <c r="AL728" s="37">
        <f t="shared" si="81"/>
        <v>3103000</v>
      </c>
      <c r="AM728" s="36"/>
      <c r="AN728" s="36"/>
      <c r="AO728" s="36"/>
      <c r="AP728" s="7"/>
      <c r="AQ728" s="38">
        <f t="shared" si="82"/>
        <v>8620840.3929999992</v>
      </c>
      <c r="AR728" s="36"/>
      <c r="AS728" s="18">
        <f t="shared" si="83"/>
        <v>-8620840.3929999992</v>
      </c>
    </row>
    <row r="729" spans="1:45" x14ac:dyDescent="0.25">
      <c r="A729" s="40">
        <v>46017</v>
      </c>
      <c r="B729" s="20">
        <v>2034.4659999999999</v>
      </c>
      <c r="C729" s="20">
        <v>1282.2349999999999</v>
      </c>
      <c r="D729" s="20">
        <v>5149</v>
      </c>
      <c r="E729" s="20">
        <v>4672</v>
      </c>
      <c r="F729" s="7">
        <f t="shared" si="77"/>
        <v>10475465.434</v>
      </c>
      <c r="G729" s="7">
        <f t="shared" si="78"/>
        <v>5990601.9199999999</v>
      </c>
      <c r="H729" s="20">
        <v>39</v>
      </c>
      <c r="I729" s="20">
        <v>820000</v>
      </c>
      <c r="J729" s="20">
        <v>48</v>
      </c>
      <c r="K729" s="20">
        <v>424000</v>
      </c>
      <c r="L729" s="20">
        <v>101000</v>
      </c>
      <c r="M729" s="20"/>
      <c r="N729" s="20">
        <v>870000</v>
      </c>
      <c r="O729" s="20"/>
      <c r="P729" s="20"/>
      <c r="Q729" s="19">
        <f t="shared" si="79"/>
        <v>18681067.354000002</v>
      </c>
      <c r="R729" s="20">
        <v>849245</v>
      </c>
      <c r="S729" s="20">
        <v>4846561</v>
      </c>
      <c r="T729" s="20"/>
      <c r="U729" s="20"/>
      <c r="V729" s="20"/>
      <c r="W729" s="20">
        <v>1299333</v>
      </c>
      <c r="X729" s="20">
        <v>6094206</v>
      </c>
      <c r="Y729" s="8">
        <f t="shared" si="80"/>
        <v>5591722.3540000021</v>
      </c>
      <c r="Z729" s="36"/>
      <c r="AA729" s="36"/>
      <c r="AB729" s="36"/>
      <c r="AC729" s="36"/>
      <c r="AD729" s="36"/>
      <c r="AE729" s="36"/>
      <c r="AF729" s="36">
        <v>50000</v>
      </c>
      <c r="AG729" s="36"/>
      <c r="AH729" s="36"/>
      <c r="AI729" s="36"/>
      <c r="AJ729" s="36">
        <v>280000</v>
      </c>
      <c r="AK729" s="36"/>
      <c r="AL729" s="37">
        <f t="shared" si="81"/>
        <v>330000</v>
      </c>
      <c r="AM729" s="36"/>
      <c r="AN729" s="36"/>
      <c r="AO729" s="36"/>
      <c r="AP729" s="7"/>
      <c r="AQ729" s="38">
        <f t="shared" si="82"/>
        <v>5261722.3540000021</v>
      </c>
      <c r="AR729" s="36"/>
      <c r="AS729" s="18">
        <f t="shared" si="83"/>
        <v>-5261722.3540000021</v>
      </c>
    </row>
    <row r="730" spans="1:45" x14ac:dyDescent="0.25">
      <c r="A730" s="40">
        <v>46018</v>
      </c>
      <c r="B730" s="20">
        <v>3111.0549999999998</v>
      </c>
      <c r="C730" s="20">
        <v>5922.6090000000004</v>
      </c>
      <c r="D730" s="20">
        <v>5149</v>
      </c>
      <c r="E730" s="20">
        <v>4672</v>
      </c>
      <c r="F730" s="7">
        <f t="shared" si="77"/>
        <v>16018822.194999998</v>
      </c>
      <c r="G730" s="7">
        <f t="shared" si="78"/>
        <v>27670429.248000003</v>
      </c>
      <c r="H730" s="20">
        <v>51.5</v>
      </c>
      <c r="I730" s="20">
        <v>1101000</v>
      </c>
      <c r="J730" s="20">
        <v>49</v>
      </c>
      <c r="K730" s="20">
        <v>425000</v>
      </c>
      <c r="L730" s="20">
        <v>76000</v>
      </c>
      <c r="M730" s="20"/>
      <c r="N730" s="20"/>
      <c r="O730" s="20"/>
      <c r="P730" s="20"/>
      <c r="Q730" s="19">
        <f t="shared" si="79"/>
        <v>45291251.443000004</v>
      </c>
      <c r="R730" s="20">
        <v>805041</v>
      </c>
      <c r="S730" s="20">
        <v>22468160</v>
      </c>
      <c r="T730" s="20"/>
      <c r="U730" s="20"/>
      <c r="V730" s="20"/>
      <c r="W730" s="20">
        <v>1810027</v>
      </c>
      <c r="X730" s="20">
        <v>9153248</v>
      </c>
      <c r="Y730" s="8">
        <f t="shared" si="80"/>
        <v>11054775.443000004</v>
      </c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>
        <v>1150000</v>
      </c>
      <c r="AK730" s="36"/>
      <c r="AL730" s="37">
        <f t="shared" si="81"/>
        <v>1150000</v>
      </c>
      <c r="AM730" s="36"/>
      <c r="AN730" s="36"/>
      <c r="AO730" s="36"/>
      <c r="AP730" s="7"/>
      <c r="AQ730" s="38">
        <f t="shared" si="82"/>
        <v>9904775.4430000037</v>
      </c>
      <c r="AR730" s="36">
        <v>18972500</v>
      </c>
      <c r="AS730" s="18">
        <f t="shared" si="83"/>
        <v>9067724.5569999963</v>
      </c>
    </row>
    <row r="731" spans="1:45" x14ac:dyDescent="0.25">
      <c r="A731" s="40">
        <v>46019</v>
      </c>
      <c r="B731" s="20">
        <v>4396.3649999999998</v>
      </c>
      <c r="C731" s="20">
        <v>2125.078</v>
      </c>
      <c r="D731" s="20">
        <v>5149</v>
      </c>
      <c r="E731" s="20">
        <v>4672</v>
      </c>
      <c r="F731" s="7">
        <f t="shared" si="77"/>
        <v>22636883.384999998</v>
      </c>
      <c r="G731" s="7">
        <f t="shared" si="78"/>
        <v>9928364.4159999993</v>
      </c>
      <c r="H731" s="20">
        <v>12</v>
      </c>
      <c r="I731" s="20">
        <v>227000</v>
      </c>
      <c r="J731" s="20">
        <v>24</v>
      </c>
      <c r="K731" s="20">
        <v>364000</v>
      </c>
      <c r="L731" s="20">
        <v>16000</v>
      </c>
      <c r="M731" s="20"/>
      <c r="N731" s="20"/>
      <c r="O731" s="20">
        <v>205960</v>
      </c>
      <c r="P731" s="20"/>
      <c r="Q731" s="19">
        <f t="shared" si="79"/>
        <v>33378207.800999999</v>
      </c>
      <c r="R731" s="20">
        <v>2750801</v>
      </c>
      <c r="S731" s="20">
        <v>1895519</v>
      </c>
      <c r="T731" s="20"/>
      <c r="U731" s="20"/>
      <c r="V731" s="20"/>
      <c r="W731" s="20">
        <v>538500</v>
      </c>
      <c r="X731" s="20">
        <v>8571503</v>
      </c>
      <c r="Y731" s="8">
        <f t="shared" si="80"/>
        <v>19621884.800999999</v>
      </c>
      <c r="Z731" s="36"/>
      <c r="AA731" s="36"/>
      <c r="AB731" s="36"/>
      <c r="AC731" s="36"/>
      <c r="AD731" s="36"/>
      <c r="AE731" s="36"/>
      <c r="AF731" s="36">
        <v>15000</v>
      </c>
      <c r="AG731" s="36"/>
      <c r="AH731" s="36">
        <v>22000</v>
      </c>
      <c r="AI731" s="36"/>
      <c r="AJ731" s="36"/>
      <c r="AK731" s="36"/>
      <c r="AL731" s="37">
        <f t="shared" si="81"/>
        <v>37000</v>
      </c>
      <c r="AM731" s="36"/>
      <c r="AN731" s="36"/>
      <c r="AO731" s="36"/>
      <c r="AP731" s="7"/>
      <c r="AQ731" s="38">
        <f t="shared" si="82"/>
        <v>19584884.800999999</v>
      </c>
      <c r="AR731" s="36"/>
      <c r="AS731" s="18">
        <f t="shared" si="83"/>
        <v>-19584884.800999999</v>
      </c>
    </row>
    <row r="732" spans="1:45" x14ac:dyDescent="0.25">
      <c r="A732" s="40">
        <v>46020</v>
      </c>
      <c r="B732" s="20">
        <v>2870.9989999999998</v>
      </c>
      <c r="C732" s="20">
        <v>5641.402</v>
      </c>
      <c r="D732" s="20">
        <v>5149</v>
      </c>
      <c r="E732" s="20">
        <v>4672</v>
      </c>
      <c r="F732" s="7">
        <f t="shared" si="77"/>
        <v>14782773.851</v>
      </c>
      <c r="G732" s="7">
        <f t="shared" si="78"/>
        <v>26356630.144000001</v>
      </c>
      <c r="H732" s="20">
        <v>39.5</v>
      </c>
      <c r="I732" s="20">
        <v>1239000</v>
      </c>
      <c r="J732" s="20">
        <v>45.5</v>
      </c>
      <c r="K732" s="20">
        <v>421000</v>
      </c>
      <c r="L732" s="20">
        <v>188000</v>
      </c>
      <c r="M732" s="20"/>
      <c r="N732" s="20"/>
      <c r="O732" s="20">
        <v>500000</v>
      </c>
      <c r="P732" s="20"/>
      <c r="Q732" s="19">
        <f t="shared" si="79"/>
        <v>43487403.995000005</v>
      </c>
      <c r="R732" s="20">
        <v>1641507</v>
      </c>
      <c r="S732" s="20">
        <v>19871411</v>
      </c>
      <c r="T732" s="20"/>
      <c r="U732" s="20"/>
      <c r="V732" s="20"/>
      <c r="W732" s="20">
        <v>318000</v>
      </c>
      <c r="X732" s="20">
        <v>6577399</v>
      </c>
      <c r="Y732" s="8">
        <f t="shared" si="80"/>
        <v>15079086.995000005</v>
      </c>
      <c r="Z732" s="36"/>
      <c r="AA732" s="36"/>
      <c r="AB732" s="36"/>
      <c r="AC732" s="36"/>
      <c r="AD732" s="36"/>
      <c r="AE732" s="36"/>
      <c r="AF732" s="36">
        <v>250000</v>
      </c>
      <c r="AG732" s="36"/>
      <c r="AH732" s="36">
        <v>5000</v>
      </c>
      <c r="AI732" s="36"/>
      <c r="AJ732" s="36"/>
      <c r="AK732" s="36"/>
      <c r="AL732" s="37">
        <f t="shared" si="81"/>
        <v>255000</v>
      </c>
      <c r="AM732" s="36"/>
      <c r="AN732" s="36"/>
      <c r="AO732" s="36"/>
      <c r="AP732" s="7"/>
      <c r="AQ732" s="38">
        <f t="shared" si="82"/>
        <v>14824086.995000005</v>
      </c>
      <c r="AR732" s="36">
        <v>25668000</v>
      </c>
      <c r="AS732" s="18">
        <f t="shared" si="83"/>
        <v>10843913.004999995</v>
      </c>
    </row>
    <row r="733" spans="1:45" x14ac:dyDescent="0.25">
      <c r="A733" s="40">
        <v>46021</v>
      </c>
      <c r="B733" s="20">
        <v>582.86900000000003</v>
      </c>
      <c r="C733" s="20">
        <v>4184.6930000000002</v>
      </c>
      <c r="D733" s="20">
        <v>5149</v>
      </c>
      <c r="E733" s="20">
        <v>4672</v>
      </c>
      <c r="F733" s="7">
        <f t="shared" si="77"/>
        <v>3001192.4810000001</v>
      </c>
      <c r="G733" s="7">
        <f t="shared" si="78"/>
        <v>19550885.696000002</v>
      </c>
      <c r="H733" s="20">
        <v>45.5</v>
      </c>
      <c r="I733" s="20">
        <v>968500</v>
      </c>
      <c r="J733" s="20">
        <v>86.5</v>
      </c>
      <c r="K733" s="20">
        <v>653000</v>
      </c>
      <c r="L733" s="20">
        <v>63000</v>
      </c>
      <c r="M733" s="20"/>
      <c r="N733" s="20"/>
      <c r="O733" s="20">
        <v>2119626</v>
      </c>
      <c r="P733" s="20"/>
      <c r="Q733" s="19">
        <f t="shared" si="79"/>
        <v>26356204.177000001</v>
      </c>
      <c r="R733" s="20">
        <v>1324579</v>
      </c>
      <c r="S733" s="20">
        <v>11988166</v>
      </c>
      <c r="T733" s="20"/>
      <c r="U733" s="20"/>
      <c r="V733" s="20"/>
      <c r="W733" s="20">
        <v>122000</v>
      </c>
      <c r="X733" s="20">
        <v>6145510</v>
      </c>
      <c r="Y733" s="8">
        <f t="shared" si="80"/>
        <v>6775949.1770000011</v>
      </c>
      <c r="Z733" s="36"/>
      <c r="AA733" s="36"/>
      <c r="AB733" s="36"/>
      <c r="AC733" s="36"/>
      <c r="AD733" s="36"/>
      <c r="AE733" s="36"/>
      <c r="AF733" s="36">
        <v>53000</v>
      </c>
      <c r="AG733" s="36"/>
      <c r="AH733" s="36"/>
      <c r="AI733" s="36"/>
      <c r="AJ733" s="36">
        <v>1400000</v>
      </c>
      <c r="AK733" s="36"/>
      <c r="AL733" s="37">
        <f t="shared" si="81"/>
        <v>1453000</v>
      </c>
      <c r="AM733" s="36"/>
      <c r="AN733" s="36"/>
      <c r="AO733" s="36"/>
      <c r="AP733" s="7"/>
      <c r="AQ733" s="38">
        <f t="shared" si="82"/>
        <v>5322949.1770000011</v>
      </c>
      <c r="AR733" s="36">
        <v>5472700</v>
      </c>
      <c r="AS733" s="18">
        <f t="shared" si="83"/>
        <v>149750.82299999893</v>
      </c>
    </row>
    <row r="734" spans="1:45" x14ac:dyDescent="0.25">
      <c r="A734" s="40">
        <v>46022</v>
      </c>
      <c r="B734" s="20">
        <v>663.17499999999995</v>
      </c>
      <c r="C734" s="20">
        <v>3618.6030000000001</v>
      </c>
      <c r="D734" s="20">
        <v>5149</v>
      </c>
      <c r="E734" s="20">
        <v>4672</v>
      </c>
      <c r="F734" s="7">
        <f t="shared" si="77"/>
        <v>3414688.0749999997</v>
      </c>
      <c r="G734" s="7">
        <f t="shared" si="78"/>
        <v>16906113.216000002</v>
      </c>
      <c r="H734" s="20">
        <v>77.5</v>
      </c>
      <c r="I734" s="20">
        <v>1564500</v>
      </c>
      <c r="J734" s="20">
        <v>55</v>
      </c>
      <c r="K734" s="20">
        <v>475000</v>
      </c>
      <c r="L734" s="20">
        <v>41000</v>
      </c>
      <c r="M734" s="20">
        <v>200000</v>
      </c>
      <c r="N734" s="20"/>
      <c r="O734" s="20"/>
      <c r="P734" s="20"/>
      <c r="Q734" s="19">
        <f t="shared" si="79"/>
        <v>22601301.291000001</v>
      </c>
      <c r="R734" s="20">
        <v>807811</v>
      </c>
      <c r="S734" s="20">
        <v>13342135</v>
      </c>
      <c r="T734" s="20"/>
      <c r="U734" s="20"/>
      <c r="V734" s="20"/>
      <c r="W734" s="20">
        <v>317800</v>
      </c>
      <c r="X734" s="20">
        <v>1299320</v>
      </c>
      <c r="Y734" s="8">
        <f t="shared" si="80"/>
        <v>6834235.2910000011</v>
      </c>
      <c r="Z734" s="36"/>
      <c r="AA734" s="36"/>
      <c r="AB734" s="36"/>
      <c r="AC734" s="36"/>
      <c r="AD734" s="36"/>
      <c r="AE734" s="36"/>
      <c r="AF734" s="36"/>
      <c r="AG734" s="36">
        <v>2730000</v>
      </c>
      <c r="AH734" s="36"/>
      <c r="AI734" s="36"/>
      <c r="AJ734" s="36">
        <v>200000</v>
      </c>
      <c r="AK734" s="36"/>
      <c r="AL734" s="37">
        <f t="shared" si="81"/>
        <v>2930000</v>
      </c>
      <c r="AM734" s="36"/>
      <c r="AN734" s="36"/>
      <c r="AO734" s="36"/>
      <c r="AP734" s="7"/>
      <c r="AQ734" s="38">
        <f t="shared" si="82"/>
        <v>3904235.2910000011</v>
      </c>
      <c r="AR734" s="36"/>
      <c r="AS734" s="18">
        <f t="shared" si="83"/>
        <v>-3904235.2910000011</v>
      </c>
    </row>
    <row r="735" spans="1:45" x14ac:dyDescent="0.25">
      <c r="A735" s="40">
        <v>46023</v>
      </c>
      <c r="B735" s="20">
        <v>3672.2710000000002</v>
      </c>
      <c r="C735" s="20">
        <v>8102.4229999999998</v>
      </c>
      <c r="D735" s="20">
        <v>5149</v>
      </c>
      <c r="E735" s="20">
        <v>4672</v>
      </c>
      <c r="F735" s="7">
        <f t="shared" si="77"/>
        <v>18908523.379000001</v>
      </c>
      <c r="G735" s="7">
        <f t="shared" si="78"/>
        <v>37854520.255999997</v>
      </c>
      <c r="H735" s="20">
        <v>73.5</v>
      </c>
      <c r="I735" s="20">
        <v>1549300</v>
      </c>
      <c r="J735" s="20">
        <v>85</v>
      </c>
      <c r="K735" s="20">
        <v>740000</v>
      </c>
      <c r="L735" s="20">
        <v>54000</v>
      </c>
      <c r="M735" s="20"/>
      <c r="N735" s="20"/>
      <c r="O735" s="20">
        <v>8250127</v>
      </c>
      <c r="P735" s="20"/>
      <c r="Q735" s="19">
        <f t="shared" si="79"/>
        <v>67356470.63499999</v>
      </c>
      <c r="R735" s="20">
        <v>821089</v>
      </c>
      <c r="S735" s="20">
        <v>30572219</v>
      </c>
      <c r="T735" s="20"/>
      <c r="U735" s="20"/>
      <c r="V735" s="20"/>
      <c r="W735" s="20">
        <v>1543046</v>
      </c>
      <c r="X735" s="20">
        <v>19525892</v>
      </c>
      <c r="Y735" s="8">
        <f t="shared" si="80"/>
        <v>14894224.63499999</v>
      </c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>
        <v>9255000</v>
      </c>
      <c r="AK735" s="36"/>
      <c r="AL735" s="37">
        <f t="shared" si="81"/>
        <v>9255000</v>
      </c>
      <c r="AM735" s="36"/>
      <c r="AN735" s="36"/>
      <c r="AO735" s="36"/>
      <c r="AP735" s="7"/>
      <c r="AQ735" s="38">
        <f t="shared" si="82"/>
        <v>5639224.6349999905</v>
      </c>
      <c r="AR735" s="36"/>
      <c r="AS735" s="18">
        <f t="shared" si="83"/>
        <v>-5639224.6349999905</v>
      </c>
    </row>
    <row r="736" spans="1:45" x14ac:dyDescent="0.25">
      <c r="A736" s="40">
        <v>46024</v>
      </c>
      <c r="B736" s="20">
        <v>1705.4780000000001</v>
      </c>
      <c r="C736" s="20">
        <v>1390.556</v>
      </c>
      <c r="D736" s="20">
        <v>5149</v>
      </c>
      <c r="E736" s="20">
        <v>4672</v>
      </c>
      <c r="F736" s="7">
        <f t="shared" si="77"/>
        <v>8781506.222000001</v>
      </c>
      <c r="G736" s="7">
        <f t="shared" si="78"/>
        <v>6496677.6320000002</v>
      </c>
      <c r="H736" s="20">
        <v>48</v>
      </c>
      <c r="I736" s="20">
        <v>1015000</v>
      </c>
      <c r="J736" s="20">
        <v>113.5</v>
      </c>
      <c r="K736" s="20">
        <v>977000</v>
      </c>
      <c r="L736" s="20">
        <v>8000</v>
      </c>
      <c r="M736" s="20"/>
      <c r="N736" s="20"/>
      <c r="O736" s="20">
        <v>165000</v>
      </c>
      <c r="P736" s="20"/>
      <c r="Q736" s="19">
        <f t="shared" si="79"/>
        <v>17443183.854000002</v>
      </c>
      <c r="R736" s="20">
        <v>1402256</v>
      </c>
      <c r="S736" s="20">
        <v>7203606</v>
      </c>
      <c r="T736" s="20"/>
      <c r="U736" s="20"/>
      <c r="V736" s="20"/>
      <c r="W736" s="20">
        <v>122800</v>
      </c>
      <c r="X736" s="20">
        <v>2348863</v>
      </c>
      <c r="Y736" s="8">
        <f t="shared" si="80"/>
        <v>6365658.8540000021</v>
      </c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7">
        <f t="shared" si="81"/>
        <v>0</v>
      </c>
      <c r="AM736" s="36"/>
      <c r="AN736" s="36"/>
      <c r="AO736" s="36"/>
      <c r="AP736" s="7"/>
      <c r="AQ736" s="38">
        <f t="shared" si="82"/>
        <v>6365658.8540000021</v>
      </c>
      <c r="AR736" s="36">
        <v>15943500</v>
      </c>
      <c r="AS736" s="18">
        <f t="shared" si="83"/>
        <v>9577841.1459999979</v>
      </c>
    </row>
    <row r="737" spans="1:45" x14ac:dyDescent="0.25">
      <c r="A737" s="40">
        <v>46025</v>
      </c>
      <c r="B737" s="20">
        <v>2608.2040000000002</v>
      </c>
      <c r="C737" s="20">
        <v>4822.0609999999997</v>
      </c>
      <c r="D737" s="20">
        <v>5149</v>
      </c>
      <c r="E737" s="20">
        <v>4672</v>
      </c>
      <c r="F737" s="7">
        <f t="shared" si="77"/>
        <v>13429642.396000002</v>
      </c>
      <c r="G737" s="7">
        <f t="shared" si="78"/>
        <v>22528668.991999999</v>
      </c>
      <c r="H737" s="20">
        <v>26.5</v>
      </c>
      <c r="I737" s="20">
        <v>628000</v>
      </c>
      <c r="J737" s="20">
        <v>64</v>
      </c>
      <c r="K737" s="20">
        <v>526000</v>
      </c>
      <c r="L737" s="20">
        <v>38000</v>
      </c>
      <c r="M737" s="20"/>
      <c r="N737" s="20"/>
      <c r="O737" s="20"/>
      <c r="P737" s="20"/>
      <c r="Q737" s="19">
        <f t="shared" si="79"/>
        <v>37150311.387999997</v>
      </c>
      <c r="R737" s="20">
        <v>1583931</v>
      </c>
      <c r="S737" s="20">
        <v>19192396</v>
      </c>
      <c r="T737" s="20"/>
      <c r="U737" s="20"/>
      <c r="V737" s="20"/>
      <c r="W737" s="20">
        <v>829531</v>
      </c>
      <c r="X737" s="20">
        <v>11937250</v>
      </c>
      <c r="Y737" s="8">
        <f t="shared" si="80"/>
        <v>3607203.3879999965</v>
      </c>
      <c r="Z737" s="36"/>
      <c r="AA737" s="36"/>
      <c r="AB737" s="36"/>
      <c r="AC737" s="36"/>
      <c r="AD737" s="36"/>
      <c r="AE737" s="36"/>
      <c r="AF737" s="36"/>
      <c r="AG737" s="36"/>
      <c r="AH737" s="36">
        <v>70000</v>
      </c>
      <c r="AI737" s="36"/>
      <c r="AJ737" s="36"/>
      <c r="AK737" s="36"/>
      <c r="AL737" s="37">
        <f t="shared" si="81"/>
        <v>70000</v>
      </c>
      <c r="AM737" s="36"/>
      <c r="AN737" s="36"/>
      <c r="AO737" s="36"/>
      <c r="AP737" s="7"/>
      <c r="AQ737" s="38">
        <f t="shared" si="82"/>
        <v>3537203.3879999965</v>
      </c>
      <c r="AR737" s="36"/>
      <c r="AS737" s="18">
        <f t="shared" si="83"/>
        <v>-3537203.3879999965</v>
      </c>
    </row>
    <row r="738" spans="1:45" x14ac:dyDescent="0.25">
      <c r="A738" s="40">
        <v>46026</v>
      </c>
      <c r="B738" s="20">
        <v>2289.3789999999999</v>
      </c>
      <c r="C738" s="20">
        <v>4265.6899999999996</v>
      </c>
      <c r="D738" s="20">
        <v>5149</v>
      </c>
      <c r="E738" s="20">
        <v>4672</v>
      </c>
      <c r="F738" s="7">
        <f t="shared" si="77"/>
        <v>11788012.470999999</v>
      </c>
      <c r="G738" s="7">
        <f t="shared" si="78"/>
        <v>19929303.68</v>
      </c>
      <c r="H738" s="20">
        <v>39.5</v>
      </c>
      <c r="I738" s="20">
        <v>778000</v>
      </c>
      <c r="J738" s="20">
        <v>96</v>
      </c>
      <c r="K738" s="20">
        <v>809000</v>
      </c>
      <c r="L738" s="20">
        <v>71000</v>
      </c>
      <c r="M738" s="20"/>
      <c r="N738" s="20"/>
      <c r="O738" s="20"/>
      <c r="P738" s="20"/>
      <c r="Q738" s="19">
        <f t="shared" si="79"/>
        <v>33375316.151000001</v>
      </c>
      <c r="R738" s="20">
        <v>1243051</v>
      </c>
      <c r="S738" s="20">
        <v>15012909</v>
      </c>
      <c r="T738" s="20"/>
      <c r="U738" s="20"/>
      <c r="V738" s="20"/>
      <c r="W738" s="20">
        <v>404200</v>
      </c>
      <c r="X738" s="20">
        <v>9982060</v>
      </c>
      <c r="Y738" s="8">
        <f t="shared" si="80"/>
        <v>6733096.1510000005</v>
      </c>
      <c r="Z738" s="36"/>
      <c r="AA738" s="36"/>
      <c r="AB738" s="36">
        <v>643100</v>
      </c>
      <c r="AC738" s="36"/>
      <c r="AD738" s="36"/>
      <c r="AE738" s="36">
        <v>1270000</v>
      </c>
      <c r="AF738" s="36">
        <v>100000</v>
      </c>
      <c r="AG738" s="36"/>
      <c r="AH738" s="36">
        <v>40000</v>
      </c>
      <c r="AI738" s="36"/>
      <c r="AJ738" s="36"/>
      <c r="AK738" s="36"/>
      <c r="AL738" s="37">
        <f t="shared" si="81"/>
        <v>2053100</v>
      </c>
      <c r="AM738" s="36"/>
      <c r="AN738" s="36"/>
      <c r="AO738" s="36"/>
      <c r="AP738" s="7"/>
      <c r="AQ738" s="38">
        <f t="shared" si="82"/>
        <v>4679996.1510000005</v>
      </c>
      <c r="AR738" s="36"/>
      <c r="AS738" s="18">
        <f t="shared" si="83"/>
        <v>-4679996.1510000005</v>
      </c>
    </row>
    <row r="739" spans="1:45" x14ac:dyDescent="0.25">
      <c r="A739" s="40">
        <v>46027</v>
      </c>
      <c r="B739" s="20">
        <v>1902.9079999999999</v>
      </c>
      <c r="C739" s="20">
        <v>5629.4170000000004</v>
      </c>
      <c r="D739" s="20">
        <v>5249</v>
      </c>
      <c r="E739" s="20">
        <v>4772</v>
      </c>
      <c r="F739" s="7">
        <f t="shared" si="77"/>
        <v>9988364.0920000002</v>
      </c>
      <c r="G739" s="7">
        <f t="shared" si="78"/>
        <v>26863577.924000002</v>
      </c>
      <c r="H739" s="20">
        <v>144</v>
      </c>
      <c r="I739" s="20">
        <v>3248800</v>
      </c>
      <c r="J739" s="20">
        <v>79.5</v>
      </c>
      <c r="K739" s="20">
        <v>765000</v>
      </c>
      <c r="L739" s="20">
        <v>115000</v>
      </c>
      <c r="M739" s="20"/>
      <c r="N739" s="20"/>
      <c r="O739" s="20">
        <v>350000</v>
      </c>
      <c r="P739" s="20"/>
      <c r="Q739" s="19">
        <f t="shared" si="79"/>
        <v>41330742.016000003</v>
      </c>
      <c r="R739" s="20">
        <v>1004166</v>
      </c>
      <c r="S739" s="20">
        <v>17606878</v>
      </c>
      <c r="T739" s="20"/>
      <c r="U739" s="20"/>
      <c r="V739" s="20"/>
      <c r="W739" s="20">
        <v>280000</v>
      </c>
      <c r="X739" s="20">
        <v>11101884</v>
      </c>
      <c r="Y739" s="8">
        <f t="shared" si="80"/>
        <v>11337814.016000003</v>
      </c>
      <c r="Z739" s="36"/>
      <c r="AA739" s="36"/>
      <c r="AB739" s="36"/>
      <c r="AC739" s="36"/>
      <c r="AD739" s="36"/>
      <c r="AE739" s="36"/>
      <c r="AF739" s="36"/>
      <c r="AG739" s="36"/>
      <c r="AH739" s="36">
        <v>19000</v>
      </c>
      <c r="AI739" s="36"/>
      <c r="AJ739" s="36">
        <v>5800000</v>
      </c>
      <c r="AK739" s="36"/>
      <c r="AL739" s="37">
        <f t="shared" si="81"/>
        <v>5819000</v>
      </c>
      <c r="AM739" s="36"/>
      <c r="AN739" s="36"/>
      <c r="AO739" s="36"/>
      <c r="AP739" s="7"/>
      <c r="AQ739" s="38">
        <f t="shared" si="82"/>
        <v>5518814.0160000026</v>
      </c>
      <c r="AR739" s="36">
        <v>13514500</v>
      </c>
      <c r="AS739" s="18">
        <f t="shared" si="83"/>
        <v>7995685.9839999974</v>
      </c>
    </row>
    <row r="740" spans="1:45" x14ac:dyDescent="0.25">
      <c r="A740" s="40">
        <v>46028</v>
      </c>
      <c r="B740" s="20">
        <v>1925.0160000000001</v>
      </c>
      <c r="C740" s="20">
        <v>5339.7870000000003</v>
      </c>
      <c r="D740" s="20">
        <v>5249</v>
      </c>
      <c r="E740" s="20">
        <v>4772</v>
      </c>
      <c r="F740" s="7">
        <f t="shared" si="77"/>
        <v>10104408.984000001</v>
      </c>
      <c r="G740" s="7">
        <f t="shared" si="78"/>
        <v>25481463.564000003</v>
      </c>
      <c r="H740" s="20">
        <v>89</v>
      </c>
      <c r="I740" s="20">
        <v>1682000</v>
      </c>
      <c r="J740" s="20">
        <v>24</v>
      </c>
      <c r="K740" s="20">
        <v>288000</v>
      </c>
      <c r="L740" s="20">
        <v>105000</v>
      </c>
      <c r="M740" s="20">
        <v>120000</v>
      </c>
      <c r="N740" s="20">
        <v>250000</v>
      </c>
      <c r="O740" s="20">
        <v>117500</v>
      </c>
      <c r="P740" s="20"/>
      <c r="Q740" s="19">
        <f t="shared" si="79"/>
        <v>38148372.548000008</v>
      </c>
      <c r="R740" s="20">
        <v>814480</v>
      </c>
      <c r="S740" s="20">
        <v>13620665</v>
      </c>
      <c r="T740" s="20"/>
      <c r="U740" s="20"/>
      <c r="V740" s="20"/>
      <c r="W740" s="20">
        <v>200000</v>
      </c>
      <c r="X740" s="20">
        <v>18423802</v>
      </c>
      <c r="Y740" s="8">
        <f t="shared" si="80"/>
        <v>5089425.5480000079</v>
      </c>
      <c r="Z740" s="36"/>
      <c r="AA740" s="36"/>
      <c r="AB740" s="36"/>
      <c r="AC740" s="36"/>
      <c r="AD740" s="36">
        <v>190880</v>
      </c>
      <c r="AE740" s="36"/>
      <c r="AF740" s="36"/>
      <c r="AG740" s="36"/>
      <c r="AH740" s="36"/>
      <c r="AI740" s="36"/>
      <c r="AJ740" s="36">
        <v>3000000</v>
      </c>
      <c r="AK740" s="36"/>
      <c r="AL740" s="37">
        <f t="shared" si="81"/>
        <v>3190880</v>
      </c>
      <c r="AM740" s="36"/>
      <c r="AN740" s="36"/>
      <c r="AO740" s="36"/>
      <c r="AP740" s="7"/>
      <c r="AQ740" s="38">
        <f t="shared" si="82"/>
        <v>1898545.5480000079</v>
      </c>
      <c r="AR740" s="36"/>
      <c r="AS740" s="18">
        <f t="shared" si="83"/>
        <v>-1898545.5480000079</v>
      </c>
    </row>
    <row r="741" spans="1:45" x14ac:dyDescent="0.25">
      <c r="A741" s="40">
        <v>46029</v>
      </c>
      <c r="B741" s="20">
        <v>2105.5920000000001</v>
      </c>
      <c r="C741" s="20">
        <v>4209.8680000000004</v>
      </c>
      <c r="D741" s="20">
        <v>5249</v>
      </c>
      <c r="E741" s="20">
        <v>4772</v>
      </c>
      <c r="F741" s="7">
        <f t="shared" si="77"/>
        <v>11052252.408</v>
      </c>
      <c r="G741" s="7">
        <f t="shared" si="78"/>
        <v>20089490.096000001</v>
      </c>
      <c r="H741" s="20">
        <v>60</v>
      </c>
      <c r="I741" s="20">
        <v>1312000</v>
      </c>
      <c r="J741" s="20">
        <v>37</v>
      </c>
      <c r="K741" s="20">
        <v>723000</v>
      </c>
      <c r="L741" s="20">
        <v>39000</v>
      </c>
      <c r="M741" s="20"/>
      <c r="N741" s="20">
        <v>200000</v>
      </c>
      <c r="O741" s="20"/>
      <c r="P741" s="20"/>
      <c r="Q741" s="19">
        <f t="shared" si="79"/>
        <v>33415742.504000001</v>
      </c>
      <c r="R741" s="20">
        <v>564152</v>
      </c>
      <c r="S741" s="20">
        <v>13919427</v>
      </c>
      <c r="T741" s="20"/>
      <c r="U741" s="20"/>
      <c r="V741" s="20"/>
      <c r="W741" s="20">
        <v>635000</v>
      </c>
      <c r="X741" s="20">
        <v>10235427</v>
      </c>
      <c r="Y741" s="8">
        <f t="shared" si="80"/>
        <v>8061736.5040000007</v>
      </c>
      <c r="Z741" s="36"/>
      <c r="AA741" s="36">
        <v>131100</v>
      </c>
      <c r="AB741" s="36"/>
      <c r="AC741" s="36"/>
      <c r="AD741" s="36"/>
      <c r="AE741" s="36"/>
      <c r="AF741" s="36"/>
      <c r="AG741" s="36"/>
      <c r="AH741" s="36"/>
      <c r="AI741" s="36">
        <v>15000</v>
      </c>
      <c r="AJ741" s="36">
        <v>750000</v>
      </c>
      <c r="AK741" s="36"/>
      <c r="AL741" s="37">
        <f t="shared" si="81"/>
        <v>896100</v>
      </c>
      <c r="AM741" s="36">
        <v>663000</v>
      </c>
      <c r="AN741" s="36"/>
      <c r="AO741" s="36"/>
      <c r="AP741" s="7"/>
      <c r="AQ741" s="38">
        <f t="shared" si="82"/>
        <v>6502636.5040000007</v>
      </c>
      <c r="AR741" s="36">
        <v>8691400</v>
      </c>
      <c r="AS741" s="18">
        <f t="shared" si="83"/>
        <v>2188763.4959999993</v>
      </c>
    </row>
    <row r="742" spans="1:45" x14ac:dyDescent="0.25">
      <c r="A742" s="40">
        <v>46030</v>
      </c>
      <c r="B742" s="20">
        <v>1696.0719999999999</v>
      </c>
      <c r="C742" s="20">
        <v>4074.16</v>
      </c>
      <c r="D742" s="20">
        <v>5249</v>
      </c>
      <c r="E742" s="20">
        <v>4772</v>
      </c>
      <c r="F742" s="7">
        <f t="shared" si="77"/>
        <v>8902681.9279999994</v>
      </c>
      <c r="G742" s="7">
        <f t="shared" si="78"/>
        <v>19441891.52</v>
      </c>
      <c r="H742" s="20">
        <v>227.5</v>
      </c>
      <c r="I742" s="20">
        <v>4557500</v>
      </c>
      <c r="J742" s="20">
        <v>27</v>
      </c>
      <c r="K742" s="20">
        <v>240000</v>
      </c>
      <c r="L742" s="20">
        <v>162000</v>
      </c>
      <c r="M742" s="20"/>
      <c r="N742" s="20"/>
      <c r="O742" s="20">
        <v>6000000</v>
      </c>
      <c r="P742" s="20"/>
      <c r="Q742" s="19">
        <f t="shared" si="79"/>
        <v>39304073.447999999</v>
      </c>
      <c r="R742" s="20">
        <v>339705</v>
      </c>
      <c r="S742" s="20">
        <v>13518328</v>
      </c>
      <c r="T742" s="20"/>
      <c r="U742" s="20"/>
      <c r="V742" s="20"/>
      <c r="W742" s="20">
        <v>70000</v>
      </c>
      <c r="X742" s="20">
        <v>15376338</v>
      </c>
      <c r="Y742" s="8">
        <f t="shared" si="80"/>
        <v>9999702.4479999989</v>
      </c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>
        <v>7800000</v>
      </c>
      <c r="AK742" s="36"/>
      <c r="AL742" s="37">
        <f t="shared" si="81"/>
        <v>7800000</v>
      </c>
      <c r="AM742" s="36"/>
      <c r="AN742" s="36"/>
      <c r="AO742" s="36"/>
      <c r="AP742" s="7"/>
      <c r="AQ742" s="38">
        <f t="shared" si="82"/>
        <v>2199702.4479999989</v>
      </c>
      <c r="AR742" s="36"/>
      <c r="AS742" s="18">
        <f t="shared" si="83"/>
        <v>-2199702.4479999989</v>
      </c>
    </row>
    <row r="743" spans="1:45" x14ac:dyDescent="0.25">
      <c r="A743" s="40">
        <v>46031</v>
      </c>
      <c r="B743" s="20">
        <v>1988.845</v>
      </c>
      <c r="C743" s="20">
        <v>5311.1450000000004</v>
      </c>
      <c r="D743" s="20">
        <v>5249</v>
      </c>
      <c r="E743" s="20">
        <v>4772</v>
      </c>
      <c r="F743" s="7">
        <f t="shared" si="77"/>
        <v>10439447.404999999</v>
      </c>
      <c r="G743" s="7">
        <f t="shared" si="78"/>
        <v>25344783.940000001</v>
      </c>
      <c r="H743" s="20">
        <v>106</v>
      </c>
      <c r="I743" s="20">
        <v>2243500</v>
      </c>
      <c r="J743" s="20">
        <v>21</v>
      </c>
      <c r="K743" s="20">
        <v>187000</v>
      </c>
      <c r="L743" s="20">
        <v>117000</v>
      </c>
      <c r="M743" s="20"/>
      <c r="N743" s="20">
        <v>500000</v>
      </c>
      <c r="O743" s="20">
        <v>987248</v>
      </c>
      <c r="P743" s="20"/>
      <c r="Q743" s="19">
        <f t="shared" si="79"/>
        <v>39818979.344999999</v>
      </c>
      <c r="R743" s="20">
        <v>1346934</v>
      </c>
      <c r="S743" s="20">
        <v>12485103</v>
      </c>
      <c r="T743" s="20"/>
      <c r="U743" s="20"/>
      <c r="V743" s="20"/>
      <c r="W743" s="20">
        <v>100000</v>
      </c>
      <c r="X743" s="20">
        <v>20364675</v>
      </c>
      <c r="Y743" s="8">
        <f t="shared" si="80"/>
        <v>5522267.3449999988</v>
      </c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>
        <v>1880000</v>
      </c>
      <c r="AK743" s="36"/>
      <c r="AL743" s="37">
        <f t="shared" si="81"/>
        <v>1880000</v>
      </c>
      <c r="AM743" s="36"/>
      <c r="AN743" s="36"/>
      <c r="AO743" s="36"/>
      <c r="AP743" s="7"/>
      <c r="AQ743" s="38">
        <f t="shared" si="82"/>
        <v>3642267.3449999988</v>
      </c>
      <c r="AR743" s="36"/>
      <c r="AS743" s="18">
        <f t="shared" si="83"/>
        <v>-3642267.3449999988</v>
      </c>
    </row>
    <row r="744" spans="1:45" x14ac:dyDescent="0.25">
      <c r="A744" s="40">
        <v>46032</v>
      </c>
      <c r="B744" s="20">
        <v>2213.4870000000001</v>
      </c>
      <c r="C744" s="20">
        <v>5584.21</v>
      </c>
      <c r="D744" s="20">
        <v>5249</v>
      </c>
      <c r="E744" s="20">
        <v>4772</v>
      </c>
      <c r="F744" s="7">
        <f t="shared" si="77"/>
        <v>11618593.263</v>
      </c>
      <c r="G744" s="7">
        <f t="shared" si="78"/>
        <v>26647850.120000001</v>
      </c>
      <c r="H744" s="20">
        <v>31</v>
      </c>
      <c r="I744" s="20">
        <v>759500</v>
      </c>
      <c r="J744" s="20">
        <v>67.5</v>
      </c>
      <c r="K744" s="20">
        <v>755500</v>
      </c>
      <c r="L744" s="20">
        <v>23000</v>
      </c>
      <c r="M744" s="20">
        <v>120000</v>
      </c>
      <c r="N744" s="20"/>
      <c r="O744" s="20">
        <v>910000</v>
      </c>
      <c r="P744" s="20"/>
      <c r="Q744" s="19">
        <f t="shared" si="79"/>
        <v>40834443.383000001</v>
      </c>
      <c r="R744" s="20">
        <v>1037264</v>
      </c>
      <c r="S744" s="20">
        <v>18846090</v>
      </c>
      <c r="T744" s="20"/>
      <c r="U744" s="20"/>
      <c r="V744" s="20"/>
      <c r="W744" s="20">
        <v>152990</v>
      </c>
      <c r="X744" s="20">
        <v>11853698</v>
      </c>
      <c r="Y744" s="8">
        <f t="shared" si="80"/>
        <v>8944401.3830000013</v>
      </c>
      <c r="Z744" s="36"/>
      <c r="AA744" s="36"/>
      <c r="AB744" s="36"/>
      <c r="AC744" s="36">
        <v>20000</v>
      </c>
      <c r="AD744" s="36"/>
      <c r="AE744" s="36"/>
      <c r="AF744" s="36">
        <v>5000</v>
      </c>
      <c r="AG744" s="36"/>
      <c r="AH744" s="36"/>
      <c r="AI744" s="36"/>
      <c r="AJ744" s="36">
        <v>3000000</v>
      </c>
      <c r="AK744" s="36"/>
      <c r="AL744" s="37">
        <f t="shared" si="81"/>
        <v>3025000</v>
      </c>
      <c r="AM744" s="36"/>
      <c r="AN744" s="36"/>
      <c r="AO744" s="36"/>
      <c r="AP744" s="7"/>
      <c r="AQ744" s="38">
        <f t="shared" si="82"/>
        <v>5919401.3830000013</v>
      </c>
      <c r="AR744" s="36">
        <v>11762000</v>
      </c>
      <c r="AS744" s="18">
        <f t="shared" si="83"/>
        <v>5842598.6169999987</v>
      </c>
    </row>
    <row r="745" spans="1:45" x14ac:dyDescent="0.25">
      <c r="A745" s="40">
        <v>46033</v>
      </c>
      <c r="B745" s="20">
        <v>2489.8780000000002</v>
      </c>
      <c r="C745" s="20">
        <v>2038.45</v>
      </c>
      <c r="D745" s="20">
        <v>5249</v>
      </c>
      <c r="E745" s="20">
        <v>4772</v>
      </c>
      <c r="F745" s="7">
        <f t="shared" si="77"/>
        <v>13069369.622000001</v>
      </c>
      <c r="G745" s="7">
        <f t="shared" si="78"/>
        <v>9727483.4000000004</v>
      </c>
      <c r="H745" s="20">
        <v>59.5</v>
      </c>
      <c r="I745" s="20">
        <v>1224000</v>
      </c>
      <c r="J745" s="20">
        <v>74.5</v>
      </c>
      <c r="K745" s="20">
        <v>635000</v>
      </c>
      <c r="L745" s="20">
        <v>91000</v>
      </c>
      <c r="M745" s="20">
        <v>10000</v>
      </c>
      <c r="N745" s="20"/>
      <c r="O745" s="20">
        <v>1890200</v>
      </c>
      <c r="P745" s="20"/>
      <c r="Q745" s="19">
        <f t="shared" si="79"/>
        <v>26647053.022</v>
      </c>
      <c r="R745" s="20">
        <v>2086566</v>
      </c>
      <c r="S745" s="20">
        <v>6079484</v>
      </c>
      <c r="T745" s="20"/>
      <c r="U745" s="20"/>
      <c r="V745" s="20"/>
      <c r="W745" s="20">
        <v>309000</v>
      </c>
      <c r="X745" s="20">
        <v>5794808</v>
      </c>
      <c r="Y745" s="8">
        <f t="shared" si="80"/>
        <v>12377195.022</v>
      </c>
      <c r="Z745" s="36">
        <v>1193700</v>
      </c>
      <c r="AA745" s="36"/>
      <c r="AB745" s="36"/>
      <c r="AC745" s="36"/>
      <c r="AD745" s="36"/>
      <c r="AE745" s="36"/>
      <c r="AF745" s="36">
        <v>3000</v>
      </c>
      <c r="AG745" s="36"/>
      <c r="AH745" s="36">
        <v>35000</v>
      </c>
      <c r="AI745" s="36"/>
      <c r="AJ745" s="36">
        <v>1930000</v>
      </c>
      <c r="AK745" s="36"/>
      <c r="AL745" s="37">
        <f t="shared" si="81"/>
        <v>3161700</v>
      </c>
      <c r="AM745" s="36"/>
      <c r="AN745" s="36"/>
      <c r="AO745" s="36"/>
      <c r="AP745" s="7"/>
      <c r="AQ745" s="38">
        <f t="shared" si="82"/>
        <v>9215495.0219999999</v>
      </c>
      <c r="AR745" s="36"/>
      <c r="AS745" s="18">
        <f t="shared" si="83"/>
        <v>-9215495.0219999999</v>
      </c>
    </row>
    <row r="746" spans="1:45" x14ac:dyDescent="0.25">
      <c r="A746" s="40">
        <v>46034</v>
      </c>
      <c r="B746" s="20">
        <v>1675.655</v>
      </c>
      <c r="C746" s="20">
        <v>2031.096</v>
      </c>
      <c r="D746" s="20">
        <v>5249</v>
      </c>
      <c r="E746" s="20">
        <v>4772</v>
      </c>
      <c r="F746" s="7">
        <f t="shared" si="77"/>
        <v>8795513.0950000007</v>
      </c>
      <c r="G746" s="7">
        <f t="shared" si="78"/>
        <v>9692390.1119999997</v>
      </c>
      <c r="H746" s="20">
        <v>52</v>
      </c>
      <c r="I746" s="20">
        <v>1111500</v>
      </c>
      <c r="J746" s="20">
        <v>50</v>
      </c>
      <c r="K746" s="20">
        <v>497000</v>
      </c>
      <c r="L746" s="20">
        <v>16000</v>
      </c>
      <c r="M746" s="20"/>
      <c r="N746" s="20"/>
      <c r="O746" s="20">
        <v>229000</v>
      </c>
      <c r="P746" s="20"/>
      <c r="Q746" s="19">
        <f t="shared" si="79"/>
        <v>20341403.207000002</v>
      </c>
      <c r="R746" s="20">
        <v>775989</v>
      </c>
      <c r="S746" s="20">
        <v>5613156</v>
      </c>
      <c r="T746" s="20"/>
      <c r="U746" s="20"/>
      <c r="V746" s="20"/>
      <c r="W746" s="20">
        <v>257400</v>
      </c>
      <c r="X746" s="20">
        <v>5449820</v>
      </c>
      <c r="Y746" s="8">
        <f t="shared" si="80"/>
        <v>8245038.2070000023</v>
      </c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7">
        <f t="shared" si="81"/>
        <v>0</v>
      </c>
      <c r="AM746" s="36"/>
      <c r="AN746" s="36"/>
      <c r="AO746" s="36"/>
      <c r="AP746" s="7"/>
      <c r="AQ746" s="38">
        <f t="shared" si="82"/>
        <v>8245038.2070000023</v>
      </c>
      <c r="AR746" s="36">
        <v>17460500</v>
      </c>
      <c r="AS746" s="18">
        <f t="shared" si="83"/>
        <v>9215461.7929999977</v>
      </c>
    </row>
    <row r="747" spans="1:45" x14ac:dyDescent="0.25">
      <c r="A747" s="40">
        <v>46035</v>
      </c>
      <c r="B747" s="20">
        <v>2537.5720000000001</v>
      </c>
      <c r="C747" s="20">
        <v>3944.0039999999999</v>
      </c>
      <c r="D747" s="20">
        <v>5249</v>
      </c>
      <c r="E747" s="20">
        <v>4772</v>
      </c>
      <c r="F747" s="7">
        <f t="shared" si="77"/>
        <v>13319715.428000001</v>
      </c>
      <c r="G747" s="7">
        <f t="shared" si="78"/>
        <v>18820787.088</v>
      </c>
      <c r="H747" s="20">
        <v>60</v>
      </c>
      <c r="I747" s="20">
        <v>1447000</v>
      </c>
      <c r="J747" s="20">
        <v>36.5</v>
      </c>
      <c r="K747" s="20">
        <v>393000</v>
      </c>
      <c r="L747" s="20">
        <v>66000</v>
      </c>
      <c r="M747" s="20"/>
      <c r="N747" s="20"/>
      <c r="O747" s="20"/>
      <c r="P747" s="20"/>
      <c r="Q747" s="19">
        <f t="shared" si="79"/>
        <v>34046502.516000003</v>
      </c>
      <c r="R747" s="20">
        <v>372604</v>
      </c>
      <c r="S747" s="20">
        <v>9721509</v>
      </c>
      <c r="T747" s="20"/>
      <c r="U747" s="20"/>
      <c r="V747" s="20"/>
      <c r="W747" s="20">
        <v>50000</v>
      </c>
      <c r="X747" s="20">
        <v>12295064</v>
      </c>
      <c r="Y747" s="8">
        <f t="shared" si="80"/>
        <v>11607325.516000003</v>
      </c>
      <c r="Z747" s="36"/>
      <c r="AA747" s="36"/>
      <c r="AB747" s="36"/>
      <c r="AC747" s="36">
        <v>10000</v>
      </c>
      <c r="AD747" s="36"/>
      <c r="AE747" s="36"/>
      <c r="AF747" s="36">
        <v>6000</v>
      </c>
      <c r="AG747" s="36"/>
      <c r="AH747" s="36">
        <v>19000</v>
      </c>
      <c r="AI747" s="36"/>
      <c r="AJ747" s="36">
        <v>7309500</v>
      </c>
      <c r="AK747" s="36"/>
      <c r="AL747" s="37">
        <f t="shared" si="81"/>
        <v>7344500</v>
      </c>
      <c r="AM747" s="36"/>
      <c r="AN747" s="36"/>
      <c r="AO747" s="36"/>
      <c r="AP747" s="7"/>
      <c r="AQ747" s="38">
        <f t="shared" si="82"/>
        <v>4262825.5160000026</v>
      </c>
      <c r="AR747" s="36"/>
      <c r="AS747" s="18">
        <f t="shared" si="83"/>
        <v>-4262825.5160000026</v>
      </c>
    </row>
    <row r="748" spans="1:45" x14ac:dyDescent="0.25">
      <c r="A748" s="40">
        <v>46036</v>
      </c>
      <c r="B748" s="20">
        <v>2184.0214999999998</v>
      </c>
      <c r="C748" s="20">
        <v>5139.2060000000001</v>
      </c>
      <c r="D748" s="20">
        <v>5249</v>
      </c>
      <c r="E748" s="20">
        <v>4845</v>
      </c>
      <c r="F748" s="7">
        <f t="shared" si="77"/>
        <v>11463928.853499999</v>
      </c>
      <c r="G748" s="7">
        <f t="shared" si="78"/>
        <v>24899453.07</v>
      </c>
      <c r="H748" s="20">
        <v>59</v>
      </c>
      <c r="I748" s="20">
        <v>1211500</v>
      </c>
      <c r="J748" s="20">
        <v>92.5</v>
      </c>
      <c r="K748" s="20">
        <v>782000</v>
      </c>
      <c r="L748" s="20">
        <v>48000</v>
      </c>
      <c r="M748" s="20"/>
      <c r="N748" s="20">
        <v>250000</v>
      </c>
      <c r="O748" s="20"/>
      <c r="P748" s="20"/>
      <c r="Q748" s="19">
        <f t="shared" si="79"/>
        <v>38654881.923500001</v>
      </c>
      <c r="R748" s="20">
        <v>1200578</v>
      </c>
      <c r="S748" s="20">
        <v>17733200</v>
      </c>
      <c r="T748" s="20"/>
      <c r="U748" s="20"/>
      <c r="V748" s="20"/>
      <c r="W748" s="20">
        <v>325811</v>
      </c>
      <c r="X748" s="20">
        <v>13189568</v>
      </c>
      <c r="Y748" s="8">
        <f t="shared" si="80"/>
        <v>6205724.9235000014</v>
      </c>
      <c r="Z748" s="36"/>
      <c r="AA748" s="36"/>
      <c r="AB748" s="36"/>
      <c r="AC748" s="36"/>
      <c r="AD748" s="36"/>
      <c r="AE748" s="36"/>
      <c r="AF748" s="36">
        <v>3000</v>
      </c>
      <c r="AG748" s="36"/>
      <c r="AH748" s="36"/>
      <c r="AI748" s="36"/>
      <c r="AJ748" s="36"/>
      <c r="AK748" s="36"/>
      <c r="AL748" s="37">
        <f t="shared" si="81"/>
        <v>3000</v>
      </c>
      <c r="AM748" s="36"/>
      <c r="AN748" s="36"/>
      <c r="AO748" s="36"/>
      <c r="AP748" s="7"/>
      <c r="AQ748" s="38">
        <f t="shared" si="82"/>
        <v>6202724.9235000014</v>
      </c>
      <c r="AR748" s="36">
        <v>7211800</v>
      </c>
      <c r="AS748" s="18">
        <f t="shared" si="83"/>
        <v>1009075.0764999986</v>
      </c>
    </row>
    <row r="749" spans="1:45" x14ac:dyDescent="0.25">
      <c r="A749" s="40">
        <v>46037</v>
      </c>
      <c r="B749" s="20">
        <v>3071.2159999999999</v>
      </c>
      <c r="C749" s="20">
        <v>3878.9050000000002</v>
      </c>
      <c r="D749" s="20">
        <v>5249</v>
      </c>
      <c r="E749" s="20">
        <v>4845</v>
      </c>
      <c r="F749" s="7">
        <f t="shared" si="77"/>
        <v>16120812.784</v>
      </c>
      <c r="G749" s="7">
        <f t="shared" si="78"/>
        <v>18793294.725000001</v>
      </c>
      <c r="H749" s="20">
        <v>78.5</v>
      </c>
      <c r="I749" s="20">
        <v>1693000</v>
      </c>
      <c r="J749" s="20">
        <v>43</v>
      </c>
      <c r="K749" s="20">
        <v>369000</v>
      </c>
      <c r="L749" s="20">
        <v>62000</v>
      </c>
      <c r="M749" s="20">
        <v>300000</v>
      </c>
      <c r="N749" s="20"/>
      <c r="O749" s="20"/>
      <c r="P749" s="20"/>
      <c r="Q749" s="19">
        <f t="shared" si="79"/>
        <v>37338107.509000003</v>
      </c>
      <c r="R749" s="20">
        <v>2089719</v>
      </c>
      <c r="S749" s="20">
        <v>15233345</v>
      </c>
      <c r="T749" s="20"/>
      <c r="U749" s="20"/>
      <c r="V749" s="20"/>
      <c r="W749" s="20">
        <v>320790</v>
      </c>
      <c r="X749" s="20">
        <v>6429450</v>
      </c>
      <c r="Y749" s="8">
        <f t="shared" si="80"/>
        <v>13264803.509000003</v>
      </c>
      <c r="Z749" s="36"/>
      <c r="AA749" s="36"/>
      <c r="AB749" s="36"/>
      <c r="AC749" s="36">
        <v>35000</v>
      </c>
      <c r="AD749" s="36"/>
      <c r="AE749" s="36"/>
      <c r="AF749" s="36">
        <v>106000</v>
      </c>
      <c r="AG749" s="36"/>
      <c r="AH749" s="36"/>
      <c r="AI749" s="36"/>
      <c r="AJ749" s="36">
        <v>800000</v>
      </c>
      <c r="AK749" s="36"/>
      <c r="AL749" s="37">
        <f t="shared" si="81"/>
        <v>941000</v>
      </c>
      <c r="AM749" s="36"/>
      <c r="AN749" s="36"/>
      <c r="AO749" s="36"/>
      <c r="AP749" s="7"/>
      <c r="AQ749" s="38">
        <f t="shared" si="82"/>
        <v>12323803.509000003</v>
      </c>
      <c r="AR749" s="36"/>
      <c r="AS749" s="18">
        <f t="shared" si="83"/>
        <v>-12323803.509000003</v>
      </c>
    </row>
    <row r="750" spans="1:45" x14ac:dyDescent="0.25">
      <c r="A750" s="40">
        <v>46038</v>
      </c>
      <c r="B750" s="20">
        <v>1323.056</v>
      </c>
      <c r="C750" s="20">
        <v>1759.145</v>
      </c>
      <c r="D750" s="20">
        <v>5249</v>
      </c>
      <c r="E750" s="20">
        <v>4845</v>
      </c>
      <c r="F750" s="7">
        <f t="shared" si="77"/>
        <v>6944720.9440000001</v>
      </c>
      <c r="G750" s="7">
        <f t="shared" si="78"/>
        <v>8523057.5250000004</v>
      </c>
      <c r="H750" s="20">
        <v>48.5</v>
      </c>
      <c r="I750" s="20">
        <v>933000</v>
      </c>
      <c r="J750" s="20">
        <v>24.5</v>
      </c>
      <c r="K750" s="20">
        <v>211000</v>
      </c>
      <c r="L750" s="20">
        <v>92000</v>
      </c>
      <c r="M750" s="20"/>
      <c r="N750" s="20"/>
      <c r="O750" s="20"/>
      <c r="P750" s="20"/>
      <c r="Q750" s="19">
        <f t="shared" si="79"/>
        <v>16703778.469000001</v>
      </c>
      <c r="R750" s="20">
        <v>228352</v>
      </c>
      <c r="S750" s="20">
        <v>5793774</v>
      </c>
      <c r="T750" s="20"/>
      <c r="U750" s="20"/>
      <c r="V750" s="20"/>
      <c r="W750" s="20">
        <v>283560</v>
      </c>
      <c r="X750" s="20">
        <v>3673186</v>
      </c>
      <c r="Y750" s="8">
        <f t="shared" si="80"/>
        <v>6724906.4690000005</v>
      </c>
      <c r="Z750" s="36"/>
      <c r="AA750" s="36"/>
      <c r="AB750" s="36"/>
      <c r="AC750" s="36"/>
      <c r="AD750" s="36"/>
      <c r="AE750" s="36"/>
      <c r="AF750" s="36"/>
      <c r="AG750" s="36"/>
      <c r="AH750" s="36"/>
      <c r="AI750" s="36">
        <v>37000</v>
      </c>
      <c r="AJ750" s="36"/>
      <c r="AK750" s="36"/>
      <c r="AL750" s="37">
        <f t="shared" si="81"/>
        <v>37000</v>
      </c>
      <c r="AM750" s="36"/>
      <c r="AN750" s="36"/>
      <c r="AO750" s="36"/>
      <c r="AP750" s="7"/>
      <c r="AQ750" s="38">
        <f t="shared" si="82"/>
        <v>6687906.4690000005</v>
      </c>
      <c r="AR750" s="36"/>
      <c r="AS750" s="18">
        <f t="shared" si="83"/>
        <v>-6687906.4690000005</v>
      </c>
    </row>
    <row r="751" spans="1:45" x14ac:dyDescent="0.25">
      <c r="A751" s="40">
        <v>46039</v>
      </c>
      <c r="B751" s="20">
        <v>1362.6420000000001</v>
      </c>
      <c r="C751" s="20">
        <v>1610.4960000000001</v>
      </c>
      <c r="D751" s="20">
        <v>5249</v>
      </c>
      <c r="E751" s="20">
        <v>4845</v>
      </c>
      <c r="F751" s="7">
        <f t="shared" si="77"/>
        <v>7152507.858</v>
      </c>
      <c r="G751" s="7">
        <f t="shared" si="78"/>
        <v>7802853.1200000001</v>
      </c>
      <c r="H751" s="20">
        <v>135.25</v>
      </c>
      <c r="I751" s="20">
        <v>1000500</v>
      </c>
      <c r="J751" s="20">
        <v>18.5</v>
      </c>
      <c r="K751" s="20">
        <v>158000</v>
      </c>
      <c r="L751" s="20">
        <v>16000</v>
      </c>
      <c r="M751" s="20"/>
      <c r="N751" s="20"/>
      <c r="O751" s="20"/>
      <c r="P751" s="20"/>
      <c r="Q751" s="19">
        <f t="shared" si="79"/>
        <v>16129860.978</v>
      </c>
      <c r="R751" s="20">
        <v>0</v>
      </c>
      <c r="S751" s="20">
        <v>5296360</v>
      </c>
      <c r="T751" s="20"/>
      <c r="U751" s="20"/>
      <c r="V751" s="20"/>
      <c r="W751" s="20">
        <v>459365</v>
      </c>
      <c r="X751" s="20">
        <v>2256943</v>
      </c>
      <c r="Y751" s="8">
        <f t="shared" si="80"/>
        <v>8117192.9780000001</v>
      </c>
      <c r="Z751" s="36"/>
      <c r="AA751" s="36"/>
      <c r="AB751" s="36"/>
      <c r="AC751" s="36"/>
      <c r="AD751" s="36"/>
      <c r="AE751" s="36"/>
      <c r="AF751" s="36">
        <v>4000</v>
      </c>
      <c r="AG751" s="36"/>
      <c r="AH751" s="36"/>
      <c r="AI751" s="36"/>
      <c r="AJ751" s="36"/>
      <c r="AK751" s="36"/>
      <c r="AL751" s="37">
        <f t="shared" si="81"/>
        <v>4000</v>
      </c>
      <c r="AM751" s="36"/>
      <c r="AN751" s="36"/>
      <c r="AO751" s="36"/>
      <c r="AP751" s="7"/>
      <c r="AQ751" s="38">
        <f t="shared" si="82"/>
        <v>8113192.9780000001</v>
      </c>
      <c r="AR751" s="36"/>
      <c r="AS751" s="18">
        <f t="shared" si="83"/>
        <v>-8113192.9780000001</v>
      </c>
    </row>
    <row r="752" spans="1:45" x14ac:dyDescent="0.25">
      <c r="A752" s="40">
        <v>46040</v>
      </c>
      <c r="B752" s="20">
        <v>1946.231</v>
      </c>
      <c r="C752" s="20">
        <v>2833.5250000000001</v>
      </c>
      <c r="D752" s="20">
        <v>5249</v>
      </c>
      <c r="E752" s="20">
        <v>4845</v>
      </c>
      <c r="F752" s="7">
        <f t="shared" si="77"/>
        <v>10215766.518999999</v>
      </c>
      <c r="G752" s="7">
        <f t="shared" si="78"/>
        <v>13728428.625</v>
      </c>
      <c r="H752" s="20">
        <v>43.5</v>
      </c>
      <c r="I752" s="20">
        <v>2234500</v>
      </c>
      <c r="J752" s="20">
        <v>44</v>
      </c>
      <c r="K752" s="20">
        <v>506000</v>
      </c>
      <c r="L752" s="20">
        <v>94000</v>
      </c>
      <c r="M752" s="20"/>
      <c r="N752" s="20"/>
      <c r="O752" s="20"/>
      <c r="P752" s="20"/>
      <c r="Q752" s="19">
        <f t="shared" si="79"/>
        <v>26778695.144000001</v>
      </c>
      <c r="R752" s="20">
        <v>83984</v>
      </c>
      <c r="S752" s="20">
        <v>5843690</v>
      </c>
      <c r="T752" s="20"/>
      <c r="U752" s="20"/>
      <c r="V752" s="20"/>
      <c r="W752" s="20">
        <v>829880</v>
      </c>
      <c r="X752" s="20">
        <v>6875151</v>
      </c>
      <c r="Y752" s="8">
        <f t="shared" si="80"/>
        <v>13145990.144000001</v>
      </c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7">
        <f t="shared" si="81"/>
        <v>0</v>
      </c>
      <c r="AM752" s="36"/>
      <c r="AN752" s="36"/>
      <c r="AO752" s="36"/>
      <c r="AP752" s="7"/>
      <c r="AQ752" s="38">
        <f t="shared" si="82"/>
        <v>13145990.144000001</v>
      </c>
      <c r="AR752" s="36"/>
      <c r="AS752" s="18">
        <f t="shared" si="83"/>
        <v>-13145990.144000001</v>
      </c>
    </row>
    <row r="753" spans="1:45" x14ac:dyDescent="0.25">
      <c r="A753" s="40">
        <v>46041</v>
      </c>
      <c r="B753" s="20">
        <v>2307.777</v>
      </c>
      <c r="C753" s="20">
        <v>2658.0329999999999</v>
      </c>
      <c r="D753" s="20">
        <v>5249</v>
      </c>
      <c r="E753" s="20">
        <v>4845</v>
      </c>
      <c r="F753" s="7">
        <f t="shared" si="77"/>
        <v>12113521.472999999</v>
      </c>
      <c r="G753" s="7">
        <f t="shared" si="78"/>
        <v>12878169.885</v>
      </c>
      <c r="H753" s="20">
        <v>63.5</v>
      </c>
      <c r="I753" s="20">
        <v>1320500</v>
      </c>
      <c r="J753" s="20">
        <v>0</v>
      </c>
      <c r="K753" s="20">
        <v>0</v>
      </c>
      <c r="L753" s="20">
        <v>460000</v>
      </c>
      <c r="M753" s="20"/>
      <c r="N753" s="20">
        <v>900000</v>
      </c>
      <c r="O753" s="20">
        <v>145350</v>
      </c>
      <c r="P753" s="20"/>
      <c r="Q753" s="19">
        <f t="shared" si="79"/>
        <v>27817541.357999999</v>
      </c>
      <c r="R753" s="20">
        <v>2601785</v>
      </c>
      <c r="S753" s="20">
        <v>5083474</v>
      </c>
      <c r="T753" s="20"/>
      <c r="U753" s="20"/>
      <c r="V753" s="20"/>
      <c r="W753" s="20">
        <v>500200</v>
      </c>
      <c r="X753" s="20">
        <v>9196092</v>
      </c>
      <c r="Y753" s="8">
        <f t="shared" si="80"/>
        <v>10435990.357999999</v>
      </c>
      <c r="Z753" s="36"/>
      <c r="AA753" s="36"/>
      <c r="AB753" s="36"/>
      <c r="AC753" s="36">
        <v>19000</v>
      </c>
      <c r="AD753" s="36"/>
      <c r="AE753" s="36"/>
      <c r="AF753" s="36"/>
      <c r="AG753" s="36"/>
      <c r="AH753" s="36"/>
      <c r="AI753" s="36"/>
      <c r="AJ753" s="36"/>
      <c r="AK753" s="36"/>
      <c r="AL753" s="37">
        <f t="shared" si="81"/>
        <v>19000</v>
      </c>
      <c r="AM753" s="36">
        <v>400000</v>
      </c>
      <c r="AN753" s="36"/>
      <c r="AO753" s="36"/>
      <c r="AP753" s="7"/>
      <c r="AQ753" s="38">
        <f t="shared" si="82"/>
        <v>10016990.357999999</v>
      </c>
      <c r="AR753" s="36">
        <v>50288000</v>
      </c>
      <c r="AS753" s="18">
        <f t="shared" si="83"/>
        <v>40271009.642000005</v>
      </c>
    </row>
    <row r="754" spans="1:45" x14ac:dyDescent="0.25">
      <c r="A754" s="40">
        <v>46042</v>
      </c>
      <c r="B754" s="20">
        <v>3803.38</v>
      </c>
      <c r="C754" s="20">
        <v>4871.143</v>
      </c>
      <c r="D754" s="20">
        <v>5249</v>
      </c>
      <c r="E754" s="20">
        <v>4845</v>
      </c>
      <c r="F754" s="7">
        <f t="shared" si="77"/>
        <v>19963941.620000001</v>
      </c>
      <c r="G754" s="7">
        <f t="shared" si="78"/>
        <v>23600687.835000001</v>
      </c>
      <c r="H754" s="20">
        <v>42.5</v>
      </c>
      <c r="I754" s="20">
        <v>789000</v>
      </c>
      <c r="J754" s="20">
        <v>63.5</v>
      </c>
      <c r="K754" s="20">
        <v>557000</v>
      </c>
      <c r="L754" s="20">
        <v>54000</v>
      </c>
      <c r="M754" s="20"/>
      <c r="N754" s="20"/>
      <c r="O754" s="20">
        <v>2000000</v>
      </c>
      <c r="P754" s="20"/>
      <c r="Q754" s="19">
        <f t="shared" si="79"/>
        <v>46964629.454999998</v>
      </c>
      <c r="R754" s="20">
        <v>2011235</v>
      </c>
      <c r="S754" s="20">
        <v>17391088</v>
      </c>
      <c r="T754" s="20"/>
      <c r="U754" s="20"/>
      <c r="V754" s="20"/>
      <c r="W754" s="20">
        <v>200000</v>
      </c>
      <c r="X754" s="20">
        <v>8303690</v>
      </c>
      <c r="Y754" s="8">
        <f t="shared" si="80"/>
        <v>19058616.454999998</v>
      </c>
      <c r="Z754" s="36"/>
      <c r="AA754" s="36"/>
      <c r="AB754" s="36"/>
      <c r="AC754" s="36">
        <v>76000</v>
      </c>
      <c r="AD754" s="36"/>
      <c r="AE754" s="36"/>
      <c r="AF754" s="36">
        <v>3000</v>
      </c>
      <c r="AG754" s="36"/>
      <c r="AH754" s="36"/>
      <c r="AI754" s="36"/>
      <c r="AJ754" s="36"/>
      <c r="AK754" s="36"/>
      <c r="AL754" s="37">
        <f t="shared" si="81"/>
        <v>79000</v>
      </c>
      <c r="AM754" s="36"/>
      <c r="AN754" s="36"/>
      <c r="AO754" s="36"/>
      <c r="AP754" s="7"/>
      <c r="AQ754" s="38">
        <f t="shared" si="82"/>
        <v>18979616.454999998</v>
      </c>
      <c r="AR754" s="36">
        <v>18980000</v>
      </c>
      <c r="AS754" s="18">
        <f t="shared" si="83"/>
        <v>383.54500000178814</v>
      </c>
    </row>
    <row r="755" spans="1:45" x14ac:dyDescent="0.25">
      <c r="A755" s="40">
        <v>46043</v>
      </c>
      <c r="B755" s="20">
        <v>3366.37</v>
      </c>
      <c r="C755" s="20">
        <v>6268.598</v>
      </c>
      <c r="D755" s="20">
        <v>5249</v>
      </c>
      <c r="E755" s="20">
        <v>4845</v>
      </c>
      <c r="F755" s="7">
        <f t="shared" si="77"/>
        <v>17670076.129999999</v>
      </c>
      <c r="G755" s="7">
        <f t="shared" si="78"/>
        <v>30371357.309999999</v>
      </c>
      <c r="H755" s="20">
        <v>65</v>
      </c>
      <c r="I755" s="20">
        <v>1462000</v>
      </c>
      <c r="J755" s="20">
        <v>34</v>
      </c>
      <c r="K755" s="20">
        <v>291000</v>
      </c>
      <c r="L755" s="20">
        <v>139000</v>
      </c>
      <c r="M755" s="20"/>
      <c r="N755" s="20"/>
      <c r="O755" s="20">
        <v>2600000</v>
      </c>
      <c r="P755" s="20"/>
      <c r="Q755" s="19">
        <f t="shared" si="79"/>
        <v>52533433.439999998</v>
      </c>
      <c r="R755" s="20">
        <v>1395550</v>
      </c>
      <c r="S755" s="20">
        <v>23600733</v>
      </c>
      <c r="T755" s="20"/>
      <c r="U755" s="20"/>
      <c r="V755" s="20"/>
      <c r="W755" s="20">
        <v>474000</v>
      </c>
      <c r="X755" s="20">
        <v>7531779</v>
      </c>
      <c r="Y755" s="8">
        <f t="shared" si="80"/>
        <v>19531371.439999998</v>
      </c>
      <c r="Z755" s="36"/>
      <c r="AA755" s="36"/>
      <c r="AB755" s="36"/>
      <c r="AC755" s="36">
        <v>6000</v>
      </c>
      <c r="AD755" s="36"/>
      <c r="AE755" s="36"/>
      <c r="AF755" s="36">
        <v>53000</v>
      </c>
      <c r="AG755" s="36"/>
      <c r="AH755" s="36">
        <v>13000</v>
      </c>
      <c r="AI755" s="36"/>
      <c r="AJ755" s="36">
        <v>30000</v>
      </c>
      <c r="AK755" s="36"/>
      <c r="AL755" s="37">
        <f t="shared" si="81"/>
        <v>102000</v>
      </c>
      <c r="AM755" s="36"/>
      <c r="AN755" s="36"/>
      <c r="AO755" s="36"/>
      <c r="AP755" s="7"/>
      <c r="AQ755" s="38">
        <f t="shared" si="82"/>
        <v>19429371.439999998</v>
      </c>
      <c r="AR755" s="36">
        <v>19429500</v>
      </c>
      <c r="AS755" s="18">
        <f t="shared" si="83"/>
        <v>128.56000000238419</v>
      </c>
    </row>
    <row r="756" spans="1:45" x14ac:dyDescent="0.25">
      <c r="A756" s="40">
        <v>46044</v>
      </c>
      <c r="B756" s="20">
        <v>2795.326</v>
      </c>
      <c r="C756" s="20">
        <v>3151.2130000000002</v>
      </c>
      <c r="D756" s="20">
        <v>5249</v>
      </c>
      <c r="E756" s="20">
        <v>4845</v>
      </c>
      <c r="F756" s="7">
        <f t="shared" si="77"/>
        <v>14672666.174000001</v>
      </c>
      <c r="G756" s="7">
        <f t="shared" si="78"/>
        <v>15267626.985000001</v>
      </c>
      <c r="H756" s="20">
        <v>39</v>
      </c>
      <c r="I756" s="20">
        <v>679500</v>
      </c>
      <c r="J756" s="20">
        <v>125.5</v>
      </c>
      <c r="K756" s="20">
        <v>885000</v>
      </c>
      <c r="L756" s="20">
        <v>75000</v>
      </c>
      <c r="M756" s="20"/>
      <c r="N756" s="20">
        <v>150000</v>
      </c>
      <c r="O756" s="20">
        <v>450000</v>
      </c>
      <c r="P756" s="20"/>
      <c r="Q756" s="19">
        <f t="shared" si="79"/>
        <v>32179793.159000002</v>
      </c>
      <c r="R756" s="20">
        <v>754293</v>
      </c>
      <c r="S756" s="20">
        <v>9723560</v>
      </c>
      <c r="T756" s="20"/>
      <c r="U756" s="20"/>
      <c r="V756" s="20"/>
      <c r="W756" s="20">
        <v>420000</v>
      </c>
      <c r="X756" s="20">
        <v>12053616</v>
      </c>
      <c r="Y756" s="8">
        <f t="shared" si="80"/>
        <v>9228324.1590000018</v>
      </c>
      <c r="Z756" s="36"/>
      <c r="AA756" s="36"/>
      <c r="AB756" s="36"/>
      <c r="AC756" s="36">
        <v>8000</v>
      </c>
      <c r="AD756" s="36"/>
      <c r="AE756" s="36"/>
      <c r="AF756" s="36">
        <v>3000</v>
      </c>
      <c r="AG756" s="36"/>
      <c r="AH756" s="36"/>
      <c r="AI756" s="36"/>
      <c r="AJ756" s="36">
        <v>3150000</v>
      </c>
      <c r="AK756" s="36"/>
      <c r="AL756" s="37">
        <f t="shared" si="81"/>
        <v>3161000</v>
      </c>
      <c r="AM756" s="36"/>
      <c r="AN756" s="36"/>
      <c r="AO756" s="36"/>
      <c r="AP756" s="7"/>
      <c r="AQ756" s="38">
        <f t="shared" si="82"/>
        <v>6067324.1590000018</v>
      </c>
      <c r="AR756" s="36"/>
      <c r="AS756" s="18">
        <f t="shared" si="83"/>
        <v>-6067324.1590000018</v>
      </c>
    </row>
    <row r="757" spans="1:45" x14ac:dyDescent="0.25">
      <c r="A757" s="40">
        <v>46045</v>
      </c>
      <c r="B757" s="20">
        <v>2712.9070000000002</v>
      </c>
      <c r="C757" s="20">
        <v>2213.17</v>
      </c>
      <c r="D757" s="20">
        <v>5249</v>
      </c>
      <c r="E757" s="20">
        <v>4845</v>
      </c>
      <c r="F757" s="7">
        <f t="shared" si="77"/>
        <v>14240048.843</v>
      </c>
      <c r="G757" s="7">
        <f t="shared" si="78"/>
        <v>10722808.65</v>
      </c>
      <c r="H757" s="20">
        <v>69</v>
      </c>
      <c r="I757" s="20">
        <v>1606300</v>
      </c>
      <c r="J757" s="20">
        <v>80.5</v>
      </c>
      <c r="K757" s="20">
        <v>750000</v>
      </c>
      <c r="L757" s="20">
        <v>93000</v>
      </c>
      <c r="M757" s="20"/>
      <c r="N757" s="20"/>
      <c r="O757" s="20"/>
      <c r="P757" s="20"/>
      <c r="Q757" s="19">
        <f t="shared" si="79"/>
        <v>27412157.493000001</v>
      </c>
      <c r="R757" s="20">
        <v>1938163</v>
      </c>
      <c r="S757" s="20">
        <v>5972983</v>
      </c>
      <c r="T757" s="20"/>
      <c r="U757" s="20"/>
      <c r="V757" s="20"/>
      <c r="W757" s="20">
        <v>400000</v>
      </c>
      <c r="X757" s="20">
        <v>5876359</v>
      </c>
      <c r="Y757" s="8">
        <f t="shared" si="80"/>
        <v>13224652.493000001</v>
      </c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>
        <v>100000</v>
      </c>
      <c r="AK757" s="36"/>
      <c r="AL757" s="37">
        <f t="shared" si="81"/>
        <v>100000</v>
      </c>
      <c r="AM757" s="36"/>
      <c r="AN757" s="36"/>
      <c r="AO757" s="36"/>
      <c r="AP757" s="7"/>
      <c r="AQ757" s="38">
        <f t="shared" si="82"/>
        <v>13124652.493000001</v>
      </c>
      <c r="AR757" s="36"/>
      <c r="AS757" s="18">
        <f t="shared" si="83"/>
        <v>-13124652.493000001</v>
      </c>
    </row>
    <row r="758" spans="1:45" x14ac:dyDescent="0.25">
      <c r="A758" s="40">
        <v>46046</v>
      </c>
      <c r="B758" s="20">
        <v>2109.65</v>
      </c>
      <c r="C758" s="20">
        <v>4255.893</v>
      </c>
      <c r="D758" s="20">
        <v>5249</v>
      </c>
      <c r="E758" s="20">
        <v>4845</v>
      </c>
      <c r="F758" s="7">
        <f t="shared" si="77"/>
        <v>11073552.85</v>
      </c>
      <c r="G758" s="7">
        <f t="shared" si="78"/>
        <v>20619801.585000001</v>
      </c>
      <c r="H758" s="20">
        <v>39</v>
      </c>
      <c r="I758" s="20">
        <v>860000</v>
      </c>
      <c r="J758" s="20">
        <v>484.5</v>
      </c>
      <c r="K758" s="20">
        <v>3774000</v>
      </c>
      <c r="L758" s="20">
        <v>88000</v>
      </c>
      <c r="M758" s="20"/>
      <c r="N758" s="20"/>
      <c r="O758" s="20"/>
      <c r="P758" s="20"/>
      <c r="Q758" s="19">
        <f t="shared" si="79"/>
        <v>36415354.435000002</v>
      </c>
      <c r="R758" s="20">
        <v>646726</v>
      </c>
      <c r="S758" s="20">
        <v>15215218</v>
      </c>
      <c r="T758" s="20"/>
      <c r="U758" s="20"/>
      <c r="V758" s="20"/>
      <c r="W758" s="20">
        <v>360000</v>
      </c>
      <c r="X758" s="20">
        <v>6850498</v>
      </c>
      <c r="Y758" s="8">
        <f t="shared" si="80"/>
        <v>13342912.435000002</v>
      </c>
      <c r="Z758" s="36"/>
      <c r="AA758" s="36"/>
      <c r="AB758" s="36"/>
      <c r="AC758" s="36">
        <v>43000</v>
      </c>
      <c r="AD758" s="36"/>
      <c r="AE758" s="36"/>
      <c r="AF758" s="36"/>
      <c r="AG758" s="36"/>
      <c r="AH758" s="36">
        <v>19000</v>
      </c>
      <c r="AI758" s="36"/>
      <c r="AJ758" s="36"/>
      <c r="AK758" s="36"/>
      <c r="AL758" s="37">
        <f t="shared" si="81"/>
        <v>62000</v>
      </c>
      <c r="AM758" s="36"/>
      <c r="AN758" s="36"/>
      <c r="AO758" s="36"/>
      <c r="AP758" s="7"/>
      <c r="AQ758" s="38">
        <f t="shared" si="82"/>
        <v>13280912.435000002</v>
      </c>
      <c r="AR758" s="36"/>
      <c r="AS758" s="18">
        <f t="shared" si="83"/>
        <v>-13280912.435000002</v>
      </c>
    </row>
    <row r="759" spans="1:45" x14ac:dyDescent="0.25">
      <c r="A759" s="40">
        <v>46047</v>
      </c>
      <c r="B759" s="20">
        <v>2228.0479999999998</v>
      </c>
      <c r="C759" s="20">
        <v>2309.3200000000002</v>
      </c>
      <c r="D759" s="20">
        <v>5249</v>
      </c>
      <c r="E759" s="20">
        <v>4845</v>
      </c>
      <c r="F759" s="7">
        <f t="shared" si="77"/>
        <v>11695023.952</v>
      </c>
      <c r="G759" s="7">
        <f t="shared" si="78"/>
        <v>11188655.4</v>
      </c>
      <c r="H759" s="20">
        <v>152</v>
      </c>
      <c r="I759" s="20">
        <v>3221800</v>
      </c>
      <c r="J759" s="20">
        <v>87</v>
      </c>
      <c r="K759" s="20">
        <v>936000</v>
      </c>
      <c r="L759" s="20">
        <v>46000</v>
      </c>
      <c r="M759" s="20"/>
      <c r="N759" s="20"/>
      <c r="O759" s="20"/>
      <c r="P759" s="20"/>
      <c r="Q759" s="19">
        <f t="shared" si="79"/>
        <v>27087479.351999998</v>
      </c>
      <c r="R759" s="20">
        <v>880129</v>
      </c>
      <c r="S759" s="20">
        <v>4979250</v>
      </c>
      <c r="T759" s="20"/>
      <c r="U759" s="20"/>
      <c r="V759" s="20"/>
      <c r="W759" s="20">
        <v>593000</v>
      </c>
      <c r="X759" s="20">
        <v>5811296</v>
      </c>
      <c r="Y759" s="8">
        <f t="shared" si="80"/>
        <v>14823804.351999998</v>
      </c>
      <c r="Z759" s="36"/>
      <c r="AA759" s="36"/>
      <c r="AB759" s="36"/>
      <c r="AC759" s="36"/>
      <c r="AD759" s="36"/>
      <c r="AE759" s="36"/>
      <c r="AF759" s="36"/>
      <c r="AG759" s="36"/>
      <c r="AH759" s="36">
        <v>250000</v>
      </c>
      <c r="AI759" s="36"/>
      <c r="AJ759" s="36">
        <v>102000</v>
      </c>
      <c r="AK759" s="36"/>
      <c r="AL759" s="37">
        <f t="shared" si="81"/>
        <v>352000</v>
      </c>
      <c r="AM759" s="36"/>
      <c r="AN759" s="36"/>
      <c r="AO759" s="36"/>
      <c r="AP759" s="7"/>
      <c r="AQ759" s="38">
        <f t="shared" si="82"/>
        <v>14471804.351999998</v>
      </c>
      <c r="AR759" s="36"/>
      <c r="AS759" s="18">
        <f t="shared" si="83"/>
        <v>-14471804.351999998</v>
      </c>
    </row>
    <row r="760" spans="1:45" x14ac:dyDescent="0.25">
      <c r="A760" s="40">
        <v>46048</v>
      </c>
      <c r="B760" s="20">
        <v>1750.4449999999999</v>
      </c>
      <c r="C760" s="20">
        <v>3036.7869999999998</v>
      </c>
      <c r="D760" s="20">
        <v>5249</v>
      </c>
      <c r="E760" s="20">
        <v>4845</v>
      </c>
      <c r="F760" s="7">
        <f t="shared" si="77"/>
        <v>9188085.8049999997</v>
      </c>
      <c r="G760" s="7">
        <f t="shared" si="78"/>
        <v>14713233.014999999</v>
      </c>
      <c r="H760" s="20">
        <v>28</v>
      </c>
      <c r="I760" s="20">
        <v>725000</v>
      </c>
      <c r="J760" s="20">
        <v>38</v>
      </c>
      <c r="K760" s="20">
        <v>230000</v>
      </c>
      <c r="L760" s="20">
        <v>0</v>
      </c>
      <c r="M760" s="20"/>
      <c r="N760" s="20">
        <v>1200000</v>
      </c>
      <c r="O760" s="20"/>
      <c r="P760" s="20"/>
      <c r="Q760" s="19">
        <f t="shared" si="79"/>
        <v>26056318.82</v>
      </c>
      <c r="R760" s="20">
        <v>427579</v>
      </c>
      <c r="S760" s="20">
        <v>16264360</v>
      </c>
      <c r="T760" s="20"/>
      <c r="U760" s="20"/>
      <c r="V760" s="20"/>
      <c r="W760" s="20">
        <v>110000</v>
      </c>
      <c r="X760" s="20">
        <v>3730229</v>
      </c>
      <c r="Y760" s="8">
        <f t="shared" si="80"/>
        <v>5524150.8200000003</v>
      </c>
      <c r="Z760" s="36"/>
      <c r="AA760" s="36"/>
      <c r="AB760" s="36"/>
      <c r="AC760" s="36"/>
      <c r="AD760" s="36"/>
      <c r="AE760" s="36"/>
      <c r="AF760" s="36"/>
      <c r="AG760" s="36"/>
      <c r="AH760" s="36">
        <v>35000</v>
      </c>
      <c r="AI760" s="36"/>
      <c r="AJ760" s="36">
        <v>300000</v>
      </c>
      <c r="AK760" s="36"/>
      <c r="AL760" s="37">
        <f t="shared" si="81"/>
        <v>335000</v>
      </c>
      <c r="AM760" s="36"/>
      <c r="AN760" s="36"/>
      <c r="AO760" s="36"/>
      <c r="AP760" s="7"/>
      <c r="AQ760" s="38">
        <f t="shared" si="82"/>
        <v>5189150.82</v>
      </c>
      <c r="AR760" s="36"/>
      <c r="AS760" s="18">
        <f t="shared" si="83"/>
        <v>-5189150.82</v>
      </c>
    </row>
    <row r="761" spans="1:45" x14ac:dyDescent="0.25">
      <c r="A761" s="40">
        <v>46049</v>
      </c>
      <c r="B761" s="20">
        <v>2682.672</v>
      </c>
      <c r="C761" s="20">
        <v>5992.6080000000002</v>
      </c>
      <c r="D761" s="20">
        <v>5249</v>
      </c>
      <c r="E761" s="20">
        <v>4845</v>
      </c>
      <c r="F761" s="7">
        <f t="shared" si="77"/>
        <v>14081345.328</v>
      </c>
      <c r="G761" s="7">
        <f t="shared" si="78"/>
        <v>29034185.760000002</v>
      </c>
      <c r="H761" s="20">
        <v>46</v>
      </c>
      <c r="I761" s="20">
        <v>986500</v>
      </c>
      <c r="J761" s="20">
        <v>90</v>
      </c>
      <c r="K761" s="20">
        <v>755000</v>
      </c>
      <c r="L761" s="20">
        <v>50000</v>
      </c>
      <c r="M761" s="20"/>
      <c r="N761" s="20"/>
      <c r="O761" s="20"/>
      <c r="P761" s="20"/>
      <c r="Q761" s="19">
        <f t="shared" si="79"/>
        <v>44907031.088</v>
      </c>
      <c r="R761" s="20">
        <v>951458</v>
      </c>
      <c r="S761" s="20">
        <v>29484413</v>
      </c>
      <c r="T761" s="20"/>
      <c r="U761" s="20"/>
      <c r="V761" s="20"/>
      <c r="W761" s="20">
        <v>113000</v>
      </c>
      <c r="X761" s="20">
        <v>3908045</v>
      </c>
      <c r="Y761" s="8">
        <f t="shared" si="80"/>
        <v>10450115.088</v>
      </c>
      <c r="Z761" s="36"/>
      <c r="AA761" s="36"/>
      <c r="AB761" s="36"/>
      <c r="AC761" s="36"/>
      <c r="AD761" s="36"/>
      <c r="AE761" s="36"/>
      <c r="AF761" s="36">
        <v>122000</v>
      </c>
      <c r="AG761" s="36"/>
      <c r="AH761" s="36"/>
      <c r="AI761" s="36"/>
      <c r="AJ761" s="36"/>
      <c r="AK761" s="36"/>
      <c r="AL761" s="37">
        <f t="shared" si="81"/>
        <v>122000</v>
      </c>
      <c r="AM761" s="36"/>
      <c r="AN761" s="36"/>
      <c r="AO761" s="36"/>
      <c r="AP761" s="7"/>
      <c r="AQ761" s="38">
        <f t="shared" si="82"/>
        <v>10328115.088</v>
      </c>
      <c r="AR761" s="36">
        <v>32461300</v>
      </c>
      <c r="AS761" s="18">
        <f t="shared" si="83"/>
        <v>22133184.912</v>
      </c>
    </row>
    <row r="762" spans="1:45" x14ac:dyDescent="0.25">
      <c r="A762" s="40">
        <v>46050</v>
      </c>
      <c r="B762" s="20">
        <v>2564.0390000000002</v>
      </c>
      <c r="C762" s="20">
        <v>3737.569</v>
      </c>
      <c r="D762" s="20">
        <v>5249</v>
      </c>
      <c r="E762" s="20">
        <v>4845</v>
      </c>
      <c r="F762" s="7">
        <f t="shared" si="77"/>
        <v>13458640.711000001</v>
      </c>
      <c r="G762" s="7">
        <f t="shared" si="78"/>
        <v>18108521.805</v>
      </c>
      <c r="H762" s="20">
        <v>5</v>
      </c>
      <c r="I762" s="20">
        <v>117000</v>
      </c>
      <c r="J762" s="20">
        <v>39</v>
      </c>
      <c r="K762" s="20">
        <v>448000</v>
      </c>
      <c r="L762" s="20">
        <v>25000</v>
      </c>
      <c r="M762" s="20"/>
      <c r="N762" s="20"/>
      <c r="O762" s="20">
        <v>250000</v>
      </c>
      <c r="P762" s="20">
        <v>20000</v>
      </c>
      <c r="Q762" s="19">
        <f t="shared" si="79"/>
        <v>32427162.516000003</v>
      </c>
      <c r="R762" s="20">
        <v>1425664</v>
      </c>
      <c r="S762" s="20">
        <v>10357479</v>
      </c>
      <c r="T762" s="20"/>
      <c r="U762" s="20"/>
      <c r="V762" s="20"/>
      <c r="W762" s="20">
        <v>111000</v>
      </c>
      <c r="X762" s="20">
        <v>14493929</v>
      </c>
      <c r="Y762" s="8">
        <f t="shared" si="80"/>
        <v>6039090.5160000026</v>
      </c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7">
        <f t="shared" si="81"/>
        <v>0</v>
      </c>
      <c r="AM762" s="36"/>
      <c r="AN762" s="36"/>
      <c r="AO762" s="36"/>
      <c r="AP762" s="7"/>
      <c r="AQ762" s="38">
        <f t="shared" si="82"/>
        <v>6039090.5160000026</v>
      </c>
      <c r="AR762" s="36">
        <v>6039100</v>
      </c>
      <c r="AS762" s="18">
        <f t="shared" si="83"/>
        <v>9.4839999973773956</v>
      </c>
    </row>
    <row r="763" spans="1:45" x14ac:dyDescent="0.25">
      <c r="A763" s="40">
        <v>46051</v>
      </c>
      <c r="B763" s="20">
        <v>2312.4810000000002</v>
      </c>
      <c r="C763" s="20">
        <v>6504.94</v>
      </c>
      <c r="D763" s="20">
        <v>5249</v>
      </c>
      <c r="E763" s="20">
        <v>4845</v>
      </c>
      <c r="F763" s="7">
        <f t="shared" si="77"/>
        <v>12138212.769000001</v>
      </c>
      <c r="G763" s="7">
        <f t="shared" si="78"/>
        <v>31516434.299999997</v>
      </c>
      <c r="H763" s="20">
        <v>61.5</v>
      </c>
      <c r="I763" s="20">
        <v>1336500</v>
      </c>
      <c r="J763" s="20">
        <v>75</v>
      </c>
      <c r="K763" s="20">
        <v>844000</v>
      </c>
      <c r="L763" s="20">
        <v>15000</v>
      </c>
      <c r="M763" s="20"/>
      <c r="N763" s="20"/>
      <c r="O763" s="20">
        <v>12156500</v>
      </c>
      <c r="P763" s="20"/>
      <c r="Q763" s="19">
        <f t="shared" si="79"/>
        <v>58006647.068999998</v>
      </c>
      <c r="R763" s="20">
        <v>1737822</v>
      </c>
      <c r="S763" s="20">
        <v>30258289</v>
      </c>
      <c r="T763" s="20"/>
      <c r="U763" s="20"/>
      <c r="V763" s="20"/>
      <c r="W763" s="20">
        <v>499000</v>
      </c>
      <c r="X763" s="20">
        <v>4619196</v>
      </c>
      <c r="Y763" s="8">
        <f t="shared" si="80"/>
        <v>20892340.068999998</v>
      </c>
      <c r="Z763" s="36"/>
      <c r="AA763" s="36"/>
      <c r="AB763" s="36"/>
      <c r="AC763" s="36"/>
      <c r="AD763" s="36"/>
      <c r="AE763" s="36"/>
      <c r="AF763" s="36">
        <v>6000</v>
      </c>
      <c r="AG763" s="36"/>
      <c r="AH763" s="36">
        <v>14500</v>
      </c>
      <c r="AI763" s="36"/>
      <c r="AJ763" s="36">
        <v>1500000</v>
      </c>
      <c r="AK763" s="36"/>
      <c r="AL763" s="37">
        <f t="shared" si="81"/>
        <v>1520500</v>
      </c>
      <c r="AM763" s="36"/>
      <c r="AN763" s="36"/>
      <c r="AO763" s="36"/>
      <c r="AP763" s="7"/>
      <c r="AQ763" s="38">
        <f t="shared" si="82"/>
        <v>19371840.068999998</v>
      </c>
      <c r="AR763" s="36">
        <v>19372000</v>
      </c>
      <c r="AS763" s="18">
        <f t="shared" si="83"/>
        <v>159.93100000172853</v>
      </c>
    </row>
    <row r="764" spans="1:45" x14ac:dyDescent="0.25">
      <c r="A764" s="40">
        <v>46052</v>
      </c>
      <c r="B764" s="20">
        <v>1775.6969999999999</v>
      </c>
      <c r="C764" s="20">
        <v>3871.63</v>
      </c>
      <c r="D764" s="20">
        <v>5249</v>
      </c>
      <c r="E764" s="20">
        <v>4845</v>
      </c>
      <c r="F764" s="7">
        <f t="shared" si="77"/>
        <v>9320633.5529999994</v>
      </c>
      <c r="G764" s="7">
        <f t="shared" si="78"/>
        <v>18758047.350000001</v>
      </c>
      <c r="H764" s="20">
        <v>53</v>
      </c>
      <c r="I764" s="20">
        <v>1057000</v>
      </c>
      <c r="J764" s="20">
        <v>39.5</v>
      </c>
      <c r="K764" s="20">
        <v>445000</v>
      </c>
      <c r="L764" s="20">
        <v>24000</v>
      </c>
      <c r="M764" s="20">
        <v>100000</v>
      </c>
      <c r="N764" s="20">
        <v>450000</v>
      </c>
      <c r="O764" s="20"/>
      <c r="P764" s="20"/>
      <c r="Q764" s="19">
        <f t="shared" si="79"/>
        <v>30154680.903000001</v>
      </c>
      <c r="R764" s="20">
        <v>382053</v>
      </c>
      <c r="S764" s="20">
        <v>13361068</v>
      </c>
      <c r="T764" s="20"/>
      <c r="U764" s="20"/>
      <c r="V764" s="20"/>
      <c r="W764" s="20">
        <v>732500</v>
      </c>
      <c r="X764" s="20">
        <v>4496143</v>
      </c>
      <c r="Y764" s="8">
        <f t="shared" si="80"/>
        <v>11182916.903000001</v>
      </c>
      <c r="Z764" s="36"/>
      <c r="AA764" s="36"/>
      <c r="AB764" s="36"/>
      <c r="AC764" s="36">
        <v>6000</v>
      </c>
      <c r="AD764" s="36">
        <v>96900</v>
      </c>
      <c r="AE764" s="36"/>
      <c r="AF764" s="36">
        <v>3000</v>
      </c>
      <c r="AG764" s="36"/>
      <c r="AH764" s="36">
        <v>30000</v>
      </c>
      <c r="AI764" s="36">
        <v>27000</v>
      </c>
      <c r="AJ764" s="36"/>
      <c r="AK764" s="36"/>
      <c r="AL764" s="37">
        <f t="shared" si="81"/>
        <v>162900</v>
      </c>
      <c r="AM764" s="36"/>
      <c r="AN764" s="36"/>
      <c r="AO764" s="36"/>
      <c r="AP764" s="7"/>
      <c r="AQ764" s="38">
        <f t="shared" si="82"/>
        <v>11020016.903000001</v>
      </c>
      <c r="AR764" s="36">
        <v>11020000</v>
      </c>
      <c r="AS764" s="18">
        <f t="shared" si="83"/>
        <v>-16.903000000864267</v>
      </c>
    </row>
    <row r="765" spans="1:45" x14ac:dyDescent="0.25">
      <c r="A765" s="40">
        <v>46053</v>
      </c>
      <c r="B765" s="20">
        <v>2372.4639999999999</v>
      </c>
      <c r="C765" s="20">
        <v>3428.46</v>
      </c>
      <c r="D765" s="20">
        <v>5249</v>
      </c>
      <c r="E765" s="20">
        <v>4845</v>
      </c>
      <c r="F765" s="7">
        <f t="shared" si="77"/>
        <v>12453063.536</v>
      </c>
      <c r="G765" s="7">
        <f t="shared" si="78"/>
        <v>16610888.699999999</v>
      </c>
      <c r="H765" s="20">
        <v>48</v>
      </c>
      <c r="I765" s="20">
        <v>1070300</v>
      </c>
      <c r="J765" s="20">
        <v>58.5</v>
      </c>
      <c r="K765" s="20">
        <v>555000</v>
      </c>
      <c r="L765" s="20">
        <v>101000</v>
      </c>
      <c r="M765" s="20"/>
      <c r="N765" s="20"/>
      <c r="O765" s="20">
        <v>140000</v>
      </c>
      <c r="P765" s="20"/>
      <c r="Q765" s="19">
        <f t="shared" si="79"/>
        <v>30930252.236000001</v>
      </c>
      <c r="R765" s="20">
        <v>800179</v>
      </c>
      <c r="S765" s="20">
        <v>11896351</v>
      </c>
      <c r="T765" s="20"/>
      <c r="U765" s="20"/>
      <c r="V765" s="20"/>
      <c r="W765" s="20">
        <v>575042</v>
      </c>
      <c r="X765" s="20">
        <v>9440745</v>
      </c>
      <c r="Y765" s="8">
        <f t="shared" si="80"/>
        <v>8217935.2360000014</v>
      </c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7">
        <f t="shared" si="81"/>
        <v>0</v>
      </c>
      <c r="AM765" s="36"/>
      <c r="AN765" s="36"/>
      <c r="AO765" s="36"/>
      <c r="AP765" s="7"/>
      <c r="AQ765" s="38">
        <f t="shared" si="82"/>
        <v>8217935.2360000014</v>
      </c>
      <c r="AR765" s="36">
        <v>13268000</v>
      </c>
      <c r="AS765" s="18">
        <f t="shared" si="83"/>
        <v>5050064.7639999986</v>
      </c>
    </row>
    <row r="766" spans="1:45" x14ac:dyDescent="0.25">
      <c r="A766" s="40">
        <v>46054</v>
      </c>
      <c r="B766" s="20">
        <v>2226.4369999999999</v>
      </c>
      <c r="C766" s="20">
        <v>3359.2260000000001</v>
      </c>
      <c r="D766" s="20">
        <v>5249</v>
      </c>
      <c r="E766" s="20">
        <v>4845</v>
      </c>
      <c r="F766" s="7">
        <f t="shared" si="77"/>
        <v>11686567.812999999</v>
      </c>
      <c r="G766" s="7">
        <f t="shared" si="78"/>
        <v>16275449.970000001</v>
      </c>
      <c r="H766" s="20">
        <v>51</v>
      </c>
      <c r="I766" s="20">
        <v>1158000</v>
      </c>
      <c r="J766" s="20">
        <v>52</v>
      </c>
      <c r="K766" s="20">
        <v>523000</v>
      </c>
      <c r="L766" s="20">
        <v>183000</v>
      </c>
      <c r="M766" s="20"/>
      <c r="N766" s="20"/>
      <c r="O766" s="20"/>
      <c r="P766" s="20"/>
      <c r="Q766" s="19">
        <f t="shared" si="79"/>
        <v>29826017.783</v>
      </c>
      <c r="R766" s="20">
        <v>144317</v>
      </c>
      <c r="S766" s="20">
        <v>12523063</v>
      </c>
      <c r="T766" s="20"/>
      <c r="U766" s="20"/>
      <c r="V766" s="20"/>
      <c r="W766" s="20">
        <v>432500</v>
      </c>
      <c r="X766" s="20">
        <v>2784402</v>
      </c>
      <c r="Y766" s="8">
        <f t="shared" si="80"/>
        <v>13941735.783</v>
      </c>
      <c r="Z766" s="36"/>
      <c r="AA766" s="36"/>
      <c r="AB766" s="36"/>
      <c r="AC766" s="36"/>
      <c r="AD766" s="36"/>
      <c r="AE766" s="36"/>
      <c r="AF766" s="36">
        <v>100000</v>
      </c>
      <c r="AG766" s="36"/>
      <c r="AH766" s="36"/>
      <c r="AI766" s="36"/>
      <c r="AJ766" s="36">
        <v>1500000</v>
      </c>
      <c r="AK766" s="36"/>
      <c r="AL766" s="37">
        <f t="shared" si="81"/>
        <v>1600000</v>
      </c>
      <c r="AM766" s="36"/>
      <c r="AN766" s="36"/>
      <c r="AO766" s="36"/>
      <c r="AP766" s="7"/>
      <c r="AQ766" s="38">
        <f t="shared" si="82"/>
        <v>12341735.783</v>
      </c>
      <c r="AR766" s="36"/>
      <c r="AS766" s="18">
        <f t="shared" si="83"/>
        <v>-12341735.783</v>
      </c>
    </row>
    <row r="767" spans="1:45" x14ac:dyDescent="0.25">
      <c r="A767" s="40">
        <v>46055</v>
      </c>
      <c r="B767" s="20">
        <v>1682.319</v>
      </c>
      <c r="C767" s="20">
        <v>3904.9830000000002</v>
      </c>
      <c r="D767" s="20">
        <v>5299</v>
      </c>
      <c r="E767" s="20">
        <v>4845</v>
      </c>
      <c r="F767" s="7">
        <f t="shared" si="77"/>
        <v>8914608.3809999991</v>
      </c>
      <c r="G767" s="7">
        <f t="shared" si="78"/>
        <v>18919642.635000002</v>
      </c>
      <c r="H767" s="20">
        <v>78.5</v>
      </c>
      <c r="I767" s="20">
        <v>1684500</v>
      </c>
      <c r="J767" s="20">
        <v>36</v>
      </c>
      <c r="K767" s="20">
        <v>420000</v>
      </c>
      <c r="L767" s="20">
        <v>111000</v>
      </c>
      <c r="M767" s="20"/>
      <c r="N767" s="20"/>
      <c r="O767" s="20">
        <v>837700</v>
      </c>
      <c r="P767" s="20">
        <v>40000</v>
      </c>
      <c r="Q767" s="19">
        <f t="shared" si="79"/>
        <v>30927451.016000003</v>
      </c>
      <c r="R767" s="20">
        <v>440938</v>
      </c>
      <c r="S767" s="20">
        <v>18283199</v>
      </c>
      <c r="T767" s="20"/>
      <c r="U767" s="20"/>
      <c r="V767" s="20"/>
      <c r="W767" s="20">
        <v>446000</v>
      </c>
      <c r="X767" s="20">
        <v>3786065</v>
      </c>
      <c r="Y767" s="8">
        <f t="shared" si="80"/>
        <v>7971249.0160000026</v>
      </c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>
        <v>1700000</v>
      </c>
      <c r="AK767" s="36"/>
      <c r="AL767" s="37">
        <f t="shared" si="81"/>
        <v>1700000</v>
      </c>
      <c r="AM767" s="36"/>
      <c r="AN767" s="36"/>
      <c r="AO767" s="36"/>
      <c r="AP767" s="7"/>
      <c r="AQ767" s="38">
        <f t="shared" si="82"/>
        <v>6271249.0160000026</v>
      </c>
      <c r="AR767" s="36">
        <v>16562400</v>
      </c>
      <c r="AS767" s="18">
        <f t="shared" si="83"/>
        <v>10291150.983999997</v>
      </c>
    </row>
    <row r="768" spans="1:45" x14ac:dyDescent="0.25">
      <c r="A768" s="40">
        <v>46056</v>
      </c>
      <c r="B768" s="20">
        <v>2201.1010000000001</v>
      </c>
      <c r="C768" s="20">
        <v>5210.1859999999997</v>
      </c>
      <c r="D768" s="20">
        <v>5299</v>
      </c>
      <c r="E768" s="20">
        <v>4845</v>
      </c>
      <c r="F768" s="7">
        <f t="shared" si="77"/>
        <v>11663634.199000001</v>
      </c>
      <c r="G768" s="7">
        <f t="shared" si="78"/>
        <v>25243351.169999998</v>
      </c>
      <c r="H768" s="20">
        <v>43</v>
      </c>
      <c r="I768" s="20">
        <v>1362500</v>
      </c>
      <c r="J768" s="20">
        <v>34</v>
      </c>
      <c r="K768" s="20">
        <v>315000</v>
      </c>
      <c r="L768" s="20">
        <v>126000</v>
      </c>
      <c r="M768" s="20"/>
      <c r="N768" s="20"/>
      <c r="O768" s="20">
        <v>900000</v>
      </c>
      <c r="P768" s="20"/>
      <c r="Q768" s="19">
        <f t="shared" si="79"/>
        <v>39610485.369000003</v>
      </c>
      <c r="R768" s="20">
        <v>2144132</v>
      </c>
      <c r="S768" s="20">
        <v>12167597</v>
      </c>
      <c r="T768" s="20"/>
      <c r="U768" s="20"/>
      <c r="V768" s="20"/>
      <c r="W768" s="20">
        <v>320000</v>
      </c>
      <c r="X768" s="20">
        <v>16978908</v>
      </c>
      <c r="Y768" s="8">
        <f t="shared" si="80"/>
        <v>7999848.3690000027</v>
      </c>
      <c r="Z768" s="36"/>
      <c r="AA768" s="36"/>
      <c r="AB768" s="36"/>
      <c r="AC768" s="36"/>
      <c r="AD768" s="36"/>
      <c r="AE768" s="36"/>
      <c r="AF768" s="36">
        <v>3000</v>
      </c>
      <c r="AG768" s="36"/>
      <c r="AH768" s="36">
        <v>114500</v>
      </c>
      <c r="AI768" s="36"/>
      <c r="AJ768" s="36"/>
      <c r="AK768" s="36"/>
      <c r="AL768" s="37">
        <f t="shared" si="81"/>
        <v>117500</v>
      </c>
      <c r="AM768" s="36"/>
      <c r="AN768" s="36"/>
      <c r="AO768" s="36"/>
      <c r="AP768" s="7"/>
      <c r="AQ768" s="38">
        <f t="shared" si="82"/>
        <v>7882348.3690000027</v>
      </c>
      <c r="AR768" s="36"/>
      <c r="AS768" s="18">
        <f t="shared" si="83"/>
        <v>-7882348.3690000027</v>
      </c>
    </row>
    <row r="769" spans="1:45" x14ac:dyDescent="0.25">
      <c r="A769" s="40">
        <v>46057</v>
      </c>
      <c r="B769" s="20">
        <v>2736.4949999999999</v>
      </c>
      <c r="C769" s="20">
        <v>4171.8789999999999</v>
      </c>
      <c r="D769" s="20">
        <v>5299</v>
      </c>
      <c r="E769" s="20">
        <v>4845</v>
      </c>
      <c r="F769" s="7">
        <f t="shared" si="77"/>
        <v>14500687.004999999</v>
      </c>
      <c r="G769" s="7">
        <f t="shared" si="78"/>
        <v>20212753.754999999</v>
      </c>
      <c r="H769" s="20">
        <v>88</v>
      </c>
      <c r="I769" s="20">
        <v>1789000</v>
      </c>
      <c r="J769" s="20">
        <v>24.5</v>
      </c>
      <c r="K769" s="20">
        <v>211000</v>
      </c>
      <c r="L769" s="20">
        <v>60000</v>
      </c>
      <c r="M769" s="20"/>
      <c r="N769" s="20"/>
      <c r="O769" s="20"/>
      <c r="P769" s="20"/>
      <c r="Q769" s="19">
        <f t="shared" si="79"/>
        <v>36773440.759999998</v>
      </c>
      <c r="R769" s="20">
        <v>945000</v>
      </c>
      <c r="S769" s="20">
        <v>13863942</v>
      </c>
      <c r="T769" s="20"/>
      <c r="U769" s="20"/>
      <c r="V769" s="20"/>
      <c r="W769" s="20">
        <v>447000</v>
      </c>
      <c r="X769" s="20"/>
      <c r="Y769" s="8">
        <f t="shared" si="80"/>
        <v>21517498.759999998</v>
      </c>
      <c r="Z769" s="36"/>
      <c r="AA769" s="36"/>
      <c r="AB769" s="36"/>
      <c r="AC769" s="36"/>
      <c r="AD769" s="36"/>
      <c r="AE769" s="36"/>
      <c r="AF769" s="36">
        <v>9000</v>
      </c>
      <c r="AG769" s="36">
        <v>2760000</v>
      </c>
      <c r="AH769" s="36"/>
      <c r="AI769" s="36"/>
      <c r="AJ769" s="36"/>
      <c r="AK769" s="36"/>
      <c r="AL769" s="37">
        <f t="shared" si="81"/>
        <v>2769000</v>
      </c>
      <c r="AM769" s="36"/>
      <c r="AN769" s="36"/>
      <c r="AO769" s="36"/>
      <c r="AP769" s="7"/>
      <c r="AQ769" s="38">
        <f t="shared" si="82"/>
        <v>18748498.759999998</v>
      </c>
      <c r="AR769" s="36"/>
      <c r="AS769" s="18">
        <f t="shared" si="83"/>
        <v>-18748498.759999998</v>
      </c>
    </row>
    <row r="770" spans="1:45" x14ac:dyDescent="0.25">
      <c r="A770" s="40">
        <v>46058</v>
      </c>
      <c r="B770" s="20">
        <v>2779.884</v>
      </c>
      <c r="C770" s="20">
        <v>6592.5069999999996</v>
      </c>
      <c r="D770" s="20">
        <v>5299</v>
      </c>
      <c r="E770" s="20">
        <v>4845</v>
      </c>
      <c r="F770" s="7">
        <f t="shared" si="77"/>
        <v>14730605.316</v>
      </c>
      <c r="G770" s="7">
        <f t="shared" si="78"/>
        <v>31940696.414999999</v>
      </c>
      <c r="H770" s="20">
        <v>55.5</v>
      </c>
      <c r="I770" s="20">
        <v>1147500</v>
      </c>
      <c r="J770" s="20">
        <v>66.5</v>
      </c>
      <c r="K770" s="20">
        <v>720000</v>
      </c>
      <c r="L770" s="20">
        <v>81000</v>
      </c>
      <c r="M770" s="20"/>
      <c r="N770" s="20"/>
      <c r="O770" s="20"/>
      <c r="P770" s="20"/>
      <c r="Q770" s="19">
        <f t="shared" si="79"/>
        <v>48619801.730999999</v>
      </c>
      <c r="R770" s="20">
        <v>2170042</v>
      </c>
      <c r="S770" s="20">
        <v>15961743</v>
      </c>
      <c r="T770" s="20"/>
      <c r="U770" s="20"/>
      <c r="V770" s="20"/>
      <c r="W770" s="20">
        <v>190000</v>
      </c>
      <c r="X770" s="20"/>
      <c r="Y770" s="8">
        <f t="shared" si="80"/>
        <v>30298016.730999999</v>
      </c>
      <c r="Z770" s="36"/>
      <c r="AA770" s="36"/>
      <c r="AB770" s="36"/>
      <c r="AC770" s="36">
        <v>63000</v>
      </c>
      <c r="AD770" s="36">
        <v>96900</v>
      </c>
      <c r="AE770" s="36"/>
      <c r="AF770" s="36">
        <v>13000</v>
      </c>
      <c r="AG770" s="36"/>
      <c r="AH770" s="36"/>
      <c r="AI770" s="36"/>
      <c r="AJ770" s="36">
        <v>1900000</v>
      </c>
      <c r="AK770" s="36"/>
      <c r="AL770" s="37">
        <f t="shared" si="81"/>
        <v>2072900</v>
      </c>
      <c r="AM770" s="36"/>
      <c r="AN770" s="36"/>
      <c r="AO770" s="36"/>
      <c r="AP770" s="7"/>
      <c r="AQ770" s="38">
        <f t="shared" si="82"/>
        <v>28225116.730999999</v>
      </c>
      <c r="AR770" s="36"/>
      <c r="AS770" s="18">
        <f t="shared" si="83"/>
        <v>-28225116.730999999</v>
      </c>
    </row>
    <row r="771" spans="1:45" x14ac:dyDescent="0.25">
      <c r="A771" s="40">
        <v>46059</v>
      </c>
      <c r="B771" s="20">
        <v>1694.4269999999999</v>
      </c>
      <c r="C771" s="20">
        <v>1403.876</v>
      </c>
      <c r="D771" s="20">
        <v>5299</v>
      </c>
      <c r="E771" s="20">
        <v>4845</v>
      </c>
      <c r="F771" s="7">
        <f t="shared" si="77"/>
        <v>8978768.6730000004</v>
      </c>
      <c r="G771" s="7">
        <f t="shared" si="78"/>
        <v>6801779.2199999997</v>
      </c>
      <c r="H771" s="20">
        <v>69.5</v>
      </c>
      <c r="I771" s="20">
        <v>1486500</v>
      </c>
      <c r="J771" s="20">
        <v>74</v>
      </c>
      <c r="K771" s="20">
        <v>632000</v>
      </c>
      <c r="L771" s="20">
        <v>61000</v>
      </c>
      <c r="M771" s="20"/>
      <c r="N771" s="20"/>
      <c r="O771" s="20"/>
      <c r="P771" s="20"/>
      <c r="Q771" s="19">
        <f t="shared" si="79"/>
        <v>17960047.892999999</v>
      </c>
      <c r="R771" s="20">
        <v>530057</v>
      </c>
      <c r="S771" s="20">
        <v>4908921</v>
      </c>
      <c r="T771" s="20"/>
      <c r="U771" s="20"/>
      <c r="V771" s="20"/>
      <c r="W771" s="20"/>
      <c r="X771" s="20"/>
      <c r="Y771" s="8">
        <f t="shared" si="80"/>
        <v>12521069.892999999</v>
      </c>
      <c r="Z771" s="36"/>
      <c r="AA771" s="36"/>
      <c r="AB771" s="36"/>
      <c r="AC771" s="36"/>
      <c r="AD771" s="36"/>
      <c r="AE771" s="36">
        <v>1252000</v>
      </c>
      <c r="AF771" s="36"/>
      <c r="AG771" s="36"/>
      <c r="AH771" s="36"/>
      <c r="AI771" s="36"/>
      <c r="AJ771" s="36"/>
      <c r="AK771" s="36"/>
      <c r="AL771" s="37">
        <f t="shared" si="81"/>
        <v>1252000</v>
      </c>
      <c r="AM771" s="36"/>
      <c r="AN771" s="36"/>
      <c r="AO771" s="36"/>
      <c r="AP771" s="7"/>
      <c r="AQ771" s="38">
        <f t="shared" si="82"/>
        <v>11269069.892999999</v>
      </c>
      <c r="AR771" s="36"/>
      <c r="AS771" s="18">
        <f t="shared" si="83"/>
        <v>-11269069.892999999</v>
      </c>
    </row>
    <row r="772" spans="1:45" x14ac:dyDescent="0.25">
      <c r="A772" s="40">
        <v>46060</v>
      </c>
      <c r="B772" s="20">
        <v>3043.8119999999999</v>
      </c>
      <c r="C772" s="20">
        <v>4427.598</v>
      </c>
      <c r="D772" s="20">
        <v>5299</v>
      </c>
      <c r="E772" s="20">
        <v>4845</v>
      </c>
      <c r="F772" s="7">
        <f t="shared" ref="F772:F835" si="84">B772*D772</f>
        <v>16129159.787999999</v>
      </c>
      <c r="G772" s="7">
        <f t="shared" ref="G772:G835" si="85">C772*E772</f>
        <v>21451712.309999999</v>
      </c>
      <c r="H772" s="20">
        <v>50</v>
      </c>
      <c r="I772" s="20">
        <v>954500</v>
      </c>
      <c r="J772" s="20">
        <v>93.5</v>
      </c>
      <c r="K772" s="20">
        <v>1187500</v>
      </c>
      <c r="L772" s="20">
        <v>89000</v>
      </c>
      <c r="M772" s="20"/>
      <c r="N772" s="20"/>
      <c r="O772" s="20"/>
      <c r="P772" s="20"/>
      <c r="Q772" s="19">
        <f t="shared" ref="Q772:Q835" si="86">SUM(F772:G772)+I772+K772+SUM(L772:P772)</f>
        <v>39811872.097999997</v>
      </c>
      <c r="R772" s="20"/>
      <c r="S772" s="20"/>
      <c r="T772" s="20"/>
      <c r="U772" s="20"/>
      <c r="V772" s="20"/>
      <c r="W772" s="20"/>
      <c r="X772" s="20"/>
      <c r="Y772" s="8">
        <f t="shared" ref="Y772:Y835" si="87">Q772-SUM(R772:X772)</f>
        <v>39811872.097999997</v>
      </c>
      <c r="Z772" s="36"/>
      <c r="AA772" s="36"/>
      <c r="AB772" s="36">
        <v>44000</v>
      </c>
      <c r="AC772" s="36"/>
      <c r="AD772" s="36">
        <v>96900</v>
      </c>
      <c r="AE772" s="36"/>
      <c r="AF772" s="36">
        <v>103000</v>
      </c>
      <c r="AG772" s="36"/>
      <c r="AH772" s="36"/>
      <c r="AI772" s="36"/>
      <c r="AJ772" s="36"/>
      <c r="AK772" s="36"/>
      <c r="AL772" s="37">
        <f t="shared" ref="AL772:AL835" si="88">SUM(Z772:AK772)</f>
        <v>243900</v>
      </c>
      <c r="AM772" s="36"/>
      <c r="AN772" s="36"/>
      <c r="AO772" s="36"/>
      <c r="AP772" s="7"/>
      <c r="AQ772" s="38">
        <f t="shared" ref="AQ772:AQ835" si="89">Q772-SUM(R772:X772)-AL772-SUM(AM772:AO772)</f>
        <v>39567972.097999997</v>
      </c>
      <c r="AR772" s="36"/>
      <c r="AS772" s="18">
        <f t="shared" ref="AS772:AS835" si="90">AR772-AQ772</f>
        <v>-39567972.097999997</v>
      </c>
    </row>
    <row r="773" spans="1:45" x14ac:dyDescent="0.25">
      <c r="A773" s="40">
        <v>46061</v>
      </c>
      <c r="B773" s="20">
        <v>2426.6</v>
      </c>
      <c r="C773" s="20">
        <v>6405.8389999999999</v>
      </c>
      <c r="D773" s="20">
        <v>5299</v>
      </c>
      <c r="E773" s="20">
        <v>4845</v>
      </c>
      <c r="F773" s="7">
        <f t="shared" si="84"/>
        <v>12858553.4</v>
      </c>
      <c r="G773" s="7">
        <f t="shared" si="85"/>
        <v>31036289.954999998</v>
      </c>
      <c r="H773" s="20">
        <v>89</v>
      </c>
      <c r="I773" s="20">
        <v>1927500</v>
      </c>
      <c r="J773" s="20">
        <v>31.5</v>
      </c>
      <c r="K773" s="20">
        <v>256000</v>
      </c>
      <c r="L773" s="20">
        <v>124000</v>
      </c>
      <c r="M773" s="20"/>
      <c r="N773" s="20"/>
      <c r="O773" s="20"/>
      <c r="P773" s="20"/>
      <c r="Q773" s="19">
        <f t="shared" si="86"/>
        <v>46202343.354999997</v>
      </c>
      <c r="R773" s="20"/>
      <c r="S773" s="20"/>
      <c r="T773" s="20"/>
      <c r="U773" s="20"/>
      <c r="V773" s="20"/>
      <c r="W773" s="20"/>
      <c r="X773" s="20"/>
      <c r="Y773" s="8">
        <f t="shared" si="87"/>
        <v>46202343.354999997</v>
      </c>
      <c r="Z773" s="36"/>
      <c r="AA773" s="36"/>
      <c r="AB773" s="36">
        <v>60000</v>
      </c>
      <c r="AC773" s="36"/>
      <c r="AD773" s="36"/>
      <c r="AE773" s="36"/>
      <c r="AF773" s="36"/>
      <c r="AG773" s="36"/>
      <c r="AH773" s="36"/>
      <c r="AI773" s="36"/>
      <c r="AJ773" s="36"/>
      <c r="AK773" s="36"/>
      <c r="AL773" s="37">
        <f t="shared" si="88"/>
        <v>60000</v>
      </c>
      <c r="AM773" s="36"/>
      <c r="AN773" s="36"/>
      <c r="AO773" s="36"/>
      <c r="AP773" s="7"/>
      <c r="AQ773" s="38">
        <f t="shared" si="89"/>
        <v>46142343.354999997</v>
      </c>
      <c r="AR773" s="36"/>
      <c r="AS773" s="18">
        <f t="shared" si="90"/>
        <v>-46142343.354999997</v>
      </c>
    </row>
    <row r="774" spans="1:45" x14ac:dyDescent="0.25">
      <c r="A774" s="40">
        <v>46062</v>
      </c>
      <c r="B774" s="20">
        <v>2565.3200000000002</v>
      </c>
      <c r="C774" s="20">
        <v>3258.886</v>
      </c>
      <c r="D774" s="20">
        <v>5299</v>
      </c>
      <c r="E774" s="20">
        <v>4845</v>
      </c>
      <c r="F774" s="7">
        <f t="shared" si="84"/>
        <v>13593630.680000002</v>
      </c>
      <c r="G774" s="7">
        <f t="shared" si="85"/>
        <v>15789302.67</v>
      </c>
      <c r="H774" s="20">
        <v>74</v>
      </c>
      <c r="I774" s="20">
        <v>1534500</v>
      </c>
      <c r="J774" s="20">
        <v>59</v>
      </c>
      <c r="K774" s="20">
        <v>502000</v>
      </c>
      <c r="L774" s="20">
        <v>96000</v>
      </c>
      <c r="M774" s="20"/>
      <c r="N774" s="20"/>
      <c r="O774" s="20"/>
      <c r="P774" s="20"/>
      <c r="Q774" s="19">
        <f t="shared" si="86"/>
        <v>31515433.350000001</v>
      </c>
      <c r="R774" s="20"/>
      <c r="S774" s="20"/>
      <c r="T774" s="20"/>
      <c r="U774" s="20"/>
      <c r="V774" s="20"/>
      <c r="W774" s="20"/>
      <c r="X774" s="20"/>
      <c r="Y774" s="8">
        <f t="shared" si="87"/>
        <v>31515433.350000001</v>
      </c>
      <c r="Z774" s="36"/>
      <c r="AA774" s="36"/>
      <c r="AB774" s="36">
        <v>30000</v>
      </c>
      <c r="AC774" s="36"/>
      <c r="AD774" s="36"/>
      <c r="AE774" s="36"/>
      <c r="AF774" s="36">
        <v>100000</v>
      </c>
      <c r="AG774" s="36"/>
      <c r="AH774" s="36"/>
      <c r="AI774" s="36"/>
      <c r="AJ774" s="36"/>
      <c r="AK774" s="36"/>
      <c r="AL774" s="37">
        <f t="shared" si="88"/>
        <v>130000</v>
      </c>
      <c r="AM774" s="36"/>
      <c r="AN774" s="36"/>
      <c r="AO774" s="36"/>
      <c r="AP774" s="7"/>
      <c r="AQ774" s="38">
        <f t="shared" si="89"/>
        <v>31385433.350000001</v>
      </c>
      <c r="AR774" s="36"/>
      <c r="AS774" s="18">
        <f t="shared" si="90"/>
        <v>-31385433.350000001</v>
      </c>
    </row>
    <row r="775" spans="1:45" x14ac:dyDescent="0.25">
      <c r="A775" s="40">
        <v>46063</v>
      </c>
      <c r="B775" s="20">
        <v>2883.0880000000002</v>
      </c>
      <c r="C775" s="20">
        <v>4601.1019999999999</v>
      </c>
      <c r="D775" s="20">
        <v>5299</v>
      </c>
      <c r="E775" s="20">
        <v>4845</v>
      </c>
      <c r="F775" s="7">
        <f t="shared" si="84"/>
        <v>15277483.312000001</v>
      </c>
      <c r="G775" s="7">
        <f t="shared" si="85"/>
        <v>22292339.189999998</v>
      </c>
      <c r="H775" s="20">
        <v>65</v>
      </c>
      <c r="I775" s="20">
        <v>1361500</v>
      </c>
      <c r="J775" s="20">
        <v>104.5</v>
      </c>
      <c r="K775" s="20">
        <v>1198000</v>
      </c>
      <c r="L775" s="20">
        <v>194000</v>
      </c>
      <c r="M775" s="20"/>
      <c r="N775" s="20"/>
      <c r="O775" s="20"/>
      <c r="P775" s="20"/>
      <c r="Q775" s="19">
        <f t="shared" si="86"/>
        <v>40323322.501999997</v>
      </c>
      <c r="R775" s="20"/>
      <c r="S775" s="20"/>
      <c r="T775" s="20"/>
      <c r="U775" s="20"/>
      <c r="V775" s="20"/>
      <c r="W775" s="20"/>
      <c r="X775" s="20"/>
      <c r="Y775" s="8">
        <f t="shared" si="87"/>
        <v>40323322.501999997</v>
      </c>
      <c r="Z775" s="36"/>
      <c r="AA775" s="36"/>
      <c r="AB775" s="36"/>
      <c r="AC775" s="36"/>
      <c r="AD775" s="36">
        <v>96900</v>
      </c>
      <c r="AE775" s="36"/>
      <c r="AF775" s="36">
        <v>503000</v>
      </c>
      <c r="AG775" s="36"/>
      <c r="AH775" s="36"/>
      <c r="AI775" s="36"/>
      <c r="AJ775" s="36">
        <v>2800000</v>
      </c>
      <c r="AK775" s="36"/>
      <c r="AL775" s="37">
        <f t="shared" si="88"/>
        <v>3399900</v>
      </c>
      <c r="AM775" s="36"/>
      <c r="AN775" s="36"/>
      <c r="AO775" s="36"/>
      <c r="AP775" s="7"/>
      <c r="AQ775" s="38">
        <f t="shared" si="89"/>
        <v>36923422.501999997</v>
      </c>
      <c r="AR775" s="36"/>
      <c r="AS775" s="18">
        <f t="shared" si="90"/>
        <v>-36923422.501999997</v>
      </c>
    </row>
    <row r="776" spans="1:45" x14ac:dyDescent="0.25">
      <c r="A776" s="40">
        <v>46064</v>
      </c>
      <c r="B776" s="20">
        <v>3330.6590000000001</v>
      </c>
      <c r="C776" s="20">
        <v>4922.9870000000001</v>
      </c>
      <c r="D776" s="20">
        <v>5299</v>
      </c>
      <c r="E776" s="20">
        <v>4845</v>
      </c>
      <c r="F776" s="7">
        <f t="shared" si="84"/>
        <v>17649162.041000001</v>
      </c>
      <c r="G776" s="7">
        <f t="shared" si="85"/>
        <v>23851872.015000001</v>
      </c>
      <c r="H776" s="20">
        <v>72</v>
      </c>
      <c r="I776" s="20">
        <v>1737400</v>
      </c>
      <c r="J776" s="20">
        <v>100.5</v>
      </c>
      <c r="K776" s="20">
        <v>923000</v>
      </c>
      <c r="L776" s="20">
        <v>178000</v>
      </c>
      <c r="M776" s="20"/>
      <c r="N776" s="20"/>
      <c r="O776" s="20"/>
      <c r="P776" s="20"/>
      <c r="Q776" s="19">
        <f t="shared" si="86"/>
        <v>44339434.056000002</v>
      </c>
      <c r="R776" s="20"/>
      <c r="S776" s="20"/>
      <c r="T776" s="20"/>
      <c r="U776" s="20"/>
      <c r="V776" s="20"/>
      <c r="W776" s="20"/>
      <c r="X776" s="20"/>
      <c r="Y776" s="8">
        <f t="shared" si="87"/>
        <v>44339434.056000002</v>
      </c>
      <c r="Z776" s="36"/>
      <c r="AA776" s="36"/>
      <c r="AB776" s="36"/>
      <c r="AC776" s="36"/>
      <c r="AD776" s="36"/>
      <c r="AE776" s="36"/>
      <c r="AF776" s="36">
        <v>3000</v>
      </c>
      <c r="AG776" s="36"/>
      <c r="AH776" s="36"/>
      <c r="AI776" s="36"/>
      <c r="AJ776" s="36">
        <v>15000</v>
      </c>
      <c r="AK776" s="36"/>
      <c r="AL776" s="37">
        <f t="shared" si="88"/>
        <v>18000</v>
      </c>
      <c r="AM776" s="36"/>
      <c r="AN776" s="36"/>
      <c r="AO776" s="36"/>
      <c r="AP776" s="7"/>
      <c r="AQ776" s="38">
        <f t="shared" si="89"/>
        <v>44321434.056000002</v>
      </c>
      <c r="AR776" s="36"/>
      <c r="AS776" s="18">
        <f t="shared" si="90"/>
        <v>-44321434.056000002</v>
      </c>
    </row>
    <row r="777" spans="1:45" x14ac:dyDescent="0.25">
      <c r="A777" s="40">
        <v>46065</v>
      </c>
      <c r="B777" s="20">
        <v>2533.8380000000002</v>
      </c>
      <c r="C777" s="20">
        <v>3841.5819999999999</v>
      </c>
      <c r="D777" s="20">
        <v>5299</v>
      </c>
      <c r="E777" s="20">
        <v>4845</v>
      </c>
      <c r="F777" s="7">
        <f t="shared" si="84"/>
        <v>13426807.562000001</v>
      </c>
      <c r="G777" s="7">
        <f t="shared" si="85"/>
        <v>18612464.789999999</v>
      </c>
      <c r="H777" s="20">
        <v>55</v>
      </c>
      <c r="I777" s="20">
        <v>1229000</v>
      </c>
      <c r="J777" s="20">
        <v>79.5</v>
      </c>
      <c r="K777" s="20">
        <v>704500</v>
      </c>
      <c r="L777" s="20">
        <v>33000</v>
      </c>
      <c r="M777" s="20"/>
      <c r="N777" s="20"/>
      <c r="O777" s="20"/>
      <c r="P777" s="20"/>
      <c r="Q777" s="19">
        <f t="shared" si="86"/>
        <v>34005772.351999998</v>
      </c>
      <c r="R777" s="20"/>
      <c r="S777" s="20"/>
      <c r="T777" s="20"/>
      <c r="U777" s="20"/>
      <c r="V777" s="20"/>
      <c r="W777" s="20"/>
      <c r="X777" s="20"/>
      <c r="Y777" s="8">
        <f t="shared" si="87"/>
        <v>34005772.351999998</v>
      </c>
      <c r="Z777" s="36"/>
      <c r="AA777" s="36">
        <v>162000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7">
        <f t="shared" si="88"/>
        <v>162000</v>
      </c>
      <c r="AM777" s="36"/>
      <c r="AN777" s="36"/>
      <c r="AO777" s="36"/>
      <c r="AP777" s="7"/>
      <c r="AQ777" s="38">
        <f t="shared" si="89"/>
        <v>33843772.351999998</v>
      </c>
      <c r="AR777" s="36"/>
      <c r="AS777" s="18">
        <f t="shared" si="90"/>
        <v>-33843772.351999998</v>
      </c>
    </row>
    <row r="778" spans="1:45" x14ac:dyDescent="0.25">
      <c r="A778" s="40">
        <v>46066</v>
      </c>
      <c r="B778" s="20">
        <v>2196.6489999999999</v>
      </c>
      <c r="C778" s="20">
        <v>3599.11</v>
      </c>
      <c r="D778" s="20">
        <v>5299</v>
      </c>
      <c r="E778" s="20">
        <v>4790</v>
      </c>
      <c r="F778" s="7">
        <f t="shared" si="84"/>
        <v>11640043.050999999</v>
      </c>
      <c r="G778" s="7">
        <f t="shared" si="85"/>
        <v>17239736.900000002</v>
      </c>
      <c r="H778" s="20">
        <v>23.5</v>
      </c>
      <c r="I778" s="20">
        <v>452500</v>
      </c>
      <c r="J778" s="20">
        <v>81.5</v>
      </c>
      <c r="K778" s="20">
        <v>826500</v>
      </c>
      <c r="L778" s="20">
        <v>39000</v>
      </c>
      <c r="M778" s="20"/>
      <c r="N778" s="20"/>
      <c r="O778" s="20"/>
      <c r="P778" s="20"/>
      <c r="Q778" s="19">
        <f t="shared" si="86"/>
        <v>30197779.951000001</v>
      </c>
      <c r="R778" s="20"/>
      <c r="S778" s="20"/>
      <c r="T778" s="20"/>
      <c r="U778" s="20"/>
      <c r="V778" s="20"/>
      <c r="W778" s="20"/>
      <c r="X778" s="20"/>
      <c r="Y778" s="8">
        <f t="shared" si="87"/>
        <v>30197779.951000001</v>
      </c>
      <c r="Z778" s="36"/>
      <c r="AA778" s="36">
        <v>18000</v>
      </c>
      <c r="AB778" s="36"/>
      <c r="AC778" s="36"/>
      <c r="AD778" s="36"/>
      <c r="AE778" s="36">
        <v>30000</v>
      </c>
      <c r="AF778" s="36">
        <v>100000</v>
      </c>
      <c r="AG778" s="36"/>
      <c r="AH778" s="36">
        <v>19000</v>
      </c>
      <c r="AI778" s="36"/>
      <c r="AJ778" s="36">
        <v>295000</v>
      </c>
      <c r="AK778" s="36"/>
      <c r="AL778" s="37">
        <f t="shared" si="88"/>
        <v>462000</v>
      </c>
      <c r="AM778" s="36"/>
      <c r="AN778" s="36"/>
      <c r="AO778" s="36"/>
      <c r="AP778" s="7"/>
      <c r="AQ778" s="38">
        <f t="shared" si="89"/>
        <v>29735779.951000001</v>
      </c>
      <c r="AR778" s="36"/>
      <c r="AS778" s="18">
        <f t="shared" si="90"/>
        <v>-29735779.951000001</v>
      </c>
    </row>
    <row r="779" spans="1:45" x14ac:dyDescent="0.25">
      <c r="A779" s="40">
        <v>46067</v>
      </c>
      <c r="B779" s="20">
        <v>2476.2669999999998</v>
      </c>
      <c r="C779" s="20">
        <v>3704.172</v>
      </c>
      <c r="D779" s="20">
        <v>5299</v>
      </c>
      <c r="E779" s="20">
        <v>4790</v>
      </c>
      <c r="F779" s="7">
        <f t="shared" si="84"/>
        <v>13121738.832999999</v>
      </c>
      <c r="G779" s="7">
        <f t="shared" si="85"/>
        <v>17742983.879999999</v>
      </c>
      <c r="H779" s="20">
        <v>57.5</v>
      </c>
      <c r="I779" s="20">
        <v>1342500</v>
      </c>
      <c r="J779" s="20">
        <v>52</v>
      </c>
      <c r="K779" s="20">
        <v>883000</v>
      </c>
      <c r="L779" s="20">
        <v>23000</v>
      </c>
      <c r="M779" s="20"/>
      <c r="N779" s="20"/>
      <c r="O779" s="20"/>
      <c r="P779" s="20"/>
      <c r="Q779" s="19">
        <f t="shared" si="86"/>
        <v>33113222.713</v>
      </c>
      <c r="R779" s="20"/>
      <c r="S779" s="20"/>
      <c r="T779" s="20"/>
      <c r="U779" s="20"/>
      <c r="V779" s="20"/>
      <c r="W779" s="20"/>
      <c r="X779" s="20"/>
      <c r="Y779" s="8">
        <f t="shared" si="87"/>
        <v>33113222.713</v>
      </c>
      <c r="Z779" s="36"/>
      <c r="AA779" s="36"/>
      <c r="AB779" s="36"/>
      <c r="AC779" s="36"/>
      <c r="AD779" s="36"/>
      <c r="AE779" s="36"/>
      <c r="AF779" s="36">
        <v>3000</v>
      </c>
      <c r="AG779" s="36"/>
      <c r="AH779" s="36"/>
      <c r="AI779" s="36"/>
      <c r="AJ779" s="36">
        <v>400000</v>
      </c>
      <c r="AK779" s="36"/>
      <c r="AL779" s="37">
        <f t="shared" si="88"/>
        <v>403000</v>
      </c>
      <c r="AM779" s="36"/>
      <c r="AN779" s="36"/>
      <c r="AO779" s="36"/>
      <c r="AP779" s="7"/>
      <c r="AQ779" s="38">
        <f t="shared" si="89"/>
        <v>32710222.713</v>
      </c>
      <c r="AR779" s="36"/>
      <c r="AS779" s="18">
        <f t="shared" si="90"/>
        <v>-32710222.713</v>
      </c>
    </row>
    <row r="780" spans="1:45" x14ac:dyDescent="0.25">
      <c r="A780" s="40">
        <v>46068</v>
      </c>
      <c r="B780" s="20">
        <v>2989.2809999999999</v>
      </c>
      <c r="C780" s="20">
        <v>1984.0419999999999</v>
      </c>
      <c r="D780" s="20">
        <v>5299</v>
      </c>
      <c r="E780" s="20">
        <v>4790</v>
      </c>
      <c r="F780" s="7">
        <f t="shared" si="84"/>
        <v>15840200.018999999</v>
      </c>
      <c r="G780" s="7">
        <f t="shared" si="85"/>
        <v>9503561.1799999997</v>
      </c>
      <c r="H780" s="20">
        <v>48</v>
      </c>
      <c r="I780" s="20">
        <v>1010000</v>
      </c>
      <c r="J780" s="20">
        <v>45.5</v>
      </c>
      <c r="K780" s="20">
        <v>500000</v>
      </c>
      <c r="L780" s="20">
        <v>98000</v>
      </c>
      <c r="M780" s="20"/>
      <c r="N780" s="20"/>
      <c r="O780" s="20"/>
      <c r="P780" s="20"/>
      <c r="Q780" s="19">
        <f t="shared" si="86"/>
        <v>26951761.199000001</v>
      </c>
      <c r="R780" s="20"/>
      <c r="S780" s="20"/>
      <c r="T780" s="20"/>
      <c r="U780" s="20"/>
      <c r="V780" s="20"/>
      <c r="W780" s="20"/>
      <c r="X780" s="20"/>
      <c r="Y780" s="8">
        <f t="shared" si="87"/>
        <v>26951761.199000001</v>
      </c>
      <c r="Z780" s="36"/>
      <c r="AA780" s="36"/>
      <c r="AB780" s="36"/>
      <c r="AC780" s="36"/>
      <c r="AD780" s="36"/>
      <c r="AE780" s="36"/>
      <c r="AF780" s="36">
        <v>3000</v>
      </c>
      <c r="AG780" s="36"/>
      <c r="AH780" s="36">
        <v>13000</v>
      </c>
      <c r="AI780" s="36"/>
      <c r="AJ780" s="36">
        <v>1038000</v>
      </c>
      <c r="AK780" s="36"/>
      <c r="AL780" s="37">
        <f t="shared" si="88"/>
        <v>1054000</v>
      </c>
      <c r="AM780" s="36"/>
      <c r="AN780" s="36"/>
      <c r="AO780" s="36"/>
      <c r="AP780" s="7"/>
      <c r="AQ780" s="38">
        <f t="shared" si="89"/>
        <v>25897761.199000001</v>
      </c>
      <c r="AR780" s="36"/>
      <c r="AS780" s="18">
        <f t="shared" si="90"/>
        <v>-25897761.199000001</v>
      </c>
    </row>
    <row r="781" spans="1:45" x14ac:dyDescent="0.25">
      <c r="A781" s="40">
        <v>46069</v>
      </c>
      <c r="B781" s="20">
        <v>1683.4179999999999</v>
      </c>
      <c r="C781" s="20">
        <v>2339.5479999999998</v>
      </c>
      <c r="D781" s="20">
        <v>5299</v>
      </c>
      <c r="E781" s="20">
        <v>4790</v>
      </c>
      <c r="F781" s="7">
        <f t="shared" si="84"/>
        <v>8920431.9819999989</v>
      </c>
      <c r="G781" s="7">
        <f t="shared" si="85"/>
        <v>11206434.919999998</v>
      </c>
      <c r="H781" s="20">
        <v>41</v>
      </c>
      <c r="I781" s="20">
        <v>795000</v>
      </c>
      <c r="J781" s="20">
        <v>67.5</v>
      </c>
      <c r="K781" s="20">
        <v>581000</v>
      </c>
      <c r="L781" s="20">
        <v>15000</v>
      </c>
      <c r="M781" s="20"/>
      <c r="N781" s="20"/>
      <c r="O781" s="20"/>
      <c r="P781" s="20"/>
      <c r="Q781" s="19">
        <f t="shared" si="86"/>
        <v>21517866.901999995</v>
      </c>
      <c r="R781" s="20"/>
      <c r="S781" s="20"/>
      <c r="T781" s="20"/>
      <c r="U781" s="20"/>
      <c r="V781" s="20"/>
      <c r="W781" s="20"/>
      <c r="X781" s="20"/>
      <c r="Y781" s="8">
        <f t="shared" si="87"/>
        <v>21517866.901999995</v>
      </c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>
        <v>1000000</v>
      </c>
      <c r="AK781" s="36"/>
      <c r="AL781" s="37">
        <f t="shared" si="88"/>
        <v>1000000</v>
      </c>
      <c r="AM781" s="36"/>
      <c r="AN781" s="36"/>
      <c r="AO781" s="36"/>
      <c r="AP781" s="7"/>
      <c r="AQ781" s="38">
        <f t="shared" si="89"/>
        <v>20517866.901999995</v>
      </c>
      <c r="AR781" s="36"/>
      <c r="AS781" s="18">
        <f t="shared" si="90"/>
        <v>-20517866.901999995</v>
      </c>
    </row>
    <row r="782" spans="1:45" x14ac:dyDescent="0.25">
      <c r="A782" s="40">
        <v>46070</v>
      </c>
      <c r="B782" s="20">
        <v>2548.567</v>
      </c>
      <c r="C782" s="20">
        <v>2911.27</v>
      </c>
      <c r="D782" s="20">
        <v>5299</v>
      </c>
      <c r="E782" s="20">
        <v>4790</v>
      </c>
      <c r="F782" s="7">
        <f t="shared" si="84"/>
        <v>13504856.533</v>
      </c>
      <c r="G782" s="7">
        <f t="shared" si="85"/>
        <v>13944983.300000001</v>
      </c>
      <c r="H782" s="20">
        <v>59.5</v>
      </c>
      <c r="I782" s="20">
        <v>1212100</v>
      </c>
      <c r="J782" s="20">
        <v>106</v>
      </c>
      <c r="K782" s="20">
        <v>827000</v>
      </c>
      <c r="L782" s="20">
        <v>145000</v>
      </c>
      <c r="M782" s="20"/>
      <c r="N782" s="20"/>
      <c r="O782" s="20"/>
      <c r="P782" s="20"/>
      <c r="Q782" s="19">
        <f t="shared" si="86"/>
        <v>29633939.833000001</v>
      </c>
      <c r="R782" s="20"/>
      <c r="S782" s="20"/>
      <c r="T782" s="20"/>
      <c r="U782" s="20"/>
      <c r="V782" s="20"/>
      <c r="W782" s="20"/>
      <c r="X782" s="20"/>
      <c r="Y782" s="8">
        <f t="shared" si="87"/>
        <v>29633939.833000001</v>
      </c>
      <c r="Z782" s="36"/>
      <c r="AA782" s="36"/>
      <c r="AB782" s="36"/>
      <c r="AC782" s="36">
        <v>57000</v>
      </c>
      <c r="AD782" s="36"/>
      <c r="AE782" s="36"/>
      <c r="AF782" s="36">
        <v>4000</v>
      </c>
      <c r="AG782" s="36"/>
      <c r="AH782" s="36"/>
      <c r="AI782" s="36"/>
      <c r="AJ782" s="36">
        <v>20500</v>
      </c>
      <c r="AK782" s="36"/>
      <c r="AL782" s="37">
        <f t="shared" si="88"/>
        <v>81500</v>
      </c>
      <c r="AM782" s="36"/>
      <c r="AN782" s="36"/>
      <c r="AO782" s="36"/>
      <c r="AP782" s="7"/>
      <c r="AQ782" s="38">
        <f t="shared" si="89"/>
        <v>29552439.833000001</v>
      </c>
      <c r="AR782" s="36"/>
      <c r="AS782" s="18">
        <f t="shared" si="90"/>
        <v>-29552439.833000001</v>
      </c>
    </row>
    <row r="783" spans="1:45" x14ac:dyDescent="0.25">
      <c r="A783" s="40">
        <v>46071</v>
      </c>
      <c r="B783" s="20">
        <v>2177.6799999999998</v>
      </c>
      <c r="C783" s="20">
        <v>4244.9279999999999</v>
      </c>
      <c r="D783" s="20">
        <v>5299</v>
      </c>
      <c r="E783" s="20">
        <v>4790</v>
      </c>
      <c r="F783" s="7">
        <f t="shared" si="84"/>
        <v>11539526.319999998</v>
      </c>
      <c r="G783" s="7">
        <f t="shared" si="85"/>
        <v>20333205.120000001</v>
      </c>
      <c r="H783" s="20">
        <v>77.5</v>
      </c>
      <c r="I783" s="20">
        <v>1513000</v>
      </c>
      <c r="J783" s="20">
        <v>33</v>
      </c>
      <c r="K783" s="20">
        <v>570000</v>
      </c>
      <c r="L783" s="20">
        <v>16000</v>
      </c>
      <c r="M783" s="20"/>
      <c r="N783" s="20"/>
      <c r="O783" s="20"/>
      <c r="P783" s="20"/>
      <c r="Q783" s="19">
        <f t="shared" si="86"/>
        <v>33971731.439999998</v>
      </c>
      <c r="R783" s="20"/>
      <c r="S783" s="20"/>
      <c r="T783" s="20"/>
      <c r="U783" s="20"/>
      <c r="V783" s="20"/>
      <c r="W783" s="20"/>
      <c r="X783" s="20"/>
      <c r="Y783" s="8">
        <f t="shared" si="87"/>
        <v>33971731.439999998</v>
      </c>
      <c r="Z783" s="36"/>
      <c r="AA783" s="36"/>
      <c r="AB783" s="36"/>
      <c r="AC783" s="36"/>
      <c r="AD783" s="36">
        <v>95800</v>
      </c>
      <c r="AE783" s="36"/>
      <c r="AF783" s="36"/>
      <c r="AG783" s="36"/>
      <c r="AH783" s="36"/>
      <c r="AI783" s="36"/>
      <c r="AJ783" s="36">
        <v>54200</v>
      </c>
      <c r="AK783" s="36"/>
      <c r="AL783" s="37">
        <f t="shared" si="88"/>
        <v>150000</v>
      </c>
      <c r="AM783" s="36"/>
      <c r="AN783" s="36"/>
      <c r="AO783" s="36"/>
      <c r="AP783" s="7"/>
      <c r="AQ783" s="38">
        <f t="shared" si="89"/>
        <v>33821731.439999998</v>
      </c>
      <c r="AR783" s="36"/>
      <c r="AS783" s="18">
        <f t="shared" si="90"/>
        <v>-33821731.439999998</v>
      </c>
    </row>
    <row r="784" spans="1:45" x14ac:dyDescent="0.25">
      <c r="A784" s="40">
        <v>46072</v>
      </c>
      <c r="B784" s="20">
        <v>2352.2109999999998</v>
      </c>
      <c r="C784" s="20">
        <v>2366.6469999999999</v>
      </c>
      <c r="D784" s="20">
        <v>5299</v>
      </c>
      <c r="E784" s="20">
        <v>4790</v>
      </c>
      <c r="F784" s="7">
        <f t="shared" si="84"/>
        <v>12464366.089</v>
      </c>
      <c r="G784" s="7">
        <f t="shared" si="85"/>
        <v>11336239.129999999</v>
      </c>
      <c r="H784" s="20">
        <v>113.25</v>
      </c>
      <c r="I784" s="20">
        <v>2482000</v>
      </c>
      <c r="J784" s="20">
        <v>94</v>
      </c>
      <c r="K784" s="20">
        <v>770000</v>
      </c>
      <c r="L784" s="20">
        <v>198000</v>
      </c>
      <c r="M784" s="20"/>
      <c r="N784" s="20"/>
      <c r="O784" s="20"/>
      <c r="P784" s="20"/>
      <c r="Q784" s="19">
        <f t="shared" si="86"/>
        <v>27250605.218999997</v>
      </c>
      <c r="R784" s="20"/>
      <c r="S784" s="20"/>
      <c r="T784" s="20"/>
      <c r="U784" s="20"/>
      <c r="V784" s="20"/>
      <c r="W784" s="20"/>
      <c r="X784" s="20"/>
      <c r="Y784" s="8">
        <f t="shared" si="87"/>
        <v>27250605.218999997</v>
      </c>
      <c r="Z784" s="36"/>
      <c r="AA784" s="36"/>
      <c r="AB784" s="36"/>
      <c r="AC784" s="36">
        <v>7000</v>
      </c>
      <c r="AD784" s="36"/>
      <c r="AE784" s="36"/>
      <c r="AF784" s="36"/>
      <c r="AG784" s="36"/>
      <c r="AH784" s="36"/>
      <c r="AI784" s="36"/>
      <c r="AJ784" s="36"/>
      <c r="AK784" s="36"/>
      <c r="AL784" s="37">
        <f t="shared" si="88"/>
        <v>7000</v>
      </c>
      <c r="AM784" s="36"/>
      <c r="AN784" s="36"/>
      <c r="AO784" s="36"/>
      <c r="AP784" s="7"/>
      <c r="AQ784" s="38">
        <f t="shared" si="89"/>
        <v>27243605.218999997</v>
      </c>
      <c r="AR784" s="36"/>
      <c r="AS784" s="18">
        <f t="shared" si="90"/>
        <v>-27243605.218999997</v>
      </c>
    </row>
    <row r="785" spans="1:45" x14ac:dyDescent="0.25">
      <c r="A785" s="40">
        <v>46073</v>
      </c>
      <c r="B785" s="20">
        <v>2086.3960000000002</v>
      </c>
      <c r="C785" s="20">
        <v>3189.7139999999999</v>
      </c>
      <c r="D785" s="20">
        <v>5299</v>
      </c>
      <c r="E785" s="20">
        <v>4790</v>
      </c>
      <c r="F785" s="7">
        <f t="shared" si="84"/>
        <v>11055812.404000001</v>
      </c>
      <c r="G785" s="7">
        <f t="shared" si="85"/>
        <v>15278730.060000001</v>
      </c>
      <c r="H785" s="20">
        <v>49</v>
      </c>
      <c r="I785" s="20">
        <v>1017500</v>
      </c>
      <c r="J785" s="20">
        <v>30</v>
      </c>
      <c r="K785" s="20">
        <v>265000</v>
      </c>
      <c r="L785" s="20">
        <v>23000</v>
      </c>
      <c r="M785" s="20"/>
      <c r="N785" s="20"/>
      <c r="O785" s="20"/>
      <c r="P785" s="20"/>
      <c r="Q785" s="19">
        <f t="shared" si="86"/>
        <v>27640042.464000002</v>
      </c>
      <c r="R785" s="20"/>
      <c r="S785" s="20"/>
      <c r="T785" s="20"/>
      <c r="U785" s="20"/>
      <c r="V785" s="20"/>
      <c r="W785" s="20"/>
      <c r="X785" s="20"/>
      <c r="Y785" s="8">
        <f t="shared" si="87"/>
        <v>27640042.464000002</v>
      </c>
      <c r="Z785" s="36"/>
      <c r="AA785" s="36"/>
      <c r="AB785" s="36"/>
      <c r="AC785" s="36">
        <v>22000</v>
      </c>
      <c r="AD785" s="36"/>
      <c r="AE785" s="36"/>
      <c r="AF785" s="36">
        <v>3000</v>
      </c>
      <c r="AG785" s="36"/>
      <c r="AH785" s="36"/>
      <c r="AI785" s="36"/>
      <c r="AJ785" s="36">
        <v>262990</v>
      </c>
      <c r="AK785" s="36"/>
      <c r="AL785" s="37">
        <f t="shared" si="88"/>
        <v>287990</v>
      </c>
      <c r="AM785" s="36"/>
      <c r="AN785" s="36"/>
      <c r="AO785" s="36"/>
      <c r="AP785" s="7"/>
      <c r="AQ785" s="38">
        <f t="shared" si="89"/>
        <v>27352052.464000002</v>
      </c>
      <c r="AR785" s="36"/>
      <c r="AS785" s="18">
        <f t="shared" si="90"/>
        <v>-27352052.464000002</v>
      </c>
    </row>
    <row r="786" spans="1:45" x14ac:dyDescent="0.25">
      <c r="A786" s="40">
        <v>46074</v>
      </c>
      <c r="B786" s="20">
        <v>3110.2489999999998</v>
      </c>
      <c r="C786" s="20">
        <v>3460.75</v>
      </c>
      <c r="D786" s="20">
        <v>5299</v>
      </c>
      <c r="E786" s="20">
        <v>4790</v>
      </c>
      <c r="F786" s="7">
        <f t="shared" si="84"/>
        <v>16481209.450999999</v>
      </c>
      <c r="G786" s="7">
        <f t="shared" si="85"/>
        <v>16576992.5</v>
      </c>
      <c r="H786" s="20">
        <v>63.25</v>
      </c>
      <c r="I786" s="20">
        <v>1312000</v>
      </c>
      <c r="J786" s="20">
        <v>24.5</v>
      </c>
      <c r="K786" s="20">
        <v>246000</v>
      </c>
      <c r="L786" s="20">
        <v>99000</v>
      </c>
      <c r="M786" s="20"/>
      <c r="N786" s="20"/>
      <c r="O786" s="20"/>
      <c r="P786" s="20"/>
      <c r="Q786" s="19">
        <f t="shared" si="86"/>
        <v>34715201.950999998</v>
      </c>
      <c r="R786" s="20"/>
      <c r="S786" s="20"/>
      <c r="T786" s="20"/>
      <c r="U786" s="20"/>
      <c r="V786" s="20"/>
      <c r="W786" s="20"/>
      <c r="X786" s="20"/>
      <c r="Y786" s="8">
        <f t="shared" si="87"/>
        <v>34715201.950999998</v>
      </c>
      <c r="Z786" s="36"/>
      <c r="AA786" s="36"/>
      <c r="AB786" s="36"/>
      <c r="AC786" s="36"/>
      <c r="AD786" s="36"/>
      <c r="AE786" s="36"/>
      <c r="AF786" s="36"/>
      <c r="AG786" s="36">
        <v>1000000</v>
      </c>
      <c r="AH786" s="36"/>
      <c r="AI786" s="36"/>
      <c r="AJ786" s="36">
        <v>1635400</v>
      </c>
      <c r="AK786" s="36"/>
      <c r="AL786" s="37">
        <f t="shared" si="88"/>
        <v>2635400</v>
      </c>
      <c r="AM786" s="36"/>
      <c r="AN786" s="36"/>
      <c r="AO786" s="36"/>
      <c r="AP786" s="7"/>
      <c r="AQ786" s="38">
        <f t="shared" si="89"/>
        <v>32079801.950999998</v>
      </c>
      <c r="AR786" s="36"/>
      <c r="AS786" s="18">
        <f t="shared" si="90"/>
        <v>-32079801.950999998</v>
      </c>
    </row>
    <row r="787" spans="1:45" x14ac:dyDescent="0.25">
      <c r="A787" s="40">
        <v>46075</v>
      </c>
      <c r="B787" s="20">
        <v>2402.6129999999998</v>
      </c>
      <c r="C787" s="20">
        <v>1361.117</v>
      </c>
      <c r="D787" s="20">
        <v>5299</v>
      </c>
      <c r="E787" s="20">
        <v>4790</v>
      </c>
      <c r="F787" s="7">
        <f t="shared" si="84"/>
        <v>12731446.286999999</v>
      </c>
      <c r="G787" s="7">
        <f t="shared" si="85"/>
        <v>6519750.4299999997</v>
      </c>
      <c r="H787" s="20">
        <v>42.75</v>
      </c>
      <c r="I787" s="20">
        <v>861500</v>
      </c>
      <c r="J787" s="20">
        <v>61.5</v>
      </c>
      <c r="K787" s="20">
        <v>808000</v>
      </c>
      <c r="L787" s="20">
        <v>30000</v>
      </c>
      <c r="M787" s="20"/>
      <c r="N787" s="20"/>
      <c r="O787" s="20"/>
      <c r="P787" s="20"/>
      <c r="Q787" s="19">
        <f t="shared" si="86"/>
        <v>20950696.717</v>
      </c>
      <c r="R787" s="20"/>
      <c r="S787" s="20"/>
      <c r="T787" s="20"/>
      <c r="U787" s="20"/>
      <c r="V787" s="20"/>
      <c r="W787" s="20"/>
      <c r="X787" s="20"/>
      <c r="Y787" s="8">
        <f t="shared" si="87"/>
        <v>20950696.717</v>
      </c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>
        <v>410000</v>
      </c>
      <c r="AK787" s="36"/>
      <c r="AL787" s="37">
        <f t="shared" si="88"/>
        <v>410000</v>
      </c>
      <c r="AM787" s="36"/>
      <c r="AN787" s="36"/>
      <c r="AO787" s="36"/>
      <c r="AP787" s="7"/>
      <c r="AQ787" s="38">
        <f t="shared" si="89"/>
        <v>20540696.717</v>
      </c>
      <c r="AR787" s="36"/>
      <c r="AS787" s="18">
        <f t="shared" si="90"/>
        <v>-20540696.717</v>
      </c>
    </row>
    <row r="788" spans="1:45" x14ac:dyDescent="0.25">
      <c r="A788" s="40">
        <v>46076</v>
      </c>
      <c r="B788" s="20">
        <v>1866.6869999999999</v>
      </c>
      <c r="C788" s="20">
        <v>1739.434</v>
      </c>
      <c r="D788" s="20">
        <v>5299</v>
      </c>
      <c r="E788" s="20">
        <v>4790</v>
      </c>
      <c r="F788" s="7">
        <f t="shared" si="84"/>
        <v>9891574.4129999988</v>
      </c>
      <c r="G788" s="7">
        <f t="shared" si="85"/>
        <v>8331888.8599999994</v>
      </c>
      <c r="H788" s="20">
        <v>82.75</v>
      </c>
      <c r="I788" s="20">
        <v>1895000</v>
      </c>
      <c r="J788" s="20">
        <v>43.5</v>
      </c>
      <c r="K788" s="20">
        <v>368000</v>
      </c>
      <c r="L788" s="20">
        <v>153000</v>
      </c>
      <c r="M788" s="20"/>
      <c r="N788" s="20"/>
      <c r="O788" s="20"/>
      <c r="P788" s="20"/>
      <c r="Q788" s="19">
        <f t="shared" si="86"/>
        <v>20639463.272999998</v>
      </c>
      <c r="R788" s="20"/>
      <c r="S788" s="20"/>
      <c r="T788" s="20"/>
      <c r="U788" s="20"/>
      <c r="V788" s="20"/>
      <c r="W788" s="20"/>
      <c r="X788" s="20"/>
      <c r="Y788" s="8">
        <f t="shared" si="87"/>
        <v>20639463.272999998</v>
      </c>
      <c r="Z788" s="36"/>
      <c r="AA788" s="36"/>
      <c r="AB788" s="36"/>
      <c r="AC788" s="36">
        <v>29000</v>
      </c>
      <c r="AD788" s="36"/>
      <c r="AE788" s="36"/>
      <c r="AF788" s="36"/>
      <c r="AG788" s="36"/>
      <c r="AH788" s="36"/>
      <c r="AI788" s="36"/>
      <c r="AJ788" s="36"/>
      <c r="AK788" s="36"/>
      <c r="AL788" s="37">
        <f t="shared" si="88"/>
        <v>29000</v>
      </c>
      <c r="AM788" s="36"/>
      <c r="AN788" s="36"/>
      <c r="AO788" s="36"/>
      <c r="AP788" s="7"/>
      <c r="AQ788" s="38">
        <f t="shared" si="89"/>
        <v>20610463.272999998</v>
      </c>
      <c r="AR788" s="36"/>
      <c r="AS788" s="18">
        <f t="shared" si="90"/>
        <v>-20610463.272999998</v>
      </c>
    </row>
    <row r="789" spans="1:45" x14ac:dyDescent="0.25">
      <c r="A789" s="40">
        <v>46077</v>
      </c>
      <c r="B789" s="20">
        <v>2457.8339999999998</v>
      </c>
      <c r="C789" s="20">
        <v>4221.308</v>
      </c>
      <c r="D789" s="20">
        <v>5299</v>
      </c>
      <c r="E789" s="20">
        <v>4790</v>
      </c>
      <c r="F789" s="7">
        <f t="shared" si="84"/>
        <v>13024062.365999999</v>
      </c>
      <c r="G789" s="7">
        <f t="shared" si="85"/>
        <v>20220065.32</v>
      </c>
      <c r="H789" s="20">
        <v>46.5</v>
      </c>
      <c r="I789" s="20">
        <v>959500</v>
      </c>
      <c r="J789" s="20">
        <v>61.5</v>
      </c>
      <c r="K789" s="20">
        <v>528000</v>
      </c>
      <c r="L789" s="20">
        <v>54000</v>
      </c>
      <c r="M789" s="20"/>
      <c r="N789" s="20"/>
      <c r="O789" s="20"/>
      <c r="P789" s="20"/>
      <c r="Q789" s="19">
        <f t="shared" si="86"/>
        <v>34785627.685999997</v>
      </c>
      <c r="R789" s="20"/>
      <c r="S789" s="20"/>
      <c r="T789" s="20"/>
      <c r="U789" s="20"/>
      <c r="V789" s="20"/>
      <c r="W789" s="20"/>
      <c r="X789" s="20"/>
      <c r="Y789" s="8">
        <f t="shared" si="87"/>
        <v>34785627.685999997</v>
      </c>
      <c r="Z789" s="36"/>
      <c r="AA789" s="36"/>
      <c r="AB789" s="36"/>
      <c r="AC789" s="36"/>
      <c r="AD789" s="36"/>
      <c r="AE789" s="36"/>
      <c r="AF789" s="36"/>
      <c r="AG789" s="36"/>
      <c r="AH789" s="36">
        <v>22000</v>
      </c>
      <c r="AI789" s="36"/>
      <c r="AJ789" s="36">
        <v>320000</v>
      </c>
      <c r="AK789" s="36"/>
      <c r="AL789" s="37">
        <f t="shared" si="88"/>
        <v>342000</v>
      </c>
      <c r="AM789" s="36"/>
      <c r="AN789" s="36"/>
      <c r="AO789" s="36"/>
      <c r="AP789" s="7"/>
      <c r="AQ789" s="38">
        <f t="shared" si="89"/>
        <v>34443627.685999997</v>
      </c>
      <c r="AR789" s="36"/>
      <c r="AS789" s="18">
        <f t="shared" si="90"/>
        <v>-34443627.685999997</v>
      </c>
    </row>
    <row r="790" spans="1:45" x14ac:dyDescent="0.25">
      <c r="A790" s="40">
        <v>46078</v>
      </c>
      <c r="B790" s="20">
        <v>2106.1959999999999</v>
      </c>
      <c r="C790" s="20">
        <v>7029.74</v>
      </c>
      <c r="D790" s="20">
        <v>5299</v>
      </c>
      <c r="E790" s="20">
        <v>4790</v>
      </c>
      <c r="F790" s="7">
        <f t="shared" si="84"/>
        <v>11160732.604</v>
      </c>
      <c r="G790" s="7">
        <f t="shared" si="85"/>
        <v>33672454.600000001</v>
      </c>
      <c r="H790" s="20">
        <v>122.75</v>
      </c>
      <c r="I790" s="20">
        <v>2701500</v>
      </c>
      <c r="J790" s="20">
        <v>46</v>
      </c>
      <c r="K790" s="20">
        <v>397000</v>
      </c>
      <c r="L790" s="20">
        <v>218000</v>
      </c>
      <c r="M790" s="20"/>
      <c r="N790" s="20"/>
      <c r="O790" s="20"/>
      <c r="P790" s="20"/>
      <c r="Q790" s="19">
        <f t="shared" si="86"/>
        <v>48149687.204000004</v>
      </c>
      <c r="R790" s="20"/>
      <c r="S790" s="20"/>
      <c r="T790" s="20"/>
      <c r="U790" s="20"/>
      <c r="V790" s="20"/>
      <c r="W790" s="20"/>
      <c r="X790" s="20"/>
      <c r="Y790" s="8">
        <f t="shared" si="87"/>
        <v>48149687.204000004</v>
      </c>
      <c r="Z790" s="36"/>
      <c r="AA790" s="36"/>
      <c r="AB790" s="36"/>
      <c r="AC790" s="36">
        <v>20000</v>
      </c>
      <c r="AD790" s="36"/>
      <c r="AE790" s="36"/>
      <c r="AF790" s="36">
        <v>6000</v>
      </c>
      <c r="AG790" s="36"/>
      <c r="AH790" s="36"/>
      <c r="AI790" s="36"/>
      <c r="AJ790" s="36"/>
      <c r="AK790" s="36"/>
      <c r="AL790" s="37">
        <f t="shared" si="88"/>
        <v>26000</v>
      </c>
      <c r="AM790" s="36"/>
      <c r="AN790" s="36"/>
      <c r="AO790" s="36"/>
      <c r="AP790" s="7"/>
      <c r="AQ790" s="38">
        <f t="shared" si="89"/>
        <v>48123687.204000004</v>
      </c>
      <c r="AR790" s="36"/>
      <c r="AS790" s="18">
        <f t="shared" si="90"/>
        <v>-48123687.204000004</v>
      </c>
    </row>
    <row r="791" spans="1:45" x14ac:dyDescent="0.25">
      <c r="A791" s="40">
        <v>46079</v>
      </c>
      <c r="B791" s="20">
        <v>2248.9679999999998</v>
      </c>
      <c r="C791" s="20">
        <v>3340.7020000000002</v>
      </c>
      <c r="D791" s="20">
        <v>5299</v>
      </c>
      <c r="E791" s="20">
        <v>4790</v>
      </c>
      <c r="F791" s="7">
        <f t="shared" si="84"/>
        <v>11917281.432</v>
      </c>
      <c r="G791" s="7">
        <f t="shared" si="85"/>
        <v>16001962.580000002</v>
      </c>
      <c r="H791" s="20">
        <v>21.25</v>
      </c>
      <c r="I791" s="20">
        <v>571500</v>
      </c>
      <c r="J791" s="20">
        <v>36</v>
      </c>
      <c r="K791" s="20">
        <v>318000</v>
      </c>
      <c r="L791" s="20">
        <v>23000</v>
      </c>
      <c r="M791" s="20">
        <v>0</v>
      </c>
      <c r="N791" s="20"/>
      <c r="O791" s="20">
        <v>311000</v>
      </c>
      <c r="P791" s="20"/>
      <c r="Q791" s="19">
        <f t="shared" si="86"/>
        <v>29142744.012000002</v>
      </c>
      <c r="R791" s="20">
        <v>1117230</v>
      </c>
      <c r="S791" s="20">
        <v>7376442</v>
      </c>
      <c r="T791" s="20">
        <v>5000000</v>
      </c>
      <c r="U791" s="20"/>
      <c r="V791" s="20"/>
      <c r="W791" s="20">
        <v>718000</v>
      </c>
      <c r="X791" s="20">
        <v>8789154</v>
      </c>
      <c r="Y791" s="8">
        <f t="shared" si="87"/>
        <v>6141918.012000002</v>
      </c>
      <c r="Z791" s="36"/>
      <c r="AA791" s="36"/>
      <c r="AB791" s="36"/>
      <c r="AC791" s="36"/>
      <c r="AD791" s="36"/>
      <c r="AE791" s="36"/>
      <c r="AF791" s="36">
        <v>400000</v>
      </c>
      <c r="AG791" s="36"/>
      <c r="AH791" s="36"/>
      <c r="AI791" s="36">
        <v>23000</v>
      </c>
      <c r="AJ791" s="36">
        <v>13000</v>
      </c>
      <c r="AK791" s="36"/>
      <c r="AL791" s="37">
        <f t="shared" si="88"/>
        <v>436000</v>
      </c>
      <c r="AM791" s="36"/>
      <c r="AN791" s="36"/>
      <c r="AO791" s="36"/>
      <c r="AP791" s="7"/>
      <c r="AQ791" s="38">
        <f t="shared" si="89"/>
        <v>5705918.012000002</v>
      </c>
      <c r="AR791" s="36">
        <v>5806000</v>
      </c>
      <c r="AS791" s="18">
        <f t="shared" si="90"/>
        <v>100081.98799999803</v>
      </c>
    </row>
    <row r="792" spans="1:45" x14ac:dyDescent="0.25">
      <c r="A792" s="40">
        <v>46080</v>
      </c>
      <c r="B792" s="20">
        <v>2080.654</v>
      </c>
      <c r="C792" s="20">
        <v>6503.7730000000001</v>
      </c>
      <c r="D792" s="20">
        <v>5299</v>
      </c>
      <c r="E792" s="20">
        <v>4790</v>
      </c>
      <c r="F792" s="7">
        <f t="shared" si="84"/>
        <v>11025385.546</v>
      </c>
      <c r="G792" s="7">
        <f t="shared" si="85"/>
        <v>31153072.670000002</v>
      </c>
      <c r="H792" s="20">
        <v>46.75</v>
      </c>
      <c r="I792" s="20">
        <v>977000</v>
      </c>
      <c r="J792" s="20">
        <v>112</v>
      </c>
      <c r="K792" s="20">
        <v>858000</v>
      </c>
      <c r="L792" s="20">
        <v>15000</v>
      </c>
      <c r="M792" s="20"/>
      <c r="N792" s="20"/>
      <c r="O792" s="20">
        <v>4555580</v>
      </c>
      <c r="P792" s="20"/>
      <c r="Q792" s="19">
        <f t="shared" si="86"/>
        <v>48584038.216000006</v>
      </c>
      <c r="R792" s="20">
        <v>1366494</v>
      </c>
      <c r="S792" s="20">
        <v>23683803</v>
      </c>
      <c r="T792" s="20"/>
      <c r="U792" s="20"/>
      <c r="V792" s="20"/>
      <c r="W792" s="20">
        <v>405000</v>
      </c>
      <c r="X792" s="20">
        <v>11725881</v>
      </c>
      <c r="Y792" s="8">
        <f t="shared" si="87"/>
        <v>11402860.216000006</v>
      </c>
      <c r="Z792" s="36"/>
      <c r="AA792" s="36"/>
      <c r="AB792" s="36"/>
      <c r="AC792" s="36"/>
      <c r="AD792" s="36">
        <v>26495</v>
      </c>
      <c r="AE792" s="36">
        <v>120000</v>
      </c>
      <c r="AF792" s="36"/>
      <c r="AG792" s="36"/>
      <c r="AH792" s="36">
        <v>21000</v>
      </c>
      <c r="AI792" s="36"/>
      <c r="AJ792" s="36"/>
      <c r="AK792" s="36"/>
      <c r="AL792" s="37">
        <f t="shared" si="88"/>
        <v>167495</v>
      </c>
      <c r="AM792" s="36"/>
      <c r="AN792" s="36"/>
      <c r="AO792" s="36"/>
      <c r="AP792" s="7"/>
      <c r="AQ792" s="38">
        <f t="shared" si="89"/>
        <v>11235365.216000006</v>
      </c>
      <c r="AR792" s="36"/>
      <c r="AS792" s="18">
        <f t="shared" si="90"/>
        <v>-11235365.216000006</v>
      </c>
    </row>
    <row r="793" spans="1:45" x14ac:dyDescent="0.25">
      <c r="A793" s="40">
        <v>46081</v>
      </c>
      <c r="B793" s="20">
        <v>2443.482</v>
      </c>
      <c r="C793" s="20">
        <v>2722.634</v>
      </c>
      <c r="D793" s="20">
        <v>5299</v>
      </c>
      <c r="E793" s="20">
        <v>4790</v>
      </c>
      <c r="F793" s="7">
        <f t="shared" si="84"/>
        <v>12948011.118000001</v>
      </c>
      <c r="G793" s="7">
        <f t="shared" si="85"/>
        <v>13041416.859999999</v>
      </c>
      <c r="H793" s="20">
        <v>39.25</v>
      </c>
      <c r="I793" s="20">
        <v>834000</v>
      </c>
      <c r="J793" s="20">
        <v>60</v>
      </c>
      <c r="K793" s="20">
        <v>1146000</v>
      </c>
      <c r="L793" s="20">
        <v>84000</v>
      </c>
      <c r="M793" s="20"/>
      <c r="N793" s="20"/>
      <c r="O793" s="20"/>
      <c r="P793" s="20"/>
      <c r="Q793" s="19">
        <f t="shared" si="86"/>
        <v>28053427.978</v>
      </c>
      <c r="R793" s="20"/>
      <c r="S793" s="20"/>
      <c r="T793" s="20"/>
      <c r="U793" s="20"/>
      <c r="V793" s="20"/>
      <c r="W793" s="20"/>
      <c r="X793" s="20"/>
      <c r="Y793" s="8">
        <f t="shared" si="87"/>
        <v>28053427.978</v>
      </c>
      <c r="Z793" s="36"/>
      <c r="AA793" s="36"/>
      <c r="AB793" s="36"/>
      <c r="AC793" s="36">
        <v>50000</v>
      </c>
      <c r="AD793" s="36"/>
      <c r="AE793" s="36"/>
      <c r="AF793" s="36">
        <v>7000</v>
      </c>
      <c r="AG793" s="36"/>
      <c r="AH793" s="36"/>
      <c r="AI793" s="36"/>
      <c r="AJ793" s="36">
        <v>40000</v>
      </c>
      <c r="AK793" s="36"/>
      <c r="AL793" s="37">
        <f t="shared" si="88"/>
        <v>97000</v>
      </c>
      <c r="AM793" s="36"/>
      <c r="AN793" s="36"/>
      <c r="AO793" s="36"/>
      <c r="AP793" s="7"/>
      <c r="AQ793" s="38">
        <f t="shared" si="89"/>
        <v>27956427.978</v>
      </c>
      <c r="AR793" s="36"/>
      <c r="AS793" s="18">
        <f t="shared" si="90"/>
        <v>-27956427.978</v>
      </c>
    </row>
    <row r="794" spans="1:45" x14ac:dyDescent="0.25">
      <c r="A794" s="40">
        <v>46082</v>
      </c>
      <c r="B794" s="20">
        <v>2311.3870000000002</v>
      </c>
      <c r="C794" s="20">
        <v>6528.8720000000003</v>
      </c>
      <c r="D794" s="20">
        <v>5299</v>
      </c>
      <c r="E794" s="20">
        <v>4790</v>
      </c>
      <c r="F794" s="7">
        <f t="shared" si="84"/>
        <v>12248039.713000001</v>
      </c>
      <c r="G794" s="7">
        <f t="shared" si="85"/>
        <v>31273296.880000003</v>
      </c>
      <c r="H794" s="20">
        <v>127.5</v>
      </c>
      <c r="I794" s="20">
        <v>2806500</v>
      </c>
      <c r="J794" s="20">
        <v>77.5</v>
      </c>
      <c r="K794" s="20">
        <v>740500</v>
      </c>
      <c r="L794" s="20">
        <v>54000</v>
      </c>
      <c r="M794" s="20"/>
      <c r="N794" s="20"/>
      <c r="O794" s="20"/>
      <c r="P794" s="20"/>
      <c r="Q794" s="19">
        <f t="shared" si="86"/>
        <v>47122336.593000002</v>
      </c>
      <c r="R794" s="20"/>
      <c r="S794" s="20"/>
      <c r="T794" s="20"/>
      <c r="U794" s="20"/>
      <c r="V794" s="20"/>
      <c r="W794" s="20"/>
      <c r="X794" s="20"/>
      <c r="Y794" s="8">
        <f t="shared" si="87"/>
        <v>47122336.593000002</v>
      </c>
      <c r="Z794" s="36"/>
      <c r="AA794" s="36"/>
      <c r="AB794" s="36"/>
      <c r="AC794" s="36"/>
      <c r="AD794" s="36"/>
      <c r="AE794" s="36"/>
      <c r="AF794" s="36">
        <v>70000</v>
      </c>
      <c r="AG794" s="36"/>
      <c r="AH794" s="36"/>
      <c r="AI794" s="36"/>
      <c r="AJ794" s="36">
        <v>2115000</v>
      </c>
      <c r="AK794" s="36"/>
      <c r="AL794" s="37">
        <f t="shared" si="88"/>
        <v>2185000</v>
      </c>
      <c r="AM794" s="36"/>
      <c r="AN794" s="36"/>
      <c r="AO794" s="36"/>
      <c r="AP794" s="7"/>
      <c r="AQ794" s="38">
        <f t="shared" si="89"/>
        <v>44937336.593000002</v>
      </c>
      <c r="AR794" s="36"/>
      <c r="AS794" s="18">
        <f t="shared" si="90"/>
        <v>-44937336.593000002</v>
      </c>
    </row>
    <row r="795" spans="1:45" x14ac:dyDescent="0.25">
      <c r="A795" s="40">
        <v>46083</v>
      </c>
      <c r="B795" s="20">
        <v>1653.0940000000001</v>
      </c>
      <c r="C795" s="20">
        <v>3579.1729999999998</v>
      </c>
      <c r="D795" s="20">
        <v>5299</v>
      </c>
      <c r="E795" s="20">
        <v>4790</v>
      </c>
      <c r="F795" s="7">
        <f t="shared" si="84"/>
        <v>8759745.1060000006</v>
      </c>
      <c r="G795" s="7">
        <f t="shared" si="85"/>
        <v>17144238.669999998</v>
      </c>
      <c r="H795" s="20">
        <f>'[1]MAR 2026'!H2</f>
        <v>21.5</v>
      </c>
      <c r="I795" s="20">
        <v>433500</v>
      </c>
      <c r="J795" s="20">
        <f>'[1]MAR 2026'!J2</f>
        <v>61.5</v>
      </c>
      <c r="K795" s="20">
        <v>707000</v>
      </c>
      <c r="L795" s="20">
        <v>55000</v>
      </c>
      <c r="M795" s="20"/>
      <c r="N795" s="20"/>
      <c r="O795" s="20"/>
      <c r="P795" s="20"/>
      <c r="Q795" s="19">
        <f t="shared" si="86"/>
        <v>27099483.776000001</v>
      </c>
      <c r="R795" s="20"/>
      <c r="S795" s="20"/>
      <c r="T795" s="20"/>
      <c r="U795" s="20"/>
      <c r="V795" s="20"/>
      <c r="W795" s="20"/>
      <c r="X795" s="20"/>
      <c r="Y795" s="8">
        <f t="shared" si="87"/>
        <v>27099483.776000001</v>
      </c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>
        <v>200000</v>
      </c>
      <c r="AK795" s="36"/>
      <c r="AL795" s="37">
        <f t="shared" si="88"/>
        <v>200000</v>
      </c>
      <c r="AM795" s="36"/>
      <c r="AN795" s="36"/>
      <c r="AO795" s="36"/>
      <c r="AP795" s="7"/>
      <c r="AQ795" s="38">
        <f t="shared" si="89"/>
        <v>26899483.776000001</v>
      </c>
      <c r="AR795" s="36"/>
      <c r="AS795" s="18">
        <f t="shared" si="90"/>
        <v>-26899483.776000001</v>
      </c>
    </row>
    <row r="796" spans="1:45" x14ac:dyDescent="0.25">
      <c r="A796" s="40">
        <v>46084</v>
      </c>
      <c r="B796" s="20">
        <v>2510.3780000000002</v>
      </c>
      <c r="C796" s="20">
        <v>6361.5020000000004</v>
      </c>
      <c r="D796" s="20">
        <v>5299</v>
      </c>
      <c r="E796" s="20">
        <v>4790</v>
      </c>
      <c r="F796" s="7">
        <f t="shared" si="84"/>
        <v>13302493.022000002</v>
      </c>
      <c r="G796" s="7">
        <f t="shared" si="85"/>
        <v>30471594.580000002</v>
      </c>
      <c r="H796" s="20">
        <f>'[1]MAR 2026'!H3</f>
        <v>77.5</v>
      </c>
      <c r="I796" s="20">
        <v>1562000</v>
      </c>
      <c r="J796" s="20">
        <f>'[1]MAR 2026'!J3</f>
        <v>86.5</v>
      </c>
      <c r="K796" s="20">
        <v>825000</v>
      </c>
      <c r="L796" s="20">
        <v>266000</v>
      </c>
      <c r="M796" s="20"/>
      <c r="N796" s="20"/>
      <c r="O796" s="20"/>
      <c r="P796" s="20"/>
      <c r="Q796" s="19">
        <f t="shared" si="86"/>
        <v>46427087.602000006</v>
      </c>
      <c r="R796" s="20"/>
      <c r="S796" s="20"/>
      <c r="T796" s="20"/>
      <c r="U796" s="20"/>
      <c r="V796" s="20"/>
      <c r="W796" s="20"/>
      <c r="X796" s="20"/>
      <c r="Y796" s="8">
        <f t="shared" si="87"/>
        <v>46427087.602000006</v>
      </c>
      <c r="Z796" s="36"/>
      <c r="AA796" s="36"/>
      <c r="AB796" s="36"/>
      <c r="AC796" s="36">
        <v>34000</v>
      </c>
      <c r="AD796" s="36"/>
      <c r="AE796" s="36"/>
      <c r="AF796" s="36">
        <v>3000</v>
      </c>
      <c r="AG796" s="36"/>
      <c r="AH796" s="36">
        <v>70000</v>
      </c>
      <c r="AI796" s="36"/>
      <c r="AJ796" s="36"/>
      <c r="AK796" s="36"/>
      <c r="AL796" s="37">
        <f t="shared" si="88"/>
        <v>107000</v>
      </c>
      <c r="AM796" s="36"/>
      <c r="AN796" s="36"/>
      <c r="AO796" s="36"/>
      <c r="AP796" s="7"/>
      <c r="AQ796" s="38">
        <f t="shared" si="89"/>
        <v>46320087.602000006</v>
      </c>
      <c r="AR796" s="36"/>
      <c r="AS796" s="18">
        <f t="shared" si="90"/>
        <v>-46320087.602000006</v>
      </c>
    </row>
    <row r="797" spans="1:45" x14ac:dyDescent="0.25">
      <c r="A797" s="40">
        <v>46085</v>
      </c>
      <c r="B797" s="20">
        <v>2535.9209999999998</v>
      </c>
      <c r="C797" s="20">
        <v>4491.2709999999997</v>
      </c>
      <c r="D797" s="20">
        <v>5299</v>
      </c>
      <c r="E797" s="20">
        <v>4790</v>
      </c>
      <c r="F797" s="7">
        <f t="shared" si="84"/>
        <v>13437845.378999999</v>
      </c>
      <c r="G797" s="7">
        <f t="shared" si="85"/>
        <v>21513188.09</v>
      </c>
      <c r="H797" s="20">
        <f>'[1]MAR 2026'!H4</f>
        <v>114.5</v>
      </c>
      <c r="I797" s="20">
        <v>2599000</v>
      </c>
      <c r="J797" s="20">
        <f>'[1]MAR 2026'!J4</f>
        <v>45.5</v>
      </c>
      <c r="K797" s="20">
        <v>451000</v>
      </c>
      <c r="L797" s="20">
        <v>183000</v>
      </c>
      <c r="M797" s="20"/>
      <c r="N797" s="20"/>
      <c r="O797" s="20"/>
      <c r="P797" s="20"/>
      <c r="Q797" s="19">
        <f t="shared" si="86"/>
        <v>38184033.468999997</v>
      </c>
      <c r="R797" s="20"/>
      <c r="S797" s="20"/>
      <c r="T797" s="20"/>
      <c r="U797" s="20"/>
      <c r="V797" s="20"/>
      <c r="W797" s="20"/>
      <c r="X797" s="20"/>
      <c r="Y797" s="8">
        <f t="shared" si="87"/>
        <v>38184033.468999997</v>
      </c>
      <c r="Z797" s="36"/>
      <c r="AA797" s="36"/>
      <c r="AB797" s="36"/>
      <c r="AC797" s="36"/>
      <c r="AD797" s="36"/>
      <c r="AE797" s="36"/>
      <c r="AF797" s="36">
        <v>204000</v>
      </c>
      <c r="AG797" s="36"/>
      <c r="AH797" s="36"/>
      <c r="AI797" s="36"/>
      <c r="AJ797" s="36">
        <v>112000</v>
      </c>
      <c r="AK797" s="36"/>
      <c r="AL797" s="37">
        <f t="shared" si="88"/>
        <v>316000</v>
      </c>
      <c r="AM797" s="36"/>
      <c r="AN797" s="36"/>
      <c r="AO797" s="36"/>
      <c r="AP797" s="7"/>
      <c r="AQ797" s="38">
        <f t="shared" si="89"/>
        <v>37868033.468999997</v>
      </c>
      <c r="AR797" s="36"/>
      <c r="AS797" s="18">
        <f t="shared" si="90"/>
        <v>-37868033.468999997</v>
      </c>
    </row>
    <row r="798" spans="1:45" x14ac:dyDescent="0.25">
      <c r="A798" s="40">
        <v>46086</v>
      </c>
      <c r="B798" s="20">
        <v>2138.8719999999998</v>
      </c>
      <c r="C798" s="20">
        <v>3254.4839999999999</v>
      </c>
      <c r="D798" s="20">
        <v>5299</v>
      </c>
      <c r="E798" s="20">
        <v>4790</v>
      </c>
      <c r="F798" s="7">
        <f t="shared" si="84"/>
        <v>11333882.727999998</v>
      </c>
      <c r="G798" s="7">
        <f t="shared" si="85"/>
        <v>15588978.359999999</v>
      </c>
      <c r="H798" s="20">
        <f>'[1]MAR 2026'!H5</f>
        <v>61.25</v>
      </c>
      <c r="I798" s="20">
        <v>1441500</v>
      </c>
      <c r="J798" s="20">
        <f>'[1]MAR 2026'!J5</f>
        <v>27</v>
      </c>
      <c r="K798" s="20">
        <v>324000</v>
      </c>
      <c r="L798" s="20">
        <v>36000</v>
      </c>
      <c r="M798" s="20"/>
      <c r="N798" s="20"/>
      <c r="O798" s="20"/>
      <c r="P798" s="20"/>
      <c r="Q798" s="19">
        <f t="shared" si="86"/>
        <v>28724361.088</v>
      </c>
      <c r="R798" s="20"/>
      <c r="S798" s="20"/>
      <c r="T798" s="20"/>
      <c r="U798" s="20"/>
      <c r="V798" s="20"/>
      <c r="W798" s="20"/>
      <c r="X798" s="20"/>
      <c r="Y798" s="8">
        <f t="shared" si="87"/>
        <v>28724361.088</v>
      </c>
      <c r="Z798" s="36"/>
      <c r="AA798" s="36"/>
      <c r="AB798" s="36"/>
      <c r="AC798" s="36"/>
      <c r="AD798" s="36">
        <v>47900</v>
      </c>
      <c r="AE798" s="36"/>
      <c r="AF798" s="36">
        <v>3000</v>
      </c>
      <c r="AG798" s="36"/>
      <c r="AH798" s="36">
        <v>30000</v>
      </c>
      <c r="AI798" s="36"/>
      <c r="AJ798" s="36">
        <v>220000</v>
      </c>
      <c r="AK798" s="36"/>
      <c r="AL798" s="37">
        <f t="shared" si="88"/>
        <v>300900</v>
      </c>
      <c r="AM798" s="36"/>
      <c r="AN798" s="36"/>
      <c r="AO798" s="36"/>
      <c r="AP798" s="7"/>
      <c r="AQ798" s="38">
        <f t="shared" si="89"/>
        <v>28423461.088</v>
      </c>
      <c r="AR798" s="36"/>
      <c r="AS798" s="18">
        <f t="shared" si="90"/>
        <v>-28423461.088</v>
      </c>
    </row>
    <row r="799" spans="1:45" x14ac:dyDescent="0.25">
      <c r="A799" s="40">
        <v>46087</v>
      </c>
      <c r="B799" s="20">
        <v>2033.9079999999999</v>
      </c>
      <c r="C799" s="20">
        <v>1836.4110000000001</v>
      </c>
      <c r="D799" s="20">
        <v>5299</v>
      </c>
      <c r="E799" s="20">
        <v>4790</v>
      </c>
      <c r="F799" s="7">
        <f t="shared" si="84"/>
        <v>10777678.491999999</v>
      </c>
      <c r="G799" s="7">
        <f t="shared" si="85"/>
        <v>8796408.6899999995</v>
      </c>
      <c r="H799" s="20">
        <f>'[1]MAR 2026'!H6</f>
        <v>66</v>
      </c>
      <c r="I799" s="20">
        <v>1520000</v>
      </c>
      <c r="J799" s="20">
        <f>'[1]MAR 2026'!J6</f>
        <v>49</v>
      </c>
      <c r="K799" s="20">
        <v>430000</v>
      </c>
      <c r="L799" s="20">
        <v>158000</v>
      </c>
      <c r="M799" s="20"/>
      <c r="N799" s="20"/>
      <c r="O799" s="20"/>
      <c r="P799" s="20"/>
      <c r="Q799" s="19">
        <f t="shared" si="86"/>
        <v>21682087.181999996</v>
      </c>
      <c r="R799" s="20"/>
      <c r="S799" s="20"/>
      <c r="T799" s="20"/>
      <c r="U799" s="20"/>
      <c r="V799" s="20"/>
      <c r="W799" s="20"/>
      <c r="X799" s="20"/>
      <c r="Y799" s="8">
        <f t="shared" si="87"/>
        <v>21682087.181999996</v>
      </c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>
        <v>1719000</v>
      </c>
      <c r="AK799" s="36"/>
      <c r="AL799" s="37">
        <f t="shared" si="88"/>
        <v>1719000</v>
      </c>
      <c r="AM799" s="36"/>
      <c r="AN799" s="36"/>
      <c r="AO799" s="36"/>
      <c r="AP799" s="7"/>
      <c r="AQ799" s="38">
        <f t="shared" si="89"/>
        <v>19963087.181999996</v>
      </c>
      <c r="AR799" s="36"/>
      <c r="AS799" s="18">
        <f t="shared" si="90"/>
        <v>-19963087.181999996</v>
      </c>
    </row>
    <row r="800" spans="1:45" x14ac:dyDescent="0.25">
      <c r="A800" s="40">
        <v>46088</v>
      </c>
      <c r="B800" s="20">
        <v>2255.2730000000001</v>
      </c>
      <c r="C800" s="20">
        <v>3509.018</v>
      </c>
      <c r="D800" s="20">
        <v>5299</v>
      </c>
      <c r="E800" s="20">
        <v>4790</v>
      </c>
      <c r="F800" s="7">
        <f t="shared" si="84"/>
        <v>11950691.627</v>
      </c>
      <c r="G800" s="7">
        <f t="shared" si="85"/>
        <v>16808196.219999999</v>
      </c>
      <c r="H800" s="20">
        <f>'[1]MAR 2026'!H7</f>
        <v>214.5</v>
      </c>
      <c r="I800" s="20">
        <v>1481500</v>
      </c>
      <c r="J800" s="20">
        <f>'[1]MAR 2026'!J7</f>
        <v>159.5</v>
      </c>
      <c r="K800" s="20">
        <v>895000</v>
      </c>
      <c r="L800" s="20">
        <v>92000</v>
      </c>
      <c r="M800" s="20"/>
      <c r="N800" s="20"/>
      <c r="O800" s="20"/>
      <c r="P800" s="20"/>
      <c r="Q800" s="19">
        <f t="shared" si="86"/>
        <v>31227387.846999999</v>
      </c>
      <c r="R800" s="20">
        <v>961952</v>
      </c>
      <c r="S800" s="20">
        <v>7963842</v>
      </c>
      <c r="T800" s="20"/>
      <c r="U800" s="20"/>
      <c r="V800" s="20"/>
      <c r="W800" s="20">
        <v>453490</v>
      </c>
      <c r="X800" s="20">
        <v>10730571</v>
      </c>
      <c r="Y800" s="8">
        <f t="shared" si="87"/>
        <v>11117532.846999999</v>
      </c>
      <c r="Z800" s="36"/>
      <c r="AA800" s="36">
        <v>190000</v>
      </c>
      <c r="AB800" s="36"/>
      <c r="AC800" s="36"/>
      <c r="AD800" s="36"/>
      <c r="AE800" s="36"/>
      <c r="AF800" s="36"/>
      <c r="AG800" s="36">
        <v>2100000</v>
      </c>
      <c r="AH800" s="36"/>
      <c r="AI800" s="36"/>
      <c r="AJ800" s="36"/>
      <c r="AK800" s="36"/>
      <c r="AL800" s="37">
        <f t="shared" si="88"/>
        <v>2290000</v>
      </c>
      <c r="AM800" s="36"/>
      <c r="AN800" s="36"/>
      <c r="AO800" s="36"/>
      <c r="AP800" s="7"/>
      <c r="AQ800" s="38">
        <f t="shared" si="89"/>
        <v>8827532.8469999991</v>
      </c>
      <c r="AR800" s="36"/>
      <c r="AS800" s="18">
        <f t="shared" si="90"/>
        <v>-8827532.8469999991</v>
      </c>
    </row>
    <row r="801" spans="1:45" x14ac:dyDescent="0.25">
      <c r="A801" s="40">
        <v>46089</v>
      </c>
      <c r="B801" s="20">
        <v>2208.8029999999999</v>
      </c>
      <c r="C801" s="20">
        <v>1988.4680000000001</v>
      </c>
      <c r="D801" s="20">
        <v>5299</v>
      </c>
      <c r="E801" s="20">
        <v>4790</v>
      </c>
      <c r="F801" s="7">
        <f t="shared" si="84"/>
        <v>11704447.096999999</v>
      </c>
      <c r="G801" s="7">
        <f t="shared" si="85"/>
        <v>9524761.7200000007</v>
      </c>
      <c r="H801" s="20">
        <f>'[1]MAR 2026'!H8</f>
        <v>40</v>
      </c>
      <c r="I801" s="20">
        <v>903500</v>
      </c>
      <c r="J801" s="20">
        <f>'[1]MAR 2026'!J8</f>
        <v>83.5</v>
      </c>
      <c r="K801" s="20">
        <v>575000</v>
      </c>
      <c r="L801" s="20">
        <v>61000</v>
      </c>
      <c r="M801" s="20"/>
      <c r="N801" s="20">
        <v>300000</v>
      </c>
      <c r="O801" s="20">
        <v>349000</v>
      </c>
      <c r="P801" s="20"/>
      <c r="Q801" s="19">
        <f t="shared" si="86"/>
        <v>23417708.817000002</v>
      </c>
      <c r="R801" s="20">
        <v>968420</v>
      </c>
      <c r="S801" s="20">
        <v>6504263</v>
      </c>
      <c r="T801" s="20"/>
      <c r="U801" s="20"/>
      <c r="V801" s="20"/>
      <c r="W801" s="20">
        <v>544000</v>
      </c>
      <c r="X801" s="20">
        <v>6125878</v>
      </c>
      <c r="Y801" s="8">
        <f t="shared" si="87"/>
        <v>9275147.8170000017</v>
      </c>
      <c r="Z801" s="36"/>
      <c r="AA801" s="36"/>
      <c r="AB801" s="36"/>
      <c r="AC801" s="36"/>
      <c r="AD801" s="36"/>
      <c r="AE801" s="36">
        <v>1060000</v>
      </c>
      <c r="AF801" s="36">
        <v>4005000</v>
      </c>
      <c r="AG801" s="36"/>
      <c r="AH801" s="36"/>
      <c r="AI801" s="36"/>
      <c r="AJ801" s="36">
        <v>175500</v>
      </c>
      <c r="AK801" s="36"/>
      <c r="AL801" s="37">
        <f t="shared" si="88"/>
        <v>5240500</v>
      </c>
      <c r="AM801" s="36">
        <v>815000</v>
      </c>
      <c r="AN801" s="36"/>
      <c r="AO801" s="36"/>
      <c r="AP801" s="7"/>
      <c r="AQ801" s="38">
        <f t="shared" si="89"/>
        <v>3219647.8170000017</v>
      </c>
      <c r="AR801" s="36">
        <v>0</v>
      </c>
      <c r="AS801" s="18">
        <f t="shared" si="90"/>
        <v>-3219647.8170000017</v>
      </c>
    </row>
    <row r="802" spans="1:45" x14ac:dyDescent="0.25">
      <c r="A802" s="40">
        <v>46090</v>
      </c>
      <c r="B802" s="20">
        <v>1006.347</v>
      </c>
      <c r="C802" s="20">
        <v>1958.78</v>
      </c>
      <c r="D802" s="20">
        <v>5299</v>
      </c>
      <c r="E802" s="20">
        <v>4790</v>
      </c>
      <c r="F802" s="7">
        <f t="shared" si="84"/>
        <v>5332632.7529999996</v>
      </c>
      <c r="G802" s="7">
        <f t="shared" si="85"/>
        <v>9382556.1999999993</v>
      </c>
      <c r="H802" s="20">
        <f>'[1]MAR 2026'!H9</f>
        <v>56.5</v>
      </c>
      <c r="I802" s="20">
        <v>1099000</v>
      </c>
      <c r="J802" s="20">
        <f>'[1]MAR 2026'!J9</f>
        <v>56</v>
      </c>
      <c r="K802" s="20">
        <v>389000</v>
      </c>
      <c r="L802" s="20">
        <v>389000</v>
      </c>
      <c r="M802" s="20"/>
      <c r="N802" s="20"/>
      <c r="O802" s="20">
        <v>6915000</v>
      </c>
      <c r="P802" s="20"/>
      <c r="Q802" s="19">
        <f t="shared" si="86"/>
        <v>23507188.952999998</v>
      </c>
      <c r="R802" s="20">
        <v>96755</v>
      </c>
      <c r="S802" s="20">
        <v>5972691</v>
      </c>
      <c r="T802" s="20"/>
      <c r="U802" s="20"/>
      <c r="V802" s="20"/>
      <c r="W802" s="20">
        <v>224000</v>
      </c>
      <c r="X802" s="20">
        <v>1825107</v>
      </c>
      <c r="Y802" s="8">
        <f t="shared" si="87"/>
        <v>15388635.952999998</v>
      </c>
      <c r="Z802" s="36"/>
      <c r="AA802" s="36"/>
      <c r="AB802" s="36"/>
      <c r="AC802" s="36"/>
      <c r="AD802" s="36"/>
      <c r="AE802" s="36"/>
      <c r="AF802" s="36"/>
      <c r="AG802" s="36"/>
      <c r="AH802" s="36">
        <v>5000</v>
      </c>
      <c r="AI802" s="36"/>
      <c r="AJ802" s="36"/>
      <c r="AK802" s="36"/>
      <c r="AL802" s="37">
        <f t="shared" si="88"/>
        <v>5000</v>
      </c>
      <c r="AM802" s="36"/>
      <c r="AN802" s="36"/>
      <c r="AO802" s="36"/>
      <c r="AP802" s="7"/>
      <c r="AQ802" s="38">
        <f t="shared" si="89"/>
        <v>15383635.952999998</v>
      </c>
      <c r="AR802" s="36">
        <v>15114600</v>
      </c>
      <c r="AS802" s="18">
        <f t="shared" si="90"/>
        <v>-269035.95299999788</v>
      </c>
    </row>
    <row r="803" spans="1:45" x14ac:dyDescent="0.25">
      <c r="A803" s="40">
        <v>46091</v>
      </c>
      <c r="B803" s="20">
        <v>1826.3620000000001</v>
      </c>
      <c r="C803" s="20">
        <v>5007.0749999999998</v>
      </c>
      <c r="D803" s="20">
        <v>5299</v>
      </c>
      <c r="E803" s="20">
        <v>4790</v>
      </c>
      <c r="F803" s="7">
        <f t="shared" si="84"/>
        <v>9677892.2379999999</v>
      </c>
      <c r="G803" s="7">
        <f t="shared" si="85"/>
        <v>23983889.25</v>
      </c>
      <c r="H803" s="20">
        <f>'[1]MAR 2026'!H10</f>
        <v>90.25</v>
      </c>
      <c r="I803" s="20">
        <v>1937500</v>
      </c>
      <c r="J803" s="20">
        <f>'[1]MAR 2026'!J10</f>
        <v>46</v>
      </c>
      <c r="K803" s="20">
        <v>398000</v>
      </c>
      <c r="L803" s="20">
        <v>31000</v>
      </c>
      <c r="M803" s="20"/>
      <c r="N803" s="20"/>
      <c r="O803" s="20"/>
      <c r="P803" s="20"/>
      <c r="Q803" s="19">
        <f t="shared" si="86"/>
        <v>36028281.487999998</v>
      </c>
      <c r="R803" s="20"/>
      <c r="S803" s="20"/>
      <c r="T803" s="20"/>
      <c r="U803" s="20"/>
      <c r="V803" s="20"/>
      <c r="W803" s="20"/>
      <c r="X803" s="20"/>
      <c r="Y803" s="8">
        <f t="shared" si="87"/>
        <v>36028281.487999998</v>
      </c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7">
        <f t="shared" si="88"/>
        <v>0</v>
      </c>
      <c r="AM803" s="36"/>
      <c r="AN803" s="36"/>
      <c r="AO803" s="36"/>
      <c r="AP803" s="7"/>
      <c r="AQ803" s="38">
        <f t="shared" si="89"/>
        <v>36028281.487999998</v>
      </c>
      <c r="AR803" s="36"/>
      <c r="AS803" s="18">
        <f t="shared" si="90"/>
        <v>-36028281.487999998</v>
      </c>
    </row>
    <row r="804" spans="1:45" x14ac:dyDescent="0.25">
      <c r="A804" s="40">
        <v>46092</v>
      </c>
      <c r="B804" s="20">
        <v>1656.8630000000001</v>
      </c>
      <c r="C804" s="20">
        <v>3057.5740000000001</v>
      </c>
      <c r="D804" s="20">
        <v>5299</v>
      </c>
      <c r="E804" s="20">
        <v>4790</v>
      </c>
      <c r="F804" s="7">
        <f t="shared" si="84"/>
        <v>8779717.0370000005</v>
      </c>
      <c r="G804" s="7">
        <f t="shared" si="85"/>
        <v>14645779.460000001</v>
      </c>
      <c r="H804" s="20">
        <f>'[1]MAR 2026'!H11</f>
        <v>41.75</v>
      </c>
      <c r="I804" s="20">
        <v>844000</v>
      </c>
      <c r="J804" s="20">
        <f>'[1]MAR 2026'!J11</f>
        <v>62</v>
      </c>
      <c r="K804" s="20">
        <v>556000</v>
      </c>
      <c r="L804" s="20">
        <v>79000</v>
      </c>
      <c r="M804" s="20"/>
      <c r="N804" s="20"/>
      <c r="O804" s="20"/>
      <c r="P804" s="20"/>
      <c r="Q804" s="19">
        <f t="shared" si="86"/>
        <v>24904496.497000001</v>
      </c>
      <c r="R804" s="20"/>
      <c r="S804" s="20"/>
      <c r="T804" s="20"/>
      <c r="U804" s="20"/>
      <c r="V804" s="20"/>
      <c r="W804" s="20"/>
      <c r="X804" s="20"/>
      <c r="Y804" s="8">
        <f t="shared" si="87"/>
        <v>24904496.497000001</v>
      </c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7">
        <f t="shared" si="88"/>
        <v>0</v>
      </c>
      <c r="AM804" s="36"/>
      <c r="AN804" s="36"/>
      <c r="AO804" s="36"/>
      <c r="AP804" s="7"/>
      <c r="AQ804" s="38">
        <f t="shared" si="89"/>
        <v>24904496.497000001</v>
      </c>
      <c r="AR804" s="36"/>
      <c r="AS804" s="18">
        <f t="shared" si="90"/>
        <v>-24904496.497000001</v>
      </c>
    </row>
    <row r="805" spans="1:45" x14ac:dyDescent="0.25">
      <c r="A805" s="40">
        <v>46093</v>
      </c>
      <c r="B805" s="20">
        <v>2417.0929999999998</v>
      </c>
      <c r="C805" s="20">
        <v>2996.9229999999998</v>
      </c>
      <c r="D805" s="20">
        <v>5299</v>
      </c>
      <c r="E805" s="20">
        <v>4790</v>
      </c>
      <c r="F805" s="7">
        <f t="shared" si="84"/>
        <v>12808175.807</v>
      </c>
      <c r="G805" s="7">
        <f t="shared" si="85"/>
        <v>14355261.169999998</v>
      </c>
      <c r="H805" s="20">
        <f>'[1]MAR 2026'!H12</f>
        <v>32.75</v>
      </c>
      <c r="I805" s="20">
        <v>664000</v>
      </c>
      <c r="J805" s="20">
        <f>'[1]MAR 2026'!J12</f>
        <v>48</v>
      </c>
      <c r="K805" s="20">
        <v>422000</v>
      </c>
      <c r="L805" s="20">
        <v>31000</v>
      </c>
      <c r="M805" s="20">
        <v>150000</v>
      </c>
      <c r="N805" s="20"/>
      <c r="O805" s="20">
        <v>6490500</v>
      </c>
      <c r="P805" s="20"/>
      <c r="Q805" s="19">
        <f t="shared" si="86"/>
        <v>34920936.976999998</v>
      </c>
      <c r="R805" s="20">
        <v>2392645</v>
      </c>
      <c r="S805" s="20">
        <v>12042687</v>
      </c>
      <c r="T805" s="20"/>
      <c r="U805" s="20"/>
      <c r="V805" s="20"/>
      <c r="W805" s="20">
        <v>471700</v>
      </c>
      <c r="X805" s="20">
        <v>5028602</v>
      </c>
      <c r="Y805" s="8">
        <f t="shared" si="87"/>
        <v>14985302.976999998</v>
      </c>
      <c r="Z805" s="36"/>
      <c r="AA805" s="36"/>
      <c r="AB805" s="36"/>
      <c r="AC805" s="36"/>
      <c r="AD805" s="36"/>
      <c r="AE805" s="36"/>
      <c r="AF805" s="36">
        <v>20000</v>
      </c>
      <c r="AG805" s="36"/>
      <c r="AH805" s="36"/>
      <c r="AI805" s="36"/>
      <c r="AJ805" s="36">
        <v>4195000</v>
      </c>
      <c r="AK805" s="36"/>
      <c r="AL805" s="37">
        <f t="shared" si="88"/>
        <v>4215000</v>
      </c>
      <c r="AM805" s="36"/>
      <c r="AN805" s="36"/>
      <c r="AO805" s="36"/>
      <c r="AP805" s="7"/>
      <c r="AQ805" s="38">
        <f t="shared" si="89"/>
        <v>10770302.976999998</v>
      </c>
      <c r="AR805" s="36">
        <v>10770000</v>
      </c>
      <c r="AS805" s="18">
        <f t="shared" si="90"/>
        <v>-302.97699999809265</v>
      </c>
    </row>
    <row r="806" spans="1:45" x14ac:dyDescent="0.25">
      <c r="A806" s="40">
        <v>46094</v>
      </c>
      <c r="B806" s="20">
        <v>1925.1610000000001</v>
      </c>
      <c r="C806" s="20">
        <v>4468.1869999999999</v>
      </c>
      <c r="D806" s="20">
        <v>5299</v>
      </c>
      <c r="E806" s="20">
        <v>4790</v>
      </c>
      <c r="F806" s="7">
        <f t="shared" si="84"/>
        <v>10201428.139</v>
      </c>
      <c r="G806" s="7">
        <f t="shared" si="85"/>
        <v>21402615.73</v>
      </c>
      <c r="H806" s="20">
        <f>'[1]MAR 2026'!H13</f>
        <v>33.85</v>
      </c>
      <c r="I806" s="20">
        <v>844500</v>
      </c>
      <c r="J806" s="20">
        <f>'[1]MAR 2026'!J13</f>
        <v>18</v>
      </c>
      <c r="K806" s="20">
        <v>159000</v>
      </c>
      <c r="L806" s="20">
        <v>15000</v>
      </c>
      <c r="M806" s="20">
        <v>0</v>
      </c>
      <c r="N806" s="20"/>
      <c r="O806" s="20">
        <v>580000</v>
      </c>
      <c r="P806" s="20"/>
      <c r="Q806" s="19">
        <f t="shared" si="86"/>
        <v>33202543.869000003</v>
      </c>
      <c r="R806" s="20">
        <v>997658</v>
      </c>
      <c r="S806" s="20">
        <v>12993065</v>
      </c>
      <c r="T806" s="20"/>
      <c r="U806" s="20"/>
      <c r="V806" s="20"/>
      <c r="W806" s="20">
        <v>845000</v>
      </c>
      <c r="X806" s="20">
        <v>10226327</v>
      </c>
      <c r="Y806" s="8">
        <f t="shared" si="87"/>
        <v>8140493.8690000027</v>
      </c>
      <c r="Z806" s="36"/>
      <c r="AA806" s="36"/>
      <c r="AB806" s="36"/>
      <c r="AC806" s="36"/>
      <c r="AD806" s="36"/>
      <c r="AE806" s="36"/>
      <c r="AF806" s="36">
        <v>3000</v>
      </c>
      <c r="AG806" s="36"/>
      <c r="AH806" s="36"/>
      <c r="AI806" s="36"/>
      <c r="AJ806" s="36">
        <v>4503000</v>
      </c>
      <c r="AK806" s="36"/>
      <c r="AL806" s="37">
        <f t="shared" si="88"/>
        <v>4506000</v>
      </c>
      <c r="AM806" s="36"/>
      <c r="AN806" s="36"/>
      <c r="AO806" s="36"/>
      <c r="AP806" s="7"/>
      <c r="AQ806" s="38">
        <f t="shared" si="89"/>
        <v>3634493.8690000027</v>
      </c>
      <c r="AR806" s="36">
        <v>0</v>
      </c>
      <c r="AS806" s="18">
        <f t="shared" si="90"/>
        <v>-3634493.8690000027</v>
      </c>
    </row>
    <row r="807" spans="1:45" x14ac:dyDescent="0.25">
      <c r="A807" s="40">
        <v>46095</v>
      </c>
      <c r="B807" s="20">
        <v>2354.721</v>
      </c>
      <c r="C807" s="20">
        <v>3523.5120000000002</v>
      </c>
      <c r="D807" s="20">
        <v>5399</v>
      </c>
      <c r="E807" s="20">
        <v>4790</v>
      </c>
      <c r="F807" s="7">
        <f t="shared" si="84"/>
        <v>12713138.679</v>
      </c>
      <c r="G807" s="7">
        <f t="shared" si="85"/>
        <v>16877622.48</v>
      </c>
      <c r="H807" s="20">
        <f>'[1]MAR 2026'!H14</f>
        <v>40.5</v>
      </c>
      <c r="I807" s="20">
        <v>1299000</v>
      </c>
      <c r="J807" s="20">
        <f>'[1]MAR 2026'!J14</f>
        <v>55</v>
      </c>
      <c r="K807" s="20">
        <v>676500</v>
      </c>
      <c r="L807" s="20">
        <v>24000</v>
      </c>
      <c r="M807" s="20"/>
      <c r="N807" s="20">
        <v>250000</v>
      </c>
      <c r="O807" s="20">
        <v>0</v>
      </c>
      <c r="P807" s="20"/>
      <c r="Q807" s="19">
        <f t="shared" si="86"/>
        <v>31840261.159000002</v>
      </c>
      <c r="R807" s="20">
        <v>1854007</v>
      </c>
      <c r="S807" s="20">
        <v>7983579</v>
      </c>
      <c r="T807" s="20"/>
      <c r="U807" s="20"/>
      <c r="V807" s="20"/>
      <c r="W807" s="20">
        <v>50000</v>
      </c>
      <c r="X807" s="20">
        <v>17167096</v>
      </c>
      <c r="Y807" s="8">
        <f t="shared" si="87"/>
        <v>4785579.1590000018</v>
      </c>
      <c r="Z807" s="36"/>
      <c r="AA807" s="36"/>
      <c r="AB807" s="36"/>
      <c r="AC807" s="36"/>
      <c r="AD807" s="36"/>
      <c r="AE807" s="36"/>
      <c r="AF807" s="36">
        <v>10000</v>
      </c>
      <c r="AG807" s="36"/>
      <c r="AH807" s="36"/>
      <c r="AI807" s="36"/>
      <c r="AJ807" s="36">
        <v>16000</v>
      </c>
      <c r="AK807" s="36"/>
      <c r="AL807" s="37">
        <f t="shared" si="88"/>
        <v>26000</v>
      </c>
      <c r="AM807" s="36"/>
      <c r="AN807" s="36"/>
      <c r="AO807" s="36"/>
      <c r="AP807" s="7"/>
      <c r="AQ807" s="38">
        <f t="shared" si="89"/>
        <v>4759579.1590000018</v>
      </c>
      <c r="AR807" s="36">
        <v>8260600</v>
      </c>
      <c r="AS807" s="18">
        <f t="shared" si="90"/>
        <v>3501020.8409999982</v>
      </c>
    </row>
    <row r="808" spans="1:45" x14ac:dyDescent="0.25">
      <c r="A808" s="40">
        <v>46096</v>
      </c>
      <c r="B808" s="20">
        <v>2428.1990000000001</v>
      </c>
      <c r="C808" s="20">
        <v>3884.3220000000001</v>
      </c>
      <c r="D808" s="20">
        <v>5399</v>
      </c>
      <c r="E808" s="20">
        <v>4790</v>
      </c>
      <c r="F808" s="7">
        <f t="shared" si="84"/>
        <v>13109846.401000001</v>
      </c>
      <c r="G808" s="7">
        <f t="shared" si="85"/>
        <v>18605902.379999999</v>
      </c>
      <c r="H808" s="20">
        <f>'[1]MAR 2026'!H15</f>
        <v>63.5</v>
      </c>
      <c r="I808" s="20">
        <v>1263500</v>
      </c>
      <c r="J808" s="20">
        <f>'[1]MAR 2026'!J15</f>
        <v>86.5</v>
      </c>
      <c r="K808" s="20">
        <v>737000</v>
      </c>
      <c r="L808" s="20">
        <v>75000</v>
      </c>
      <c r="M808" s="20">
        <v>0</v>
      </c>
      <c r="N808" s="20">
        <v>0</v>
      </c>
      <c r="O808" s="20">
        <v>1600000</v>
      </c>
      <c r="P808" s="20"/>
      <c r="Q808" s="19">
        <f t="shared" si="86"/>
        <v>35391248.781000003</v>
      </c>
      <c r="R808" s="20">
        <v>712882</v>
      </c>
      <c r="S808" s="20">
        <v>14776826</v>
      </c>
      <c r="T808" s="20"/>
      <c r="U808" s="20"/>
      <c r="V808" s="20"/>
      <c r="W808" s="20">
        <v>1036000</v>
      </c>
      <c r="X808" s="20">
        <v>8130811</v>
      </c>
      <c r="Y808" s="8">
        <f t="shared" si="87"/>
        <v>10734729.781000003</v>
      </c>
      <c r="Z808" s="36"/>
      <c r="AA808" s="36"/>
      <c r="AB808" s="36"/>
      <c r="AC808" s="36">
        <v>68000</v>
      </c>
      <c r="AD808" s="36"/>
      <c r="AE808" s="36"/>
      <c r="AF808" s="36">
        <v>303000</v>
      </c>
      <c r="AG808" s="36"/>
      <c r="AH808" s="36">
        <v>19000</v>
      </c>
      <c r="AI808" s="36"/>
      <c r="AJ808" s="36">
        <v>3145000</v>
      </c>
      <c r="AK808" s="36"/>
      <c r="AL808" s="37">
        <f t="shared" si="88"/>
        <v>3535000</v>
      </c>
      <c r="AM808" s="36"/>
      <c r="AN808" s="36"/>
      <c r="AO808" s="36"/>
      <c r="AP808" s="7"/>
      <c r="AQ808" s="38">
        <f t="shared" si="89"/>
        <v>7199729.7810000032</v>
      </c>
      <c r="AR808" s="36">
        <v>0</v>
      </c>
      <c r="AS808" s="18">
        <f t="shared" si="90"/>
        <v>-7199729.7810000032</v>
      </c>
    </row>
    <row r="809" spans="1:45" x14ac:dyDescent="0.25">
      <c r="A809" s="40">
        <v>46097</v>
      </c>
      <c r="B809" s="20">
        <v>1790.867</v>
      </c>
      <c r="C809" s="20">
        <v>2010.231</v>
      </c>
      <c r="D809" s="20">
        <v>5399</v>
      </c>
      <c r="E809" s="20">
        <v>5180</v>
      </c>
      <c r="F809" s="7">
        <f t="shared" si="84"/>
        <v>9668890.9330000002</v>
      </c>
      <c r="G809" s="7">
        <f t="shared" si="85"/>
        <v>10412996.58</v>
      </c>
      <c r="H809" s="20">
        <f>'[1]MAR 2026'!H16</f>
        <v>37</v>
      </c>
      <c r="I809" s="20">
        <v>714000</v>
      </c>
      <c r="J809" s="20">
        <f>'[1]MAR 2026'!J16</f>
        <v>52</v>
      </c>
      <c r="K809" s="20">
        <v>450000</v>
      </c>
      <c r="L809" s="20">
        <v>98000</v>
      </c>
      <c r="M809" s="20">
        <v>0</v>
      </c>
      <c r="N809" s="20">
        <v>0</v>
      </c>
      <c r="O809" s="20">
        <v>300000</v>
      </c>
      <c r="P809" s="20"/>
      <c r="Q809" s="19">
        <f t="shared" si="86"/>
        <v>21643887.513</v>
      </c>
      <c r="R809" s="20">
        <v>824150</v>
      </c>
      <c r="S809" s="20">
        <v>8570418</v>
      </c>
      <c r="T809" s="20"/>
      <c r="U809" s="20"/>
      <c r="V809" s="20"/>
      <c r="W809" s="20">
        <v>307000</v>
      </c>
      <c r="X809" s="20">
        <v>3050788</v>
      </c>
      <c r="Y809" s="8">
        <f t="shared" si="87"/>
        <v>8891531.5130000003</v>
      </c>
      <c r="Z809" s="36"/>
      <c r="AA809" s="36"/>
      <c r="AB809" s="36"/>
      <c r="AC809" s="36"/>
      <c r="AD809" s="36"/>
      <c r="AE809" s="36"/>
      <c r="AF809" s="36">
        <v>4500000</v>
      </c>
      <c r="AG809" s="36">
        <v>106000</v>
      </c>
      <c r="AH809" s="36"/>
      <c r="AI809" s="36"/>
      <c r="AJ809" s="36">
        <v>7791200</v>
      </c>
      <c r="AK809" s="36"/>
      <c r="AL809" s="37">
        <f t="shared" si="88"/>
        <v>12397200</v>
      </c>
      <c r="AM809" s="36"/>
      <c r="AN809" s="36"/>
      <c r="AO809" s="36"/>
      <c r="AP809" s="7"/>
      <c r="AQ809" s="38">
        <f t="shared" si="89"/>
        <v>-3505668.4869999997</v>
      </c>
      <c r="AR809" s="36">
        <v>0</v>
      </c>
      <c r="AS809" s="18">
        <f t="shared" si="90"/>
        <v>3505668.4869999997</v>
      </c>
    </row>
    <row r="810" spans="1:45" x14ac:dyDescent="0.25">
      <c r="A810" s="40">
        <v>46098</v>
      </c>
      <c r="B810" s="20">
        <v>2630.0360000000001</v>
      </c>
      <c r="C810" s="20">
        <v>3542.9360000000001</v>
      </c>
      <c r="D810" s="20">
        <v>5399</v>
      </c>
      <c r="E810" s="20">
        <v>5180</v>
      </c>
      <c r="F810" s="7">
        <f t="shared" si="84"/>
        <v>14199564.364</v>
      </c>
      <c r="G810" s="7">
        <f t="shared" si="85"/>
        <v>18352408.48</v>
      </c>
      <c r="H810" s="20">
        <f>'[1]MAR 2026'!H17</f>
        <v>82.75</v>
      </c>
      <c r="I810" s="20">
        <v>1789500</v>
      </c>
      <c r="J810" s="20">
        <f>'[1]MAR 2026'!J17</f>
        <v>40</v>
      </c>
      <c r="K810" s="20">
        <v>398500</v>
      </c>
      <c r="L810" s="20">
        <v>61000</v>
      </c>
      <c r="M810" s="20"/>
      <c r="N810" s="20"/>
      <c r="O810" s="20">
        <v>1570000</v>
      </c>
      <c r="P810" s="20"/>
      <c r="Q810" s="19">
        <f t="shared" si="86"/>
        <v>36370972.843999997</v>
      </c>
      <c r="R810" s="20">
        <v>1290583</v>
      </c>
      <c r="S810" s="20">
        <v>10705973</v>
      </c>
      <c r="T810" s="20"/>
      <c r="U810" s="20"/>
      <c r="V810" s="20"/>
      <c r="W810" s="20">
        <v>973000</v>
      </c>
      <c r="X810" s="20">
        <v>11876810</v>
      </c>
      <c r="Y810" s="8">
        <f t="shared" si="87"/>
        <v>11524606.843999997</v>
      </c>
      <c r="Z810" s="36"/>
      <c r="AA810" s="36"/>
      <c r="AB810" s="36"/>
      <c r="AC810" s="36">
        <v>58000</v>
      </c>
      <c r="AD810" s="36"/>
      <c r="AE810" s="36"/>
      <c r="AF810" s="36">
        <v>2403000</v>
      </c>
      <c r="AG810" s="36"/>
      <c r="AH810" s="36"/>
      <c r="AI810" s="36"/>
      <c r="AJ810" s="36">
        <v>1646000</v>
      </c>
      <c r="AK810" s="36"/>
      <c r="AL810" s="37">
        <f t="shared" si="88"/>
        <v>4107000</v>
      </c>
      <c r="AM810" s="36"/>
      <c r="AN810" s="36"/>
      <c r="AO810" s="36"/>
      <c r="AP810" s="7"/>
      <c r="AQ810" s="38">
        <f t="shared" si="89"/>
        <v>7417606.8439999968</v>
      </c>
      <c r="AR810" s="36">
        <v>11020500</v>
      </c>
      <c r="AS810" s="18">
        <f t="shared" si="90"/>
        <v>3602893.1560000032</v>
      </c>
    </row>
    <row r="811" spans="1:45" x14ac:dyDescent="0.25">
      <c r="A811" s="40">
        <v>46099</v>
      </c>
      <c r="B811" s="20">
        <v>1152.971</v>
      </c>
      <c r="C811" s="20">
        <v>2466.9279999999999</v>
      </c>
      <c r="D811" s="20">
        <v>5399</v>
      </c>
      <c r="E811" s="20">
        <v>5180</v>
      </c>
      <c r="F811" s="7">
        <f t="shared" si="84"/>
        <v>6224890.4290000005</v>
      </c>
      <c r="G811" s="7">
        <f t="shared" si="85"/>
        <v>12778687.039999999</v>
      </c>
      <c r="H811" s="20">
        <f>'[1]MAR 2026'!H18</f>
        <v>35.5</v>
      </c>
      <c r="I811" s="20">
        <v>761000</v>
      </c>
      <c r="J811" s="20">
        <f>'[1]MAR 2026'!J18</f>
        <v>58</v>
      </c>
      <c r="K811" s="20">
        <v>503000</v>
      </c>
      <c r="L811" s="20">
        <v>8000</v>
      </c>
      <c r="M811" s="20">
        <v>48000</v>
      </c>
      <c r="N811" s="20">
        <v>0</v>
      </c>
      <c r="O811" s="20"/>
      <c r="P811" s="20"/>
      <c r="Q811" s="19">
        <f t="shared" si="86"/>
        <v>20323577.469000001</v>
      </c>
      <c r="R811" s="20">
        <v>596672</v>
      </c>
      <c r="S811" s="20">
        <v>7808245</v>
      </c>
      <c r="T811" s="20"/>
      <c r="U811" s="20"/>
      <c r="V811" s="20"/>
      <c r="W811" s="20">
        <v>190000</v>
      </c>
      <c r="X811" s="20">
        <v>7148981</v>
      </c>
      <c r="Y811" s="8">
        <f t="shared" si="87"/>
        <v>4579679.4690000005</v>
      </c>
      <c r="Z811" s="36"/>
      <c r="AA811" s="36"/>
      <c r="AB811" s="36"/>
      <c r="AC811" s="36"/>
      <c r="AD811" s="36"/>
      <c r="AE811" s="36"/>
      <c r="AF811" s="36">
        <v>6000</v>
      </c>
      <c r="AG811" s="36"/>
      <c r="AH811" s="36"/>
      <c r="AI811" s="36"/>
      <c r="AJ811" s="36">
        <v>42000</v>
      </c>
      <c r="AK811" s="36"/>
      <c r="AL811" s="37">
        <f t="shared" si="88"/>
        <v>48000</v>
      </c>
      <c r="AM811" s="36"/>
      <c r="AN811" s="36"/>
      <c r="AO811" s="36"/>
      <c r="AP811" s="7"/>
      <c r="AQ811" s="38">
        <f t="shared" si="89"/>
        <v>4531679.4690000005</v>
      </c>
      <c r="AR811" s="36">
        <v>0</v>
      </c>
      <c r="AS811" s="18">
        <f t="shared" si="90"/>
        <v>-4531679.4690000005</v>
      </c>
    </row>
    <row r="812" spans="1:45" x14ac:dyDescent="0.25">
      <c r="A812" s="40">
        <v>46100</v>
      </c>
      <c r="B812" s="20">
        <v>1634.34</v>
      </c>
      <c r="C812" s="20">
        <v>4709.9750000000004</v>
      </c>
      <c r="D812" s="20">
        <v>5399</v>
      </c>
      <c r="E812" s="20">
        <v>5180</v>
      </c>
      <c r="F812" s="7">
        <f t="shared" si="84"/>
        <v>8823801.6600000001</v>
      </c>
      <c r="G812" s="7">
        <f t="shared" si="85"/>
        <v>24397670.500000004</v>
      </c>
      <c r="H812" s="20">
        <f>'[1]MAR 2026'!H19</f>
        <v>69</v>
      </c>
      <c r="I812" s="20">
        <v>1411500</v>
      </c>
      <c r="J812" s="20">
        <f>'[1]MAR 2026'!J19</f>
        <v>49</v>
      </c>
      <c r="K812" s="20">
        <v>422000</v>
      </c>
      <c r="L812" s="20">
        <v>98000</v>
      </c>
      <c r="M812" s="20">
        <v>200000</v>
      </c>
      <c r="N812" s="20">
        <v>0</v>
      </c>
      <c r="O812" s="20">
        <v>3000000</v>
      </c>
      <c r="P812" s="20"/>
      <c r="Q812" s="19">
        <f t="shared" si="86"/>
        <v>38352972.160000004</v>
      </c>
      <c r="R812" s="20">
        <v>1762592</v>
      </c>
      <c r="S812" s="20">
        <v>17263545</v>
      </c>
      <c r="T812" s="20"/>
      <c r="U812" s="20"/>
      <c r="V812" s="20"/>
      <c r="W812" s="20">
        <v>0</v>
      </c>
      <c r="X812" s="20">
        <v>12964083</v>
      </c>
      <c r="Y812" s="8">
        <f t="shared" si="87"/>
        <v>6362752.1600000039</v>
      </c>
      <c r="Z812" s="36"/>
      <c r="AA812" s="36"/>
      <c r="AB812" s="36"/>
      <c r="AC812" s="36"/>
      <c r="AD812" s="36"/>
      <c r="AE812" s="36"/>
      <c r="AF812" s="36"/>
      <c r="AG812" s="36"/>
      <c r="AH812" s="36"/>
      <c r="AI812" s="36">
        <v>240000</v>
      </c>
      <c r="AJ812" s="36"/>
      <c r="AK812" s="36"/>
      <c r="AL812" s="37">
        <f t="shared" si="88"/>
        <v>240000</v>
      </c>
      <c r="AM812" s="36"/>
      <c r="AN812" s="36"/>
      <c r="AO812" s="36"/>
      <c r="AP812" s="7"/>
      <c r="AQ812" s="38">
        <f t="shared" si="89"/>
        <v>6122752.1600000039</v>
      </c>
      <c r="AR812" s="36">
        <v>10655000</v>
      </c>
      <c r="AS812" s="18">
        <f t="shared" si="90"/>
        <v>4532247.8399999961</v>
      </c>
    </row>
    <row r="813" spans="1:45" x14ac:dyDescent="0.25">
      <c r="A813" s="40">
        <v>46101</v>
      </c>
      <c r="B813" s="20">
        <v>1961.999</v>
      </c>
      <c r="C813" s="20">
        <v>2175.8029999999999</v>
      </c>
      <c r="D813" s="36">
        <v>5399</v>
      </c>
      <c r="E813" s="36">
        <v>5180</v>
      </c>
      <c r="F813" s="7">
        <f t="shared" si="84"/>
        <v>10592832.601</v>
      </c>
      <c r="G813" s="7">
        <f t="shared" si="85"/>
        <v>11270659.539999999</v>
      </c>
      <c r="H813" s="20">
        <f>'[1]MAR 2026'!H20</f>
        <v>102</v>
      </c>
      <c r="I813" s="20">
        <v>2173000</v>
      </c>
      <c r="J813" s="20">
        <f>'[1]MAR 2026'!J20</f>
        <v>50.5</v>
      </c>
      <c r="K813" s="36">
        <v>416000</v>
      </c>
      <c r="L813" s="20">
        <v>53000</v>
      </c>
      <c r="M813" s="20">
        <v>20000</v>
      </c>
      <c r="N813" s="20"/>
      <c r="O813" s="20">
        <v>97225</v>
      </c>
      <c r="P813" s="20"/>
      <c r="Q813" s="19">
        <f t="shared" si="86"/>
        <v>24622717.140999999</v>
      </c>
      <c r="R813" s="20">
        <v>868695</v>
      </c>
      <c r="S813" s="20">
        <v>6763172</v>
      </c>
      <c r="T813" s="20"/>
      <c r="U813" s="20"/>
      <c r="V813" s="20"/>
      <c r="W813" s="20">
        <v>515000</v>
      </c>
      <c r="X813" s="20">
        <v>7698627</v>
      </c>
      <c r="Y813" s="8">
        <f t="shared" si="87"/>
        <v>8777223.1409999989</v>
      </c>
      <c r="Z813" s="36">
        <v>980333</v>
      </c>
      <c r="AA813" s="36"/>
      <c r="AB813" s="36"/>
      <c r="AC813" s="36"/>
      <c r="AD813" s="36"/>
      <c r="AE813" s="36"/>
      <c r="AF813" s="36">
        <v>6000</v>
      </c>
      <c r="AG813" s="36"/>
      <c r="AH813" s="36"/>
      <c r="AI813" s="36"/>
      <c r="AJ813" s="36"/>
      <c r="AK813" s="36"/>
      <c r="AL813" s="37">
        <f t="shared" si="88"/>
        <v>986333</v>
      </c>
      <c r="AM813" s="36"/>
      <c r="AN813" s="36"/>
      <c r="AO813" s="36"/>
      <c r="AP813" s="7"/>
      <c r="AQ813" s="38">
        <f t="shared" si="89"/>
        <v>7790890.1409999989</v>
      </c>
      <c r="AR813" s="36">
        <v>0</v>
      </c>
      <c r="AS813" s="18">
        <f t="shared" si="90"/>
        <v>-7790890.1409999989</v>
      </c>
    </row>
    <row r="814" spans="1:45" x14ac:dyDescent="0.25">
      <c r="A814" s="40">
        <v>46102</v>
      </c>
      <c r="B814" s="20">
        <v>2012.24</v>
      </c>
      <c r="C814" s="20">
        <v>5754.4970000000003</v>
      </c>
      <c r="D814" s="36">
        <v>5399</v>
      </c>
      <c r="E814" s="36">
        <v>5180</v>
      </c>
      <c r="F814" s="7">
        <f t="shared" si="84"/>
        <v>10864083.76</v>
      </c>
      <c r="G814" s="7">
        <f t="shared" si="85"/>
        <v>29808294.460000001</v>
      </c>
      <c r="H814" s="20">
        <f>'[1]MAR 2026'!H21</f>
        <v>63</v>
      </c>
      <c r="I814" s="36">
        <v>1266500</v>
      </c>
      <c r="J814" s="20">
        <f>'[1]MAR 2026'!J21</f>
        <v>86</v>
      </c>
      <c r="K814" s="20">
        <v>988000</v>
      </c>
      <c r="L814" s="20">
        <v>32000</v>
      </c>
      <c r="M814" s="20"/>
      <c r="N814" s="20">
        <v>120000</v>
      </c>
      <c r="O814" s="20">
        <v>0</v>
      </c>
      <c r="P814" s="20"/>
      <c r="Q814" s="19">
        <f t="shared" si="86"/>
        <v>43078878.219999999</v>
      </c>
      <c r="R814" s="20">
        <v>901942</v>
      </c>
      <c r="S814" s="20">
        <v>22164588</v>
      </c>
      <c r="T814" s="20"/>
      <c r="U814" s="20"/>
      <c r="V814" s="20"/>
      <c r="W814" s="20">
        <v>1735123</v>
      </c>
      <c r="X814" s="20">
        <v>12965615</v>
      </c>
      <c r="Y814" s="8">
        <f t="shared" si="87"/>
        <v>5311610.2199999988</v>
      </c>
      <c r="Z814" s="36"/>
      <c r="AA814" s="36"/>
      <c r="AB814" s="36"/>
      <c r="AC814" s="36"/>
      <c r="AD814" s="36"/>
      <c r="AE814" s="36"/>
      <c r="AF814" s="36"/>
      <c r="AG814" s="36"/>
      <c r="AH814" s="36"/>
      <c r="AI814" s="36">
        <v>30000</v>
      </c>
      <c r="AJ814" s="36">
        <v>250000</v>
      </c>
      <c r="AK814" s="36"/>
      <c r="AL814" s="37">
        <f t="shared" si="88"/>
        <v>280000</v>
      </c>
      <c r="AM814" s="36"/>
      <c r="AN814" s="36"/>
      <c r="AO814" s="36"/>
      <c r="AP814" s="7"/>
      <c r="AQ814" s="38">
        <f t="shared" si="89"/>
        <v>5031610.2199999988</v>
      </c>
      <c r="AR814" s="36">
        <v>12824000</v>
      </c>
      <c r="AS814" s="18">
        <f t="shared" si="90"/>
        <v>7792389.7800000012</v>
      </c>
    </row>
    <row r="815" spans="1:45" x14ac:dyDescent="0.25">
      <c r="A815" s="40">
        <v>46103</v>
      </c>
      <c r="B815" s="20">
        <v>3067.623</v>
      </c>
      <c r="C815" s="20">
        <v>2253.134</v>
      </c>
      <c r="D815" s="36">
        <v>5399</v>
      </c>
      <c r="E815" s="36">
        <v>5180</v>
      </c>
      <c r="F815" s="7">
        <f t="shared" si="84"/>
        <v>16562096.577</v>
      </c>
      <c r="G815" s="7">
        <f t="shared" si="85"/>
        <v>11671234.119999999</v>
      </c>
      <c r="H815" s="20">
        <f>'[1]MAR 2026'!H22</f>
        <v>238.75</v>
      </c>
      <c r="I815" s="20">
        <v>4933000</v>
      </c>
      <c r="J815" s="20">
        <f>'[1]MAR 2026'!J22</f>
        <v>62.5</v>
      </c>
      <c r="K815" s="20">
        <v>345000</v>
      </c>
      <c r="L815" s="20">
        <v>53000</v>
      </c>
      <c r="M815" s="20">
        <v>0</v>
      </c>
      <c r="N815" s="20">
        <v>0</v>
      </c>
      <c r="O815" s="20"/>
      <c r="P815" s="20"/>
      <c r="Q815" s="19">
        <f t="shared" si="86"/>
        <v>33564330.696999997</v>
      </c>
      <c r="R815" s="20">
        <v>759177</v>
      </c>
      <c r="S815" s="20">
        <v>6116296</v>
      </c>
      <c r="T815" s="20"/>
      <c r="U815" s="20"/>
      <c r="V815" s="20"/>
      <c r="W815" s="20">
        <v>655000</v>
      </c>
      <c r="X815" s="20">
        <v>6059278</v>
      </c>
      <c r="Y815" s="8">
        <f t="shared" si="87"/>
        <v>19974579.696999997</v>
      </c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>
        <v>105000</v>
      </c>
      <c r="AK815" s="36"/>
      <c r="AL815" s="37">
        <f t="shared" si="88"/>
        <v>105000</v>
      </c>
      <c r="AM815" s="36"/>
      <c r="AN815" s="36"/>
      <c r="AO815" s="36"/>
      <c r="AP815" s="7"/>
      <c r="AQ815" s="38">
        <f t="shared" si="89"/>
        <v>19869579.696999997</v>
      </c>
      <c r="AR815" s="36">
        <v>0</v>
      </c>
      <c r="AS815" s="18">
        <f t="shared" si="90"/>
        <v>-19869579.696999997</v>
      </c>
    </row>
    <row r="816" spans="1:45" x14ac:dyDescent="0.25">
      <c r="A816" s="40">
        <v>46104</v>
      </c>
      <c r="B816" s="20">
        <v>1972.123</v>
      </c>
      <c r="C816" s="20">
        <v>1527.087</v>
      </c>
      <c r="D816" s="36">
        <v>5399</v>
      </c>
      <c r="E816" s="36">
        <v>5180</v>
      </c>
      <c r="F816" s="7">
        <f t="shared" si="84"/>
        <v>10647492.077</v>
      </c>
      <c r="G816" s="7">
        <f t="shared" si="85"/>
        <v>7910310.6600000001</v>
      </c>
      <c r="H816" s="20">
        <f>'[1]MAR 2026'!H23</f>
        <v>47</v>
      </c>
      <c r="I816" s="20">
        <v>1850000</v>
      </c>
      <c r="J816" s="20">
        <f>'[1]MAR 2026'!J23</f>
        <v>21.5</v>
      </c>
      <c r="K816" s="20">
        <v>261500</v>
      </c>
      <c r="L816" s="20">
        <v>88000</v>
      </c>
      <c r="M816" s="20">
        <v>0</v>
      </c>
      <c r="N816" s="20">
        <v>0</v>
      </c>
      <c r="O816" s="20">
        <v>5327260</v>
      </c>
      <c r="P816" s="20">
        <v>0</v>
      </c>
      <c r="Q816" s="19">
        <f t="shared" si="86"/>
        <v>26084562.737</v>
      </c>
      <c r="R816" s="20">
        <v>1155855</v>
      </c>
      <c r="S816" s="20">
        <v>3818211</v>
      </c>
      <c r="T816" s="20"/>
      <c r="U816" s="20"/>
      <c r="V816" s="20"/>
      <c r="W816" s="20">
        <v>182000</v>
      </c>
      <c r="X816" s="20">
        <v>3532848</v>
      </c>
      <c r="Y816" s="8">
        <f t="shared" si="87"/>
        <v>17395648.737</v>
      </c>
      <c r="Z816" s="36">
        <v>0</v>
      </c>
      <c r="AA816" s="36">
        <v>0</v>
      </c>
      <c r="AB816" s="36">
        <v>0</v>
      </c>
      <c r="AC816" s="36">
        <v>0</v>
      </c>
      <c r="AD816" s="36">
        <v>0</v>
      </c>
      <c r="AE816" s="36">
        <v>0</v>
      </c>
      <c r="AF816" s="36">
        <v>0</v>
      </c>
      <c r="AG816" s="36">
        <v>0</v>
      </c>
      <c r="AH816" s="36">
        <v>0</v>
      </c>
      <c r="AI816" s="36">
        <v>0</v>
      </c>
      <c r="AJ816" s="36">
        <v>5000000</v>
      </c>
      <c r="AK816" s="36"/>
      <c r="AL816" s="37">
        <f t="shared" si="88"/>
        <v>5000000</v>
      </c>
      <c r="AM816" s="36"/>
      <c r="AN816" s="36"/>
      <c r="AO816" s="36"/>
      <c r="AP816" s="7"/>
      <c r="AQ816" s="38">
        <f t="shared" si="89"/>
        <v>12395648.737</v>
      </c>
      <c r="AR816" s="36">
        <v>32376600</v>
      </c>
      <c r="AS816" s="18">
        <f t="shared" si="90"/>
        <v>19980951.263</v>
      </c>
    </row>
    <row r="817" spans="1:45" x14ac:dyDescent="0.25">
      <c r="A817" s="40">
        <v>46105</v>
      </c>
      <c r="B817" s="20">
        <v>2557.5740000000001</v>
      </c>
      <c r="C817" s="20">
        <v>2893.2689999999998</v>
      </c>
      <c r="D817" s="36">
        <v>5399</v>
      </c>
      <c r="E817" s="36">
        <v>5180</v>
      </c>
      <c r="F817" s="7">
        <f t="shared" si="84"/>
        <v>13808342.026000001</v>
      </c>
      <c r="G817" s="7">
        <f t="shared" si="85"/>
        <v>14987133.419999998</v>
      </c>
      <c r="H817" s="20">
        <f>'[1]MAR 2026'!H24</f>
        <v>59.5</v>
      </c>
      <c r="I817" s="20">
        <v>1511100</v>
      </c>
      <c r="J817" s="20">
        <f>'[1]MAR 2026'!J24</f>
        <v>85.5</v>
      </c>
      <c r="K817" s="20">
        <v>739000</v>
      </c>
      <c r="L817" s="20">
        <v>16000</v>
      </c>
      <c r="M817" s="20">
        <v>0</v>
      </c>
      <c r="N817" s="20">
        <v>0</v>
      </c>
      <c r="O817" s="20">
        <v>0</v>
      </c>
      <c r="P817" s="20">
        <v>0</v>
      </c>
      <c r="Q817" s="19">
        <f t="shared" si="86"/>
        <v>31061575.445999999</v>
      </c>
      <c r="R817" s="20">
        <v>1214645</v>
      </c>
      <c r="S817" s="20">
        <v>9186564</v>
      </c>
      <c r="T817" s="20"/>
      <c r="U817" s="20"/>
      <c r="V817" s="20"/>
      <c r="W817" s="20">
        <v>150000</v>
      </c>
      <c r="X817" s="20">
        <v>15745643</v>
      </c>
      <c r="Y817" s="8">
        <f t="shared" si="87"/>
        <v>4764723.4459999986</v>
      </c>
      <c r="Z817" s="36"/>
      <c r="AA817" s="36"/>
      <c r="AB817" s="36"/>
      <c r="AC817" s="36"/>
      <c r="AD817" s="36"/>
      <c r="AE817" s="36"/>
      <c r="AF817" s="36">
        <v>143000</v>
      </c>
      <c r="AG817" s="36"/>
      <c r="AH817" s="36"/>
      <c r="AI817" s="36"/>
      <c r="AJ817" s="36">
        <v>400000</v>
      </c>
      <c r="AK817" s="36"/>
      <c r="AL817" s="37">
        <f t="shared" si="88"/>
        <v>543000</v>
      </c>
      <c r="AM817" s="36">
        <v>80000</v>
      </c>
      <c r="AN817" s="36"/>
      <c r="AO817" s="36"/>
      <c r="AP817" s="7"/>
      <c r="AQ817" s="38">
        <f t="shared" si="89"/>
        <v>4141723.4459999986</v>
      </c>
      <c r="AR817" s="36"/>
      <c r="AS817" s="18">
        <f t="shared" si="90"/>
        <v>-4141723.4459999986</v>
      </c>
    </row>
    <row r="818" spans="1:45" x14ac:dyDescent="0.25">
      <c r="A818" s="40">
        <v>46106</v>
      </c>
      <c r="B818" s="20">
        <v>2208.348</v>
      </c>
      <c r="C818" s="20">
        <v>4971.6329999999998</v>
      </c>
      <c r="D818" s="36">
        <v>5399</v>
      </c>
      <c r="E818" s="36">
        <v>5180</v>
      </c>
      <c r="F818" s="7">
        <f t="shared" si="84"/>
        <v>11922870.852</v>
      </c>
      <c r="G818" s="7">
        <f t="shared" si="85"/>
        <v>25753058.939999998</v>
      </c>
      <c r="H818" s="20">
        <f>'[1]MAR 2026'!H25</f>
        <v>82.5</v>
      </c>
      <c r="I818" s="20">
        <v>1707500</v>
      </c>
      <c r="J818" s="20">
        <f>'[1]MAR 2026'!J25</f>
        <v>74.5</v>
      </c>
      <c r="K818" s="20">
        <v>633000</v>
      </c>
      <c r="L818" s="20">
        <v>118000</v>
      </c>
      <c r="M818" s="20">
        <v>320000</v>
      </c>
      <c r="N818" s="20">
        <v>0</v>
      </c>
      <c r="O818" s="20">
        <v>0</v>
      </c>
      <c r="P818" s="20"/>
      <c r="Q818" s="19">
        <f t="shared" si="86"/>
        <v>40454429.791999996</v>
      </c>
      <c r="R818" s="20">
        <v>1440238</v>
      </c>
      <c r="S818" s="20">
        <v>20899834</v>
      </c>
      <c r="T818" s="20"/>
      <c r="U818" s="20"/>
      <c r="V818" s="20"/>
      <c r="W818" s="20">
        <v>120000</v>
      </c>
      <c r="X818" s="20">
        <v>7914111</v>
      </c>
      <c r="Y818" s="8">
        <f t="shared" si="87"/>
        <v>10080246.791999996</v>
      </c>
      <c r="Z818" s="36"/>
      <c r="AA818" s="36"/>
      <c r="AB818" s="36"/>
      <c r="AC818" s="36">
        <v>60000</v>
      </c>
      <c r="AD818" s="36"/>
      <c r="AE818" s="36"/>
      <c r="AF818" s="36">
        <v>11000</v>
      </c>
      <c r="AG818" s="36"/>
      <c r="AH818" s="36">
        <v>6500</v>
      </c>
      <c r="AI818" s="36"/>
      <c r="AJ818" s="36"/>
      <c r="AK818" s="36"/>
      <c r="AL818" s="37">
        <f t="shared" si="88"/>
        <v>77500</v>
      </c>
      <c r="AM818" s="36"/>
      <c r="AN818" s="36"/>
      <c r="AO818" s="36"/>
      <c r="AP818" s="7"/>
      <c r="AQ818" s="38">
        <f t="shared" si="89"/>
        <v>10002746.791999996</v>
      </c>
      <c r="AR818" s="36">
        <v>14108500</v>
      </c>
      <c r="AS818" s="18">
        <f t="shared" si="90"/>
        <v>4105753.2080000043</v>
      </c>
    </row>
    <row r="819" spans="1:45" x14ac:dyDescent="0.25">
      <c r="A819" s="40">
        <v>46107</v>
      </c>
      <c r="B819" s="20">
        <v>2321.8130000000001</v>
      </c>
      <c r="C819" s="20">
        <v>1953.337</v>
      </c>
      <c r="D819" s="20">
        <v>5399</v>
      </c>
      <c r="E819" s="20">
        <v>5180</v>
      </c>
      <c r="F819" s="7">
        <f t="shared" si="84"/>
        <v>12535468.387</v>
      </c>
      <c r="G819" s="7">
        <f t="shared" si="85"/>
        <v>10118285.66</v>
      </c>
      <c r="H819" s="20">
        <f>'[1]MAR 2026'!H26</f>
        <v>23.5</v>
      </c>
      <c r="I819" s="20">
        <v>475500</v>
      </c>
      <c r="J819" s="20">
        <f>'[1]MAR 2026'!J26</f>
        <v>67.5</v>
      </c>
      <c r="K819" s="20">
        <v>655500</v>
      </c>
      <c r="L819" s="20">
        <v>106000</v>
      </c>
      <c r="M819" s="20"/>
      <c r="N819" s="20"/>
      <c r="O819" s="20">
        <v>411000</v>
      </c>
      <c r="P819" s="20"/>
      <c r="Q819" s="19">
        <f t="shared" si="86"/>
        <v>24301754.046999998</v>
      </c>
      <c r="R819" s="20">
        <v>1527627</v>
      </c>
      <c r="S819" s="20">
        <v>4238926</v>
      </c>
      <c r="T819" s="20"/>
      <c r="U819" s="20"/>
      <c r="V819" s="20"/>
      <c r="W819" s="20">
        <v>200000</v>
      </c>
      <c r="X819" s="20">
        <v>11937177</v>
      </c>
      <c r="Y819" s="8">
        <f t="shared" si="87"/>
        <v>6398024.0469999984</v>
      </c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>
        <v>320000</v>
      </c>
      <c r="AK819" s="36"/>
      <c r="AL819" s="37">
        <f t="shared" si="88"/>
        <v>320000</v>
      </c>
      <c r="AM819" s="36"/>
      <c r="AN819" s="36"/>
      <c r="AO819" s="36"/>
      <c r="AP819" s="7"/>
      <c r="AQ819" s="38">
        <f t="shared" si="89"/>
        <v>6078024.0469999984</v>
      </c>
      <c r="AR819" s="36"/>
      <c r="AS819" s="18">
        <f t="shared" si="90"/>
        <v>-6078024.0469999984</v>
      </c>
    </row>
    <row r="820" spans="1:45" x14ac:dyDescent="0.25">
      <c r="A820" s="40">
        <v>46108</v>
      </c>
      <c r="B820" s="20">
        <v>2079.3510000000001</v>
      </c>
      <c r="C820" s="20">
        <v>4437.6099999999997</v>
      </c>
      <c r="D820" s="20">
        <v>5399</v>
      </c>
      <c r="E820" s="20">
        <v>5180</v>
      </c>
      <c r="F820" s="7">
        <f t="shared" si="84"/>
        <v>11226416.049000001</v>
      </c>
      <c r="G820" s="7">
        <f t="shared" si="85"/>
        <v>22986819.799999997</v>
      </c>
      <c r="H820" s="20">
        <f>'[1]MAR 2026'!H27</f>
        <v>70</v>
      </c>
      <c r="I820" s="20">
        <v>1636000</v>
      </c>
      <c r="J820" s="20">
        <f>'[1]MAR 2026'!J27</f>
        <v>43</v>
      </c>
      <c r="K820" s="20">
        <v>549500</v>
      </c>
      <c r="L820" s="20">
        <v>8000</v>
      </c>
      <c r="M820" s="20">
        <v>700000</v>
      </c>
      <c r="N820" s="20"/>
      <c r="O820" s="20"/>
      <c r="P820" s="20"/>
      <c r="Q820" s="19">
        <f t="shared" si="86"/>
        <v>37106735.848999999</v>
      </c>
      <c r="R820" s="20">
        <v>769798</v>
      </c>
      <c r="S820" s="20">
        <v>12598420</v>
      </c>
      <c r="T820" s="20"/>
      <c r="U820" s="20"/>
      <c r="V820" s="20"/>
      <c r="W820" s="20">
        <v>812393</v>
      </c>
      <c r="X820" s="20">
        <v>14038709</v>
      </c>
      <c r="Y820" s="8">
        <f t="shared" si="87"/>
        <v>8887415.8489999995</v>
      </c>
      <c r="Z820" s="36"/>
      <c r="AA820" s="36"/>
      <c r="AB820" s="36"/>
      <c r="AC820" s="36">
        <v>42000</v>
      </c>
      <c r="AD820" s="36"/>
      <c r="AE820" s="36"/>
      <c r="AF820" s="36"/>
      <c r="AG820" s="36"/>
      <c r="AH820" s="36">
        <v>37000</v>
      </c>
      <c r="AI820" s="36"/>
      <c r="AJ820" s="36">
        <v>2361000</v>
      </c>
      <c r="AK820" s="36"/>
      <c r="AL820" s="37">
        <f t="shared" si="88"/>
        <v>2440000</v>
      </c>
      <c r="AM820" s="36"/>
      <c r="AN820" s="36"/>
      <c r="AO820" s="36"/>
      <c r="AP820" s="7"/>
      <c r="AQ820" s="38">
        <f t="shared" si="89"/>
        <v>6447415.8489999995</v>
      </c>
      <c r="AR820" s="36">
        <v>12463800</v>
      </c>
      <c r="AS820" s="18">
        <f t="shared" si="90"/>
        <v>6016384.1510000005</v>
      </c>
    </row>
    <row r="821" spans="1:45" x14ac:dyDescent="0.25">
      <c r="A821" s="40">
        <v>46109</v>
      </c>
      <c r="B821" s="20">
        <v>2645.855</v>
      </c>
      <c r="C821" s="20">
        <v>3865.5129999999999</v>
      </c>
      <c r="D821" s="20">
        <v>5399</v>
      </c>
      <c r="E821" s="20">
        <v>5180</v>
      </c>
      <c r="F821" s="7">
        <f t="shared" si="84"/>
        <v>14284971.145</v>
      </c>
      <c r="G821" s="7">
        <f t="shared" si="85"/>
        <v>20023357.34</v>
      </c>
      <c r="H821" s="20">
        <f>'[1]MAR 2026'!H28</f>
        <v>32.75</v>
      </c>
      <c r="I821" s="20">
        <v>765000</v>
      </c>
      <c r="J821" s="20">
        <f>'[1]MAR 2026'!J28</f>
        <v>46</v>
      </c>
      <c r="K821" s="20">
        <v>472500</v>
      </c>
      <c r="L821" s="20">
        <v>0</v>
      </c>
      <c r="M821" s="20">
        <v>0</v>
      </c>
      <c r="N821" s="20">
        <v>0</v>
      </c>
      <c r="O821" s="20">
        <v>500000</v>
      </c>
      <c r="P821" s="20">
        <v>0</v>
      </c>
      <c r="Q821" s="19">
        <f t="shared" si="86"/>
        <v>36045828.484999999</v>
      </c>
      <c r="R821" s="20">
        <v>1432620</v>
      </c>
      <c r="S821" s="20">
        <v>16503004</v>
      </c>
      <c r="T821" s="20"/>
      <c r="U821" s="20"/>
      <c r="V821" s="20"/>
      <c r="W821" s="20">
        <v>829900</v>
      </c>
      <c r="X821" s="20">
        <v>8055085</v>
      </c>
      <c r="Y821" s="8">
        <f t="shared" si="87"/>
        <v>9225219.4849999994</v>
      </c>
      <c r="Z821" s="36"/>
      <c r="AA821" s="36"/>
      <c r="AB821" s="36"/>
      <c r="AC821" s="36">
        <v>10000</v>
      </c>
      <c r="AD821" s="36"/>
      <c r="AE821" s="36"/>
      <c r="AF821" s="36">
        <v>106000</v>
      </c>
      <c r="AG821" s="36"/>
      <c r="AH821" s="36"/>
      <c r="AI821" s="36"/>
      <c r="AJ821" s="36">
        <v>78000</v>
      </c>
      <c r="AK821" s="36"/>
      <c r="AL821" s="37">
        <f t="shared" si="88"/>
        <v>194000</v>
      </c>
      <c r="AM821" s="36"/>
      <c r="AN821" s="36"/>
      <c r="AO821" s="36"/>
      <c r="AP821" s="7"/>
      <c r="AQ821" s="38">
        <f t="shared" si="89"/>
        <v>9031219.4849999994</v>
      </c>
      <c r="AR821" s="36">
        <v>12036000</v>
      </c>
      <c r="AS821" s="18">
        <f t="shared" si="90"/>
        <v>3004780.5150000006</v>
      </c>
    </row>
    <row r="822" spans="1:45" x14ac:dyDescent="0.25">
      <c r="A822" s="40">
        <v>46110</v>
      </c>
      <c r="B822" s="20">
        <v>3317.002</v>
      </c>
      <c r="C822" s="20">
        <v>2818.3789999999999</v>
      </c>
      <c r="D822" s="20">
        <v>5475</v>
      </c>
      <c r="E822" s="20">
        <v>5180</v>
      </c>
      <c r="F822" s="7">
        <f t="shared" si="84"/>
        <v>18160585.949999999</v>
      </c>
      <c r="G822" s="7">
        <f t="shared" si="85"/>
        <v>14599203.219999999</v>
      </c>
      <c r="H822" s="20">
        <f>'[1]MAR 2026'!H29</f>
        <v>43</v>
      </c>
      <c r="I822" s="20">
        <v>872000</v>
      </c>
      <c r="J822" s="20">
        <f>'[1]MAR 2026'!J29</f>
        <v>24</v>
      </c>
      <c r="K822" s="20">
        <v>287500</v>
      </c>
      <c r="L822" s="20">
        <v>93000</v>
      </c>
      <c r="M822" s="20">
        <v>1000000</v>
      </c>
      <c r="N822" s="20">
        <v>0</v>
      </c>
      <c r="O822" s="20">
        <v>0</v>
      </c>
      <c r="P822" s="20"/>
      <c r="Q822" s="19">
        <f t="shared" si="86"/>
        <v>35012289.170000002</v>
      </c>
      <c r="R822" s="20">
        <v>1536303</v>
      </c>
      <c r="S822" s="20">
        <v>8231169</v>
      </c>
      <c r="T822" s="20"/>
      <c r="U822" s="20"/>
      <c r="V822" s="20"/>
      <c r="W822" s="20">
        <v>1276248</v>
      </c>
      <c r="X822" s="20">
        <v>7555076</v>
      </c>
      <c r="Y822" s="8">
        <f t="shared" si="87"/>
        <v>16413493.170000002</v>
      </c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>
        <v>300000</v>
      </c>
      <c r="AK822" s="36"/>
      <c r="AL822" s="37">
        <f t="shared" si="88"/>
        <v>300000</v>
      </c>
      <c r="AM822" s="36"/>
      <c r="AN822" s="36"/>
      <c r="AO822" s="36"/>
      <c r="AP822" s="7"/>
      <c r="AQ822" s="38">
        <f t="shared" si="89"/>
        <v>16113493.170000002</v>
      </c>
      <c r="AR822" s="36"/>
      <c r="AS822" s="18">
        <f t="shared" si="90"/>
        <v>-16113493.170000002</v>
      </c>
    </row>
    <row r="823" spans="1:45" x14ac:dyDescent="0.25">
      <c r="A823" s="40">
        <v>46111</v>
      </c>
      <c r="B823" s="20">
        <v>1928.1110000000001</v>
      </c>
      <c r="C823" s="20">
        <v>4674.6940000000004</v>
      </c>
      <c r="D823" s="20">
        <v>5475</v>
      </c>
      <c r="E823" s="20">
        <v>5180</v>
      </c>
      <c r="F823" s="7">
        <f t="shared" si="84"/>
        <v>10556407.725000001</v>
      </c>
      <c r="G823" s="7">
        <f t="shared" si="85"/>
        <v>24214914.920000002</v>
      </c>
      <c r="H823" s="20">
        <f>'[1]MAR 2026'!H30</f>
        <v>44.5</v>
      </c>
      <c r="I823" s="20">
        <v>1001000</v>
      </c>
      <c r="J823" s="20">
        <f>'[1]MAR 2026'!J30</f>
        <v>37</v>
      </c>
      <c r="K823" s="20">
        <v>441000</v>
      </c>
      <c r="L823" s="20">
        <v>8000</v>
      </c>
      <c r="M823" s="20">
        <v>0</v>
      </c>
      <c r="N823" s="20">
        <v>550000</v>
      </c>
      <c r="O823" s="20">
        <v>0</v>
      </c>
      <c r="P823" s="20"/>
      <c r="Q823" s="19">
        <f t="shared" si="86"/>
        <v>36771322.645000003</v>
      </c>
      <c r="R823" s="20">
        <v>548771</v>
      </c>
      <c r="S823" s="20">
        <v>22710955</v>
      </c>
      <c r="T823" s="20"/>
      <c r="U823" s="20"/>
      <c r="V823" s="20"/>
      <c r="W823" s="20">
        <v>350000</v>
      </c>
      <c r="X823" s="20">
        <v>1829800</v>
      </c>
      <c r="Y823" s="8">
        <f t="shared" si="87"/>
        <v>11331796.645000003</v>
      </c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7">
        <f t="shared" si="88"/>
        <v>0</v>
      </c>
      <c r="AM823" s="36"/>
      <c r="AN823" s="36"/>
      <c r="AO823" s="36"/>
      <c r="AP823" s="7"/>
      <c r="AQ823" s="38">
        <f t="shared" si="89"/>
        <v>11331796.645000003</v>
      </c>
      <c r="AR823" s="36">
        <v>30755300</v>
      </c>
      <c r="AS823" s="18">
        <f t="shared" si="90"/>
        <v>19423503.354999997</v>
      </c>
    </row>
    <row r="824" spans="1:45" x14ac:dyDescent="0.25">
      <c r="A824" s="40">
        <v>46112</v>
      </c>
      <c r="B824" s="20">
        <v>2273.105</v>
      </c>
      <c r="C824" s="20">
        <v>4175.6949999999997</v>
      </c>
      <c r="D824" s="20">
        <v>5475</v>
      </c>
      <c r="E824" s="20">
        <v>5180</v>
      </c>
      <c r="F824" s="7">
        <f t="shared" si="84"/>
        <v>12445249.875</v>
      </c>
      <c r="G824" s="7">
        <f t="shared" si="85"/>
        <v>21630100.099999998</v>
      </c>
      <c r="H824" s="20">
        <f>'[1]MAR 2026'!H31</f>
        <v>51.25</v>
      </c>
      <c r="I824" s="20">
        <v>1001500</v>
      </c>
      <c r="J824" s="20">
        <f>'[1]MAR 2026'!J31</f>
        <v>54</v>
      </c>
      <c r="K824" s="20">
        <v>477000</v>
      </c>
      <c r="L824" s="20">
        <v>8000</v>
      </c>
      <c r="M824" s="20">
        <v>600000</v>
      </c>
      <c r="N824" s="20">
        <v>0</v>
      </c>
      <c r="O824" s="20">
        <v>250000</v>
      </c>
      <c r="P824" s="20"/>
      <c r="Q824" s="19">
        <f t="shared" si="86"/>
        <v>36411849.974999994</v>
      </c>
      <c r="R824" s="20">
        <v>986450</v>
      </c>
      <c r="S824" s="20">
        <v>12590051</v>
      </c>
      <c r="T824" s="20"/>
      <c r="U824" s="20"/>
      <c r="V824" s="20"/>
      <c r="W824" s="20">
        <v>150000</v>
      </c>
      <c r="X824" s="20">
        <v>11690436</v>
      </c>
      <c r="Y824" s="8">
        <f t="shared" si="87"/>
        <v>10994912.974999994</v>
      </c>
      <c r="Z824" s="36"/>
      <c r="AA824" s="36"/>
      <c r="AB824" s="36"/>
      <c r="AC824" s="36"/>
      <c r="AD824" s="36"/>
      <c r="AE824" s="36">
        <v>4000</v>
      </c>
      <c r="AF824" s="36">
        <v>10000</v>
      </c>
      <c r="AG824" s="36"/>
      <c r="AH824" s="36"/>
      <c r="AI824" s="36">
        <v>10000</v>
      </c>
      <c r="AJ824" s="36">
        <v>200000</v>
      </c>
      <c r="AK824" s="36"/>
      <c r="AL824" s="37">
        <f t="shared" si="88"/>
        <v>224000</v>
      </c>
      <c r="AM824" s="36"/>
      <c r="AN824" s="36"/>
      <c r="AO824" s="36"/>
      <c r="AP824" s="7"/>
      <c r="AQ824" s="38">
        <f t="shared" si="89"/>
        <v>10770912.974999994</v>
      </c>
      <c r="AR824" s="36">
        <v>10771000</v>
      </c>
      <c r="AS824" s="18">
        <f t="shared" si="90"/>
        <v>87.025000005960464</v>
      </c>
    </row>
    <row r="825" spans="1:45" x14ac:dyDescent="0.25">
      <c r="A825" s="40">
        <v>46113</v>
      </c>
      <c r="B825" s="20">
        <v>2452.7570000000001</v>
      </c>
      <c r="C825" s="20">
        <v>6710.0739999999996</v>
      </c>
      <c r="D825" s="20">
        <v>5475</v>
      </c>
      <c r="E825" s="20">
        <v>5180</v>
      </c>
      <c r="F825" s="7">
        <f t="shared" si="84"/>
        <v>13428844.575000001</v>
      </c>
      <c r="G825" s="7">
        <f t="shared" si="85"/>
        <v>34758183.32</v>
      </c>
      <c r="H825" s="20">
        <f>'[1]MAR 2026'!H32</f>
        <v>120</v>
      </c>
      <c r="I825" s="20">
        <v>2636000</v>
      </c>
      <c r="J825" s="20">
        <f>'[1]MAR 2026'!J32</f>
        <v>67.5</v>
      </c>
      <c r="K825" s="20">
        <v>580000</v>
      </c>
      <c r="L825" s="20">
        <v>175000</v>
      </c>
      <c r="M825" s="20">
        <v>0</v>
      </c>
      <c r="N825" s="20"/>
      <c r="O825" s="20">
        <v>2724000</v>
      </c>
      <c r="P825" s="20"/>
      <c r="Q825" s="19">
        <f t="shared" si="86"/>
        <v>54302027.895000003</v>
      </c>
      <c r="R825" s="20">
        <v>2503980</v>
      </c>
      <c r="S825" s="20">
        <v>22331792</v>
      </c>
      <c r="T825" s="20"/>
      <c r="U825" s="20"/>
      <c r="V825" s="20"/>
      <c r="W825" s="20">
        <v>120000</v>
      </c>
      <c r="X825" s="20">
        <v>10603889</v>
      </c>
      <c r="Y825" s="8">
        <f t="shared" si="87"/>
        <v>18742366.895000003</v>
      </c>
      <c r="Z825" s="36"/>
      <c r="AA825" s="36"/>
      <c r="AB825" s="36"/>
      <c r="AC825" s="36"/>
      <c r="AD825" s="36"/>
      <c r="AE825" s="36"/>
      <c r="AF825" s="36">
        <v>20000</v>
      </c>
      <c r="AG825" s="36"/>
      <c r="AH825" s="36"/>
      <c r="AI825" s="36"/>
      <c r="AJ825" s="36">
        <v>3633000</v>
      </c>
      <c r="AK825" s="36"/>
      <c r="AL825" s="37">
        <f t="shared" si="88"/>
        <v>3653000</v>
      </c>
      <c r="AM825" s="36"/>
      <c r="AN825" s="36"/>
      <c r="AO825" s="36"/>
      <c r="AP825" s="7"/>
      <c r="AQ825" s="38">
        <f t="shared" si="89"/>
        <v>15089366.895000003</v>
      </c>
      <c r="AR825" s="36">
        <v>14949300</v>
      </c>
      <c r="AS825" s="18">
        <f t="shared" si="90"/>
        <v>-140066.89500000328</v>
      </c>
    </row>
    <row r="826" spans="1:45" x14ac:dyDescent="0.25">
      <c r="A826" s="40">
        <v>46114</v>
      </c>
      <c r="B826" s="20">
        <f>'[2]APRIL 2026'!B3</f>
        <v>2629.29</v>
      </c>
      <c r="C826" s="20">
        <f>'[2]APRIL 2026'!C3</f>
        <v>2769.2049999999999</v>
      </c>
      <c r="D826" s="20">
        <v>5475</v>
      </c>
      <c r="E826" s="20">
        <v>5180</v>
      </c>
      <c r="F826" s="7">
        <f t="shared" si="84"/>
        <v>14395362.75</v>
      </c>
      <c r="G826" s="7">
        <f t="shared" si="85"/>
        <v>14344481.9</v>
      </c>
      <c r="H826" s="20">
        <f>'[2]APRIL 2026'!H3</f>
        <v>55</v>
      </c>
      <c r="I826" s="20">
        <f>'[2]APRIL 2026'!I3</f>
        <v>1210000</v>
      </c>
      <c r="J826" s="20">
        <f>'[2]APRIL 2026'!J3</f>
        <v>42</v>
      </c>
      <c r="K826" s="20">
        <f>'[2]APRIL 2026'!K3+'[2]APRIL 2026'!N3</f>
        <v>371000</v>
      </c>
      <c r="L826" s="20">
        <f>'[2]APRIL 2026'!L3</f>
        <v>58000</v>
      </c>
      <c r="M826" s="20">
        <v>0</v>
      </c>
      <c r="N826" s="20">
        <v>0</v>
      </c>
      <c r="O826" s="20">
        <v>100000</v>
      </c>
      <c r="P826" s="20"/>
      <c r="Q826" s="19">
        <f t="shared" si="86"/>
        <v>30478844.649999999</v>
      </c>
      <c r="R826" s="20">
        <v>1514824</v>
      </c>
      <c r="S826" s="20">
        <v>8956961</v>
      </c>
      <c r="T826" s="20"/>
      <c r="U826" s="20"/>
      <c r="V826" s="20"/>
      <c r="W826" s="20">
        <v>651400</v>
      </c>
      <c r="X826" s="20">
        <v>8038330</v>
      </c>
      <c r="Y826" s="8">
        <f t="shared" si="87"/>
        <v>11317329.649999999</v>
      </c>
      <c r="Z826" s="36"/>
      <c r="AA826" s="36"/>
      <c r="AB826" s="36"/>
      <c r="AC826" s="36">
        <v>6000</v>
      </c>
      <c r="AD826" s="36"/>
      <c r="AE826" s="36">
        <v>120000</v>
      </c>
      <c r="AF826" s="36"/>
      <c r="AG826" s="36"/>
      <c r="AH826" s="36"/>
      <c r="AI826" s="36"/>
      <c r="AJ826" s="36">
        <v>500000</v>
      </c>
      <c r="AK826" s="36"/>
      <c r="AL826" s="37">
        <f t="shared" si="88"/>
        <v>626000</v>
      </c>
      <c r="AM826" s="36"/>
      <c r="AN826" s="36"/>
      <c r="AO826" s="36"/>
      <c r="AP826" s="7"/>
      <c r="AQ826" s="38">
        <f t="shared" si="89"/>
        <v>10691329.649999999</v>
      </c>
      <c r="AR826" s="36">
        <v>10691300</v>
      </c>
      <c r="AS826" s="18">
        <f t="shared" si="90"/>
        <v>-29.649999998509884</v>
      </c>
    </row>
    <row r="827" spans="1:45" x14ac:dyDescent="0.25">
      <c r="A827" s="40">
        <v>46115</v>
      </c>
      <c r="B827" s="20">
        <f>'[2]APRIL 2026'!B4</f>
        <v>2675.8009999999999</v>
      </c>
      <c r="C827" s="20">
        <f>'[2]APRIL 2026'!C4</f>
        <v>3798.43</v>
      </c>
      <c r="D827" s="20">
        <v>5475</v>
      </c>
      <c r="E827" s="20">
        <v>5180</v>
      </c>
      <c r="F827" s="7">
        <f t="shared" si="84"/>
        <v>14650010.475</v>
      </c>
      <c r="G827" s="7">
        <f t="shared" si="85"/>
        <v>19675867.399999999</v>
      </c>
      <c r="H827" s="20">
        <f>'[2]APRIL 2026'!H4</f>
        <v>52.25</v>
      </c>
      <c r="I827" s="20">
        <f>'[2]APRIL 2026'!I4</f>
        <v>1087000</v>
      </c>
      <c r="J827" s="20">
        <f>'[2]APRIL 2026'!J4</f>
        <v>46.5</v>
      </c>
      <c r="K827" s="20">
        <f>'[2]APRIL 2026'!K4+'[2]APRIL 2026'!N4</f>
        <v>392000</v>
      </c>
      <c r="L827" s="20">
        <f>'[2]APRIL 2026'!L4</f>
        <v>141000</v>
      </c>
      <c r="M827" s="20">
        <v>650000</v>
      </c>
      <c r="N827" s="20">
        <v>0</v>
      </c>
      <c r="O827" s="20">
        <v>50000</v>
      </c>
      <c r="P827" s="20"/>
      <c r="Q827" s="19">
        <f t="shared" si="86"/>
        <v>36645877.875</v>
      </c>
      <c r="R827" s="20">
        <v>1246896</v>
      </c>
      <c r="S827" s="20">
        <v>13661331</v>
      </c>
      <c r="T827" s="20"/>
      <c r="U827" s="20"/>
      <c r="V827" s="20"/>
      <c r="W827" s="20">
        <v>441027</v>
      </c>
      <c r="X827" s="20">
        <v>7679754</v>
      </c>
      <c r="Y827" s="8">
        <f t="shared" si="87"/>
        <v>13616869.875</v>
      </c>
      <c r="Z827" s="36"/>
      <c r="AA827" s="36"/>
      <c r="AB827" s="36"/>
      <c r="AC827" s="36">
        <v>52000</v>
      </c>
      <c r="AD827" s="36">
        <v>103600</v>
      </c>
      <c r="AE827" s="36"/>
      <c r="AF827" s="36">
        <v>3000</v>
      </c>
      <c r="AG827" s="36"/>
      <c r="AH827" s="36"/>
      <c r="AI827" s="36"/>
      <c r="AJ827" s="36">
        <v>712000</v>
      </c>
      <c r="AK827" s="36"/>
      <c r="AL827" s="37">
        <f t="shared" si="88"/>
        <v>870600</v>
      </c>
      <c r="AM827" s="36"/>
      <c r="AN827" s="36"/>
      <c r="AO827" s="36"/>
      <c r="AP827" s="7"/>
      <c r="AQ827" s="38">
        <f t="shared" si="89"/>
        <v>12746269.875</v>
      </c>
      <c r="AR827" s="36"/>
      <c r="AS827" s="18">
        <f t="shared" si="90"/>
        <v>-12746269.875</v>
      </c>
    </row>
    <row r="828" spans="1:45" x14ac:dyDescent="0.25">
      <c r="A828" s="40">
        <v>46116</v>
      </c>
      <c r="B828" s="20">
        <f>'[2]APRIL 2026'!B5</f>
        <v>2747.4319999999998</v>
      </c>
      <c r="C828" s="20">
        <f>'[2]APRIL 2026'!C5</f>
        <v>4032.183</v>
      </c>
      <c r="D828" s="20">
        <v>5475</v>
      </c>
      <c r="E828" s="20">
        <v>5180</v>
      </c>
      <c r="F828" s="7">
        <f t="shared" si="84"/>
        <v>15042190.199999999</v>
      </c>
      <c r="G828" s="7">
        <f t="shared" si="85"/>
        <v>20886707.940000001</v>
      </c>
      <c r="H828" s="20">
        <f>'[2]APRIL 2026'!H5</f>
        <v>91</v>
      </c>
      <c r="I828" s="20">
        <f>'[2]APRIL 2026'!I5</f>
        <v>2010500</v>
      </c>
      <c r="J828" s="20">
        <f>'[2]APRIL 2026'!J5</f>
        <v>58.5</v>
      </c>
      <c r="K828" s="20">
        <f>'[2]APRIL 2026'!K5+'[2]APRIL 2026'!N5</f>
        <v>477000</v>
      </c>
      <c r="L828" s="20">
        <f>'[2]APRIL 2026'!L5</f>
        <v>31000</v>
      </c>
      <c r="M828" s="20">
        <v>0</v>
      </c>
      <c r="N828" s="20">
        <v>1000000</v>
      </c>
      <c r="O828" s="20">
        <v>3171100</v>
      </c>
      <c r="P828" s="20"/>
      <c r="Q828" s="19">
        <f t="shared" si="86"/>
        <v>42618498.140000001</v>
      </c>
      <c r="R828" s="20">
        <v>1295010</v>
      </c>
      <c r="S828" s="20">
        <v>13230394</v>
      </c>
      <c r="T828" s="20"/>
      <c r="U828" s="20"/>
      <c r="V828" s="20"/>
      <c r="W828" s="20">
        <v>685000</v>
      </c>
      <c r="X828" s="20">
        <v>12422923</v>
      </c>
      <c r="Y828" s="8">
        <f t="shared" si="87"/>
        <v>14985171.140000001</v>
      </c>
      <c r="Z828" s="36"/>
      <c r="AA828" s="36"/>
      <c r="AB828" s="36"/>
      <c r="AC828" s="36"/>
      <c r="AD828" s="36"/>
      <c r="AE828" s="36">
        <v>992000</v>
      </c>
      <c r="AF828" s="36"/>
      <c r="AG828" s="36">
        <v>2760000</v>
      </c>
      <c r="AH828" s="36">
        <v>89000</v>
      </c>
      <c r="AI828" s="36"/>
      <c r="AJ828" s="36">
        <v>1355000</v>
      </c>
      <c r="AK828" s="36"/>
      <c r="AL828" s="37">
        <f t="shared" si="88"/>
        <v>5196000</v>
      </c>
      <c r="AM828" s="36">
        <v>2140000</v>
      </c>
      <c r="AN828" s="36"/>
      <c r="AO828" s="36"/>
      <c r="AP828" s="7"/>
      <c r="AQ828" s="38">
        <f t="shared" si="89"/>
        <v>7649171.1400000006</v>
      </c>
      <c r="AR828" s="36">
        <v>20378400</v>
      </c>
      <c r="AS828" s="18">
        <f t="shared" si="90"/>
        <v>12729228.859999999</v>
      </c>
    </row>
    <row r="829" spans="1:45" x14ac:dyDescent="0.25">
      <c r="A829" s="40">
        <v>46117</v>
      </c>
      <c r="B829" s="20">
        <f>'[2]APRIL 2026'!B6</f>
        <v>2758.549</v>
      </c>
      <c r="C829" s="20">
        <f>'[2]APRIL 2026'!C6</f>
        <v>3149.3409999999999</v>
      </c>
      <c r="D829" s="20">
        <v>5499</v>
      </c>
      <c r="E829" s="20">
        <v>5180</v>
      </c>
      <c r="F829" s="7">
        <f t="shared" si="84"/>
        <v>15169260.950999999</v>
      </c>
      <c r="G829" s="7">
        <f t="shared" si="85"/>
        <v>16313586.379999999</v>
      </c>
      <c r="H829" s="20">
        <f>'[2]APRIL 2026'!H6</f>
        <v>30</v>
      </c>
      <c r="I829" s="20">
        <f>'[2]APRIL 2026'!I6</f>
        <v>610000</v>
      </c>
      <c r="J829" s="20">
        <f>'[2]APRIL 2026'!J6</f>
        <v>61</v>
      </c>
      <c r="K829" s="20">
        <f>'[2]APRIL 2026'!K6+'[2]APRIL 2026'!N6</f>
        <v>531000</v>
      </c>
      <c r="L829" s="20">
        <f>'[2]APRIL 2026'!L6</f>
        <v>41000</v>
      </c>
      <c r="M829" s="20">
        <v>920000</v>
      </c>
      <c r="N829" s="20">
        <v>0</v>
      </c>
      <c r="O829" s="20">
        <v>139000</v>
      </c>
      <c r="P829" s="20"/>
      <c r="Q829" s="19">
        <f t="shared" si="86"/>
        <v>33723847.331</v>
      </c>
      <c r="R829" s="20">
        <v>977146</v>
      </c>
      <c r="S829" s="20">
        <v>8402031</v>
      </c>
      <c r="T829" s="20"/>
      <c r="U829" s="20"/>
      <c r="V829" s="20"/>
      <c r="W829" s="20">
        <v>456797</v>
      </c>
      <c r="X829" s="20">
        <v>4518685</v>
      </c>
      <c r="Y829" s="8">
        <f t="shared" si="87"/>
        <v>19369188.331</v>
      </c>
      <c r="Z829" s="36"/>
      <c r="AA829" s="36"/>
      <c r="AB829" s="36"/>
      <c r="AC829" s="36"/>
      <c r="AD829" s="36"/>
      <c r="AE829" s="36"/>
      <c r="AF829" s="36">
        <v>217000</v>
      </c>
      <c r="AG829" s="36"/>
      <c r="AH829" s="36"/>
      <c r="AI829" s="36"/>
      <c r="AJ829" s="36">
        <v>1000000</v>
      </c>
      <c r="AK829" s="36"/>
      <c r="AL829" s="37">
        <f t="shared" si="88"/>
        <v>1217000</v>
      </c>
      <c r="AM829" s="36"/>
      <c r="AN829" s="36"/>
      <c r="AO829" s="36"/>
      <c r="AP829" s="7"/>
      <c r="AQ829" s="38">
        <f t="shared" si="89"/>
        <v>18152188.331</v>
      </c>
      <c r="AR829" s="36"/>
      <c r="AS829" s="18">
        <f t="shared" si="90"/>
        <v>-18152188.331</v>
      </c>
    </row>
    <row r="830" spans="1:45" x14ac:dyDescent="0.25">
      <c r="A830" s="40">
        <v>46118</v>
      </c>
      <c r="B830" s="20">
        <f>'[2]APRIL 2026'!B7</f>
        <v>1830.6210000000001</v>
      </c>
      <c r="C830" s="20">
        <f>'[2]APRIL 2026'!C7</f>
        <v>764.39499999999998</v>
      </c>
      <c r="D830" s="20">
        <v>5499</v>
      </c>
      <c r="E830" s="20">
        <v>5180</v>
      </c>
      <c r="F830" s="7">
        <f t="shared" si="84"/>
        <v>10066584.879000001</v>
      </c>
      <c r="G830" s="7">
        <f t="shared" si="85"/>
        <v>3959566.1</v>
      </c>
      <c r="H830" s="20">
        <f>'[2]APRIL 2026'!H7</f>
        <v>29.25</v>
      </c>
      <c r="I830" s="20">
        <f>'[2]APRIL 2026'!I7</f>
        <v>650000</v>
      </c>
      <c r="J830" s="20">
        <f>'[2]APRIL 2026'!J7</f>
        <v>31.5</v>
      </c>
      <c r="K830" s="20">
        <f>'[2]APRIL 2026'!K7+'[2]APRIL 2026'!N7</f>
        <v>316000</v>
      </c>
      <c r="L830" s="20">
        <f>'[2]APRIL 2026'!L7</f>
        <v>30000</v>
      </c>
      <c r="M830" s="20">
        <v>0</v>
      </c>
      <c r="N830" s="20">
        <v>0</v>
      </c>
      <c r="O830" s="20">
        <v>0</v>
      </c>
      <c r="P830" s="20"/>
      <c r="Q830" s="19">
        <f t="shared" si="86"/>
        <v>15022150.979</v>
      </c>
      <c r="R830" s="20">
        <v>504838</v>
      </c>
      <c r="S830" s="20">
        <v>1501039</v>
      </c>
      <c r="T830" s="20"/>
      <c r="U830" s="20"/>
      <c r="V830" s="20"/>
      <c r="W830" s="20">
        <v>372700</v>
      </c>
      <c r="X830" s="20">
        <v>1590841</v>
      </c>
      <c r="Y830" s="8">
        <f t="shared" si="87"/>
        <v>11052732.979</v>
      </c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>
        <v>100000</v>
      </c>
      <c r="AK830" s="36"/>
      <c r="AL830" s="37">
        <f t="shared" si="88"/>
        <v>100000</v>
      </c>
      <c r="AM830" s="36"/>
      <c r="AN830" s="36"/>
      <c r="AO830" s="36"/>
      <c r="AP830" s="7"/>
      <c r="AQ830" s="38">
        <f t="shared" si="89"/>
        <v>10952732.979</v>
      </c>
      <c r="AR830" s="36"/>
      <c r="AS830" s="18">
        <f t="shared" si="90"/>
        <v>-10952732.979</v>
      </c>
    </row>
    <row r="831" spans="1:45" x14ac:dyDescent="0.25">
      <c r="A831" s="40">
        <v>46119</v>
      </c>
      <c r="B831" s="20">
        <f>'[2]APRIL 2026'!B8</f>
        <v>2461.2330000000002</v>
      </c>
      <c r="C831" s="20">
        <f>'[2]APRIL 2026'!C8</f>
        <v>2804.92</v>
      </c>
      <c r="D831" s="20">
        <v>5499</v>
      </c>
      <c r="E831" s="20">
        <v>5180</v>
      </c>
      <c r="F831" s="7">
        <f t="shared" si="84"/>
        <v>13534320.267000001</v>
      </c>
      <c r="G831" s="7">
        <f t="shared" si="85"/>
        <v>14529485.6</v>
      </c>
      <c r="H831" s="20">
        <f>'[2]APRIL 2026'!H8</f>
        <v>45.25</v>
      </c>
      <c r="I831" s="20">
        <f>'[2]APRIL 2026'!I8</f>
        <v>1259000</v>
      </c>
      <c r="J831" s="20">
        <f>'[2]APRIL 2026'!J8</f>
        <v>55.5</v>
      </c>
      <c r="K831" s="20">
        <f>'[2]APRIL 2026'!K8+'[2]APRIL 2026'!N8</f>
        <v>477000</v>
      </c>
      <c r="L831" s="20">
        <f>'[2]APRIL 2026'!L8</f>
        <v>39000</v>
      </c>
      <c r="M831" s="20">
        <v>400000</v>
      </c>
      <c r="N831" s="20">
        <v>0</v>
      </c>
      <c r="O831" s="20">
        <v>0</v>
      </c>
      <c r="P831" s="20"/>
      <c r="Q831" s="19">
        <f t="shared" si="86"/>
        <v>30238805.866999999</v>
      </c>
      <c r="R831" s="20">
        <v>1678336</v>
      </c>
      <c r="S831" s="20">
        <v>6093855</v>
      </c>
      <c r="T831" s="20"/>
      <c r="U831" s="20"/>
      <c r="V831" s="20"/>
      <c r="W831" s="20">
        <v>972932</v>
      </c>
      <c r="X831" s="20">
        <v>3533962</v>
      </c>
      <c r="Y831" s="8">
        <f t="shared" si="87"/>
        <v>17959720.866999999</v>
      </c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>
        <v>11699000</v>
      </c>
      <c r="AK831" s="36"/>
      <c r="AL831" s="37">
        <f t="shared" si="88"/>
        <v>11699000</v>
      </c>
      <c r="AM831" s="36"/>
      <c r="AN831" s="36"/>
      <c r="AO831" s="36"/>
      <c r="AP831" s="7"/>
      <c r="AQ831" s="38">
        <f t="shared" si="89"/>
        <v>6260720.8669999987</v>
      </c>
      <c r="AR831" s="36">
        <v>35365700</v>
      </c>
      <c r="AS831" s="18">
        <f t="shared" si="90"/>
        <v>29104979.133000001</v>
      </c>
    </row>
    <row r="832" spans="1:45" x14ac:dyDescent="0.25">
      <c r="A832" s="40">
        <v>46120</v>
      </c>
      <c r="B832" s="20">
        <f>'[2]APRIL 2026'!B9</f>
        <v>2575.6320000000001</v>
      </c>
      <c r="C832" s="20">
        <f>'[2]APRIL 2026'!C9</f>
        <v>7130.8090000000002</v>
      </c>
      <c r="D832" s="20">
        <v>5499</v>
      </c>
      <c r="E832" s="20">
        <v>5180</v>
      </c>
      <c r="F832" s="7">
        <f t="shared" si="84"/>
        <v>14163400.368000001</v>
      </c>
      <c r="G832" s="7">
        <f t="shared" si="85"/>
        <v>36937590.619999997</v>
      </c>
      <c r="H832" s="20">
        <f>'[2]APRIL 2026'!H9</f>
        <v>87.75</v>
      </c>
      <c r="I832" s="20">
        <f>'[2]APRIL 2026'!I9</f>
        <v>1734000</v>
      </c>
      <c r="J832" s="20">
        <f>'[2]APRIL 2026'!J9</f>
        <v>112</v>
      </c>
      <c r="K832" s="20">
        <f>'[2]APRIL 2026'!K9+'[2]APRIL 2026'!N9</f>
        <v>1074500</v>
      </c>
      <c r="L832" s="20">
        <f>'[2]APRIL 2026'!L9</f>
        <v>209000</v>
      </c>
      <c r="M832" s="20">
        <v>0</v>
      </c>
      <c r="N832" s="20">
        <v>0</v>
      </c>
      <c r="O832" s="20">
        <v>0</v>
      </c>
      <c r="P832" s="20"/>
      <c r="Q832" s="19">
        <f t="shared" si="86"/>
        <v>54118490.987999998</v>
      </c>
      <c r="R832" s="20">
        <v>2160612</v>
      </c>
      <c r="S832" s="20">
        <v>23874203</v>
      </c>
      <c r="T832" s="20"/>
      <c r="U832" s="20"/>
      <c r="V832" s="20"/>
      <c r="W832" s="20">
        <v>519786</v>
      </c>
      <c r="X832" s="20">
        <v>15148207</v>
      </c>
      <c r="Y832" s="8">
        <f t="shared" si="87"/>
        <v>12415682.987999998</v>
      </c>
      <c r="Z832" s="36"/>
      <c r="AA832" s="36"/>
      <c r="AB832" s="36"/>
      <c r="AC832" s="36"/>
      <c r="AD832" s="36"/>
      <c r="AE832" s="36"/>
      <c r="AF832" s="36">
        <v>5000</v>
      </c>
      <c r="AG832" s="36"/>
      <c r="AH832" s="36"/>
      <c r="AI832" s="36">
        <v>25000</v>
      </c>
      <c r="AJ832" s="36">
        <v>4572000</v>
      </c>
      <c r="AK832" s="36"/>
      <c r="AL832" s="37">
        <f t="shared" si="88"/>
        <v>4602000</v>
      </c>
      <c r="AM832" s="36"/>
      <c r="AN832" s="36"/>
      <c r="AO832" s="36"/>
      <c r="AP832" s="7"/>
      <c r="AQ832" s="38">
        <f t="shared" si="89"/>
        <v>7813682.987999998</v>
      </c>
      <c r="AR832" s="36">
        <v>7821700</v>
      </c>
      <c r="AS832" s="18">
        <f t="shared" si="90"/>
        <v>8017.012000001967</v>
      </c>
    </row>
    <row r="833" spans="1:45" x14ac:dyDescent="0.25">
      <c r="A833" s="40">
        <v>46121</v>
      </c>
      <c r="B833" s="20">
        <f>'[2]APRIL 2026'!B10</f>
        <v>1528.13</v>
      </c>
      <c r="C833" s="20">
        <f>'[2]APRIL 2026'!C10</f>
        <v>2822.59</v>
      </c>
      <c r="D833" s="20">
        <v>5499</v>
      </c>
      <c r="E833" s="20">
        <v>5180</v>
      </c>
      <c r="F833" s="7">
        <f t="shared" si="84"/>
        <v>8403186.870000001</v>
      </c>
      <c r="G833" s="7">
        <f t="shared" si="85"/>
        <v>14621016.200000001</v>
      </c>
      <c r="H833" s="20">
        <f>'[2]APRIL 2026'!H10</f>
        <v>70</v>
      </c>
      <c r="I833" s="20">
        <f>'[2]APRIL 2026'!I10</f>
        <v>1474500</v>
      </c>
      <c r="J833" s="20">
        <f>'[2]APRIL 2026'!J10</f>
        <v>43</v>
      </c>
      <c r="K833" s="20">
        <f>'[2]APRIL 2026'!K10+'[2]APRIL 2026'!N10</f>
        <v>638000</v>
      </c>
      <c r="L833" s="20">
        <f>'[2]APRIL 2026'!L10</f>
        <v>49000</v>
      </c>
      <c r="M833" s="20">
        <v>1400000</v>
      </c>
      <c r="N833" s="20">
        <v>0</v>
      </c>
      <c r="O833" s="20">
        <v>1127800</v>
      </c>
      <c r="P833" s="20"/>
      <c r="Q833" s="19">
        <f t="shared" si="86"/>
        <v>27713503.07</v>
      </c>
      <c r="R833" s="20">
        <v>805650</v>
      </c>
      <c r="S833" s="20">
        <v>7701104</v>
      </c>
      <c r="T833" s="20"/>
      <c r="U833" s="20"/>
      <c r="V833" s="20"/>
      <c r="W833" s="20">
        <v>470000</v>
      </c>
      <c r="X833" s="20">
        <v>2934121</v>
      </c>
      <c r="Y833" s="8">
        <f t="shared" si="87"/>
        <v>15802628.07</v>
      </c>
      <c r="Z833" s="36"/>
      <c r="AA833" s="36"/>
      <c r="AB833" s="36"/>
      <c r="AC833" s="36">
        <v>12000</v>
      </c>
      <c r="AD833" s="36"/>
      <c r="AE833" s="36"/>
      <c r="AF833" s="36">
        <v>6000</v>
      </c>
      <c r="AG833" s="36"/>
      <c r="AH833" s="36"/>
      <c r="AI833" s="36"/>
      <c r="AJ833" s="36"/>
      <c r="AK833" s="36"/>
      <c r="AL833" s="37">
        <f t="shared" si="88"/>
        <v>18000</v>
      </c>
      <c r="AM833" s="36"/>
      <c r="AN833" s="36"/>
      <c r="AO833" s="36"/>
      <c r="AP833" s="7"/>
      <c r="AQ833" s="38">
        <f t="shared" si="89"/>
        <v>15784628.07</v>
      </c>
      <c r="AR833" s="36">
        <v>15792700</v>
      </c>
      <c r="AS833" s="18">
        <f t="shared" si="90"/>
        <v>8071.929999999702</v>
      </c>
    </row>
    <row r="834" spans="1:45" x14ac:dyDescent="0.25">
      <c r="A834" s="40">
        <v>46122</v>
      </c>
      <c r="B834" s="20">
        <f>'[2]APRIL 2026'!B11</f>
        <v>1218.6949999999999</v>
      </c>
      <c r="C834" s="20">
        <f>'[2]APRIL 2026'!C11</f>
        <v>4001.6610000000001</v>
      </c>
      <c r="D834" s="20">
        <v>5510</v>
      </c>
      <c r="E834" s="20">
        <v>5180</v>
      </c>
      <c r="F834" s="7">
        <f t="shared" si="84"/>
        <v>6715009.4499999993</v>
      </c>
      <c r="G834" s="7">
        <f t="shared" si="85"/>
        <v>20728603.98</v>
      </c>
      <c r="H834" s="20">
        <f>'[2]APRIL 2026'!H11</f>
        <v>42.75</v>
      </c>
      <c r="I834" s="20">
        <f>'[2]APRIL 2026'!I11</f>
        <v>907000</v>
      </c>
      <c r="J834" s="20">
        <f>'[2]APRIL 2026'!J11</f>
        <v>24</v>
      </c>
      <c r="K834" s="20">
        <f>'[2]APRIL 2026'!K11+'[2]APRIL 2026'!N11</f>
        <v>385500</v>
      </c>
      <c r="L834" s="20">
        <f>'[2]APRIL 2026'!L11</f>
        <v>58000</v>
      </c>
      <c r="M834" s="20"/>
      <c r="N834" s="20"/>
      <c r="O834" s="20">
        <v>2380000</v>
      </c>
      <c r="P834" s="20">
        <v>58000</v>
      </c>
      <c r="Q834" s="19">
        <f t="shared" si="86"/>
        <v>31232113.43</v>
      </c>
      <c r="R834" s="20">
        <v>908165</v>
      </c>
      <c r="S834" s="20">
        <v>9846080</v>
      </c>
      <c r="T834" s="20"/>
      <c r="U834" s="20"/>
      <c r="V834" s="20"/>
      <c r="W834" s="20">
        <v>0</v>
      </c>
      <c r="X834" s="20">
        <v>8454341</v>
      </c>
      <c r="Y834" s="8">
        <f t="shared" si="87"/>
        <v>12023527.43</v>
      </c>
      <c r="Z834" s="36"/>
      <c r="AA834" s="36">
        <v>210300</v>
      </c>
      <c r="AB834" s="36">
        <v>280000</v>
      </c>
      <c r="AC834" s="36">
        <v>8000</v>
      </c>
      <c r="AD834" s="36"/>
      <c r="AE834" s="36"/>
      <c r="AF834" s="36"/>
      <c r="AG834" s="36"/>
      <c r="AH834" s="36"/>
      <c r="AI834" s="36"/>
      <c r="AJ834" s="36">
        <v>3500000</v>
      </c>
      <c r="AK834" s="36"/>
      <c r="AL834" s="37">
        <f t="shared" si="88"/>
        <v>3998300</v>
      </c>
      <c r="AM834" s="36"/>
      <c r="AN834" s="36"/>
      <c r="AO834" s="36"/>
      <c r="AP834" s="7"/>
      <c r="AQ834" s="38">
        <f t="shared" si="89"/>
        <v>8025227.4299999997</v>
      </c>
      <c r="AR834" s="36">
        <v>7652200</v>
      </c>
      <c r="AS834" s="18">
        <f t="shared" si="90"/>
        <v>-373027.4299999997</v>
      </c>
    </row>
    <row r="835" spans="1:45" x14ac:dyDescent="0.25">
      <c r="A835" s="40">
        <v>46123</v>
      </c>
      <c r="B835" s="20">
        <f>'[2]APRIL 2026'!B12</f>
        <v>6.3849999999999998</v>
      </c>
      <c r="C835" s="20">
        <f>'[2]APRIL 2026'!C12</f>
        <v>2868.6849999999999</v>
      </c>
      <c r="D835" s="20">
        <v>5510</v>
      </c>
      <c r="E835" s="20">
        <v>5180</v>
      </c>
      <c r="F835" s="7">
        <f t="shared" si="84"/>
        <v>35181.35</v>
      </c>
      <c r="G835" s="7">
        <f t="shared" si="85"/>
        <v>14859788.299999999</v>
      </c>
      <c r="H835" s="20">
        <f>'[2]APRIL 2026'!H12</f>
        <v>95.25</v>
      </c>
      <c r="I835" s="20">
        <f>'[2]APRIL 2026'!I12</f>
        <v>2221500</v>
      </c>
      <c r="J835" s="20">
        <f>'[2]APRIL 2026'!J12</f>
        <v>30</v>
      </c>
      <c r="K835" s="20">
        <f>'[2]APRIL 2026'!K12+'[2]APRIL 2026'!N12</f>
        <v>310000</v>
      </c>
      <c r="L835" s="20">
        <f>'[2]APRIL 2026'!L12</f>
        <v>107000</v>
      </c>
      <c r="M835" s="20"/>
      <c r="N835" s="20"/>
      <c r="O835" s="20">
        <v>7530000</v>
      </c>
      <c r="P835" s="20">
        <v>0</v>
      </c>
      <c r="Q835" s="19">
        <f t="shared" si="86"/>
        <v>25063469.649999999</v>
      </c>
      <c r="R835" s="20">
        <v>0</v>
      </c>
      <c r="S835" s="20">
        <v>7450864</v>
      </c>
      <c r="T835" s="20">
        <v>177000</v>
      </c>
      <c r="U835" s="20"/>
      <c r="V835" s="20"/>
      <c r="W835" s="20">
        <v>0</v>
      </c>
      <c r="X835" s="20">
        <v>4874091</v>
      </c>
      <c r="Y835" s="8">
        <f t="shared" si="87"/>
        <v>12561514.649999999</v>
      </c>
      <c r="Z835" s="36"/>
      <c r="AA835" s="36"/>
      <c r="AB835" s="36"/>
      <c r="AC835" s="36"/>
      <c r="AD835" s="36"/>
      <c r="AE835" s="36"/>
      <c r="AF835" s="36">
        <v>6000</v>
      </c>
      <c r="AG835" s="36"/>
      <c r="AH835" s="36"/>
      <c r="AI835" s="36"/>
      <c r="AJ835" s="36">
        <v>220000</v>
      </c>
      <c r="AK835" s="36"/>
      <c r="AL835" s="37">
        <f t="shared" si="88"/>
        <v>226000</v>
      </c>
      <c r="AM835" s="36"/>
      <c r="AN835" s="36"/>
      <c r="AO835" s="36"/>
      <c r="AP835" s="7"/>
      <c r="AQ835" s="38">
        <f t="shared" si="89"/>
        <v>12335514.649999999</v>
      </c>
      <c r="AR835" s="36">
        <v>5390000</v>
      </c>
      <c r="AS835" s="18">
        <f t="shared" si="90"/>
        <v>-6945514.6499999985</v>
      </c>
    </row>
    <row r="836" spans="1:45" x14ac:dyDescent="0.25">
      <c r="A836" s="40">
        <v>46124</v>
      </c>
      <c r="B836" s="20">
        <f>'[2]APRIL 2026'!B13</f>
        <v>2811.4850000000001</v>
      </c>
      <c r="C836" s="20">
        <f>'[2]APRIL 2026'!C13</f>
        <v>3295.181</v>
      </c>
      <c r="D836" s="20">
        <v>5510</v>
      </c>
      <c r="E836" s="20">
        <v>5250</v>
      </c>
      <c r="F836" s="7">
        <f t="shared" ref="F836:F899" si="91">B836*D836</f>
        <v>15491282.350000001</v>
      </c>
      <c r="G836" s="7">
        <f t="shared" ref="G836:G899" si="92">C836*E836</f>
        <v>17299700.25</v>
      </c>
      <c r="H836" s="20">
        <f>'[2]APRIL 2026'!H13</f>
        <v>13.75</v>
      </c>
      <c r="I836" s="20">
        <f>'[2]APRIL 2026'!I13</f>
        <v>361500</v>
      </c>
      <c r="J836" s="20">
        <f>'[2]APRIL 2026'!J13</f>
        <v>25</v>
      </c>
      <c r="K836" s="20">
        <f>'[2]APRIL 2026'!K13+'[2]APRIL 2026'!N13</f>
        <v>229000</v>
      </c>
      <c r="L836" s="20">
        <f>'[2]APRIL 2026'!L13</f>
        <v>24000</v>
      </c>
      <c r="M836" s="20"/>
      <c r="N836" s="20"/>
      <c r="O836" s="20">
        <v>2158000</v>
      </c>
      <c r="P836" s="20">
        <v>0</v>
      </c>
      <c r="Q836" s="19">
        <f t="shared" ref="Q836:Q899" si="93">SUM(F836:G836)+I836+K836+SUM(L836:P836)</f>
        <v>35563482.600000001</v>
      </c>
      <c r="R836" s="20">
        <v>1704680</v>
      </c>
      <c r="S836" s="20">
        <v>9704035</v>
      </c>
      <c r="T836" s="20"/>
      <c r="U836" s="20"/>
      <c r="V836" s="20"/>
      <c r="W836" s="20">
        <v>494000</v>
      </c>
      <c r="X836" s="20">
        <v>4157306</v>
      </c>
      <c r="Y836" s="8">
        <f t="shared" ref="Y836:Y899" si="94">Q836-SUM(R836:X836)</f>
        <v>19503461.600000001</v>
      </c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>
        <v>3906000</v>
      </c>
      <c r="AK836" s="36"/>
      <c r="AL836" s="37">
        <f t="shared" ref="AL836:AL899" si="95">SUM(Z836:AK836)</f>
        <v>3906000</v>
      </c>
      <c r="AM836" s="36"/>
      <c r="AN836" s="36"/>
      <c r="AO836" s="36"/>
      <c r="AP836" s="7"/>
      <c r="AQ836" s="38">
        <f t="shared" ref="AQ836:AQ899" si="96">Q836-SUM(R836:X836)-AL836-SUM(AM836:AO836)</f>
        <v>15597461.600000001</v>
      </c>
      <c r="AR836" s="36"/>
      <c r="AS836" s="18">
        <f t="shared" ref="AS836:AS899" si="97">AR836-AQ836</f>
        <v>-15597461.600000001</v>
      </c>
    </row>
    <row r="837" spans="1:45" x14ac:dyDescent="0.25">
      <c r="A837" s="40">
        <v>46125</v>
      </c>
      <c r="B837" s="20">
        <f>'[2]APRIL 2026'!B14</f>
        <v>3009.587</v>
      </c>
      <c r="C837" s="20">
        <f>'[2]APRIL 2026'!C14</f>
        <v>2782.808</v>
      </c>
      <c r="D837" s="20">
        <v>5510</v>
      </c>
      <c r="E837" s="20">
        <v>5250</v>
      </c>
      <c r="F837" s="7">
        <f t="shared" si="91"/>
        <v>16582824.369999999</v>
      </c>
      <c r="G837" s="7">
        <f t="shared" si="92"/>
        <v>14609742</v>
      </c>
      <c r="H837" s="20">
        <f>'[2]APRIL 2026'!H14</f>
        <v>69.25</v>
      </c>
      <c r="I837" s="20">
        <f>'[2]APRIL 2026'!I14</f>
        <v>1456800</v>
      </c>
      <c r="J837" s="20">
        <f>'[2]APRIL 2026'!J14</f>
        <v>86</v>
      </c>
      <c r="K837" s="20">
        <f>'[2]APRIL 2026'!K14+'[2]APRIL 2026'!N14</f>
        <v>832000</v>
      </c>
      <c r="L837" s="20">
        <f>'[2]APRIL 2026'!L14</f>
        <v>158000</v>
      </c>
      <c r="M837" s="20"/>
      <c r="N837" s="20"/>
      <c r="O837" s="20">
        <v>7500000</v>
      </c>
      <c r="P837" s="20"/>
      <c r="Q837" s="19">
        <f t="shared" si="93"/>
        <v>41139366.369999997</v>
      </c>
      <c r="R837" s="20">
        <v>1756219</v>
      </c>
      <c r="S837" s="20">
        <v>8261947</v>
      </c>
      <c r="T837" s="20">
        <v>35000</v>
      </c>
      <c r="U837" s="20"/>
      <c r="V837" s="20"/>
      <c r="W837" s="20">
        <v>926000</v>
      </c>
      <c r="X837" s="20">
        <v>7183527</v>
      </c>
      <c r="Y837" s="8">
        <f t="shared" si="94"/>
        <v>22976673.369999997</v>
      </c>
      <c r="Z837" s="36"/>
      <c r="AA837" s="36"/>
      <c r="AB837" s="36"/>
      <c r="AC837" s="36"/>
      <c r="AD837" s="36"/>
      <c r="AE837" s="36"/>
      <c r="AF837" s="36">
        <v>150000</v>
      </c>
      <c r="AG837" s="36"/>
      <c r="AH837" s="36"/>
      <c r="AI837" s="36"/>
      <c r="AJ837" s="36"/>
      <c r="AK837" s="36"/>
      <c r="AL837" s="37">
        <f t="shared" si="95"/>
        <v>150000</v>
      </c>
      <c r="AM837" s="36"/>
      <c r="AN837" s="36"/>
      <c r="AO837" s="36"/>
      <c r="AP837" s="7"/>
      <c r="AQ837" s="38">
        <f t="shared" si="96"/>
        <v>22826673.369999997</v>
      </c>
      <c r="AR837" s="36">
        <v>45725700</v>
      </c>
      <c r="AS837" s="18">
        <f t="shared" si="97"/>
        <v>22899026.630000003</v>
      </c>
    </row>
    <row r="838" spans="1:45" x14ac:dyDescent="0.25">
      <c r="A838" s="40">
        <v>46126</v>
      </c>
      <c r="B838" s="20">
        <f>'[2]APRIL 2026'!B15</f>
        <v>564.50300000000004</v>
      </c>
      <c r="C838" s="20">
        <f>'[2]APRIL 2026'!C15</f>
        <v>5133.6970000000001</v>
      </c>
      <c r="D838" s="20">
        <v>5510</v>
      </c>
      <c r="E838" s="20">
        <v>5250</v>
      </c>
      <c r="F838" s="7">
        <f t="shared" si="91"/>
        <v>3110411.5300000003</v>
      </c>
      <c r="G838" s="7">
        <f t="shared" si="92"/>
        <v>26951909.25</v>
      </c>
      <c r="H838" s="20">
        <f>'[2]APRIL 2026'!H15</f>
        <v>69</v>
      </c>
      <c r="I838" s="20">
        <f>'[2]APRIL 2026'!I15</f>
        <v>1387500</v>
      </c>
      <c r="J838" s="20">
        <f>'[2]APRIL 2026'!J15</f>
        <v>72.5</v>
      </c>
      <c r="K838" s="20">
        <f>'[2]APRIL 2026'!K15+'[2]APRIL 2026'!N15</f>
        <v>785000</v>
      </c>
      <c r="L838" s="20">
        <f>'[2]APRIL 2026'!L15</f>
        <v>16000</v>
      </c>
      <c r="M838" s="20"/>
      <c r="N838" s="20"/>
      <c r="O838" s="20">
        <v>4435100</v>
      </c>
      <c r="P838" s="20"/>
      <c r="Q838" s="19">
        <f t="shared" si="93"/>
        <v>36685920.780000001</v>
      </c>
      <c r="R838" s="20">
        <v>370010</v>
      </c>
      <c r="S838" s="20">
        <v>11072831</v>
      </c>
      <c r="T838" s="20">
        <v>147000</v>
      </c>
      <c r="U838" s="20"/>
      <c r="V838" s="20"/>
      <c r="W838" s="20">
        <v>0</v>
      </c>
      <c r="X838" s="20">
        <v>10187149</v>
      </c>
      <c r="Y838" s="8">
        <f t="shared" si="94"/>
        <v>14908930.780000001</v>
      </c>
      <c r="Z838" s="36"/>
      <c r="AA838" s="36"/>
      <c r="AB838" s="36"/>
      <c r="AC838" s="36">
        <v>32000</v>
      </c>
      <c r="AD838" s="36"/>
      <c r="AE838" s="36"/>
      <c r="AF838" s="36">
        <v>6000</v>
      </c>
      <c r="AG838" s="36"/>
      <c r="AH838" s="36">
        <v>30000</v>
      </c>
      <c r="AI838" s="36"/>
      <c r="AJ838" s="36">
        <v>14841000</v>
      </c>
      <c r="AK838" s="36"/>
      <c r="AL838" s="37">
        <f t="shared" si="95"/>
        <v>14909000</v>
      </c>
      <c r="AM838" s="36"/>
      <c r="AN838" s="36"/>
      <c r="AO838" s="36"/>
      <c r="AP838" s="7"/>
      <c r="AQ838" s="38">
        <f t="shared" si="96"/>
        <v>-69.219999998807907</v>
      </c>
      <c r="AR838" s="36">
        <v>0</v>
      </c>
      <c r="AS838" s="18">
        <f t="shared" si="97"/>
        <v>69.219999998807907</v>
      </c>
    </row>
    <row r="839" spans="1:45" x14ac:dyDescent="0.25">
      <c r="A839" s="40">
        <v>46127</v>
      </c>
      <c r="B839" s="20">
        <f>'[2]APRIL 2026'!B16</f>
        <v>2614.4319999999998</v>
      </c>
      <c r="C839" s="20">
        <f>'[2]APRIL 2026'!C16</f>
        <v>4516.5330000000004</v>
      </c>
      <c r="D839" s="20">
        <v>5510</v>
      </c>
      <c r="E839" s="20">
        <v>5250</v>
      </c>
      <c r="F839" s="7">
        <f t="shared" si="91"/>
        <v>14405520.319999998</v>
      </c>
      <c r="G839" s="7">
        <f t="shared" si="92"/>
        <v>23711798.250000004</v>
      </c>
      <c r="H839" s="20">
        <f>'[2]APRIL 2026'!H16</f>
        <v>76</v>
      </c>
      <c r="I839" s="20">
        <f>'[2]APRIL 2026'!I16</f>
        <v>1732500</v>
      </c>
      <c r="J839" s="20">
        <f>'[2]APRIL 2026'!J16</f>
        <v>18</v>
      </c>
      <c r="K839" s="20">
        <f>'[2]APRIL 2026'!K16+'[2]APRIL 2026'!N16</f>
        <v>261500</v>
      </c>
      <c r="L839" s="20">
        <f>'[2]APRIL 2026'!L16</f>
        <v>112000</v>
      </c>
      <c r="M839" s="20"/>
      <c r="N839" s="20"/>
      <c r="O839" s="20">
        <v>150000</v>
      </c>
      <c r="P839" s="20">
        <v>0</v>
      </c>
      <c r="Q839" s="19">
        <f t="shared" si="93"/>
        <v>40373318.57</v>
      </c>
      <c r="R839" s="20">
        <v>915490</v>
      </c>
      <c r="S839" s="20">
        <v>19178853</v>
      </c>
      <c r="T839" s="20">
        <v>464000</v>
      </c>
      <c r="U839" s="20"/>
      <c r="V839" s="20"/>
      <c r="W839" s="20">
        <v>248000</v>
      </c>
      <c r="X839" s="20">
        <v>5712109</v>
      </c>
      <c r="Y839" s="8">
        <f t="shared" si="94"/>
        <v>13854866.57</v>
      </c>
      <c r="Z839" s="36"/>
      <c r="AA839" s="36"/>
      <c r="AB839" s="36"/>
      <c r="AC839" s="36">
        <v>22000</v>
      </c>
      <c r="AD839" s="36"/>
      <c r="AE839" s="36"/>
      <c r="AF839" s="36"/>
      <c r="AG839" s="36"/>
      <c r="AH839" s="36">
        <v>35000</v>
      </c>
      <c r="AI839" s="36"/>
      <c r="AJ839" s="36">
        <v>2997000</v>
      </c>
      <c r="AK839" s="36"/>
      <c r="AL839" s="37">
        <f t="shared" si="95"/>
        <v>3054000</v>
      </c>
      <c r="AM839" s="36"/>
      <c r="AN839" s="36"/>
      <c r="AO839" s="36"/>
      <c r="AP839" s="7"/>
      <c r="AQ839" s="38">
        <f t="shared" si="96"/>
        <v>10800866.57</v>
      </c>
      <c r="AR839" s="36">
        <v>10802000</v>
      </c>
      <c r="AS839" s="18">
        <f t="shared" si="97"/>
        <v>1133.429999999702</v>
      </c>
    </row>
    <row r="840" spans="1:45" x14ac:dyDescent="0.25">
      <c r="A840" s="40">
        <v>46128</v>
      </c>
      <c r="B840" s="20">
        <f>'[2]APRIL 2026'!B17</f>
        <v>2261.8409999999999</v>
      </c>
      <c r="C840" s="20">
        <f>'[2]APRIL 2026'!C17</f>
        <v>2485.9659999999999</v>
      </c>
      <c r="D840" s="20">
        <v>5510</v>
      </c>
      <c r="E840" s="20">
        <v>5250</v>
      </c>
      <c r="F840" s="7">
        <f t="shared" si="91"/>
        <v>12462743.91</v>
      </c>
      <c r="G840" s="7">
        <f t="shared" si="92"/>
        <v>13051321.5</v>
      </c>
      <c r="H840" s="20">
        <f>'[2]APRIL 2026'!H17</f>
        <v>99.75</v>
      </c>
      <c r="I840" s="20">
        <f>'[2]APRIL 2026'!I17</f>
        <v>2031500</v>
      </c>
      <c r="J840" s="20">
        <f>'[2]APRIL 2026'!J17</f>
        <v>12</v>
      </c>
      <c r="K840" s="20">
        <f>'[2]APRIL 2026'!K17+'[2]APRIL 2026'!N17</f>
        <v>177000</v>
      </c>
      <c r="L840" s="20">
        <f>'[2]APRIL 2026'!L17</f>
        <v>121000</v>
      </c>
      <c r="M840" s="20"/>
      <c r="N840" s="20"/>
      <c r="O840" s="20">
        <v>1675000</v>
      </c>
      <c r="P840" s="20"/>
      <c r="Q840" s="19">
        <f t="shared" si="93"/>
        <v>29518565.41</v>
      </c>
      <c r="R840" s="20">
        <v>1440968</v>
      </c>
      <c r="S840" s="20">
        <v>6652803</v>
      </c>
      <c r="T840" s="20"/>
      <c r="U840" s="20"/>
      <c r="V840" s="20"/>
      <c r="W840" s="20">
        <v>364000</v>
      </c>
      <c r="X840" s="20">
        <v>10766095</v>
      </c>
      <c r="Y840" s="8">
        <f t="shared" si="94"/>
        <v>10294699.41</v>
      </c>
      <c r="Z840" s="36"/>
      <c r="AA840" s="36"/>
      <c r="AB840" s="36"/>
      <c r="AC840" s="36">
        <v>57000</v>
      </c>
      <c r="AD840" s="36"/>
      <c r="AE840" s="36"/>
      <c r="AF840" s="36">
        <v>3000</v>
      </c>
      <c r="AG840" s="36"/>
      <c r="AH840" s="36"/>
      <c r="AI840" s="36"/>
      <c r="AJ840" s="36">
        <v>160000</v>
      </c>
      <c r="AK840" s="36"/>
      <c r="AL840" s="37">
        <f t="shared" si="95"/>
        <v>220000</v>
      </c>
      <c r="AM840" s="36"/>
      <c r="AN840" s="36"/>
      <c r="AO840" s="36"/>
      <c r="AP840" s="7"/>
      <c r="AQ840" s="38">
        <f t="shared" si="96"/>
        <v>10074699.41</v>
      </c>
      <c r="AR840" s="36">
        <v>10070000</v>
      </c>
      <c r="AS840" s="18">
        <f t="shared" si="97"/>
        <v>-4699.410000000149</v>
      </c>
    </row>
    <row r="841" spans="1:45" x14ac:dyDescent="0.25">
      <c r="A841" s="40">
        <v>46129</v>
      </c>
      <c r="B841" s="20">
        <f>'[2]APRIL 2026'!B18</f>
        <v>2012.8209999999999</v>
      </c>
      <c r="C841" s="20">
        <f>'[2]APRIL 2026'!C18</f>
        <v>30</v>
      </c>
      <c r="D841" s="20">
        <v>5510</v>
      </c>
      <c r="E841" s="20">
        <v>5250</v>
      </c>
      <c r="F841" s="7">
        <f t="shared" si="91"/>
        <v>11090643.709999999</v>
      </c>
      <c r="G841" s="7">
        <f t="shared" si="92"/>
        <v>157500</v>
      </c>
      <c r="H841" s="20">
        <f>'[2]APRIL 2026'!H18</f>
        <v>85.25</v>
      </c>
      <c r="I841" s="20">
        <f>'[2]APRIL 2026'!I18</f>
        <v>1776000</v>
      </c>
      <c r="J841" s="20">
        <f>'[2]APRIL 2026'!J18</f>
        <v>44</v>
      </c>
      <c r="K841" s="20">
        <f>'[2]APRIL 2026'!K18+'[2]APRIL 2026'!N18</f>
        <v>407000</v>
      </c>
      <c r="L841" s="20">
        <f>'[2]APRIL 2026'!L18</f>
        <v>85000</v>
      </c>
      <c r="M841" s="20"/>
      <c r="N841" s="20"/>
      <c r="O841" s="20">
        <v>1997810</v>
      </c>
      <c r="P841" s="20"/>
      <c r="Q841" s="19">
        <f t="shared" si="93"/>
        <v>15513953.709999999</v>
      </c>
      <c r="R841" s="20">
        <v>577032</v>
      </c>
      <c r="S841" s="20">
        <v>0</v>
      </c>
      <c r="T841" s="20"/>
      <c r="U841" s="20"/>
      <c r="V841" s="20"/>
      <c r="W841" s="20">
        <v>0</v>
      </c>
      <c r="X841" s="20">
        <v>5835225</v>
      </c>
      <c r="Y841" s="8">
        <f t="shared" si="94"/>
        <v>9101696.709999999</v>
      </c>
      <c r="Z841" s="36"/>
      <c r="AA841" s="36"/>
      <c r="AB841" s="36"/>
      <c r="AC841" s="36"/>
      <c r="AD841" s="36"/>
      <c r="AE841" s="36"/>
      <c r="AF841" s="36"/>
      <c r="AG841" s="36"/>
      <c r="AH841" s="36">
        <v>25000</v>
      </c>
      <c r="AI841" s="36">
        <v>30000</v>
      </c>
      <c r="AJ841" s="36">
        <v>4871250</v>
      </c>
      <c r="AK841" s="36"/>
      <c r="AL841" s="37">
        <f t="shared" si="95"/>
        <v>4926250</v>
      </c>
      <c r="AM841" s="36"/>
      <c r="AN841" s="36"/>
      <c r="AO841" s="36"/>
      <c r="AP841" s="7"/>
      <c r="AQ841" s="38">
        <f t="shared" si="96"/>
        <v>4175446.709999999</v>
      </c>
      <c r="AR841" s="36">
        <v>14245700</v>
      </c>
      <c r="AS841" s="18">
        <f t="shared" si="97"/>
        <v>10070253.290000001</v>
      </c>
    </row>
    <row r="842" spans="1:45" x14ac:dyDescent="0.25">
      <c r="A842" s="40">
        <v>46130</v>
      </c>
      <c r="B842" s="20">
        <f>'[2]APRIL 2026'!B19</f>
        <v>2029.5309999999999</v>
      </c>
      <c r="C842" s="20">
        <f>'[2]APRIL 2026'!C19</f>
        <v>57.19</v>
      </c>
      <c r="D842" s="20">
        <v>5510</v>
      </c>
      <c r="E842" s="20">
        <v>5250</v>
      </c>
      <c r="F842" s="7">
        <f t="shared" si="91"/>
        <v>11182715.810000001</v>
      </c>
      <c r="G842" s="7">
        <f t="shared" si="92"/>
        <v>300247.5</v>
      </c>
      <c r="H842" s="20">
        <f>'[2]APRIL 2026'!H19</f>
        <v>49</v>
      </c>
      <c r="I842" s="20">
        <f>'[2]APRIL 2026'!I19</f>
        <v>1027500</v>
      </c>
      <c r="J842" s="20">
        <f>'[2]APRIL 2026'!J19</f>
        <v>66.5</v>
      </c>
      <c r="K842" s="20">
        <f>'[2]APRIL 2026'!K19+'[2]APRIL 2026'!N19</f>
        <v>703000</v>
      </c>
      <c r="L842" s="20">
        <f>'[2]APRIL 2026'!L19</f>
        <v>104000</v>
      </c>
      <c r="M842" s="20">
        <v>270000</v>
      </c>
      <c r="N842" s="20"/>
      <c r="O842" s="20"/>
      <c r="P842" s="20"/>
      <c r="Q842" s="19">
        <f t="shared" si="93"/>
        <v>13587463.310000001</v>
      </c>
      <c r="R842" s="20">
        <v>1512943</v>
      </c>
      <c r="S842" s="20">
        <v>199500</v>
      </c>
      <c r="T842" s="20">
        <v>9000</v>
      </c>
      <c r="U842" s="20"/>
      <c r="V842" s="20"/>
      <c r="W842" s="20">
        <v>115000</v>
      </c>
      <c r="X842" s="20">
        <v>4828587</v>
      </c>
      <c r="Y842" s="8">
        <f t="shared" si="94"/>
        <v>6922433.3100000005</v>
      </c>
      <c r="Z842" s="36"/>
      <c r="AA842" s="36"/>
      <c r="AB842" s="36"/>
      <c r="AC842" s="36">
        <v>6000</v>
      </c>
      <c r="AD842" s="36"/>
      <c r="AE842" s="36"/>
      <c r="AF842" s="36">
        <v>123000</v>
      </c>
      <c r="AG842" s="36"/>
      <c r="AH842" s="36"/>
      <c r="AI842" s="36"/>
      <c r="AJ842" s="36"/>
      <c r="AK842" s="36"/>
      <c r="AL842" s="37">
        <f t="shared" si="95"/>
        <v>129000</v>
      </c>
      <c r="AM842" s="36"/>
      <c r="AN842" s="36"/>
      <c r="AO842" s="36"/>
      <c r="AP842" s="7"/>
      <c r="AQ842" s="38">
        <f t="shared" si="96"/>
        <v>6793433.3100000005</v>
      </c>
      <c r="AR842" s="36">
        <v>8735000</v>
      </c>
      <c r="AS842" s="18">
        <f t="shared" si="97"/>
        <v>1941566.6899999995</v>
      </c>
    </row>
    <row r="843" spans="1:45" x14ac:dyDescent="0.25">
      <c r="A843" s="40">
        <v>46131</v>
      </c>
      <c r="B843" s="20">
        <f>'[2]APRIL 2026'!B20</f>
        <v>2308.6529999999998</v>
      </c>
      <c r="C843" s="20">
        <f>'[2]APRIL 2026'!C20</f>
        <v>2675.2170000000001</v>
      </c>
      <c r="D843" s="20">
        <v>5510</v>
      </c>
      <c r="E843" s="20">
        <v>5250</v>
      </c>
      <c r="F843" s="7">
        <f t="shared" si="91"/>
        <v>12720678.029999999</v>
      </c>
      <c r="G843" s="7">
        <f t="shared" si="92"/>
        <v>14044889.25</v>
      </c>
      <c r="H843" s="20">
        <f>'[2]APRIL 2026'!H20</f>
        <v>35.5</v>
      </c>
      <c r="I843" s="20">
        <f>'[2]APRIL 2026'!I20</f>
        <v>561000</v>
      </c>
      <c r="J843" s="20">
        <f>'[2]APRIL 2026'!J20</f>
        <v>18.5</v>
      </c>
      <c r="K843" s="20">
        <f>'[2]APRIL 2026'!K20+'[2]APRIL 2026'!N20</f>
        <v>177000</v>
      </c>
      <c r="L843" s="20">
        <f>'[2]APRIL 2026'!L20</f>
        <v>41000</v>
      </c>
      <c r="M843" s="20"/>
      <c r="N843" s="20"/>
      <c r="O843" s="20">
        <v>311500</v>
      </c>
      <c r="P843" s="20"/>
      <c r="Q843" s="19">
        <f t="shared" si="93"/>
        <v>27856067.280000001</v>
      </c>
      <c r="R843" s="20">
        <v>1179340</v>
      </c>
      <c r="S843" s="20">
        <v>2780786</v>
      </c>
      <c r="T843" s="20"/>
      <c r="U843" s="20"/>
      <c r="V843" s="20"/>
      <c r="W843" s="20">
        <v>200000</v>
      </c>
      <c r="X843" s="20">
        <v>7675954</v>
      </c>
      <c r="Y843" s="8">
        <f t="shared" si="94"/>
        <v>16019987.280000001</v>
      </c>
      <c r="Z843" s="36"/>
      <c r="AA843" s="36"/>
      <c r="AB843" s="36"/>
      <c r="AC843" s="36"/>
      <c r="AD843" s="36"/>
      <c r="AE843" s="36"/>
      <c r="AF843" s="36">
        <v>12000</v>
      </c>
      <c r="AG843" s="36"/>
      <c r="AH843" s="36"/>
      <c r="AI843" s="36"/>
      <c r="AJ843" s="36">
        <v>600000</v>
      </c>
      <c r="AK843" s="36"/>
      <c r="AL843" s="37">
        <f t="shared" si="95"/>
        <v>612000</v>
      </c>
      <c r="AM843" s="36"/>
      <c r="AN843" s="36"/>
      <c r="AO843" s="36"/>
      <c r="AP843" s="7"/>
      <c r="AQ843" s="38">
        <f t="shared" si="96"/>
        <v>15407987.280000001</v>
      </c>
      <c r="AR843" s="36"/>
      <c r="AS843" s="18">
        <f t="shared" si="97"/>
        <v>-15407987.280000001</v>
      </c>
    </row>
    <row r="844" spans="1:45" x14ac:dyDescent="0.25">
      <c r="A844" s="40">
        <v>46132</v>
      </c>
      <c r="B844" s="20">
        <f>'[2]APRIL 2026'!B21</f>
        <v>2914.08</v>
      </c>
      <c r="C844" s="20">
        <f>'[2]APRIL 2026'!C21</f>
        <v>3115.2249999999999</v>
      </c>
      <c r="D844" s="20">
        <v>5510</v>
      </c>
      <c r="E844" s="20">
        <v>5250</v>
      </c>
      <c r="F844" s="7">
        <f t="shared" si="91"/>
        <v>16056580.799999999</v>
      </c>
      <c r="G844" s="7">
        <f t="shared" si="92"/>
        <v>16354931.25</v>
      </c>
      <c r="H844" s="20">
        <f>'[2]APRIL 2026'!H21</f>
        <v>112</v>
      </c>
      <c r="I844" s="20">
        <f>'[2]APRIL 2026'!I21</f>
        <v>2401500</v>
      </c>
      <c r="J844" s="20">
        <f>'[2]APRIL 2026'!J21</f>
        <v>42.5</v>
      </c>
      <c r="K844" s="20">
        <f>'[2]APRIL 2026'!K21+'[2]APRIL 2026'!N21</f>
        <v>530500</v>
      </c>
      <c r="L844" s="20">
        <f>'[2]APRIL 2026'!L21</f>
        <v>73000</v>
      </c>
      <c r="M844" s="20"/>
      <c r="N844" s="20"/>
      <c r="O844" s="20">
        <v>730000</v>
      </c>
      <c r="P844" s="20"/>
      <c r="Q844" s="19">
        <f t="shared" si="93"/>
        <v>36146512.049999997</v>
      </c>
      <c r="R844" s="20">
        <v>1180339</v>
      </c>
      <c r="S844" s="20">
        <v>9772968</v>
      </c>
      <c r="T844" s="20"/>
      <c r="U844" s="20"/>
      <c r="V844" s="20"/>
      <c r="W844" s="20">
        <v>746500</v>
      </c>
      <c r="X844" s="20">
        <v>5240990</v>
      </c>
      <c r="Y844" s="8">
        <f t="shared" si="94"/>
        <v>19205715.049999997</v>
      </c>
      <c r="Z844" s="36"/>
      <c r="AA844" s="36"/>
      <c r="AB844" s="36"/>
      <c r="AC844" s="36"/>
      <c r="AD844" s="36">
        <v>105000</v>
      </c>
      <c r="AE844" s="36"/>
      <c r="AF844" s="36"/>
      <c r="AG844" s="36"/>
      <c r="AH844" s="36"/>
      <c r="AI844" s="36"/>
      <c r="AJ844" s="36">
        <v>740000</v>
      </c>
      <c r="AK844" s="36"/>
      <c r="AL844" s="37">
        <f t="shared" si="95"/>
        <v>845000</v>
      </c>
      <c r="AM844" s="36"/>
      <c r="AN844" s="36"/>
      <c r="AO844" s="36"/>
      <c r="AP844" s="7"/>
      <c r="AQ844" s="38">
        <f t="shared" si="96"/>
        <v>18360715.049999997</v>
      </c>
      <c r="AR844" s="36">
        <v>31825000</v>
      </c>
      <c r="AS844" s="18">
        <f t="shared" si="97"/>
        <v>13464284.950000003</v>
      </c>
    </row>
    <row r="845" spans="1:45" x14ac:dyDescent="0.25">
      <c r="A845" s="40">
        <v>46133</v>
      </c>
      <c r="B845" s="20">
        <f>'[2]APRIL 2026'!B22</f>
        <v>1730.568</v>
      </c>
      <c r="C845" s="20">
        <f>'[2]APRIL 2026'!C22</f>
        <v>3367.614</v>
      </c>
      <c r="D845" s="20">
        <v>5510</v>
      </c>
      <c r="E845" s="20">
        <v>5250</v>
      </c>
      <c r="F845" s="7">
        <f t="shared" si="91"/>
        <v>9535429.6799999997</v>
      </c>
      <c r="G845" s="7">
        <f t="shared" si="92"/>
        <v>17679973.5</v>
      </c>
      <c r="H845" s="20">
        <f>'[2]APRIL 2026'!H22</f>
        <v>105.5</v>
      </c>
      <c r="I845" s="20">
        <f>'[2]APRIL 2026'!I22</f>
        <v>2192500</v>
      </c>
      <c r="J845" s="20">
        <f>'[2]APRIL 2026'!J22</f>
        <v>36.5</v>
      </c>
      <c r="K845" s="20">
        <f>'[2]APRIL 2026'!K22+'[2]APRIL 2026'!N22</f>
        <v>303000</v>
      </c>
      <c r="L845" s="20">
        <f>'[2]APRIL 2026'!L22</f>
        <v>105000</v>
      </c>
      <c r="M845" s="20"/>
      <c r="N845" s="20"/>
      <c r="O845" s="20">
        <v>44000</v>
      </c>
      <c r="P845" s="20"/>
      <c r="Q845" s="19">
        <f t="shared" si="93"/>
        <v>29859903.18</v>
      </c>
      <c r="R845" s="20">
        <v>595955</v>
      </c>
      <c r="S845" s="20">
        <v>8908276</v>
      </c>
      <c r="T845" s="20">
        <v>300000</v>
      </c>
      <c r="U845" s="20"/>
      <c r="V845" s="20"/>
      <c r="W845" s="20">
        <v>30000</v>
      </c>
      <c r="X845" s="20">
        <v>14617500</v>
      </c>
      <c r="Y845" s="8">
        <f t="shared" si="94"/>
        <v>5408172.1799999997</v>
      </c>
      <c r="Z845" s="36"/>
      <c r="AA845" s="36"/>
      <c r="AB845" s="36"/>
      <c r="AC845" s="36"/>
      <c r="AD845" s="36"/>
      <c r="AE845" s="36"/>
      <c r="AF845" s="36">
        <v>56000</v>
      </c>
      <c r="AG845" s="36"/>
      <c r="AH845" s="36"/>
      <c r="AI845" s="36"/>
      <c r="AJ845" s="36"/>
      <c r="AK845" s="36"/>
      <c r="AL845" s="37">
        <f t="shared" si="95"/>
        <v>56000</v>
      </c>
      <c r="AM845" s="36"/>
      <c r="AN845" s="36"/>
      <c r="AO845" s="36"/>
      <c r="AP845" s="7"/>
      <c r="AQ845" s="38">
        <f t="shared" si="96"/>
        <v>5352172.18</v>
      </c>
      <c r="AR845" s="36"/>
      <c r="AS845" s="18">
        <f t="shared" si="97"/>
        <v>-5352172.18</v>
      </c>
    </row>
    <row r="846" spans="1:45" x14ac:dyDescent="0.25">
      <c r="A846" s="40">
        <v>46134</v>
      </c>
      <c r="B846" s="20">
        <f>'[2]APRIL 2026'!B23</f>
        <v>353.66199999999998</v>
      </c>
      <c r="C846" s="20">
        <f>'[2]APRIL 2026'!C23</f>
        <v>978.81</v>
      </c>
      <c r="D846" s="20">
        <v>5510</v>
      </c>
      <c r="E846" s="20">
        <v>5250</v>
      </c>
      <c r="F846" s="7">
        <f t="shared" si="91"/>
        <v>1948677.6199999999</v>
      </c>
      <c r="G846" s="7">
        <f t="shared" si="92"/>
        <v>5138752.5</v>
      </c>
      <c r="H846" s="20">
        <f>'[2]APRIL 2026'!H23</f>
        <v>89.5</v>
      </c>
      <c r="I846" s="20">
        <f>'[2]APRIL 2026'!I23</f>
        <v>1897000</v>
      </c>
      <c r="J846" s="20">
        <f>'[2]APRIL 2026'!J23</f>
        <v>85.5</v>
      </c>
      <c r="K846" s="20">
        <f>'[2]APRIL 2026'!K23+'[2]APRIL 2026'!N23</f>
        <v>790000</v>
      </c>
      <c r="L846" s="20">
        <f>'[2]APRIL 2026'!L23</f>
        <v>16000</v>
      </c>
      <c r="M846" s="20">
        <v>200000</v>
      </c>
      <c r="N846" s="20"/>
      <c r="O846" s="20">
        <v>0</v>
      </c>
      <c r="P846" s="20"/>
      <c r="Q846" s="19">
        <f t="shared" si="93"/>
        <v>9990430.120000001</v>
      </c>
      <c r="R846" s="20">
        <v>174866</v>
      </c>
      <c r="S846" s="20">
        <v>540629</v>
      </c>
      <c r="T846" s="20"/>
      <c r="U846" s="20"/>
      <c r="V846" s="20"/>
      <c r="W846" s="20">
        <v>0</v>
      </c>
      <c r="X846" s="20">
        <v>4723292</v>
      </c>
      <c r="Y846" s="8">
        <f t="shared" si="94"/>
        <v>4551643.120000001</v>
      </c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>
        <v>4131400</v>
      </c>
      <c r="AK846" s="36"/>
      <c r="AL846" s="37">
        <f t="shared" si="95"/>
        <v>4131400</v>
      </c>
      <c r="AM846" s="36"/>
      <c r="AN846" s="36"/>
      <c r="AO846" s="36"/>
      <c r="AP846" s="7"/>
      <c r="AQ846" s="38">
        <f t="shared" si="96"/>
        <v>420243.12000000104</v>
      </c>
      <c r="AR846" s="36"/>
      <c r="AS846" s="18">
        <f t="shared" si="97"/>
        <v>-420243.12000000104</v>
      </c>
    </row>
    <row r="847" spans="1:45" x14ac:dyDescent="0.25">
      <c r="A847" s="40">
        <v>46135</v>
      </c>
      <c r="B847" s="20">
        <f>'[2]APRIL 2026'!B24</f>
        <v>3473.0970000000002</v>
      </c>
      <c r="C847" s="20">
        <f>'[2]APRIL 2026'!C24</f>
        <v>0</v>
      </c>
      <c r="D847" s="20">
        <v>5510</v>
      </c>
      <c r="E847" s="20">
        <v>5250</v>
      </c>
      <c r="F847" s="7">
        <f t="shared" si="91"/>
        <v>19136764.470000003</v>
      </c>
      <c r="G847" s="7">
        <f t="shared" si="92"/>
        <v>0</v>
      </c>
      <c r="H847" s="20">
        <f>'[2]APRIL 2026'!H24</f>
        <v>48.25</v>
      </c>
      <c r="I847" s="20">
        <f>'[2]APRIL 2026'!I24</f>
        <v>1003000</v>
      </c>
      <c r="J847" s="20">
        <f>'[2]APRIL 2026'!J24</f>
        <v>43</v>
      </c>
      <c r="K847" s="20">
        <f>'[2]APRIL 2026'!K24+'[2]APRIL 2026'!N24</f>
        <v>416000</v>
      </c>
      <c r="L847" s="20">
        <f>'[2]APRIL 2026'!L24</f>
        <v>87000</v>
      </c>
      <c r="M847" s="20"/>
      <c r="N847" s="20"/>
      <c r="O847" s="20">
        <v>953650</v>
      </c>
      <c r="P847" s="20"/>
      <c r="Q847" s="19">
        <f t="shared" si="93"/>
        <v>21596414.470000003</v>
      </c>
      <c r="R847" s="20">
        <v>5136609</v>
      </c>
      <c r="S847" s="20">
        <v>0</v>
      </c>
      <c r="T847" s="20"/>
      <c r="U847" s="20"/>
      <c r="V847" s="20"/>
      <c r="W847" s="20">
        <v>597000</v>
      </c>
      <c r="X847" s="20">
        <v>12169503</v>
      </c>
      <c r="Y847" s="8">
        <f t="shared" si="94"/>
        <v>3693302.4700000025</v>
      </c>
      <c r="Z847" s="36"/>
      <c r="AA847" s="36"/>
      <c r="AB847" s="36"/>
      <c r="AC847" s="36">
        <v>18000</v>
      </c>
      <c r="AD847" s="36"/>
      <c r="AE847" s="36"/>
      <c r="AF847" s="36">
        <v>205000</v>
      </c>
      <c r="AG847" s="36"/>
      <c r="AH847" s="36">
        <v>19000</v>
      </c>
      <c r="AI847" s="36"/>
      <c r="AJ847" s="36">
        <v>500000</v>
      </c>
      <c r="AK847" s="36"/>
      <c r="AL847" s="37">
        <f t="shared" si="95"/>
        <v>742000</v>
      </c>
      <c r="AM847" s="36"/>
      <c r="AN847" s="36"/>
      <c r="AO847" s="36"/>
      <c r="AP847" s="7"/>
      <c r="AQ847" s="38">
        <f t="shared" si="96"/>
        <v>2951302.4700000025</v>
      </c>
      <c r="AR847" s="36"/>
      <c r="AS847" s="18">
        <f t="shared" si="97"/>
        <v>-2951302.4700000025</v>
      </c>
    </row>
    <row r="848" spans="1:45" x14ac:dyDescent="0.25">
      <c r="A848" s="40">
        <v>46136</v>
      </c>
      <c r="B848" s="20">
        <f>'[2]APRIL 2026'!B25</f>
        <v>544.95399999999995</v>
      </c>
      <c r="C848" s="20">
        <f>'[2]APRIL 2026'!C25</f>
        <v>0</v>
      </c>
      <c r="D848" s="20">
        <v>5510</v>
      </c>
      <c r="E848" s="20">
        <v>5299</v>
      </c>
      <c r="F848" s="7">
        <f t="shared" si="91"/>
        <v>3002696.5399999996</v>
      </c>
      <c r="G848" s="7">
        <f t="shared" si="92"/>
        <v>0</v>
      </c>
      <c r="H848" s="20">
        <f>'[2]APRIL 2026'!H25</f>
        <v>33.75</v>
      </c>
      <c r="I848" s="20">
        <f>'[2]APRIL 2026'!I25</f>
        <v>666500</v>
      </c>
      <c r="J848" s="20">
        <f>'[2]APRIL 2026'!J25</f>
        <v>33.5</v>
      </c>
      <c r="K848" s="20">
        <f>'[2]APRIL 2026'!K25+'[2]APRIL 2026'!N25</f>
        <v>417500</v>
      </c>
      <c r="L848" s="20">
        <f>'[2]APRIL 2026'!L25</f>
        <v>39000</v>
      </c>
      <c r="M848" s="20"/>
      <c r="N848" s="20"/>
      <c r="O848" s="20">
        <v>5334000</v>
      </c>
      <c r="P848" s="20"/>
      <c r="Q848" s="19">
        <f t="shared" si="93"/>
        <v>9459696.5399999991</v>
      </c>
      <c r="R848" s="20">
        <v>1221716</v>
      </c>
      <c r="S848" s="20">
        <v>0</v>
      </c>
      <c r="T848" s="20"/>
      <c r="U848" s="20"/>
      <c r="V848" s="20"/>
      <c r="W848" s="20">
        <v>0</v>
      </c>
      <c r="X848" s="20">
        <v>580000</v>
      </c>
      <c r="Y848" s="8">
        <f t="shared" si="94"/>
        <v>7657980.5399999991</v>
      </c>
      <c r="Z848" s="36"/>
      <c r="AA848" s="36"/>
      <c r="AB848" s="36"/>
      <c r="AC848" s="36"/>
      <c r="AD848" s="36"/>
      <c r="AE848" s="36">
        <v>4000</v>
      </c>
      <c r="AF848" s="36">
        <v>5000</v>
      </c>
      <c r="AG848" s="36"/>
      <c r="AH848" s="36"/>
      <c r="AI848" s="36"/>
      <c r="AJ848" s="36"/>
      <c r="AK848" s="36"/>
      <c r="AL848" s="37">
        <f t="shared" si="95"/>
        <v>9000</v>
      </c>
      <c r="AM848" s="36"/>
      <c r="AN848" s="36"/>
      <c r="AO848" s="36"/>
      <c r="AP848" s="7"/>
      <c r="AQ848" s="38">
        <f t="shared" si="96"/>
        <v>7648980.5399999991</v>
      </c>
      <c r="AR848" s="36">
        <v>16317500</v>
      </c>
      <c r="AS848" s="18">
        <f t="shared" si="97"/>
        <v>8668519.4600000009</v>
      </c>
    </row>
    <row r="849" spans="1:45" x14ac:dyDescent="0.25">
      <c r="A849" s="40">
        <v>46137</v>
      </c>
      <c r="B849" s="20">
        <f>'[2]APRIL 2026'!B26</f>
        <v>4575.7569999999996</v>
      </c>
      <c r="C849" s="20">
        <f>'[2]APRIL 2026'!C26</f>
        <v>6724.1369999999997</v>
      </c>
      <c r="D849" s="20">
        <v>5510</v>
      </c>
      <c r="E849" s="20">
        <v>5299</v>
      </c>
      <c r="F849" s="7">
        <f t="shared" si="91"/>
        <v>25212421.069999997</v>
      </c>
      <c r="G849" s="7">
        <f t="shared" si="92"/>
        <v>35631201.963</v>
      </c>
      <c r="H849" s="20">
        <f>'[2]APRIL 2026'!H26</f>
        <v>76.5</v>
      </c>
      <c r="I849" s="20">
        <f>'[2]APRIL 2026'!I26</f>
        <v>1556000</v>
      </c>
      <c r="J849" s="20">
        <f>'[2]APRIL 2026'!J26</f>
        <v>73.5</v>
      </c>
      <c r="K849" s="20">
        <f>'[2]APRIL 2026'!K26+'[2]APRIL 2026'!N26</f>
        <v>655000</v>
      </c>
      <c r="L849" s="20">
        <f>'[2]APRIL 2026'!L26</f>
        <v>123000</v>
      </c>
      <c r="M849" s="20">
        <v>325000</v>
      </c>
      <c r="N849" s="20"/>
      <c r="O849" s="20">
        <v>14455000</v>
      </c>
      <c r="P849" s="20"/>
      <c r="Q849" s="19">
        <f t="shared" si="93"/>
        <v>77957623.032999992</v>
      </c>
      <c r="R849" s="20">
        <v>1784442</v>
      </c>
      <c r="S849" s="20">
        <v>26288811</v>
      </c>
      <c r="T849" s="20"/>
      <c r="U849" s="20"/>
      <c r="V849" s="20"/>
      <c r="W849" s="20">
        <v>920000</v>
      </c>
      <c r="X849" s="20">
        <v>8414951</v>
      </c>
      <c r="Y849" s="8">
        <f t="shared" si="94"/>
        <v>40549419.032999992</v>
      </c>
      <c r="Z849" s="36">
        <v>1183000</v>
      </c>
      <c r="AA849" s="36"/>
      <c r="AB849" s="36"/>
      <c r="AC849" s="36"/>
      <c r="AD849" s="36"/>
      <c r="AE849" s="36"/>
      <c r="AF849" s="36"/>
      <c r="AG849" s="36"/>
      <c r="AH849" s="36"/>
      <c r="AI849" s="36"/>
      <c r="AJ849" s="36">
        <v>2364600</v>
      </c>
      <c r="AK849" s="36"/>
      <c r="AL849" s="37">
        <f t="shared" si="95"/>
        <v>3547600</v>
      </c>
      <c r="AM849" s="36"/>
      <c r="AN849" s="36"/>
      <c r="AO849" s="36"/>
      <c r="AP849" s="7"/>
      <c r="AQ849" s="38">
        <f t="shared" si="96"/>
        <v>37001819.032999992</v>
      </c>
      <c r="AR849" s="36">
        <v>37002000</v>
      </c>
      <c r="AS849" s="18">
        <f t="shared" si="97"/>
        <v>180.96700000762939</v>
      </c>
    </row>
    <row r="850" spans="1:45" x14ac:dyDescent="0.25">
      <c r="A850" s="40">
        <v>46138</v>
      </c>
      <c r="B850" s="20">
        <f>'[2]APRIL 2026'!B27</f>
        <v>201.94399999999999</v>
      </c>
      <c r="C850" s="20">
        <f>'[2]APRIL 2026'!C27</f>
        <v>624.31799999999998</v>
      </c>
      <c r="D850" s="20">
        <v>5510</v>
      </c>
      <c r="E850" s="20">
        <v>5299</v>
      </c>
      <c r="F850" s="7">
        <f t="shared" si="91"/>
        <v>1112711.44</v>
      </c>
      <c r="G850" s="7">
        <f t="shared" si="92"/>
        <v>3308261.0819999999</v>
      </c>
      <c r="H850" s="20">
        <f>'[2]APRIL 2026'!H27</f>
        <v>25</v>
      </c>
      <c r="I850" s="20">
        <f>'[2]APRIL 2026'!I27</f>
        <v>468000</v>
      </c>
      <c r="J850" s="20">
        <f>'[2]APRIL 2026'!J27</f>
        <v>27</v>
      </c>
      <c r="K850" s="20">
        <f>'[2]APRIL 2026'!K27+'[2]APRIL 2026'!N27</f>
        <v>336000</v>
      </c>
      <c r="L850" s="20">
        <f>'[2]APRIL 2026'!L27</f>
        <v>31000</v>
      </c>
      <c r="M850" s="20"/>
      <c r="N850" s="20"/>
      <c r="O850" s="20"/>
      <c r="P850" s="20"/>
      <c r="Q850" s="19">
        <f t="shared" si="93"/>
        <v>5255972.5219999999</v>
      </c>
      <c r="R850" s="20">
        <v>55100</v>
      </c>
      <c r="S850" s="20">
        <v>2029386</v>
      </c>
      <c r="T850" s="20"/>
      <c r="U850" s="20"/>
      <c r="V850" s="20"/>
      <c r="W850" s="20"/>
      <c r="X850" s="20">
        <v>400000</v>
      </c>
      <c r="Y850" s="8">
        <f t="shared" si="94"/>
        <v>2771486.5219999999</v>
      </c>
      <c r="Z850" s="36"/>
      <c r="AA850" s="36"/>
      <c r="AB850" s="36"/>
      <c r="AC850" s="36">
        <v>100000</v>
      </c>
      <c r="AD850" s="36"/>
      <c r="AE850" s="36">
        <v>4000</v>
      </c>
      <c r="AF850" s="36"/>
      <c r="AG850" s="36"/>
      <c r="AH850" s="36">
        <v>14000</v>
      </c>
      <c r="AI850" s="36"/>
      <c r="AJ850" s="36">
        <v>150000</v>
      </c>
      <c r="AK850" s="36"/>
      <c r="AL850" s="37">
        <f t="shared" si="95"/>
        <v>268000</v>
      </c>
      <c r="AM850" s="36"/>
      <c r="AN850" s="36"/>
      <c r="AO850" s="36"/>
      <c r="AP850" s="7"/>
      <c r="AQ850" s="38">
        <f t="shared" si="96"/>
        <v>2503486.5219999999</v>
      </c>
      <c r="AR850" s="36"/>
      <c r="AS850" s="18">
        <f t="shared" si="97"/>
        <v>-2503486.5219999999</v>
      </c>
    </row>
    <row r="851" spans="1:45" x14ac:dyDescent="0.25">
      <c r="A851" s="40">
        <v>46139</v>
      </c>
      <c r="B851" s="20">
        <f>'[2]APRIL 2026'!B28</f>
        <v>52.091000000000001</v>
      </c>
      <c r="C851" s="20">
        <f>'[2]APRIL 2026'!C28</f>
        <v>1840.56</v>
      </c>
      <c r="D851" s="20">
        <v>5510</v>
      </c>
      <c r="E851" s="20">
        <v>5299</v>
      </c>
      <c r="F851" s="7">
        <f t="shared" si="91"/>
        <v>287021.41000000003</v>
      </c>
      <c r="G851" s="7">
        <f t="shared" si="92"/>
        <v>9753127.4399999995</v>
      </c>
      <c r="H851" s="20">
        <f>'[2]APRIL 2026'!H28</f>
        <v>15</v>
      </c>
      <c r="I851" s="20">
        <f>'[2]APRIL 2026'!I28</f>
        <v>285000</v>
      </c>
      <c r="J851" s="20">
        <f>'[2]APRIL 2026'!J28</f>
        <v>77.5</v>
      </c>
      <c r="K851" s="20">
        <f>'[2]APRIL 2026'!K28+'[2]APRIL 2026'!N28</f>
        <v>758000</v>
      </c>
      <c r="L851" s="20">
        <f>'[2]APRIL 2026'!L28</f>
        <v>16000</v>
      </c>
      <c r="M851" s="20"/>
      <c r="N851" s="20"/>
      <c r="O851" s="20"/>
      <c r="P851" s="20"/>
      <c r="Q851" s="19">
        <f t="shared" si="93"/>
        <v>11099148.85</v>
      </c>
      <c r="R851" s="20">
        <v>0</v>
      </c>
      <c r="S851" s="20">
        <v>1615580</v>
      </c>
      <c r="T851" s="20"/>
      <c r="U851" s="20"/>
      <c r="V851" s="20"/>
      <c r="W851" s="20">
        <v>0</v>
      </c>
      <c r="X851" s="20">
        <v>1839700</v>
      </c>
      <c r="Y851" s="8">
        <f t="shared" si="94"/>
        <v>7643868.8499999996</v>
      </c>
      <c r="Z851" s="36"/>
      <c r="AA851" s="36"/>
      <c r="AB851" s="36"/>
      <c r="AC851" s="36">
        <v>50000</v>
      </c>
      <c r="AD851" s="36"/>
      <c r="AE851" s="36"/>
      <c r="AF851" s="36"/>
      <c r="AG851" s="36"/>
      <c r="AH851" s="36">
        <v>60000</v>
      </c>
      <c r="AI851" s="36"/>
      <c r="AJ851" s="36">
        <v>900000</v>
      </c>
      <c r="AK851" s="36"/>
      <c r="AL851" s="37">
        <f t="shared" si="95"/>
        <v>1010000</v>
      </c>
      <c r="AM851" s="36"/>
      <c r="AN851" s="36"/>
      <c r="AO851" s="36"/>
      <c r="AP851" s="7"/>
      <c r="AQ851" s="38">
        <f t="shared" si="96"/>
        <v>6633868.8499999996</v>
      </c>
      <c r="AR851" s="36">
        <v>9137500</v>
      </c>
      <c r="AS851" s="18">
        <f t="shared" si="97"/>
        <v>2503631.1500000004</v>
      </c>
    </row>
    <row r="852" spans="1:45" x14ac:dyDescent="0.25">
      <c r="A852" s="40">
        <v>46140</v>
      </c>
      <c r="B852" s="20">
        <f>'[2]APRIL 2026'!B29</f>
        <v>61.731999999999999</v>
      </c>
      <c r="C852" s="20">
        <f>'[2]APRIL 2026'!C29</f>
        <v>12367.369000000001</v>
      </c>
      <c r="D852" s="20">
        <v>5510</v>
      </c>
      <c r="E852" s="20">
        <v>5299</v>
      </c>
      <c r="F852" s="7">
        <f t="shared" si="91"/>
        <v>340143.32</v>
      </c>
      <c r="G852" s="7">
        <f t="shared" si="92"/>
        <v>65534688.331</v>
      </c>
      <c r="H852" s="20">
        <f>'[2]APRIL 2026'!H29</f>
        <v>37.25</v>
      </c>
      <c r="I852" s="20">
        <f>'[2]APRIL 2026'!I29</f>
        <v>729000</v>
      </c>
      <c r="J852" s="20">
        <f>'[2]APRIL 2026'!J29</f>
        <v>61</v>
      </c>
      <c r="K852" s="20">
        <f>'[2]APRIL 2026'!K29+'[2]APRIL 2026'!N29</f>
        <v>613000</v>
      </c>
      <c r="L852" s="20">
        <f>'[2]APRIL 2026'!L29</f>
        <v>166000</v>
      </c>
      <c r="M852" s="20"/>
      <c r="N852" s="20"/>
      <c r="O852" s="20">
        <v>648000</v>
      </c>
      <c r="P852" s="20"/>
      <c r="Q852" s="19">
        <f t="shared" si="93"/>
        <v>68030831.650999993</v>
      </c>
      <c r="R852" s="20">
        <v>250141</v>
      </c>
      <c r="S852" s="20">
        <v>27011471</v>
      </c>
      <c r="T852" s="20"/>
      <c r="U852" s="20"/>
      <c r="V852" s="20"/>
      <c r="W852" s="20">
        <v>71500</v>
      </c>
      <c r="X852" s="20">
        <v>23748963</v>
      </c>
      <c r="Y852" s="8">
        <f t="shared" si="94"/>
        <v>16948756.650999993</v>
      </c>
      <c r="Z852" s="36"/>
      <c r="AA852" s="36">
        <v>210000</v>
      </c>
      <c r="AB852" s="36"/>
      <c r="AC852" s="36"/>
      <c r="AD852" s="36"/>
      <c r="AE852" s="36"/>
      <c r="AF852" s="36">
        <v>3000</v>
      </c>
      <c r="AG852" s="36"/>
      <c r="AH852" s="36">
        <v>16000</v>
      </c>
      <c r="AI852" s="36"/>
      <c r="AJ852" s="36">
        <v>220000</v>
      </c>
      <c r="AK852" s="36"/>
      <c r="AL852" s="37">
        <f t="shared" si="95"/>
        <v>449000</v>
      </c>
      <c r="AM852" s="36"/>
      <c r="AN852" s="36">
        <v>1145000</v>
      </c>
      <c r="AO852" s="36"/>
      <c r="AP852" s="7"/>
      <c r="AQ852" s="38">
        <f t="shared" si="96"/>
        <v>15354756.650999993</v>
      </c>
      <c r="AR852" s="36"/>
      <c r="AS852" s="18">
        <f t="shared" si="97"/>
        <v>-15354756.650999993</v>
      </c>
    </row>
    <row r="853" spans="1:45" x14ac:dyDescent="0.25">
      <c r="A853" s="40">
        <v>46141</v>
      </c>
      <c r="B853" s="20">
        <f>'[2]APRIL 2026'!B30</f>
        <v>7525.8109999999997</v>
      </c>
      <c r="C853" s="20">
        <f>'[2]APRIL 2026'!C30</f>
        <v>7096.9639999999999</v>
      </c>
      <c r="D853" s="20">
        <v>5510</v>
      </c>
      <c r="E853" s="20">
        <v>5299</v>
      </c>
      <c r="F853" s="7">
        <f t="shared" si="91"/>
        <v>41467218.609999999</v>
      </c>
      <c r="G853" s="7">
        <f t="shared" si="92"/>
        <v>37606812.236000001</v>
      </c>
      <c r="H853" s="20">
        <f>'[2]APRIL 2026'!H30</f>
        <v>41.75</v>
      </c>
      <c r="I853" s="20">
        <f>'[2]APRIL 2026'!I30</f>
        <v>891000</v>
      </c>
      <c r="J853" s="20">
        <f>'[2]APRIL 2026'!J30</f>
        <v>24.5</v>
      </c>
      <c r="K853" s="20">
        <f>'[2]APRIL 2026'!K30+'[2]APRIL 2026'!N30</f>
        <v>235500</v>
      </c>
      <c r="L853" s="20">
        <f>'[2]APRIL 2026'!L30</f>
        <v>91000</v>
      </c>
      <c r="M853" s="20"/>
      <c r="N853" s="20"/>
      <c r="O853" s="20"/>
      <c r="P853" s="20"/>
      <c r="Q853" s="19">
        <f t="shared" si="93"/>
        <v>80291530.846000001</v>
      </c>
      <c r="R853" s="20">
        <v>1415951</v>
      </c>
      <c r="S853" s="20">
        <v>18318231</v>
      </c>
      <c r="T853" s="20"/>
      <c r="U853" s="20"/>
      <c r="V853" s="20"/>
      <c r="W853" s="20">
        <v>493113</v>
      </c>
      <c r="X853" s="20">
        <v>17037802</v>
      </c>
      <c r="Y853" s="8">
        <f t="shared" si="94"/>
        <v>43026433.846000001</v>
      </c>
      <c r="Z853" s="36"/>
      <c r="AA853" s="36"/>
      <c r="AB853" s="36"/>
      <c r="AC853" s="36"/>
      <c r="AD853" s="36"/>
      <c r="AE853" s="36"/>
      <c r="AF853" s="36"/>
      <c r="AG853" s="36"/>
      <c r="AH853" s="36">
        <v>70000</v>
      </c>
      <c r="AI853" s="36"/>
      <c r="AJ853" s="36">
        <v>60000</v>
      </c>
      <c r="AK853" s="36"/>
      <c r="AL853" s="37">
        <f t="shared" si="95"/>
        <v>130000</v>
      </c>
      <c r="AM853" s="36"/>
      <c r="AN853" s="36"/>
      <c r="AO853" s="36"/>
      <c r="AP853" s="7"/>
      <c r="AQ853" s="38">
        <f t="shared" si="96"/>
        <v>42896433.846000001</v>
      </c>
      <c r="AR853" s="36">
        <v>56500500</v>
      </c>
      <c r="AS853" s="18">
        <f t="shared" si="97"/>
        <v>13604066.153999999</v>
      </c>
    </row>
    <row r="854" spans="1:45" x14ac:dyDescent="0.25">
      <c r="A854" s="40">
        <v>46142</v>
      </c>
      <c r="B854" s="20">
        <f>'[2]APRIL 2026'!B31</f>
        <v>3267.73</v>
      </c>
      <c r="C854" s="20">
        <f>'[2]APRIL 2026'!C31</f>
        <v>7969.4949999999999</v>
      </c>
      <c r="D854" s="20">
        <v>5510</v>
      </c>
      <c r="E854" s="20">
        <v>5299</v>
      </c>
      <c r="F854" s="7">
        <f t="shared" si="91"/>
        <v>18005192.300000001</v>
      </c>
      <c r="G854" s="7">
        <f t="shared" si="92"/>
        <v>42230354.005000003</v>
      </c>
      <c r="H854" s="20">
        <f>'[2]APRIL 2026'!H31</f>
        <v>34</v>
      </c>
      <c r="I854" s="20">
        <f>'[2]APRIL 2026'!I31</f>
        <v>1117500</v>
      </c>
      <c r="J854" s="20">
        <f>'[2]APRIL 2026'!J31</f>
        <v>59</v>
      </c>
      <c r="K854" s="20">
        <f>'[2]APRIL 2026'!K31+'[2]APRIL 2026'!N31</f>
        <v>426500</v>
      </c>
      <c r="L854" s="20">
        <f>'[2]APRIL 2026'!L31</f>
        <v>116000</v>
      </c>
      <c r="M854" s="20"/>
      <c r="N854" s="20"/>
      <c r="O854" s="20"/>
      <c r="P854" s="20"/>
      <c r="Q854" s="19">
        <f t="shared" si="93"/>
        <v>61895546.305000007</v>
      </c>
      <c r="R854" s="20">
        <v>1326318</v>
      </c>
      <c r="S854" s="20">
        <v>19853894</v>
      </c>
      <c r="T854" s="20"/>
      <c r="U854" s="20"/>
      <c r="V854" s="20"/>
      <c r="W854" s="20">
        <v>720400</v>
      </c>
      <c r="X854" s="20">
        <v>6893290</v>
      </c>
      <c r="Y854" s="8">
        <f t="shared" si="94"/>
        <v>33101644.305000007</v>
      </c>
      <c r="Z854" s="36"/>
      <c r="AA854" s="36"/>
      <c r="AB854" s="36"/>
      <c r="AC854" s="36"/>
      <c r="AD854" s="36"/>
      <c r="AE854" s="36"/>
      <c r="AF854" s="36">
        <v>3000</v>
      </c>
      <c r="AG854" s="36"/>
      <c r="AH854" s="36">
        <v>32000</v>
      </c>
      <c r="AI854" s="36"/>
      <c r="AJ854" s="36">
        <v>100000</v>
      </c>
      <c r="AK854" s="36"/>
      <c r="AL854" s="37">
        <f t="shared" si="95"/>
        <v>135000</v>
      </c>
      <c r="AM854" s="36"/>
      <c r="AN854" s="36"/>
      <c r="AO854" s="36"/>
      <c r="AP854" s="7"/>
      <c r="AQ854" s="38">
        <f t="shared" si="96"/>
        <v>32966644.305000007</v>
      </c>
      <c r="AR854" s="36">
        <v>32963000</v>
      </c>
      <c r="AS854" s="18">
        <f t="shared" si="97"/>
        <v>-3644.3050000071526</v>
      </c>
    </row>
    <row r="855" spans="1:45" x14ac:dyDescent="0.25">
      <c r="A855" s="40">
        <v>46143</v>
      </c>
      <c r="B855" s="20">
        <f>'[2]APRIL 2026'!B32</f>
        <v>5889.7939999999999</v>
      </c>
      <c r="C855" s="20">
        <f>'[2]APRIL 2026'!C32</f>
        <v>9372.4639999999999</v>
      </c>
      <c r="D855" s="20">
        <v>5510</v>
      </c>
      <c r="E855" s="20">
        <v>5299</v>
      </c>
      <c r="F855" s="7">
        <f t="shared" si="91"/>
        <v>32452764.939999998</v>
      </c>
      <c r="G855" s="7">
        <f t="shared" si="92"/>
        <v>49664686.736000001</v>
      </c>
      <c r="H855" s="20">
        <f>'[2]APRIL 2026'!H32</f>
        <v>327.5</v>
      </c>
      <c r="I855" s="20">
        <f>'[2]APRIL 2026'!I32</f>
        <v>6897000</v>
      </c>
      <c r="J855" s="20">
        <f>'[2]APRIL 2026'!J32</f>
        <v>67</v>
      </c>
      <c r="K855" s="20">
        <f>'[2]APRIL 2026'!K32+'[2]APRIL 2026'!N32</f>
        <v>648000</v>
      </c>
      <c r="L855" s="20">
        <f>'[2]APRIL 2026'!L32</f>
        <v>111000</v>
      </c>
      <c r="M855" s="20"/>
      <c r="N855" s="20"/>
      <c r="O855" s="20">
        <v>100000</v>
      </c>
      <c r="P855" s="20"/>
      <c r="Q855" s="19">
        <f t="shared" si="93"/>
        <v>89873451.675999999</v>
      </c>
      <c r="R855" s="20">
        <v>962792</v>
      </c>
      <c r="S855" s="20">
        <v>33619040</v>
      </c>
      <c r="T855" s="20">
        <v>154000</v>
      </c>
      <c r="U855" s="20"/>
      <c r="V855" s="20"/>
      <c r="W855" s="20">
        <v>851000</v>
      </c>
      <c r="X855" s="20">
        <v>9732038</v>
      </c>
      <c r="Y855" s="8">
        <f t="shared" si="94"/>
        <v>44554581.675999999</v>
      </c>
      <c r="Z855" s="36"/>
      <c r="AA855" s="36"/>
      <c r="AB855" s="36"/>
      <c r="AC855" s="36"/>
      <c r="AD855" s="36"/>
      <c r="AE855" s="36"/>
      <c r="AF855" s="36">
        <v>7000</v>
      </c>
      <c r="AG855" s="36">
        <v>3100000</v>
      </c>
      <c r="AH855" s="36">
        <v>290000</v>
      </c>
      <c r="AI855" s="36"/>
      <c r="AJ855" s="36">
        <v>360000</v>
      </c>
      <c r="AK855" s="36"/>
      <c r="AL855" s="37">
        <f t="shared" si="95"/>
        <v>3757000</v>
      </c>
      <c r="AM855" s="36"/>
      <c r="AN855" s="36"/>
      <c r="AO855" s="36"/>
      <c r="AP855" s="7"/>
      <c r="AQ855" s="38">
        <f t="shared" si="96"/>
        <v>40797581.675999999</v>
      </c>
      <c r="AR855" s="36">
        <v>40798000</v>
      </c>
      <c r="AS855" s="18">
        <f t="shared" si="97"/>
        <v>418.32400000095367</v>
      </c>
    </row>
    <row r="856" spans="1:45" x14ac:dyDescent="0.25">
      <c r="A856" s="40">
        <v>46144</v>
      </c>
      <c r="B856" s="20">
        <f>'[3]Fuel Mvt-2025-2026-PMS ....'!F320</f>
        <v>9551.7829999999994</v>
      </c>
      <c r="C856" s="20">
        <f>'[3]Fuel Mvt-2025-2026-AGO'!F320</f>
        <v>4966.4889999999996</v>
      </c>
      <c r="D856" s="20">
        <f>'[3]Fuel Mvt-2025-2026-PMS ....'!M320</f>
        <v>5560</v>
      </c>
      <c r="E856" s="20">
        <f>'[3]Fuel Mvt-2025-2026-AGO'!M320</f>
        <v>5299</v>
      </c>
      <c r="F856" s="7">
        <f t="shared" si="91"/>
        <v>53107913.479999997</v>
      </c>
      <c r="G856" s="7">
        <f t="shared" si="92"/>
        <v>26317425.210999999</v>
      </c>
      <c r="H856" s="20">
        <f>'[4]MAY 2026'!H3</f>
        <v>66.5</v>
      </c>
      <c r="I856" s="20">
        <f>'[3]General Sales Sumary'!D317</f>
        <v>1283500</v>
      </c>
      <c r="J856" s="20">
        <f>'[4]MAY 2026'!J3</f>
        <v>74</v>
      </c>
      <c r="K856" s="20">
        <f>'[3]General Sales Sumary'!F317+'[3]General Sales Sumary'!G317</f>
        <v>622000</v>
      </c>
      <c r="L856" s="20">
        <f>'[3]General Sales Sumary'!E317</f>
        <v>0</v>
      </c>
      <c r="M856" s="20"/>
      <c r="N856" s="20"/>
      <c r="O856" s="20">
        <v>3460000</v>
      </c>
      <c r="P856" s="20"/>
      <c r="Q856" s="19">
        <f t="shared" si="93"/>
        <v>84790838.691</v>
      </c>
      <c r="R856" s="20">
        <v>2876894</v>
      </c>
      <c r="S856" s="20">
        <v>10419924</v>
      </c>
      <c r="T856" s="20">
        <v>60000</v>
      </c>
      <c r="U856" s="20"/>
      <c r="V856" s="20"/>
      <c r="W856" s="20">
        <v>1658000</v>
      </c>
      <c r="X856" s="20">
        <v>9424584</v>
      </c>
      <c r="Y856" s="8">
        <f t="shared" si="94"/>
        <v>60351436.691</v>
      </c>
      <c r="Z856" s="36"/>
      <c r="AA856" s="36"/>
      <c r="AB856" s="36"/>
      <c r="AC856" s="36"/>
      <c r="AD856" s="36"/>
      <c r="AE856" s="36"/>
      <c r="AF856" s="36">
        <v>100000</v>
      </c>
      <c r="AG856" s="36"/>
      <c r="AH856" s="36">
        <v>19000</v>
      </c>
      <c r="AI856" s="36"/>
      <c r="AJ856" s="36">
        <v>6110000</v>
      </c>
      <c r="AK856" s="36"/>
      <c r="AL856" s="37">
        <f t="shared" si="95"/>
        <v>6229000</v>
      </c>
      <c r="AM856" s="36"/>
      <c r="AN856" s="36"/>
      <c r="AO856" s="36"/>
      <c r="AP856" s="7"/>
      <c r="AQ856" s="38">
        <f t="shared" si="96"/>
        <v>54122436.691</v>
      </c>
      <c r="AR856" s="36">
        <v>53940000</v>
      </c>
      <c r="AS856" s="18">
        <f t="shared" si="97"/>
        <v>-182436.69099999964</v>
      </c>
    </row>
    <row r="857" spans="1:45" x14ac:dyDescent="0.25">
      <c r="A857" s="40">
        <v>46145</v>
      </c>
      <c r="B857" s="20">
        <f>'[3]Fuel Mvt-2025-2026-PMS ....'!F321</f>
        <v>560</v>
      </c>
      <c r="C857" s="20">
        <f>'[3]Fuel Mvt-2025-2026-AGO'!F321</f>
        <v>3778.2640000000001</v>
      </c>
      <c r="D857" s="20">
        <f>'[3]Fuel Mvt-2025-2026-PMS ....'!M321</f>
        <v>5835</v>
      </c>
      <c r="E857" s="20">
        <f>'[3]Fuel Mvt-2025-2026-AGO'!M321</f>
        <v>5580</v>
      </c>
      <c r="F857" s="7">
        <f t="shared" si="91"/>
        <v>3267600</v>
      </c>
      <c r="G857" s="7">
        <f t="shared" si="92"/>
        <v>21082713.120000001</v>
      </c>
      <c r="H857" s="20">
        <f>'[4]MAY 2026'!H4</f>
        <v>15</v>
      </c>
      <c r="I857" s="20">
        <f>'[3]General Sales Sumary'!D318</f>
        <v>302500</v>
      </c>
      <c r="J857" s="20">
        <f>'[4]MAY 2026'!J4</f>
        <v>84</v>
      </c>
      <c r="K857" s="20">
        <f>'[3]General Sales Sumary'!F318+'[3]General Sales Sumary'!G318</f>
        <v>1105000</v>
      </c>
      <c r="L857" s="20">
        <f>'[3]General Sales Sumary'!E318</f>
        <v>0</v>
      </c>
      <c r="M857" s="20"/>
      <c r="N857" s="20"/>
      <c r="O857" s="20">
        <v>200000</v>
      </c>
      <c r="P857" s="20"/>
      <c r="Q857" s="19">
        <f t="shared" si="93"/>
        <v>25957813.120000001</v>
      </c>
      <c r="R857" s="20">
        <v>312873</v>
      </c>
      <c r="S857" s="20">
        <v>6879936</v>
      </c>
      <c r="T857" s="20"/>
      <c r="U857" s="20"/>
      <c r="V857" s="20"/>
      <c r="W857" s="20">
        <v>393000</v>
      </c>
      <c r="X857" s="20">
        <v>4144740</v>
      </c>
      <c r="Y857" s="8">
        <f t="shared" si="94"/>
        <v>14227264.120000001</v>
      </c>
      <c r="Z857" s="36"/>
      <c r="AA857" s="36"/>
      <c r="AB857" s="36"/>
      <c r="AC857" s="36"/>
      <c r="AD857" s="36"/>
      <c r="AE857" s="36">
        <v>120000</v>
      </c>
      <c r="AF857" s="36">
        <v>6000</v>
      </c>
      <c r="AG857" s="36"/>
      <c r="AH857" s="36"/>
      <c r="AI857" s="36"/>
      <c r="AJ857" s="36">
        <v>50000</v>
      </c>
      <c r="AK857" s="36"/>
      <c r="AL857" s="37">
        <f t="shared" si="95"/>
        <v>176000</v>
      </c>
      <c r="AM857" s="36"/>
      <c r="AN857" s="36"/>
      <c r="AO857" s="36"/>
      <c r="AP857" s="7"/>
      <c r="AQ857" s="38">
        <f t="shared" si="96"/>
        <v>14051264.120000001</v>
      </c>
      <c r="AR857" s="36">
        <v>13509500</v>
      </c>
      <c r="AS857" s="18">
        <f t="shared" si="97"/>
        <v>-541764.12000000104</v>
      </c>
    </row>
    <row r="858" spans="1:45" x14ac:dyDescent="0.25">
      <c r="A858" s="40">
        <v>46146</v>
      </c>
      <c r="B858" s="20">
        <f>'[3]Fuel Mvt-2025-2026-PMS ....'!F322</f>
        <v>4803.1000000000004</v>
      </c>
      <c r="C858" s="20">
        <f>'[3]Fuel Mvt-2025-2026-AGO'!F322</f>
        <v>4835.875</v>
      </c>
      <c r="D858" s="20">
        <f>'[3]Fuel Mvt-2025-2026-PMS ....'!M322</f>
        <v>5835</v>
      </c>
      <c r="E858" s="20">
        <f>'[3]Fuel Mvt-2025-2026-AGO'!M322</f>
        <v>5580</v>
      </c>
      <c r="F858" s="7">
        <f t="shared" si="91"/>
        <v>28026088.500000004</v>
      </c>
      <c r="G858" s="7">
        <f t="shared" si="92"/>
        <v>26984182.5</v>
      </c>
      <c r="H858" s="20">
        <f>'[4]MAY 2026'!H5</f>
        <v>54</v>
      </c>
      <c r="I858" s="20">
        <f>'[3]General Sales Sumary'!D319</f>
        <v>1108500</v>
      </c>
      <c r="J858" s="20">
        <f>'[4]MAY 2026'!J5</f>
        <v>67</v>
      </c>
      <c r="K858" s="20">
        <f>'[3]General Sales Sumary'!F319+'[3]General Sales Sumary'!G319</f>
        <v>988500</v>
      </c>
      <c r="L858" s="20">
        <f>'[3]General Sales Sumary'!E319</f>
        <v>79000</v>
      </c>
      <c r="M858" s="20"/>
      <c r="N858" s="20"/>
      <c r="O858" s="20">
        <v>1100000</v>
      </c>
      <c r="P858" s="20"/>
      <c r="Q858" s="19">
        <f t="shared" si="93"/>
        <v>58286271</v>
      </c>
      <c r="R858" s="20">
        <v>2690153</v>
      </c>
      <c r="S858" s="20">
        <v>21031543</v>
      </c>
      <c r="T858" s="20"/>
      <c r="U858" s="20"/>
      <c r="V858" s="20"/>
      <c r="W858" s="20">
        <v>490000</v>
      </c>
      <c r="X858" s="20">
        <v>3082232</v>
      </c>
      <c r="Y858" s="8">
        <f t="shared" si="94"/>
        <v>30992343</v>
      </c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>
        <v>600000</v>
      </c>
      <c r="AK858" s="36"/>
      <c r="AL858" s="37">
        <f t="shared" si="95"/>
        <v>600000</v>
      </c>
      <c r="AM858" s="36"/>
      <c r="AN858" s="36"/>
      <c r="AO858" s="36"/>
      <c r="AP858" s="7"/>
      <c r="AQ858" s="38">
        <f t="shared" si="96"/>
        <v>30392343</v>
      </c>
      <c r="AR858" s="36">
        <v>30393000</v>
      </c>
      <c r="AS858" s="18">
        <f t="shared" si="97"/>
        <v>657</v>
      </c>
    </row>
    <row r="859" spans="1:45" x14ac:dyDescent="0.25">
      <c r="A859" s="40">
        <v>46147</v>
      </c>
      <c r="B859" s="20">
        <f>'[3]Fuel Mvt-2025-2026-PMS ....'!F323</f>
        <v>3906.36</v>
      </c>
      <c r="C859" s="20">
        <f>'[3]Fuel Mvt-2025-2026-AGO'!F323</f>
        <v>2795.2710000000002</v>
      </c>
      <c r="D859" s="20">
        <f>'[3]Fuel Mvt-2025-2026-PMS ....'!M323</f>
        <v>5835</v>
      </c>
      <c r="E859" s="20">
        <f>'[3]Fuel Mvt-2025-2026-AGO'!M323</f>
        <v>5580</v>
      </c>
      <c r="F859" s="7">
        <f t="shared" si="91"/>
        <v>22793610.600000001</v>
      </c>
      <c r="G859" s="7">
        <f t="shared" si="92"/>
        <v>15597612.180000002</v>
      </c>
      <c r="H859" s="20">
        <f>'[4]MAY 2026'!H6</f>
        <v>61.5</v>
      </c>
      <c r="I859" s="20">
        <f>'[3]General Sales Sumary'!D320</f>
        <v>1193500</v>
      </c>
      <c r="J859" s="20">
        <f>'[4]MAY 2026'!J6</f>
        <v>78.5</v>
      </c>
      <c r="K859" s="20">
        <f>'[3]General Sales Sumary'!F320+'[3]General Sales Sumary'!G320</f>
        <v>1010500</v>
      </c>
      <c r="L859" s="20">
        <f>'[3]General Sales Sumary'!E320</f>
        <v>119000</v>
      </c>
      <c r="M859" s="20"/>
      <c r="N859" s="20"/>
      <c r="O859" s="20"/>
      <c r="P859" s="20"/>
      <c r="Q859" s="19">
        <f t="shared" si="93"/>
        <v>40714222.780000001</v>
      </c>
      <c r="R859" s="20">
        <v>1741116</v>
      </c>
      <c r="S859" s="20">
        <v>5978514</v>
      </c>
      <c r="T859" s="20">
        <v>700000</v>
      </c>
      <c r="U859" s="20"/>
      <c r="V859" s="20"/>
      <c r="W859" s="20">
        <v>659818</v>
      </c>
      <c r="X859" s="20">
        <v>8938764</v>
      </c>
      <c r="Y859" s="8">
        <f t="shared" si="94"/>
        <v>22696010.780000001</v>
      </c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>
        <v>1620000</v>
      </c>
      <c r="AK859" s="36"/>
      <c r="AL859" s="37">
        <f t="shared" si="95"/>
        <v>1620000</v>
      </c>
      <c r="AM859" s="36"/>
      <c r="AN859" s="36"/>
      <c r="AO859" s="36"/>
      <c r="AP859" s="7"/>
      <c r="AQ859" s="38">
        <f t="shared" si="96"/>
        <v>21076010.780000001</v>
      </c>
      <c r="AR859" s="36">
        <v>21076000</v>
      </c>
      <c r="AS859" s="18">
        <f t="shared" si="97"/>
        <v>-10.780000001192093</v>
      </c>
    </row>
    <row r="860" spans="1:45" x14ac:dyDescent="0.25">
      <c r="A860" s="40">
        <v>46148</v>
      </c>
      <c r="B860" s="20">
        <f>'[3]Fuel Mvt-2025-2026-PMS ....'!F324</f>
        <v>1830.519</v>
      </c>
      <c r="C860" s="20">
        <f>'[3]Fuel Mvt-2025-2026-AGO'!F324</f>
        <v>4036.7249999999999</v>
      </c>
      <c r="D860" s="20">
        <f>'[3]Fuel Mvt-2025-2026-PMS ....'!M324</f>
        <v>5835</v>
      </c>
      <c r="E860" s="20">
        <f>'[3]Fuel Mvt-2025-2026-AGO'!M324</f>
        <v>5580</v>
      </c>
      <c r="F860" s="7">
        <f t="shared" si="91"/>
        <v>10681078.365</v>
      </c>
      <c r="G860" s="7">
        <f t="shared" si="92"/>
        <v>22524925.5</v>
      </c>
      <c r="H860" s="20">
        <f>'[4]MAY 2026'!H7</f>
        <v>61.75</v>
      </c>
      <c r="I860" s="20">
        <f>'[3]General Sales Sumary'!D321</f>
        <v>1238500</v>
      </c>
      <c r="J860" s="20">
        <f>'[4]MAY 2026'!J7</f>
        <v>18</v>
      </c>
      <c r="K860" s="20">
        <f>'[3]General Sales Sumary'!F321+'[3]General Sales Sumary'!G321</f>
        <v>400500</v>
      </c>
      <c r="L860" s="20">
        <f>'[3]General Sales Sumary'!E321</f>
        <v>109000</v>
      </c>
      <c r="M860" s="20">
        <v>70000</v>
      </c>
      <c r="N860" s="20"/>
      <c r="O860" s="20">
        <v>2110000</v>
      </c>
      <c r="P860" s="20"/>
      <c r="Q860" s="19">
        <f t="shared" si="93"/>
        <v>37134003.865000002</v>
      </c>
      <c r="R860" s="20">
        <v>784504</v>
      </c>
      <c r="S860" s="20">
        <v>10360420</v>
      </c>
      <c r="T860" s="20">
        <v>300000</v>
      </c>
      <c r="U860" s="20"/>
      <c r="V860" s="20"/>
      <c r="W860" s="20"/>
      <c r="X860" s="20">
        <v>10678117</v>
      </c>
      <c r="Y860" s="8">
        <f t="shared" si="94"/>
        <v>15010962.865000002</v>
      </c>
      <c r="Z860" s="36"/>
      <c r="AA860" s="36"/>
      <c r="AB860" s="36"/>
      <c r="AC860" s="36"/>
      <c r="AD860" s="36"/>
      <c r="AE860" s="36"/>
      <c r="AF860" s="36">
        <v>4000</v>
      </c>
      <c r="AG860" s="36"/>
      <c r="AH860" s="36"/>
      <c r="AI860" s="36"/>
      <c r="AJ860" s="36"/>
      <c r="AK860" s="36"/>
      <c r="AL860" s="37">
        <f t="shared" si="95"/>
        <v>4000</v>
      </c>
      <c r="AM860" s="36"/>
      <c r="AN860" s="36"/>
      <c r="AO860" s="36"/>
      <c r="AP860" s="7"/>
      <c r="AQ860" s="38">
        <f t="shared" si="96"/>
        <v>15006962.865000002</v>
      </c>
      <c r="AR860" s="36">
        <v>15007000</v>
      </c>
      <c r="AS860" s="18">
        <f t="shared" si="97"/>
        <v>37.134999997913837</v>
      </c>
    </row>
    <row r="861" spans="1:45" x14ac:dyDescent="0.25">
      <c r="A861" s="40">
        <v>46149</v>
      </c>
      <c r="B861" s="20">
        <f>'[3]Fuel Mvt-2025-2026-PMS ....'!F325</f>
        <v>4931.884</v>
      </c>
      <c r="C861" s="20">
        <f>'[3]Fuel Mvt-2025-2026-AGO'!F325</f>
        <v>7926.8459999999995</v>
      </c>
      <c r="D861" s="20">
        <f>'[3]Fuel Mvt-2025-2026-PMS ....'!M325</f>
        <v>5835</v>
      </c>
      <c r="E861" s="20">
        <f>'[3]Fuel Mvt-2025-2026-AGO'!M325</f>
        <v>5580</v>
      </c>
      <c r="F861" s="7">
        <f t="shared" si="91"/>
        <v>28777543.140000001</v>
      </c>
      <c r="G861" s="7">
        <f t="shared" si="92"/>
        <v>44231800.68</v>
      </c>
      <c r="H861" s="20">
        <f>'[4]MAY 2026'!H8</f>
        <v>147.25</v>
      </c>
      <c r="I861" s="20">
        <f>'[3]General Sales Sumary'!D322</f>
        <v>3193000</v>
      </c>
      <c r="J861" s="20">
        <f>'[4]MAY 2026'!J8</f>
        <v>87.5</v>
      </c>
      <c r="K861" s="20">
        <f>'[3]General Sales Sumary'!F322+'[3]General Sales Sumary'!G322</f>
        <v>1126500</v>
      </c>
      <c r="L861" s="20">
        <f>'[3]General Sales Sumary'!E322</f>
        <v>213000</v>
      </c>
      <c r="M861" s="20">
        <v>280000</v>
      </c>
      <c r="N861" s="20"/>
      <c r="O861" s="20">
        <v>1720000</v>
      </c>
      <c r="P861" s="20"/>
      <c r="Q861" s="19">
        <f t="shared" si="93"/>
        <v>79541843.819999993</v>
      </c>
      <c r="R861" s="20">
        <v>2507872</v>
      </c>
      <c r="S861" s="20">
        <v>26389629</v>
      </c>
      <c r="T861" s="20">
        <v>651000</v>
      </c>
      <c r="U861" s="20"/>
      <c r="V861" s="20"/>
      <c r="W861" s="20">
        <v>1288449</v>
      </c>
      <c r="X861" s="20">
        <v>4670665</v>
      </c>
      <c r="Y861" s="8">
        <f t="shared" si="94"/>
        <v>44034228.819999993</v>
      </c>
      <c r="Z861" s="36"/>
      <c r="AA861" s="36"/>
      <c r="AB861" s="36"/>
      <c r="AC861" s="36"/>
      <c r="AD861" s="36"/>
      <c r="AE861" s="36"/>
      <c r="AF861" s="36">
        <v>3000</v>
      </c>
      <c r="AG861" s="36"/>
      <c r="AH861" s="36"/>
      <c r="AI861" s="36"/>
      <c r="AJ861" s="36">
        <v>100000</v>
      </c>
      <c r="AK861" s="36"/>
      <c r="AL861" s="37">
        <f t="shared" si="95"/>
        <v>103000</v>
      </c>
      <c r="AM861" s="36"/>
      <c r="AN861" s="36"/>
      <c r="AO861" s="36"/>
      <c r="AP861" s="7"/>
      <c r="AQ861" s="38">
        <f t="shared" si="96"/>
        <v>43931228.819999993</v>
      </c>
      <c r="AR861" s="36">
        <v>43932000</v>
      </c>
      <c r="AS861" s="18">
        <f t="shared" si="97"/>
        <v>771.18000000715256</v>
      </c>
    </row>
    <row r="862" spans="1:45" x14ac:dyDescent="0.25">
      <c r="A862" s="40">
        <v>46150</v>
      </c>
      <c r="B862" s="20">
        <f>'[3]Fuel Mvt-2025-2026-PMS ....'!F326</f>
        <v>1610.7809999999999</v>
      </c>
      <c r="C862" s="20">
        <f>'[3]Fuel Mvt-2025-2026-AGO'!F326</f>
        <v>10832.562</v>
      </c>
      <c r="D862" s="20">
        <f>'[3]Fuel Mvt-2025-2026-PMS ....'!M326</f>
        <v>5835</v>
      </c>
      <c r="E862" s="20">
        <f>'[3]Fuel Mvt-2025-2026-AGO'!M326</f>
        <v>5580</v>
      </c>
      <c r="F862" s="7">
        <f t="shared" si="91"/>
        <v>9398907.1349999998</v>
      </c>
      <c r="G862" s="7">
        <f t="shared" si="92"/>
        <v>60445695.960000001</v>
      </c>
      <c r="H862" s="20">
        <f>'[4]MAY 2026'!H9</f>
        <v>36.75</v>
      </c>
      <c r="I862" s="20">
        <f>'[3]General Sales Sumary'!D323</f>
        <v>848500</v>
      </c>
      <c r="J862" s="20">
        <f>'[4]MAY 2026'!J9</f>
        <v>46.5</v>
      </c>
      <c r="K862" s="20">
        <f>'[3]General Sales Sumary'!F323+'[3]General Sales Sumary'!G323</f>
        <v>593000</v>
      </c>
      <c r="L862" s="20">
        <f>'[3]General Sales Sumary'!E323</f>
        <v>24000</v>
      </c>
      <c r="M862" s="20"/>
      <c r="N862" s="20"/>
      <c r="O862" s="20"/>
      <c r="P862" s="20"/>
      <c r="Q862" s="19">
        <f t="shared" si="93"/>
        <v>71310103.094999999</v>
      </c>
      <c r="R862" s="20">
        <v>2022695</v>
      </c>
      <c r="S862" s="20">
        <v>39383886</v>
      </c>
      <c r="T862" s="20"/>
      <c r="U862" s="20"/>
      <c r="V862" s="20"/>
      <c r="W862" s="20">
        <v>906962</v>
      </c>
      <c r="X862" s="20">
        <v>6633394</v>
      </c>
      <c r="Y862" s="8">
        <f t="shared" si="94"/>
        <v>22363166.094999999</v>
      </c>
      <c r="Z862" s="36"/>
      <c r="AA862" s="36"/>
      <c r="AB862" s="36"/>
      <c r="AC862" s="36"/>
      <c r="AD862" s="36"/>
      <c r="AE862" s="36"/>
      <c r="AF862" s="36">
        <v>130000</v>
      </c>
      <c r="AG862" s="36"/>
      <c r="AH862" s="36"/>
      <c r="AI862" s="36"/>
      <c r="AJ862" s="36">
        <v>3192000</v>
      </c>
      <c r="AK862" s="36"/>
      <c r="AL862" s="37">
        <f t="shared" si="95"/>
        <v>3322000</v>
      </c>
      <c r="AM862" s="36"/>
      <c r="AN862" s="36"/>
      <c r="AO862" s="36"/>
      <c r="AP862" s="7"/>
      <c r="AQ862" s="38">
        <f t="shared" si="96"/>
        <v>19041166.094999999</v>
      </c>
      <c r="AR862" s="36">
        <v>19041200</v>
      </c>
      <c r="AS862" s="18">
        <f t="shared" si="97"/>
        <v>33.905000001192093</v>
      </c>
    </row>
    <row r="863" spans="1:45" x14ac:dyDescent="0.25">
      <c r="A863" s="40">
        <v>46151</v>
      </c>
      <c r="B863" s="20">
        <f>'[3]Fuel Mvt-2025-2026-PMS ....'!F327</f>
        <v>1399.2170000000001</v>
      </c>
      <c r="C863" s="20">
        <f>'[3]Fuel Mvt-2025-2026-AGO'!F327</f>
        <v>9491.991</v>
      </c>
      <c r="D863" s="20">
        <f>'[3]Fuel Mvt-2025-2026-PMS ....'!M327</f>
        <v>5835</v>
      </c>
      <c r="E863" s="20">
        <f>'[3]Fuel Mvt-2025-2026-AGO'!M327</f>
        <v>5580</v>
      </c>
      <c r="F863" s="7">
        <f t="shared" si="91"/>
        <v>8164431.1950000003</v>
      </c>
      <c r="G863" s="7">
        <f t="shared" si="92"/>
        <v>52965309.780000001</v>
      </c>
      <c r="H863" s="20">
        <f>'[4]MAY 2026'!H10</f>
        <v>29</v>
      </c>
      <c r="I863" s="20">
        <f>'[3]General Sales Sumary'!D324</f>
        <v>677000</v>
      </c>
      <c r="J863" s="20">
        <f>'[4]MAY 2026'!J10</f>
        <v>49</v>
      </c>
      <c r="K863" s="20">
        <f>'[3]General Sales Sumary'!F324+'[3]General Sales Sumary'!G324</f>
        <v>471000</v>
      </c>
      <c r="L863" s="20">
        <f>'[3]General Sales Sumary'!E324</f>
        <v>46000</v>
      </c>
      <c r="M863" s="20">
        <v>500000</v>
      </c>
      <c r="N863" s="20"/>
      <c r="O863" s="20"/>
      <c r="P863" s="20"/>
      <c r="Q863" s="19">
        <f t="shared" si="93"/>
        <v>62823740.975000001</v>
      </c>
      <c r="R863" s="20">
        <v>1268883</v>
      </c>
      <c r="S863" s="20">
        <v>26331349</v>
      </c>
      <c r="T863" s="20"/>
      <c r="U863" s="20"/>
      <c r="V863" s="20"/>
      <c r="W863" s="20">
        <v>850471</v>
      </c>
      <c r="X863" s="20">
        <v>9181285</v>
      </c>
      <c r="Y863" s="8">
        <f t="shared" si="94"/>
        <v>25191752.975000001</v>
      </c>
      <c r="Z863" s="36"/>
      <c r="AA863" s="36"/>
      <c r="AB863" s="36"/>
      <c r="AC863" s="36"/>
      <c r="AD863" s="36"/>
      <c r="AE863" s="36"/>
      <c r="AF863" s="36">
        <v>249050</v>
      </c>
      <c r="AG863" s="36"/>
      <c r="AH863" s="36">
        <v>22000</v>
      </c>
      <c r="AI863" s="36"/>
      <c r="AJ863" s="36">
        <v>6450000</v>
      </c>
      <c r="AK863" s="36"/>
      <c r="AL863" s="37">
        <f t="shared" si="95"/>
        <v>6721050</v>
      </c>
      <c r="AM863" s="36"/>
      <c r="AN863" s="36"/>
      <c r="AO863" s="36"/>
      <c r="AP863" s="7"/>
      <c r="AQ863" s="38">
        <f t="shared" si="96"/>
        <v>18470702.975000001</v>
      </c>
      <c r="AR863" s="36">
        <v>18470200</v>
      </c>
      <c r="AS863" s="18">
        <f t="shared" si="97"/>
        <v>-502.97500000149012</v>
      </c>
    </row>
    <row r="864" spans="1:45" x14ac:dyDescent="0.25">
      <c r="A864" s="40">
        <v>46152</v>
      </c>
      <c r="B864" s="20">
        <f>'[3]Fuel Mvt-2025-2026-PMS ....'!F328</f>
        <v>4843.116</v>
      </c>
      <c r="C864" s="20">
        <f>'[3]Fuel Mvt-2025-2026-AGO'!F328</f>
        <v>5284.4930000000004</v>
      </c>
      <c r="D864" s="20">
        <f>'[3]Fuel Mvt-2025-2026-PMS ....'!M328</f>
        <v>5835</v>
      </c>
      <c r="E864" s="20">
        <f>'[3]Fuel Mvt-2025-2026-AGO'!M328</f>
        <v>5790</v>
      </c>
      <c r="F864" s="7">
        <f t="shared" si="91"/>
        <v>28259581.859999999</v>
      </c>
      <c r="G864" s="7">
        <f t="shared" si="92"/>
        <v>30597214.470000003</v>
      </c>
      <c r="H864" s="20">
        <f>'[4]MAY 2026'!H11</f>
        <v>111.5</v>
      </c>
      <c r="I864" s="20">
        <f>'[3]General Sales Sumary'!D325</f>
        <v>2197000</v>
      </c>
      <c r="J864" s="20">
        <f>'[4]MAY 2026'!J11</f>
        <v>58</v>
      </c>
      <c r="K864" s="20">
        <f>'[3]General Sales Sumary'!F325+'[3]General Sales Sumary'!G325</f>
        <v>1113000</v>
      </c>
      <c r="L864" s="20">
        <f>'[3]General Sales Sumary'!E325</f>
        <v>231000</v>
      </c>
      <c r="M864" s="20">
        <v>700000</v>
      </c>
      <c r="N864" s="20"/>
      <c r="O864" s="20"/>
      <c r="P864" s="20"/>
      <c r="Q864" s="19">
        <f t="shared" si="93"/>
        <v>63097796.329999998</v>
      </c>
      <c r="R864" s="20">
        <v>967263</v>
      </c>
      <c r="S864" s="20">
        <v>9991976</v>
      </c>
      <c r="T864" s="20"/>
      <c r="U864" s="20"/>
      <c r="V864" s="20"/>
      <c r="W864" s="20">
        <v>895000</v>
      </c>
      <c r="X864" s="20">
        <v>6982355</v>
      </c>
      <c r="Y864" s="8">
        <f t="shared" si="94"/>
        <v>44261202.329999998</v>
      </c>
      <c r="Z864" s="36"/>
      <c r="AA864" s="36"/>
      <c r="AB864" s="36">
        <v>60000</v>
      </c>
      <c r="AC864" s="36"/>
      <c r="AD864" s="36"/>
      <c r="AE864" s="36"/>
      <c r="AF864" s="36">
        <v>3000</v>
      </c>
      <c r="AG864" s="36"/>
      <c r="AH864" s="36"/>
      <c r="AI864" s="36"/>
      <c r="AJ864" s="36">
        <v>7208000</v>
      </c>
      <c r="AK864" s="36"/>
      <c r="AL864" s="37">
        <f t="shared" si="95"/>
        <v>7271000</v>
      </c>
      <c r="AM864" s="36"/>
      <c r="AN864" s="36"/>
      <c r="AO864" s="36"/>
      <c r="AP864" s="7"/>
      <c r="AQ864" s="38">
        <f t="shared" si="96"/>
        <v>36990202.329999998</v>
      </c>
      <c r="AR864" s="36">
        <v>36990000</v>
      </c>
      <c r="AS864" s="18">
        <f t="shared" si="97"/>
        <v>-202.32999999821186</v>
      </c>
    </row>
    <row r="865" spans="1:45" x14ac:dyDescent="0.25">
      <c r="A865" s="40">
        <v>46153</v>
      </c>
      <c r="B865" s="20">
        <f>'[3]Fuel Mvt-2025-2026-PMS ....'!F329</f>
        <v>2370.0349999999999</v>
      </c>
      <c r="C865" s="20">
        <f>'[3]Fuel Mvt-2025-2026-AGO'!F329</f>
        <v>4614.1080000000002</v>
      </c>
      <c r="D865" s="20">
        <f>'[3]Fuel Mvt-2025-2026-PMS ....'!M329</f>
        <v>5835</v>
      </c>
      <c r="E865" s="20">
        <f>'[3]Fuel Mvt-2025-2026-AGO'!M329</f>
        <v>5790</v>
      </c>
      <c r="F865" s="7">
        <f t="shared" si="91"/>
        <v>13829154.225</v>
      </c>
      <c r="G865" s="7">
        <f t="shared" si="92"/>
        <v>26715685.32</v>
      </c>
      <c r="H865" s="20">
        <f>'[4]MAY 2026'!H12</f>
        <v>16.25</v>
      </c>
      <c r="I865" s="20">
        <f>'[3]General Sales Sumary'!D326</f>
        <v>370500</v>
      </c>
      <c r="J865" s="20">
        <f>'[4]MAY 2026'!J12</f>
        <v>59</v>
      </c>
      <c r="K865" s="20">
        <f>'[3]General Sales Sumary'!F326+'[3]General Sales Sumary'!G326</f>
        <v>904500</v>
      </c>
      <c r="L865" s="20">
        <f>'[3]General Sales Sumary'!E326</f>
        <v>16000</v>
      </c>
      <c r="M865" s="20"/>
      <c r="N865" s="20"/>
      <c r="O865" s="20"/>
      <c r="P865" s="20"/>
      <c r="Q865" s="19">
        <f t="shared" si="93"/>
        <v>41835839.545000002</v>
      </c>
      <c r="R865" s="20">
        <v>324360</v>
      </c>
      <c r="S865" s="20">
        <v>9480872</v>
      </c>
      <c r="T865" s="20"/>
      <c r="U865" s="20"/>
      <c r="V865" s="20"/>
      <c r="W865" s="20">
        <v>1155000</v>
      </c>
      <c r="X865" s="20">
        <v>7387200</v>
      </c>
      <c r="Y865" s="8">
        <f t="shared" si="94"/>
        <v>23488407.545000002</v>
      </c>
      <c r="Z865" s="36"/>
      <c r="AA865" s="36"/>
      <c r="AB865" s="36"/>
      <c r="AC865" s="36"/>
      <c r="AD865" s="36">
        <v>347400</v>
      </c>
      <c r="AE865" s="36"/>
      <c r="AF865" s="36"/>
      <c r="AG865" s="36"/>
      <c r="AH865" s="36"/>
      <c r="AI865" s="36"/>
      <c r="AJ865" s="36">
        <v>370000</v>
      </c>
      <c r="AK865" s="36"/>
      <c r="AL865" s="37">
        <f t="shared" si="95"/>
        <v>717400</v>
      </c>
      <c r="AM865" s="36"/>
      <c r="AN865" s="36"/>
      <c r="AO865" s="36"/>
      <c r="AP865" s="7"/>
      <c r="AQ865" s="38">
        <f t="shared" si="96"/>
        <v>22771007.545000002</v>
      </c>
      <c r="AR865" s="36">
        <v>22771000</v>
      </c>
      <c r="AS865" s="18">
        <f t="shared" si="97"/>
        <v>-7.5450000017881393</v>
      </c>
    </row>
    <row r="866" spans="1:45" x14ac:dyDescent="0.25">
      <c r="A866" s="40">
        <v>46154</v>
      </c>
      <c r="B866" s="20">
        <f>'[3]Fuel Mvt-2025-2026-PMS ....'!F330</f>
        <v>2618.6610000000001</v>
      </c>
      <c r="C866" s="20">
        <f>'[3]Fuel Mvt-2025-2026-AGO'!F330</f>
        <v>1814.999</v>
      </c>
      <c r="D866" s="20">
        <f>'[3]Fuel Mvt-2025-2026-PMS ....'!M330</f>
        <v>5835</v>
      </c>
      <c r="E866" s="20">
        <f>'[3]Fuel Mvt-2025-2026-AGO'!M330</f>
        <v>5790</v>
      </c>
      <c r="F866" s="7">
        <f t="shared" si="91"/>
        <v>15279886.935000001</v>
      </c>
      <c r="G866" s="7">
        <f t="shared" si="92"/>
        <v>10508844.210000001</v>
      </c>
      <c r="H866" s="20">
        <f>'[4]MAY 2026'!H13</f>
        <v>138.5</v>
      </c>
      <c r="I866" s="20">
        <f>'[3]General Sales Sumary'!D327</f>
        <v>3408000</v>
      </c>
      <c r="J866" s="20">
        <f>'[4]MAY 2026'!J13</f>
        <v>18</v>
      </c>
      <c r="K866" s="20">
        <f>'[3]General Sales Sumary'!F327+'[3]General Sales Sumary'!G327</f>
        <v>388000</v>
      </c>
      <c r="L866" s="20">
        <f>'[3]General Sales Sumary'!E327</f>
        <v>319000</v>
      </c>
      <c r="M866" s="20"/>
      <c r="N866" s="20"/>
      <c r="O866" s="20">
        <v>300000</v>
      </c>
      <c r="P866" s="20"/>
      <c r="Q866" s="19">
        <f t="shared" si="93"/>
        <v>30203731.145000003</v>
      </c>
      <c r="R866" s="20">
        <v>804370</v>
      </c>
      <c r="S866" s="20">
        <v>6838891</v>
      </c>
      <c r="T866" s="20"/>
      <c r="U866" s="20"/>
      <c r="V866" s="20"/>
      <c r="W866" s="20">
        <v>675811</v>
      </c>
      <c r="X866" s="20">
        <v>7368543</v>
      </c>
      <c r="Y866" s="8">
        <f t="shared" si="94"/>
        <v>14516116.145000003</v>
      </c>
      <c r="Z866" s="36"/>
      <c r="AA866" s="36"/>
      <c r="AB866" s="36"/>
      <c r="AC866" s="36">
        <v>12000</v>
      </c>
      <c r="AD866" s="36"/>
      <c r="AE866" s="36"/>
      <c r="AF866" s="36">
        <v>7000</v>
      </c>
      <c r="AG866" s="36"/>
      <c r="AH866" s="36"/>
      <c r="AI866" s="36"/>
      <c r="AJ866" s="36">
        <v>1000000</v>
      </c>
      <c r="AK866" s="36"/>
      <c r="AL866" s="37">
        <f t="shared" si="95"/>
        <v>1019000</v>
      </c>
      <c r="AM866" s="36"/>
      <c r="AN866" s="36"/>
      <c r="AO866" s="36"/>
      <c r="AP866" s="7"/>
      <c r="AQ866" s="38">
        <f t="shared" si="96"/>
        <v>13497116.145000003</v>
      </c>
      <c r="AR866" s="36">
        <v>13497100</v>
      </c>
      <c r="AS866" s="18">
        <f t="shared" si="97"/>
        <v>-16.145000003278255</v>
      </c>
    </row>
    <row r="867" spans="1:45" x14ac:dyDescent="0.25">
      <c r="A867" s="40">
        <v>46155</v>
      </c>
      <c r="B867" s="20">
        <f>'[3]Fuel Mvt-2025-2026-PMS ....'!F331</f>
        <v>3529.0740000000001</v>
      </c>
      <c r="C867" s="20">
        <f>'[3]Fuel Mvt-2025-2026-AGO'!F331</f>
        <v>7758.4539999999997</v>
      </c>
      <c r="D867" s="20">
        <f>'[3]Fuel Mvt-2025-2026-PMS ....'!M331</f>
        <v>5835</v>
      </c>
      <c r="E867" s="20">
        <f>'[3]Fuel Mvt-2025-2026-AGO'!M331</f>
        <v>5790</v>
      </c>
      <c r="F867" s="7">
        <f t="shared" si="91"/>
        <v>20592146.789999999</v>
      </c>
      <c r="G867" s="7">
        <f t="shared" si="92"/>
        <v>44921448.659999996</v>
      </c>
      <c r="H867" s="20">
        <f>'[4]MAY 2026'!H14</f>
        <v>72.25</v>
      </c>
      <c r="I867" s="20">
        <f>'[3]General Sales Sumary'!D328</f>
        <v>1768500</v>
      </c>
      <c r="J867" s="20">
        <f>'[4]MAY 2026'!J14</f>
        <v>36.5</v>
      </c>
      <c r="K867" s="20">
        <f>'[3]General Sales Sumary'!F328+'[3]General Sales Sumary'!G328</f>
        <v>383500</v>
      </c>
      <c r="L867" s="20">
        <f>'[3]General Sales Sumary'!E328</f>
        <v>110000</v>
      </c>
      <c r="M867" s="20"/>
      <c r="N867" s="20"/>
      <c r="O867" s="20">
        <v>150000</v>
      </c>
      <c r="P867" s="20"/>
      <c r="Q867" s="19">
        <f t="shared" si="93"/>
        <v>67925595.449999988</v>
      </c>
      <c r="R867" s="20">
        <v>2988044</v>
      </c>
      <c r="S867" s="20">
        <v>19072230</v>
      </c>
      <c r="T867" s="20"/>
      <c r="U867" s="20"/>
      <c r="V867" s="20"/>
      <c r="W867" s="20">
        <v>447000</v>
      </c>
      <c r="X867" s="20">
        <v>14283708</v>
      </c>
      <c r="Y867" s="8">
        <f t="shared" si="94"/>
        <v>31134613.449999988</v>
      </c>
      <c r="Z867" s="36"/>
      <c r="AA867" s="36"/>
      <c r="AB867" s="36"/>
      <c r="AC867" s="36">
        <v>94000</v>
      </c>
      <c r="AD867" s="36"/>
      <c r="AE867" s="36"/>
      <c r="AF867" s="36"/>
      <c r="AG867" s="36"/>
      <c r="AH867" s="36"/>
      <c r="AI867" s="36"/>
      <c r="AJ867" s="36">
        <v>100000</v>
      </c>
      <c r="AK867" s="36"/>
      <c r="AL867" s="37">
        <f t="shared" si="95"/>
        <v>194000</v>
      </c>
      <c r="AM867" s="36"/>
      <c r="AN867" s="36"/>
      <c r="AO867" s="36"/>
      <c r="AP867" s="7"/>
      <c r="AQ867" s="38">
        <f t="shared" si="96"/>
        <v>30940613.449999988</v>
      </c>
      <c r="AR867" s="36">
        <v>30939000</v>
      </c>
      <c r="AS867" s="18">
        <f t="shared" si="97"/>
        <v>-1613.4499999880791</v>
      </c>
    </row>
    <row r="868" spans="1:45" x14ac:dyDescent="0.25">
      <c r="A868" s="40">
        <v>46156</v>
      </c>
      <c r="B868" s="20">
        <f>'[3]Fuel Mvt-2025-2026-PMS ....'!F332</f>
        <v>572.86699999999996</v>
      </c>
      <c r="C868" s="20">
        <f>'[3]Fuel Mvt-2025-2026-AGO'!F332</f>
        <v>2140.752</v>
      </c>
      <c r="D868" s="20">
        <f>'[3]Fuel Mvt-2025-2026-PMS ....'!M332</f>
        <v>5835</v>
      </c>
      <c r="E868" s="20">
        <f>'[3]Fuel Mvt-2025-2026-AGO'!M332</f>
        <v>5790</v>
      </c>
      <c r="F868" s="7">
        <f t="shared" si="91"/>
        <v>3342678.9449999998</v>
      </c>
      <c r="G868" s="7">
        <f t="shared" si="92"/>
        <v>12394954.08</v>
      </c>
      <c r="H868" s="20">
        <f>'[4]MAY 2026'!H15</f>
        <v>146.25</v>
      </c>
      <c r="I868" s="20">
        <f>'[3]General Sales Sumary'!D329</f>
        <v>3852000</v>
      </c>
      <c r="J868" s="20">
        <f>'[4]MAY 2026'!J15</f>
        <v>55</v>
      </c>
      <c r="K868" s="20">
        <f>'[3]General Sales Sumary'!F329+'[3]General Sales Sumary'!G329</f>
        <v>459000</v>
      </c>
      <c r="L868" s="20">
        <f>'[3]General Sales Sumary'!E329</f>
        <v>91000</v>
      </c>
      <c r="M868" s="20"/>
      <c r="N868" s="20"/>
      <c r="O868" s="20">
        <v>14029889</v>
      </c>
      <c r="P868" s="20"/>
      <c r="Q868" s="19">
        <f t="shared" si="93"/>
        <v>34169522.024999999</v>
      </c>
      <c r="R868" s="20">
        <v>99985</v>
      </c>
      <c r="S868" s="20">
        <v>5559988</v>
      </c>
      <c r="T868" s="20"/>
      <c r="U868" s="20"/>
      <c r="V868" s="20"/>
      <c r="W868" s="20">
        <v>914629</v>
      </c>
      <c r="X868" s="20">
        <v>5552624</v>
      </c>
      <c r="Y868" s="8">
        <f t="shared" si="94"/>
        <v>22042296.024999999</v>
      </c>
      <c r="Z868" s="36"/>
      <c r="AA868" s="36"/>
      <c r="AB868" s="36">
        <v>60000</v>
      </c>
      <c r="AC868" s="36"/>
      <c r="AD868" s="36"/>
      <c r="AE868" s="36"/>
      <c r="AF868" s="36">
        <v>3000</v>
      </c>
      <c r="AG868" s="36"/>
      <c r="AH868" s="36"/>
      <c r="AI868" s="36"/>
      <c r="AJ868" s="36">
        <v>1000000</v>
      </c>
      <c r="AK868" s="36"/>
      <c r="AL868" s="37">
        <f t="shared" si="95"/>
        <v>1063000</v>
      </c>
      <c r="AM868" s="36"/>
      <c r="AN868" s="36"/>
      <c r="AO868" s="36"/>
      <c r="AP868" s="7"/>
      <c r="AQ868" s="38">
        <f t="shared" si="96"/>
        <v>20979296.024999999</v>
      </c>
      <c r="AR868" s="36">
        <v>20980000</v>
      </c>
      <c r="AS868" s="18">
        <f t="shared" si="97"/>
        <v>703.97500000149012</v>
      </c>
    </row>
    <row r="869" spans="1:45" x14ac:dyDescent="0.25">
      <c r="A869" s="40">
        <v>46157</v>
      </c>
      <c r="B869" s="20">
        <f>'[3]Fuel Mvt-2025-2026-PMS ....'!F333</f>
        <v>1518.9349999999999</v>
      </c>
      <c r="C869" s="20">
        <f>'[3]Fuel Mvt-2025-2026-AGO'!F333</f>
        <v>1350.684</v>
      </c>
      <c r="D869" s="20">
        <f>'[3]Fuel Mvt-2025-2026-PMS ....'!M333</f>
        <v>5835</v>
      </c>
      <c r="E869" s="20">
        <f>'[3]Fuel Mvt-2025-2026-AGO'!M333</f>
        <v>5790</v>
      </c>
      <c r="F869" s="7">
        <f t="shared" si="91"/>
        <v>8862985.7249999996</v>
      </c>
      <c r="G869" s="7">
        <f t="shared" si="92"/>
        <v>7820460.3599999994</v>
      </c>
      <c r="H869" s="20">
        <f>'[4]MAY 2026'!H16</f>
        <v>24</v>
      </c>
      <c r="I869" s="20">
        <f>'[3]General Sales Sumary'!D330</f>
        <v>1119500</v>
      </c>
      <c r="J869" s="20">
        <f>'[4]MAY 2026'!J16</f>
        <v>18.5</v>
      </c>
      <c r="K869" s="20">
        <f>'[3]General Sales Sumary'!F330+'[3]General Sales Sumary'!G330</f>
        <v>334000</v>
      </c>
      <c r="L869" s="20">
        <f>'[3]General Sales Sumary'!E330</f>
        <v>39000</v>
      </c>
      <c r="M869" s="20">
        <v>600000</v>
      </c>
      <c r="N869" s="20"/>
      <c r="O869" s="20">
        <v>50000</v>
      </c>
      <c r="P869" s="20"/>
      <c r="Q869" s="19">
        <f t="shared" si="93"/>
        <v>18825946.085000001</v>
      </c>
      <c r="R869" s="20">
        <v>459412</v>
      </c>
      <c r="S869" s="20">
        <v>6284691</v>
      </c>
      <c r="T869" s="20"/>
      <c r="U869" s="20"/>
      <c r="V869" s="20"/>
      <c r="W869" s="20">
        <v>250000</v>
      </c>
      <c r="X869" s="20">
        <v>5718800</v>
      </c>
      <c r="Y869" s="8">
        <f t="shared" si="94"/>
        <v>6113043.0850000009</v>
      </c>
      <c r="Z869" s="36"/>
      <c r="AA869" s="36"/>
      <c r="AB869" s="36"/>
      <c r="AC869" s="36">
        <v>20000</v>
      </c>
      <c r="AD869" s="36"/>
      <c r="AE869" s="36"/>
      <c r="AF869" s="36">
        <v>3000</v>
      </c>
      <c r="AG869" s="36"/>
      <c r="AH869" s="36"/>
      <c r="AI869" s="36"/>
      <c r="AJ869" s="36"/>
      <c r="AK869" s="36"/>
      <c r="AL869" s="37">
        <f t="shared" si="95"/>
        <v>23000</v>
      </c>
      <c r="AM869" s="36"/>
      <c r="AN869" s="36"/>
      <c r="AO869" s="36"/>
      <c r="AP869" s="7"/>
      <c r="AQ869" s="38">
        <f t="shared" si="96"/>
        <v>6090043.0850000009</v>
      </c>
      <c r="AR869" s="36">
        <v>6090000</v>
      </c>
      <c r="AS869" s="18">
        <f t="shared" si="97"/>
        <v>-43.08500000089407</v>
      </c>
    </row>
    <row r="870" spans="1:45" x14ac:dyDescent="0.25">
      <c r="A870" s="40">
        <v>46158</v>
      </c>
      <c r="B870" s="20">
        <f>'[3]Fuel Mvt-2025-2026-PMS ....'!F334</f>
        <v>13257.366</v>
      </c>
      <c r="C870" s="20">
        <f>'[3]Fuel Mvt-2025-2026-AGO'!F334</f>
        <v>5286.8190000000004</v>
      </c>
      <c r="D870" s="20">
        <f>'[3]Fuel Mvt-2025-2026-PMS ....'!M334</f>
        <v>5835</v>
      </c>
      <c r="E870" s="20">
        <f>'[3]Fuel Mvt-2025-2026-AGO'!M334</f>
        <v>5790</v>
      </c>
      <c r="F870" s="7">
        <f t="shared" si="91"/>
        <v>77356730.609999999</v>
      </c>
      <c r="G870" s="7">
        <f t="shared" si="92"/>
        <v>30610682.010000002</v>
      </c>
      <c r="H870" s="20">
        <f>'[4]MAY 2026'!H17</f>
        <v>73.25</v>
      </c>
      <c r="I870" s="20">
        <f>'[3]General Sales Sumary'!D331</f>
        <v>1897500</v>
      </c>
      <c r="J870" s="20">
        <f>'[4]MAY 2026'!J17</f>
        <v>21</v>
      </c>
      <c r="K870" s="20">
        <f>'[3]General Sales Sumary'!F331+'[3]General Sales Sumary'!G331</f>
        <v>389000</v>
      </c>
      <c r="L870" s="20">
        <f>'[3]General Sales Sumary'!E331</f>
        <v>0</v>
      </c>
      <c r="M870" s="20">
        <v>100000</v>
      </c>
      <c r="N870" s="20"/>
      <c r="O870" s="20">
        <v>3276313</v>
      </c>
      <c r="P870" s="20"/>
      <c r="Q870" s="19">
        <f t="shared" si="93"/>
        <v>113630225.62</v>
      </c>
      <c r="R870" s="20">
        <v>4712696</v>
      </c>
      <c r="S870" s="20">
        <v>6034096</v>
      </c>
      <c r="T870" s="20"/>
      <c r="U870" s="20"/>
      <c r="V870" s="20"/>
      <c r="W870" s="20">
        <v>2160860</v>
      </c>
      <c r="X870" s="20">
        <v>28429535</v>
      </c>
      <c r="Y870" s="8">
        <f t="shared" si="94"/>
        <v>72293038.620000005</v>
      </c>
      <c r="Z870" s="36"/>
      <c r="AA870" s="36"/>
      <c r="AB870" s="36"/>
      <c r="AC870" s="36">
        <v>7000</v>
      </c>
      <c r="AD870" s="36"/>
      <c r="AE870" s="36"/>
      <c r="AF870" s="36">
        <v>383000</v>
      </c>
      <c r="AG870" s="36"/>
      <c r="AH870" s="36">
        <v>30000</v>
      </c>
      <c r="AI870" s="36"/>
      <c r="AJ870" s="36">
        <v>208700</v>
      </c>
      <c r="AK870" s="36"/>
      <c r="AL870" s="37">
        <f t="shared" si="95"/>
        <v>628700</v>
      </c>
      <c r="AM870" s="36"/>
      <c r="AN870" s="36"/>
      <c r="AO870" s="36"/>
      <c r="AP870" s="7"/>
      <c r="AQ870" s="38">
        <f t="shared" si="96"/>
        <v>71664338.620000005</v>
      </c>
      <c r="AR870" s="36">
        <v>71665000</v>
      </c>
      <c r="AS870" s="18">
        <f t="shared" si="97"/>
        <v>661.37999999523163</v>
      </c>
    </row>
    <row r="871" spans="1:45" x14ac:dyDescent="0.25">
      <c r="A871" s="40">
        <v>46159</v>
      </c>
      <c r="B871" s="20">
        <f>'[3]Fuel Mvt-2025-2026-PMS ....'!F335</f>
        <v>8204.7849999999999</v>
      </c>
      <c r="C871" s="20">
        <f>'[3]Fuel Mvt-2025-2026-AGO'!F335</f>
        <v>0</v>
      </c>
      <c r="D871" s="20">
        <f>'[3]Fuel Mvt-2025-2026-PMS ....'!M335</f>
        <v>5835</v>
      </c>
      <c r="E871" s="20">
        <f>'[3]Fuel Mvt-2025-2026-AGO'!M335</f>
        <v>5790</v>
      </c>
      <c r="F871" s="7">
        <f t="shared" si="91"/>
        <v>47874920.475000001</v>
      </c>
      <c r="G871" s="7">
        <f t="shared" si="92"/>
        <v>0</v>
      </c>
      <c r="H871" s="20">
        <f>'[4]MAY 2026'!H18</f>
        <v>35.25</v>
      </c>
      <c r="I871" s="20">
        <f>'[3]General Sales Sumary'!D332</f>
        <v>1632000</v>
      </c>
      <c r="J871" s="20">
        <f>'[4]MAY 2026'!J18</f>
        <v>74.5</v>
      </c>
      <c r="K871" s="20">
        <f>'[3]General Sales Sumary'!F332+'[3]General Sales Sumary'!G332</f>
        <v>737000</v>
      </c>
      <c r="L871" s="20">
        <f>'[3]General Sales Sumary'!E332</f>
        <v>120000</v>
      </c>
      <c r="M871" s="20">
        <v>100000</v>
      </c>
      <c r="N871" s="20"/>
      <c r="O871" s="20"/>
      <c r="P871" s="20"/>
      <c r="Q871" s="19">
        <f t="shared" si="93"/>
        <v>50463920.475000001</v>
      </c>
      <c r="R871" s="20">
        <v>2180416</v>
      </c>
      <c r="S871" s="20">
        <v>1047990</v>
      </c>
      <c r="T871" s="20"/>
      <c r="U871" s="20"/>
      <c r="V871" s="20"/>
      <c r="W871" s="20">
        <v>1081062</v>
      </c>
      <c r="X871" s="20">
        <v>7259345</v>
      </c>
      <c r="Y871" s="8">
        <f t="shared" si="94"/>
        <v>38895107.475000001</v>
      </c>
      <c r="Z871" s="36"/>
      <c r="AA871" s="36"/>
      <c r="AB871" s="36">
        <v>50000</v>
      </c>
      <c r="AC871" s="36"/>
      <c r="AD871" s="36"/>
      <c r="AE871" s="36"/>
      <c r="AF871" s="36">
        <v>4000</v>
      </c>
      <c r="AG871" s="36"/>
      <c r="AH871" s="36"/>
      <c r="AI871" s="36"/>
      <c r="AJ871" s="36"/>
      <c r="AK871" s="36"/>
      <c r="AL871" s="37">
        <f t="shared" si="95"/>
        <v>54000</v>
      </c>
      <c r="AM871" s="36"/>
      <c r="AN871" s="36"/>
      <c r="AO871" s="36"/>
      <c r="AP871" s="7"/>
      <c r="AQ871" s="38">
        <f t="shared" si="96"/>
        <v>38841107.475000001</v>
      </c>
      <c r="AR871" s="36">
        <v>38840000</v>
      </c>
      <c r="AS871" s="18">
        <f t="shared" si="97"/>
        <v>-1107.4750000014901</v>
      </c>
    </row>
    <row r="872" spans="1:45" x14ac:dyDescent="0.25">
      <c r="A872" s="40">
        <v>46160</v>
      </c>
      <c r="B872" s="20">
        <f>'[3]Fuel Mvt-2025-2026-PMS ....'!F336</f>
        <v>1742.4780000000001</v>
      </c>
      <c r="C872" s="20">
        <f>'[3]Fuel Mvt-2025-2026-AGO'!F336</f>
        <v>4849.6890000000003</v>
      </c>
      <c r="D872" s="20">
        <f>'[3]Fuel Mvt-2025-2026-PMS ....'!M336</f>
        <v>5835</v>
      </c>
      <c r="E872" s="20">
        <f>'[3]Fuel Mvt-2025-2026-AGO'!M336</f>
        <v>5790</v>
      </c>
      <c r="F872" s="7">
        <f t="shared" si="91"/>
        <v>10167359.130000001</v>
      </c>
      <c r="G872" s="7">
        <f t="shared" si="92"/>
        <v>28079699.310000002</v>
      </c>
      <c r="H872" s="20">
        <f>'[4]MAY 2026'!H19</f>
        <v>37</v>
      </c>
      <c r="I872" s="20">
        <f>'[3]General Sales Sumary'!D333</f>
        <v>885500</v>
      </c>
      <c r="J872" s="20">
        <f>'[4]MAY 2026'!J19</f>
        <v>46</v>
      </c>
      <c r="K872" s="20">
        <f>'[3]General Sales Sumary'!F333+'[3]General Sales Sumary'!G333</f>
        <v>548500</v>
      </c>
      <c r="L872" s="20">
        <f>'[3]General Sales Sumary'!E333</f>
        <v>25000</v>
      </c>
      <c r="M872" s="20"/>
      <c r="N872" s="20"/>
      <c r="O872" s="20">
        <v>37000</v>
      </c>
      <c r="P872" s="20"/>
      <c r="Q872" s="19">
        <f t="shared" si="93"/>
        <v>39743058.440000005</v>
      </c>
      <c r="R872" s="20">
        <v>395223</v>
      </c>
      <c r="S872" s="20">
        <v>25439953</v>
      </c>
      <c r="T872" s="20"/>
      <c r="U872" s="20"/>
      <c r="V872" s="20"/>
      <c r="W872" s="20">
        <v>4000</v>
      </c>
      <c r="X872" s="20">
        <v>5629319</v>
      </c>
      <c r="Y872" s="8">
        <f t="shared" si="94"/>
        <v>8274563.4400000051</v>
      </c>
      <c r="Z872" s="36"/>
      <c r="AA872" s="36"/>
      <c r="AB872" s="36">
        <v>50000</v>
      </c>
      <c r="AC872" s="36"/>
      <c r="AD872" s="36"/>
      <c r="AE872" s="36"/>
      <c r="AF872" s="36"/>
      <c r="AG872" s="36"/>
      <c r="AH872" s="36"/>
      <c r="AI872" s="36"/>
      <c r="AJ872" s="36">
        <v>400000</v>
      </c>
      <c r="AK872" s="36"/>
      <c r="AL872" s="37">
        <f t="shared" si="95"/>
        <v>450000</v>
      </c>
      <c r="AM872" s="36"/>
      <c r="AN872" s="36"/>
      <c r="AO872" s="36"/>
      <c r="AP872" s="7"/>
      <c r="AQ872" s="38">
        <f t="shared" si="96"/>
        <v>7824563.4400000051</v>
      </c>
      <c r="AR872" s="36">
        <v>7825000</v>
      </c>
      <c r="AS872" s="18">
        <f t="shared" si="97"/>
        <v>436.55999999493361</v>
      </c>
    </row>
    <row r="873" spans="1:45" x14ac:dyDescent="0.25">
      <c r="A873" s="40">
        <v>46161</v>
      </c>
      <c r="B873" s="20">
        <f>'[3]Fuel Mvt-2025-2026-PMS ....'!F337</f>
        <v>1359.82</v>
      </c>
      <c r="C873" s="20">
        <f>'[3]Fuel Mvt-2025-2026-AGO'!F337</f>
        <v>3759.4290000000001</v>
      </c>
      <c r="D873" s="20">
        <f>'[3]Fuel Mvt-2025-2026-PMS ....'!M337</f>
        <v>5835</v>
      </c>
      <c r="E873" s="20">
        <f>'[3]Fuel Mvt-2025-2026-AGO'!M337</f>
        <v>5790</v>
      </c>
      <c r="F873" s="7">
        <f t="shared" si="91"/>
        <v>7934549.6999999993</v>
      </c>
      <c r="G873" s="7">
        <f t="shared" si="92"/>
        <v>21767093.91</v>
      </c>
      <c r="H873" s="20">
        <f>'[4]MAY 2026'!H20</f>
        <v>41.5</v>
      </c>
      <c r="I873" s="20">
        <f>'[3]General Sales Sumary'!D334</f>
        <v>1108500</v>
      </c>
      <c r="J873" s="20">
        <f>'[4]MAY 2026'!J20</f>
        <v>48.5</v>
      </c>
      <c r="K873" s="20">
        <f>'[3]General Sales Sumary'!F334+'[3]General Sales Sumary'!G334</f>
        <v>682500</v>
      </c>
      <c r="L873" s="20">
        <f>'[3]General Sales Sumary'!E334</f>
        <v>0</v>
      </c>
      <c r="M873" s="20">
        <v>500000</v>
      </c>
      <c r="N873" s="20"/>
      <c r="O873" s="20">
        <v>4575600</v>
      </c>
      <c r="P873" s="20"/>
      <c r="Q873" s="19">
        <f t="shared" si="93"/>
        <v>36568243.609999999</v>
      </c>
      <c r="R873" s="20">
        <v>1066915</v>
      </c>
      <c r="S873" s="20">
        <v>13456764</v>
      </c>
      <c r="T873" s="20"/>
      <c r="U873" s="20"/>
      <c r="V873" s="20"/>
      <c r="W873" s="20">
        <v>557011</v>
      </c>
      <c r="X873" s="20">
        <v>6926430</v>
      </c>
      <c r="Y873" s="8">
        <f t="shared" si="94"/>
        <v>14561123.609999999</v>
      </c>
      <c r="Z873" s="36">
        <v>1183800</v>
      </c>
      <c r="AA873" s="36"/>
      <c r="AB873" s="36"/>
      <c r="AC873" s="36"/>
      <c r="AD873" s="36"/>
      <c r="AE873" s="36"/>
      <c r="AF873" s="36"/>
      <c r="AG873" s="36"/>
      <c r="AH873" s="36"/>
      <c r="AI873" s="36"/>
      <c r="AJ873" s="36">
        <v>1077000</v>
      </c>
      <c r="AK873" s="36"/>
      <c r="AL873" s="37">
        <f t="shared" si="95"/>
        <v>2260800</v>
      </c>
      <c r="AM873" s="36"/>
      <c r="AN873" s="36"/>
      <c r="AO873" s="36"/>
      <c r="AP873" s="7"/>
      <c r="AQ873" s="38">
        <f t="shared" si="96"/>
        <v>12300323.609999999</v>
      </c>
      <c r="AR873" s="36">
        <v>12300000</v>
      </c>
      <c r="AS873" s="18">
        <f t="shared" si="97"/>
        <v>-323.60999999940395</v>
      </c>
    </row>
    <row r="874" spans="1:45" x14ac:dyDescent="0.25">
      <c r="A874" s="40">
        <v>46162</v>
      </c>
      <c r="B874" s="20">
        <f>'[3]Fuel Mvt-2025-2026-PMS ....'!F338</f>
        <v>705.35</v>
      </c>
      <c r="C874" s="20">
        <f>'[3]Fuel Mvt-2025-2026-AGO'!F338</f>
        <v>4887.125</v>
      </c>
      <c r="D874" s="20">
        <f>'[3]Fuel Mvt-2025-2026-PMS ....'!M338</f>
        <v>5835</v>
      </c>
      <c r="E874" s="20">
        <f>'[3]Fuel Mvt-2025-2026-AGO'!M338</f>
        <v>5790</v>
      </c>
      <c r="F874" s="7">
        <f t="shared" si="91"/>
        <v>4115717.25</v>
      </c>
      <c r="G874" s="7">
        <f t="shared" si="92"/>
        <v>28296453.75</v>
      </c>
      <c r="H874" s="20">
        <f>'[4]MAY 2026'!H21</f>
        <v>56.25</v>
      </c>
      <c r="I874" s="20">
        <f>'[3]General Sales Sumary'!D335</f>
        <v>1348500</v>
      </c>
      <c r="J874" s="20">
        <f>'[4]MAY 2026'!J21</f>
        <v>24</v>
      </c>
      <c r="K874" s="20">
        <f>'[3]General Sales Sumary'!F335+'[3]General Sales Sumary'!G335</f>
        <v>320500</v>
      </c>
      <c r="L874" s="20">
        <f>'[3]General Sales Sumary'!E335</f>
        <v>60000</v>
      </c>
      <c r="M874" s="20"/>
      <c r="N874" s="20"/>
      <c r="O874" s="20">
        <v>2390700</v>
      </c>
      <c r="P874" s="20"/>
      <c r="Q874" s="19">
        <f t="shared" si="93"/>
        <v>36531871</v>
      </c>
      <c r="R874" s="20">
        <v>685952</v>
      </c>
      <c r="S874" s="20">
        <v>16732586</v>
      </c>
      <c r="T874" s="20"/>
      <c r="U874" s="20"/>
      <c r="V874" s="20"/>
      <c r="W874" s="20">
        <v>0</v>
      </c>
      <c r="X874" s="20">
        <v>11347545</v>
      </c>
      <c r="Y874" s="8">
        <f t="shared" si="94"/>
        <v>7765788</v>
      </c>
      <c r="Z874" s="36"/>
      <c r="AA874" s="36"/>
      <c r="AB874" s="36">
        <v>212600</v>
      </c>
      <c r="AC874" s="36"/>
      <c r="AD874" s="36"/>
      <c r="AE874" s="36"/>
      <c r="AF874" s="36">
        <v>3000</v>
      </c>
      <c r="AG874" s="36"/>
      <c r="AH874" s="36">
        <v>35000</v>
      </c>
      <c r="AI874" s="36"/>
      <c r="AJ874" s="36">
        <v>300000</v>
      </c>
      <c r="AK874" s="36"/>
      <c r="AL874" s="37">
        <f t="shared" si="95"/>
        <v>550600</v>
      </c>
      <c r="AM874" s="36"/>
      <c r="AN874" s="36"/>
      <c r="AO874" s="36"/>
      <c r="AP874" s="7"/>
      <c r="AQ874" s="38">
        <f t="shared" si="96"/>
        <v>7215188</v>
      </c>
      <c r="AR874" s="36">
        <v>7214800</v>
      </c>
      <c r="AS874" s="18">
        <f t="shared" si="97"/>
        <v>-388</v>
      </c>
    </row>
    <row r="875" spans="1:45" x14ac:dyDescent="0.25">
      <c r="A875" s="40">
        <v>46163</v>
      </c>
      <c r="B875" s="20">
        <f>'[3]Fuel Mvt-2025-2026-PMS ....'!F339</f>
        <v>0</v>
      </c>
      <c r="C875" s="20">
        <f>'[3]Fuel Mvt-2025-2026-AGO'!F339</f>
        <v>5356.165</v>
      </c>
      <c r="D875" s="20">
        <f>'[3]Fuel Mvt-2025-2026-PMS ....'!M339</f>
        <v>5835</v>
      </c>
      <c r="E875" s="20">
        <f>'[3]Fuel Mvt-2025-2026-AGO'!M339</f>
        <v>5790</v>
      </c>
      <c r="F875" s="7">
        <f t="shared" si="91"/>
        <v>0</v>
      </c>
      <c r="G875" s="7">
        <f t="shared" si="92"/>
        <v>31012195.350000001</v>
      </c>
      <c r="H875" s="20">
        <f>'[4]MAY 2026'!H22</f>
        <v>40.75</v>
      </c>
      <c r="I875" s="20">
        <f>'[3]General Sales Sumary'!D336</f>
        <v>1028500</v>
      </c>
      <c r="J875" s="20">
        <f>'[4]MAY 2026'!J22</f>
        <v>54</v>
      </c>
      <c r="K875" s="20">
        <f>'[3]General Sales Sumary'!F336+'[3]General Sales Sumary'!G336</f>
        <v>531000</v>
      </c>
      <c r="L875" s="20">
        <f>'[3]General Sales Sumary'!E336</f>
        <v>50000</v>
      </c>
      <c r="M875" s="20">
        <v>500000</v>
      </c>
      <c r="N875" s="20"/>
      <c r="O875" s="20">
        <v>0</v>
      </c>
      <c r="P875" s="20"/>
      <c r="Q875" s="19">
        <f t="shared" si="93"/>
        <v>33121695.350000001</v>
      </c>
      <c r="R875" s="20">
        <v>370560</v>
      </c>
      <c r="S875" s="20">
        <v>19866593</v>
      </c>
      <c r="T875" s="20"/>
      <c r="U875" s="20"/>
      <c r="V875" s="20"/>
      <c r="W875" s="20">
        <v>314486</v>
      </c>
      <c r="X875" s="20">
        <v>3760030</v>
      </c>
      <c r="Y875" s="8">
        <f t="shared" si="94"/>
        <v>8810026.3500000015</v>
      </c>
      <c r="Z875" s="36"/>
      <c r="AA875" s="36"/>
      <c r="AB875" s="36"/>
      <c r="AC875" s="36">
        <v>83000</v>
      </c>
      <c r="AD875" s="36"/>
      <c r="AE875" s="36"/>
      <c r="AF875" s="36"/>
      <c r="AG875" s="36"/>
      <c r="AH875" s="36">
        <v>12000</v>
      </c>
      <c r="AI875" s="36"/>
      <c r="AJ875" s="36">
        <v>1100000</v>
      </c>
      <c r="AK875" s="36"/>
      <c r="AL875" s="37">
        <f t="shared" si="95"/>
        <v>1195000</v>
      </c>
      <c r="AM875" s="36"/>
      <c r="AN875" s="36"/>
      <c r="AO875" s="36"/>
      <c r="AP875" s="7"/>
      <c r="AQ875" s="38">
        <f t="shared" si="96"/>
        <v>7615026.3500000015</v>
      </c>
      <c r="AR875" s="36">
        <v>7615700</v>
      </c>
      <c r="AS875" s="18">
        <f t="shared" si="97"/>
        <v>673.64999999850988</v>
      </c>
    </row>
    <row r="876" spans="1:45" x14ac:dyDescent="0.25">
      <c r="A876" s="40">
        <v>46164</v>
      </c>
      <c r="B876" s="20">
        <f>'[3]Fuel Mvt-2025-2026-PMS ....'!F340</f>
        <v>4289.0219999999999</v>
      </c>
      <c r="C876" s="20">
        <f>'[3]Fuel Mvt-2025-2026-AGO'!F340</f>
        <v>7651.84</v>
      </c>
      <c r="D876" s="20">
        <f>'[3]Fuel Mvt-2025-2026-PMS ....'!M340</f>
        <v>5835</v>
      </c>
      <c r="E876" s="20">
        <f>'[3]Fuel Mvt-2025-2026-AGO'!M340</f>
        <v>5790</v>
      </c>
      <c r="F876" s="7">
        <f t="shared" si="91"/>
        <v>25026443.370000001</v>
      </c>
      <c r="G876" s="7">
        <f t="shared" si="92"/>
        <v>44304153.600000001</v>
      </c>
      <c r="H876" s="20">
        <f>'[4]MAY 2026'!H23</f>
        <v>35</v>
      </c>
      <c r="I876" s="20">
        <f>'[3]General Sales Sumary'!D337</f>
        <v>843500</v>
      </c>
      <c r="J876" s="20">
        <f>'[4]MAY 2026'!J23</f>
        <v>12</v>
      </c>
      <c r="K876" s="20">
        <f>'[3]General Sales Sumary'!F337+'[3]General Sales Sumary'!G337</f>
        <v>118500</v>
      </c>
      <c r="L876" s="20">
        <f>'[3]General Sales Sumary'!E337</f>
        <v>0</v>
      </c>
      <c r="M876" s="20"/>
      <c r="N876" s="20"/>
      <c r="O876" s="20">
        <v>6879970</v>
      </c>
      <c r="P876" s="20"/>
      <c r="Q876" s="19">
        <f t="shared" si="93"/>
        <v>77172566.969999999</v>
      </c>
      <c r="R876" s="20">
        <v>4273489</v>
      </c>
      <c r="S876" s="20">
        <v>12395565</v>
      </c>
      <c r="T876" s="20"/>
      <c r="U876" s="20"/>
      <c r="V876" s="20"/>
      <c r="W876" s="20">
        <v>1425900</v>
      </c>
      <c r="X876" s="20">
        <v>9942207</v>
      </c>
      <c r="Y876" s="8">
        <f t="shared" si="94"/>
        <v>49135405.969999999</v>
      </c>
      <c r="Z876" s="36"/>
      <c r="AA876" s="36"/>
      <c r="AB876" s="36"/>
      <c r="AC876" s="36">
        <v>26000</v>
      </c>
      <c r="AD876" s="36"/>
      <c r="AE876" s="36"/>
      <c r="AF876" s="36">
        <v>14000</v>
      </c>
      <c r="AG876" s="36"/>
      <c r="AH876" s="36"/>
      <c r="AI876" s="36"/>
      <c r="AJ876" s="36"/>
      <c r="AK876" s="36"/>
      <c r="AL876" s="37">
        <f t="shared" si="95"/>
        <v>40000</v>
      </c>
      <c r="AM876" s="36"/>
      <c r="AN876" s="36"/>
      <c r="AO876" s="36"/>
      <c r="AP876" s="7"/>
      <c r="AQ876" s="38">
        <f t="shared" si="96"/>
        <v>49095405.969999999</v>
      </c>
      <c r="AR876" s="36">
        <v>49095500</v>
      </c>
      <c r="AS876" s="18">
        <f t="shared" si="97"/>
        <v>94.030000001192093</v>
      </c>
    </row>
    <row r="877" spans="1:45" x14ac:dyDescent="0.25">
      <c r="A877" s="40">
        <v>46165</v>
      </c>
      <c r="B877" s="20">
        <f>'[3]Fuel Mvt-2025-2026-PMS ....'!F341</f>
        <v>0</v>
      </c>
      <c r="C877" s="20">
        <f>'[3]Fuel Mvt-2025-2026-AGO'!F341</f>
        <v>4624.33</v>
      </c>
      <c r="D877" s="20">
        <f>'[3]Fuel Mvt-2025-2026-PMS ....'!M341</f>
        <v>6390</v>
      </c>
      <c r="E877" s="20">
        <f>'[3]Fuel Mvt-2025-2026-AGO'!M341</f>
        <v>6599</v>
      </c>
      <c r="F877" s="7">
        <f t="shared" si="91"/>
        <v>0</v>
      </c>
      <c r="G877" s="7">
        <f t="shared" si="92"/>
        <v>30515953.669999998</v>
      </c>
      <c r="H877" s="20">
        <f>'[4]MAY 2026'!H24</f>
        <v>147.75</v>
      </c>
      <c r="I877" s="20">
        <f>'[3]General Sales Sumary'!D338</f>
        <v>3123000</v>
      </c>
      <c r="J877" s="20">
        <f>'[4]MAY 2026'!J24</f>
        <v>76.5</v>
      </c>
      <c r="K877" s="20">
        <f>'[3]General Sales Sumary'!F338+'[3]General Sales Sumary'!G338</f>
        <v>737500</v>
      </c>
      <c r="L877" s="20">
        <f>'[3]General Sales Sumary'!E338</f>
        <v>30000</v>
      </c>
      <c r="M877" s="20"/>
      <c r="N877" s="20"/>
      <c r="O877" s="20">
        <v>2394371</v>
      </c>
      <c r="P877" s="20"/>
      <c r="Q877" s="19">
        <f t="shared" si="93"/>
        <v>36800824.670000002</v>
      </c>
      <c r="R877" s="20">
        <v>0</v>
      </c>
      <c r="S877" s="20">
        <v>10749158</v>
      </c>
      <c r="T877" s="20">
        <v>62000</v>
      </c>
      <c r="U877" s="20"/>
      <c r="V877" s="20"/>
      <c r="W877" s="20">
        <v>347000</v>
      </c>
      <c r="X877" s="20">
        <v>4696820</v>
      </c>
      <c r="Y877" s="8">
        <f t="shared" si="94"/>
        <v>20945846.670000002</v>
      </c>
      <c r="Z877" s="36"/>
      <c r="AA877" s="36"/>
      <c r="AB877" s="36"/>
      <c r="AC877" s="36"/>
      <c r="AD877" s="36"/>
      <c r="AE877" s="36"/>
      <c r="AF877" s="36">
        <v>8000</v>
      </c>
      <c r="AG877" s="36"/>
      <c r="AH877" s="36">
        <v>22000</v>
      </c>
      <c r="AI877" s="36">
        <v>45000</v>
      </c>
      <c r="AJ877" s="36">
        <v>105000</v>
      </c>
      <c r="AK877" s="36"/>
      <c r="AL877" s="37">
        <f t="shared" si="95"/>
        <v>180000</v>
      </c>
      <c r="AM877" s="36"/>
      <c r="AN877" s="36"/>
      <c r="AO877" s="36"/>
      <c r="AP877" s="7"/>
      <c r="AQ877" s="38">
        <f t="shared" si="96"/>
        <v>20765846.670000002</v>
      </c>
      <c r="AR877" s="36">
        <v>20766700</v>
      </c>
      <c r="AS877" s="18">
        <f t="shared" si="97"/>
        <v>853.32999999821186</v>
      </c>
    </row>
    <row r="878" spans="1:45" x14ac:dyDescent="0.25">
      <c r="A878" s="40">
        <v>46166</v>
      </c>
      <c r="B878" s="20">
        <f>'[3]Fuel Mvt-2025-2026-PMS ....'!F342</f>
        <v>4236.5559999999996</v>
      </c>
      <c r="C878" s="20">
        <f>'[3]Fuel Mvt-2025-2026-AGO'!F342</f>
        <v>3923.7869999999998</v>
      </c>
      <c r="D878" s="20">
        <f>'[3]Fuel Mvt-2025-2026-PMS ....'!M342</f>
        <v>6390</v>
      </c>
      <c r="E878" s="20">
        <f>'[3]Fuel Mvt-2025-2026-AGO'!M342</f>
        <v>6599</v>
      </c>
      <c r="F878" s="7">
        <f t="shared" si="91"/>
        <v>27071592.839999996</v>
      </c>
      <c r="G878" s="7">
        <f t="shared" si="92"/>
        <v>25893070.412999999</v>
      </c>
      <c r="H878" s="20">
        <f>'[4]MAY 2026'!H25</f>
        <v>110.5</v>
      </c>
      <c r="I878" s="20">
        <f>'[3]General Sales Sumary'!D339</f>
        <v>2649000</v>
      </c>
      <c r="J878" s="20">
        <f>'[4]MAY 2026'!J25</f>
        <v>106.5</v>
      </c>
      <c r="K878" s="20">
        <f>'[3]General Sales Sumary'!F339+'[3]General Sales Sumary'!G339</f>
        <v>1347500</v>
      </c>
      <c r="L878" s="20">
        <f>'[3]General Sales Sumary'!E339</f>
        <v>15000</v>
      </c>
      <c r="M878" s="20"/>
      <c r="N878" s="20"/>
      <c r="O878" s="20">
        <v>20000</v>
      </c>
      <c r="P878" s="20"/>
      <c r="Q878" s="19">
        <f t="shared" si="93"/>
        <v>56996163.252999991</v>
      </c>
      <c r="R878" s="20">
        <v>1585721</v>
      </c>
      <c r="S878" s="20">
        <v>6427954</v>
      </c>
      <c r="T878" s="20"/>
      <c r="U878" s="20"/>
      <c r="V878" s="20"/>
      <c r="W878" s="20">
        <v>1178400</v>
      </c>
      <c r="X878" s="20">
        <v>8020334</v>
      </c>
      <c r="Y878" s="8">
        <f t="shared" si="94"/>
        <v>39783754.252999991</v>
      </c>
      <c r="Z878" s="36"/>
      <c r="AA878" s="36"/>
      <c r="AB878" s="36"/>
      <c r="AC878" s="36"/>
      <c r="AD878" s="36"/>
      <c r="AE878" s="36"/>
      <c r="AF878" s="36">
        <v>350000</v>
      </c>
      <c r="AG878" s="36"/>
      <c r="AH878" s="36"/>
      <c r="AI878" s="36">
        <v>30000</v>
      </c>
      <c r="AJ878" s="36">
        <v>800000</v>
      </c>
      <c r="AK878" s="36"/>
      <c r="AL878" s="37">
        <f t="shared" si="95"/>
        <v>1180000</v>
      </c>
      <c r="AM878" s="36"/>
      <c r="AN878" s="36"/>
      <c r="AO878" s="36"/>
      <c r="AP878" s="7"/>
      <c r="AQ878" s="38">
        <f t="shared" si="96"/>
        <v>38603754.252999991</v>
      </c>
      <c r="AR878" s="36">
        <v>38233000</v>
      </c>
      <c r="AS878" s="18">
        <f t="shared" si="97"/>
        <v>-370754.25299999118</v>
      </c>
    </row>
    <row r="879" spans="1:45" x14ac:dyDescent="0.25">
      <c r="A879" s="40">
        <v>46167</v>
      </c>
      <c r="B879" s="20">
        <f>'[3]Fuel Mvt-2025-2026-PMS ....'!F343</f>
        <v>1126.913</v>
      </c>
      <c r="C879" s="20">
        <f>'[3]Fuel Mvt-2025-2026-AGO'!F343</f>
        <v>1440.2349999999999</v>
      </c>
      <c r="D879" s="20">
        <f>'[3]Fuel Mvt-2025-2026-PMS ....'!M343</f>
        <v>6390</v>
      </c>
      <c r="E879" s="20">
        <f>'[3]Fuel Mvt-2025-2026-AGO'!M343</f>
        <v>6599</v>
      </c>
      <c r="F879" s="7">
        <f t="shared" si="91"/>
        <v>7200974.0700000003</v>
      </c>
      <c r="G879" s="7">
        <f t="shared" si="92"/>
        <v>9504110.7649999987</v>
      </c>
      <c r="H879" s="20">
        <f>'[4]MAY 2026'!H26</f>
        <v>56</v>
      </c>
      <c r="I879" s="20">
        <f>'[3]General Sales Sumary'!D340</f>
        <v>1422500</v>
      </c>
      <c r="J879" s="20">
        <f>'[4]MAY 2026'!J26</f>
        <v>50.5</v>
      </c>
      <c r="K879" s="20">
        <f>'[3]General Sales Sumary'!F340+'[3]General Sales Sumary'!G340</f>
        <v>520500</v>
      </c>
      <c r="L879" s="20">
        <f>'[3]General Sales Sumary'!E340</f>
        <v>0</v>
      </c>
      <c r="M879" s="20"/>
      <c r="N879" s="20"/>
      <c r="O879" s="20">
        <v>1300000</v>
      </c>
      <c r="P879" s="20"/>
      <c r="Q879" s="19">
        <f t="shared" si="93"/>
        <v>19948084.835000001</v>
      </c>
      <c r="R879" s="20">
        <v>613968</v>
      </c>
      <c r="S879" s="20">
        <v>3441361</v>
      </c>
      <c r="T879" s="20">
        <v>23000</v>
      </c>
      <c r="U879" s="20"/>
      <c r="V879" s="20"/>
      <c r="W879" s="20">
        <v>969572</v>
      </c>
      <c r="X879" s="20">
        <v>2035900</v>
      </c>
      <c r="Y879" s="8">
        <f t="shared" si="94"/>
        <v>12864283.835000001</v>
      </c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7">
        <f t="shared" si="95"/>
        <v>0</v>
      </c>
      <c r="AM879" s="36"/>
      <c r="AN879" s="36"/>
      <c r="AO879" s="36"/>
      <c r="AP879" s="7"/>
      <c r="AQ879" s="38">
        <f t="shared" si="96"/>
        <v>12864283.835000001</v>
      </c>
      <c r="AR879" s="36">
        <v>12864300</v>
      </c>
      <c r="AS879" s="18">
        <f t="shared" si="97"/>
        <v>16.16499999910593</v>
      </c>
    </row>
    <row r="880" spans="1:45" x14ac:dyDescent="0.25">
      <c r="A880" s="40">
        <v>46168</v>
      </c>
      <c r="B880" s="20">
        <f>'[3]Fuel Mvt-2025-2026-PMS ....'!F344</f>
        <v>3188.357</v>
      </c>
      <c r="C880" s="20">
        <f>'[3]Fuel Mvt-2025-2026-AGO'!F344</f>
        <v>3692.107</v>
      </c>
      <c r="D880" s="20">
        <f>'[3]Fuel Mvt-2025-2026-PMS ....'!M344</f>
        <v>6390</v>
      </c>
      <c r="E880" s="20">
        <f>'[3]Fuel Mvt-2025-2026-AGO'!M344</f>
        <v>6599</v>
      </c>
      <c r="F880" s="7">
        <f t="shared" si="91"/>
        <v>20373601.23</v>
      </c>
      <c r="G880" s="7">
        <f t="shared" si="92"/>
        <v>24364214.092999998</v>
      </c>
      <c r="H880" s="20">
        <f>'[4]MAY 2026'!H27</f>
        <v>0</v>
      </c>
      <c r="I880" s="20">
        <f>'[3]General Sales Sumary'!D341</f>
        <v>1424000</v>
      </c>
      <c r="J880" s="20">
        <f>'[4]MAY 2026'!J27</f>
        <v>0</v>
      </c>
      <c r="K880" s="20">
        <f>'[3]General Sales Sumary'!F341+'[3]General Sales Sumary'!G341</f>
        <v>853000</v>
      </c>
      <c r="L880" s="20">
        <f>'[3]General Sales Sumary'!E341</f>
        <v>0</v>
      </c>
      <c r="M880" s="20">
        <v>40000</v>
      </c>
      <c r="N880" s="20"/>
      <c r="O880" s="20">
        <v>13198000</v>
      </c>
      <c r="P880" s="20"/>
      <c r="Q880" s="19">
        <f t="shared" si="93"/>
        <v>60252815.322999999</v>
      </c>
      <c r="R880" s="20">
        <v>840456</v>
      </c>
      <c r="S880" s="20">
        <v>12267574</v>
      </c>
      <c r="T880" s="20"/>
      <c r="U880" s="20"/>
      <c r="V880" s="20"/>
      <c r="W880" s="20">
        <v>1435868</v>
      </c>
      <c r="X880" s="20">
        <v>8037088</v>
      </c>
      <c r="Y880" s="8">
        <f t="shared" si="94"/>
        <v>37671829.322999999</v>
      </c>
      <c r="Z880" s="36"/>
      <c r="AA880" s="36"/>
      <c r="AB880" s="36">
        <v>30000</v>
      </c>
      <c r="AC880" s="36"/>
      <c r="AD880" s="36"/>
      <c r="AE880" s="36"/>
      <c r="AF880" s="36">
        <v>4000</v>
      </c>
      <c r="AG880" s="36"/>
      <c r="AH880" s="36"/>
      <c r="AI880" s="36"/>
      <c r="AJ880" s="36">
        <v>610000</v>
      </c>
      <c r="AK880" s="36"/>
      <c r="AL880" s="37">
        <f t="shared" si="95"/>
        <v>644000</v>
      </c>
      <c r="AM880" s="36"/>
      <c r="AN880" s="36"/>
      <c r="AO880" s="36"/>
      <c r="AP880" s="7"/>
      <c r="AQ880" s="38">
        <f t="shared" si="96"/>
        <v>37027829.322999999</v>
      </c>
      <c r="AR880" s="36">
        <v>37030700</v>
      </c>
      <c r="AS880" s="18">
        <f t="shared" si="97"/>
        <v>2870.6770000010729</v>
      </c>
    </row>
    <row r="881" spans="1:45" x14ac:dyDescent="0.25">
      <c r="A881" s="40">
        <v>46169</v>
      </c>
      <c r="B881" s="20">
        <f>'[3]Fuel Mvt-2025-2026-PMS ....'!F345</f>
        <v>0</v>
      </c>
      <c r="C881" s="20">
        <f>'[3]Fuel Mvt-2025-2026-AGO'!F345</f>
        <v>0</v>
      </c>
      <c r="D881" s="20">
        <f>'[3]Fuel Mvt-2025-2026-PMS ....'!M345</f>
        <v>6390</v>
      </c>
      <c r="E881" s="20">
        <f>'[3]Fuel Mvt-2025-2026-AGO'!M345</f>
        <v>6599</v>
      </c>
      <c r="F881" s="7">
        <f t="shared" si="91"/>
        <v>0</v>
      </c>
      <c r="G881" s="7">
        <f t="shared" si="92"/>
        <v>0</v>
      </c>
      <c r="H881" s="20">
        <f>'[4]MAY 2026'!H28</f>
        <v>0</v>
      </c>
      <c r="I881" s="20">
        <f>'[3]General Sales Sumary'!D342</f>
        <v>0</v>
      </c>
      <c r="J881" s="20">
        <f>'[4]MAY 2026'!J28</f>
        <v>0</v>
      </c>
      <c r="K881" s="20">
        <f>'[3]General Sales Sumary'!F342+'[3]General Sales Sumary'!G342</f>
        <v>0</v>
      </c>
      <c r="L881" s="20">
        <f>'[3]General Sales Sumary'!E342</f>
        <v>0</v>
      </c>
      <c r="M881" s="20"/>
      <c r="N881" s="20"/>
      <c r="O881" s="20"/>
      <c r="P881" s="20"/>
      <c r="Q881" s="19">
        <f t="shared" si="93"/>
        <v>0</v>
      </c>
      <c r="R881" s="20"/>
      <c r="S881" s="20"/>
      <c r="T881" s="20"/>
      <c r="U881" s="20"/>
      <c r="V881" s="20"/>
      <c r="W881" s="20"/>
      <c r="X881" s="20"/>
      <c r="Y881" s="8">
        <f t="shared" si="94"/>
        <v>0</v>
      </c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7">
        <f t="shared" si="95"/>
        <v>0</v>
      </c>
      <c r="AM881" s="36"/>
      <c r="AN881" s="36"/>
      <c r="AO881" s="36"/>
      <c r="AP881" s="7"/>
      <c r="AQ881" s="38">
        <f t="shared" si="96"/>
        <v>0</v>
      </c>
      <c r="AR881" s="36"/>
      <c r="AS881" s="18">
        <f t="shared" si="97"/>
        <v>0</v>
      </c>
    </row>
    <row r="882" spans="1:45" x14ac:dyDescent="0.25">
      <c r="A882" s="40">
        <v>46170</v>
      </c>
      <c r="B882" s="20">
        <f>'[3]Fuel Mvt-2025-2026-PMS ....'!F346</f>
        <v>0</v>
      </c>
      <c r="C882" s="20">
        <f>'[3]Fuel Mvt-2025-2026-AGO'!F346</f>
        <v>0</v>
      </c>
      <c r="D882" s="20">
        <f>'[3]Fuel Mvt-2025-2026-PMS ....'!M346</f>
        <v>6390</v>
      </c>
      <c r="E882" s="20">
        <f>'[3]Fuel Mvt-2025-2026-AGO'!M346</f>
        <v>6599</v>
      </c>
      <c r="F882" s="7">
        <f t="shared" si="91"/>
        <v>0</v>
      </c>
      <c r="G882" s="7">
        <f t="shared" si="92"/>
        <v>0</v>
      </c>
      <c r="H882" s="20">
        <f>'[4]MAY 2026'!H29</f>
        <v>0</v>
      </c>
      <c r="I882" s="20">
        <f>'[3]General Sales Sumary'!D343</f>
        <v>0</v>
      </c>
      <c r="J882" s="20">
        <f>'[4]MAY 2026'!J29</f>
        <v>0</v>
      </c>
      <c r="K882" s="20">
        <f>'[3]General Sales Sumary'!F343+'[3]General Sales Sumary'!G343</f>
        <v>0</v>
      </c>
      <c r="L882" s="20">
        <f>'[3]General Sales Sumary'!E343</f>
        <v>0</v>
      </c>
      <c r="M882" s="20"/>
      <c r="N882" s="20"/>
      <c r="O882" s="20"/>
      <c r="P882" s="20"/>
      <c r="Q882" s="19">
        <f t="shared" si="93"/>
        <v>0</v>
      </c>
      <c r="R882" s="20"/>
      <c r="S882" s="20"/>
      <c r="T882" s="20"/>
      <c r="U882" s="20"/>
      <c r="V882" s="20"/>
      <c r="W882" s="20"/>
      <c r="X882" s="20"/>
      <c r="Y882" s="8">
        <f t="shared" si="94"/>
        <v>0</v>
      </c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7">
        <f t="shared" si="95"/>
        <v>0</v>
      </c>
      <c r="AM882" s="36"/>
      <c r="AN882" s="36"/>
      <c r="AO882" s="36"/>
      <c r="AP882" s="7"/>
      <c r="AQ882" s="38">
        <f t="shared" si="96"/>
        <v>0</v>
      </c>
      <c r="AR882" s="36"/>
      <c r="AS882" s="18">
        <f t="shared" si="97"/>
        <v>0</v>
      </c>
    </row>
    <row r="883" spans="1:45" x14ac:dyDescent="0.25">
      <c r="A883" s="40">
        <v>46171</v>
      </c>
      <c r="B883" s="20">
        <f>'[3]Fuel Mvt-2025-2026-PMS ....'!F347</f>
        <v>0</v>
      </c>
      <c r="C883" s="20">
        <f>'[3]Fuel Mvt-2025-2026-AGO'!F347</f>
        <v>0</v>
      </c>
      <c r="D883" s="20">
        <f>'[3]Fuel Mvt-2025-2026-PMS ....'!M347</f>
        <v>6390</v>
      </c>
      <c r="E883" s="20">
        <f>'[3]Fuel Mvt-2025-2026-AGO'!M347</f>
        <v>6599</v>
      </c>
      <c r="F883" s="7">
        <f t="shared" si="91"/>
        <v>0</v>
      </c>
      <c r="G883" s="7">
        <f t="shared" si="92"/>
        <v>0</v>
      </c>
      <c r="H883" s="20">
        <f>'[4]MAY 2026'!H30</f>
        <v>0</v>
      </c>
      <c r="I883" s="20">
        <f>'[3]General Sales Sumary'!D344</f>
        <v>0</v>
      </c>
      <c r="J883" s="20">
        <f>'[4]MAY 2026'!J30</f>
        <v>0</v>
      </c>
      <c r="K883" s="20">
        <f>'[3]General Sales Sumary'!F344+'[3]General Sales Sumary'!G344</f>
        <v>0</v>
      </c>
      <c r="L883" s="20">
        <f>'[3]General Sales Sumary'!E344</f>
        <v>0</v>
      </c>
      <c r="M883" s="20"/>
      <c r="N883" s="20"/>
      <c r="O883" s="20"/>
      <c r="P883" s="20"/>
      <c r="Q883" s="19">
        <f t="shared" si="93"/>
        <v>0</v>
      </c>
      <c r="R883" s="20"/>
      <c r="S883" s="20"/>
      <c r="T883" s="20"/>
      <c r="U883" s="20"/>
      <c r="V883" s="20"/>
      <c r="W883" s="20"/>
      <c r="X883" s="20"/>
      <c r="Y883" s="8">
        <f t="shared" si="94"/>
        <v>0</v>
      </c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7">
        <f t="shared" si="95"/>
        <v>0</v>
      </c>
      <c r="AM883" s="36"/>
      <c r="AN883" s="36"/>
      <c r="AO883" s="36"/>
      <c r="AP883" s="7"/>
      <c r="AQ883" s="38">
        <f t="shared" si="96"/>
        <v>0</v>
      </c>
      <c r="AR883" s="36"/>
      <c r="AS883" s="18">
        <f t="shared" si="97"/>
        <v>0</v>
      </c>
    </row>
    <row r="884" spans="1:45" x14ac:dyDescent="0.25">
      <c r="A884" s="40">
        <v>46172</v>
      </c>
      <c r="B884" s="20">
        <f>'[3]Fuel Mvt-2025-2026-PMS ....'!F348</f>
        <v>0</v>
      </c>
      <c r="C884" s="20">
        <f>'[3]Fuel Mvt-2025-2026-AGO'!F348</f>
        <v>0</v>
      </c>
      <c r="D884" s="20">
        <f>'[3]Fuel Mvt-2025-2026-PMS ....'!M348</f>
        <v>6390</v>
      </c>
      <c r="E884" s="20">
        <f>'[3]Fuel Mvt-2025-2026-AGO'!M348</f>
        <v>6599</v>
      </c>
      <c r="F884" s="7">
        <f t="shared" si="91"/>
        <v>0</v>
      </c>
      <c r="G884" s="7">
        <f t="shared" si="92"/>
        <v>0</v>
      </c>
      <c r="H884" s="20">
        <f>'[4]MAY 2026'!H31</f>
        <v>0</v>
      </c>
      <c r="I884" s="20">
        <f>'[3]General Sales Sumary'!D345</f>
        <v>0</v>
      </c>
      <c r="J884" s="20">
        <f>'[4]MAY 2026'!J31</f>
        <v>0</v>
      </c>
      <c r="K884" s="20">
        <f>'[3]General Sales Sumary'!F345+'[3]General Sales Sumary'!G345</f>
        <v>0</v>
      </c>
      <c r="L884" s="20">
        <f>'[3]General Sales Sumary'!E345</f>
        <v>0</v>
      </c>
      <c r="M884" s="20"/>
      <c r="N884" s="20"/>
      <c r="O884" s="20"/>
      <c r="P884" s="20"/>
      <c r="Q884" s="19">
        <f t="shared" si="93"/>
        <v>0</v>
      </c>
      <c r="R884" s="20"/>
      <c r="S884" s="20"/>
      <c r="T884" s="20"/>
      <c r="U884" s="20"/>
      <c r="V884" s="20"/>
      <c r="W884" s="20"/>
      <c r="X884" s="20"/>
      <c r="Y884" s="8">
        <f t="shared" si="94"/>
        <v>0</v>
      </c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7">
        <f t="shared" si="95"/>
        <v>0</v>
      </c>
      <c r="AM884" s="36"/>
      <c r="AN884" s="36"/>
      <c r="AO884" s="36"/>
      <c r="AP884" s="7"/>
      <c r="AQ884" s="38">
        <f t="shared" si="96"/>
        <v>0</v>
      </c>
      <c r="AR884" s="36"/>
      <c r="AS884" s="18">
        <f t="shared" si="97"/>
        <v>0</v>
      </c>
    </row>
    <row r="885" spans="1:45" x14ac:dyDescent="0.25">
      <c r="A885" s="40">
        <v>46173</v>
      </c>
      <c r="B885" s="20">
        <f>'[3]Fuel Mvt-2025-2026-PMS ....'!F349</f>
        <v>0</v>
      </c>
      <c r="C885" s="20">
        <f>'[3]Fuel Mvt-2025-2026-AGO'!F349</f>
        <v>0</v>
      </c>
      <c r="D885" s="20">
        <f>'[3]Fuel Mvt-2025-2026-PMS ....'!M349</f>
        <v>6390</v>
      </c>
      <c r="E885" s="20">
        <f>'[3]Fuel Mvt-2025-2026-AGO'!M349</f>
        <v>6599</v>
      </c>
      <c r="F885" s="7">
        <f t="shared" si="91"/>
        <v>0</v>
      </c>
      <c r="G885" s="7">
        <f t="shared" si="92"/>
        <v>0</v>
      </c>
      <c r="H885" s="20">
        <f>'[4]MAY 2026'!H32</f>
        <v>0</v>
      </c>
      <c r="I885" s="20">
        <f>'[3]General Sales Sumary'!D346</f>
        <v>0</v>
      </c>
      <c r="J885" s="20">
        <f>'[4]MAY 2026'!J32</f>
        <v>0</v>
      </c>
      <c r="K885" s="20">
        <f>'[3]General Sales Sumary'!F346+'[3]General Sales Sumary'!G346</f>
        <v>0</v>
      </c>
      <c r="L885" s="20">
        <f>'[3]General Sales Sumary'!E346</f>
        <v>0</v>
      </c>
      <c r="M885" s="20"/>
      <c r="N885" s="20"/>
      <c r="O885" s="20"/>
      <c r="P885" s="20"/>
      <c r="Q885" s="19">
        <f t="shared" si="93"/>
        <v>0</v>
      </c>
      <c r="R885" s="20"/>
      <c r="S885" s="20"/>
      <c r="T885" s="20"/>
      <c r="U885" s="20"/>
      <c r="V885" s="20"/>
      <c r="W885" s="20"/>
      <c r="X885" s="20"/>
      <c r="Y885" s="8">
        <f t="shared" si="94"/>
        <v>0</v>
      </c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7">
        <f t="shared" si="95"/>
        <v>0</v>
      </c>
      <c r="AM885" s="36"/>
      <c r="AN885" s="36"/>
      <c r="AO885" s="36"/>
      <c r="AP885" s="7"/>
      <c r="AQ885" s="38">
        <f t="shared" si="96"/>
        <v>0</v>
      </c>
      <c r="AR885" s="36"/>
      <c r="AS885" s="18">
        <f t="shared" si="97"/>
        <v>0</v>
      </c>
    </row>
    <row r="886" spans="1:45" x14ac:dyDescent="0.25">
      <c r="A886" s="40">
        <v>46174</v>
      </c>
      <c r="B886" s="20">
        <f>'[3]Fuel Mvt-2025-2026-PMS ....'!F350</f>
        <v>0</v>
      </c>
      <c r="C886" s="20">
        <f>'[3]Fuel Mvt-2025-2026-AGO'!F350</f>
        <v>0</v>
      </c>
      <c r="D886" s="20">
        <f>'[3]Fuel Mvt-2025-2026-PMS ....'!M350</f>
        <v>6390</v>
      </c>
      <c r="E886" s="20">
        <f>'[3]Fuel Mvt-2025-2026-AGO'!M350</f>
        <v>6599</v>
      </c>
      <c r="F886" s="7">
        <f t="shared" si="91"/>
        <v>0</v>
      </c>
      <c r="G886" s="7">
        <f t="shared" si="92"/>
        <v>0</v>
      </c>
      <c r="H886" s="20">
        <f>'[4]MAY 2026'!H33</f>
        <v>0</v>
      </c>
      <c r="I886" s="20">
        <f>'[3]General Sales Sumary'!D347</f>
        <v>0</v>
      </c>
      <c r="J886" s="20">
        <f>'[4]MAY 2026'!J33</f>
        <v>0</v>
      </c>
      <c r="K886" s="20">
        <f>'[3]General Sales Sumary'!F347+'[3]General Sales Sumary'!G347</f>
        <v>0</v>
      </c>
      <c r="L886" s="20">
        <f>'[3]General Sales Sumary'!E347</f>
        <v>0</v>
      </c>
      <c r="M886" s="20"/>
      <c r="N886" s="20"/>
      <c r="O886" s="20"/>
      <c r="P886" s="20"/>
      <c r="Q886" s="19">
        <f t="shared" si="93"/>
        <v>0</v>
      </c>
      <c r="R886" s="20"/>
      <c r="S886" s="20"/>
      <c r="T886" s="20"/>
      <c r="U886" s="20"/>
      <c r="V886" s="20"/>
      <c r="W886" s="20"/>
      <c r="X886" s="20"/>
      <c r="Y886" s="8">
        <f t="shared" si="94"/>
        <v>0</v>
      </c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7">
        <f t="shared" si="95"/>
        <v>0</v>
      </c>
      <c r="AM886" s="36"/>
      <c r="AN886" s="36"/>
      <c r="AO886" s="36"/>
      <c r="AP886" s="7"/>
      <c r="AQ886" s="38">
        <f t="shared" si="96"/>
        <v>0</v>
      </c>
      <c r="AR886" s="36"/>
      <c r="AS886" s="18">
        <f t="shared" si="97"/>
        <v>0</v>
      </c>
    </row>
    <row r="887" spans="1:45" x14ac:dyDescent="0.25">
      <c r="A887" s="40">
        <v>46175</v>
      </c>
      <c r="B887" s="20"/>
      <c r="C887" s="20"/>
      <c r="D887" s="20"/>
      <c r="E887" s="20"/>
      <c r="F887" s="7">
        <f t="shared" si="91"/>
        <v>0</v>
      </c>
      <c r="G887" s="7">
        <f t="shared" si="92"/>
        <v>0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19">
        <f t="shared" si="93"/>
        <v>0</v>
      </c>
      <c r="R887" s="20"/>
      <c r="S887" s="20"/>
      <c r="T887" s="20"/>
      <c r="U887" s="20"/>
      <c r="V887" s="20"/>
      <c r="W887" s="20"/>
      <c r="X887" s="20"/>
      <c r="Y887" s="8">
        <f t="shared" si="94"/>
        <v>0</v>
      </c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7">
        <f t="shared" si="95"/>
        <v>0</v>
      </c>
      <c r="AM887" s="36"/>
      <c r="AN887" s="36"/>
      <c r="AO887" s="36"/>
      <c r="AP887" s="7"/>
      <c r="AQ887" s="38">
        <f t="shared" si="96"/>
        <v>0</v>
      </c>
      <c r="AR887" s="36"/>
      <c r="AS887" s="18">
        <f t="shared" si="97"/>
        <v>0</v>
      </c>
    </row>
    <row r="888" spans="1:45" x14ac:dyDescent="0.25">
      <c r="A888" s="40">
        <v>46176</v>
      </c>
      <c r="B888" s="20"/>
      <c r="C888" s="20"/>
      <c r="D888" s="20"/>
      <c r="E888" s="20"/>
      <c r="F888" s="7">
        <f t="shared" si="91"/>
        <v>0</v>
      </c>
      <c r="G888" s="7">
        <f t="shared" si="92"/>
        <v>0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19">
        <f t="shared" si="93"/>
        <v>0</v>
      </c>
      <c r="R888" s="20"/>
      <c r="S888" s="20"/>
      <c r="T888" s="20"/>
      <c r="U888" s="20"/>
      <c r="V888" s="20"/>
      <c r="W888" s="20"/>
      <c r="X888" s="20"/>
      <c r="Y888" s="8">
        <f t="shared" si="94"/>
        <v>0</v>
      </c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7">
        <f t="shared" si="95"/>
        <v>0</v>
      </c>
      <c r="AM888" s="36"/>
      <c r="AN888" s="36"/>
      <c r="AO888" s="36"/>
      <c r="AP888" s="7"/>
      <c r="AQ888" s="38">
        <f t="shared" si="96"/>
        <v>0</v>
      </c>
      <c r="AR888" s="36"/>
      <c r="AS888" s="18">
        <f t="shared" si="97"/>
        <v>0</v>
      </c>
    </row>
    <row r="889" spans="1:45" x14ac:dyDescent="0.25">
      <c r="A889" s="40">
        <v>46177</v>
      </c>
      <c r="B889" s="20"/>
      <c r="C889" s="20"/>
      <c r="D889" s="20"/>
      <c r="E889" s="20"/>
      <c r="F889" s="7">
        <f t="shared" si="91"/>
        <v>0</v>
      </c>
      <c r="G889" s="7">
        <f t="shared" si="92"/>
        <v>0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19">
        <f t="shared" si="93"/>
        <v>0</v>
      </c>
      <c r="R889" s="20"/>
      <c r="S889" s="20"/>
      <c r="T889" s="20"/>
      <c r="U889" s="20"/>
      <c r="V889" s="20"/>
      <c r="W889" s="20"/>
      <c r="X889" s="20"/>
      <c r="Y889" s="8">
        <f t="shared" si="94"/>
        <v>0</v>
      </c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7">
        <f t="shared" si="95"/>
        <v>0</v>
      </c>
      <c r="AM889" s="36"/>
      <c r="AN889" s="36"/>
      <c r="AO889" s="36"/>
      <c r="AP889" s="7"/>
      <c r="AQ889" s="38">
        <f t="shared" si="96"/>
        <v>0</v>
      </c>
      <c r="AR889" s="36"/>
      <c r="AS889" s="18">
        <f t="shared" si="97"/>
        <v>0</v>
      </c>
    </row>
    <row r="890" spans="1:45" x14ac:dyDescent="0.25">
      <c r="A890" s="40">
        <v>46178</v>
      </c>
      <c r="B890" s="20"/>
      <c r="C890" s="20"/>
      <c r="D890" s="20"/>
      <c r="E890" s="20"/>
      <c r="F890" s="7">
        <f t="shared" si="91"/>
        <v>0</v>
      </c>
      <c r="G890" s="7">
        <f t="shared" si="92"/>
        <v>0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19">
        <f t="shared" si="93"/>
        <v>0</v>
      </c>
      <c r="R890" s="20"/>
      <c r="S890" s="20"/>
      <c r="T890" s="20"/>
      <c r="U890" s="20"/>
      <c r="V890" s="20"/>
      <c r="W890" s="20"/>
      <c r="X890" s="20"/>
      <c r="Y890" s="8">
        <f t="shared" si="94"/>
        <v>0</v>
      </c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7">
        <f t="shared" si="95"/>
        <v>0</v>
      </c>
      <c r="AM890" s="36"/>
      <c r="AN890" s="36"/>
      <c r="AO890" s="36"/>
      <c r="AP890" s="7"/>
      <c r="AQ890" s="38">
        <f t="shared" si="96"/>
        <v>0</v>
      </c>
      <c r="AR890" s="36"/>
      <c r="AS890" s="18">
        <f t="shared" si="97"/>
        <v>0</v>
      </c>
    </row>
    <row r="891" spans="1:45" x14ac:dyDescent="0.25">
      <c r="A891" s="40">
        <v>46179</v>
      </c>
      <c r="B891" s="20"/>
      <c r="C891" s="20"/>
      <c r="D891" s="20"/>
      <c r="E891" s="20"/>
      <c r="F891" s="7">
        <f t="shared" si="91"/>
        <v>0</v>
      </c>
      <c r="G891" s="7">
        <f t="shared" si="92"/>
        <v>0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19">
        <f t="shared" si="93"/>
        <v>0</v>
      </c>
      <c r="R891" s="20"/>
      <c r="S891" s="20"/>
      <c r="T891" s="20"/>
      <c r="U891" s="20"/>
      <c r="V891" s="20"/>
      <c r="W891" s="20"/>
      <c r="X891" s="20"/>
      <c r="Y891" s="8">
        <f t="shared" si="94"/>
        <v>0</v>
      </c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7">
        <f t="shared" si="95"/>
        <v>0</v>
      </c>
      <c r="AM891" s="36"/>
      <c r="AN891" s="36"/>
      <c r="AO891" s="36"/>
      <c r="AP891" s="7"/>
      <c r="AQ891" s="38">
        <f t="shared" si="96"/>
        <v>0</v>
      </c>
      <c r="AR891" s="36"/>
      <c r="AS891" s="18">
        <f t="shared" si="97"/>
        <v>0</v>
      </c>
    </row>
    <row r="892" spans="1:45" x14ac:dyDescent="0.25">
      <c r="A892" s="40">
        <v>46180</v>
      </c>
      <c r="B892" s="20"/>
      <c r="C892" s="20"/>
      <c r="D892" s="20"/>
      <c r="E892" s="20"/>
      <c r="F892" s="7">
        <f t="shared" si="91"/>
        <v>0</v>
      </c>
      <c r="G892" s="7">
        <f t="shared" si="92"/>
        <v>0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19">
        <f t="shared" si="93"/>
        <v>0</v>
      </c>
      <c r="R892" s="20"/>
      <c r="S892" s="20"/>
      <c r="T892" s="20"/>
      <c r="U892" s="20"/>
      <c r="V892" s="20"/>
      <c r="W892" s="20"/>
      <c r="X892" s="20"/>
      <c r="Y892" s="8">
        <f t="shared" si="94"/>
        <v>0</v>
      </c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7">
        <f t="shared" si="95"/>
        <v>0</v>
      </c>
      <c r="AM892" s="36"/>
      <c r="AN892" s="36"/>
      <c r="AO892" s="36"/>
      <c r="AP892" s="7"/>
      <c r="AQ892" s="38">
        <f t="shared" si="96"/>
        <v>0</v>
      </c>
      <c r="AR892" s="36"/>
      <c r="AS892" s="18">
        <f t="shared" si="97"/>
        <v>0</v>
      </c>
    </row>
    <row r="893" spans="1:45" x14ac:dyDescent="0.25">
      <c r="A893" s="40">
        <v>46181</v>
      </c>
      <c r="B893" s="20"/>
      <c r="C893" s="20"/>
      <c r="D893" s="20"/>
      <c r="E893" s="20"/>
      <c r="F893" s="7">
        <f t="shared" si="91"/>
        <v>0</v>
      </c>
      <c r="G893" s="7">
        <f t="shared" si="92"/>
        <v>0</v>
      </c>
      <c r="H893" s="20"/>
      <c r="I893" s="20"/>
      <c r="J893" s="20"/>
      <c r="K893" s="20"/>
      <c r="L893" s="20"/>
      <c r="M893" s="20"/>
      <c r="N893" s="20"/>
      <c r="O893" s="20"/>
      <c r="P893" s="20"/>
      <c r="Q893" s="19">
        <f t="shared" si="93"/>
        <v>0</v>
      </c>
      <c r="R893" s="20"/>
      <c r="S893" s="20"/>
      <c r="T893" s="20"/>
      <c r="U893" s="20"/>
      <c r="V893" s="20"/>
      <c r="W893" s="20"/>
      <c r="X893" s="20"/>
      <c r="Y893" s="8">
        <f t="shared" si="94"/>
        <v>0</v>
      </c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7">
        <f t="shared" si="95"/>
        <v>0</v>
      </c>
      <c r="AM893" s="36"/>
      <c r="AN893" s="36"/>
      <c r="AO893" s="36"/>
      <c r="AP893" s="7"/>
      <c r="AQ893" s="38">
        <f t="shared" si="96"/>
        <v>0</v>
      </c>
      <c r="AR893" s="36"/>
      <c r="AS893" s="18">
        <f t="shared" si="97"/>
        <v>0</v>
      </c>
    </row>
    <row r="894" spans="1:45" x14ac:dyDescent="0.25">
      <c r="A894" s="40">
        <v>46182</v>
      </c>
      <c r="B894" s="20"/>
      <c r="C894" s="20"/>
      <c r="D894" s="20"/>
      <c r="E894" s="20"/>
      <c r="F894" s="7">
        <f t="shared" si="91"/>
        <v>0</v>
      </c>
      <c r="G894" s="7">
        <f t="shared" si="92"/>
        <v>0</v>
      </c>
      <c r="H894" s="20"/>
      <c r="I894" s="20"/>
      <c r="J894" s="20"/>
      <c r="K894" s="20"/>
      <c r="L894" s="20"/>
      <c r="M894" s="20"/>
      <c r="N894" s="20"/>
      <c r="O894" s="20"/>
      <c r="P894" s="20"/>
      <c r="Q894" s="19">
        <f t="shared" si="93"/>
        <v>0</v>
      </c>
      <c r="R894" s="20"/>
      <c r="S894" s="20"/>
      <c r="T894" s="20"/>
      <c r="U894" s="20"/>
      <c r="V894" s="20"/>
      <c r="W894" s="20"/>
      <c r="X894" s="20"/>
      <c r="Y894" s="8">
        <f t="shared" si="94"/>
        <v>0</v>
      </c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7">
        <f t="shared" si="95"/>
        <v>0</v>
      </c>
      <c r="AM894" s="36"/>
      <c r="AN894" s="36"/>
      <c r="AO894" s="36"/>
      <c r="AP894" s="7"/>
      <c r="AQ894" s="38">
        <f t="shared" si="96"/>
        <v>0</v>
      </c>
      <c r="AR894" s="36"/>
      <c r="AS894" s="18">
        <f t="shared" si="97"/>
        <v>0</v>
      </c>
    </row>
    <row r="895" spans="1:45" x14ac:dyDescent="0.25">
      <c r="A895" s="40">
        <v>46183</v>
      </c>
      <c r="B895" s="20"/>
      <c r="C895" s="20"/>
      <c r="D895" s="20"/>
      <c r="E895" s="20"/>
      <c r="F895" s="7">
        <f t="shared" si="91"/>
        <v>0</v>
      </c>
      <c r="G895" s="7">
        <f t="shared" si="92"/>
        <v>0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19">
        <f t="shared" si="93"/>
        <v>0</v>
      </c>
      <c r="R895" s="20"/>
      <c r="S895" s="20"/>
      <c r="T895" s="20"/>
      <c r="U895" s="20"/>
      <c r="V895" s="20"/>
      <c r="W895" s="20"/>
      <c r="X895" s="20"/>
      <c r="Y895" s="8">
        <f t="shared" si="94"/>
        <v>0</v>
      </c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7">
        <f t="shared" si="95"/>
        <v>0</v>
      </c>
      <c r="AM895" s="36"/>
      <c r="AN895" s="36"/>
      <c r="AO895" s="36"/>
      <c r="AP895" s="7"/>
      <c r="AQ895" s="38">
        <f t="shared" si="96"/>
        <v>0</v>
      </c>
      <c r="AR895" s="36"/>
      <c r="AS895" s="18">
        <f t="shared" si="97"/>
        <v>0</v>
      </c>
    </row>
    <row r="896" spans="1:45" x14ac:dyDescent="0.25">
      <c r="A896" s="40">
        <v>46184</v>
      </c>
      <c r="B896" s="20"/>
      <c r="C896" s="20"/>
      <c r="D896" s="20"/>
      <c r="E896" s="20"/>
      <c r="F896" s="7">
        <f t="shared" si="91"/>
        <v>0</v>
      </c>
      <c r="G896" s="7">
        <f t="shared" si="92"/>
        <v>0</v>
      </c>
      <c r="H896" s="20"/>
      <c r="I896" s="20"/>
      <c r="J896" s="20"/>
      <c r="K896" s="20"/>
      <c r="L896" s="20"/>
      <c r="M896" s="20"/>
      <c r="N896" s="20"/>
      <c r="O896" s="20"/>
      <c r="P896" s="20"/>
      <c r="Q896" s="19">
        <f t="shared" si="93"/>
        <v>0</v>
      </c>
      <c r="R896" s="20"/>
      <c r="S896" s="20"/>
      <c r="T896" s="20"/>
      <c r="U896" s="20"/>
      <c r="V896" s="20"/>
      <c r="W896" s="20"/>
      <c r="X896" s="20"/>
      <c r="Y896" s="8">
        <f t="shared" si="94"/>
        <v>0</v>
      </c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7">
        <f t="shared" si="95"/>
        <v>0</v>
      </c>
      <c r="AM896" s="36"/>
      <c r="AN896" s="36"/>
      <c r="AO896" s="36"/>
      <c r="AP896" s="7"/>
      <c r="AQ896" s="38">
        <f t="shared" si="96"/>
        <v>0</v>
      </c>
      <c r="AR896" s="36"/>
      <c r="AS896" s="18">
        <f t="shared" si="97"/>
        <v>0</v>
      </c>
    </row>
    <row r="897" spans="1:45" x14ac:dyDescent="0.25">
      <c r="A897" s="40">
        <v>46185</v>
      </c>
      <c r="B897" s="20"/>
      <c r="C897" s="20"/>
      <c r="D897" s="20"/>
      <c r="E897" s="20"/>
      <c r="F897" s="7">
        <f t="shared" si="91"/>
        <v>0</v>
      </c>
      <c r="G897" s="7">
        <f t="shared" si="92"/>
        <v>0</v>
      </c>
      <c r="H897" s="20"/>
      <c r="I897" s="20"/>
      <c r="J897" s="20"/>
      <c r="K897" s="20"/>
      <c r="L897" s="20"/>
      <c r="M897" s="20"/>
      <c r="N897" s="20"/>
      <c r="O897" s="20"/>
      <c r="P897" s="20"/>
      <c r="Q897" s="19">
        <f t="shared" si="93"/>
        <v>0</v>
      </c>
      <c r="R897" s="20"/>
      <c r="S897" s="20"/>
      <c r="T897" s="20"/>
      <c r="U897" s="20"/>
      <c r="V897" s="20"/>
      <c r="W897" s="20"/>
      <c r="X897" s="20"/>
      <c r="Y897" s="8">
        <f t="shared" si="94"/>
        <v>0</v>
      </c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7">
        <f t="shared" si="95"/>
        <v>0</v>
      </c>
      <c r="AM897" s="36"/>
      <c r="AN897" s="36"/>
      <c r="AO897" s="36"/>
      <c r="AP897" s="7"/>
      <c r="AQ897" s="38">
        <f t="shared" si="96"/>
        <v>0</v>
      </c>
      <c r="AR897" s="36"/>
      <c r="AS897" s="18">
        <f t="shared" si="97"/>
        <v>0</v>
      </c>
    </row>
    <row r="898" spans="1:45" x14ac:dyDescent="0.25">
      <c r="A898" s="40">
        <v>46186</v>
      </c>
      <c r="B898" s="20"/>
      <c r="C898" s="20"/>
      <c r="D898" s="20"/>
      <c r="E898" s="20"/>
      <c r="F898" s="7">
        <f t="shared" si="91"/>
        <v>0</v>
      </c>
      <c r="G898" s="7">
        <f t="shared" si="92"/>
        <v>0</v>
      </c>
      <c r="H898" s="20"/>
      <c r="I898" s="20"/>
      <c r="J898" s="20"/>
      <c r="K898" s="20"/>
      <c r="L898" s="20"/>
      <c r="M898" s="20"/>
      <c r="N898" s="20"/>
      <c r="O898" s="20"/>
      <c r="P898" s="20"/>
      <c r="Q898" s="19">
        <f t="shared" si="93"/>
        <v>0</v>
      </c>
      <c r="R898" s="20"/>
      <c r="S898" s="20"/>
      <c r="T898" s="20"/>
      <c r="U898" s="20"/>
      <c r="V898" s="20"/>
      <c r="W898" s="20"/>
      <c r="X898" s="20"/>
      <c r="Y898" s="8">
        <f t="shared" si="94"/>
        <v>0</v>
      </c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7">
        <f t="shared" si="95"/>
        <v>0</v>
      </c>
      <c r="AM898" s="36"/>
      <c r="AN898" s="36"/>
      <c r="AO898" s="36"/>
      <c r="AP898" s="7"/>
      <c r="AQ898" s="38">
        <f t="shared" si="96"/>
        <v>0</v>
      </c>
      <c r="AR898" s="36"/>
      <c r="AS898" s="18">
        <f t="shared" si="97"/>
        <v>0</v>
      </c>
    </row>
    <row r="899" spans="1:45" x14ac:dyDescent="0.25">
      <c r="A899" s="40">
        <v>46187</v>
      </c>
      <c r="B899" s="20"/>
      <c r="C899" s="20"/>
      <c r="D899" s="20"/>
      <c r="E899" s="20"/>
      <c r="F899" s="7">
        <f t="shared" si="91"/>
        <v>0</v>
      </c>
      <c r="G899" s="7">
        <f t="shared" si="92"/>
        <v>0</v>
      </c>
      <c r="H899" s="20"/>
      <c r="I899" s="20"/>
      <c r="J899" s="20"/>
      <c r="K899" s="20"/>
      <c r="L899" s="20"/>
      <c r="M899" s="20"/>
      <c r="N899" s="20"/>
      <c r="O899" s="20"/>
      <c r="P899" s="20"/>
      <c r="Q899" s="19">
        <f t="shared" si="93"/>
        <v>0</v>
      </c>
      <c r="R899" s="20"/>
      <c r="S899" s="20"/>
      <c r="T899" s="20"/>
      <c r="U899" s="20"/>
      <c r="V899" s="20"/>
      <c r="W899" s="20"/>
      <c r="X899" s="20"/>
      <c r="Y899" s="8">
        <f t="shared" si="94"/>
        <v>0</v>
      </c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7">
        <f t="shared" si="95"/>
        <v>0</v>
      </c>
      <c r="AM899" s="36"/>
      <c r="AN899" s="36"/>
      <c r="AO899" s="36"/>
      <c r="AP899" s="7"/>
      <c r="AQ899" s="38">
        <f t="shared" si="96"/>
        <v>0</v>
      </c>
      <c r="AR899" s="36"/>
      <c r="AS899" s="18">
        <f t="shared" si="97"/>
        <v>0</v>
      </c>
    </row>
    <row r="900" spans="1:45" x14ac:dyDescent="0.25">
      <c r="A900" s="40">
        <v>46188</v>
      </c>
      <c r="B900" s="20"/>
      <c r="C900" s="20"/>
      <c r="D900" s="20"/>
      <c r="E900" s="20"/>
      <c r="F900" s="7">
        <f t="shared" ref="F900:F963" si="98">B900*D900</f>
        <v>0</v>
      </c>
      <c r="G900" s="7">
        <f t="shared" ref="G900:G963" si="99">C900*E900</f>
        <v>0</v>
      </c>
      <c r="H900" s="20"/>
      <c r="I900" s="20"/>
      <c r="J900" s="20"/>
      <c r="K900" s="20"/>
      <c r="L900" s="20"/>
      <c r="M900" s="20"/>
      <c r="N900" s="20"/>
      <c r="O900" s="20"/>
      <c r="P900" s="20"/>
      <c r="Q900" s="19">
        <f t="shared" ref="Q900:Q963" si="100">SUM(F900:G900)+I900+K900+SUM(L900:P900)</f>
        <v>0</v>
      </c>
      <c r="R900" s="20"/>
      <c r="S900" s="20"/>
      <c r="T900" s="20"/>
      <c r="U900" s="20"/>
      <c r="V900" s="20"/>
      <c r="W900" s="20"/>
      <c r="X900" s="20"/>
      <c r="Y900" s="8">
        <f t="shared" ref="Y900:Y963" si="101">Q900-SUM(R900:X900)</f>
        <v>0</v>
      </c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7">
        <f t="shared" ref="AL900:AL963" si="102">SUM(Z900:AK900)</f>
        <v>0</v>
      </c>
      <c r="AM900" s="36"/>
      <c r="AN900" s="36"/>
      <c r="AO900" s="36"/>
      <c r="AP900" s="7"/>
      <c r="AQ900" s="38">
        <f t="shared" ref="AQ900:AQ963" si="103">Q900-SUM(R900:X900)-AL900-SUM(AM900:AO900)</f>
        <v>0</v>
      </c>
      <c r="AR900" s="36"/>
      <c r="AS900" s="18">
        <f t="shared" ref="AS900:AS963" si="104">AR900-AQ900</f>
        <v>0</v>
      </c>
    </row>
    <row r="901" spans="1:45" x14ac:dyDescent="0.25">
      <c r="A901" s="40">
        <v>46189</v>
      </c>
      <c r="B901" s="20"/>
      <c r="C901" s="20"/>
      <c r="D901" s="20"/>
      <c r="E901" s="20"/>
      <c r="F901" s="7">
        <f t="shared" si="98"/>
        <v>0</v>
      </c>
      <c r="G901" s="7">
        <f t="shared" si="99"/>
        <v>0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19">
        <f t="shared" si="100"/>
        <v>0</v>
      </c>
      <c r="R901" s="20"/>
      <c r="S901" s="20"/>
      <c r="T901" s="20"/>
      <c r="U901" s="20"/>
      <c r="V901" s="20"/>
      <c r="W901" s="20"/>
      <c r="X901" s="20"/>
      <c r="Y901" s="8">
        <f t="shared" si="101"/>
        <v>0</v>
      </c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>
        <f t="shared" si="102"/>
        <v>0</v>
      </c>
      <c r="AM901" s="36"/>
      <c r="AN901" s="36"/>
      <c r="AO901" s="36"/>
      <c r="AP901" s="7"/>
      <c r="AQ901" s="38">
        <f t="shared" si="103"/>
        <v>0</v>
      </c>
      <c r="AR901" s="36"/>
      <c r="AS901" s="18">
        <f t="shared" si="104"/>
        <v>0</v>
      </c>
    </row>
    <row r="902" spans="1:45" x14ac:dyDescent="0.25">
      <c r="A902" s="40">
        <v>46190</v>
      </c>
      <c r="B902" s="20"/>
      <c r="C902" s="20"/>
      <c r="D902" s="20"/>
      <c r="E902" s="20"/>
      <c r="F902" s="7">
        <f t="shared" si="98"/>
        <v>0</v>
      </c>
      <c r="G902" s="7">
        <f t="shared" si="99"/>
        <v>0</v>
      </c>
      <c r="H902" s="20"/>
      <c r="I902" s="20"/>
      <c r="J902" s="20"/>
      <c r="K902" s="20"/>
      <c r="L902" s="20"/>
      <c r="M902" s="20"/>
      <c r="N902" s="20"/>
      <c r="O902" s="20"/>
      <c r="P902" s="20"/>
      <c r="Q902" s="19">
        <f t="shared" si="100"/>
        <v>0</v>
      </c>
      <c r="R902" s="20"/>
      <c r="S902" s="20"/>
      <c r="T902" s="20"/>
      <c r="U902" s="20"/>
      <c r="V902" s="20"/>
      <c r="W902" s="20"/>
      <c r="X902" s="20"/>
      <c r="Y902" s="8">
        <f t="shared" si="101"/>
        <v>0</v>
      </c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7">
        <f t="shared" si="102"/>
        <v>0</v>
      </c>
      <c r="AM902" s="36"/>
      <c r="AN902" s="36"/>
      <c r="AO902" s="36"/>
      <c r="AP902" s="7"/>
      <c r="AQ902" s="38">
        <f t="shared" si="103"/>
        <v>0</v>
      </c>
      <c r="AR902" s="36"/>
      <c r="AS902" s="18">
        <f t="shared" si="104"/>
        <v>0</v>
      </c>
    </row>
    <row r="903" spans="1:45" x14ac:dyDescent="0.25">
      <c r="A903" s="40">
        <v>46191</v>
      </c>
      <c r="B903" s="20"/>
      <c r="C903" s="20"/>
      <c r="D903" s="20"/>
      <c r="E903" s="20"/>
      <c r="F903" s="7">
        <f t="shared" si="98"/>
        <v>0</v>
      </c>
      <c r="G903" s="7">
        <f t="shared" si="99"/>
        <v>0</v>
      </c>
      <c r="H903" s="20"/>
      <c r="I903" s="20"/>
      <c r="J903" s="20"/>
      <c r="K903" s="20"/>
      <c r="L903" s="20"/>
      <c r="M903" s="20"/>
      <c r="N903" s="20"/>
      <c r="O903" s="20"/>
      <c r="P903" s="20"/>
      <c r="Q903" s="19">
        <f t="shared" si="100"/>
        <v>0</v>
      </c>
      <c r="R903" s="20"/>
      <c r="S903" s="20"/>
      <c r="T903" s="20"/>
      <c r="U903" s="20"/>
      <c r="V903" s="20"/>
      <c r="W903" s="20"/>
      <c r="X903" s="20"/>
      <c r="Y903" s="8">
        <f t="shared" si="101"/>
        <v>0</v>
      </c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7">
        <f t="shared" si="102"/>
        <v>0</v>
      </c>
      <c r="AM903" s="36"/>
      <c r="AN903" s="36"/>
      <c r="AO903" s="36"/>
      <c r="AP903" s="7"/>
      <c r="AQ903" s="38">
        <f t="shared" si="103"/>
        <v>0</v>
      </c>
      <c r="AR903" s="36"/>
      <c r="AS903" s="18">
        <f t="shared" si="104"/>
        <v>0</v>
      </c>
    </row>
    <row r="904" spans="1:45" x14ac:dyDescent="0.25">
      <c r="A904" s="40">
        <v>46192</v>
      </c>
      <c r="B904" s="20"/>
      <c r="C904" s="20"/>
      <c r="D904" s="20"/>
      <c r="E904" s="20"/>
      <c r="F904" s="7">
        <f t="shared" si="98"/>
        <v>0</v>
      </c>
      <c r="G904" s="7">
        <f t="shared" si="99"/>
        <v>0</v>
      </c>
      <c r="H904" s="20"/>
      <c r="I904" s="20"/>
      <c r="J904" s="20"/>
      <c r="K904" s="20"/>
      <c r="L904" s="20"/>
      <c r="M904" s="20"/>
      <c r="N904" s="20"/>
      <c r="O904" s="20"/>
      <c r="P904" s="20"/>
      <c r="Q904" s="19">
        <f t="shared" si="100"/>
        <v>0</v>
      </c>
      <c r="R904" s="20"/>
      <c r="S904" s="20"/>
      <c r="T904" s="20"/>
      <c r="U904" s="20"/>
      <c r="V904" s="20"/>
      <c r="W904" s="20"/>
      <c r="X904" s="20"/>
      <c r="Y904" s="8">
        <f t="shared" si="101"/>
        <v>0</v>
      </c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7">
        <f t="shared" si="102"/>
        <v>0</v>
      </c>
      <c r="AM904" s="36"/>
      <c r="AN904" s="36"/>
      <c r="AO904" s="36"/>
      <c r="AP904" s="7"/>
      <c r="AQ904" s="38">
        <f t="shared" si="103"/>
        <v>0</v>
      </c>
      <c r="AR904" s="36"/>
      <c r="AS904" s="18">
        <f t="shared" si="104"/>
        <v>0</v>
      </c>
    </row>
    <row r="905" spans="1:45" x14ac:dyDescent="0.25">
      <c r="A905" s="40">
        <v>46193</v>
      </c>
      <c r="B905" s="20"/>
      <c r="C905" s="20"/>
      <c r="D905" s="20"/>
      <c r="E905" s="20"/>
      <c r="F905" s="7">
        <f t="shared" si="98"/>
        <v>0</v>
      </c>
      <c r="G905" s="7">
        <f t="shared" si="99"/>
        <v>0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19">
        <f t="shared" si="100"/>
        <v>0</v>
      </c>
      <c r="R905" s="20"/>
      <c r="S905" s="20"/>
      <c r="T905" s="20"/>
      <c r="U905" s="20"/>
      <c r="V905" s="20"/>
      <c r="W905" s="20"/>
      <c r="X905" s="20"/>
      <c r="Y905" s="8">
        <f t="shared" si="101"/>
        <v>0</v>
      </c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7">
        <f t="shared" si="102"/>
        <v>0</v>
      </c>
      <c r="AM905" s="36"/>
      <c r="AN905" s="36"/>
      <c r="AO905" s="36"/>
      <c r="AP905" s="7"/>
      <c r="AQ905" s="38">
        <f t="shared" si="103"/>
        <v>0</v>
      </c>
      <c r="AR905" s="36"/>
      <c r="AS905" s="18">
        <f t="shared" si="104"/>
        <v>0</v>
      </c>
    </row>
    <row r="906" spans="1:45" x14ac:dyDescent="0.25">
      <c r="A906" s="40">
        <v>46194</v>
      </c>
      <c r="B906" s="20"/>
      <c r="C906" s="20"/>
      <c r="D906" s="20"/>
      <c r="E906" s="20"/>
      <c r="F906" s="7">
        <f t="shared" si="98"/>
        <v>0</v>
      </c>
      <c r="G906" s="7">
        <f t="shared" si="99"/>
        <v>0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19">
        <f t="shared" si="100"/>
        <v>0</v>
      </c>
      <c r="R906" s="20"/>
      <c r="S906" s="20"/>
      <c r="T906" s="20"/>
      <c r="U906" s="20"/>
      <c r="V906" s="20"/>
      <c r="W906" s="20"/>
      <c r="X906" s="20"/>
      <c r="Y906" s="8">
        <f t="shared" si="101"/>
        <v>0</v>
      </c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7">
        <f t="shared" si="102"/>
        <v>0</v>
      </c>
      <c r="AM906" s="36"/>
      <c r="AN906" s="36"/>
      <c r="AO906" s="36"/>
      <c r="AP906" s="7"/>
      <c r="AQ906" s="38">
        <f t="shared" si="103"/>
        <v>0</v>
      </c>
      <c r="AR906" s="36"/>
      <c r="AS906" s="18">
        <f t="shared" si="104"/>
        <v>0</v>
      </c>
    </row>
    <row r="907" spans="1:45" x14ac:dyDescent="0.25">
      <c r="A907" s="40">
        <v>46195</v>
      </c>
      <c r="B907" s="20"/>
      <c r="C907" s="20"/>
      <c r="D907" s="20"/>
      <c r="E907" s="20"/>
      <c r="F907" s="7">
        <f t="shared" si="98"/>
        <v>0</v>
      </c>
      <c r="G907" s="7">
        <f t="shared" si="99"/>
        <v>0</v>
      </c>
      <c r="H907" s="20"/>
      <c r="I907" s="20"/>
      <c r="J907" s="20"/>
      <c r="K907" s="20"/>
      <c r="L907" s="20"/>
      <c r="M907" s="20"/>
      <c r="N907" s="20"/>
      <c r="O907" s="20"/>
      <c r="P907" s="20"/>
      <c r="Q907" s="19">
        <f t="shared" si="100"/>
        <v>0</v>
      </c>
      <c r="R907" s="20"/>
      <c r="S907" s="20"/>
      <c r="T907" s="20"/>
      <c r="U907" s="20"/>
      <c r="V907" s="20"/>
      <c r="W907" s="20"/>
      <c r="X907" s="20"/>
      <c r="Y907" s="8">
        <f t="shared" si="101"/>
        <v>0</v>
      </c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7">
        <f t="shared" si="102"/>
        <v>0</v>
      </c>
      <c r="AM907" s="36"/>
      <c r="AN907" s="36"/>
      <c r="AO907" s="36"/>
      <c r="AP907" s="7"/>
      <c r="AQ907" s="38">
        <f t="shared" si="103"/>
        <v>0</v>
      </c>
      <c r="AR907" s="36"/>
      <c r="AS907" s="18">
        <f t="shared" si="104"/>
        <v>0</v>
      </c>
    </row>
    <row r="908" spans="1:45" x14ac:dyDescent="0.25">
      <c r="A908" s="40">
        <v>46196</v>
      </c>
      <c r="B908" s="20"/>
      <c r="C908" s="20"/>
      <c r="D908" s="20"/>
      <c r="E908" s="20"/>
      <c r="F908" s="7">
        <f t="shared" si="98"/>
        <v>0</v>
      </c>
      <c r="G908" s="7">
        <f t="shared" si="99"/>
        <v>0</v>
      </c>
      <c r="H908" s="20"/>
      <c r="I908" s="20"/>
      <c r="J908" s="20"/>
      <c r="K908" s="20"/>
      <c r="L908" s="20"/>
      <c r="M908" s="20"/>
      <c r="N908" s="20"/>
      <c r="O908" s="20"/>
      <c r="P908" s="20"/>
      <c r="Q908" s="19">
        <f t="shared" si="100"/>
        <v>0</v>
      </c>
      <c r="R908" s="20"/>
      <c r="S908" s="20"/>
      <c r="T908" s="20"/>
      <c r="U908" s="20"/>
      <c r="V908" s="20"/>
      <c r="W908" s="20"/>
      <c r="X908" s="20"/>
      <c r="Y908" s="8">
        <f t="shared" si="101"/>
        <v>0</v>
      </c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7">
        <f t="shared" si="102"/>
        <v>0</v>
      </c>
      <c r="AM908" s="36"/>
      <c r="AN908" s="36"/>
      <c r="AO908" s="36"/>
      <c r="AP908" s="7"/>
      <c r="AQ908" s="38">
        <f t="shared" si="103"/>
        <v>0</v>
      </c>
      <c r="AR908" s="36"/>
      <c r="AS908" s="18">
        <f t="shared" si="104"/>
        <v>0</v>
      </c>
    </row>
    <row r="909" spans="1:45" x14ac:dyDescent="0.25">
      <c r="A909" s="40">
        <v>46197</v>
      </c>
      <c r="B909" s="20"/>
      <c r="C909" s="20"/>
      <c r="D909" s="20"/>
      <c r="E909" s="20"/>
      <c r="F909" s="7">
        <f t="shared" si="98"/>
        <v>0</v>
      </c>
      <c r="G909" s="7">
        <f t="shared" si="99"/>
        <v>0</v>
      </c>
      <c r="H909" s="20"/>
      <c r="I909" s="20"/>
      <c r="J909" s="20"/>
      <c r="K909" s="20"/>
      <c r="L909" s="20"/>
      <c r="M909" s="20"/>
      <c r="N909" s="20"/>
      <c r="O909" s="20"/>
      <c r="P909" s="20"/>
      <c r="Q909" s="19">
        <f t="shared" si="100"/>
        <v>0</v>
      </c>
      <c r="R909" s="20"/>
      <c r="S909" s="20"/>
      <c r="T909" s="20"/>
      <c r="U909" s="20"/>
      <c r="V909" s="20"/>
      <c r="W909" s="20"/>
      <c r="X909" s="20"/>
      <c r="Y909" s="8">
        <f t="shared" si="101"/>
        <v>0</v>
      </c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7">
        <f t="shared" si="102"/>
        <v>0</v>
      </c>
      <c r="AM909" s="36"/>
      <c r="AN909" s="36"/>
      <c r="AO909" s="36"/>
      <c r="AP909" s="7"/>
      <c r="AQ909" s="38">
        <f t="shared" si="103"/>
        <v>0</v>
      </c>
      <c r="AR909" s="36"/>
      <c r="AS909" s="18">
        <f t="shared" si="104"/>
        <v>0</v>
      </c>
    </row>
    <row r="910" spans="1:45" x14ac:dyDescent="0.25">
      <c r="A910" s="40">
        <v>46198</v>
      </c>
      <c r="B910" s="20"/>
      <c r="C910" s="20"/>
      <c r="D910" s="20"/>
      <c r="E910" s="20"/>
      <c r="F910" s="7">
        <f t="shared" si="98"/>
        <v>0</v>
      </c>
      <c r="G910" s="7">
        <f t="shared" si="99"/>
        <v>0</v>
      </c>
      <c r="H910" s="20"/>
      <c r="I910" s="20"/>
      <c r="J910" s="20"/>
      <c r="K910" s="20"/>
      <c r="L910" s="20"/>
      <c r="M910" s="20"/>
      <c r="N910" s="20"/>
      <c r="O910" s="20"/>
      <c r="P910" s="20"/>
      <c r="Q910" s="19">
        <f t="shared" si="100"/>
        <v>0</v>
      </c>
      <c r="R910" s="20"/>
      <c r="S910" s="20"/>
      <c r="T910" s="20"/>
      <c r="U910" s="20"/>
      <c r="V910" s="20"/>
      <c r="W910" s="20"/>
      <c r="X910" s="20"/>
      <c r="Y910" s="8">
        <f t="shared" si="101"/>
        <v>0</v>
      </c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7">
        <f t="shared" si="102"/>
        <v>0</v>
      </c>
      <c r="AM910" s="36"/>
      <c r="AN910" s="36"/>
      <c r="AO910" s="36"/>
      <c r="AP910" s="7"/>
      <c r="AQ910" s="38">
        <f t="shared" si="103"/>
        <v>0</v>
      </c>
      <c r="AR910" s="36"/>
      <c r="AS910" s="18">
        <f t="shared" si="104"/>
        <v>0</v>
      </c>
    </row>
    <row r="911" spans="1:45" x14ac:dyDescent="0.25">
      <c r="A911" s="40">
        <v>46199</v>
      </c>
      <c r="B911" s="20"/>
      <c r="C911" s="20"/>
      <c r="D911" s="20"/>
      <c r="E911" s="20"/>
      <c r="F911" s="7">
        <f t="shared" si="98"/>
        <v>0</v>
      </c>
      <c r="G911" s="7">
        <f t="shared" si="99"/>
        <v>0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19">
        <f t="shared" si="100"/>
        <v>0</v>
      </c>
      <c r="R911" s="20"/>
      <c r="S911" s="20"/>
      <c r="T911" s="20"/>
      <c r="U911" s="20"/>
      <c r="V911" s="20"/>
      <c r="W911" s="20"/>
      <c r="X911" s="20"/>
      <c r="Y911" s="8">
        <f t="shared" si="101"/>
        <v>0</v>
      </c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7">
        <f t="shared" si="102"/>
        <v>0</v>
      </c>
      <c r="AM911" s="36"/>
      <c r="AN911" s="36"/>
      <c r="AO911" s="36"/>
      <c r="AP911" s="7"/>
      <c r="AQ911" s="38">
        <f t="shared" si="103"/>
        <v>0</v>
      </c>
      <c r="AR911" s="36"/>
      <c r="AS911" s="18">
        <f t="shared" si="104"/>
        <v>0</v>
      </c>
    </row>
    <row r="912" spans="1:45" x14ac:dyDescent="0.25">
      <c r="A912" s="40">
        <v>46200</v>
      </c>
      <c r="B912" s="20"/>
      <c r="C912" s="20"/>
      <c r="D912" s="20"/>
      <c r="E912" s="20"/>
      <c r="F912" s="7">
        <f t="shared" si="98"/>
        <v>0</v>
      </c>
      <c r="G912" s="7">
        <f t="shared" si="99"/>
        <v>0</v>
      </c>
      <c r="H912" s="20"/>
      <c r="I912" s="20"/>
      <c r="J912" s="20"/>
      <c r="K912" s="20"/>
      <c r="L912" s="20"/>
      <c r="M912" s="20"/>
      <c r="N912" s="20"/>
      <c r="O912" s="20"/>
      <c r="P912" s="20"/>
      <c r="Q912" s="19">
        <f t="shared" si="100"/>
        <v>0</v>
      </c>
      <c r="R912" s="20"/>
      <c r="S912" s="20"/>
      <c r="T912" s="20"/>
      <c r="U912" s="20"/>
      <c r="V912" s="20"/>
      <c r="W912" s="20"/>
      <c r="X912" s="20"/>
      <c r="Y912" s="8">
        <f t="shared" si="101"/>
        <v>0</v>
      </c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7">
        <f t="shared" si="102"/>
        <v>0</v>
      </c>
      <c r="AM912" s="36"/>
      <c r="AN912" s="36"/>
      <c r="AO912" s="36"/>
      <c r="AP912" s="7"/>
      <c r="AQ912" s="38">
        <f t="shared" si="103"/>
        <v>0</v>
      </c>
      <c r="AR912" s="36"/>
      <c r="AS912" s="18">
        <f t="shared" si="104"/>
        <v>0</v>
      </c>
    </row>
    <row r="913" spans="1:45" x14ac:dyDescent="0.25">
      <c r="A913" s="40">
        <v>46201</v>
      </c>
      <c r="B913" s="20"/>
      <c r="C913" s="20"/>
      <c r="D913" s="20"/>
      <c r="E913" s="20"/>
      <c r="F913" s="7">
        <f t="shared" si="98"/>
        <v>0</v>
      </c>
      <c r="G913" s="7">
        <f t="shared" si="99"/>
        <v>0</v>
      </c>
      <c r="H913" s="20"/>
      <c r="I913" s="20"/>
      <c r="J913" s="20"/>
      <c r="K913" s="20"/>
      <c r="L913" s="20"/>
      <c r="M913" s="20"/>
      <c r="N913" s="20"/>
      <c r="O913" s="20"/>
      <c r="P913" s="20"/>
      <c r="Q913" s="19">
        <f t="shared" si="100"/>
        <v>0</v>
      </c>
      <c r="R913" s="20"/>
      <c r="S913" s="20"/>
      <c r="T913" s="20"/>
      <c r="U913" s="20"/>
      <c r="V913" s="20"/>
      <c r="W913" s="20"/>
      <c r="X913" s="20"/>
      <c r="Y913" s="8">
        <f t="shared" si="101"/>
        <v>0</v>
      </c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7">
        <f t="shared" si="102"/>
        <v>0</v>
      </c>
      <c r="AM913" s="36"/>
      <c r="AN913" s="36"/>
      <c r="AO913" s="36"/>
      <c r="AP913" s="7"/>
      <c r="AQ913" s="38">
        <f t="shared" si="103"/>
        <v>0</v>
      </c>
      <c r="AR913" s="36"/>
      <c r="AS913" s="18">
        <f t="shared" si="104"/>
        <v>0</v>
      </c>
    </row>
    <row r="914" spans="1:45" x14ac:dyDescent="0.25">
      <c r="A914" s="40">
        <v>46202</v>
      </c>
      <c r="B914" s="20"/>
      <c r="C914" s="20"/>
      <c r="D914" s="20"/>
      <c r="E914" s="20"/>
      <c r="F914" s="7">
        <f t="shared" si="98"/>
        <v>0</v>
      </c>
      <c r="G914" s="7">
        <f t="shared" si="99"/>
        <v>0</v>
      </c>
      <c r="H914" s="20"/>
      <c r="I914" s="20"/>
      <c r="J914" s="20"/>
      <c r="K914" s="20"/>
      <c r="L914" s="20"/>
      <c r="M914" s="20"/>
      <c r="N914" s="20"/>
      <c r="O914" s="20"/>
      <c r="P914" s="20"/>
      <c r="Q914" s="19">
        <f t="shared" si="100"/>
        <v>0</v>
      </c>
      <c r="R914" s="20"/>
      <c r="S914" s="20"/>
      <c r="T914" s="20"/>
      <c r="U914" s="20"/>
      <c r="V914" s="20"/>
      <c r="W914" s="20"/>
      <c r="X914" s="20"/>
      <c r="Y914" s="8">
        <f t="shared" si="101"/>
        <v>0</v>
      </c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7">
        <f t="shared" si="102"/>
        <v>0</v>
      </c>
      <c r="AM914" s="36"/>
      <c r="AN914" s="36"/>
      <c r="AO914" s="36"/>
      <c r="AP914" s="7"/>
      <c r="AQ914" s="38">
        <f t="shared" si="103"/>
        <v>0</v>
      </c>
      <c r="AR914" s="36"/>
      <c r="AS914" s="18">
        <f t="shared" si="104"/>
        <v>0</v>
      </c>
    </row>
    <row r="915" spans="1:45" x14ac:dyDescent="0.25">
      <c r="A915" s="40">
        <v>46203</v>
      </c>
      <c r="B915" s="20"/>
      <c r="C915" s="20"/>
      <c r="D915" s="20"/>
      <c r="E915" s="20"/>
      <c r="F915" s="7">
        <f t="shared" si="98"/>
        <v>0</v>
      </c>
      <c r="G915" s="7">
        <f t="shared" si="99"/>
        <v>0</v>
      </c>
      <c r="H915" s="20"/>
      <c r="I915" s="20"/>
      <c r="J915" s="20"/>
      <c r="K915" s="20"/>
      <c r="L915" s="20"/>
      <c r="M915" s="20"/>
      <c r="N915" s="20"/>
      <c r="O915" s="20"/>
      <c r="P915" s="20"/>
      <c r="Q915" s="19">
        <f t="shared" si="100"/>
        <v>0</v>
      </c>
      <c r="R915" s="20"/>
      <c r="S915" s="20"/>
      <c r="T915" s="20"/>
      <c r="U915" s="20"/>
      <c r="V915" s="20"/>
      <c r="W915" s="20"/>
      <c r="X915" s="20"/>
      <c r="Y915" s="8">
        <f t="shared" si="101"/>
        <v>0</v>
      </c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7">
        <f t="shared" si="102"/>
        <v>0</v>
      </c>
      <c r="AM915" s="36"/>
      <c r="AN915" s="36"/>
      <c r="AO915" s="36"/>
      <c r="AP915" s="7"/>
      <c r="AQ915" s="38">
        <f t="shared" si="103"/>
        <v>0</v>
      </c>
      <c r="AR915" s="36"/>
      <c r="AS915" s="18">
        <f t="shared" si="104"/>
        <v>0</v>
      </c>
    </row>
    <row r="916" spans="1:45" x14ac:dyDescent="0.25">
      <c r="A916" s="40">
        <v>46204</v>
      </c>
      <c r="B916" s="20"/>
      <c r="C916" s="20"/>
      <c r="D916" s="20"/>
      <c r="E916" s="20"/>
      <c r="F916" s="7">
        <f t="shared" si="98"/>
        <v>0</v>
      </c>
      <c r="G916" s="7">
        <f t="shared" si="99"/>
        <v>0</v>
      </c>
      <c r="H916" s="20"/>
      <c r="I916" s="20"/>
      <c r="J916" s="20"/>
      <c r="K916" s="20"/>
      <c r="L916" s="20"/>
      <c r="M916" s="20"/>
      <c r="N916" s="20"/>
      <c r="O916" s="20"/>
      <c r="P916" s="20"/>
      <c r="Q916" s="19">
        <f t="shared" si="100"/>
        <v>0</v>
      </c>
      <c r="R916" s="20"/>
      <c r="S916" s="20"/>
      <c r="T916" s="20"/>
      <c r="U916" s="20"/>
      <c r="V916" s="20"/>
      <c r="W916" s="20"/>
      <c r="X916" s="20"/>
      <c r="Y916" s="8">
        <f t="shared" si="101"/>
        <v>0</v>
      </c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7">
        <f t="shared" si="102"/>
        <v>0</v>
      </c>
      <c r="AM916" s="36"/>
      <c r="AN916" s="36"/>
      <c r="AO916" s="36"/>
      <c r="AP916" s="7"/>
      <c r="AQ916" s="38">
        <f t="shared" si="103"/>
        <v>0</v>
      </c>
      <c r="AR916" s="36"/>
      <c r="AS916" s="18">
        <f t="shared" si="104"/>
        <v>0</v>
      </c>
    </row>
    <row r="917" spans="1:45" x14ac:dyDescent="0.25">
      <c r="A917" s="40">
        <v>46205</v>
      </c>
      <c r="B917" s="20"/>
      <c r="C917" s="20"/>
      <c r="D917" s="20"/>
      <c r="E917" s="20"/>
      <c r="F917" s="7">
        <f t="shared" si="98"/>
        <v>0</v>
      </c>
      <c r="G917" s="7">
        <f t="shared" si="99"/>
        <v>0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19">
        <f t="shared" si="100"/>
        <v>0</v>
      </c>
      <c r="R917" s="20"/>
      <c r="S917" s="20"/>
      <c r="T917" s="20"/>
      <c r="U917" s="20"/>
      <c r="V917" s="20"/>
      <c r="W917" s="20"/>
      <c r="X917" s="20"/>
      <c r="Y917" s="8">
        <f t="shared" si="101"/>
        <v>0</v>
      </c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7">
        <f t="shared" si="102"/>
        <v>0</v>
      </c>
      <c r="AM917" s="36"/>
      <c r="AN917" s="36"/>
      <c r="AO917" s="36"/>
      <c r="AP917" s="7"/>
      <c r="AQ917" s="38">
        <f t="shared" si="103"/>
        <v>0</v>
      </c>
      <c r="AR917" s="36"/>
      <c r="AS917" s="18">
        <f t="shared" si="104"/>
        <v>0</v>
      </c>
    </row>
    <row r="918" spans="1:45" x14ac:dyDescent="0.25">
      <c r="A918" s="40">
        <v>46206</v>
      </c>
      <c r="B918" s="20"/>
      <c r="C918" s="20"/>
      <c r="D918" s="20"/>
      <c r="E918" s="20"/>
      <c r="F918" s="7">
        <f t="shared" si="98"/>
        <v>0</v>
      </c>
      <c r="G918" s="7">
        <f t="shared" si="99"/>
        <v>0</v>
      </c>
      <c r="H918" s="20"/>
      <c r="I918" s="20"/>
      <c r="J918" s="20"/>
      <c r="K918" s="20"/>
      <c r="L918" s="20"/>
      <c r="M918" s="20"/>
      <c r="N918" s="20"/>
      <c r="O918" s="20"/>
      <c r="P918" s="20"/>
      <c r="Q918" s="19">
        <f t="shared" si="100"/>
        <v>0</v>
      </c>
      <c r="R918" s="20"/>
      <c r="S918" s="20"/>
      <c r="T918" s="20"/>
      <c r="U918" s="20"/>
      <c r="V918" s="20"/>
      <c r="W918" s="20"/>
      <c r="X918" s="20"/>
      <c r="Y918" s="8">
        <f t="shared" si="101"/>
        <v>0</v>
      </c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7">
        <f t="shared" si="102"/>
        <v>0</v>
      </c>
      <c r="AM918" s="36"/>
      <c r="AN918" s="36"/>
      <c r="AO918" s="36"/>
      <c r="AP918" s="7"/>
      <c r="AQ918" s="38">
        <f t="shared" si="103"/>
        <v>0</v>
      </c>
      <c r="AR918" s="36"/>
      <c r="AS918" s="18">
        <f t="shared" si="104"/>
        <v>0</v>
      </c>
    </row>
    <row r="919" spans="1:45" x14ac:dyDescent="0.25">
      <c r="A919" s="40">
        <v>46207</v>
      </c>
      <c r="B919" s="20"/>
      <c r="C919" s="20"/>
      <c r="D919" s="20"/>
      <c r="E919" s="20"/>
      <c r="F919" s="7">
        <f t="shared" si="98"/>
        <v>0</v>
      </c>
      <c r="G919" s="7">
        <f t="shared" si="99"/>
        <v>0</v>
      </c>
      <c r="H919" s="20"/>
      <c r="I919" s="20"/>
      <c r="J919" s="20"/>
      <c r="K919" s="20"/>
      <c r="L919" s="20"/>
      <c r="M919" s="20"/>
      <c r="N919" s="20"/>
      <c r="O919" s="20"/>
      <c r="P919" s="20"/>
      <c r="Q919" s="19">
        <f t="shared" si="100"/>
        <v>0</v>
      </c>
      <c r="R919" s="20"/>
      <c r="S919" s="20"/>
      <c r="T919" s="20"/>
      <c r="U919" s="20"/>
      <c r="V919" s="20"/>
      <c r="W919" s="20"/>
      <c r="X919" s="20"/>
      <c r="Y919" s="8">
        <f t="shared" si="101"/>
        <v>0</v>
      </c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7">
        <f t="shared" si="102"/>
        <v>0</v>
      </c>
      <c r="AM919" s="36"/>
      <c r="AN919" s="36"/>
      <c r="AO919" s="36"/>
      <c r="AP919" s="7"/>
      <c r="AQ919" s="38">
        <f t="shared" si="103"/>
        <v>0</v>
      </c>
      <c r="AR919" s="36"/>
      <c r="AS919" s="18">
        <f t="shared" si="104"/>
        <v>0</v>
      </c>
    </row>
    <row r="920" spans="1:45" x14ac:dyDescent="0.25">
      <c r="A920" s="40">
        <v>46208</v>
      </c>
      <c r="B920" s="20"/>
      <c r="C920" s="20"/>
      <c r="D920" s="20"/>
      <c r="E920" s="20"/>
      <c r="F920" s="7">
        <f t="shared" si="98"/>
        <v>0</v>
      </c>
      <c r="G920" s="7">
        <f t="shared" si="99"/>
        <v>0</v>
      </c>
      <c r="H920" s="20"/>
      <c r="I920" s="20"/>
      <c r="J920" s="20"/>
      <c r="K920" s="20"/>
      <c r="L920" s="20"/>
      <c r="M920" s="20"/>
      <c r="N920" s="20"/>
      <c r="O920" s="20"/>
      <c r="P920" s="20"/>
      <c r="Q920" s="19">
        <f t="shared" si="100"/>
        <v>0</v>
      </c>
      <c r="R920" s="20"/>
      <c r="S920" s="20"/>
      <c r="T920" s="20"/>
      <c r="U920" s="20"/>
      <c r="V920" s="20"/>
      <c r="W920" s="20"/>
      <c r="X920" s="20"/>
      <c r="Y920" s="8">
        <f t="shared" si="101"/>
        <v>0</v>
      </c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7">
        <f t="shared" si="102"/>
        <v>0</v>
      </c>
      <c r="AM920" s="36"/>
      <c r="AN920" s="36"/>
      <c r="AO920" s="36"/>
      <c r="AP920" s="7"/>
      <c r="AQ920" s="38">
        <f t="shared" si="103"/>
        <v>0</v>
      </c>
      <c r="AR920" s="36"/>
      <c r="AS920" s="18">
        <f t="shared" si="104"/>
        <v>0</v>
      </c>
    </row>
    <row r="921" spans="1:45" x14ac:dyDescent="0.25">
      <c r="A921" s="40">
        <v>46209</v>
      </c>
      <c r="B921" s="20"/>
      <c r="C921" s="20"/>
      <c r="D921" s="20"/>
      <c r="E921" s="20"/>
      <c r="F921" s="7">
        <f t="shared" si="98"/>
        <v>0</v>
      </c>
      <c r="G921" s="7">
        <f t="shared" si="99"/>
        <v>0</v>
      </c>
      <c r="H921" s="20"/>
      <c r="I921" s="20"/>
      <c r="J921" s="20"/>
      <c r="K921" s="20"/>
      <c r="L921" s="20"/>
      <c r="M921" s="20"/>
      <c r="N921" s="20"/>
      <c r="O921" s="20"/>
      <c r="P921" s="20"/>
      <c r="Q921" s="19">
        <f t="shared" si="100"/>
        <v>0</v>
      </c>
      <c r="R921" s="20"/>
      <c r="S921" s="20"/>
      <c r="T921" s="20"/>
      <c r="U921" s="20"/>
      <c r="V921" s="20"/>
      <c r="W921" s="20"/>
      <c r="X921" s="20"/>
      <c r="Y921" s="8">
        <f t="shared" si="101"/>
        <v>0</v>
      </c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7">
        <f t="shared" si="102"/>
        <v>0</v>
      </c>
      <c r="AM921" s="36"/>
      <c r="AN921" s="36"/>
      <c r="AO921" s="36"/>
      <c r="AP921" s="7"/>
      <c r="AQ921" s="38">
        <f t="shared" si="103"/>
        <v>0</v>
      </c>
      <c r="AR921" s="36"/>
      <c r="AS921" s="18">
        <f t="shared" si="104"/>
        <v>0</v>
      </c>
    </row>
    <row r="922" spans="1:45" x14ac:dyDescent="0.25">
      <c r="A922" s="40">
        <v>46210</v>
      </c>
      <c r="B922" s="20"/>
      <c r="C922" s="20"/>
      <c r="D922" s="20"/>
      <c r="E922" s="20"/>
      <c r="F922" s="7">
        <f t="shared" si="98"/>
        <v>0</v>
      </c>
      <c r="G922" s="7">
        <f t="shared" si="99"/>
        <v>0</v>
      </c>
      <c r="H922" s="20"/>
      <c r="I922" s="20"/>
      <c r="J922" s="20"/>
      <c r="K922" s="20"/>
      <c r="L922" s="20"/>
      <c r="M922" s="20"/>
      <c r="N922" s="20"/>
      <c r="O922" s="20"/>
      <c r="P922" s="20"/>
      <c r="Q922" s="19">
        <f t="shared" si="100"/>
        <v>0</v>
      </c>
      <c r="R922" s="20"/>
      <c r="S922" s="20"/>
      <c r="T922" s="20"/>
      <c r="U922" s="20"/>
      <c r="V922" s="20"/>
      <c r="W922" s="20"/>
      <c r="X922" s="20"/>
      <c r="Y922" s="8">
        <f t="shared" si="101"/>
        <v>0</v>
      </c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7">
        <f t="shared" si="102"/>
        <v>0</v>
      </c>
      <c r="AM922" s="36"/>
      <c r="AN922" s="36"/>
      <c r="AO922" s="36"/>
      <c r="AP922" s="7"/>
      <c r="AQ922" s="38">
        <f t="shared" si="103"/>
        <v>0</v>
      </c>
      <c r="AR922" s="36"/>
      <c r="AS922" s="18">
        <f t="shared" si="104"/>
        <v>0</v>
      </c>
    </row>
    <row r="923" spans="1:45" x14ac:dyDescent="0.25">
      <c r="A923" s="40">
        <v>46211</v>
      </c>
      <c r="B923" s="20"/>
      <c r="C923" s="20"/>
      <c r="D923" s="20"/>
      <c r="E923" s="20"/>
      <c r="F923" s="7">
        <f t="shared" si="98"/>
        <v>0</v>
      </c>
      <c r="G923" s="7">
        <f t="shared" si="99"/>
        <v>0</v>
      </c>
      <c r="H923" s="20"/>
      <c r="I923" s="20"/>
      <c r="J923" s="20"/>
      <c r="K923" s="20"/>
      <c r="L923" s="20"/>
      <c r="M923" s="20"/>
      <c r="N923" s="20"/>
      <c r="O923" s="20"/>
      <c r="P923" s="20"/>
      <c r="Q923" s="19">
        <f t="shared" si="100"/>
        <v>0</v>
      </c>
      <c r="R923" s="20"/>
      <c r="S923" s="20"/>
      <c r="T923" s="20"/>
      <c r="U923" s="20"/>
      <c r="V923" s="20"/>
      <c r="W923" s="20"/>
      <c r="X923" s="20"/>
      <c r="Y923" s="8">
        <f t="shared" si="101"/>
        <v>0</v>
      </c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7">
        <f t="shared" si="102"/>
        <v>0</v>
      </c>
      <c r="AM923" s="36"/>
      <c r="AN923" s="36"/>
      <c r="AO923" s="36"/>
      <c r="AP923" s="7"/>
      <c r="AQ923" s="38">
        <f t="shared" si="103"/>
        <v>0</v>
      </c>
      <c r="AR923" s="36"/>
      <c r="AS923" s="18">
        <f t="shared" si="104"/>
        <v>0</v>
      </c>
    </row>
    <row r="924" spans="1:45" x14ac:dyDescent="0.25">
      <c r="A924" s="40">
        <v>46212</v>
      </c>
      <c r="B924" s="20"/>
      <c r="C924" s="20"/>
      <c r="D924" s="20"/>
      <c r="E924" s="20"/>
      <c r="F924" s="7">
        <f t="shared" si="98"/>
        <v>0</v>
      </c>
      <c r="G924" s="7">
        <f t="shared" si="99"/>
        <v>0</v>
      </c>
      <c r="H924" s="20"/>
      <c r="I924" s="20"/>
      <c r="J924" s="20"/>
      <c r="K924" s="20"/>
      <c r="L924" s="20"/>
      <c r="M924" s="20"/>
      <c r="N924" s="20"/>
      <c r="O924" s="20"/>
      <c r="P924" s="20"/>
      <c r="Q924" s="19">
        <f t="shared" si="100"/>
        <v>0</v>
      </c>
      <c r="R924" s="20"/>
      <c r="S924" s="20"/>
      <c r="T924" s="20"/>
      <c r="U924" s="20"/>
      <c r="V924" s="20"/>
      <c r="W924" s="20"/>
      <c r="X924" s="20"/>
      <c r="Y924" s="8">
        <f t="shared" si="101"/>
        <v>0</v>
      </c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7">
        <f t="shared" si="102"/>
        <v>0</v>
      </c>
      <c r="AM924" s="36"/>
      <c r="AN924" s="36"/>
      <c r="AO924" s="36"/>
      <c r="AP924" s="7"/>
      <c r="AQ924" s="38">
        <f t="shared" si="103"/>
        <v>0</v>
      </c>
      <c r="AR924" s="36"/>
      <c r="AS924" s="18">
        <f t="shared" si="104"/>
        <v>0</v>
      </c>
    </row>
    <row r="925" spans="1:45" x14ac:dyDescent="0.25">
      <c r="A925" s="40">
        <v>46213</v>
      </c>
      <c r="B925" s="20"/>
      <c r="C925" s="20"/>
      <c r="D925" s="20"/>
      <c r="E925" s="20"/>
      <c r="F925" s="7">
        <f t="shared" si="98"/>
        <v>0</v>
      </c>
      <c r="G925" s="7">
        <f t="shared" si="99"/>
        <v>0</v>
      </c>
      <c r="H925" s="20"/>
      <c r="I925" s="20"/>
      <c r="J925" s="20"/>
      <c r="K925" s="20"/>
      <c r="L925" s="20"/>
      <c r="M925" s="20"/>
      <c r="N925" s="20"/>
      <c r="O925" s="20"/>
      <c r="P925" s="20"/>
      <c r="Q925" s="19">
        <f t="shared" si="100"/>
        <v>0</v>
      </c>
      <c r="R925" s="20"/>
      <c r="S925" s="20"/>
      <c r="T925" s="20"/>
      <c r="U925" s="20"/>
      <c r="V925" s="20"/>
      <c r="W925" s="20"/>
      <c r="X925" s="20"/>
      <c r="Y925" s="8">
        <f t="shared" si="101"/>
        <v>0</v>
      </c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7">
        <f t="shared" si="102"/>
        <v>0</v>
      </c>
      <c r="AM925" s="36"/>
      <c r="AN925" s="36"/>
      <c r="AO925" s="36"/>
      <c r="AP925" s="7"/>
      <c r="AQ925" s="38">
        <f t="shared" si="103"/>
        <v>0</v>
      </c>
      <c r="AR925" s="36"/>
      <c r="AS925" s="18">
        <f t="shared" si="104"/>
        <v>0</v>
      </c>
    </row>
    <row r="926" spans="1:45" x14ac:dyDescent="0.25">
      <c r="A926" s="40">
        <v>46214</v>
      </c>
      <c r="B926" s="20"/>
      <c r="C926" s="20"/>
      <c r="D926" s="20"/>
      <c r="E926" s="20"/>
      <c r="F926" s="7">
        <f t="shared" si="98"/>
        <v>0</v>
      </c>
      <c r="G926" s="7">
        <f t="shared" si="99"/>
        <v>0</v>
      </c>
      <c r="H926" s="20"/>
      <c r="I926" s="20"/>
      <c r="J926" s="20"/>
      <c r="K926" s="20"/>
      <c r="L926" s="20"/>
      <c r="M926" s="20"/>
      <c r="N926" s="20"/>
      <c r="O926" s="20"/>
      <c r="P926" s="20"/>
      <c r="Q926" s="19">
        <f t="shared" si="100"/>
        <v>0</v>
      </c>
      <c r="R926" s="20"/>
      <c r="S926" s="20"/>
      <c r="T926" s="20"/>
      <c r="U926" s="20"/>
      <c r="V926" s="20"/>
      <c r="W926" s="20"/>
      <c r="X926" s="20"/>
      <c r="Y926" s="8">
        <f t="shared" si="101"/>
        <v>0</v>
      </c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7">
        <f t="shared" si="102"/>
        <v>0</v>
      </c>
      <c r="AM926" s="36"/>
      <c r="AN926" s="36"/>
      <c r="AO926" s="36"/>
      <c r="AP926" s="7"/>
      <c r="AQ926" s="38">
        <f t="shared" si="103"/>
        <v>0</v>
      </c>
      <c r="AR926" s="36"/>
      <c r="AS926" s="18">
        <f t="shared" si="104"/>
        <v>0</v>
      </c>
    </row>
    <row r="927" spans="1:45" x14ac:dyDescent="0.25">
      <c r="A927" s="40">
        <v>46215</v>
      </c>
      <c r="B927" s="20"/>
      <c r="C927" s="20"/>
      <c r="D927" s="20"/>
      <c r="E927" s="20"/>
      <c r="F927" s="7">
        <f t="shared" si="98"/>
        <v>0</v>
      </c>
      <c r="G927" s="7">
        <f t="shared" si="99"/>
        <v>0</v>
      </c>
      <c r="H927" s="20"/>
      <c r="I927" s="20"/>
      <c r="J927" s="20"/>
      <c r="K927" s="20"/>
      <c r="L927" s="20"/>
      <c r="M927" s="20"/>
      <c r="N927" s="20"/>
      <c r="O927" s="20"/>
      <c r="P927" s="20"/>
      <c r="Q927" s="19">
        <f t="shared" si="100"/>
        <v>0</v>
      </c>
      <c r="R927" s="20"/>
      <c r="S927" s="20"/>
      <c r="T927" s="20"/>
      <c r="U927" s="20"/>
      <c r="V927" s="20"/>
      <c r="W927" s="20"/>
      <c r="X927" s="20"/>
      <c r="Y927" s="8">
        <f t="shared" si="101"/>
        <v>0</v>
      </c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7">
        <f t="shared" si="102"/>
        <v>0</v>
      </c>
      <c r="AM927" s="36"/>
      <c r="AN927" s="36"/>
      <c r="AO927" s="36"/>
      <c r="AP927" s="7"/>
      <c r="AQ927" s="38">
        <f t="shared" si="103"/>
        <v>0</v>
      </c>
      <c r="AR927" s="36"/>
      <c r="AS927" s="18">
        <f t="shared" si="104"/>
        <v>0</v>
      </c>
    </row>
    <row r="928" spans="1:45" x14ac:dyDescent="0.25">
      <c r="A928" s="40">
        <v>46216</v>
      </c>
      <c r="B928" s="20"/>
      <c r="C928" s="20"/>
      <c r="D928" s="20"/>
      <c r="E928" s="20"/>
      <c r="F928" s="7">
        <f t="shared" si="98"/>
        <v>0</v>
      </c>
      <c r="G928" s="7">
        <f t="shared" si="99"/>
        <v>0</v>
      </c>
      <c r="H928" s="20"/>
      <c r="I928" s="20"/>
      <c r="J928" s="20"/>
      <c r="K928" s="20"/>
      <c r="L928" s="20"/>
      <c r="M928" s="20"/>
      <c r="N928" s="20"/>
      <c r="O928" s="20"/>
      <c r="P928" s="20"/>
      <c r="Q928" s="19">
        <f t="shared" si="100"/>
        <v>0</v>
      </c>
      <c r="R928" s="20"/>
      <c r="S928" s="20"/>
      <c r="T928" s="20"/>
      <c r="U928" s="20"/>
      <c r="V928" s="20"/>
      <c r="W928" s="20"/>
      <c r="X928" s="20"/>
      <c r="Y928" s="8">
        <f t="shared" si="101"/>
        <v>0</v>
      </c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7">
        <f t="shared" si="102"/>
        <v>0</v>
      </c>
      <c r="AM928" s="36"/>
      <c r="AN928" s="36"/>
      <c r="AO928" s="36"/>
      <c r="AP928" s="7"/>
      <c r="AQ928" s="38">
        <f t="shared" si="103"/>
        <v>0</v>
      </c>
      <c r="AR928" s="36"/>
      <c r="AS928" s="18">
        <f t="shared" si="104"/>
        <v>0</v>
      </c>
    </row>
    <row r="929" spans="1:45" x14ac:dyDescent="0.25">
      <c r="A929" s="40">
        <v>46217</v>
      </c>
      <c r="B929" s="20"/>
      <c r="C929" s="20"/>
      <c r="D929" s="20"/>
      <c r="E929" s="20"/>
      <c r="F929" s="7">
        <f t="shared" si="98"/>
        <v>0</v>
      </c>
      <c r="G929" s="7">
        <f t="shared" si="99"/>
        <v>0</v>
      </c>
      <c r="H929" s="20"/>
      <c r="I929" s="20"/>
      <c r="J929" s="20"/>
      <c r="K929" s="20"/>
      <c r="L929" s="20"/>
      <c r="M929" s="20"/>
      <c r="N929" s="20"/>
      <c r="O929" s="20"/>
      <c r="P929" s="20"/>
      <c r="Q929" s="19">
        <f t="shared" si="100"/>
        <v>0</v>
      </c>
      <c r="R929" s="20"/>
      <c r="S929" s="20"/>
      <c r="T929" s="20"/>
      <c r="U929" s="20"/>
      <c r="V929" s="20"/>
      <c r="W929" s="20"/>
      <c r="X929" s="20"/>
      <c r="Y929" s="8">
        <f t="shared" si="101"/>
        <v>0</v>
      </c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7">
        <f t="shared" si="102"/>
        <v>0</v>
      </c>
      <c r="AM929" s="36"/>
      <c r="AN929" s="36"/>
      <c r="AO929" s="36"/>
      <c r="AP929" s="7"/>
      <c r="AQ929" s="38">
        <f t="shared" si="103"/>
        <v>0</v>
      </c>
      <c r="AR929" s="36"/>
      <c r="AS929" s="18">
        <f t="shared" si="104"/>
        <v>0</v>
      </c>
    </row>
    <row r="930" spans="1:45" x14ac:dyDescent="0.25">
      <c r="A930" s="40">
        <v>46218</v>
      </c>
      <c r="B930" s="20"/>
      <c r="C930" s="20"/>
      <c r="D930" s="20"/>
      <c r="E930" s="20"/>
      <c r="F930" s="7">
        <f t="shared" si="98"/>
        <v>0</v>
      </c>
      <c r="G930" s="7">
        <f t="shared" si="99"/>
        <v>0</v>
      </c>
      <c r="H930" s="20"/>
      <c r="I930" s="20"/>
      <c r="J930" s="20"/>
      <c r="K930" s="20"/>
      <c r="L930" s="20"/>
      <c r="M930" s="20"/>
      <c r="N930" s="20"/>
      <c r="O930" s="20"/>
      <c r="P930" s="20"/>
      <c r="Q930" s="19">
        <f t="shared" si="100"/>
        <v>0</v>
      </c>
      <c r="R930" s="20"/>
      <c r="S930" s="20"/>
      <c r="T930" s="20"/>
      <c r="U930" s="20"/>
      <c r="V930" s="20"/>
      <c r="W930" s="20"/>
      <c r="X930" s="20"/>
      <c r="Y930" s="8">
        <f t="shared" si="101"/>
        <v>0</v>
      </c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7">
        <f t="shared" si="102"/>
        <v>0</v>
      </c>
      <c r="AM930" s="36"/>
      <c r="AN930" s="36"/>
      <c r="AO930" s="36"/>
      <c r="AP930" s="7"/>
      <c r="AQ930" s="38">
        <f t="shared" si="103"/>
        <v>0</v>
      </c>
      <c r="AR930" s="36"/>
      <c r="AS930" s="18">
        <f t="shared" si="104"/>
        <v>0</v>
      </c>
    </row>
    <row r="931" spans="1:45" x14ac:dyDescent="0.25">
      <c r="A931" s="40">
        <v>46219</v>
      </c>
      <c r="B931" s="20"/>
      <c r="C931" s="20"/>
      <c r="D931" s="20"/>
      <c r="E931" s="20"/>
      <c r="F931" s="7">
        <f t="shared" si="98"/>
        <v>0</v>
      </c>
      <c r="G931" s="7">
        <f t="shared" si="99"/>
        <v>0</v>
      </c>
      <c r="H931" s="20"/>
      <c r="I931" s="20"/>
      <c r="J931" s="20"/>
      <c r="K931" s="20"/>
      <c r="L931" s="20"/>
      <c r="M931" s="20"/>
      <c r="N931" s="20"/>
      <c r="O931" s="20"/>
      <c r="P931" s="20"/>
      <c r="Q931" s="19">
        <f t="shared" si="100"/>
        <v>0</v>
      </c>
      <c r="R931" s="20"/>
      <c r="S931" s="20"/>
      <c r="T931" s="20"/>
      <c r="U931" s="20"/>
      <c r="V931" s="20"/>
      <c r="W931" s="20"/>
      <c r="X931" s="20"/>
      <c r="Y931" s="8">
        <f t="shared" si="101"/>
        <v>0</v>
      </c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7">
        <f t="shared" si="102"/>
        <v>0</v>
      </c>
      <c r="AM931" s="36"/>
      <c r="AN931" s="36"/>
      <c r="AO931" s="36"/>
      <c r="AP931" s="7"/>
      <c r="AQ931" s="38">
        <f t="shared" si="103"/>
        <v>0</v>
      </c>
      <c r="AR931" s="36"/>
      <c r="AS931" s="18">
        <f t="shared" si="104"/>
        <v>0</v>
      </c>
    </row>
    <row r="932" spans="1:45" x14ac:dyDescent="0.25">
      <c r="A932" s="40">
        <v>46220</v>
      </c>
      <c r="B932" s="20"/>
      <c r="C932" s="20"/>
      <c r="D932" s="20"/>
      <c r="E932" s="20"/>
      <c r="F932" s="7">
        <f t="shared" si="98"/>
        <v>0</v>
      </c>
      <c r="G932" s="7">
        <f t="shared" si="99"/>
        <v>0</v>
      </c>
      <c r="H932" s="20"/>
      <c r="I932" s="20"/>
      <c r="J932" s="20"/>
      <c r="K932" s="20"/>
      <c r="L932" s="20"/>
      <c r="M932" s="20"/>
      <c r="N932" s="20"/>
      <c r="O932" s="20"/>
      <c r="P932" s="20"/>
      <c r="Q932" s="19">
        <f t="shared" si="100"/>
        <v>0</v>
      </c>
      <c r="R932" s="20"/>
      <c r="S932" s="20"/>
      <c r="T932" s="20"/>
      <c r="U932" s="20"/>
      <c r="V932" s="20"/>
      <c r="W932" s="20"/>
      <c r="X932" s="20"/>
      <c r="Y932" s="8">
        <f t="shared" si="101"/>
        <v>0</v>
      </c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7">
        <f t="shared" si="102"/>
        <v>0</v>
      </c>
      <c r="AM932" s="36"/>
      <c r="AN932" s="36"/>
      <c r="AO932" s="36"/>
      <c r="AP932" s="7"/>
      <c r="AQ932" s="38">
        <f t="shared" si="103"/>
        <v>0</v>
      </c>
      <c r="AR932" s="36"/>
      <c r="AS932" s="18">
        <f t="shared" si="104"/>
        <v>0</v>
      </c>
    </row>
    <row r="933" spans="1:45" x14ac:dyDescent="0.25">
      <c r="A933" s="40">
        <v>46221</v>
      </c>
      <c r="B933" s="20"/>
      <c r="C933" s="20"/>
      <c r="D933" s="20"/>
      <c r="E933" s="20"/>
      <c r="F933" s="7">
        <f t="shared" si="98"/>
        <v>0</v>
      </c>
      <c r="G933" s="7">
        <f t="shared" si="99"/>
        <v>0</v>
      </c>
      <c r="H933" s="20"/>
      <c r="I933" s="20"/>
      <c r="J933" s="20"/>
      <c r="K933" s="20"/>
      <c r="L933" s="20"/>
      <c r="M933" s="20"/>
      <c r="N933" s="20"/>
      <c r="O933" s="20"/>
      <c r="P933" s="20"/>
      <c r="Q933" s="19">
        <f t="shared" si="100"/>
        <v>0</v>
      </c>
      <c r="R933" s="20"/>
      <c r="S933" s="20"/>
      <c r="T933" s="20"/>
      <c r="U933" s="20"/>
      <c r="V933" s="20"/>
      <c r="W933" s="20"/>
      <c r="X933" s="20"/>
      <c r="Y933" s="8">
        <f t="shared" si="101"/>
        <v>0</v>
      </c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7">
        <f t="shared" si="102"/>
        <v>0</v>
      </c>
      <c r="AM933" s="36"/>
      <c r="AN933" s="36"/>
      <c r="AO933" s="36"/>
      <c r="AP933" s="7"/>
      <c r="AQ933" s="38">
        <f t="shared" si="103"/>
        <v>0</v>
      </c>
      <c r="AR933" s="36"/>
      <c r="AS933" s="18">
        <f t="shared" si="104"/>
        <v>0</v>
      </c>
    </row>
    <row r="934" spans="1:45" x14ac:dyDescent="0.25">
      <c r="A934" s="40">
        <v>46222</v>
      </c>
      <c r="B934" s="20"/>
      <c r="C934" s="20"/>
      <c r="D934" s="20"/>
      <c r="E934" s="20"/>
      <c r="F934" s="7">
        <f t="shared" si="98"/>
        <v>0</v>
      </c>
      <c r="G934" s="7">
        <f t="shared" si="99"/>
        <v>0</v>
      </c>
      <c r="H934" s="20"/>
      <c r="I934" s="20"/>
      <c r="J934" s="20"/>
      <c r="K934" s="20"/>
      <c r="L934" s="20"/>
      <c r="M934" s="20"/>
      <c r="N934" s="20"/>
      <c r="O934" s="20"/>
      <c r="P934" s="20"/>
      <c r="Q934" s="19">
        <f t="shared" si="100"/>
        <v>0</v>
      </c>
      <c r="R934" s="20"/>
      <c r="S934" s="20"/>
      <c r="T934" s="20"/>
      <c r="U934" s="20"/>
      <c r="V934" s="20"/>
      <c r="W934" s="20"/>
      <c r="X934" s="20"/>
      <c r="Y934" s="8">
        <f t="shared" si="101"/>
        <v>0</v>
      </c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7">
        <f t="shared" si="102"/>
        <v>0</v>
      </c>
      <c r="AM934" s="36"/>
      <c r="AN934" s="36"/>
      <c r="AO934" s="36"/>
      <c r="AP934" s="7"/>
      <c r="AQ934" s="38">
        <f t="shared" si="103"/>
        <v>0</v>
      </c>
      <c r="AR934" s="36"/>
      <c r="AS934" s="18">
        <f t="shared" si="104"/>
        <v>0</v>
      </c>
    </row>
    <row r="935" spans="1:45" x14ac:dyDescent="0.25">
      <c r="A935" s="40">
        <v>46223</v>
      </c>
      <c r="B935" s="20"/>
      <c r="C935" s="20"/>
      <c r="D935" s="20"/>
      <c r="E935" s="20"/>
      <c r="F935" s="7">
        <f t="shared" si="98"/>
        <v>0</v>
      </c>
      <c r="G935" s="7">
        <f t="shared" si="99"/>
        <v>0</v>
      </c>
      <c r="H935" s="20"/>
      <c r="I935" s="20"/>
      <c r="J935" s="20"/>
      <c r="K935" s="20"/>
      <c r="L935" s="20"/>
      <c r="M935" s="20"/>
      <c r="N935" s="20"/>
      <c r="O935" s="20"/>
      <c r="P935" s="20"/>
      <c r="Q935" s="19">
        <f t="shared" si="100"/>
        <v>0</v>
      </c>
      <c r="R935" s="20"/>
      <c r="S935" s="20"/>
      <c r="T935" s="20"/>
      <c r="U935" s="20"/>
      <c r="V935" s="20"/>
      <c r="W935" s="20"/>
      <c r="X935" s="20"/>
      <c r="Y935" s="8">
        <f t="shared" si="101"/>
        <v>0</v>
      </c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7">
        <f t="shared" si="102"/>
        <v>0</v>
      </c>
      <c r="AM935" s="36"/>
      <c r="AN935" s="36"/>
      <c r="AO935" s="36"/>
      <c r="AP935" s="7"/>
      <c r="AQ935" s="38">
        <f t="shared" si="103"/>
        <v>0</v>
      </c>
      <c r="AR935" s="36"/>
      <c r="AS935" s="18">
        <f t="shared" si="104"/>
        <v>0</v>
      </c>
    </row>
    <row r="936" spans="1:45" x14ac:dyDescent="0.25">
      <c r="A936" s="40">
        <v>46224</v>
      </c>
      <c r="B936" s="20"/>
      <c r="C936" s="20"/>
      <c r="D936" s="20"/>
      <c r="E936" s="20"/>
      <c r="F936" s="7">
        <f t="shared" si="98"/>
        <v>0</v>
      </c>
      <c r="G936" s="7">
        <f t="shared" si="99"/>
        <v>0</v>
      </c>
      <c r="H936" s="20"/>
      <c r="I936" s="20"/>
      <c r="J936" s="20"/>
      <c r="K936" s="20"/>
      <c r="L936" s="20"/>
      <c r="M936" s="20"/>
      <c r="N936" s="20"/>
      <c r="O936" s="20"/>
      <c r="P936" s="20"/>
      <c r="Q936" s="19">
        <f t="shared" si="100"/>
        <v>0</v>
      </c>
      <c r="R936" s="20"/>
      <c r="S936" s="20"/>
      <c r="T936" s="20"/>
      <c r="U936" s="20"/>
      <c r="V936" s="20"/>
      <c r="W936" s="20"/>
      <c r="X936" s="20"/>
      <c r="Y936" s="8">
        <f t="shared" si="101"/>
        <v>0</v>
      </c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7">
        <f t="shared" si="102"/>
        <v>0</v>
      </c>
      <c r="AM936" s="36"/>
      <c r="AN936" s="36"/>
      <c r="AO936" s="36"/>
      <c r="AP936" s="7"/>
      <c r="AQ936" s="38">
        <f t="shared" si="103"/>
        <v>0</v>
      </c>
      <c r="AR936" s="36"/>
      <c r="AS936" s="18">
        <f t="shared" si="104"/>
        <v>0</v>
      </c>
    </row>
    <row r="937" spans="1:45" x14ac:dyDescent="0.25">
      <c r="A937" s="40">
        <v>46225</v>
      </c>
      <c r="B937" s="20"/>
      <c r="C937" s="20"/>
      <c r="D937" s="20"/>
      <c r="E937" s="20"/>
      <c r="F937" s="7">
        <f t="shared" si="98"/>
        <v>0</v>
      </c>
      <c r="G937" s="7">
        <f t="shared" si="99"/>
        <v>0</v>
      </c>
      <c r="H937" s="20"/>
      <c r="I937" s="20"/>
      <c r="J937" s="20"/>
      <c r="K937" s="20"/>
      <c r="L937" s="20"/>
      <c r="M937" s="20"/>
      <c r="N937" s="20"/>
      <c r="O937" s="20"/>
      <c r="P937" s="20"/>
      <c r="Q937" s="19">
        <f t="shared" si="100"/>
        <v>0</v>
      </c>
      <c r="R937" s="20"/>
      <c r="S937" s="20"/>
      <c r="T937" s="20"/>
      <c r="U937" s="20"/>
      <c r="V937" s="20"/>
      <c r="W937" s="20"/>
      <c r="X937" s="20"/>
      <c r="Y937" s="8">
        <f t="shared" si="101"/>
        <v>0</v>
      </c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7">
        <f t="shared" si="102"/>
        <v>0</v>
      </c>
      <c r="AM937" s="36"/>
      <c r="AN937" s="36"/>
      <c r="AO937" s="36"/>
      <c r="AP937" s="7"/>
      <c r="AQ937" s="38">
        <f t="shared" si="103"/>
        <v>0</v>
      </c>
      <c r="AR937" s="36"/>
      <c r="AS937" s="18">
        <f t="shared" si="104"/>
        <v>0</v>
      </c>
    </row>
    <row r="938" spans="1:45" x14ac:dyDescent="0.25">
      <c r="A938" s="40">
        <v>46226</v>
      </c>
      <c r="B938" s="20"/>
      <c r="C938" s="20"/>
      <c r="D938" s="20"/>
      <c r="E938" s="20"/>
      <c r="F938" s="7">
        <f t="shared" si="98"/>
        <v>0</v>
      </c>
      <c r="G938" s="7">
        <f t="shared" si="99"/>
        <v>0</v>
      </c>
      <c r="H938" s="20"/>
      <c r="I938" s="20"/>
      <c r="J938" s="20"/>
      <c r="K938" s="20"/>
      <c r="L938" s="20"/>
      <c r="M938" s="20"/>
      <c r="N938" s="20"/>
      <c r="O938" s="20"/>
      <c r="P938" s="20"/>
      <c r="Q938" s="19">
        <f t="shared" si="100"/>
        <v>0</v>
      </c>
      <c r="R938" s="20"/>
      <c r="S938" s="20"/>
      <c r="T938" s="20"/>
      <c r="U938" s="20"/>
      <c r="V938" s="20"/>
      <c r="W938" s="20"/>
      <c r="X938" s="20"/>
      <c r="Y938" s="8">
        <f t="shared" si="101"/>
        <v>0</v>
      </c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7">
        <f t="shared" si="102"/>
        <v>0</v>
      </c>
      <c r="AM938" s="36"/>
      <c r="AN938" s="36"/>
      <c r="AO938" s="36"/>
      <c r="AP938" s="7"/>
      <c r="AQ938" s="38">
        <f t="shared" si="103"/>
        <v>0</v>
      </c>
      <c r="AR938" s="36"/>
      <c r="AS938" s="18">
        <f t="shared" si="104"/>
        <v>0</v>
      </c>
    </row>
    <row r="939" spans="1:45" x14ac:dyDescent="0.25">
      <c r="A939" s="40">
        <v>46227</v>
      </c>
      <c r="B939" s="20"/>
      <c r="C939" s="20"/>
      <c r="D939" s="20"/>
      <c r="E939" s="20"/>
      <c r="F939" s="7">
        <f t="shared" si="98"/>
        <v>0</v>
      </c>
      <c r="G939" s="7">
        <f t="shared" si="99"/>
        <v>0</v>
      </c>
      <c r="H939" s="20"/>
      <c r="I939" s="20"/>
      <c r="J939" s="20"/>
      <c r="K939" s="20"/>
      <c r="L939" s="20"/>
      <c r="M939" s="20"/>
      <c r="N939" s="20"/>
      <c r="O939" s="20"/>
      <c r="P939" s="20"/>
      <c r="Q939" s="19">
        <f t="shared" si="100"/>
        <v>0</v>
      </c>
      <c r="R939" s="20"/>
      <c r="S939" s="20"/>
      <c r="T939" s="20"/>
      <c r="U939" s="20"/>
      <c r="V939" s="20"/>
      <c r="W939" s="20"/>
      <c r="X939" s="20"/>
      <c r="Y939" s="8">
        <f t="shared" si="101"/>
        <v>0</v>
      </c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>
        <f t="shared" si="102"/>
        <v>0</v>
      </c>
      <c r="AM939" s="36"/>
      <c r="AN939" s="36"/>
      <c r="AO939" s="36"/>
      <c r="AP939" s="7"/>
      <c r="AQ939" s="38">
        <f t="shared" si="103"/>
        <v>0</v>
      </c>
      <c r="AR939" s="36"/>
      <c r="AS939" s="18">
        <f t="shared" si="104"/>
        <v>0</v>
      </c>
    </row>
    <row r="940" spans="1:45" x14ac:dyDescent="0.25">
      <c r="A940" s="40">
        <v>46228</v>
      </c>
      <c r="B940" s="20"/>
      <c r="C940" s="20"/>
      <c r="D940" s="20"/>
      <c r="E940" s="20"/>
      <c r="F940" s="7">
        <f t="shared" si="98"/>
        <v>0</v>
      </c>
      <c r="G940" s="7">
        <f t="shared" si="99"/>
        <v>0</v>
      </c>
      <c r="H940" s="20"/>
      <c r="I940" s="20"/>
      <c r="J940" s="20"/>
      <c r="K940" s="20"/>
      <c r="L940" s="20"/>
      <c r="M940" s="20"/>
      <c r="N940" s="20"/>
      <c r="O940" s="20"/>
      <c r="P940" s="20"/>
      <c r="Q940" s="19">
        <f t="shared" si="100"/>
        <v>0</v>
      </c>
      <c r="R940" s="20"/>
      <c r="S940" s="20"/>
      <c r="T940" s="20"/>
      <c r="U940" s="20"/>
      <c r="V940" s="20"/>
      <c r="W940" s="20"/>
      <c r="X940" s="20"/>
      <c r="Y940" s="8">
        <f t="shared" si="101"/>
        <v>0</v>
      </c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7">
        <f t="shared" si="102"/>
        <v>0</v>
      </c>
      <c r="AM940" s="36"/>
      <c r="AN940" s="36"/>
      <c r="AO940" s="36"/>
      <c r="AP940" s="7"/>
      <c r="AQ940" s="38">
        <f t="shared" si="103"/>
        <v>0</v>
      </c>
      <c r="AR940" s="36"/>
      <c r="AS940" s="18">
        <f t="shared" si="104"/>
        <v>0</v>
      </c>
    </row>
    <row r="941" spans="1:45" x14ac:dyDescent="0.25">
      <c r="A941" s="40">
        <v>46229</v>
      </c>
      <c r="B941" s="20"/>
      <c r="C941" s="20"/>
      <c r="D941" s="20"/>
      <c r="E941" s="20"/>
      <c r="F941" s="7">
        <f t="shared" si="98"/>
        <v>0</v>
      </c>
      <c r="G941" s="7">
        <f t="shared" si="99"/>
        <v>0</v>
      </c>
      <c r="H941" s="20"/>
      <c r="I941" s="20"/>
      <c r="J941" s="20"/>
      <c r="K941" s="20"/>
      <c r="L941" s="20"/>
      <c r="M941" s="20"/>
      <c r="N941" s="20"/>
      <c r="O941" s="20"/>
      <c r="P941" s="20"/>
      <c r="Q941" s="19">
        <f t="shared" si="100"/>
        <v>0</v>
      </c>
      <c r="R941" s="20"/>
      <c r="S941" s="20"/>
      <c r="T941" s="20"/>
      <c r="U941" s="20"/>
      <c r="V941" s="20"/>
      <c r="W941" s="20"/>
      <c r="X941" s="20"/>
      <c r="Y941" s="8">
        <f t="shared" si="101"/>
        <v>0</v>
      </c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7">
        <f t="shared" si="102"/>
        <v>0</v>
      </c>
      <c r="AM941" s="36"/>
      <c r="AN941" s="36"/>
      <c r="AO941" s="36"/>
      <c r="AP941" s="7"/>
      <c r="AQ941" s="38">
        <f t="shared" si="103"/>
        <v>0</v>
      </c>
      <c r="AR941" s="36"/>
      <c r="AS941" s="18">
        <f t="shared" si="104"/>
        <v>0</v>
      </c>
    </row>
    <row r="942" spans="1:45" x14ac:dyDescent="0.25">
      <c r="A942" s="40">
        <v>46230</v>
      </c>
      <c r="B942" s="20"/>
      <c r="C942" s="20"/>
      <c r="D942" s="20"/>
      <c r="E942" s="20"/>
      <c r="F942" s="7">
        <f t="shared" si="98"/>
        <v>0</v>
      </c>
      <c r="G942" s="7">
        <f t="shared" si="99"/>
        <v>0</v>
      </c>
      <c r="H942" s="20"/>
      <c r="I942" s="20"/>
      <c r="J942" s="20"/>
      <c r="K942" s="20"/>
      <c r="L942" s="20"/>
      <c r="M942" s="20"/>
      <c r="N942" s="20"/>
      <c r="O942" s="20"/>
      <c r="P942" s="20"/>
      <c r="Q942" s="19">
        <f t="shared" si="100"/>
        <v>0</v>
      </c>
      <c r="R942" s="20"/>
      <c r="S942" s="20"/>
      <c r="T942" s="20"/>
      <c r="U942" s="20"/>
      <c r="V942" s="20"/>
      <c r="W942" s="20"/>
      <c r="X942" s="20"/>
      <c r="Y942" s="8">
        <f t="shared" si="101"/>
        <v>0</v>
      </c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7">
        <f t="shared" si="102"/>
        <v>0</v>
      </c>
      <c r="AM942" s="36"/>
      <c r="AN942" s="36"/>
      <c r="AO942" s="36"/>
      <c r="AP942" s="7"/>
      <c r="AQ942" s="38">
        <f t="shared" si="103"/>
        <v>0</v>
      </c>
      <c r="AR942" s="36"/>
      <c r="AS942" s="18">
        <f t="shared" si="104"/>
        <v>0</v>
      </c>
    </row>
    <row r="943" spans="1:45" x14ac:dyDescent="0.25">
      <c r="A943" s="40">
        <v>46231</v>
      </c>
      <c r="B943" s="20"/>
      <c r="C943" s="20"/>
      <c r="D943" s="20"/>
      <c r="E943" s="20"/>
      <c r="F943" s="7">
        <f t="shared" si="98"/>
        <v>0</v>
      </c>
      <c r="G943" s="7">
        <f t="shared" si="99"/>
        <v>0</v>
      </c>
      <c r="H943" s="20"/>
      <c r="I943" s="20"/>
      <c r="J943" s="20"/>
      <c r="K943" s="20"/>
      <c r="L943" s="20"/>
      <c r="M943" s="20"/>
      <c r="N943" s="20"/>
      <c r="O943" s="20"/>
      <c r="P943" s="20"/>
      <c r="Q943" s="19">
        <f t="shared" si="100"/>
        <v>0</v>
      </c>
      <c r="R943" s="20"/>
      <c r="S943" s="20"/>
      <c r="T943" s="20"/>
      <c r="U943" s="20"/>
      <c r="V943" s="20"/>
      <c r="W943" s="20"/>
      <c r="X943" s="20"/>
      <c r="Y943" s="8">
        <f t="shared" si="101"/>
        <v>0</v>
      </c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7">
        <f t="shared" si="102"/>
        <v>0</v>
      </c>
      <c r="AM943" s="36"/>
      <c r="AN943" s="36"/>
      <c r="AO943" s="36"/>
      <c r="AP943" s="7"/>
      <c r="AQ943" s="38">
        <f t="shared" si="103"/>
        <v>0</v>
      </c>
      <c r="AR943" s="36"/>
      <c r="AS943" s="18">
        <f t="shared" si="104"/>
        <v>0</v>
      </c>
    </row>
    <row r="944" spans="1:45" x14ac:dyDescent="0.25">
      <c r="A944" s="40">
        <v>46232</v>
      </c>
      <c r="B944" s="20"/>
      <c r="C944" s="20"/>
      <c r="D944" s="20"/>
      <c r="E944" s="20"/>
      <c r="F944" s="7">
        <f t="shared" si="98"/>
        <v>0</v>
      </c>
      <c r="G944" s="7">
        <f t="shared" si="99"/>
        <v>0</v>
      </c>
      <c r="H944" s="20"/>
      <c r="I944" s="20"/>
      <c r="J944" s="20"/>
      <c r="K944" s="20"/>
      <c r="L944" s="20"/>
      <c r="M944" s="20"/>
      <c r="N944" s="20"/>
      <c r="O944" s="20"/>
      <c r="P944" s="20"/>
      <c r="Q944" s="19">
        <f t="shared" si="100"/>
        <v>0</v>
      </c>
      <c r="R944" s="20"/>
      <c r="S944" s="20"/>
      <c r="T944" s="20"/>
      <c r="U944" s="20"/>
      <c r="V944" s="20"/>
      <c r="W944" s="20"/>
      <c r="X944" s="20"/>
      <c r="Y944" s="8">
        <f t="shared" si="101"/>
        <v>0</v>
      </c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7">
        <f t="shared" si="102"/>
        <v>0</v>
      </c>
      <c r="AM944" s="36"/>
      <c r="AN944" s="36"/>
      <c r="AO944" s="36"/>
      <c r="AP944" s="7"/>
      <c r="AQ944" s="38">
        <f t="shared" si="103"/>
        <v>0</v>
      </c>
      <c r="AR944" s="36"/>
      <c r="AS944" s="18">
        <f t="shared" si="104"/>
        <v>0</v>
      </c>
    </row>
    <row r="945" spans="1:45" x14ac:dyDescent="0.25">
      <c r="A945" s="40">
        <v>46233</v>
      </c>
      <c r="B945" s="20"/>
      <c r="C945" s="20"/>
      <c r="D945" s="20"/>
      <c r="E945" s="20"/>
      <c r="F945" s="7">
        <f t="shared" si="98"/>
        <v>0</v>
      </c>
      <c r="G945" s="7">
        <f t="shared" si="99"/>
        <v>0</v>
      </c>
      <c r="H945" s="20"/>
      <c r="I945" s="20"/>
      <c r="J945" s="20"/>
      <c r="K945" s="20"/>
      <c r="L945" s="20"/>
      <c r="M945" s="20"/>
      <c r="N945" s="20"/>
      <c r="O945" s="20"/>
      <c r="P945" s="20"/>
      <c r="Q945" s="19">
        <f t="shared" si="100"/>
        <v>0</v>
      </c>
      <c r="R945" s="20"/>
      <c r="S945" s="20"/>
      <c r="T945" s="20"/>
      <c r="U945" s="20"/>
      <c r="V945" s="20"/>
      <c r="W945" s="20"/>
      <c r="X945" s="20"/>
      <c r="Y945" s="8">
        <f t="shared" si="101"/>
        <v>0</v>
      </c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7">
        <f t="shared" si="102"/>
        <v>0</v>
      </c>
      <c r="AM945" s="36"/>
      <c r="AN945" s="36"/>
      <c r="AO945" s="36"/>
      <c r="AP945" s="7"/>
      <c r="AQ945" s="38">
        <f t="shared" si="103"/>
        <v>0</v>
      </c>
      <c r="AR945" s="36"/>
      <c r="AS945" s="18">
        <f t="shared" si="104"/>
        <v>0</v>
      </c>
    </row>
    <row r="946" spans="1:45" x14ac:dyDescent="0.25">
      <c r="A946" s="40">
        <v>46234</v>
      </c>
      <c r="B946" s="20"/>
      <c r="C946" s="20"/>
      <c r="D946" s="20"/>
      <c r="E946" s="20"/>
      <c r="F946" s="7">
        <f t="shared" si="98"/>
        <v>0</v>
      </c>
      <c r="G946" s="7">
        <f t="shared" si="99"/>
        <v>0</v>
      </c>
      <c r="H946" s="20"/>
      <c r="I946" s="20"/>
      <c r="J946" s="20"/>
      <c r="K946" s="20"/>
      <c r="L946" s="20"/>
      <c r="M946" s="20"/>
      <c r="N946" s="20"/>
      <c r="O946" s="20"/>
      <c r="P946" s="20"/>
      <c r="Q946" s="19">
        <f t="shared" si="100"/>
        <v>0</v>
      </c>
      <c r="R946" s="20"/>
      <c r="S946" s="20"/>
      <c r="T946" s="20"/>
      <c r="U946" s="20"/>
      <c r="V946" s="20"/>
      <c r="W946" s="20"/>
      <c r="X946" s="20"/>
      <c r="Y946" s="8">
        <f t="shared" si="101"/>
        <v>0</v>
      </c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7">
        <f t="shared" si="102"/>
        <v>0</v>
      </c>
      <c r="AM946" s="36"/>
      <c r="AN946" s="36"/>
      <c r="AO946" s="36"/>
      <c r="AP946" s="7"/>
      <c r="AQ946" s="38">
        <f t="shared" si="103"/>
        <v>0</v>
      </c>
      <c r="AR946" s="36"/>
      <c r="AS946" s="18">
        <f t="shared" si="104"/>
        <v>0</v>
      </c>
    </row>
    <row r="947" spans="1:45" x14ac:dyDescent="0.25">
      <c r="A947" s="40">
        <v>46235</v>
      </c>
      <c r="B947" s="20"/>
      <c r="C947" s="20"/>
      <c r="D947" s="20"/>
      <c r="E947" s="20"/>
      <c r="F947" s="7">
        <f t="shared" si="98"/>
        <v>0</v>
      </c>
      <c r="G947" s="7">
        <f t="shared" si="99"/>
        <v>0</v>
      </c>
      <c r="H947" s="20"/>
      <c r="I947" s="20"/>
      <c r="J947" s="20"/>
      <c r="K947" s="20"/>
      <c r="L947" s="20"/>
      <c r="M947" s="20"/>
      <c r="N947" s="20"/>
      <c r="O947" s="20"/>
      <c r="P947" s="20"/>
      <c r="Q947" s="19">
        <f t="shared" si="100"/>
        <v>0</v>
      </c>
      <c r="R947" s="20"/>
      <c r="S947" s="20"/>
      <c r="T947" s="20"/>
      <c r="U947" s="20"/>
      <c r="V947" s="20"/>
      <c r="W947" s="20"/>
      <c r="X947" s="20"/>
      <c r="Y947" s="8">
        <f t="shared" si="101"/>
        <v>0</v>
      </c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7">
        <f t="shared" si="102"/>
        <v>0</v>
      </c>
      <c r="AM947" s="36"/>
      <c r="AN947" s="36"/>
      <c r="AO947" s="36"/>
      <c r="AP947" s="7"/>
      <c r="AQ947" s="38">
        <f t="shared" si="103"/>
        <v>0</v>
      </c>
      <c r="AR947" s="36"/>
      <c r="AS947" s="18">
        <f t="shared" si="104"/>
        <v>0</v>
      </c>
    </row>
    <row r="948" spans="1:45" x14ac:dyDescent="0.25">
      <c r="A948" s="40">
        <v>46236</v>
      </c>
      <c r="B948" s="20"/>
      <c r="C948" s="20"/>
      <c r="D948" s="20"/>
      <c r="E948" s="20"/>
      <c r="F948" s="7">
        <f t="shared" si="98"/>
        <v>0</v>
      </c>
      <c r="G948" s="7">
        <f t="shared" si="99"/>
        <v>0</v>
      </c>
      <c r="H948" s="20"/>
      <c r="I948" s="20"/>
      <c r="J948" s="20"/>
      <c r="K948" s="20"/>
      <c r="L948" s="20"/>
      <c r="M948" s="20"/>
      <c r="N948" s="20"/>
      <c r="O948" s="20"/>
      <c r="P948" s="20"/>
      <c r="Q948" s="19">
        <f t="shared" si="100"/>
        <v>0</v>
      </c>
      <c r="R948" s="20"/>
      <c r="S948" s="20"/>
      <c r="T948" s="20"/>
      <c r="U948" s="20"/>
      <c r="V948" s="20"/>
      <c r="W948" s="20"/>
      <c r="X948" s="20"/>
      <c r="Y948" s="8">
        <f t="shared" si="101"/>
        <v>0</v>
      </c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7">
        <f t="shared" si="102"/>
        <v>0</v>
      </c>
      <c r="AM948" s="36"/>
      <c r="AN948" s="36"/>
      <c r="AO948" s="36"/>
      <c r="AP948" s="7"/>
      <c r="AQ948" s="38">
        <f t="shared" si="103"/>
        <v>0</v>
      </c>
      <c r="AR948" s="36"/>
      <c r="AS948" s="18">
        <f t="shared" si="104"/>
        <v>0</v>
      </c>
    </row>
    <row r="949" spans="1:45" x14ac:dyDescent="0.25">
      <c r="A949" s="40">
        <v>46237</v>
      </c>
      <c r="B949" s="20"/>
      <c r="C949" s="20"/>
      <c r="D949" s="20"/>
      <c r="E949" s="20"/>
      <c r="F949" s="7">
        <f t="shared" si="98"/>
        <v>0</v>
      </c>
      <c r="G949" s="7">
        <f t="shared" si="99"/>
        <v>0</v>
      </c>
      <c r="H949" s="20"/>
      <c r="I949" s="20"/>
      <c r="J949" s="20"/>
      <c r="K949" s="20"/>
      <c r="L949" s="20"/>
      <c r="M949" s="20"/>
      <c r="N949" s="20"/>
      <c r="O949" s="20"/>
      <c r="P949" s="20"/>
      <c r="Q949" s="19">
        <f t="shared" si="100"/>
        <v>0</v>
      </c>
      <c r="R949" s="20"/>
      <c r="S949" s="20"/>
      <c r="T949" s="20"/>
      <c r="U949" s="20"/>
      <c r="V949" s="20"/>
      <c r="W949" s="20"/>
      <c r="X949" s="20"/>
      <c r="Y949" s="8">
        <f t="shared" si="101"/>
        <v>0</v>
      </c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7">
        <f t="shared" si="102"/>
        <v>0</v>
      </c>
      <c r="AM949" s="36"/>
      <c r="AN949" s="36"/>
      <c r="AO949" s="36"/>
      <c r="AP949" s="7"/>
      <c r="AQ949" s="38">
        <f t="shared" si="103"/>
        <v>0</v>
      </c>
      <c r="AR949" s="36"/>
      <c r="AS949" s="18">
        <f t="shared" si="104"/>
        <v>0</v>
      </c>
    </row>
    <row r="950" spans="1:45" x14ac:dyDescent="0.25">
      <c r="A950" s="40">
        <v>46238</v>
      </c>
      <c r="B950" s="20"/>
      <c r="C950" s="20"/>
      <c r="D950" s="20"/>
      <c r="E950" s="20"/>
      <c r="F950" s="7">
        <f t="shared" si="98"/>
        <v>0</v>
      </c>
      <c r="G950" s="7">
        <f t="shared" si="99"/>
        <v>0</v>
      </c>
      <c r="H950" s="20"/>
      <c r="I950" s="20"/>
      <c r="J950" s="20"/>
      <c r="K950" s="20"/>
      <c r="L950" s="20"/>
      <c r="M950" s="20"/>
      <c r="N950" s="20"/>
      <c r="O950" s="20"/>
      <c r="P950" s="20"/>
      <c r="Q950" s="19">
        <f t="shared" si="100"/>
        <v>0</v>
      </c>
      <c r="R950" s="20"/>
      <c r="S950" s="20"/>
      <c r="T950" s="20"/>
      <c r="U950" s="20"/>
      <c r="V950" s="20"/>
      <c r="W950" s="20"/>
      <c r="X950" s="20"/>
      <c r="Y950" s="8">
        <f t="shared" si="101"/>
        <v>0</v>
      </c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7">
        <f t="shared" si="102"/>
        <v>0</v>
      </c>
      <c r="AM950" s="36"/>
      <c r="AN950" s="36"/>
      <c r="AO950" s="36"/>
      <c r="AP950" s="7"/>
      <c r="AQ950" s="38">
        <f t="shared" si="103"/>
        <v>0</v>
      </c>
      <c r="AR950" s="36"/>
      <c r="AS950" s="18">
        <f t="shared" si="104"/>
        <v>0</v>
      </c>
    </row>
    <row r="951" spans="1:45" x14ac:dyDescent="0.25">
      <c r="A951" s="40">
        <v>46239</v>
      </c>
      <c r="B951" s="20"/>
      <c r="C951" s="20"/>
      <c r="D951" s="20"/>
      <c r="E951" s="20"/>
      <c r="F951" s="7">
        <f t="shared" si="98"/>
        <v>0</v>
      </c>
      <c r="G951" s="7">
        <f t="shared" si="99"/>
        <v>0</v>
      </c>
      <c r="H951" s="20"/>
      <c r="I951" s="20"/>
      <c r="J951" s="20"/>
      <c r="K951" s="20"/>
      <c r="L951" s="20"/>
      <c r="M951" s="20"/>
      <c r="N951" s="20"/>
      <c r="O951" s="20"/>
      <c r="P951" s="20"/>
      <c r="Q951" s="19">
        <f t="shared" si="100"/>
        <v>0</v>
      </c>
      <c r="R951" s="20"/>
      <c r="S951" s="20"/>
      <c r="T951" s="20"/>
      <c r="U951" s="20"/>
      <c r="V951" s="20"/>
      <c r="W951" s="20"/>
      <c r="X951" s="20"/>
      <c r="Y951" s="8">
        <f t="shared" si="101"/>
        <v>0</v>
      </c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7">
        <f t="shared" si="102"/>
        <v>0</v>
      </c>
      <c r="AM951" s="36"/>
      <c r="AN951" s="36"/>
      <c r="AO951" s="36"/>
      <c r="AP951" s="7"/>
      <c r="AQ951" s="38">
        <f t="shared" si="103"/>
        <v>0</v>
      </c>
      <c r="AR951" s="36"/>
      <c r="AS951" s="18">
        <f t="shared" si="104"/>
        <v>0</v>
      </c>
    </row>
    <row r="952" spans="1:45" x14ac:dyDescent="0.25">
      <c r="A952" s="40">
        <v>46240</v>
      </c>
      <c r="B952" s="20"/>
      <c r="C952" s="20"/>
      <c r="D952" s="20"/>
      <c r="E952" s="20"/>
      <c r="F952" s="7">
        <f t="shared" si="98"/>
        <v>0</v>
      </c>
      <c r="G952" s="7">
        <f t="shared" si="99"/>
        <v>0</v>
      </c>
      <c r="H952" s="20"/>
      <c r="I952" s="20"/>
      <c r="J952" s="20"/>
      <c r="K952" s="20"/>
      <c r="L952" s="20"/>
      <c r="M952" s="20"/>
      <c r="N952" s="20"/>
      <c r="O952" s="20"/>
      <c r="P952" s="20"/>
      <c r="Q952" s="19">
        <f t="shared" si="100"/>
        <v>0</v>
      </c>
      <c r="R952" s="20"/>
      <c r="S952" s="20"/>
      <c r="T952" s="20"/>
      <c r="U952" s="20"/>
      <c r="V952" s="20"/>
      <c r="W952" s="20"/>
      <c r="X952" s="20"/>
      <c r="Y952" s="8">
        <f t="shared" si="101"/>
        <v>0</v>
      </c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7">
        <f t="shared" si="102"/>
        <v>0</v>
      </c>
      <c r="AM952" s="36"/>
      <c r="AN952" s="36"/>
      <c r="AO952" s="36"/>
      <c r="AP952" s="7"/>
      <c r="AQ952" s="38">
        <f t="shared" si="103"/>
        <v>0</v>
      </c>
      <c r="AR952" s="36"/>
      <c r="AS952" s="18">
        <f t="shared" si="104"/>
        <v>0</v>
      </c>
    </row>
    <row r="953" spans="1:45" x14ac:dyDescent="0.25">
      <c r="A953" s="40">
        <v>46241</v>
      </c>
      <c r="B953" s="20"/>
      <c r="C953" s="20"/>
      <c r="D953" s="20"/>
      <c r="E953" s="20"/>
      <c r="F953" s="7">
        <f t="shared" si="98"/>
        <v>0</v>
      </c>
      <c r="G953" s="7">
        <f t="shared" si="99"/>
        <v>0</v>
      </c>
      <c r="H953" s="20"/>
      <c r="I953" s="20"/>
      <c r="J953" s="20"/>
      <c r="K953" s="20"/>
      <c r="L953" s="20"/>
      <c r="M953" s="20"/>
      <c r="N953" s="20"/>
      <c r="O953" s="20"/>
      <c r="P953" s="20"/>
      <c r="Q953" s="19">
        <f t="shared" si="100"/>
        <v>0</v>
      </c>
      <c r="R953" s="20"/>
      <c r="S953" s="20"/>
      <c r="T953" s="20"/>
      <c r="U953" s="20"/>
      <c r="V953" s="20"/>
      <c r="W953" s="20"/>
      <c r="X953" s="20"/>
      <c r="Y953" s="8">
        <f t="shared" si="101"/>
        <v>0</v>
      </c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7">
        <f t="shared" si="102"/>
        <v>0</v>
      </c>
      <c r="AM953" s="36"/>
      <c r="AN953" s="36"/>
      <c r="AO953" s="36"/>
      <c r="AP953" s="7"/>
      <c r="AQ953" s="38">
        <f t="shared" si="103"/>
        <v>0</v>
      </c>
      <c r="AR953" s="36"/>
      <c r="AS953" s="18">
        <f t="shared" si="104"/>
        <v>0</v>
      </c>
    </row>
    <row r="954" spans="1:45" x14ac:dyDescent="0.25">
      <c r="A954" s="40">
        <v>46242</v>
      </c>
      <c r="B954" s="20"/>
      <c r="C954" s="20"/>
      <c r="D954" s="20"/>
      <c r="E954" s="20"/>
      <c r="F954" s="7">
        <f t="shared" si="98"/>
        <v>0</v>
      </c>
      <c r="G954" s="7">
        <f t="shared" si="99"/>
        <v>0</v>
      </c>
      <c r="H954" s="20"/>
      <c r="I954" s="20"/>
      <c r="J954" s="20"/>
      <c r="K954" s="20"/>
      <c r="L954" s="20"/>
      <c r="M954" s="20"/>
      <c r="N954" s="20"/>
      <c r="O954" s="20"/>
      <c r="P954" s="20"/>
      <c r="Q954" s="19">
        <f t="shared" si="100"/>
        <v>0</v>
      </c>
      <c r="R954" s="20"/>
      <c r="S954" s="20"/>
      <c r="T954" s="20"/>
      <c r="U954" s="20"/>
      <c r="V954" s="20"/>
      <c r="W954" s="20"/>
      <c r="X954" s="20"/>
      <c r="Y954" s="8">
        <f t="shared" si="101"/>
        <v>0</v>
      </c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7">
        <f t="shared" si="102"/>
        <v>0</v>
      </c>
      <c r="AM954" s="36"/>
      <c r="AN954" s="36"/>
      <c r="AO954" s="36"/>
      <c r="AP954" s="7"/>
      <c r="AQ954" s="38">
        <f t="shared" si="103"/>
        <v>0</v>
      </c>
      <c r="AR954" s="36"/>
      <c r="AS954" s="18">
        <f t="shared" si="104"/>
        <v>0</v>
      </c>
    </row>
    <row r="955" spans="1:45" x14ac:dyDescent="0.25">
      <c r="A955" s="40">
        <v>46243</v>
      </c>
      <c r="B955" s="20"/>
      <c r="C955" s="20"/>
      <c r="D955" s="20"/>
      <c r="E955" s="20"/>
      <c r="F955" s="7">
        <f t="shared" si="98"/>
        <v>0</v>
      </c>
      <c r="G955" s="7">
        <f t="shared" si="99"/>
        <v>0</v>
      </c>
      <c r="H955" s="20"/>
      <c r="I955" s="20"/>
      <c r="J955" s="20"/>
      <c r="K955" s="20"/>
      <c r="L955" s="20"/>
      <c r="M955" s="20"/>
      <c r="N955" s="20"/>
      <c r="O955" s="20"/>
      <c r="P955" s="20"/>
      <c r="Q955" s="19">
        <f t="shared" si="100"/>
        <v>0</v>
      </c>
      <c r="R955" s="20"/>
      <c r="S955" s="20"/>
      <c r="T955" s="20"/>
      <c r="U955" s="20"/>
      <c r="V955" s="20"/>
      <c r="W955" s="20"/>
      <c r="X955" s="20"/>
      <c r="Y955" s="8">
        <f t="shared" si="101"/>
        <v>0</v>
      </c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7">
        <f t="shared" si="102"/>
        <v>0</v>
      </c>
      <c r="AM955" s="36"/>
      <c r="AN955" s="36"/>
      <c r="AO955" s="36"/>
      <c r="AP955" s="7"/>
      <c r="AQ955" s="38">
        <f t="shared" si="103"/>
        <v>0</v>
      </c>
      <c r="AR955" s="36"/>
      <c r="AS955" s="18">
        <f t="shared" si="104"/>
        <v>0</v>
      </c>
    </row>
    <row r="956" spans="1:45" x14ac:dyDescent="0.25">
      <c r="A956" s="40">
        <v>46244</v>
      </c>
      <c r="B956" s="20"/>
      <c r="C956" s="20"/>
      <c r="D956" s="20"/>
      <c r="E956" s="20"/>
      <c r="F956" s="7">
        <f t="shared" si="98"/>
        <v>0</v>
      </c>
      <c r="G956" s="7">
        <f t="shared" si="99"/>
        <v>0</v>
      </c>
      <c r="H956" s="20"/>
      <c r="I956" s="20"/>
      <c r="J956" s="20"/>
      <c r="K956" s="20"/>
      <c r="L956" s="20"/>
      <c r="M956" s="20"/>
      <c r="N956" s="20"/>
      <c r="O956" s="20"/>
      <c r="P956" s="20"/>
      <c r="Q956" s="19">
        <f t="shared" si="100"/>
        <v>0</v>
      </c>
      <c r="R956" s="20"/>
      <c r="S956" s="20"/>
      <c r="T956" s="20"/>
      <c r="U956" s="20"/>
      <c r="V956" s="20"/>
      <c r="W956" s="20"/>
      <c r="X956" s="20"/>
      <c r="Y956" s="8">
        <f t="shared" si="101"/>
        <v>0</v>
      </c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7">
        <f t="shared" si="102"/>
        <v>0</v>
      </c>
      <c r="AM956" s="36"/>
      <c r="AN956" s="36"/>
      <c r="AO956" s="36"/>
      <c r="AP956" s="7"/>
      <c r="AQ956" s="38">
        <f t="shared" si="103"/>
        <v>0</v>
      </c>
      <c r="AR956" s="36"/>
      <c r="AS956" s="18">
        <f t="shared" si="104"/>
        <v>0</v>
      </c>
    </row>
    <row r="957" spans="1:45" x14ac:dyDescent="0.25">
      <c r="A957" s="40">
        <v>46245</v>
      </c>
      <c r="B957" s="20"/>
      <c r="C957" s="20"/>
      <c r="D957" s="20"/>
      <c r="E957" s="20"/>
      <c r="F957" s="7">
        <f t="shared" si="98"/>
        <v>0</v>
      </c>
      <c r="G957" s="7">
        <f t="shared" si="99"/>
        <v>0</v>
      </c>
      <c r="H957" s="20"/>
      <c r="I957" s="20"/>
      <c r="J957" s="20"/>
      <c r="K957" s="20"/>
      <c r="L957" s="20"/>
      <c r="M957" s="20"/>
      <c r="N957" s="20"/>
      <c r="O957" s="20"/>
      <c r="P957" s="20"/>
      <c r="Q957" s="19">
        <f t="shared" si="100"/>
        <v>0</v>
      </c>
      <c r="R957" s="20"/>
      <c r="S957" s="20"/>
      <c r="T957" s="20"/>
      <c r="U957" s="20"/>
      <c r="V957" s="20"/>
      <c r="W957" s="20"/>
      <c r="X957" s="20"/>
      <c r="Y957" s="8">
        <f t="shared" si="101"/>
        <v>0</v>
      </c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7">
        <f t="shared" si="102"/>
        <v>0</v>
      </c>
      <c r="AM957" s="36"/>
      <c r="AN957" s="36"/>
      <c r="AO957" s="36"/>
      <c r="AP957" s="7"/>
      <c r="AQ957" s="38">
        <f t="shared" si="103"/>
        <v>0</v>
      </c>
      <c r="AR957" s="36"/>
      <c r="AS957" s="18">
        <f t="shared" si="104"/>
        <v>0</v>
      </c>
    </row>
    <row r="958" spans="1:45" x14ac:dyDescent="0.25">
      <c r="A958" s="40">
        <v>46246</v>
      </c>
      <c r="B958" s="20"/>
      <c r="C958" s="20"/>
      <c r="D958" s="20"/>
      <c r="E958" s="20"/>
      <c r="F958" s="7">
        <f t="shared" si="98"/>
        <v>0</v>
      </c>
      <c r="G958" s="7">
        <f t="shared" si="99"/>
        <v>0</v>
      </c>
      <c r="H958" s="20"/>
      <c r="I958" s="20"/>
      <c r="J958" s="20"/>
      <c r="K958" s="20"/>
      <c r="L958" s="20"/>
      <c r="M958" s="20"/>
      <c r="N958" s="20"/>
      <c r="O958" s="20"/>
      <c r="P958" s="20"/>
      <c r="Q958" s="19">
        <f t="shared" si="100"/>
        <v>0</v>
      </c>
      <c r="R958" s="20"/>
      <c r="S958" s="20"/>
      <c r="T958" s="20"/>
      <c r="U958" s="20"/>
      <c r="V958" s="20"/>
      <c r="W958" s="20"/>
      <c r="X958" s="20"/>
      <c r="Y958" s="8">
        <f t="shared" si="101"/>
        <v>0</v>
      </c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7">
        <f t="shared" si="102"/>
        <v>0</v>
      </c>
      <c r="AM958" s="36"/>
      <c r="AN958" s="36"/>
      <c r="AO958" s="36"/>
      <c r="AP958" s="7"/>
      <c r="AQ958" s="38">
        <f t="shared" si="103"/>
        <v>0</v>
      </c>
      <c r="AR958" s="36"/>
      <c r="AS958" s="18">
        <f t="shared" si="104"/>
        <v>0</v>
      </c>
    </row>
    <row r="959" spans="1:45" x14ac:dyDescent="0.25">
      <c r="A959" s="40">
        <v>46247</v>
      </c>
      <c r="B959" s="20"/>
      <c r="C959" s="20"/>
      <c r="D959" s="20"/>
      <c r="E959" s="20"/>
      <c r="F959" s="7">
        <f t="shared" si="98"/>
        <v>0</v>
      </c>
      <c r="G959" s="7">
        <f t="shared" si="99"/>
        <v>0</v>
      </c>
      <c r="H959" s="20"/>
      <c r="I959" s="20"/>
      <c r="J959" s="20"/>
      <c r="K959" s="20"/>
      <c r="L959" s="20"/>
      <c r="M959" s="20"/>
      <c r="N959" s="20"/>
      <c r="O959" s="20"/>
      <c r="P959" s="20"/>
      <c r="Q959" s="19">
        <f t="shared" si="100"/>
        <v>0</v>
      </c>
      <c r="R959" s="20"/>
      <c r="S959" s="20"/>
      <c r="T959" s="20"/>
      <c r="U959" s="20"/>
      <c r="V959" s="20"/>
      <c r="W959" s="20"/>
      <c r="X959" s="20"/>
      <c r="Y959" s="8">
        <f t="shared" si="101"/>
        <v>0</v>
      </c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7">
        <f t="shared" si="102"/>
        <v>0</v>
      </c>
      <c r="AM959" s="36"/>
      <c r="AN959" s="36"/>
      <c r="AO959" s="36"/>
      <c r="AP959" s="7"/>
      <c r="AQ959" s="38">
        <f t="shared" si="103"/>
        <v>0</v>
      </c>
      <c r="AR959" s="36"/>
      <c r="AS959" s="18">
        <f t="shared" si="104"/>
        <v>0</v>
      </c>
    </row>
    <row r="960" spans="1:45" x14ac:dyDescent="0.25">
      <c r="A960" s="40">
        <v>46248</v>
      </c>
      <c r="B960" s="20"/>
      <c r="C960" s="20"/>
      <c r="D960" s="20"/>
      <c r="E960" s="20"/>
      <c r="F960" s="7">
        <f t="shared" si="98"/>
        <v>0</v>
      </c>
      <c r="G960" s="7">
        <f t="shared" si="99"/>
        <v>0</v>
      </c>
      <c r="H960" s="20"/>
      <c r="I960" s="20"/>
      <c r="J960" s="20"/>
      <c r="K960" s="20"/>
      <c r="L960" s="20"/>
      <c r="M960" s="20"/>
      <c r="N960" s="20"/>
      <c r="O960" s="20"/>
      <c r="P960" s="20"/>
      <c r="Q960" s="19">
        <f t="shared" si="100"/>
        <v>0</v>
      </c>
      <c r="R960" s="20"/>
      <c r="S960" s="20"/>
      <c r="T960" s="20"/>
      <c r="U960" s="20"/>
      <c r="V960" s="20"/>
      <c r="W960" s="20"/>
      <c r="X960" s="20"/>
      <c r="Y960" s="8">
        <f t="shared" si="101"/>
        <v>0</v>
      </c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7">
        <f t="shared" si="102"/>
        <v>0</v>
      </c>
      <c r="AM960" s="36"/>
      <c r="AN960" s="36"/>
      <c r="AO960" s="36"/>
      <c r="AP960" s="7"/>
      <c r="AQ960" s="38">
        <f t="shared" si="103"/>
        <v>0</v>
      </c>
      <c r="AR960" s="36"/>
      <c r="AS960" s="18">
        <f t="shared" si="104"/>
        <v>0</v>
      </c>
    </row>
    <row r="961" spans="1:45" x14ac:dyDescent="0.25">
      <c r="A961" s="40">
        <v>46249</v>
      </c>
      <c r="B961" s="20"/>
      <c r="C961" s="20"/>
      <c r="D961" s="20"/>
      <c r="E961" s="20"/>
      <c r="F961" s="7">
        <f t="shared" si="98"/>
        <v>0</v>
      </c>
      <c r="G961" s="7">
        <f t="shared" si="99"/>
        <v>0</v>
      </c>
      <c r="H961" s="20"/>
      <c r="I961" s="20"/>
      <c r="J961" s="20"/>
      <c r="K961" s="20"/>
      <c r="L961" s="20"/>
      <c r="M961" s="20"/>
      <c r="N961" s="20"/>
      <c r="O961" s="20"/>
      <c r="P961" s="20"/>
      <c r="Q961" s="19">
        <f t="shared" si="100"/>
        <v>0</v>
      </c>
      <c r="R961" s="20"/>
      <c r="S961" s="20"/>
      <c r="T961" s="20"/>
      <c r="U961" s="20"/>
      <c r="V961" s="20"/>
      <c r="W961" s="20"/>
      <c r="X961" s="20"/>
      <c r="Y961" s="8">
        <f t="shared" si="101"/>
        <v>0</v>
      </c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7">
        <f t="shared" si="102"/>
        <v>0</v>
      </c>
      <c r="AM961" s="36"/>
      <c r="AN961" s="36"/>
      <c r="AO961" s="36"/>
      <c r="AP961" s="7"/>
      <c r="AQ961" s="38">
        <f t="shared" si="103"/>
        <v>0</v>
      </c>
      <c r="AR961" s="36"/>
      <c r="AS961" s="18">
        <f t="shared" si="104"/>
        <v>0</v>
      </c>
    </row>
    <row r="962" spans="1:45" x14ac:dyDescent="0.25">
      <c r="A962" s="40">
        <v>46250</v>
      </c>
      <c r="B962" s="20"/>
      <c r="C962" s="20"/>
      <c r="D962" s="20"/>
      <c r="E962" s="20"/>
      <c r="F962" s="7">
        <f t="shared" si="98"/>
        <v>0</v>
      </c>
      <c r="G962" s="7">
        <f t="shared" si="99"/>
        <v>0</v>
      </c>
      <c r="H962" s="20"/>
      <c r="I962" s="20"/>
      <c r="J962" s="20"/>
      <c r="K962" s="20"/>
      <c r="L962" s="20"/>
      <c r="M962" s="20"/>
      <c r="N962" s="20"/>
      <c r="O962" s="20"/>
      <c r="P962" s="20"/>
      <c r="Q962" s="19">
        <f t="shared" si="100"/>
        <v>0</v>
      </c>
      <c r="R962" s="20"/>
      <c r="S962" s="20"/>
      <c r="T962" s="20"/>
      <c r="U962" s="20"/>
      <c r="V962" s="20"/>
      <c r="W962" s="20"/>
      <c r="X962" s="20"/>
      <c r="Y962" s="8">
        <f t="shared" si="101"/>
        <v>0</v>
      </c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7">
        <f t="shared" si="102"/>
        <v>0</v>
      </c>
      <c r="AM962" s="36"/>
      <c r="AN962" s="36"/>
      <c r="AO962" s="36"/>
      <c r="AP962" s="7"/>
      <c r="AQ962" s="38">
        <f t="shared" si="103"/>
        <v>0</v>
      </c>
      <c r="AR962" s="36"/>
      <c r="AS962" s="18">
        <f t="shared" si="104"/>
        <v>0</v>
      </c>
    </row>
    <row r="963" spans="1:45" x14ac:dyDescent="0.25">
      <c r="A963" s="40">
        <v>46251</v>
      </c>
      <c r="B963" s="20"/>
      <c r="C963" s="20"/>
      <c r="D963" s="20"/>
      <c r="E963" s="20"/>
      <c r="F963" s="7">
        <f t="shared" si="98"/>
        <v>0</v>
      </c>
      <c r="G963" s="7">
        <f t="shared" si="99"/>
        <v>0</v>
      </c>
      <c r="H963" s="20"/>
      <c r="I963" s="20"/>
      <c r="J963" s="20"/>
      <c r="K963" s="20"/>
      <c r="L963" s="20"/>
      <c r="M963" s="20"/>
      <c r="N963" s="20"/>
      <c r="O963" s="20"/>
      <c r="P963" s="20"/>
      <c r="Q963" s="19">
        <f t="shared" si="100"/>
        <v>0</v>
      </c>
      <c r="R963" s="20"/>
      <c r="S963" s="20"/>
      <c r="T963" s="20"/>
      <c r="U963" s="20"/>
      <c r="V963" s="20"/>
      <c r="W963" s="20"/>
      <c r="X963" s="20"/>
      <c r="Y963" s="8">
        <f t="shared" si="101"/>
        <v>0</v>
      </c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7">
        <f t="shared" si="102"/>
        <v>0</v>
      </c>
      <c r="AM963" s="36"/>
      <c r="AN963" s="36"/>
      <c r="AO963" s="36"/>
      <c r="AP963" s="7"/>
      <c r="AQ963" s="38">
        <f t="shared" si="103"/>
        <v>0</v>
      </c>
      <c r="AR963" s="36"/>
      <c r="AS963" s="18">
        <f t="shared" si="104"/>
        <v>0</v>
      </c>
    </row>
    <row r="964" spans="1:45" x14ac:dyDescent="0.25">
      <c r="A964" s="40">
        <v>46252</v>
      </c>
      <c r="B964" s="20"/>
      <c r="C964" s="20"/>
      <c r="D964" s="20"/>
      <c r="E964" s="20"/>
      <c r="F964" s="7">
        <f t="shared" ref="F964:F969" si="105">B964*D964</f>
        <v>0</v>
      </c>
      <c r="G964" s="7">
        <f t="shared" ref="G964:G969" si="106">C964*E964</f>
        <v>0</v>
      </c>
      <c r="H964" s="20"/>
      <c r="I964" s="20"/>
      <c r="J964" s="20"/>
      <c r="K964" s="20"/>
      <c r="L964" s="20"/>
      <c r="M964" s="20"/>
      <c r="N964" s="20"/>
      <c r="O964" s="20"/>
      <c r="P964" s="20"/>
      <c r="Q964" s="19">
        <f t="shared" ref="Q964:Q969" si="107">SUM(F964:G964)+I964+K964+SUM(L964:P964)</f>
        <v>0</v>
      </c>
      <c r="R964" s="20"/>
      <c r="S964" s="20"/>
      <c r="T964" s="20"/>
      <c r="U964" s="20"/>
      <c r="V964" s="20"/>
      <c r="W964" s="20"/>
      <c r="X964" s="20"/>
      <c r="Y964" s="8">
        <f t="shared" ref="Y964:Y969" si="108">Q964-SUM(R964:X964)</f>
        <v>0</v>
      </c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7">
        <f t="shared" ref="AL964:AL969" si="109">SUM(Z964:AK964)</f>
        <v>0</v>
      </c>
      <c r="AM964" s="36"/>
      <c r="AN964" s="36"/>
      <c r="AO964" s="36"/>
      <c r="AP964" s="7"/>
      <c r="AQ964" s="38">
        <f t="shared" ref="AQ964:AQ969" si="110">Q964-SUM(R964:X964)-AL964-SUM(AM964:AO964)</f>
        <v>0</v>
      </c>
      <c r="AR964" s="36"/>
      <c r="AS964" s="18">
        <f t="shared" ref="AS964:AS969" si="111">AR964-AQ964</f>
        <v>0</v>
      </c>
    </row>
    <row r="965" spans="1:45" x14ac:dyDescent="0.25">
      <c r="A965" s="40">
        <v>46253</v>
      </c>
      <c r="B965" s="20"/>
      <c r="C965" s="20"/>
      <c r="D965" s="20"/>
      <c r="E965" s="20"/>
      <c r="F965" s="7">
        <f t="shared" si="105"/>
        <v>0</v>
      </c>
      <c r="G965" s="7">
        <f t="shared" si="106"/>
        <v>0</v>
      </c>
      <c r="H965" s="20"/>
      <c r="I965" s="20"/>
      <c r="J965" s="20"/>
      <c r="K965" s="20"/>
      <c r="L965" s="20"/>
      <c r="M965" s="20"/>
      <c r="N965" s="20"/>
      <c r="O965" s="20"/>
      <c r="P965" s="20"/>
      <c r="Q965" s="19">
        <f t="shared" si="107"/>
        <v>0</v>
      </c>
      <c r="R965" s="20"/>
      <c r="S965" s="20"/>
      <c r="T965" s="20"/>
      <c r="U965" s="20"/>
      <c r="V965" s="20"/>
      <c r="W965" s="20"/>
      <c r="X965" s="20"/>
      <c r="Y965" s="8">
        <f t="shared" si="108"/>
        <v>0</v>
      </c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7">
        <f t="shared" si="109"/>
        <v>0</v>
      </c>
      <c r="AM965" s="36"/>
      <c r="AN965" s="36"/>
      <c r="AO965" s="36"/>
      <c r="AP965" s="7"/>
      <c r="AQ965" s="38">
        <f t="shared" si="110"/>
        <v>0</v>
      </c>
      <c r="AR965" s="36"/>
      <c r="AS965" s="18">
        <f t="shared" si="111"/>
        <v>0</v>
      </c>
    </row>
    <row r="966" spans="1:45" x14ac:dyDescent="0.25">
      <c r="A966" s="40">
        <v>46254</v>
      </c>
      <c r="B966" s="20"/>
      <c r="C966" s="20"/>
      <c r="D966" s="20"/>
      <c r="E966" s="20"/>
      <c r="F966" s="7">
        <f t="shared" si="105"/>
        <v>0</v>
      </c>
      <c r="G966" s="7">
        <f t="shared" si="106"/>
        <v>0</v>
      </c>
      <c r="H966" s="20"/>
      <c r="I966" s="20"/>
      <c r="J966" s="20"/>
      <c r="K966" s="20"/>
      <c r="L966" s="20"/>
      <c r="M966" s="20"/>
      <c r="N966" s="20"/>
      <c r="O966" s="20"/>
      <c r="P966" s="20"/>
      <c r="Q966" s="19">
        <f t="shared" si="107"/>
        <v>0</v>
      </c>
      <c r="R966" s="20"/>
      <c r="S966" s="20"/>
      <c r="T966" s="20"/>
      <c r="U966" s="20"/>
      <c r="V966" s="20"/>
      <c r="W966" s="20"/>
      <c r="X966" s="20"/>
      <c r="Y966" s="8">
        <f t="shared" si="108"/>
        <v>0</v>
      </c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7">
        <f t="shared" si="109"/>
        <v>0</v>
      </c>
      <c r="AM966" s="36"/>
      <c r="AN966" s="36"/>
      <c r="AO966" s="36"/>
      <c r="AP966" s="7"/>
      <c r="AQ966" s="38">
        <f t="shared" si="110"/>
        <v>0</v>
      </c>
      <c r="AR966" s="36"/>
      <c r="AS966" s="18">
        <f t="shared" si="111"/>
        <v>0</v>
      </c>
    </row>
    <row r="967" spans="1:45" x14ac:dyDescent="0.25">
      <c r="A967" s="40">
        <v>46255</v>
      </c>
      <c r="B967" s="20"/>
      <c r="C967" s="20"/>
      <c r="D967" s="20"/>
      <c r="E967" s="20"/>
      <c r="F967" s="7">
        <f t="shared" si="105"/>
        <v>0</v>
      </c>
      <c r="G967" s="7">
        <f t="shared" si="106"/>
        <v>0</v>
      </c>
      <c r="H967" s="20"/>
      <c r="I967" s="20"/>
      <c r="J967" s="20"/>
      <c r="K967" s="20"/>
      <c r="L967" s="20"/>
      <c r="M967" s="20"/>
      <c r="N967" s="20"/>
      <c r="O967" s="20"/>
      <c r="P967" s="20"/>
      <c r="Q967" s="19">
        <f t="shared" si="107"/>
        <v>0</v>
      </c>
      <c r="R967" s="20"/>
      <c r="S967" s="20"/>
      <c r="T967" s="20"/>
      <c r="U967" s="20"/>
      <c r="V967" s="20"/>
      <c r="W967" s="20"/>
      <c r="X967" s="20"/>
      <c r="Y967" s="8">
        <f t="shared" si="108"/>
        <v>0</v>
      </c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7">
        <f t="shared" si="109"/>
        <v>0</v>
      </c>
      <c r="AM967" s="36"/>
      <c r="AN967" s="36"/>
      <c r="AO967" s="36"/>
      <c r="AP967" s="7"/>
      <c r="AQ967" s="38">
        <f t="shared" si="110"/>
        <v>0</v>
      </c>
      <c r="AR967" s="36"/>
      <c r="AS967" s="18">
        <f t="shared" si="111"/>
        <v>0</v>
      </c>
    </row>
    <row r="968" spans="1:45" x14ac:dyDescent="0.25">
      <c r="A968" s="40">
        <v>46256</v>
      </c>
      <c r="B968" s="20"/>
      <c r="C968" s="20"/>
      <c r="D968" s="20"/>
      <c r="E968" s="20"/>
      <c r="F968" s="7">
        <f t="shared" si="105"/>
        <v>0</v>
      </c>
      <c r="G968" s="7">
        <f t="shared" si="106"/>
        <v>0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19">
        <f t="shared" si="107"/>
        <v>0</v>
      </c>
      <c r="R968" s="20"/>
      <c r="S968" s="20"/>
      <c r="T968" s="20"/>
      <c r="U968" s="20"/>
      <c r="V968" s="20"/>
      <c r="W968" s="20"/>
      <c r="X968" s="20"/>
      <c r="Y968" s="8">
        <f t="shared" si="108"/>
        <v>0</v>
      </c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7">
        <f t="shared" si="109"/>
        <v>0</v>
      </c>
      <c r="AM968" s="36"/>
      <c r="AN968" s="36"/>
      <c r="AO968" s="36"/>
      <c r="AP968" s="7"/>
      <c r="AQ968" s="38">
        <f t="shared" si="110"/>
        <v>0</v>
      </c>
      <c r="AR968" s="36"/>
      <c r="AS968" s="18">
        <f t="shared" si="111"/>
        <v>0</v>
      </c>
    </row>
    <row r="969" spans="1:45" x14ac:dyDescent="0.25">
      <c r="A969" s="40">
        <v>46257</v>
      </c>
      <c r="B969" s="20"/>
      <c r="C969" s="20"/>
      <c r="D969" s="20"/>
      <c r="E969" s="20"/>
      <c r="F969" s="7">
        <f t="shared" si="105"/>
        <v>0</v>
      </c>
      <c r="G969" s="7">
        <f t="shared" si="106"/>
        <v>0</v>
      </c>
      <c r="H969" s="20"/>
      <c r="I969" s="20"/>
      <c r="J969" s="20"/>
      <c r="K969" s="20"/>
      <c r="L969" s="20"/>
      <c r="M969" s="20"/>
      <c r="N969" s="20"/>
      <c r="O969" s="20"/>
      <c r="P969" s="20"/>
      <c r="Q969" s="19">
        <f t="shared" si="107"/>
        <v>0</v>
      </c>
      <c r="R969" s="20"/>
      <c r="S969" s="20"/>
      <c r="T969" s="20"/>
      <c r="U969" s="20"/>
      <c r="V969" s="20"/>
      <c r="W969" s="20"/>
      <c r="X969" s="20"/>
      <c r="Y969" s="8">
        <f t="shared" si="108"/>
        <v>0</v>
      </c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7">
        <f t="shared" si="109"/>
        <v>0</v>
      </c>
      <c r="AM969" s="36"/>
      <c r="AN969" s="36"/>
      <c r="AO969" s="36"/>
      <c r="AP969" s="7"/>
      <c r="AQ969" s="38">
        <f t="shared" si="110"/>
        <v>0</v>
      </c>
      <c r="AR969" s="36"/>
      <c r="AS969" s="18">
        <f t="shared" si="111"/>
        <v>0</v>
      </c>
    </row>
  </sheetData>
  <sheetProtection algorithmName="SHA-512" hashValue="GsxMCJeQoMPOgjDH6qeU9pWmfgRAhs6hjsXJqidcb9wqr+6HW+vVRcG03qxEzQ64xx41itUATlrHl8hqrVx1Hg==" saltValue="nSawSs7tFSgb3dgLtBRv1g==" spinCount="100000" sheet="1" objects="1" scenarios="1"/>
  <protectedRanges>
    <protectedRange sqref="AM4:AP969 AR4:AS969 B4:E969 H4:P969 R4:X969 Z4:AK969" name="Range1"/>
  </protectedRanges>
  <autoFilter ref="A3:Q3" xr:uid="{00000000-0009-0000-0000-000001000000}"/>
  <mergeCells count="14">
    <mergeCell ref="Z2:AK2"/>
    <mergeCell ref="N2:P2"/>
    <mergeCell ref="AM2:AO2"/>
    <mergeCell ref="Z1:AO1"/>
    <mergeCell ref="AL2:AL3"/>
    <mergeCell ref="U2:W2"/>
    <mergeCell ref="B1:P1"/>
    <mergeCell ref="R2:T2"/>
    <mergeCell ref="B2:C2"/>
    <mergeCell ref="F2:G2"/>
    <mergeCell ref="H2:I2"/>
    <mergeCell ref="J2:K2"/>
    <mergeCell ref="D2:E2"/>
    <mergeCell ref="R1:X1"/>
  </mergeCells>
  <conditionalFormatting sqref="AS4:AS969">
    <cfRule type="cellIs" dxfId="1" priority="3" operator="lessThan">
      <formula>0</formula>
    </cfRule>
  </conditionalFormatting>
  <pageMargins left="0.7" right="0.7" top="0.75" bottom="0.75" header="0.3" footer="0.3"/>
  <pageSetup scale="97" orientation="portrait" r:id="rId1"/>
  <rowBreaks count="4" manualBreakCount="4">
    <brk id="515" max="16383" man="1"/>
    <brk id="562" max="44" man="1"/>
    <brk id="610" max="16383" man="1"/>
    <brk id="907" max="16383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workbookViewId="0">
      <selection activeCell="F65" sqref="F65"/>
    </sheetView>
  </sheetViews>
  <sheetFormatPr defaultColWidth="35.140625" defaultRowHeight="12.75" x14ac:dyDescent="0.2"/>
  <cols>
    <col min="1" max="1" width="25.85546875" style="9" bestFit="1" customWidth="1"/>
    <col min="2" max="2" width="6.140625" style="9" bestFit="1" customWidth="1"/>
    <col min="3" max="3" width="16.140625" style="9" bestFit="1" customWidth="1"/>
    <col min="4" max="4" width="14.85546875" style="9" bestFit="1" customWidth="1"/>
    <col min="5" max="5" width="13.140625" style="9" bestFit="1" customWidth="1"/>
    <col min="6" max="16384" width="35.140625" style="9"/>
  </cols>
  <sheetData>
    <row r="1" spans="1:5" x14ac:dyDescent="0.2">
      <c r="A1" s="27" t="s">
        <v>82</v>
      </c>
      <c r="B1" s="28" t="s">
        <v>120</v>
      </c>
      <c r="C1" s="28" t="s">
        <v>91</v>
      </c>
      <c r="D1" s="29" t="s">
        <v>118</v>
      </c>
      <c r="E1" s="29" t="s">
        <v>119</v>
      </c>
    </row>
    <row r="2" spans="1:5" x14ac:dyDescent="0.2">
      <c r="A2" s="30" t="s">
        <v>54</v>
      </c>
      <c r="B2" s="31" t="s">
        <v>121</v>
      </c>
      <c r="C2" s="31" t="s">
        <v>89</v>
      </c>
      <c r="D2" s="32">
        <v>18000</v>
      </c>
      <c r="E2" s="34">
        <v>17016.680000000004</v>
      </c>
    </row>
    <row r="3" spans="1:5" x14ac:dyDescent="0.2">
      <c r="A3" s="30" t="s">
        <v>79</v>
      </c>
      <c r="B3" s="31" t="s">
        <v>121</v>
      </c>
      <c r="C3" s="31" t="s">
        <v>89</v>
      </c>
      <c r="D3" s="32">
        <v>73000</v>
      </c>
      <c r="E3" s="34">
        <v>69216.653333333335</v>
      </c>
    </row>
    <row r="4" spans="1:5" x14ac:dyDescent="0.2">
      <c r="A4" s="30" t="s">
        <v>83</v>
      </c>
      <c r="B4" s="31" t="s">
        <v>122</v>
      </c>
      <c r="C4" s="31" t="s">
        <v>89</v>
      </c>
      <c r="D4" s="32">
        <v>18000</v>
      </c>
      <c r="E4" s="34">
        <v>17130.285961538462</v>
      </c>
    </row>
    <row r="5" spans="1:5" x14ac:dyDescent="0.2">
      <c r="A5" s="30" t="s">
        <v>53</v>
      </c>
      <c r="B5" s="31" t="s">
        <v>121</v>
      </c>
      <c r="C5" s="31" t="s">
        <v>90</v>
      </c>
      <c r="D5" s="32">
        <v>19000</v>
      </c>
      <c r="E5" s="34">
        <v>18024.989999999998</v>
      </c>
    </row>
    <row r="6" spans="1:5" x14ac:dyDescent="0.2">
      <c r="A6" s="30" t="s">
        <v>55</v>
      </c>
      <c r="B6" s="31" t="s">
        <v>121</v>
      </c>
      <c r="C6" s="31" t="s">
        <v>90</v>
      </c>
      <c r="D6" s="32">
        <v>79000</v>
      </c>
      <c r="E6" s="34">
        <v>74975.813333333339</v>
      </c>
    </row>
    <row r="7" spans="1:5" x14ac:dyDescent="0.2">
      <c r="A7" s="30" t="s">
        <v>84</v>
      </c>
      <c r="B7" s="31" t="s">
        <v>122</v>
      </c>
      <c r="C7" s="31" t="s">
        <v>90</v>
      </c>
      <c r="D7" s="32">
        <v>18700</v>
      </c>
      <c r="E7" s="34">
        <v>17674.04</v>
      </c>
    </row>
    <row r="8" spans="1:5" x14ac:dyDescent="0.2">
      <c r="A8" s="30" t="s">
        <v>56</v>
      </c>
      <c r="B8" s="31" t="s">
        <v>121</v>
      </c>
      <c r="C8" s="31" t="s">
        <v>90</v>
      </c>
      <c r="D8" s="32">
        <v>32000</v>
      </c>
      <c r="E8" s="34">
        <v>29627.779999999995</v>
      </c>
    </row>
    <row r="9" spans="1:5" x14ac:dyDescent="0.2">
      <c r="A9" s="30" t="s">
        <v>57</v>
      </c>
      <c r="B9" s="31" t="s">
        <v>121</v>
      </c>
      <c r="C9" s="31" t="s">
        <v>90</v>
      </c>
      <c r="D9" s="32">
        <v>118000</v>
      </c>
      <c r="E9" s="34">
        <v>109300.53333333333</v>
      </c>
    </row>
    <row r="10" spans="1:5" x14ac:dyDescent="0.2">
      <c r="A10" s="30" t="s">
        <v>58</v>
      </c>
      <c r="B10" s="31" t="s">
        <v>121</v>
      </c>
      <c r="C10" s="31" t="s">
        <v>90</v>
      </c>
      <c r="D10" s="32">
        <v>49000</v>
      </c>
      <c r="E10" s="34">
        <v>45411.097777777781</v>
      </c>
    </row>
    <row r="11" spans="1:5" x14ac:dyDescent="0.2">
      <c r="A11" s="30" t="s">
        <v>59</v>
      </c>
      <c r="B11" s="31" t="s">
        <v>121</v>
      </c>
      <c r="C11" s="31" t="s">
        <v>90</v>
      </c>
      <c r="D11" s="32">
        <v>183000</v>
      </c>
      <c r="E11" s="34">
        <v>168514.63066666669</v>
      </c>
    </row>
    <row r="12" spans="1:5" x14ac:dyDescent="0.2">
      <c r="A12" s="30" t="s">
        <v>93</v>
      </c>
      <c r="B12" s="31" t="s">
        <v>122</v>
      </c>
      <c r="C12" s="31" t="s">
        <v>92</v>
      </c>
      <c r="D12" s="32">
        <v>20000</v>
      </c>
      <c r="E12" s="34">
        <v>18895.193750000002</v>
      </c>
    </row>
    <row r="13" spans="1:5" x14ac:dyDescent="0.2">
      <c r="A13" s="30" t="s">
        <v>94</v>
      </c>
      <c r="B13" s="31" t="s">
        <v>122</v>
      </c>
      <c r="C13" s="31" t="s">
        <v>92</v>
      </c>
      <c r="D13" s="32">
        <v>19400</v>
      </c>
      <c r="E13" s="34">
        <v>18404.991000000002</v>
      </c>
    </row>
    <row r="14" spans="1:5" x14ac:dyDescent="0.2">
      <c r="A14" s="30" t="s">
        <v>95</v>
      </c>
      <c r="B14" s="31" t="s">
        <v>121</v>
      </c>
      <c r="C14" s="31" t="s">
        <v>92</v>
      </c>
      <c r="D14" s="32">
        <v>106000</v>
      </c>
      <c r="E14" s="34">
        <v>100749.95999999999</v>
      </c>
    </row>
    <row r="15" spans="1:5" x14ac:dyDescent="0.2">
      <c r="A15" s="30" t="s">
        <v>96</v>
      </c>
      <c r="B15" s="31" t="s">
        <v>121</v>
      </c>
      <c r="C15" s="31" t="s">
        <v>92</v>
      </c>
      <c r="D15" s="32">
        <v>106000</v>
      </c>
      <c r="E15" s="34">
        <v>100749.95999999998</v>
      </c>
    </row>
    <row r="16" spans="1:5" x14ac:dyDescent="0.2">
      <c r="A16" s="30" t="s">
        <v>97</v>
      </c>
      <c r="B16" s="31" t="s">
        <v>121</v>
      </c>
      <c r="C16" s="31" t="s">
        <v>92</v>
      </c>
      <c r="D16" s="32">
        <v>22000</v>
      </c>
      <c r="E16" s="34">
        <v>21135.124999999996</v>
      </c>
    </row>
    <row r="17" spans="1:5" x14ac:dyDescent="0.2">
      <c r="A17" s="30" t="s">
        <v>98</v>
      </c>
      <c r="B17" s="31" t="s">
        <v>121</v>
      </c>
      <c r="C17" s="31" t="s">
        <v>92</v>
      </c>
      <c r="D17" s="32">
        <v>108000</v>
      </c>
      <c r="E17" s="34">
        <v>100424.92</v>
      </c>
    </row>
    <row r="18" spans="1:5" x14ac:dyDescent="0.2">
      <c r="A18" s="30" t="s">
        <v>99</v>
      </c>
      <c r="B18" s="31" t="s">
        <v>122</v>
      </c>
      <c r="C18" s="31" t="s">
        <v>92</v>
      </c>
      <c r="D18" s="32">
        <v>21700</v>
      </c>
      <c r="E18" s="34">
        <v>20799.989999999998</v>
      </c>
    </row>
    <row r="19" spans="1:5" x14ac:dyDescent="0.2">
      <c r="A19" s="30" t="s">
        <v>100</v>
      </c>
      <c r="B19" s="31" t="s">
        <v>122</v>
      </c>
      <c r="C19" s="31" t="s">
        <v>92</v>
      </c>
      <c r="D19" s="32">
        <v>21000</v>
      </c>
      <c r="E19" s="34">
        <v>20118.752692307691</v>
      </c>
    </row>
    <row r="20" spans="1:5" x14ac:dyDescent="0.2">
      <c r="A20" s="30" t="s">
        <v>101</v>
      </c>
      <c r="B20" s="31" t="s">
        <v>121</v>
      </c>
      <c r="C20" s="31" t="s">
        <v>92</v>
      </c>
      <c r="D20" s="32">
        <v>20000</v>
      </c>
      <c r="E20" s="34">
        <v>19141.711666666666</v>
      </c>
    </row>
    <row r="21" spans="1:5" x14ac:dyDescent="0.2">
      <c r="A21" s="30" t="s">
        <v>102</v>
      </c>
      <c r="B21" s="31" t="s">
        <v>121</v>
      </c>
      <c r="C21" s="31" t="s">
        <v>92</v>
      </c>
      <c r="D21" s="32">
        <v>91000</v>
      </c>
      <c r="E21" s="34">
        <v>86344.62</v>
      </c>
    </row>
    <row r="22" spans="1:5" x14ac:dyDescent="0.2">
      <c r="A22" s="30" t="s">
        <v>103</v>
      </c>
      <c r="B22" s="31" t="s">
        <v>122</v>
      </c>
      <c r="C22" s="31" t="s">
        <v>92</v>
      </c>
      <c r="D22" s="32">
        <v>18000</v>
      </c>
      <c r="E22" s="34">
        <v>17079.978999999999</v>
      </c>
    </row>
    <row r="23" spans="1:5" x14ac:dyDescent="0.2">
      <c r="A23" s="30" t="s">
        <v>104</v>
      </c>
      <c r="B23" s="31" t="s">
        <v>122</v>
      </c>
      <c r="C23" s="31" t="s">
        <v>92</v>
      </c>
      <c r="D23" s="32">
        <v>17400</v>
      </c>
      <c r="E23" s="34">
        <v>16474.998942307688</v>
      </c>
    </row>
    <row r="24" spans="1:5" x14ac:dyDescent="0.2">
      <c r="A24" s="30" t="s">
        <v>105</v>
      </c>
      <c r="B24" s="31" t="s">
        <v>121</v>
      </c>
      <c r="C24" s="31" t="s">
        <v>92</v>
      </c>
      <c r="D24" s="32">
        <v>24000</v>
      </c>
      <c r="E24" s="34">
        <v>22772.226666666669</v>
      </c>
    </row>
    <row r="25" spans="1:5" x14ac:dyDescent="0.2">
      <c r="A25" s="30" t="s">
        <v>106</v>
      </c>
      <c r="B25" s="31" t="s">
        <v>121</v>
      </c>
      <c r="C25" s="31" t="s">
        <v>92</v>
      </c>
      <c r="D25" s="32">
        <v>113000</v>
      </c>
      <c r="E25" s="34">
        <v>107044.22666666668</v>
      </c>
    </row>
    <row r="26" spans="1:5" x14ac:dyDescent="0.2">
      <c r="A26" s="30" t="s">
        <v>107</v>
      </c>
      <c r="B26" s="31" t="s">
        <v>122</v>
      </c>
      <c r="C26" s="31" t="s">
        <v>92</v>
      </c>
      <c r="D26" s="32">
        <v>22200</v>
      </c>
      <c r="E26" s="34">
        <v>20999.994999999999</v>
      </c>
    </row>
    <row r="27" spans="1:5" x14ac:dyDescent="0.2">
      <c r="A27" s="30" t="s">
        <v>108</v>
      </c>
      <c r="B27" s="31" t="s">
        <v>122</v>
      </c>
      <c r="C27" s="31" t="s">
        <v>92</v>
      </c>
      <c r="D27" s="32">
        <v>21100</v>
      </c>
      <c r="E27" s="34">
        <v>20027.885576923076</v>
      </c>
    </row>
    <row r="28" spans="1:5" x14ac:dyDescent="0.2">
      <c r="A28" s="30" t="s">
        <v>109</v>
      </c>
      <c r="B28" s="31" t="s">
        <v>121</v>
      </c>
      <c r="C28" s="31" t="s">
        <v>92</v>
      </c>
      <c r="D28" s="32">
        <v>22000</v>
      </c>
      <c r="E28" s="34">
        <v>20872.23</v>
      </c>
    </row>
    <row r="29" spans="1:5" x14ac:dyDescent="0.2">
      <c r="A29" s="30" t="s">
        <v>110</v>
      </c>
      <c r="B29" s="31" t="s">
        <v>121</v>
      </c>
      <c r="C29" s="31" t="s">
        <v>92</v>
      </c>
      <c r="D29" s="32">
        <v>100000</v>
      </c>
      <c r="E29" s="34">
        <v>94750.00499999999</v>
      </c>
    </row>
    <row r="30" spans="1:5" x14ac:dyDescent="0.2">
      <c r="A30" s="30" t="s">
        <v>111</v>
      </c>
      <c r="B30" s="31" t="s">
        <v>122</v>
      </c>
      <c r="C30" s="31" t="s">
        <v>92</v>
      </c>
      <c r="D30" s="32">
        <v>19800</v>
      </c>
      <c r="E30" s="34">
        <v>18800.022999999997</v>
      </c>
    </row>
    <row r="31" spans="1:5" x14ac:dyDescent="0.2">
      <c r="A31" s="30" t="s">
        <v>112</v>
      </c>
      <c r="B31" s="31" t="s">
        <v>122</v>
      </c>
      <c r="C31" s="31" t="s">
        <v>92</v>
      </c>
      <c r="D31" s="32">
        <v>19700</v>
      </c>
      <c r="E31" s="34">
        <v>18649.037788461537</v>
      </c>
    </row>
    <row r="32" spans="1:5" x14ac:dyDescent="0.2">
      <c r="A32" s="30" t="s">
        <v>61</v>
      </c>
      <c r="B32" s="31" t="s">
        <v>121</v>
      </c>
      <c r="C32" s="31" t="s">
        <v>117</v>
      </c>
      <c r="D32" s="32">
        <v>14000</v>
      </c>
      <c r="E32" s="34">
        <v>13355.022000000001</v>
      </c>
    </row>
    <row r="33" spans="1:5" x14ac:dyDescent="0.2">
      <c r="A33" s="30" t="s">
        <v>62</v>
      </c>
      <c r="B33" s="31" t="s">
        <v>121</v>
      </c>
      <c r="C33" s="31" t="s">
        <v>117</v>
      </c>
      <c r="D33" s="32">
        <v>43000</v>
      </c>
      <c r="E33" s="34">
        <v>41627</v>
      </c>
    </row>
    <row r="34" spans="1:5" x14ac:dyDescent="0.2">
      <c r="A34" s="30" t="s">
        <v>60</v>
      </c>
      <c r="B34" s="31" t="s">
        <v>121</v>
      </c>
      <c r="C34" s="31" t="s">
        <v>117</v>
      </c>
      <c r="D34" s="32">
        <v>113000</v>
      </c>
      <c r="E34" s="34">
        <v>106974.99999999999</v>
      </c>
    </row>
    <row r="35" spans="1:5" x14ac:dyDescent="0.2">
      <c r="A35" s="30" t="s">
        <v>63</v>
      </c>
      <c r="B35" s="31" t="s">
        <v>122</v>
      </c>
      <c r="C35" s="31" t="s">
        <v>117</v>
      </c>
      <c r="D35" s="32">
        <v>21600</v>
      </c>
      <c r="E35" s="34">
        <v>20535.020999999997</v>
      </c>
    </row>
    <row r="36" spans="1:5" x14ac:dyDescent="0.2">
      <c r="A36" s="30" t="s">
        <v>64</v>
      </c>
      <c r="B36" s="31" t="s">
        <v>121</v>
      </c>
      <c r="C36" s="31" t="s">
        <v>117</v>
      </c>
      <c r="D36" s="33"/>
      <c r="E36" s="35"/>
    </row>
    <row r="37" spans="1:5" x14ac:dyDescent="0.2">
      <c r="A37" s="30" t="s">
        <v>75</v>
      </c>
      <c r="B37" s="31" t="s">
        <v>121</v>
      </c>
      <c r="C37" s="31" t="s">
        <v>123</v>
      </c>
      <c r="D37" s="32">
        <v>97000</v>
      </c>
      <c r="E37" s="34">
        <v>91900.01</v>
      </c>
    </row>
    <row r="38" spans="1:5" x14ac:dyDescent="0.2">
      <c r="A38" s="30" t="s">
        <v>76</v>
      </c>
      <c r="B38" s="31" t="s">
        <v>122</v>
      </c>
      <c r="C38" s="31" t="s">
        <v>123</v>
      </c>
      <c r="D38" s="32">
        <v>19200</v>
      </c>
      <c r="E38" s="34">
        <v>18295</v>
      </c>
    </row>
    <row r="39" spans="1:5" x14ac:dyDescent="0.2">
      <c r="A39" s="30" t="s">
        <v>85</v>
      </c>
      <c r="B39" s="31" t="s">
        <v>122</v>
      </c>
      <c r="C39" s="31" t="s">
        <v>123</v>
      </c>
      <c r="D39" s="32">
        <v>18500</v>
      </c>
      <c r="E39" s="34">
        <v>17545.670576923076</v>
      </c>
    </row>
    <row r="40" spans="1:5" x14ac:dyDescent="0.2">
      <c r="A40" s="30" t="s">
        <v>77</v>
      </c>
      <c r="B40" s="31" t="s">
        <v>122</v>
      </c>
      <c r="C40" s="31" t="s">
        <v>123</v>
      </c>
      <c r="D40" s="32">
        <v>18800</v>
      </c>
      <c r="E40" s="34">
        <v>17865.011999999999</v>
      </c>
    </row>
    <row r="41" spans="1:5" x14ac:dyDescent="0.2">
      <c r="A41" s="30" t="s">
        <v>78</v>
      </c>
      <c r="B41" s="31" t="s">
        <v>121</v>
      </c>
      <c r="C41" s="31" t="s">
        <v>123</v>
      </c>
      <c r="D41" s="32">
        <v>97000</v>
      </c>
      <c r="E41" s="34">
        <v>91900.01</v>
      </c>
    </row>
    <row r="42" spans="1:5" x14ac:dyDescent="0.2">
      <c r="A42" s="30" t="s">
        <v>73</v>
      </c>
      <c r="B42" s="31" t="s">
        <v>121</v>
      </c>
      <c r="C42" s="31"/>
      <c r="D42" s="32">
        <v>90000</v>
      </c>
      <c r="E42" s="34">
        <v>84949.86</v>
      </c>
    </row>
    <row r="43" spans="1:5" x14ac:dyDescent="0.2">
      <c r="A43" s="30" t="s">
        <v>74</v>
      </c>
      <c r="B43" s="31" t="s">
        <v>121</v>
      </c>
      <c r="C43" s="31"/>
      <c r="D43" s="32">
        <v>100000</v>
      </c>
      <c r="E43" s="34">
        <v>95099.875</v>
      </c>
    </row>
    <row r="44" spans="1:5" x14ac:dyDescent="0.2">
      <c r="A44" s="30" t="s">
        <v>65</v>
      </c>
      <c r="B44" s="31" t="s">
        <v>121</v>
      </c>
      <c r="C44" s="31" t="s">
        <v>116</v>
      </c>
      <c r="D44" s="32">
        <v>31000</v>
      </c>
      <c r="E44" s="34">
        <v>29866.664444444443</v>
      </c>
    </row>
    <row r="45" spans="1:5" x14ac:dyDescent="0.2">
      <c r="A45" s="30" t="s">
        <v>66</v>
      </c>
      <c r="B45" s="31" t="s">
        <v>121</v>
      </c>
      <c r="C45" s="31" t="s">
        <v>116</v>
      </c>
      <c r="D45" s="32">
        <v>12000</v>
      </c>
      <c r="E45" s="34">
        <v>11530.565000000001</v>
      </c>
    </row>
    <row r="46" spans="1:5" x14ac:dyDescent="0.2">
      <c r="A46" s="30" t="s">
        <v>67</v>
      </c>
      <c r="B46" s="31" t="s">
        <v>121</v>
      </c>
      <c r="C46" s="31" t="s">
        <v>114</v>
      </c>
      <c r="D46" s="32">
        <v>21000</v>
      </c>
      <c r="E46" s="34">
        <v>19122.208888888887</v>
      </c>
    </row>
    <row r="47" spans="1:5" x14ac:dyDescent="0.2">
      <c r="A47" s="30" t="s">
        <v>68</v>
      </c>
      <c r="B47" s="31" t="s">
        <v>121</v>
      </c>
      <c r="C47" s="31" t="s">
        <v>114</v>
      </c>
      <c r="D47" s="32">
        <v>9500</v>
      </c>
      <c r="E47" s="34">
        <v>8995.7537499999999</v>
      </c>
    </row>
    <row r="48" spans="1:5" x14ac:dyDescent="0.2">
      <c r="A48" s="30" t="s">
        <v>80</v>
      </c>
      <c r="B48" s="31" t="s">
        <v>121</v>
      </c>
      <c r="C48" s="31" t="s">
        <v>113</v>
      </c>
      <c r="D48" s="32">
        <v>25700</v>
      </c>
      <c r="E48" s="34">
        <v>27301.663444444443</v>
      </c>
    </row>
    <row r="49" spans="1:5" x14ac:dyDescent="0.2">
      <c r="A49" s="30" t="s">
        <v>69</v>
      </c>
      <c r="B49" s="31" t="s">
        <v>121</v>
      </c>
      <c r="C49" s="31" t="s">
        <v>113</v>
      </c>
      <c r="D49" s="32">
        <v>32000</v>
      </c>
      <c r="E49" s="34">
        <v>30399.993333333332</v>
      </c>
    </row>
    <row r="50" spans="1:5" x14ac:dyDescent="0.2">
      <c r="A50" s="30" t="s">
        <v>81</v>
      </c>
      <c r="B50" s="31" t="s">
        <v>121</v>
      </c>
      <c r="C50" s="31" t="s">
        <v>113</v>
      </c>
      <c r="D50" s="32">
        <v>34900</v>
      </c>
      <c r="E50" s="34">
        <v>33222.239999999998</v>
      </c>
    </row>
    <row r="51" spans="1:5" x14ac:dyDescent="0.2">
      <c r="A51" s="30" t="s">
        <v>86</v>
      </c>
      <c r="B51" s="31" t="s">
        <v>122</v>
      </c>
      <c r="C51" s="31" t="s">
        <v>115</v>
      </c>
      <c r="D51" s="32">
        <v>16700</v>
      </c>
      <c r="E51" s="34">
        <v>15814.232538461541</v>
      </c>
    </row>
    <row r="52" spans="1:5" x14ac:dyDescent="0.2">
      <c r="A52" s="30" t="s">
        <v>70</v>
      </c>
      <c r="B52" s="31" t="s">
        <v>122</v>
      </c>
      <c r="C52" s="31" t="s">
        <v>115</v>
      </c>
      <c r="D52" s="32">
        <v>16700</v>
      </c>
      <c r="E52" s="34">
        <v>15870.016999999998</v>
      </c>
    </row>
    <row r="53" spans="1:5" x14ac:dyDescent="0.2">
      <c r="A53" s="30" t="s">
        <v>87</v>
      </c>
      <c r="B53" s="31" t="s">
        <v>122</v>
      </c>
      <c r="C53" s="31" t="s">
        <v>115</v>
      </c>
      <c r="D53" s="32">
        <v>16300</v>
      </c>
      <c r="E53" s="34">
        <v>15455.771249999998</v>
      </c>
    </row>
    <row r="54" spans="1:5" x14ac:dyDescent="0.2">
      <c r="A54" s="30" t="s">
        <v>71</v>
      </c>
      <c r="B54" s="31" t="s">
        <v>122</v>
      </c>
      <c r="C54" s="31" t="s">
        <v>115</v>
      </c>
      <c r="D54" s="32">
        <v>17400</v>
      </c>
      <c r="E54" s="34">
        <v>16429.981</v>
      </c>
    </row>
    <row r="55" spans="1:5" x14ac:dyDescent="0.2">
      <c r="A55" s="30" t="s">
        <v>88</v>
      </c>
      <c r="B55" s="31" t="s">
        <v>122</v>
      </c>
      <c r="C55" s="31" t="s">
        <v>115</v>
      </c>
      <c r="D55" s="32">
        <v>17000</v>
      </c>
      <c r="E55" s="34">
        <v>16102.882499999998</v>
      </c>
    </row>
    <row r="56" spans="1:5" x14ac:dyDescent="0.2">
      <c r="A56" s="30" t="s">
        <v>72</v>
      </c>
      <c r="B56" s="31" t="s">
        <v>121</v>
      </c>
      <c r="C56" s="31" t="s">
        <v>115</v>
      </c>
      <c r="D56" s="32">
        <v>17400</v>
      </c>
      <c r="E56" s="34">
        <v>16505.029000000002</v>
      </c>
    </row>
  </sheetData>
  <autoFilter ref="A1:E56" xr:uid="{00000000-0009-0000-0000-000003000000}"/>
  <conditionalFormatting sqref="D1:E56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CASH FLOW</vt:lpstr>
      <vt:lpstr>Sheet2</vt:lpstr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Asher Gad</cp:lastModifiedBy>
  <cp:lastPrinted>2022-01-01T15:30:27Z</cp:lastPrinted>
  <dcterms:created xsi:type="dcterms:W3CDTF">2021-07-22T05:01:23Z</dcterms:created>
  <dcterms:modified xsi:type="dcterms:W3CDTF">2026-05-26T10:46:08Z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30ed1b-e95f-40b5-af89-828263f287a7_Enabled">
    <vt:lpwstr>true</vt:lpwstr>
  </property>
  <property fmtid="{D5CDD505-2E9C-101B-9397-08002B2CF9AE}" pid="3" name="MSIP_Label_2b30ed1b-e95f-40b5-af89-828263f287a7_SetDate">
    <vt:lpwstr>2022-05-18T06:59:50Z</vt:lpwstr>
  </property>
  <property fmtid="{D5CDD505-2E9C-101B-9397-08002B2CF9AE}" pid="4" name="MSIP_Label_2b30ed1b-e95f-40b5-af89-828263f287a7_Method">
    <vt:lpwstr>Privileged</vt:lpwstr>
  </property>
  <property fmtid="{D5CDD505-2E9C-101B-9397-08002B2CF9AE}" pid="5" name="MSIP_Label_2b30ed1b-e95f-40b5-af89-828263f287a7_Name">
    <vt:lpwstr>2b30ed1b-e95f-40b5-af89-828263f287a7</vt:lpwstr>
  </property>
  <property fmtid="{D5CDD505-2E9C-101B-9397-08002B2CF9AE}" pid="6" name="MSIP_Label_2b30ed1b-e95f-40b5-af89-828263f287a7_SiteId">
    <vt:lpwstr>329e91b0-e21f-48fb-a071-456717ecc28e</vt:lpwstr>
  </property>
  <property fmtid="{D5CDD505-2E9C-101B-9397-08002B2CF9AE}" pid="7" name="MSIP_Label_2b30ed1b-e95f-40b5-af89-828263f287a7_ActionId">
    <vt:lpwstr>49009ac1-2eec-45ab-8ac1-d6ff4f1aa3db</vt:lpwstr>
  </property>
  <property fmtid="{D5CDD505-2E9C-101B-9397-08002B2CF9AE}" pid="8" name="MSIP_Label_2b30ed1b-e95f-40b5-af89-828263f287a7_ContentBits">
    <vt:lpwstr>0</vt:lpwstr>
  </property>
</Properties>
</file>